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Menu Pricing" sheetId="4" state="visible" r:id="rId4"/>
    <sheet xmlns:r="http://schemas.openxmlformats.org/officeDocument/2006/relationships" name="Recipe Builder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Waste Log" sheetId="7" state="visible" r:id="rId7"/>
    <sheet xmlns:r="http://schemas.openxmlformats.org/officeDocument/2006/relationships" name="Sales Log" sheetId="8" state="visible" r:id="rId8"/>
    <sheet xmlns:r="http://schemas.openxmlformats.org/officeDocument/2006/relationships" name="Expenses" sheetId="9" state="visible" r:id="rId9"/>
    <sheet xmlns:r="http://schemas.openxmlformats.org/officeDocument/2006/relationships" name="Monthly Report" sheetId="10" state="visible" r:id="rId10"/>
    <sheet xmlns:r="http://schemas.openxmlformats.org/officeDocument/2006/relationships" name="Break-Even" sheetId="11" state="visible" r:id="rId11"/>
    <sheet xmlns:r="http://schemas.openxmlformats.org/officeDocument/2006/relationships" name="Event Predictor" sheetId="12" state="visible" r:id="rId12"/>
    <sheet xmlns:r="http://schemas.openxmlformats.org/officeDocument/2006/relationships" name="Scenario Simulator" sheetId="13" state="visible" r:id="rId13"/>
    <sheet xmlns:r="http://schemas.openxmlformats.org/officeDocument/2006/relationships" name="Lists" sheetId="14" state="visible" r:id="rId14"/>
  </sheets>
  <definedNames>
    <definedName name="lst_Units">'Lists'!$B$6:$B$30</definedName>
    <definedName name="lst_ExpCat">'Lists'!$F$6:$F$35</definedName>
    <definedName name="lst_Pay">'Lists'!$J$6:$J$20</definedName>
    <definedName name="lst_MenuCat">'Lists'!$L$6:$L$20</definedName>
    <definedName name="lst_Waste">'Lists'!$N$6:$N$20</definedName>
    <definedName name="lst_Period">'Lists'!$P$6:$P$18</definedName>
    <definedName name="cfg_Business">'Settings'!$C$6</definedName>
    <definedName name="cfg_Symbol">'Settings'!$C$18</definedName>
    <definedName name="cfg_Currency">'Settings'!$C$19</definedName>
    <definedName name="cfg_Year">'Settings'!$C$21</definedName>
    <definedName name="cfg_Start">'Settings'!$C$22</definedName>
    <definedName name="cfg_End">'Settings'!$C$23</definedName>
    <definedName name="cfg_Months">'Settings'!$C$24</definedName>
    <definedName name="cfg_PeriodLabel">'Settings'!$C$25</definedName>
    <definedName name="cfg_CountDate">'Settings'!$C$26</definedName>
    <definedName name="cfg_LaborRate">'Settings'!$C$27</definedName>
    <definedName name="cfg_TargetMargin">'Settings'!$C$28</definedName>
    <definedName name="cfg_FoodCostTarget">'Settings'!$C$29</definedName>
    <definedName name="cfg_Round">'Settings'!$C$30</definedName>
    <definedName name="ps_rev">'Monthly Report'!$G$25</definedName>
    <definedName name="ps_items">'Monthly Report'!$G$26</definedName>
    <definedName name="ps_cogs">'Monthly Report'!$G$27</definedName>
    <definedName name="ps_gp">'Monthly Report'!$G$28</definedName>
    <definedName name="ps_gm">'Monthly Report'!$G$29</definedName>
    <definedName name="ps_waste">'Monthly Report'!$G$30</definedName>
    <definedName name="ps_fixed">'Monthly Report'!$G$31</definedName>
    <definedName name="ps_labor">'Monthly Report'!$G$32</definedName>
    <definedName name="ps_event">'Monthly Report'!$G$33</definedName>
    <definedName name="ps_var">'Monthly Report'!$G$34</definedName>
    <definedName name="ps_opex">'Monthly Report'!$G$35</definedName>
    <definedName name="ps_net">'Monthly Report'!$G$36</definedName>
    <definedName name="ps_nm">'Monthly Report'!$G$37</definedName>
    <definedName name="ps_lines">'Monthly Report'!$G$38</definedName>
    <definedName name="ps_avgp">'Monthly Report'!$G$39</definedName>
    <definedName name="ps_active">'Monthly Report'!$G$40</definedName>
    <definedName name="ps_avgopex">'Monthly Report'!$G$41</definedName>
    <definedName name="ps_berev">'Monthly Report'!$G$42</definedName>
    <definedName name="ps_beprog">'Monthly Report'!$G$43</definedName>
    <definedName name="ps_stock">'Monthly Report'!$G$44</definedName>
    <definedName name="ps_unclassified">'Monthly Report'!$G$45</definedName>
    <definedName name="be_Revenue">'Break-Even'!$H$27</definedName>
    <definedName name="be_Items">'Break-Even'!$H$20</definedName>
    <definedName name="_xlnm.Print_Area" localSheetId="0">'Start Here'!$A$1:$F$56</definedName>
    <definedName name="_xlnm.Print_Area" localSheetId="1">'Dashboard'!$A$1:$R$48</definedName>
    <definedName name="_xlnm.Print_Area" localSheetId="2">'Settings'!$A$1:$F$34</definedName>
    <definedName name="_xlnm._FilterDatabase" localSheetId="3" hidden="1">'Menu Pricing'!$B$6:$Y$56</definedName>
    <definedName name="_xlnm.Print_Area" localSheetId="3">'Menu Pricing'!$A$1:$Y$60</definedName>
    <definedName name="_xlnm._FilterDatabase" localSheetId="4" hidden="1">'Recipe Builder'!$B$6:$L$406</definedName>
    <definedName name="_xlnm.Print_Area" localSheetId="4">'Recipe Builder'!$A$1:$L$406</definedName>
    <definedName name="_xlnm._FilterDatabase" localSheetId="5" hidden="1">'Inventory'!$B$6:$Q$106</definedName>
    <definedName name="_xlnm.Print_Area" localSheetId="5">'Inventory'!$A$1:$Q$107</definedName>
    <definedName name="_xlnm._FilterDatabase" localSheetId="6" hidden="1">'Waste Log'!$B$6:$J$506</definedName>
    <definedName name="_xlnm.Print_Area" localSheetId="6">'Waste Log'!$A$1:$J$506</definedName>
    <definedName name="_xlnm._FilterDatabase" localSheetId="7" hidden="1">'Sales Log'!$B$6:$N$3006</definedName>
    <definedName name="_xlnm.Print_Area" localSheetId="7">'Sales Log'!$A$1:$N$3006</definedName>
    <definedName name="_xlnm._FilterDatabase" localSheetId="8" hidden="1">'Expenses'!$B$6:$I$1506</definedName>
    <definedName name="_xlnm.Print_Area" localSheetId="8">'Expenses'!$A$1:$I$1506</definedName>
    <definedName name="_xlnm.Print_Area" localSheetId="9">'Monthly Report'!$A$1:$S$56</definedName>
    <definedName name="_xlnm.Print_Area" localSheetId="10">'Break-Even'!$A$1:$I$63</definedName>
    <definedName name="_xlnm.Print_Area" localSheetId="11">'Event Predictor'!$A$1:$H$60</definedName>
    <definedName name="_xlnm.Print_Area" localSheetId="12">'Scenario Simulator'!$A$1:$M$68</definedName>
    <definedName name="_xlnm.Print_Area" localSheetId="13">'Lists'!$A$1:$V$41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#,##0.###"/>
    <numFmt numFmtId="165" formatCode="#,##0.00;[Red]-#,##0.00;0.00"/>
    <numFmt numFmtId="166" formatCode="0.0%;[Red]-0.0%;0.0%"/>
    <numFmt numFmtId="167" formatCode="dd mmm yyyy"/>
    <numFmt numFmtId="168" formatCode="#,##0.0000"/>
    <numFmt numFmtId="169" formatCode="#,##0.000"/>
    <numFmt numFmtId="170" formatCode="0.#"/>
    <numFmt numFmtId="171" formatCode="0.000000"/>
    <numFmt numFmtId="172" formatCode="#,##0;[Red]-#,##0;0"/>
    <numFmt numFmtId="173" formatCode="0.0"/>
    <numFmt numFmtId="174" formatCode="+#,##0;-#,##0;0"/>
    <numFmt numFmtId="175" formatCode="+#,##0.00;[Red]-#,##0.00;0.00"/>
    <numFmt numFmtId="176" formatCode="+0.0%;-0.0%;0.0%"/>
    <numFmt numFmtId="177" formatCode="+0%;-0%;0%"/>
    <numFmt numFmtId="178" formatCode="+#,##0.00;-#,##0.00;0.00"/>
    <numFmt numFmtId="179" formatCode="+0.0&quot; pts&quot;;-0.0&quot; pts&quot;;0.0&quot; pts&quot;"/>
  </numFmts>
  <fonts count="41">
    <font>
      <name val="Calibri"/>
      <family val="2"/>
      <color theme="1"/>
      <sz val="11"/>
      <scheme val="minor"/>
    </font>
    <font>
      <name val="Arial"/>
      <b val="1"/>
      <color rgb="001E2A38"/>
      <sz val="18"/>
    </font>
    <font>
      <name val="Arial"/>
      <i val="1"/>
      <color rgb="006B7280"/>
      <sz val="9"/>
    </font>
    <font>
      <name val="Arial"/>
      <b val="1"/>
      <color rgb="000F766E"/>
      <sz val="8"/>
    </font>
    <font>
      <name val="Arial"/>
      <b val="1"/>
      <color rgb="00FFFFFF"/>
      <sz val="9"/>
    </font>
    <font>
      <name val="Arial"/>
      <color rgb="001D3F8F"/>
      <sz val="10"/>
    </font>
    <font>
      <name val="Arial"/>
      <color rgb="001F2937"/>
      <sz val="10"/>
    </font>
    <font>
      <name val="Arial"/>
      <color rgb="001E4E8C"/>
      <sz val="9"/>
    </font>
    <font>
      <name val="Arial"/>
      <b val="1"/>
      <color rgb="001F2937"/>
      <sz val="10"/>
    </font>
    <font>
      <name val="Arial"/>
      <color rgb="006B7280"/>
      <sz val="9"/>
    </font>
    <font>
      <name val="Arial"/>
      <b val="1"/>
      <color rgb="001D3F8F"/>
      <sz val="10"/>
    </font>
    <font>
      <name val="Arial"/>
      <color rgb="001F2937"/>
      <sz val="9"/>
    </font>
    <font>
      <name val="Arial"/>
      <color rgb="00B42318"/>
      <sz val="9"/>
    </font>
    <font>
      <name val="Arial"/>
      <b val="1"/>
      <color rgb="000F766E"/>
      <sz val="10"/>
    </font>
    <font>
      <name val="Arial"/>
      <color rgb="006B7280"/>
      <sz val="8"/>
    </font>
    <font>
      <name val="Arial"/>
      <b val="1"/>
      <color rgb="000B5A54"/>
      <sz val="11"/>
    </font>
    <font>
      <name val="Arial"/>
      <b val="1"/>
      <color rgb="001D3F8F"/>
      <sz val="11"/>
    </font>
    <font>
      <name val="Arial"/>
      <color rgb="009CA3AF"/>
      <sz val="8"/>
    </font>
    <font>
      <name val="Arial"/>
      <b val="1"/>
      <color rgb="00FFFFFF"/>
      <sz val="18"/>
    </font>
    <font>
      <name val="Arial"/>
      <color rgb="00C9D3DD"/>
      <sz val="10"/>
    </font>
    <font>
      <name val="Arial"/>
      <b val="1"/>
      <color rgb="005EEAD4"/>
      <sz val="14"/>
    </font>
    <font>
      <name val="Arial"/>
      <color rgb="00C9D3DD"/>
      <sz val="8"/>
    </font>
    <font>
      <name val="Arial"/>
      <b val="1"/>
      <color rgb="000F766E"/>
      <sz val="8"/>
      <u val="single"/>
    </font>
    <font>
      <name val="Arial"/>
      <b val="1"/>
      <color rgb="008A4B00"/>
      <sz val="9"/>
    </font>
    <font>
      <name val="Arial"/>
      <b val="1"/>
      <color rgb="006B7280"/>
      <sz val="8"/>
    </font>
    <font>
      <name val="Arial"/>
      <b val="1"/>
      <color rgb="001E2A38"/>
      <sz val="20"/>
    </font>
    <font>
      <name val="Arial"/>
      <b val="1"/>
      <color rgb="001E2A38"/>
      <sz val="10"/>
    </font>
    <font>
      <name val="Arial"/>
      <b val="1"/>
      <color rgb="001E2A38"/>
      <sz val="9"/>
    </font>
    <font>
      <name val="Arial"/>
      <color rgb="001E2A38"/>
      <sz val="9"/>
    </font>
    <font>
      <name val="Arial"/>
      <b val="1"/>
      <color rgb="0017663A"/>
      <sz val="12"/>
    </font>
    <font>
      <name val="Arial"/>
      <i val="1"/>
      <color rgb="006B7280"/>
      <sz val="8"/>
    </font>
    <font>
      <name val="Arial"/>
      <b val="1"/>
      <color rgb="00FFFFFF"/>
      <sz val="20"/>
    </font>
    <font>
      <name val="Arial"/>
      <b val="1"/>
      <color rgb="0017663A"/>
      <sz val="10"/>
    </font>
    <font>
      <name val="Arial"/>
      <b val="1"/>
      <color rgb="001E2A38"/>
      <sz val="13"/>
    </font>
    <font>
      <name val="Arial"/>
      <b val="1"/>
      <color rgb="00FFFFFF"/>
      <sz val="12"/>
    </font>
    <font>
      <name val="Arial"/>
      <b val="1"/>
      <color rgb="000F766E"/>
      <sz val="10"/>
      <u val="single"/>
    </font>
    <font>
      <name val="Arial"/>
      <b val="1"/>
      <color rgb="00B42318"/>
      <sz val="10"/>
    </font>
    <font>
      <name val="Arial"/>
      <color rgb="001E4E8C"/>
      <sz val="10"/>
    </font>
    <font>
      <name val="Arial"/>
      <b val="1"/>
      <color rgb="000B5A54"/>
      <sz val="10"/>
    </font>
    <font>
      <name val="Arial"/>
      <b val="1"/>
      <color rgb="000F766E"/>
      <sz val="11"/>
    </font>
    <font>
      <name val="Arial"/>
      <b val="1"/>
      <color rgb="000F766E"/>
      <sz val="9"/>
      <u val="single"/>
    </font>
  </fonts>
  <fills count="1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1E2A38"/>
        <bgColor rgb="001E2A38"/>
      </patternFill>
    </fill>
    <fill>
      <patternFill patternType="solid">
        <fgColor rgb="00FFF6E0"/>
        <bgColor rgb="00FFF6E0"/>
      </patternFill>
    </fill>
    <fill>
      <patternFill patternType="solid">
        <fgColor rgb="00F3F5F7"/>
        <bgColor rgb="00F3F5F7"/>
      </patternFill>
    </fill>
    <fill>
      <patternFill patternType="solid">
        <fgColor rgb="00EAF2FB"/>
        <bgColor rgb="00EAF2FB"/>
      </patternFill>
    </fill>
    <fill>
      <patternFill patternType="solid">
        <fgColor rgb="00C2770E"/>
        <bgColor rgb="00C2770E"/>
      </patternFill>
    </fill>
    <fill>
      <patternFill patternType="solid">
        <fgColor rgb="006B7280"/>
        <bgColor rgb="006B7280"/>
      </patternFill>
    </fill>
    <fill>
      <patternFill patternType="solid">
        <fgColor rgb="00E3F1EF"/>
        <bgColor rgb="00E3F1EF"/>
      </patternFill>
    </fill>
    <fill>
      <patternFill patternType="solid">
        <fgColor rgb="00374151"/>
        <bgColor rgb="00374151"/>
      </patternFill>
    </fill>
    <fill>
      <patternFill patternType="solid">
        <fgColor rgb="00FFFFFF"/>
        <bgColor rgb="00FFFFFF"/>
      </patternFill>
    </fill>
    <fill>
      <patternFill patternType="solid">
        <fgColor rgb="00E6F4EA"/>
        <bgColor rgb="00E6F4EA"/>
      </patternFill>
    </fill>
    <fill>
      <patternFill patternType="solid">
        <fgColor rgb="00FDECEC"/>
        <bgColor rgb="00FDECEC"/>
      </patternFill>
    </fill>
  </fills>
  <borders count="22">
    <border>
      <left/>
      <right/>
      <top/>
      <bottom/>
      <diagonal/>
    </border>
    <border>
      <left style="thin">
        <color rgb="003A4757"/>
      </left>
      <right style="thin">
        <color rgb="003A4757"/>
      </right>
    </border>
    <border>
      <left style="thin">
        <color rgb="00EAD9AE"/>
      </left>
      <right style="thin">
        <color rgb="00EAD9AE"/>
      </right>
      <top style="thin">
        <color rgb="00EAD9AE"/>
      </top>
      <bottom style="thin">
        <color rgb="00EAD9AE"/>
      </bottom>
    </border>
    <border>
      <left style="thin">
        <color rgb="00DDE2E7"/>
      </left>
      <right style="thin">
        <color rgb="00DDE2E7"/>
      </right>
      <top style="thin">
        <color rgb="00DDE2E7"/>
      </top>
      <bottom style="thin">
        <color rgb="00DDE2E7"/>
      </bottom>
    </border>
    <border>
      <left/>
      <right style="thin">
        <color rgb="003A4757"/>
      </right>
      <top/>
      <bottom/>
      <diagonal/>
    </border>
    <border>
      <left style="thin">
        <color rgb="00DDE2E7"/>
      </left>
      <top style="thick">
        <color rgb="000F766E"/>
      </top>
    </border>
    <border>
      <top style="thick">
        <color rgb="000F766E"/>
      </top>
    </border>
    <border>
      <right style="thin">
        <color rgb="00DDE2E7"/>
      </right>
      <top style="thick">
        <color rgb="000F766E"/>
      </top>
    </border>
    <border>
      <left style="thin">
        <color rgb="00DDE2E7"/>
      </left>
    </border>
    <border/>
    <border>
      <right style="thin">
        <color rgb="00DDE2E7"/>
      </right>
    </border>
    <border>
      <left style="thin">
        <color rgb="00DDE2E7"/>
      </left>
      <bottom style="thin">
        <color rgb="00DDE2E7"/>
      </bottom>
    </border>
    <border>
      <bottom style="thin">
        <color rgb="00DDE2E7"/>
      </bottom>
    </border>
    <border>
      <right style="thin">
        <color rgb="00DDE2E7"/>
      </right>
      <bottom style="thin">
        <color rgb="00DDE2E7"/>
      </bottom>
    </border>
    <border>
      <left style="thin">
        <color rgb="00DDE2E7"/>
      </left>
      <top style="thick">
        <color rgb="00C2770E"/>
      </top>
    </border>
    <border>
      <top style="thick">
        <color rgb="00C2770E"/>
      </top>
    </border>
    <border>
      <right style="thin">
        <color rgb="00DDE2E7"/>
      </right>
      <top style="thick">
        <color rgb="00C2770E"/>
      </top>
    </border>
    <border>
      <left style="thin">
        <color rgb="00DDE2E7"/>
      </left>
      <top style="thick">
        <color rgb="001E2A38"/>
      </top>
    </border>
    <border>
      <top style="thick">
        <color rgb="001E2A38"/>
      </top>
    </border>
    <border>
      <right style="thin">
        <color rgb="00DDE2E7"/>
      </right>
      <top style="thick">
        <color rgb="001E2A38"/>
      </top>
    </border>
    <border>
      <bottom style="medium">
        <color rgb="000F766E"/>
      </bottom>
    </border>
    <border>
      <bottom style="hair">
        <color rgb="00DDE2E7"/>
      </bottom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1" fillId="3" borderId="0" applyAlignment="1" pivotButton="0" quotePrefix="0" xfId="0">
      <alignment vertical="center"/>
    </xf>
    <xf numFmtId="0" fontId="19" fillId="3" borderId="0" pivotButton="0" quotePrefix="0" xfId="0"/>
    <xf numFmtId="0" fontId="32" fillId="12" borderId="0" applyAlignment="1" pivotButton="0" quotePrefix="0" xfId="0">
      <alignment vertical="center" wrapText="1" indent="1"/>
    </xf>
    <xf numFmtId="0" fontId="33" fillId="0" borderId="20" pivotButton="0" quotePrefix="0" xfId="0"/>
    <xf numFmtId="0" fontId="0" fillId="0" borderId="20" pivotButton="0" quotePrefix="0" xfId="0"/>
    <xf numFmtId="0" fontId="34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 indent="1"/>
    </xf>
    <xf numFmtId="0" fontId="6" fillId="0" borderId="0" applyAlignment="1" pivotButton="0" quotePrefix="0" xfId="0">
      <alignment vertical="center" wrapText="1"/>
    </xf>
    <xf numFmtId="0" fontId="5" fillId="4" borderId="2" applyAlignment="1" pivotButton="0" quotePrefix="0" xfId="0">
      <alignment vertical="center"/>
    </xf>
    <xf numFmtId="0" fontId="6" fillId="0" borderId="0" pivotButton="0" quotePrefix="0" xfId="0"/>
    <xf numFmtId="0" fontId="6" fillId="5" borderId="3" applyAlignment="1" pivotButton="0" quotePrefix="0" xfId="0">
      <alignment vertical="center"/>
    </xf>
    <xf numFmtId="0" fontId="36" fillId="13" borderId="3" pivotButton="0" quotePrefix="0" xfId="0"/>
    <xf numFmtId="0" fontId="37" fillId="6" borderId="0" applyAlignment="1" pivotButton="0" quotePrefix="0" xfId="0">
      <alignment vertical="center" wrapText="1"/>
    </xf>
    <xf numFmtId="0" fontId="35" fillId="0" borderId="0" pivotButton="0" quotePrefix="0" xfId="0"/>
    <xf numFmtId="0" fontId="38" fillId="0" borderId="0" applyAlignment="1" pivotButton="0" quotePrefix="0" xfId="0">
      <alignment vertical="top" indent="1"/>
    </xf>
    <xf numFmtId="0" fontId="6" fillId="0" borderId="0" applyAlignment="1" pivotButton="0" quotePrefix="0" xfId="0">
      <alignment vertical="top" wrapText="1"/>
    </xf>
    <xf numFmtId="0" fontId="39" fillId="0" borderId="0" applyAlignment="1" pivotButton="0" quotePrefix="0" xfId="0">
      <alignment horizontal="center" vertical="top"/>
    </xf>
    <xf numFmtId="0" fontId="30" fillId="0" borderId="0" pivotButton="0" quotePrefix="0" xfId="0"/>
    <xf numFmtId="0" fontId="18" fillId="3" borderId="0" applyAlignment="1" pivotButton="0" quotePrefix="0" xfId="0">
      <alignment vertical="center"/>
    </xf>
    <xf numFmtId="0" fontId="20" fillId="3" borderId="0" applyAlignment="1" pivotButton="0" quotePrefix="0" xfId="0">
      <alignment horizontal="right" vertical="center"/>
    </xf>
    <xf numFmtId="0" fontId="21" fillId="3" borderId="0" applyAlignment="1" pivotButton="0" quotePrefix="0" xfId="0">
      <alignment horizontal="right"/>
    </xf>
    <xf numFmtId="0" fontId="0" fillId="5" borderId="0" pivotButton="0" quotePrefix="0" xfId="0"/>
    <xf numFmtId="0" fontId="22" fillId="5" borderId="0" pivotButton="0" quotePrefix="0" xfId="0"/>
    <xf numFmtId="0" fontId="23" fillId="5" borderId="0" applyAlignment="1" pivotButton="0" quotePrefix="0" xfId="0">
      <alignment horizontal="center" vertical="center" wrapText="1"/>
    </xf>
    <xf numFmtId="0" fontId="24" fillId="11" borderId="5" applyAlignment="1" pivotButton="0" quotePrefix="0" xfId="0">
      <alignment horizontal="left" vertical="bottom" indent="1"/>
    </xf>
    <xf numFmtId="0" fontId="0" fillId="11" borderId="6" pivotButton="0" quotePrefix="0" xfId="0"/>
    <xf numFmtId="0" fontId="0" fillId="11" borderId="7" pivotButton="0" quotePrefix="0" xfId="0"/>
    <xf numFmtId="0" fontId="24" fillId="11" borderId="14" applyAlignment="1" pivotButton="0" quotePrefix="0" xfId="0">
      <alignment horizontal="left" vertical="bottom" indent="1"/>
    </xf>
    <xf numFmtId="0" fontId="0" fillId="11" borderId="15" pivotButton="0" quotePrefix="0" xfId="0"/>
    <xf numFmtId="0" fontId="0" fillId="11" borderId="16" pivotButton="0" quotePrefix="0" xfId="0"/>
    <xf numFmtId="0" fontId="25" fillId="11" borderId="8" applyAlignment="1" pivotButton="0" quotePrefix="0" xfId="0">
      <alignment horizontal="left" vertical="center" indent="1"/>
    </xf>
    <xf numFmtId="0" fontId="0" fillId="11" borderId="9" pivotButton="0" quotePrefix="0" xfId="0"/>
    <xf numFmtId="0" fontId="0" fillId="11" borderId="10" pivotButton="0" quotePrefix="0" xfId="0"/>
    <xf numFmtId="0" fontId="14" fillId="11" borderId="11" applyAlignment="1" pivotButton="0" quotePrefix="0" xfId="0">
      <alignment horizontal="left" vertical="top" wrapText="1" indent="1"/>
    </xf>
    <xf numFmtId="0" fontId="0" fillId="11" borderId="12" pivotButton="0" quotePrefix="0" xfId="0"/>
    <xf numFmtId="0" fontId="0" fillId="11" borderId="13" pivotButton="0" quotePrefix="0" xfId="0"/>
    <xf numFmtId="0" fontId="24" fillId="11" borderId="17" applyAlignment="1" pivotButton="0" quotePrefix="0" xfId="0">
      <alignment horizontal="left" vertical="bottom" indent="1"/>
    </xf>
    <xf numFmtId="0" fontId="0" fillId="11" borderId="18" pivotButton="0" quotePrefix="0" xfId="0"/>
    <xf numFmtId="0" fontId="0" fillId="11" borderId="19" pivotButton="0" quotePrefix="0" xfId="0"/>
    <xf numFmtId="0" fontId="26" fillId="5" borderId="20" applyAlignment="1" pivotButton="0" quotePrefix="0" xfId="0">
      <alignment vertical="center"/>
    </xf>
    <xf numFmtId="0" fontId="24" fillId="11" borderId="12" pivotButton="0" quotePrefix="0" xfId="0"/>
    <xf numFmtId="0" fontId="27" fillId="11" borderId="21" applyAlignment="1" pivotButton="0" quotePrefix="0" xfId="0">
      <alignment horizontal="left" vertical="center" indent="1"/>
    </xf>
    <xf numFmtId="0" fontId="28" fillId="11" borderId="21" applyAlignment="1" pivotButton="0" quotePrefix="0" xfId="0">
      <alignment horizontal="left" vertical="center"/>
    </xf>
    <xf numFmtId="3" fontId="28" fillId="11" borderId="21" applyAlignment="1" pivotButton="0" quotePrefix="0" xfId="0">
      <alignment horizontal="right" vertical="center"/>
    </xf>
    <xf numFmtId="0" fontId="28" fillId="11" borderId="21" applyAlignment="1" pivotButton="0" quotePrefix="0" xfId="0">
      <alignment horizontal="right" vertical="center"/>
    </xf>
    <xf numFmtId="172" fontId="28" fillId="11" borderId="21" applyAlignment="1" pivotButton="0" quotePrefix="0" xfId="0">
      <alignment horizontal="right" vertical="center"/>
    </xf>
    <xf numFmtId="0" fontId="29" fillId="11" borderId="0" applyAlignment="1" pivotButton="0" quotePrefix="0" xfId="0">
      <alignment horizontal="center" vertical="center"/>
    </xf>
    <xf numFmtId="0" fontId="28" fillId="11" borderId="0" applyAlignment="1" pivotButton="0" quotePrefix="0" xfId="0">
      <alignment vertical="center"/>
    </xf>
    <xf numFmtId="0" fontId="0" fillId="11" borderId="0" pivotButton="0" quotePrefix="0" xfId="0"/>
    <xf numFmtId="0" fontId="22" fillId="11" borderId="0" pivotButton="0" quotePrefix="0" xfId="0"/>
    <xf numFmtId="0" fontId="30" fillId="5" borderId="0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4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5" fillId="4" borderId="2" applyAlignment="1" applyProtection="1" pivotButton="0" quotePrefix="0" xfId="0">
      <alignment vertical="center"/>
      <protection locked="0" hidden="0"/>
    </xf>
    <xf numFmtId="0" fontId="9" fillId="0" borderId="0" applyAlignment="1" pivotButton="0" quotePrefix="0" xfId="0">
      <alignment vertical="center" wrapText="1"/>
    </xf>
    <xf numFmtId="1" fontId="5" fillId="4" borderId="2" applyAlignment="1" applyProtection="1" pivotButton="0" quotePrefix="0" xfId="0">
      <alignment vertical="center"/>
      <protection locked="0" hidden="0"/>
    </xf>
    <xf numFmtId="165" fontId="5" fillId="4" borderId="2" applyAlignment="1" applyProtection="1" pivotButton="0" quotePrefix="0" xfId="0">
      <alignment vertical="center"/>
      <protection locked="0" hidden="0"/>
    </xf>
    <xf numFmtId="166" fontId="5" fillId="4" borderId="2" applyAlignment="1" applyProtection="1" pivotButton="0" quotePrefix="0" xfId="0">
      <alignment vertical="center"/>
      <protection locked="0" hidden="0"/>
    </xf>
    <xf numFmtId="2" fontId="5" fillId="4" borderId="2" applyAlignment="1" applyProtection="1" pivotButton="0" quotePrefix="0" xfId="0">
      <alignment vertical="center"/>
      <protection locked="0" hidden="0"/>
    </xf>
    <xf numFmtId="167" fontId="5" fillId="4" borderId="2" applyAlignment="1" applyProtection="1" pivotButton="0" quotePrefix="0" xfId="0">
      <alignment vertical="center"/>
      <protection locked="0" hidden="0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" fontId="6" fillId="5" borderId="3" applyAlignment="1" pivotButton="0" quotePrefix="0" xfId="0">
      <alignment vertical="center"/>
    </xf>
    <xf numFmtId="167" fontId="6" fillId="5" borderId="3" applyAlignment="1" pivotButton="0" quotePrefix="0" xfId="0">
      <alignment vertical="center"/>
    </xf>
    <xf numFmtId="165" fontId="6" fillId="5" borderId="3" applyAlignment="1" pivotButton="0" quotePrefix="0" xfId="0">
      <alignment vertical="center"/>
    </xf>
    <xf numFmtId="166" fontId="6" fillId="5" borderId="3" applyAlignment="1" pivotButton="0" quotePrefix="0" xfId="0">
      <alignment vertical="center"/>
    </xf>
    <xf numFmtId="2" fontId="6" fillId="5" borderId="3" applyAlignment="1" pivotButton="0" quotePrefix="0" xfId="0">
      <alignment vertical="center"/>
    </xf>
    <xf numFmtId="0" fontId="7" fillId="6" borderId="0" applyAlignment="1" pivotButton="0" quotePrefix="0" xfId="0">
      <alignment vertical="center" wrapText="1" indent="1"/>
    </xf>
    <xf numFmtId="0" fontId="4" fillId="2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170" fontId="5" fillId="4" borderId="2" applyAlignment="1" applyProtection="1" pivotButton="0" quotePrefix="0" xfId="0">
      <alignment vertical="center"/>
      <protection locked="0" hidden="0"/>
    </xf>
    <xf numFmtId="165" fontId="8" fillId="5" borderId="3" applyAlignment="1" pivotButton="0" quotePrefix="0" xfId="0">
      <alignment vertical="center"/>
    </xf>
    <xf numFmtId="165" fontId="10" fillId="4" borderId="2" applyAlignment="1" applyProtection="1" pivotButton="0" quotePrefix="0" xfId="0">
      <alignment vertical="center"/>
      <protection locked="0" hidden="0"/>
    </xf>
    <xf numFmtId="0" fontId="6" fillId="5" borderId="3" applyAlignment="1" pivotButton="0" quotePrefix="0" xfId="0">
      <alignment horizontal="center" vertical="center"/>
    </xf>
    <xf numFmtId="0" fontId="11" fillId="5" borderId="3" applyAlignment="1" pivotButton="0" quotePrefix="0" xfId="0">
      <alignment vertical="center"/>
    </xf>
    <xf numFmtId="3" fontId="6" fillId="5" borderId="3" applyAlignment="1" pivotButton="0" quotePrefix="0" xfId="0">
      <alignment vertical="center"/>
    </xf>
    <xf numFmtId="171" fontId="6" fillId="5" borderId="3" applyAlignment="1" pivotButton="0" quotePrefix="0" xfId="0">
      <alignment vertical="center"/>
    </xf>
    <xf numFmtId="0" fontId="8" fillId="5" borderId="3" applyAlignment="1" pivotButton="0" quotePrefix="0" xfId="0">
      <alignment vertical="center"/>
    </xf>
    <xf numFmtId="3" fontId="8" fillId="5" borderId="3" applyAlignment="1" pivotButton="0" quotePrefix="0" xfId="0">
      <alignment vertical="center"/>
    </xf>
    <xf numFmtId="164" fontId="5" fillId="4" borderId="2" applyAlignment="1" applyProtection="1" pivotButton="0" quotePrefix="0" xfId="0">
      <alignment vertical="center"/>
      <protection locked="0" hidden="0"/>
    </xf>
    <xf numFmtId="168" fontId="6" fillId="5" borderId="3" applyAlignment="1" pivotButton="0" quotePrefix="0" xfId="0">
      <alignment vertical="center"/>
    </xf>
    <xf numFmtId="169" fontId="6" fillId="5" borderId="3" applyAlignment="1" pivotButton="0" quotePrefix="0" xfId="0">
      <alignment vertical="center"/>
    </xf>
    <xf numFmtId="4" fontId="6" fillId="5" borderId="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4" fillId="8" borderId="0" applyAlignment="1" pivotButton="0" quotePrefix="0" xfId="0">
      <alignment horizontal="center" vertical="center"/>
    </xf>
    <xf numFmtId="165" fontId="8" fillId="9" borderId="3" applyAlignment="1" pivotButton="0" quotePrefix="0" xfId="0">
      <alignment vertical="center"/>
    </xf>
    <xf numFmtId="3" fontId="8" fillId="9" borderId="3" applyAlignment="1" pivotButton="0" quotePrefix="0" xfId="0">
      <alignment vertical="center"/>
    </xf>
    <xf numFmtId="166" fontId="8" fillId="9" borderId="3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4" pivotButton="0" quotePrefix="0" xfId="0"/>
    <xf numFmtId="0" fontId="6" fillId="0" borderId="0" applyAlignment="1" pivotButton="0" quotePrefix="0" xfId="0">
      <alignment vertical="center"/>
    </xf>
    <xf numFmtId="172" fontId="6" fillId="5" borderId="3" applyAlignment="1" pivotButton="0" quotePrefix="0" xfId="0">
      <alignment vertical="center"/>
    </xf>
    <xf numFmtId="166" fontId="6" fillId="5" borderId="3" applyAlignment="1" pivotButton="0" quotePrefix="0" xfId="0">
      <alignment horizontal="center"/>
    </xf>
    <xf numFmtId="166" fontId="8" fillId="5" borderId="3" applyAlignment="1" pivotButton="0" quotePrefix="0" xfId="0">
      <alignment vertical="center"/>
    </xf>
    <xf numFmtId="1" fontId="6" fillId="5" borderId="3" applyAlignment="1" pivotButton="0" quotePrefix="0" xfId="0">
      <alignment horizontal="center"/>
    </xf>
    <xf numFmtId="1" fontId="8" fillId="5" borderId="3" applyAlignment="1" pivotButton="0" quotePrefix="0" xfId="0">
      <alignment vertical="center"/>
    </xf>
    <xf numFmtId="165" fontId="6" fillId="5" borderId="3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3" fontId="15" fillId="9" borderId="3" applyAlignment="1" pivotButton="0" quotePrefix="0" xfId="0">
      <alignment vertical="center"/>
    </xf>
    <xf numFmtId="0" fontId="6" fillId="5" borderId="3" applyAlignment="1" pivotButton="0" quotePrefix="0" xfId="0">
      <alignment horizontal="right" vertical="center"/>
    </xf>
    <xf numFmtId="165" fontId="15" fillId="9" borderId="3" applyAlignment="1" pivotButton="0" quotePrefix="0" xfId="0">
      <alignment vertical="center"/>
    </xf>
    <xf numFmtId="3" fontId="5" fillId="4" borderId="2" applyAlignment="1" applyProtection="1" pivotButton="0" quotePrefix="0" xfId="0">
      <alignment horizontal="right" vertical="center"/>
      <protection locked="0" hidden="0"/>
    </xf>
    <xf numFmtId="166" fontId="5" fillId="4" borderId="2" applyAlignment="1" applyProtection="1" pivotButton="0" quotePrefix="0" xfId="0">
      <alignment horizontal="right" vertical="center"/>
      <protection locked="0" hidden="0"/>
    </xf>
    <xf numFmtId="2" fontId="5" fillId="4" borderId="2" applyAlignment="1" applyProtection="1" pivotButton="0" quotePrefix="0" xfId="0">
      <alignment horizontal="right" vertical="center"/>
      <protection locked="0" hidden="0"/>
    </xf>
    <xf numFmtId="165" fontId="5" fillId="4" borderId="2" applyAlignment="1" applyProtection="1" pivotButton="0" quotePrefix="0" xfId="0">
      <alignment horizontal="right" vertical="center"/>
      <protection locked="0" hidden="0"/>
    </xf>
    <xf numFmtId="1" fontId="5" fillId="4" borderId="2" applyAlignment="1" applyProtection="1" pivotButton="0" quotePrefix="0" xfId="0">
      <alignment horizontal="right" vertical="center"/>
      <protection locked="0" hidden="0"/>
    </xf>
    <xf numFmtId="173" fontId="5" fillId="4" borderId="2" applyAlignment="1" applyProtection="1" pivotButton="0" quotePrefix="0" xfId="0">
      <alignment horizontal="right" vertical="center"/>
      <protection locked="0" hidden="0"/>
    </xf>
    <xf numFmtId="174" fontId="6" fillId="5" borderId="3" applyAlignment="1" pivotButton="0" quotePrefix="0" xfId="0">
      <alignment vertical="center"/>
    </xf>
    <xf numFmtId="0" fontId="4" fillId="10" borderId="0" applyAlignment="1" pivotButton="0" quotePrefix="0" xfId="0">
      <alignment horizontal="center" vertical="center"/>
    </xf>
    <xf numFmtId="165" fontId="6" fillId="5" borderId="3" applyAlignment="1" pivotButton="0" quotePrefix="0" xfId="0">
      <alignment horizontal="right"/>
    </xf>
    <xf numFmtId="3" fontId="6" fillId="5" borderId="3" applyAlignment="1" pivotButton="0" quotePrefix="0" xfId="0">
      <alignment horizontal="right"/>
    </xf>
    <xf numFmtId="175" fontId="8" fillId="5" borderId="3" applyAlignment="1" pivotButton="0" quotePrefix="0" xfId="0">
      <alignment vertical="center"/>
    </xf>
    <xf numFmtId="0" fontId="16" fillId="4" borderId="2" applyAlignment="1" applyProtection="1" pivotButton="0" quotePrefix="0" xfId="0">
      <alignment vertical="center"/>
      <protection locked="0" hidden="0"/>
    </xf>
    <xf numFmtId="176" fontId="5" fillId="4" borderId="2" applyAlignment="1" applyProtection="1" pivotButton="0" quotePrefix="0" xfId="0">
      <alignment horizontal="right" vertical="center"/>
      <protection locked="0" hidden="0"/>
    </xf>
    <xf numFmtId="176" fontId="6" fillId="5" borderId="3" applyAlignment="1" pivotButton="0" quotePrefix="0" xfId="0">
      <alignment vertical="center"/>
    </xf>
    <xf numFmtId="176" fontId="8" fillId="5" borderId="3" applyAlignment="1" pivotButton="0" quotePrefix="0" xfId="0">
      <alignment vertical="center"/>
    </xf>
    <xf numFmtId="0" fontId="6" fillId="5" borderId="3" applyAlignment="1" pivotButton="0" quotePrefix="0" xfId="0">
      <alignment horizontal="center"/>
    </xf>
    <xf numFmtId="177" fontId="5" fillId="4" borderId="2" applyAlignment="1" applyProtection="1" pivotButton="0" quotePrefix="0" xfId="0">
      <alignment horizontal="right" vertical="center"/>
      <protection locked="0" hidden="0"/>
    </xf>
    <xf numFmtId="178" fontId="6" fillId="5" borderId="3" applyAlignment="1" pivotButton="0" quotePrefix="0" xfId="0">
      <alignment vertical="center"/>
    </xf>
    <xf numFmtId="178" fontId="8" fillId="5" borderId="3" applyAlignment="1" pivotButton="0" quotePrefix="0" xfId="0">
      <alignment vertical="center"/>
    </xf>
    <xf numFmtId="179" fontId="6" fillId="5" borderId="3" applyAlignment="1" pivotButton="0" quotePrefix="0" xfId="0">
      <alignment vertical="center"/>
    </xf>
    <xf numFmtId="172" fontId="17" fillId="0" borderId="0" pivotButton="0" quotePrefix="0" xfId="0"/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5">
    <dxf>
      <font>
        <b val="1"/>
        <color rgb="008A4B00"/>
      </font>
      <fill>
        <patternFill patternType="solid">
          <fgColor rgb="00FFF1D6"/>
          <bgColor rgb="00FFF1D6"/>
        </patternFill>
      </fill>
    </dxf>
    <dxf>
      <font>
        <b val="1"/>
        <color rgb="00B42318"/>
      </font>
    </dxf>
    <dxf>
      <font>
        <b val="1"/>
        <color rgb="0017663A"/>
      </font>
    </dxf>
    <dxf>
      <font>
        <b val="1"/>
        <color rgb="0017663A"/>
      </font>
      <fill>
        <patternFill patternType="solid"/>
      </fill>
    </dxf>
    <dxf>
      <numFmt numFmtId="301" formatCode="&quot;$&quot;#,##0;[Red]-&quot;$&quot;#,##0;&quot;$&quot;0"/>
    </dxf>
    <dxf>
      <numFmt numFmtId="303" formatCode="&quot;£&quot;#,##0;[Red]-&quot;£&quot;#,##0;&quot;£&quot;0"/>
    </dxf>
    <dxf>
      <font>
        <b val="1"/>
        <color rgb="00B42318"/>
      </font>
      <fill>
        <patternFill patternType="solid">
          <fgColor rgb="00FDECEC"/>
          <bgColor rgb="00FDECEC"/>
        </patternFill>
      </fill>
    </dxf>
    <dxf>
      <font>
        <b val="1"/>
        <color rgb="00FFFFFF"/>
      </font>
      <fill>
        <patternFill patternType="solid">
          <fgColor rgb="00C0362C"/>
          <bgColor rgb="00C0362C"/>
        </patternFill>
      </fill>
    </dxf>
    <dxf>
      <font>
        <b val="1"/>
        <color rgb="0017663A"/>
      </font>
      <fill>
        <patternFill patternType="solid">
          <fgColor rgb="00E6F4EA"/>
          <bgColor rgb="00E6F4EA"/>
        </patternFill>
      </fill>
    </dxf>
    <dxf>
      <font>
        <b val="1"/>
        <color rgb="001E4E8C"/>
      </font>
      <fill>
        <patternFill patternType="solid">
          <fgColor rgb="00EAF2FB"/>
          <bgColor rgb="00EAF2FB"/>
        </patternFill>
      </fill>
    </dxf>
    <dxf>
      <numFmt numFmtId="300" formatCode="&quot;$&quot;#,##0.00;[Red]-&quot;$&quot;#,##0.00;&quot;$&quot;0.00"/>
    </dxf>
    <dxf>
      <numFmt numFmtId="302" formatCode="&quot;£&quot;#,##0.00;[Red]-&quot;£&quot;#,##0.00;&quot;£&quot;0.00"/>
    </dxf>
    <dxf>
      <font>
        <color rgb="00B42318"/>
      </font>
    </dxf>
    <dxf>
      <font>
        <color rgb="0017663A"/>
      </font>
      <fill>
        <patternFill patternType="solid">
          <fgColor rgb="00E6F4EA"/>
          <bgColor rgb="00E6F4EA"/>
        </patternFill>
      </fill>
    </dxf>
    <dxf>
      <font>
        <color rgb="006B72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v>Revenue</v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Report'!$B$8:$B$19</f>
            </numRef>
          </cat>
          <val>
            <numRef>
              <f>'Monthly Report'!$E$8:$E$19</f>
            </numRef>
          </val>
        </ser>
        <ser>
          <idx val="1"/>
          <order val="1"/>
          <tx>
            <v>Gross profit</v>
          </tx>
          <spPr>
            <a:solidFill xmlns:a="http://schemas.openxmlformats.org/drawingml/2006/main">
              <a:srgbClr val="5EAAA8"/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Report'!$B$8:$B$19</f>
            </numRef>
          </cat>
          <val>
            <numRef>
              <f>'Monthly Report'!$H$8:$H$19</f>
            </numRef>
          </val>
        </ser>
        <ser>
          <idx val="2"/>
          <order val="2"/>
          <tx>
            <v>Net profit</v>
          </tx>
          <spPr>
            <a:solidFill xmlns:a="http://schemas.openxmlformats.org/drawingml/2006/main">
              <a:srgbClr val="C2770E"/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Report'!$B$8:$B$19</f>
            </numRef>
          </cat>
          <val>
            <numRef>
              <f>'Monthly Report'!$P$8:$P$19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v>Amount</v>
          </tx>
          <spPr>
            <a:solidFill xmlns:a="http://schemas.openxmlformats.org/drawingml/2006/main">
              <a:srgbClr val="1E2A38"/>
            </a:solidFill>
            <a:ln xmlns:a="http://schemas.openxmlformats.org/drawingml/2006/main">
              <a:prstDash val="solid"/>
            </a:ln>
          </spPr>
          <cat>
            <numRef>
              <f>'Monthly Report'!$B$49:$B$55</f>
            </numRef>
          </cat>
          <val>
            <numRef>
              <f>'Monthly Report'!$G$49:$G$55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'Break-Even'!C51</f>
            </strRef>
          </tx>
          <spPr>
            <a:ln xmlns:a="http://schemas.openxmlformats.org/drawingml/2006/main" w="28000">
              <a:solidFill>
                <a:srgbClr val="0F76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'Break-Even'!$B$52:$B$62</f>
            </numRef>
          </cat>
          <val>
            <numRef>
              <f>'Break-Even'!$C$52:$C$62</f>
            </numRef>
          </val>
          <smooth val="0"/>
        </ser>
        <ser>
          <idx val="1"/>
          <order val="1"/>
          <tx>
            <strRef>
              <f>'Break-Even'!E51</f>
            </strRef>
          </tx>
          <spPr>
            <a:ln xmlns:a="http://schemas.openxmlformats.org/drawingml/2006/main" w="28000">
              <a:solidFill>
                <a:srgbClr val="C241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'Break-Even'!$B$52:$B$62</f>
            </numRef>
          </cat>
          <val>
            <numRef>
              <f>'Break-Even'!$E$52:$E$62</f>
            </numRef>
          </val>
          <smooth val="0"/>
        </ser>
        <ser>
          <idx val="2"/>
          <order val="2"/>
          <tx>
            <strRef>
              <f>'Break-Even'!F51</f>
            </strRef>
          </tx>
          <spPr>
            <a:ln xmlns:a="http://schemas.openxmlformats.org/drawingml/2006/main" w="28000">
              <a:solidFill>
                <a:srgbClr val="94A3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'Break-Even'!$B$52:$B$62</f>
            </numRef>
          </cat>
          <val>
            <numRef>
              <f>'Break-Even'!$F$52:$F$62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 sold per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 month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'Scenario Simulator'!I47</f>
            </strRef>
          </tx>
          <spPr>
            <a:solidFill xmlns:a="http://schemas.openxmlformats.org/drawingml/2006/main">
              <a:srgbClr val="94A3B8"/>
            </a:solidFill>
            <a:ln xmlns:a="http://schemas.openxmlformats.org/drawingml/2006/main">
              <a:prstDash val="solid"/>
            </a:ln>
          </spPr>
          <cat>
            <numRef>
              <f>'Scenario Simulator'!$H$48:$H$50</f>
            </numRef>
          </cat>
          <val>
            <numRef>
              <f>'Scenario Simulator'!$I$48:$I$50</f>
            </numRef>
          </val>
        </ser>
        <ser>
          <idx val="1"/>
          <order val="1"/>
          <tx>
            <strRef>
              <f>'Scenario Simulator'!J47</f>
            </strRef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prstDash val="solid"/>
            </a:ln>
          </spPr>
          <cat>
            <numRef>
              <f>'Scenario Simulator'!$H$48:$H$50</f>
            </numRef>
          </cat>
          <val>
            <numRef>
              <f>'Scenario Simulator'!$J$48:$J$50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4752000" cy="338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4752000" cy="338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29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52</row>
      <rowOff>0</rowOff>
    </from>
    <ext cx="61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C2770E"/>
    <outlinePr summaryBelow="1" summaryRight="1"/>
    <pageSetUpPr fitToPage="1"/>
  </sheetPr>
  <dimension ref="A1:F56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4" customWidth="1" min="2" max="2"/>
    <col width="26" customWidth="1" min="3" max="3"/>
    <col width="62" customWidth="1" min="4" max="4"/>
    <col width="16" customWidth="1" min="5" max="5"/>
    <col width="2.5" customWidth="1" min="6" max="6"/>
  </cols>
  <sheetData>
    <row r="1" ht="6" customHeight="1">
      <c r="A1" s="1" t="n"/>
      <c r="B1" s="1" t="n"/>
      <c r="C1" s="1" t="n"/>
      <c r="D1" s="1" t="n"/>
      <c r="E1" s="1" t="n"/>
      <c r="F1" s="1" t="n"/>
    </row>
    <row r="2" ht="34" customHeight="1">
      <c r="A2" s="2" t="n"/>
      <c r="B2" s="3" t="inlineStr">
        <is>
          <t>Food Truck Profit &amp; Pricing System PRO</t>
        </is>
      </c>
      <c r="F2" s="2" t="n"/>
    </row>
    <row r="3" ht="20" customHeight="1">
      <c r="A3" s="2" t="n"/>
      <c r="B3" s="4" t="inlineStr">
        <is>
          <t>by NoviraNest  ·  Version 1.0.0  ·  Works in Microsoft Excel and Google Sheets  ·  No macros</t>
        </is>
      </c>
      <c r="F3" s="2" t="n"/>
    </row>
    <row r="4" ht="14" customHeight="1">
      <c r="A4" s="2" t="n"/>
      <c r="B4" s="2" t="n"/>
      <c r="C4" s="2" t="n"/>
      <c r="D4" s="2" t="n"/>
      <c r="E4" s="2" t="n"/>
      <c r="F4" s="2" t="n"/>
    </row>
    <row r="6" ht="36" customHeight="1">
      <c r="B6" s="5" t="inlineStr">
        <is>
          <t>THIS IS YOUR CLEAN TEMPLATE. Every log is empty and ready for your data. Want to see it filled in first? Open the SAMPLE file.</t>
        </is>
      </c>
    </row>
    <row r="8" ht="24" customHeight="1">
      <c r="B8" s="6" t="inlineStr">
        <is>
          <t>Quick setup  (about 30 minutes, once)</t>
        </is>
      </c>
      <c r="C8" s="7" t="n"/>
      <c r="D8" s="7" t="n"/>
      <c r="E8" s="7" t="n"/>
    </row>
    <row r="9" ht="32" customHeight="1">
      <c r="B9" s="8" t="n">
        <v>1</v>
      </c>
      <c r="C9" s="9" t="inlineStr">
        <is>
          <t>Settings</t>
        </is>
      </c>
      <c r="D9" s="10" t="inlineStr">
        <is>
          <t>Business name, currency (USD or GBP), reporting year, labour rate, target margin and food cost %.</t>
        </is>
      </c>
    </row>
    <row r="10" ht="32" customHeight="1">
      <c r="B10" s="8" t="n">
        <v>2</v>
      </c>
      <c r="C10" s="9" t="inlineStr">
        <is>
          <t>Inventory</t>
        </is>
      </c>
      <c r="D10" s="10" t="inlineStr">
        <is>
          <t>List your ingredients: the unit you count them in, pack size and pack price. Cost per unit is automatic.</t>
        </is>
      </c>
    </row>
    <row r="11" ht="32" customHeight="1">
      <c r="B11" s="8" t="n">
        <v>3</v>
      </c>
      <c r="C11" s="9" t="inlineStr">
        <is>
          <t>Recipe Builder</t>
        </is>
      </c>
      <c r="D11" s="10" t="inlineStr">
        <is>
          <t>First add menu item names on Menu Pricing, then here list what goes into ONE serving. Units convert automatically.</t>
        </is>
      </c>
    </row>
    <row r="12" ht="32" customHeight="1">
      <c r="B12" s="8" t="n">
        <v>4</v>
      </c>
      <c r="C12" s="9" t="inlineStr">
        <is>
          <t>Menu Pricing</t>
        </is>
      </c>
      <c r="D12" s="10" t="inlineStr">
        <is>
          <t>Add packaging, prep minutes and your menu price. See the suggested price, margin, markup and status.</t>
        </is>
      </c>
    </row>
    <row r="13" ht="32" customHeight="1">
      <c r="B13" s="8" t="n">
        <v>5</v>
      </c>
      <c r="C13" s="9" t="inlineStr">
        <is>
          <t>Break-Even</t>
        </is>
      </c>
      <c r="D13" s="10" t="inlineStr">
        <is>
          <t>Type your monthly fixed costs once. The Dashboard then shows your break-even progress.</t>
        </is>
      </c>
    </row>
    <row r="14" ht="32" customHeight="1">
      <c r="B14" s="8" t="n">
        <v>6</v>
      </c>
      <c r="C14" s="9" t="inlineStr">
        <is>
          <t>Daily / weekly</t>
        </is>
      </c>
      <c r="D14" s="10" t="inlineStr">
        <is>
          <t>Log sales on the Sales Log, costs on Expenses and thrown-away food on the Waste Log. Then open the Dashboard.</t>
        </is>
      </c>
    </row>
    <row r="16" ht="24" customHeight="1">
      <c r="B16" s="6" t="inlineStr">
        <is>
          <t>What the colours mean</t>
        </is>
      </c>
      <c r="C16" s="7" t="n"/>
      <c r="D16" s="7" t="n"/>
      <c r="E16" s="7" t="n"/>
    </row>
    <row r="17" ht="20" customHeight="1">
      <c r="C17" s="11" t="inlineStr">
        <is>
          <t>Cream cell, blue text</t>
        </is>
      </c>
      <c r="D17" s="12" t="inlineStr">
        <is>
          <t>Type here. These are the only cells you need to fill in.</t>
        </is>
      </c>
    </row>
    <row r="18" ht="20" customHeight="1">
      <c r="C18" s="13" t="inlineStr">
        <is>
          <t>Grey cell</t>
        </is>
      </c>
      <c r="D18" s="12" t="inlineStr">
        <is>
          <t>Automatic formula. Please don't type over it.</t>
        </is>
      </c>
    </row>
    <row r="19" ht="20" customHeight="1">
      <c r="C19" s="14" t="inlineStr">
        <is>
          <t>Red / pink</t>
        </is>
      </c>
      <c r="D19" s="12" t="inlineStr">
        <is>
          <t>Something needs your attention (loss-making item, unit mismatch, bad row).</t>
        </is>
      </c>
    </row>
    <row r="20" ht="20" customHeight="1">
      <c r="C20" s="15" t="inlineStr">
        <is>
          <t>Blue box</t>
        </is>
      </c>
      <c r="D20" s="12" t="inlineStr">
        <is>
          <t>Instructions and explanations.</t>
        </is>
      </c>
    </row>
    <row r="22" ht="24" customHeight="1">
      <c r="B22" s="6" t="inlineStr">
        <is>
          <t>Sheet directory</t>
        </is>
      </c>
      <c r="C22" s="7" t="n"/>
      <c r="D22" s="7" t="n"/>
      <c r="E22" s="7" t="n"/>
    </row>
    <row r="23" ht="19" customHeight="1">
      <c r="C23" s="16" t="inlineStr">
        <is>
          <t>› Dashboard</t>
        </is>
      </c>
      <c r="D23" s="10" t="inlineStr">
        <is>
          <t>KPI cards, monthly chart, expense breakdown, best sellers, most profitable items, alerts.</t>
        </is>
      </c>
    </row>
    <row r="24" ht="19" customHeight="1">
      <c r="C24" s="16" t="inlineStr">
        <is>
          <t>› Settings</t>
        </is>
      </c>
      <c r="D24" s="10" t="inlineStr">
        <is>
          <t>Your business settings. Everything reads from here.</t>
        </is>
      </c>
    </row>
    <row r="25" ht="19" customHeight="1">
      <c r="C25" s="16" t="inlineStr">
        <is>
          <t>› Menu Pricing</t>
        </is>
      </c>
      <c r="D25" s="10" t="inlineStr">
        <is>
          <t>Smart pricing: cost per serving, suggested price, margin vs markup, food cost %, status, sales by item.</t>
        </is>
      </c>
    </row>
    <row r="26" ht="19" customHeight="1">
      <c r="C26" s="16" t="inlineStr">
        <is>
          <t>› Recipe Builder</t>
        </is>
      </c>
      <c r="D26" s="10" t="inlineStr">
        <is>
          <t>Ingredients per serving with automatic unit conversion and mismatch protection.</t>
        </is>
      </c>
    </row>
    <row r="27" ht="19" customHeight="1">
      <c r="C27" s="16" t="inlineStr">
        <is>
          <t>› Inventory</t>
        </is>
      </c>
      <c r="D27" s="10" t="inlineStr">
        <is>
          <t>Ingredient prices, estimated stock on hand, stock value and reorder alerts.</t>
        </is>
      </c>
    </row>
    <row r="28" ht="19" customHeight="1">
      <c r="C28" s="16" t="inlineStr">
        <is>
          <t>› Waste Log</t>
        </is>
      </c>
      <c r="D28" s="10" t="inlineStr">
        <is>
          <t>Food thrown away, valued automatically.</t>
        </is>
      </c>
    </row>
    <row r="29" ht="19" customHeight="1">
      <c r="C29" s="16" t="inlineStr">
        <is>
          <t>› Sales Log</t>
        </is>
      </c>
      <c r="D29" s="10" t="inlineStr">
        <is>
          <t>Every sale: revenue, cost and gross profit calculated for you (3,000 rows).</t>
        </is>
      </c>
    </row>
    <row r="30" ht="19" customHeight="1">
      <c r="C30" s="16" t="inlineStr">
        <is>
          <t>› Expenses</t>
        </is>
      </c>
      <c r="D30" s="10" t="inlineStr">
        <is>
          <t>Every business cost with a category (1,500 rows).</t>
        </is>
      </c>
    </row>
    <row r="31" ht="19" customHeight="1">
      <c r="C31" s="16" t="inlineStr">
        <is>
          <t>› Monthly Report</t>
        </is>
      </c>
      <c r="D31" s="10" t="inlineStr">
        <is>
          <t>Profit &amp; loss by month and the selected-period summary.</t>
        </is>
      </c>
    </row>
    <row r="32" ht="19" customHeight="1">
      <c r="C32" s="16" t="inlineStr">
        <is>
          <t>› Break-Even</t>
        </is>
      </c>
      <c r="D32" s="10" t="inlineStr">
        <is>
          <t>Break-even items and revenue, target profit, chart.</t>
        </is>
      </c>
    </row>
    <row r="33" ht="19" customHeight="1">
      <c r="C33" s="16" t="inlineStr">
        <is>
          <t>› Event Predictor</t>
        </is>
      </c>
      <c r="D33" s="10" t="inlineStr">
        <is>
          <t>Forecast an event (worst / base / best), then compare with actual results.</t>
        </is>
      </c>
    </row>
    <row r="34" ht="19" customHeight="1">
      <c r="C34" s="16" t="inlineStr">
        <is>
          <t>› Scenario Simulator</t>
        </is>
      </c>
      <c r="D34" s="10" t="inlineStr">
        <is>
          <t>What-if: ingredient inflation, price changes, busy/slow season, wage rises.</t>
        </is>
      </c>
    </row>
    <row r="35" ht="19" customHeight="1">
      <c r="C35" s="16" t="inlineStr">
        <is>
          <t>› Lists</t>
        </is>
      </c>
      <c r="D35" s="10" t="inlineStr">
        <is>
          <t>Units, expense categories and dropdown lists you can extend.</t>
        </is>
      </c>
    </row>
    <row r="37" ht="24" customHeight="1">
      <c r="B37" s="6" t="inlineStr">
        <is>
          <t>How the numbers work</t>
        </is>
      </c>
      <c r="C37" s="7" t="n"/>
      <c r="D37" s="7" t="n"/>
      <c r="E37" s="7" t="n"/>
    </row>
    <row r="38" ht="30" customHeight="1">
      <c r="C38" s="17" t="inlineStr">
        <is>
          <t>Revenue</t>
        </is>
      </c>
      <c r="D38" s="18" t="inlineStr">
        <is>
          <t>Items sold x price charged (menu price unless you typed a different price on the Sales Log).</t>
        </is>
      </c>
    </row>
    <row r="39" ht="30" customHeight="1">
      <c r="C39" s="17" t="inlineStr">
        <is>
          <t>COGS</t>
        </is>
      </c>
      <c r="D39" s="18" t="inlineStr">
        <is>
          <t>Cost of goods sold = items sold x (ingredients + packaging + other variable cost per serving). Labour is NOT in COGS.</t>
        </is>
      </c>
    </row>
    <row r="40" ht="18" customHeight="1">
      <c r="C40" s="17" t="inlineStr">
        <is>
          <t>Gross profit</t>
        </is>
      </c>
      <c r="D40" s="18" t="inlineStr">
        <is>
          <t>Revenue - COGS.  Gross margin = gross profit / revenue.</t>
        </is>
      </c>
    </row>
    <row r="41" ht="30" customHeight="1">
      <c r="C41" s="17" t="inlineStr">
        <is>
          <t>Net profit</t>
        </is>
      </c>
      <c r="D41" s="18" t="inlineStr">
        <is>
          <t>Gross profit - waste - operating expenses (fixed, labour, event fees, other variable). Before income tax.</t>
        </is>
      </c>
    </row>
    <row r="42" ht="44" customHeight="1">
      <c r="C42" s="17" t="inlineStr">
        <is>
          <t>Not double counted</t>
        </is>
      </c>
      <c r="D42" s="18" t="inlineStr">
        <is>
          <t>Ingredient purchases and owner's draw can be logged on Expenses but are excluded from profit: the food you used is already in COGS. Prep labour on Menu Pricing is a pricing allowance only; real wages go in Expenses.</t>
        </is>
      </c>
    </row>
    <row r="43" ht="30" customHeight="1">
      <c r="C43" s="17" t="inlineStr">
        <is>
          <t>Margin vs markup</t>
        </is>
      </c>
      <c r="D43" s="18" t="inlineStr">
        <is>
          <t>Margin = profit / PRICE.  Markup = profit / COST.  Cost 4.00, price 10.00 -&gt; margin 60%, markup 150%.</t>
        </is>
      </c>
    </row>
    <row r="44" ht="18" customHeight="1">
      <c r="C44" s="17" t="inlineStr">
        <is>
          <t>Food cost %</t>
        </is>
      </c>
      <c r="D44" s="18" t="inlineStr">
        <is>
          <t>Ingredient cost / menu price.</t>
        </is>
      </c>
    </row>
    <row r="45" ht="18" customHeight="1">
      <c r="C45" s="17" t="inlineStr">
        <is>
          <t>Break-even</t>
        </is>
      </c>
      <c r="D45" s="18" t="inlineStr">
        <is>
          <t>Monthly fixed costs / contribution per item (price - item cost - % fees).</t>
        </is>
      </c>
    </row>
    <row r="46" ht="30" customHeight="1">
      <c r="C46" s="17" t="inlineStr">
        <is>
          <t>Currency</t>
        </is>
      </c>
      <c r="D46" s="18" t="inlineStr">
        <is>
          <t>USD or GBP changes symbols only. Amounts are never converted with an exchange rate.</t>
        </is>
      </c>
    </row>
    <row r="47" ht="30" customHeight="1">
      <c r="C47" s="17" t="inlineStr">
        <is>
          <t>Forecasts</t>
        </is>
      </c>
      <c r="D47" s="18" t="inlineStr">
        <is>
          <t>Event Predictor and Scenario Simulator are estimates. They never change your actual figures.</t>
        </is>
      </c>
    </row>
    <row r="49" ht="24" customHeight="1">
      <c r="B49" s="6" t="inlineStr">
        <is>
          <t>Good to know</t>
        </is>
      </c>
      <c r="C49" s="7" t="n"/>
      <c r="D49" s="7" t="n"/>
      <c r="E49" s="7" t="n"/>
    </row>
    <row r="50" ht="30" customHeight="1">
      <c r="B50" s="19" t="inlineStr">
        <is>
          <t>•</t>
        </is>
      </c>
      <c r="C50" s="18" t="inlineStr">
        <is>
          <t>Need more rows? Select the last row of a log, copy it, and paste it below - the formulas come with it. Then extend the ranges named in the Sales/Expense formulas, or simply use the 3,000 / 1,500 rows provided.</t>
        </is>
      </c>
    </row>
    <row r="51" ht="30" customHeight="1">
      <c r="B51" s="19" t="inlineStr">
        <is>
          <t>•</t>
        </is>
      </c>
      <c r="C51" s="18" t="inlineStr">
        <is>
          <t>Google Sheets: File &gt; Import &gt; Upload, or open the .xlsx from Google Drive and choose File &gt; Save as Google Sheets. See the Quick-Start Guide PDF for what looks different in Google Sheets.</t>
        </is>
      </c>
    </row>
    <row r="52" ht="30" customHeight="1">
      <c r="B52" s="19" t="inlineStr">
        <is>
          <t>•</t>
        </is>
      </c>
      <c r="C52" s="18" t="inlineStr">
        <is>
          <t>Rows with a red 'Check' are NOT counted until fixed - the Dashboard 'Alerts' panel tells you how many.</t>
        </is>
      </c>
    </row>
    <row r="53" ht="30" customHeight="1">
      <c r="B53" s="19" t="inlineStr">
        <is>
          <t>•</t>
        </is>
      </c>
      <c r="C53" s="18" t="inlineStr">
        <is>
          <t>Back up your file regularly (Excel: Save a copy; Google Sheets: File &gt; Version history).</t>
        </is>
      </c>
    </row>
    <row r="54" ht="30" customHeight="1">
      <c r="B54" s="19" t="inlineStr">
        <is>
          <t>•</t>
        </is>
      </c>
      <c r="C54" s="18" t="inlineStr">
        <is>
          <t>This tool provides management estimates, not tax or accounting advice.</t>
        </is>
      </c>
    </row>
    <row r="56">
      <c r="B56" s="20" t="inlineStr">
        <is>
          <t>Version 1.0.0 (2026-10-26)  ·  © NoviraNest. Licensed for use by one business. Do not resell or share the file. See LICENSE.txt.</t>
        </is>
      </c>
    </row>
  </sheetData>
  <mergeCells count="47">
    <mergeCell ref="C54:E54"/>
    <mergeCell ref="D20:E20"/>
    <mergeCell ref="C50:E50"/>
    <mergeCell ref="D10:E10"/>
    <mergeCell ref="B49:E49"/>
    <mergeCell ref="D19:E19"/>
    <mergeCell ref="D34:E34"/>
    <mergeCell ref="B6:E6"/>
    <mergeCell ref="D46:E46"/>
    <mergeCell ref="D40:E40"/>
    <mergeCell ref="D31:E31"/>
    <mergeCell ref="D45:E45"/>
    <mergeCell ref="C51:E51"/>
    <mergeCell ref="C52:E52"/>
    <mergeCell ref="D11:E11"/>
    <mergeCell ref="D13:E13"/>
    <mergeCell ref="D27:E27"/>
    <mergeCell ref="B16:E16"/>
    <mergeCell ref="D32:E32"/>
    <mergeCell ref="B3:E3"/>
    <mergeCell ref="D41:E41"/>
    <mergeCell ref="D17:E17"/>
    <mergeCell ref="B22:E22"/>
    <mergeCell ref="D47:E47"/>
    <mergeCell ref="B56:E56"/>
    <mergeCell ref="C53:E53"/>
    <mergeCell ref="D43:E43"/>
    <mergeCell ref="D28:E28"/>
    <mergeCell ref="B2:E2"/>
    <mergeCell ref="D18:E18"/>
    <mergeCell ref="D9:E9"/>
    <mergeCell ref="D12:E12"/>
    <mergeCell ref="D39:E39"/>
    <mergeCell ref="D25:E25"/>
    <mergeCell ref="B8:E8"/>
    <mergeCell ref="D24:E24"/>
    <mergeCell ref="D30:E30"/>
    <mergeCell ref="D42:E42"/>
    <mergeCell ref="D33:E33"/>
    <mergeCell ref="D29:E29"/>
    <mergeCell ref="D23:E23"/>
    <mergeCell ref="D38:E38"/>
    <mergeCell ref="D14:E14"/>
    <mergeCell ref="B37:E37"/>
    <mergeCell ref="D26:E26"/>
    <mergeCell ref="D44:E44"/>
    <mergeCell ref="D35:E35"/>
  </mergeCells>
  <hyperlinks>
    <hyperlink ref="C9" location="'Settings'!A1" display="Settings"/>
    <hyperlink ref="C10" location="'Inventory'!A1" display="Inventory"/>
    <hyperlink ref="C11" location="'Recipe Builder'!A1" display="Recipe Builder"/>
    <hyperlink ref="C12" location="'Menu Pricing'!A1" display="Menu Pricing"/>
    <hyperlink ref="C13" location="'Break-Even'!A1" display="Break-Even"/>
    <hyperlink ref="C14" location="'Sales Log'!A1" display="Daily / weekly"/>
    <hyperlink ref="C23" location="'Dashboard'!A1" display="› Dashboard"/>
    <hyperlink ref="C24" location="'Settings'!A1" display="› Settings"/>
    <hyperlink ref="C25" location="'Menu Pricing'!A1" display="› Menu Pricing"/>
    <hyperlink ref="C26" location="'Recipe Builder'!A1" display="› Recipe Builder"/>
    <hyperlink ref="C27" location="'Inventory'!A1" display="› Inventory"/>
    <hyperlink ref="C28" location="'Waste Log'!A1" display="› Waste Log"/>
    <hyperlink ref="C29" location="'Sales Log'!A1" display="› Sales Log"/>
    <hyperlink ref="C30" location="'Expenses'!A1" display="› Expenses"/>
    <hyperlink ref="C31" location="'Monthly Report'!A1" display="› Monthly Report"/>
    <hyperlink ref="C32" location="'Break-Even'!A1" display="› Break-Even"/>
    <hyperlink ref="C33" location="'Event Predictor'!A1" display="› Event Predictor"/>
    <hyperlink ref="C34" location="'Scenario Simulator'!A1" display="› Scenario Simulator"/>
    <hyperlink ref="C35" location="'Lists'!A1" display="› Lists"/>
  </hyperlinks>
  <printOptions horizontalCentered="1"/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1E2A38"/>
    <outlinePr summaryBelow="1" summaryRight="1"/>
    <pageSetUpPr fitToPage="1"/>
  </sheetPr>
  <dimension ref="A1:R69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10.5" customWidth="1" min="2" max="2"/>
    <col width="10.5" customWidth="1" min="3" max="3"/>
    <col width="10.5" customWidth="1" min="4" max="4"/>
    <col width="2.2" customWidth="1" min="5" max="5"/>
    <col width="10.5" customWidth="1" min="6" max="6"/>
    <col width="10.5" customWidth="1" min="7" max="7"/>
    <col width="10.5" customWidth="1" min="8" max="8"/>
    <col width="2.2" customWidth="1" min="9" max="9"/>
    <col width="10.5" customWidth="1" min="10" max="10"/>
    <col width="10.5" customWidth="1" min="11" max="11"/>
    <col width="10.5" customWidth="1" min="12" max="12"/>
    <col width="2.2" customWidth="1" min="13" max="13"/>
    <col width="10.5" customWidth="1" min="14" max="14"/>
    <col width="10.5" customWidth="1" min="15" max="15"/>
    <col width="10.5" customWidth="1" min="16" max="16"/>
    <col width="2.2" customWidth="1" min="17" max="17"/>
    <col width="2.5" customWidth="1" min="18" max="18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0" customHeight="1">
      <c r="A2" s="2" t="n"/>
      <c r="B2" s="21">
        <f>cfg_Business</f>
        <v/>
      </c>
      <c r="M2" s="22" t="inlineStr">
        <is>
          <t>NoviraNest</t>
        </is>
      </c>
      <c r="Q2" s="2" t="n"/>
      <c r="R2" s="2" t="n"/>
    </row>
    <row r="3" ht="18" customHeight="1">
      <c r="A3" s="2" t="n"/>
      <c r="B3" s="4">
        <f>"Executive Dashboard  ·  "&amp;cfg_PeriodLabel&amp;"  ·  "&amp;cfg_Currency</f>
        <v/>
      </c>
      <c r="M3" s="23" t="inlineStr">
        <is>
          <t>Food Truck Profit &amp; Pricing PRO</t>
        </is>
      </c>
      <c r="Q3" s="2" t="n"/>
      <c r="R3" s="2" t="n"/>
    </row>
    <row r="4" ht="22" customHeight="1">
      <c r="A4" s="24" t="n"/>
      <c r="B4" s="25" t="inlineStr">
        <is>
          <t>› Start Here</t>
        </is>
      </c>
      <c r="C4" s="24" t="n"/>
      <c r="D4" s="25" t="inlineStr">
        <is>
          <t>› Settings</t>
        </is>
      </c>
      <c r="E4" s="24" t="n"/>
      <c r="F4" s="25" t="inlineStr">
        <is>
          <t>› Menu Pricing</t>
        </is>
      </c>
      <c r="G4" s="24" t="n"/>
      <c r="H4" s="25" t="inlineStr">
        <is>
          <t>› Sales Log</t>
        </is>
      </c>
      <c r="I4" s="24" t="n"/>
      <c r="J4" s="25" t="inlineStr">
        <is>
          <t>› Expenses</t>
        </is>
      </c>
      <c r="K4" s="24" t="n"/>
      <c r="L4" s="25" t="inlineStr">
        <is>
          <t>› Break-Even</t>
        </is>
      </c>
      <c r="M4" s="24" t="n"/>
      <c r="N4" s="25" t="inlineStr">
        <is>
          <t>› Event Predictor</t>
        </is>
      </c>
      <c r="O4" s="24" t="n"/>
      <c r="P4" s="25" t="inlineStr">
        <is>
          <t>› Scenario Simulator</t>
        </is>
      </c>
      <c r="Q4" s="24" t="n"/>
      <c r="R4" s="24" t="n"/>
    </row>
    <row r="5" ht="8" customHeight="1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</row>
    <row r="6" ht="26" customHeight="1">
      <c r="A6" s="24" t="n"/>
      <c r="B6" s="26">
        <f>IF(ps_lines=0,"No sales recorded for "&amp;cfg_PeriodLabel&amp;" yet. Start with Settings, then add your menu, and log sales on the Sales Log - this dashboard fills in automatically.",IF(ISNUMBER(SEARCH("DEMO",cfg_Business)),"SAMPLE DATA: fictional demo business for illustration only - not real results. Use the TEMPLATE file for your own business.",""))</f>
        <v/>
      </c>
      <c r="Q6" s="24" t="n"/>
      <c r="R6" s="24" t="n"/>
    </row>
    <row r="7" ht="8" customHeight="1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</row>
    <row r="8" ht="18" customHeight="1">
      <c r="A8" s="24" t="n"/>
      <c r="B8" s="27" t="inlineStr">
        <is>
          <t>TOTAL REVENUE</t>
        </is>
      </c>
      <c r="C8" s="28" t="n"/>
      <c r="D8" s="29" t="n"/>
      <c r="E8" s="24" t="n"/>
      <c r="F8" s="27" t="inlineStr">
        <is>
          <t>GROSS PROFIT</t>
        </is>
      </c>
      <c r="G8" s="28" t="n"/>
      <c r="H8" s="29" t="n"/>
      <c r="I8" s="24" t="n"/>
      <c r="J8" s="30" t="inlineStr">
        <is>
          <t>NET PROFIT</t>
        </is>
      </c>
      <c r="K8" s="31" t="n"/>
      <c r="L8" s="32" t="n"/>
      <c r="M8" s="24" t="n"/>
      <c r="N8" s="30" t="inlineStr">
        <is>
          <t>NET PROFIT MARGIN</t>
        </is>
      </c>
      <c r="O8" s="31" t="n"/>
      <c r="P8" s="32" t="n"/>
      <c r="Q8" s="24" t="n"/>
      <c r="R8" s="24" t="n"/>
    </row>
    <row r="9" ht="34" customHeight="1">
      <c r="A9" s="24" t="n"/>
      <c r="B9" s="33">
        <f>IF(N(ps_rev)&lt;0,"-","")&amp;cfg_Symbol&amp;TEXT(ABS(N(ps_rev)),"#,##0")</f>
        <v/>
      </c>
      <c r="C9" s="34" t="n"/>
      <c r="D9" s="35" t="n"/>
      <c r="E9" s="24" t="n"/>
      <c r="F9" s="33">
        <f>IF(N(ps_gp)&lt;0,"-","")&amp;cfg_Symbol&amp;TEXT(ABS(N(ps_gp)),"#,##0")</f>
        <v/>
      </c>
      <c r="G9" s="34" t="n"/>
      <c r="H9" s="35" t="n"/>
      <c r="I9" s="24" t="n"/>
      <c r="J9" s="33">
        <f>IF(N(ps_net)&lt;0,"-","")&amp;cfg_Symbol&amp;TEXT(ABS(N(ps_net)),"#,##0")</f>
        <v/>
      </c>
      <c r="K9" s="34" t="n"/>
      <c r="L9" s="35" t="n"/>
      <c r="M9" s="24" t="n"/>
      <c r="N9" s="33">
        <f>IF(ps_nm="","-",TEXT(ps_nm,"0.0%"))</f>
        <v/>
      </c>
      <c r="O9" s="34" t="n"/>
      <c r="P9" s="35" t="n"/>
      <c r="Q9" s="24" t="n"/>
      <c r="R9" s="24" t="n"/>
    </row>
    <row r="10" ht="26" customHeight="1">
      <c r="A10" s="24" t="n"/>
      <c r="B10" s="36">
        <f>TEXT(ps_items,"#,##0")&amp;" items sold · avg "&amp;cfg_Symbol&amp;TEXT(N(ps_avgp),"0.00")&amp;" per item"</f>
        <v/>
      </c>
      <c r="C10" s="37" t="n"/>
      <c r="D10" s="38" t="n"/>
      <c r="E10" s="24" t="n"/>
      <c r="F10" s="36">
        <f>IF(ps_gm="","Gross margin: -","Gross margin: "&amp;TEXT(ps_gm,"0.0%"))&amp;" · after food &amp; packaging"</f>
        <v/>
      </c>
      <c r="G10" s="37" t="n"/>
      <c r="H10" s="38" t="n"/>
      <c r="I10" s="24" t="n"/>
      <c r="J10" s="36">
        <f>"After waste and all operating expenses (before tax)"</f>
        <v/>
      </c>
      <c r="K10" s="37" t="n"/>
      <c r="L10" s="38" t="n"/>
      <c r="M10" s="24" t="n"/>
      <c r="N10" s="36">
        <f>"Net profit / revenue"</f>
        <v/>
      </c>
      <c r="O10" s="37" t="n"/>
      <c r="P10" s="38" t="n"/>
      <c r="Q10" s="24" t="n"/>
      <c r="R10" s="24" t="n"/>
    </row>
    <row r="11" ht="10" customHeight="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</row>
    <row r="12" ht="18" customHeight="1">
      <c r="A12" s="24" t="n"/>
      <c r="B12" s="39" t="inlineStr">
        <is>
          <t>MONTHLY OPERATING EXPENSES</t>
        </is>
      </c>
      <c r="C12" s="40" t="n"/>
      <c r="D12" s="41" t="n"/>
      <c r="E12" s="24" t="n"/>
      <c r="F12" s="39" t="inlineStr">
        <is>
          <t>COST OF GOODS SOLD</t>
        </is>
      </c>
      <c r="G12" s="40" t="n"/>
      <c r="H12" s="41" t="n"/>
      <c r="I12" s="24" t="n"/>
      <c r="J12" s="39" t="inlineStr">
        <is>
          <t>WASTE</t>
        </is>
      </c>
      <c r="K12" s="40" t="n"/>
      <c r="L12" s="41" t="n"/>
      <c r="M12" s="24" t="n"/>
      <c r="N12" s="39" t="inlineStr">
        <is>
          <t>BREAK-EVEN PROGRESS</t>
        </is>
      </c>
      <c r="O12" s="40" t="n"/>
      <c r="P12" s="41" t="n"/>
      <c r="Q12" s="24" t="n"/>
      <c r="R12" s="24" t="n"/>
    </row>
    <row r="13" ht="34" customHeight="1">
      <c r="A13" s="24" t="n"/>
      <c r="B13" s="33">
        <f>IF(N(ps_avgopex)&lt;0,"-","")&amp;cfg_Symbol&amp;TEXT(ABS(N(ps_avgopex)),"#,##0")</f>
        <v/>
      </c>
      <c r="C13" s="34" t="n"/>
      <c r="D13" s="35" t="n"/>
      <c r="E13" s="24" t="n"/>
      <c r="F13" s="33">
        <f>IF(N(ps_cogs)&lt;0,"-","")&amp;cfg_Symbol&amp;TEXT(ABS(N(ps_cogs)),"#,##0")</f>
        <v/>
      </c>
      <c r="G13" s="34" t="n"/>
      <c r="H13" s="35" t="n"/>
      <c r="I13" s="24" t="n"/>
      <c r="J13" s="33">
        <f>IF(N(ps_waste)&lt;0,"-","")&amp;cfg_Symbol&amp;TEXT(ABS(N(ps_waste)),"#,##0")</f>
        <v/>
      </c>
      <c r="K13" s="34" t="n"/>
      <c r="L13" s="35" t="n"/>
      <c r="M13" s="24" t="n"/>
      <c r="N13" s="33">
        <f>IF(ps_beprog="","Set up",TEXT(ps_beprog,"0%"))</f>
        <v/>
      </c>
      <c r="O13" s="34" t="n"/>
      <c r="P13" s="35" t="n"/>
      <c r="Q13" s="24" t="n"/>
      <c r="R13" s="24" t="n"/>
    </row>
    <row r="14" ht="26" customHeight="1">
      <c r="A14" s="24" t="n"/>
      <c r="B14" s="36">
        <f>IF(cfg_Months=1,"This month","Average of "&amp;ps_active&amp;" active month(s)")&amp;" · total "&amp;cfg_Symbol&amp;TEXT(ps_opex,"#,##0")</f>
        <v/>
      </c>
      <c r="C14" s="37" t="n"/>
      <c r="D14" s="38" t="n"/>
      <c r="E14" s="24" t="n"/>
      <c r="F14" s="36">
        <f>IF(N(ps_rev)=0,"Food + packaging + other variable","= "&amp;TEXT(ps_cogs/ps_rev,"0.0%")&amp;" of revenue (food + packaging)")</f>
        <v/>
      </c>
      <c r="G14" s="37" t="n"/>
      <c r="H14" s="38" t="n"/>
      <c r="I14" s="24" t="n"/>
      <c r="J14" s="36">
        <f>IF(N(ps_rev)=0,"Logged on the Waste Log",TEXT(ps_waste/ps_rev,"0.0%")&amp;" of revenue · from the Waste Log")</f>
        <v/>
      </c>
      <c r="K14" s="37" t="n"/>
      <c r="L14" s="38" t="n"/>
      <c r="M14" s="24" t="n"/>
      <c r="N14" s="36">
        <f>IF(ps_beprog="","Enter fixed costs on Break-Even",REPT("█",MIN(10,ROUND(ps_beprog*10,0)))&amp;REPT("░",MAX(0,10-ROUND(ps_beprog*10,0)))&amp;"  of "&amp;cfg_Symbol&amp;TEXT(ps_berev,"#,##0"))</f>
        <v/>
      </c>
      <c r="O14" s="37" t="n"/>
      <c r="P14" s="38" t="n"/>
      <c r="Q14" s="24" t="n"/>
      <c r="R14" s="24" t="n"/>
    </row>
    <row r="15" ht="10" customHeight="1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</row>
    <row r="16" ht="22" customHeight="1">
      <c r="A16" s="24" t="n"/>
      <c r="B16" s="42">
        <f>"MONTHLY PERFORMANCE  ·  "&amp;cfg_Year</f>
        <v/>
      </c>
      <c r="C16" s="7" t="n"/>
      <c r="D16" s="7" t="n"/>
      <c r="E16" s="7" t="n"/>
      <c r="F16" s="7" t="n"/>
      <c r="G16" s="7" t="n"/>
      <c r="H16" s="7" t="n"/>
      <c r="I16" s="24" t="n"/>
      <c r="J16" s="42">
        <f>"WHERE THE MONEY GOES  ·  "&amp;cfg_PeriodLabel</f>
        <v/>
      </c>
      <c r="K16" s="7" t="n"/>
      <c r="L16" s="7" t="n"/>
      <c r="M16" s="7" t="n"/>
      <c r="N16" s="7" t="n"/>
      <c r="O16" s="7" t="n"/>
      <c r="P16" s="7" t="n"/>
      <c r="Q16" s="24" t="n"/>
      <c r="R16" s="24" t="n"/>
    </row>
    <row r="17" ht="18" customHeight="1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</row>
    <row r="18" ht="18" customHeight="1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</row>
    <row r="19" ht="18" customHeight="1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</row>
    <row r="20" ht="18" customHeight="1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</row>
    <row r="21" ht="18" customHeight="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</row>
    <row r="22" ht="18" customHeight="1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</row>
    <row r="23" ht="18" customHeight="1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</row>
    <row r="24" ht="18" customHeight="1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</row>
    <row r="25" ht="18" customHeight="1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</row>
    <row r="26" ht="18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</row>
    <row r="27" ht="18" customHeight="1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</row>
    <row r="28" ht="18" customHeight="1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</row>
    <row r="30" ht="18" customHeight="1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</row>
    <row r="32" ht="10" customHeight="1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</row>
    <row r="33" ht="22" customHeight="1">
      <c r="A33" s="24" t="n"/>
      <c r="B33" s="42">
        <f>"BEST SELLERS  ·  "&amp;cfg_PeriodLabel</f>
        <v/>
      </c>
      <c r="C33" s="7" t="n"/>
      <c r="D33" s="7" t="n"/>
      <c r="E33" s="7" t="n"/>
      <c r="F33" s="7" t="n"/>
      <c r="G33" s="7" t="n"/>
      <c r="H33" s="7" t="n"/>
      <c r="I33" s="24" t="n"/>
      <c r="J33" s="42">
        <f>"MOST PROFITABLE ITEMS  ·  "&amp;cfg_PeriodLabel</f>
        <v/>
      </c>
      <c r="K33" s="7" t="n"/>
      <c r="L33" s="7" t="n"/>
      <c r="M33" s="7" t="n"/>
      <c r="N33" s="7" t="n"/>
      <c r="O33" s="7" t="n"/>
      <c r="P33" s="7" t="n"/>
      <c r="Q33" s="24" t="n"/>
      <c r="R33" s="24" t="n"/>
    </row>
    <row r="34">
      <c r="A34" s="24" t="n"/>
      <c r="B34" s="43" t="inlineStr">
        <is>
          <t>#  Menu item</t>
        </is>
      </c>
      <c r="C34" s="43" t="n"/>
      <c r="D34" s="43" t="n"/>
      <c r="E34" s="43" t="n"/>
      <c r="F34" s="43" t="inlineStr">
        <is>
          <t>Items sold</t>
        </is>
      </c>
      <c r="G34" s="43" t="n"/>
      <c r="H34" s="43">
        <f>"Revenue ("&amp;cfg_Symbol&amp;")"</f>
        <v/>
      </c>
      <c r="I34" s="24" t="n"/>
      <c r="J34" s="43" t="inlineStr">
        <is>
          <t>#  Menu item</t>
        </is>
      </c>
      <c r="K34" s="43" t="n"/>
      <c r="L34" s="43" t="n"/>
      <c r="M34" s="43" t="n"/>
      <c r="N34" s="43">
        <f>"Gross profit ("&amp;cfg_Symbol&amp;")"</f>
        <v/>
      </c>
      <c r="O34" s="43" t="n"/>
      <c r="P34" s="43" t="inlineStr">
        <is>
          <t>Status</t>
        </is>
      </c>
      <c r="Q34" s="24" t="n"/>
      <c r="R34" s="24" t="n"/>
    </row>
    <row r="35" ht="20" customHeight="1">
      <c r="A35" s="24" t="n"/>
      <c r="B35" s="44">
        <f>IFERROR(IF(AND(LARGE('Menu Pricing'!$Z$7:$Z$56,1)&gt;=1,INDEX('Menu Pricing'!$V$7:$V$56,MATCH(LARGE('Menu Pricing'!$Z$7:$Z$56,1),'Menu Pricing'!$Z$7:$Z$56,0))&gt;0),"1.  "&amp;INDEX('Menu Pricing'!$B$7:$B$56,MATCH(LARGE('Menu Pricing'!$Z$7:$Z$56,1),'Menu Pricing'!$Z$7:$Z$56,0)),IF(1=1,"No sales in this period yet","")),"")</f>
        <v/>
      </c>
      <c r="C35" s="45" t="n"/>
      <c r="D35" s="45" t="n"/>
      <c r="E35" s="45" t="n"/>
      <c r="F35" s="46">
        <f>IFERROR(IF(AND(LARGE('Menu Pricing'!$Z$7:$Z$56,1)&gt;=1,INDEX('Menu Pricing'!$V$7:$V$56,MATCH(LARGE('Menu Pricing'!$Z$7:$Z$56,1),'Menu Pricing'!$Z$7:$Z$56,0))&gt;0),INDEX('Menu Pricing'!$V$7:$V$56,MATCH(LARGE('Menu Pricing'!$Z$7:$Z$56,1),'Menu Pricing'!$Z$7:$Z$56,0)),""),"")</f>
        <v/>
      </c>
      <c r="G35" s="47" t="n"/>
      <c r="H35" s="47">
        <f>IFERROR(IF(AND(LARGE('Menu Pricing'!$Z$7:$Z$56,1)&gt;=1,INDEX('Menu Pricing'!$V$7:$V$56,MATCH(LARGE('Menu Pricing'!$Z$7:$Z$56,1),'Menu Pricing'!$Z$7:$Z$56,0))&gt;0),IF(N(INDEX('Menu Pricing'!$W$7:$W$56,MATCH(LARGE('Menu Pricing'!$Z$7:$Z$56,1),'Menu Pricing'!$Z$7:$Z$56,0)))&lt;0,"-","")&amp;cfg_Symbol&amp;TEXT(ABS(N(INDEX('Menu Pricing'!$W$7:$W$56,MATCH(LARGE('Menu Pricing'!$Z$7:$Z$56,1),'Menu Pricing'!$Z$7:$Z$56,0)))),"#,##0"),""),"")</f>
        <v/>
      </c>
      <c r="I35" s="24" t="n"/>
      <c r="J35" s="44">
        <f>IFERROR(IF(AND(LARGE('Menu Pricing'!$AA$7:$AA$56,1)&gt;-1E+14,INDEX('Menu Pricing'!$V$7:$V$56,MATCH(LARGE('Menu Pricing'!$AA$7:$AA$56,1),'Menu Pricing'!$AA$7:$AA$56,0))&gt;0),"1.  "&amp;INDEX('Menu Pricing'!$B$7:$B$56,MATCH(LARGE('Menu Pricing'!$AA$7:$AA$56,1),'Menu Pricing'!$AA$7:$AA$56,0)),IF(1=1,"No sales in this period yet","")),"")</f>
        <v/>
      </c>
      <c r="K35" s="45" t="n"/>
      <c r="L35" s="45" t="n"/>
      <c r="M35" s="45" t="n"/>
      <c r="N35" s="48">
        <f>IFERROR(IF(AND(LARGE('Menu Pricing'!$AA$7:$AA$56,1)&gt;-1E+14,INDEX('Menu Pricing'!$V$7:$V$56,MATCH(LARGE('Menu Pricing'!$AA$7:$AA$56,1),'Menu Pricing'!$AA$7:$AA$56,0))&gt;0),INDEX('Menu Pricing'!$X$7:$X$56,MATCH(LARGE('Menu Pricing'!$AA$7:$AA$56,1),'Menu Pricing'!$AA$7:$AA$56,0)),""),"")</f>
        <v/>
      </c>
      <c r="O35" s="47" t="n"/>
      <c r="P35" s="47">
        <f>IFERROR(IF(AND(LARGE('Menu Pricing'!$AA$7:$AA$56,1)&gt;-1E+14,INDEX('Menu Pricing'!$V$7:$V$56,MATCH(LARGE('Menu Pricing'!$AA$7:$AA$56,1),'Menu Pricing'!$AA$7:$AA$56,0))&gt;0),INDEX('Menu Pricing'!$T$7:$T$56,MATCH(LARGE('Menu Pricing'!$AA$7:$AA$56,1),'Menu Pricing'!$AA$7:$AA$56,0)),""),"")</f>
        <v/>
      </c>
      <c r="Q35" s="24" t="n"/>
      <c r="R35" s="24" t="n"/>
    </row>
    <row r="36" ht="20" customHeight="1">
      <c r="A36" s="24" t="n"/>
      <c r="B36" s="44">
        <f>IFERROR(IF(AND(LARGE('Menu Pricing'!$Z$7:$Z$56,2)&gt;=1,INDEX('Menu Pricing'!$V$7:$V$56,MATCH(LARGE('Menu Pricing'!$Z$7:$Z$56,2),'Menu Pricing'!$Z$7:$Z$56,0))&gt;0),"2.  "&amp;INDEX('Menu Pricing'!$B$7:$B$56,MATCH(LARGE('Menu Pricing'!$Z$7:$Z$56,2),'Menu Pricing'!$Z$7:$Z$56,0)),IF(2=1,"No sales in this period yet","")),"")</f>
        <v/>
      </c>
      <c r="C36" s="45" t="n"/>
      <c r="D36" s="45" t="n"/>
      <c r="E36" s="45" t="n"/>
      <c r="F36" s="46">
        <f>IFERROR(IF(AND(LARGE('Menu Pricing'!$Z$7:$Z$56,2)&gt;=1,INDEX('Menu Pricing'!$V$7:$V$56,MATCH(LARGE('Menu Pricing'!$Z$7:$Z$56,2),'Menu Pricing'!$Z$7:$Z$56,0))&gt;0),INDEX('Menu Pricing'!$V$7:$V$56,MATCH(LARGE('Menu Pricing'!$Z$7:$Z$56,2),'Menu Pricing'!$Z$7:$Z$56,0)),""),"")</f>
        <v/>
      </c>
      <c r="G36" s="47" t="n"/>
      <c r="H36" s="47">
        <f>IFERROR(IF(AND(LARGE('Menu Pricing'!$Z$7:$Z$56,2)&gt;=1,INDEX('Menu Pricing'!$V$7:$V$56,MATCH(LARGE('Menu Pricing'!$Z$7:$Z$56,2),'Menu Pricing'!$Z$7:$Z$56,0))&gt;0),IF(N(INDEX('Menu Pricing'!$W$7:$W$56,MATCH(LARGE('Menu Pricing'!$Z$7:$Z$56,2),'Menu Pricing'!$Z$7:$Z$56,0)))&lt;0,"-","")&amp;cfg_Symbol&amp;TEXT(ABS(N(INDEX('Menu Pricing'!$W$7:$W$56,MATCH(LARGE('Menu Pricing'!$Z$7:$Z$56,2),'Menu Pricing'!$Z$7:$Z$56,0)))),"#,##0"),""),"")</f>
        <v/>
      </c>
      <c r="I36" s="24" t="n"/>
      <c r="J36" s="44">
        <f>IFERROR(IF(AND(LARGE('Menu Pricing'!$AA$7:$AA$56,2)&gt;-1E+14,INDEX('Menu Pricing'!$V$7:$V$56,MATCH(LARGE('Menu Pricing'!$AA$7:$AA$56,2),'Menu Pricing'!$AA$7:$AA$56,0))&gt;0),"2.  "&amp;INDEX('Menu Pricing'!$B$7:$B$56,MATCH(LARGE('Menu Pricing'!$AA$7:$AA$56,2),'Menu Pricing'!$AA$7:$AA$56,0)),IF(2=1,"No sales in this period yet","")),"")</f>
        <v/>
      </c>
      <c r="K36" s="45" t="n"/>
      <c r="L36" s="45" t="n"/>
      <c r="M36" s="45" t="n"/>
      <c r="N36" s="48">
        <f>IFERROR(IF(AND(LARGE('Menu Pricing'!$AA$7:$AA$56,2)&gt;-1E+14,INDEX('Menu Pricing'!$V$7:$V$56,MATCH(LARGE('Menu Pricing'!$AA$7:$AA$56,2),'Menu Pricing'!$AA$7:$AA$56,0))&gt;0),INDEX('Menu Pricing'!$X$7:$X$56,MATCH(LARGE('Menu Pricing'!$AA$7:$AA$56,2),'Menu Pricing'!$AA$7:$AA$56,0)),""),"")</f>
        <v/>
      </c>
      <c r="O36" s="47" t="n"/>
      <c r="P36" s="47">
        <f>IFERROR(IF(AND(LARGE('Menu Pricing'!$AA$7:$AA$56,2)&gt;-1E+14,INDEX('Menu Pricing'!$V$7:$V$56,MATCH(LARGE('Menu Pricing'!$AA$7:$AA$56,2),'Menu Pricing'!$AA$7:$AA$56,0))&gt;0),INDEX('Menu Pricing'!$T$7:$T$56,MATCH(LARGE('Menu Pricing'!$AA$7:$AA$56,2),'Menu Pricing'!$AA$7:$AA$56,0)),""),"")</f>
        <v/>
      </c>
      <c r="Q36" s="24" t="n"/>
      <c r="R36" s="24" t="n"/>
    </row>
    <row r="37" ht="20" customHeight="1">
      <c r="A37" s="24" t="n"/>
      <c r="B37" s="44">
        <f>IFERROR(IF(AND(LARGE('Menu Pricing'!$Z$7:$Z$56,3)&gt;=1,INDEX('Menu Pricing'!$V$7:$V$56,MATCH(LARGE('Menu Pricing'!$Z$7:$Z$56,3),'Menu Pricing'!$Z$7:$Z$56,0))&gt;0),"3.  "&amp;INDEX('Menu Pricing'!$B$7:$B$56,MATCH(LARGE('Menu Pricing'!$Z$7:$Z$56,3),'Menu Pricing'!$Z$7:$Z$56,0)),IF(3=1,"No sales in this period yet","")),"")</f>
        <v/>
      </c>
      <c r="C37" s="45" t="n"/>
      <c r="D37" s="45" t="n"/>
      <c r="E37" s="45" t="n"/>
      <c r="F37" s="46">
        <f>IFERROR(IF(AND(LARGE('Menu Pricing'!$Z$7:$Z$56,3)&gt;=1,INDEX('Menu Pricing'!$V$7:$V$56,MATCH(LARGE('Menu Pricing'!$Z$7:$Z$56,3),'Menu Pricing'!$Z$7:$Z$56,0))&gt;0),INDEX('Menu Pricing'!$V$7:$V$56,MATCH(LARGE('Menu Pricing'!$Z$7:$Z$56,3),'Menu Pricing'!$Z$7:$Z$56,0)),""),"")</f>
        <v/>
      </c>
      <c r="G37" s="47" t="n"/>
      <c r="H37" s="47">
        <f>IFERROR(IF(AND(LARGE('Menu Pricing'!$Z$7:$Z$56,3)&gt;=1,INDEX('Menu Pricing'!$V$7:$V$56,MATCH(LARGE('Menu Pricing'!$Z$7:$Z$56,3),'Menu Pricing'!$Z$7:$Z$56,0))&gt;0),IF(N(INDEX('Menu Pricing'!$W$7:$W$56,MATCH(LARGE('Menu Pricing'!$Z$7:$Z$56,3),'Menu Pricing'!$Z$7:$Z$56,0)))&lt;0,"-","")&amp;cfg_Symbol&amp;TEXT(ABS(N(INDEX('Menu Pricing'!$W$7:$W$56,MATCH(LARGE('Menu Pricing'!$Z$7:$Z$56,3),'Menu Pricing'!$Z$7:$Z$56,0)))),"#,##0"),""),"")</f>
        <v/>
      </c>
      <c r="I37" s="24" t="n"/>
      <c r="J37" s="44">
        <f>IFERROR(IF(AND(LARGE('Menu Pricing'!$AA$7:$AA$56,3)&gt;-1E+14,INDEX('Menu Pricing'!$V$7:$V$56,MATCH(LARGE('Menu Pricing'!$AA$7:$AA$56,3),'Menu Pricing'!$AA$7:$AA$56,0))&gt;0),"3.  "&amp;INDEX('Menu Pricing'!$B$7:$B$56,MATCH(LARGE('Menu Pricing'!$AA$7:$AA$56,3),'Menu Pricing'!$AA$7:$AA$56,0)),IF(3=1,"No sales in this period yet","")),"")</f>
        <v/>
      </c>
      <c r="K37" s="45" t="n"/>
      <c r="L37" s="45" t="n"/>
      <c r="M37" s="45" t="n"/>
      <c r="N37" s="48">
        <f>IFERROR(IF(AND(LARGE('Menu Pricing'!$AA$7:$AA$56,3)&gt;-1E+14,INDEX('Menu Pricing'!$V$7:$V$56,MATCH(LARGE('Menu Pricing'!$AA$7:$AA$56,3),'Menu Pricing'!$AA$7:$AA$56,0))&gt;0),INDEX('Menu Pricing'!$X$7:$X$56,MATCH(LARGE('Menu Pricing'!$AA$7:$AA$56,3),'Menu Pricing'!$AA$7:$AA$56,0)),""),"")</f>
        <v/>
      </c>
      <c r="O37" s="47" t="n"/>
      <c r="P37" s="47">
        <f>IFERROR(IF(AND(LARGE('Menu Pricing'!$AA$7:$AA$56,3)&gt;-1E+14,INDEX('Menu Pricing'!$V$7:$V$56,MATCH(LARGE('Menu Pricing'!$AA$7:$AA$56,3),'Menu Pricing'!$AA$7:$AA$56,0))&gt;0),INDEX('Menu Pricing'!$T$7:$T$56,MATCH(LARGE('Menu Pricing'!$AA$7:$AA$56,3),'Menu Pricing'!$AA$7:$AA$56,0)),""),"")</f>
        <v/>
      </c>
      <c r="Q37" s="24" t="n"/>
      <c r="R37" s="24" t="n"/>
    </row>
    <row r="38" ht="20" customHeight="1">
      <c r="A38" s="24" t="n"/>
      <c r="B38" s="44">
        <f>IFERROR(IF(AND(LARGE('Menu Pricing'!$Z$7:$Z$56,4)&gt;=1,INDEX('Menu Pricing'!$V$7:$V$56,MATCH(LARGE('Menu Pricing'!$Z$7:$Z$56,4),'Menu Pricing'!$Z$7:$Z$56,0))&gt;0),"4.  "&amp;INDEX('Menu Pricing'!$B$7:$B$56,MATCH(LARGE('Menu Pricing'!$Z$7:$Z$56,4),'Menu Pricing'!$Z$7:$Z$56,0)),IF(4=1,"No sales in this period yet","")),"")</f>
        <v/>
      </c>
      <c r="C38" s="45" t="n"/>
      <c r="D38" s="45" t="n"/>
      <c r="E38" s="45" t="n"/>
      <c r="F38" s="46">
        <f>IFERROR(IF(AND(LARGE('Menu Pricing'!$Z$7:$Z$56,4)&gt;=1,INDEX('Menu Pricing'!$V$7:$V$56,MATCH(LARGE('Menu Pricing'!$Z$7:$Z$56,4),'Menu Pricing'!$Z$7:$Z$56,0))&gt;0),INDEX('Menu Pricing'!$V$7:$V$56,MATCH(LARGE('Menu Pricing'!$Z$7:$Z$56,4),'Menu Pricing'!$Z$7:$Z$56,0)),""),"")</f>
        <v/>
      </c>
      <c r="G38" s="47" t="n"/>
      <c r="H38" s="47">
        <f>IFERROR(IF(AND(LARGE('Menu Pricing'!$Z$7:$Z$56,4)&gt;=1,INDEX('Menu Pricing'!$V$7:$V$56,MATCH(LARGE('Menu Pricing'!$Z$7:$Z$56,4),'Menu Pricing'!$Z$7:$Z$56,0))&gt;0),IF(N(INDEX('Menu Pricing'!$W$7:$W$56,MATCH(LARGE('Menu Pricing'!$Z$7:$Z$56,4),'Menu Pricing'!$Z$7:$Z$56,0)))&lt;0,"-","")&amp;cfg_Symbol&amp;TEXT(ABS(N(INDEX('Menu Pricing'!$W$7:$W$56,MATCH(LARGE('Menu Pricing'!$Z$7:$Z$56,4),'Menu Pricing'!$Z$7:$Z$56,0)))),"#,##0"),""),"")</f>
        <v/>
      </c>
      <c r="I38" s="24" t="n"/>
      <c r="J38" s="44">
        <f>IFERROR(IF(AND(LARGE('Menu Pricing'!$AA$7:$AA$56,4)&gt;-1E+14,INDEX('Menu Pricing'!$V$7:$V$56,MATCH(LARGE('Menu Pricing'!$AA$7:$AA$56,4),'Menu Pricing'!$AA$7:$AA$56,0))&gt;0),"4.  "&amp;INDEX('Menu Pricing'!$B$7:$B$56,MATCH(LARGE('Menu Pricing'!$AA$7:$AA$56,4),'Menu Pricing'!$AA$7:$AA$56,0)),IF(4=1,"No sales in this period yet","")),"")</f>
        <v/>
      </c>
      <c r="K38" s="45" t="n"/>
      <c r="L38" s="45" t="n"/>
      <c r="M38" s="45" t="n"/>
      <c r="N38" s="48">
        <f>IFERROR(IF(AND(LARGE('Menu Pricing'!$AA$7:$AA$56,4)&gt;-1E+14,INDEX('Menu Pricing'!$V$7:$V$56,MATCH(LARGE('Menu Pricing'!$AA$7:$AA$56,4),'Menu Pricing'!$AA$7:$AA$56,0))&gt;0),INDEX('Menu Pricing'!$X$7:$X$56,MATCH(LARGE('Menu Pricing'!$AA$7:$AA$56,4),'Menu Pricing'!$AA$7:$AA$56,0)),""),"")</f>
        <v/>
      </c>
      <c r="O38" s="47" t="n"/>
      <c r="P38" s="47">
        <f>IFERROR(IF(AND(LARGE('Menu Pricing'!$AA$7:$AA$56,4)&gt;-1E+14,INDEX('Menu Pricing'!$V$7:$V$56,MATCH(LARGE('Menu Pricing'!$AA$7:$AA$56,4),'Menu Pricing'!$AA$7:$AA$56,0))&gt;0),INDEX('Menu Pricing'!$T$7:$T$56,MATCH(LARGE('Menu Pricing'!$AA$7:$AA$56,4),'Menu Pricing'!$AA$7:$AA$56,0)),""),"")</f>
        <v/>
      </c>
      <c r="Q38" s="24" t="n"/>
      <c r="R38" s="24" t="n"/>
    </row>
    <row r="39" ht="20" customHeight="1">
      <c r="A39" s="24" t="n"/>
      <c r="B39" s="44">
        <f>IFERROR(IF(AND(LARGE('Menu Pricing'!$Z$7:$Z$56,5)&gt;=1,INDEX('Menu Pricing'!$V$7:$V$56,MATCH(LARGE('Menu Pricing'!$Z$7:$Z$56,5),'Menu Pricing'!$Z$7:$Z$56,0))&gt;0),"5.  "&amp;INDEX('Menu Pricing'!$B$7:$B$56,MATCH(LARGE('Menu Pricing'!$Z$7:$Z$56,5),'Menu Pricing'!$Z$7:$Z$56,0)),IF(5=1,"No sales in this period yet","")),"")</f>
        <v/>
      </c>
      <c r="C39" s="45" t="n"/>
      <c r="D39" s="45" t="n"/>
      <c r="E39" s="45" t="n"/>
      <c r="F39" s="46">
        <f>IFERROR(IF(AND(LARGE('Menu Pricing'!$Z$7:$Z$56,5)&gt;=1,INDEX('Menu Pricing'!$V$7:$V$56,MATCH(LARGE('Menu Pricing'!$Z$7:$Z$56,5),'Menu Pricing'!$Z$7:$Z$56,0))&gt;0),INDEX('Menu Pricing'!$V$7:$V$56,MATCH(LARGE('Menu Pricing'!$Z$7:$Z$56,5),'Menu Pricing'!$Z$7:$Z$56,0)),""),"")</f>
        <v/>
      </c>
      <c r="G39" s="47" t="n"/>
      <c r="H39" s="47">
        <f>IFERROR(IF(AND(LARGE('Menu Pricing'!$Z$7:$Z$56,5)&gt;=1,INDEX('Menu Pricing'!$V$7:$V$56,MATCH(LARGE('Menu Pricing'!$Z$7:$Z$56,5),'Menu Pricing'!$Z$7:$Z$56,0))&gt;0),IF(N(INDEX('Menu Pricing'!$W$7:$W$56,MATCH(LARGE('Menu Pricing'!$Z$7:$Z$56,5),'Menu Pricing'!$Z$7:$Z$56,0)))&lt;0,"-","")&amp;cfg_Symbol&amp;TEXT(ABS(N(INDEX('Menu Pricing'!$W$7:$W$56,MATCH(LARGE('Menu Pricing'!$Z$7:$Z$56,5),'Menu Pricing'!$Z$7:$Z$56,0)))),"#,##0"),""),"")</f>
        <v/>
      </c>
      <c r="I39" s="24" t="n"/>
      <c r="J39" s="44">
        <f>IFERROR(IF(AND(LARGE('Menu Pricing'!$AA$7:$AA$56,5)&gt;-1E+14,INDEX('Menu Pricing'!$V$7:$V$56,MATCH(LARGE('Menu Pricing'!$AA$7:$AA$56,5),'Menu Pricing'!$AA$7:$AA$56,0))&gt;0),"5.  "&amp;INDEX('Menu Pricing'!$B$7:$B$56,MATCH(LARGE('Menu Pricing'!$AA$7:$AA$56,5),'Menu Pricing'!$AA$7:$AA$56,0)),IF(5=1,"No sales in this period yet","")),"")</f>
        <v/>
      </c>
      <c r="K39" s="45" t="n"/>
      <c r="L39" s="45" t="n"/>
      <c r="M39" s="45" t="n"/>
      <c r="N39" s="48">
        <f>IFERROR(IF(AND(LARGE('Menu Pricing'!$AA$7:$AA$56,5)&gt;-1E+14,INDEX('Menu Pricing'!$V$7:$V$56,MATCH(LARGE('Menu Pricing'!$AA$7:$AA$56,5),'Menu Pricing'!$AA$7:$AA$56,0))&gt;0),INDEX('Menu Pricing'!$X$7:$X$56,MATCH(LARGE('Menu Pricing'!$AA$7:$AA$56,5),'Menu Pricing'!$AA$7:$AA$56,0)),""),"")</f>
        <v/>
      </c>
      <c r="O39" s="47" t="n"/>
      <c r="P39" s="47">
        <f>IFERROR(IF(AND(LARGE('Menu Pricing'!$AA$7:$AA$56,5)&gt;-1E+14,INDEX('Menu Pricing'!$V$7:$V$56,MATCH(LARGE('Menu Pricing'!$AA$7:$AA$56,5),'Menu Pricing'!$AA$7:$AA$56,0))&gt;0),INDEX('Menu Pricing'!$T$7:$T$56,MATCH(LARGE('Menu Pricing'!$AA$7:$AA$56,5),'Menu Pricing'!$AA$7:$AA$56,0)),""),"")</f>
        <v/>
      </c>
      <c r="Q39" s="24" t="n"/>
      <c r="R39" s="24" t="n"/>
    </row>
    <row r="40" ht="10" customHeight="1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</row>
    <row r="41" ht="22" customHeight="1">
      <c r="A41" s="24" t="n"/>
      <c r="B41" s="42" t="inlineStr">
        <is>
          <t>ALERTS &amp; DATA CHECKS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24" t="n"/>
      <c r="R41" s="24" t="n"/>
    </row>
    <row r="42" ht="20" customHeight="1">
      <c r="A42" s="24" t="n"/>
      <c r="B42" s="49">
        <f>COUNTIF('Menu Pricing'!$T$7:$T$56,"LOSS")</f>
        <v/>
      </c>
      <c r="C42" s="50" t="inlineStr">
        <is>
          <t>menu item(s) priced BELOW cost</t>
        </is>
      </c>
      <c r="D42" s="51" t="n"/>
      <c r="E42" s="51" t="n"/>
      <c r="F42" s="51" t="n"/>
      <c r="G42" s="51" t="n"/>
      <c r="H42" s="52" t="inlineStr">
        <is>
          <t>Open ›</t>
        </is>
      </c>
      <c r="I42" s="24" t="n"/>
      <c r="J42" s="49">
        <f>SUMPRODUCT(('Recipe Builder'!$G$7:$G$406&lt;&gt;"")*('Recipe Builder'!$G$7:$G$406&lt;&gt;"OK"))</f>
        <v/>
      </c>
      <c r="K42" s="50" t="inlineStr">
        <is>
          <t>recipe line(s) with a unit or setup problem</t>
        </is>
      </c>
      <c r="L42" s="51" t="n"/>
      <c r="M42" s="51" t="n"/>
      <c r="N42" s="51" t="n"/>
      <c r="O42" s="51" t="n"/>
      <c r="P42" s="52" t="inlineStr">
        <is>
          <t>Open ›</t>
        </is>
      </c>
      <c r="Q42" s="24" t="n"/>
      <c r="R42" s="24" t="n"/>
    </row>
    <row r="43" ht="20" customHeight="1">
      <c r="A43" s="24" t="n"/>
      <c r="B43" s="49">
        <f>COUNTIF('Menu Pricing'!$T$7:$T$56,"Below target")</f>
        <v/>
      </c>
      <c r="C43" s="50" t="inlineStr">
        <is>
          <t>menu item(s) below your target margin</t>
        </is>
      </c>
      <c r="D43" s="51" t="n"/>
      <c r="E43" s="51" t="n"/>
      <c r="F43" s="51" t="n"/>
      <c r="G43" s="51" t="n"/>
      <c r="H43" s="52" t="inlineStr">
        <is>
          <t>Open ›</t>
        </is>
      </c>
      <c r="I43" s="24" t="n"/>
      <c r="J43" s="49">
        <f>SUMPRODUCT(('Sales Log'!$N$7:$N$3006&lt;&gt;"")*('Sales Log'!$N$7:$N$3006&lt;&gt;"OK"))</f>
        <v/>
      </c>
      <c r="K43" s="50" t="inlineStr">
        <is>
          <t>sales row(s) that need fixing (not counted)</t>
        </is>
      </c>
      <c r="L43" s="51" t="n"/>
      <c r="M43" s="51" t="n"/>
      <c r="N43" s="51" t="n"/>
      <c r="O43" s="51" t="n"/>
      <c r="P43" s="52" t="inlineStr">
        <is>
          <t>Open ›</t>
        </is>
      </c>
      <c r="Q43" s="24" t="n"/>
      <c r="R43" s="24" t="n"/>
    </row>
    <row r="44" ht="20" customHeight="1">
      <c r="A44" s="24" t="n"/>
      <c r="B44" s="49">
        <f>COUNTIF('Inventory'!$P$7:$P$106,"Reorder")</f>
        <v/>
      </c>
      <c r="C44" s="50" t="inlineStr">
        <is>
          <t>ingredient(s) at or below reorder level</t>
        </is>
      </c>
      <c r="D44" s="51" t="n"/>
      <c r="E44" s="51" t="n"/>
      <c r="F44" s="51" t="n"/>
      <c r="G44" s="51" t="n"/>
      <c r="H44" s="52" t="inlineStr">
        <is>
          <t>Open ›</t>
        </is>
      </c>
      <c r="I44" s="24" t="n"/>
      <c r="J44" s="49">
        <f>ps_unclassified</f>
        <v/>
      </c>
      <c r="K44" s="50" t="inlineStr">
        <is>
          <t>expense row(s) that need fixing (not counted)</t>
        </is>
      </c>
      <c r="L44" s="51" t="n"/>
      <c r="M44" s="51" t="n"/>
      <c r="N44" s="51" t="n"/>
      <c r="O44" s="51" t="n"/>
      <c r="P44" s="52" t="inlineStr">
        <is>
          <t>Open ›</t>
        </is>
      </c>
      <c r="Q44" s="24" t="n"/>
      <c r="R44" s="24" t="n"/>
    </row>
    <row r="45" ht="20" customHeight="1">
      <c r="A45" s="24" t="n"/>
      <c r="B45" s="49">
        <f>COUNTIF('Inventory'!$P$7:$P$106,"Recount (negative)")</f>
        <v/>
      </c>
      <c r="C45" s="50" t="inlineStr">
        <is>
          <t>ingredient(s) with negative stock - recount</t>
        </is>
      </c>
      <c r="D45" s="51" t="n"/>
      <c r="E45" s="51" t="n"/>
      <c r="F45" s="51" t="n"/>
      <c r="G45" s="51" t="n"/>
      <c r="H45" s="52" t="inlineStr">
        <is>
          <t>Open ›</t>
        </is>
      </c>
      <c r="I45" s="24" t="n"/>
      <c r="J45" s="49">
        <f>SUMPRODUCT(('Waste Log'!$H$7:$H$506&lt;&gt;"")*('Waste Log'!$H$7:$H$506&lt;&gt;"OK"))</f>
        <v/>
      </c>
      <c r="K45" s="50" t="inlineStr">
        <is>
          <t>waste row(s) that need fixing (not counted)</t>
        </is>
      </c>
      <c r="L45" s="51" t="n"/>
      <c r="M45" s="51" t="n"/>
      <c r="N45" s="51" t="n"/>
      <c r="O45" s="51" t="n"/>
      <c r="P45" s="52" t="inlineStr">
        <is>
          <t>Open ›</t>
        </is>
      </c>
      <c r="Q45" s="24" t="n"/>
      <c r="R45" s="24" t="n"/>
    </row>
    <row r="46" ht="10" customHeight="1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</row>
    <row r="47" ht="26" customHeight="1">
      <c r="A47" s="24" t="n"/>
      <c r="B47" s="53">
        <f>"Profit model: Revenue - COGS (recipe cost x items sold) = Gross profit; minus waste and operating expenses = Net profit. Ingredient purchases and owner's draw are excluded so nothing is counted twice.  ·  NoviraNest v1.0.0"</f>
        <v/>
      </c>
      <c r="Q47" s="24" t="n"/>
      <c r="R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7">
    <mergeCell ref="N35:O35"/>
    <mergeCell ref="B14:D14"/>
    <mergeCell ref="M3:P3"/>
    <mergeCell ref="B37:E37"/>
    <mergeCell ref="B8:D8"/>
    <mergeCell ref="C42:G42"/>
    <mergeCell ref="N14:P14"/>
    <mergeCell ref="B3:L3"/>
    <mergeCell ref="F34:G34"/>
    <mergeCell ref="F8:H8"/>
    <mergeCell ref="B13:D13"/>
    <mergeCell ref="N8:P8"/>
    <mergeCell ref="B33:H33"/>
    <mergeCell ref="C45:G45"/>
    <mergeCell ref="N37:O37"/>
    <mergeCell ref="K45:O45"/>
    <mergeCell ref="B36:E36"/>
    <mergeCell ref="B10:D10"/>
    <mergeCell ref="J33:P33"/>
    <mergeCell ref="B35:E35"/>
    <mergeCell ref="N10:P10"/>
    <mergeCell ref="F13:H13"/>
    <mergeCell ref="J39:M39"/>
    <mergeCell ref="N13:P13"/>
    <mergeCell ref="B2:L2"/>
    <mergeCell ref="B9:D9"/>
    <mergeCell ref="C44:G44"/>
    <mergeCell ref="N9:P9"/>
    <mergeCell ref="B16:H16"/>
    <mergeCell ref="F36:G36"/>
    <mergeCell ref="F9:H9"/>
    <mergeCell ref="J38:M38"/>
    <mergeCell ref="J12:L12"/>
    <mergeCell ref="K44:O44"/>
    <mergeCell ref="N39:O39"/>
    <mergeCell ref="F35:G35"/>
    <mergeCell ref="J37:M37"/>
    <mergeCell ref="B6:P6"/>
    <mergeCell ref="C43:G43"/>
    <mergeCell ref="F14:H14"/>
    <mergeCell ref="F38:G38"/>
    <mergeCell ref="K43:O43"/>
    <mergeCell ref="J16:P16"/>
    <mergeCell ref="N38:O38"/>
    <mergeCell ref="J34:M34"/>
    <mergeCell ref="B39:E39"/>
    <mergeCell ref="J8:L8"/>
    <mergeCell ref="B12:D12"/>
    <mergeCell ref="M2:P2"/>
    <mergeCell ref="B41:P41"/>
    <mergeCell ref="K42:O42"/>
    <mergeCell ref="F10:H10"/>
    <mergeCell ref="F37:G37"/>
    <mergeCell ref="F39:G39"/>
    <mergeCell ref="J14:L14"/>
    <mergeCell ref="J36:M36"/>
    <mergeCell ref="J10:L10"/>
    <mergeCell ref="N34:O34"/>
    <mergeCell ref="B47:P47"/>
    <mergeCell ref="J13:L13"/>
    <mergeCell ref="J35:M35"/>
    <mergeCell ref="B38:E38"/>
    <mergeCell ref="F12:H12"/>
    <mergeCell ref="B34:E34"/>
    <mergeCell ref="J9:L9"/>
    <mergeCell ref="N12:P12"/>
    <mergeCell ref="N36:O36"/>
  </mergeCells>
  <conditionalFormatting sqref="B6:P6">
    <cfRule type="expression" priority="1" dxfId="0">
      <formula>LEN($B$6)&gt;0</formula>
    </cfRule>
  </conditionalFormatting>
  <conditionalFormatting sqref="J9">
    <cfRule type="expression" priority="2" dxfId="1">
      <formula>ps_net&lt;0</formula>
    </cfRule>
    <cfRule type="expression" priority="3" dxfId="2">
      <formula>ps_net&gt;0</formula>
    </cfRule>
  </conditionalFormatting>
  <conditionalFormatting sqref="N9">
    <cfRule type="expression" priority="4" dxfId="1">
      <formula>AND(ISNUMBER(ps_nm),ps_nm&lt;0)</formula>
    </cfRule>
  </conditionalFormatting>
  <conditionalFormatting sqref="N13">
    <cfRule type="expression" priority="5" dxfId="2">
      <formula>AND(ISNUMBER(ps_beprog),ps_beprog&gt;=1)</formula>
    </cfRule>
    <cfRule type="expression" priority="6" dxfId="1">
      <formula>AND(ISNUMBER(ps_beprog),ps_beprog&lt;1)</formula>
    </cfRule>
  </conditionalFormatting>
  <conditionalFormatting sqref="H35:H39">
    <cfRule type="expression" priority="7" dxfId="3">
      <formula>H35="Healthy"</formula>
    </cfRule>
    <cfRule type="expression" priority="8" dxfId="1">
      <formula>OR(H35="LOSS",H35="Below target",H35="High food cost")</formula>
    </cfRule>
  </conditionalFormatting>
  <conditionalFormatting sqref="P35:P39">
    <cfRule type="expression" priority="9" dxfId="3">
      <formula>P35="Healthy"</formula>
    </cfRule>
    <cfRule type="expression" priority="10" dxfId="1">
      <formula>OR(P35="LOSS",P35="Below target",P35="High food cost")</formula>
    </cfRule>
  </conditionalFormatting>
  <conditionalFormatting sqref="N35:O39">
    <cfRule type="expression" priority="11" dxfId="4">
      <formula>cfg_Currency="USD"</formula>
    </cfRule>
    <cfRule type="expression" priority="12" dxfId="5">
      <formula>cfg_Currency="GBP"</formula>
    </cfRule>
  </conditionalFormatting>
  <conditionalFormatting sqref="B42">
    <cfRule type="expression" priority="13" dxfId="6">
      <formula>B42&gt;0</formula>
    </cfRule>
  </conditionalFormatting>
  <conditionalFormatting sqref="B43">
    <cfRule type="expression" priority="14" dxfId="6">
      <formula>B43&gt;0</formula>
    </cfRule>
  </conditionalFormatting>
  <conditionalFormatting sqref="B44">
    <cfRule type="expression" priority="15" dxfId="6">
      <formula>B44&gt;0</formula>
    </cfRule>
  </conditionalFormatting>
  <conditionalFormatting sqref="B45">
    <cfRule type="expression" priority="16" dxfId="6">
      <formula>B45&gt;0</formula>
    </cfRule>
  </conditionalFormatting>
  <conditionalFormatting sqref="J42">
    <cfRule type="expression" priority="17" dxfId="6">
      <formula>J42&gt;0</formula>
    </cfRule>
  </conditionalFormatting>
  <conditionalFormatting sqref="J43">
    <cfRule type="expression" priority="18" dxfId="6">
      <formula>J43&gt;0</formula>
    </cfRule>
  </conditionalFormatting>
  <conditionalFormatting sqref="J44">
    <cfRule type="expression" priority="19" dxfId="6">
      <formula>J44&gt;0</formula>
    </cfRule>
  </conditionalFormatting>
  <conditionalFormatting sqref="J45">
    <cfRule type="expression" priority="20" dxfId="6">
      <formula>J45&gt;0</formula>
    </cfRule>
  </conditionalFormatting>
  <hyperlinks>
    <hyperlink ref="B4" location="'Start Here'!A1" display="› Start Here"/>
    <hyperlink ref="D4" location="'Settings'!A1" display="› Settings"/>
    <hyperlink ref="F4" location="'Menu Pricing'!A1" display="› Menu Pricing"/>
    <hyperlink ref="H4" location="'Sales Log'!A1" display="› Sales Log"/>
    <hyperlink ref="J4" location="'Expenses'!A1" display="› Expenses"/>
    <hyperlink ref="L4" location="'Break-Even'!A1" display="› Break-Even"/>
    <hyperlink ref="N4" location="'Event Predictor'!A1" display="› Event Predictor"/>
    <hyperlink ref="P4" location="'Scenario Simulator'!A1" display="› Scenario Simulator"/>
    <hyperlink ref="H42" location="'Menu Pricing'!A1" display="Open ›"/>
    <hyperlink ref="P42" location="'Recipe Builder'!A1" display="Open ›"/>
    <hyperlink ref="H43" location="'Menu Pricing'!A1" display="Open ›"/>
    <hyperlink ref="P43" location="'Sales Log'!A1" display="Open ›"/>
    <hyperlink ref="H44" location="'Inventory'!A1" display="Open ›"/>
    <hyperlink ref="P44" location="'Expenses'!A1" display="Open ›"/>
    <hyperlink ref="H45" location="'Inventory'!A1" display="Open ›"/>
    <hyperlink ref="P45" location="'Waste Log'!A1" display="Open ›"/>
  </hyperlink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G34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38" customWidth="1" min="2" max="2"/>
    <col width="46" customWidth="1" min="3" max="3"/>
    <col width="3" customWidth="1" min="4" max="4"/>
    <col width="74" customWidth="1" min="5" max="5"/>
    <col width="3" customWidth="1" min="6" max="6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B2" s="54" t="inlineStr">
        <is>
          <t>Settings</t>
        </is>
      </c>
      <c r="F2" s="55" t="inlineStr">
        <is>
          <t>NoviraNest</t>
        </is>
      </c>
    </row>
    <row r="3" ht="18" customHeight="1">
      <c r="B3" s="56" t="inlineStr">
        <is>
          <t>Set these once. Every sheet reads from here.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D4" s="57" t="inlineStr">
        <is>
          <t>› Menu Pricing</t>
        </is>
      </c>
    </row>
    <row r="5" ht="20" customHeight="1">
      <c r="B5" s="58" t="inlineStr">
        <is>
          <t>Setting</t>
        </is>
      </c>
      <c r="C5" s="58" t="inlineStr">
        <is>
          <t>Your value</t>
        </is>
      </c>
      <c r="E5" s="58" t="inlineStr">
        <is>
          <t>What it does</t>
        </is>
      </c>
    </row>
    <row r="6" ht="22" customHeight="1">
      <c r="B6" s="59" t="inlineStr">
        <is>
          <t>Business name</t>
        </is>
      </c>
      <c r="C6" s="60" t="inlineStr">
        <is>
          <t>Your Food Truck Name</t>
        </is>
      </c>
      <c r="E6" s="61" t="inlineStr">
        <is>
          <t>Shown on the Dashboard title.</t>
        </is>
      </c>
    </row>
    <row r="7" ht="22" customHeight="1">
      <c r="B7" s="59" t="inlineStr">
        <is>
          <t>Currency</t>
        </is>
      </c>
      <c r="C7" s="60" t="inlineStr">
        <is>
          <t>USD</t>
        </is>
      </c>
      <c r="E7" s="61" t="inlineStr">
        <is>
          <t>USD ($) or GBP (£). Changes symbols and formats only - amounts are NOT converted.</t>
        </is>
      </c>
    </row>
    <row r="8" ht="22" customHeight="1">
      <c r="B8" s="59" t="inlineStr">
        <is>
          <t>Reporting year</t>
        </is>
      </c>
      <c r="C8" s="62" t="n">
        <v>2026</v>
      </c>
      <c r="E8" s="61" t="inlineStr">
        <is>
          <t>The year shown in the Monthly Report and Dashboard charts.</t>
        </is>
      </c>
    </row>
    <row r="9" ht="22" customHeight="1">
      <c r="B9" s="59" t="inlineStr">
        <is>
          <t>Dashboard period</t>
        </is>
      </c>
      <c r="C9" s="60" t="inlineStr">
        <is>
          <t>Full Year</t>
        </is>
      </c>
      <c r="E9" s="61" t="inlineStr">
        <is>
          <t>Full Year or a single month of the reporting year. KPI cards and item rankings follow this.</t>
        </is>
      </c>
    </row>
    <row r="10" ht="22" customHeight="1">
      <c r="B10" s="59" t="inlineStr">
        <is>
          <t>Labour cost per hour (incl. payroll taxes)</t>
        </is>
      </c>
      <c r="C10" s="63" t="n"/>
      <c r="E10" s="61" t="inlineStr">
        <is>
          <t>Used only to price prep time on Menu Pricing. Real wages go in Expenses (no double counting).</t>
        </is>
      </c>
    </row>
    <row r="11" ht="22" customHeight="1">
      <c r="B11" s="59" t="inlineStr">
        <is>
          <t>Default target profit margin</t>
        </is>
      </c>
      <c r="C11" s="64" t="n">
        <v>0.6</v>
      </c>
      <c r="E11" s="61" t="inlineStr">
        <is>
          <t>Margin = profit / price. Used for suggested prices unless an item has its own target.</t>
        </is>
      </c>
    </row>
    <row r="12" ht="22" customHeight="1">
      <c r="B12" s="59" t="inlineStr">
        <is>
          <t>Target food cost %</t>
        </is>
      </c>
      <c r="C12" s="64" t="n">
        <v>0.32</v>
      </c>
      <c r="E12" s="61" t="inlineStr">
        <is>
          <t>Ingredient cost / price. Items above this are flagged 'High food cost'. Typical: 25-35%.</t>
        </is>
      </c>
    </row>
    <row r="13" ht="22" customHeight="1">
      <c r="B13" s="59" t="inlineStr">
        <is>
          <t>Round suggested prices up to</t>
        </is>
      </c>
      <c r="C13" s="65" t="n">
        <v>0.25</v>
      </c>
      <c r="E13" s="61" t="inlineStr">
        <is>
          <t>Suggested prices are rounded UP to this step (0 = no rounding).</t>
        </is>
      </c>
    </row>
    <row r="14" ht="22" customHeight="1">
      <c r="B14" s="59" t="inlineStr">
        <is>
          <t>Last stock count date</t>
        </is>
      </c>
      <c r="C14" s="66" t="n"/>
      <c r="E14" s="61" t="inlineStr">
        <is>
          <t>Date you last counted stock. Inventory usage and waste are counted from this date.</t>
        </is>
      </c>
    </row>
    <row r="17" ht="16" customHeight="1">
      <c r="B17" s="67" t="inlineStr">
        <is>
          <t>AUTOMATIC VALUES (used by formulas - do not edit)</t>
        </is>
      </c>
    </row>
    <row r="18">
      <c r="B18" s="68" t="inlineStr">
        <is>
          <t>Currency symbol</t>
        </is>
      </c>
      <c r="C18" s="13">
        <f>IF($C$7="GBP","£","$")</f>
        <v/>
      </c>
    </row>
    <row r="19">
      <c r="B19" s="68" t="inlineStr">
        <is>
          <t>Active currency</t>
        </is>
      </c>
      <c r="C19" s="13">
        <f>IF($C$7="GBP","GBP","USD")</f>
        <v/>
      </c>
    </row>
    <row r="20">
      <c r="B20" s="68" t="inlineStr">
        <is>
          <t>Period month (0 = full year)</t>
        </is>
      </c>
      <c r="C20" s="69">
        <f>IFERROR(MATCH($C$9,lst_Period,0)-1,0)</f>
        <v/>
      </c>
    </row>
    <row r="21">
      <c r="B21" s="68" t="inlineStr">
        <is>
          <t>Reporting year used</t>
        </is>
      </c>
      <c r="C21" s="69">
        <f>IF(AND(ISNUMBER($C$8),$C$8&gt;=2000,$C$8&lt;=2100),INT($C$8),2026)</f>
        <v/>
      </c>
    </row>
    <row r="22">
      <c r="B22" s="68" t="inlineStr">
        <is>
          <t>Period start</t>
        </is>
      </c>
      <c r="C22" s="70">
        <f>IF($C$20=0,DATE($C$21,1,1),DATE($C$21,$C$20,1))</f>
        <v/>
      </c>
    </row>
    <row r="23">
      <c r="B23" s="68" t="inlineStr">
        <is>
          <t>Period end</t>
        </is>
      </c>
      <c r="C23" s="70">
        <f>IF($C$20=0,DATE($C$21,12,31),EOMONTH($C$22,0))</f>
        <v/>
      </c>
    </row>
    <row r="24">
      <c r="B24" s="68" t="inlineStr">
        <is>
          <t>Months in period</t>
        </is>
      </c>
      <c r="C24" s="69">
        <f>IF($C$20=0,12,1)</f>
        <v/>
      </c>
    </row>
    <row r="25">
      <c r="B25" s="68" t="inlineStr">
        <is>
          <t>Period label</t>
        </is>
      </c>
      <c r="C25" s="13">
        <f>IF($C$20=0,"Full Year "&amp;$C$21,$C$9&amp;" "&amp;$C$21)</f>
        <v/>
      </c>
    </row>
    <row r="26">
      <c r="B26" s="68" t="inlineStr">
        <is>
          <t>Stock count date used</t>
        </is>
      </c>
      <c r="C26" s="70">
        <f>IF(ISNUMBER($C$14),$C$14,DATE(2000,1,1))</f>
        <v/>
      </c>
    </row>
    <row r="27">
      <c r="B27" s="68" t="inlineStr">
        <is>
          <t>Labour rate used</t>
        </is>
      </c>
      <c r="C27" s="71">
        <f>N($C$10)</f>
        <v/>
      </c>
    </row>
    <row r="28">
      <c r="B28" s="68" t="inlineStr">
        <is>
          <t>Target margin used</t>
        </is>
      </c>
      <c r="C28" s="72">
        <f>IF(AND(ISNUMBER($C$11),$C$11&lt;0.95),MAX(0,$C$11),0.6)</f>
        <v/>
      </c>
    </row>
    <row r="29">
      <c r="B29" s="68" t="inlineStr">
        <is>
          <t>Food cost target used</t>
        </is>
      </c>
      <c r="C29" s="72">
        <f>IF(ISNUMBER($C$12),$C$12,0.32)</f>
        <v/>
      </c>
    </row>
    <row r="30">
      <c r="B30" s="68" t="inlineStr">
        <is>
          <t>Rounding step used</t>
        </is>
      </c>
      <c r="C30" s="73">
        <f>IF(AND(ISNUMBER($C$13),$C$13&gt;0),$C$13,0)</f>
        <v/>
      </c>
    </row>
    <row r="32" ht="30" customHeight="1">
      <c r="B32" s="74" t="inlineStr">
        <is>
          <t>Tip: switch Dashboard period to a month (e.g. 'July') to see that month's KPIs and best sellers. Charts on the Dashboard always show all 12 months of the reporting year.</t>
        </is>
      </c>
    </row>
    <row r="33"/>
    <row r="34"/>
  </sheetData>
  <mergeCells count="2">
    <mergeCell ref="B17:E17"/>
    <mergeCell ref="B32:E34"/>
  </mergeCells>
  <dataValidations count="8">
    <dataValidation sqref="C7" showDropDown="0" showInputMessage="1" showErrorMessage="1" allowBlank="1" errorTitle="Not in list" error="Please pick a value from the dropdown list." promptTitle="Currency" prompt="Choose USD or GBP." type="list" errorStyle="stop">
      <formula1>'Lists'!$R$6:$R$7</formula1>
    </dataValidation>
    <dataValidation sqref="C9" showDropDown="0" showInputMessage="1" showErrorMessage="1" allowBlank="1" errorTitle="Not in list" error="Please pick a value from the dropdown list." promptTitle="Dashboard period" prompt="Full Year or one month." type="list" errorStyle="stop">
      <formula1>'Lists'!$P$6:$P$18</formula1>
    </dataValidation>
    <dataValidation sqref="C13" showDropDown="0" showInputMessage="1" showErrorMessage="1" allowBlank="1" errorTitle="Not in list" error="Please pick a value from the dropdown list." promptTitle="Rounding" prompt="Rounding step for suggested prices." type="list" errorStyle="stop">
      <formula1>'Lists'!$T$6:$T$11</formula1>
    </dataValidation>
    <dataValidation sqref="C8" showDropDown="0" showInputMessage="1" showErrorMessage="1" allowBlank="1" errorTitle="Invalid number" error="Enter a number of at least 2000 and at most 2100." promptTitle="Year" prompt="Four-digit year, e.g. 2026" type="whole" operator="between">
      <formula1>2000</formula1>
      <formula2>2100</formula2>
    </dataValidation>
    <dataValidation sqref="C10" showDropDown="0" showInputMessage="1" showErrorMessage="1" allowBlank="1" errorTitle="Invalid number" error="Enter a number of at least 0 and at most 1000." promptTitle="Labour rate" prompt="Hourly cost of prep labour." type="decimal" operator="between">
      <formula1>0</formula1>
      <formula2>1000</formula2>
    </dataValidation>
    <dataValidation sqref="C11" showDropDown="0" showInputMessage="1" showErrorMessage="1" allowBlank="1" errorTitle="Invalid number" error="Enter a number of at least 0 and at most 0.95." promptTitle="Target margin" prompt="Enter as a percentage, e.g. 60%." type="decimal" operator="between">
      <formula1>0</formula1>
      <formula2>0.95</formula2>
    </dataValidation>
    <dataValidation sqref="C12" showDropDown="0" showInputMessage="1" showErrorMessage="1" allowBlank="1" errorTitle="Invalid number" error="Enter a number of at least 0 and at most 1." promptTitle="Food cost target" prompt="Enter as a percentage, e.g. 30%." type="decimal" operator="between">
      <formula1>0</formula1>
      <formula2>1</formula2>
    </dataValidation>
    <dataValidation sqref="C14" showDropDown="0" showInputMessage="1" showErrorMessage="1" allowBlank="1" errorTitle="Invalid date" error="Enter a valid date (2000-2100)." promptTitle="Date" prompt="Enter a date, e.g. 15/03/2026 or 3/15/2026 (your computer's format)." type="date" operator="between">
      <formula1>DATE(2000,1,1)</formula1>
      <formula2>DATE(2100,12,31)</formula2>
    </dataValidation>
  </dataValidations>
  <hyperlinks>
    <hyperlink ref="B4" location="'Start Here'!A1" display="› Start Here"/>
    <hyperlink ref="C4" location="'Dashboard'!A1" display="› Dashboard"/>
    <hyperlink ref="D4" location="'Menu Pricing'!A1" display="› Menu Pricing"/>
  </hyperlinks>
  <printOptions horizontalCentered="1"/>
  <pageMargins left="0.4" right="0.4" top="0.5" bottom="0.5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AA60"/>
  <sheetViews>
    <sheetView showGridLines="0" zoomScale="100" workbookViewId="0">
      <pane xSplit="2" ySplit="6" topLeftCell="C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9" customWidth="1" min="8" max="8"/>
    <col width="10" customWidth="1" min="9" max="9"/>
    <col width="10" customWidth="1" min="10" max="10"/>
    <col width="11" customWidth="1" min="11" max="11"/>
    <col width="9" customWidth="1" min="12" max="12"/>
    <col width="9" customWidth="1" min="13" max="13"/>
    <col width="11" customWidth="1" min="14" max="14"/>
    <col width="11" customWidth="1" min="15" max="15"/>
    <col width="10" customWidth="1" min="16" max="16"/>
    <col width="9" customWidth="1" min="17" max="17"/>
    <col width="9" customWidth="1" min="18" max="18"/>
    <col width="9" customWidth="1" min="19" max="19"/>
    <col width="15" customWidth="1" min="20" max="20"/>
    <col width="40" customWidth="1" min="21" max="21"/>
    <col width="9" customWidth="1" min="22" max="22"/>
    <col width="12" customWidth="1" min="23" max="23"/>
    <col width="12" customWidth="1" min="24" max="24"/>
    <col width="9" customWidth="1" min="25" max="25"/>
    <col hidden="1" width="4" customWidth="1" min="26" max="26"/>
    <col hidden="1" width="4" customWidth="1" min="27" max="27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0" customHeight="1">
      <c r="B2" s="54" t="inlineStr">
        <is>
          <t>Smart Menu Pricing</t>
        </is>
      </c>
      <c r="Y2" s="55" t="inlineStr">
        <is>
          <t>NoviraNest</t>
        </is>
      </c>
    </row>
    <row r="3" ht="18" customHeight="1">
      <c r="B3" s="56" t="inlineStr">
        <is>
          <t>Cost per serving, suggested price, real margin vs markup, and what to fix. Sales columns follow the Dashboard period.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E4" s="57" t="inlineStr">
        <is>
          <t>› Recipe Builder</t>
        </is>
      </c>
      <c r="G4" s="57" t="inlineStr">
        <is>
          <t>› Settings</t>
        </is>
      </c>
    </row>
    <row r="5" ht="16" customHeight="1">
      <c r="B5" s="75" t="inlineStr">
        <is>
          <t>ITEM</t>
        </is>
      </c>
      <c r="D5" s="67" t="inlineStr">
        <is>
          <t>COST PER SERVING</t>
        </is>
      </c>
      <c r="L5" s="75" t="inlineStr">
        <is>
          <t>PRICING TARGET</t>
        </is>
      </c>
      <c r="O5" s="76" t="inlineStr">
        <is>
          <t>YOUR PRICE &amp; RESULT</t>
        </is>
      </c>
      <c r="V5" s="67" t="inlineStr">
        <is>
          <t>SALES (DASHBOARD PERIOD)</t>
        </is>
      </c>
    </row>
    <row r="6" ht="44" customHeight="1">
      <c r="B6" s="58" t="inlineStr">
        <is>
          <t>Menu item</t>
        </is>
      </c>
      <c r="C6" s="58" t="inlineStr">
        <is>
          <t>Category</t>
        </is>
      </c>
      <c r="D6" s="58">
        <f>"Recipe
ingredients ("&amp;cfg_Symbol&amp;")"</f>
        <v/>
      </c>
      <c r="E6" s="58">
        <f>"Ingredient
override ("&amp;cfg_Symbol&amp;")"</f>
        <v/>
      </c>
      <c r="F6" s="58">
        <f>"Ingredient
cost used ("&amp;cfg_Symbol&amp;")"</f>
        <v/>
      </c>
      <c r="G6" s="58">
        <f>"Packaging ("&amp;cfg_Symbol&amp;")"</f>
        <v/>
      </c>
      <c r="H6" s="58" t="inlineStr">
        <is>
          <t>Prep
minutes</t>
        </is>
      </c>
      <c r="I6" s="58">
        <f>"Prep
labour ("&amp;cfg_Symbol&amp;")"</f>
        <v/>
      </c>
      <c r="J6" s="58">
        <f>"Other
variable ("&amp;cfg_Symbol&amp;")"</f>
        <v/>
      </c>
      <c r="K6" s="58">
        <f>"TOTAL COST
per serving ("&amp;cfg_Symbol&amp;")"</f>
        <v/>
      </c>
      <c r="L6" s="58" t="inlineStr">
        <is>
          <t>Target
margin</t>
        </is>
      </c>
      <c r="M6" s="58" t="inlineStr">
        <is>
          <t>Target
used</t>
        </is>
      </c>
      <c r="N6" s="58">
        <f>"Suggested
price ("&amp;cfg_Symbol&amp;")"</f>
        <v/>
      </c>
      <c r="O6" s="58">
        <f>"YOUR MENU
PRICE ("&amp;cfg_Symbol&amp;")"</f>
        <v/>
      </c>
      <c r="P6" s="58">
        <f>"Profit per
serving ("&amp;cfg_Symbol&amp;")"</f>
        <v/>
      </c>
      <c r="Q6" s="58" t="inlineStr">
        <is>
          <t>Actual
margin</t>
        </is>
      </c>
      <c r="R6" s="58" t="inlineStr">
        <is>
          <t>Markup
on cost</t>
        </is>
      </c>
      <c r="S6" s="58" t="inlineStr">
        <is>
          <t>Food
cost %</t>
        </is>
      </c>
      <c r="T6" s="58" t="inlineStr">
        <is>
          <t>Status</t>
        </is>
      </c>
      <c r="U6" s="58" t="inlineStr">
        <is>
          <t>Recommendation</t>
        </is>
      </c>
      <c r="V6" s="58" t="inlineStr">
        <is>
          <t>Items
sold</t>
        </is>
      </c>
      <c r="W6" s="58">
        <f>"Revenue ("&amp;cfg_Symbol&amp;")"</f>
        <v/>
      </c>
      <c r="X6" s="58">
        <f>"Gross
profit ("&amp;cfg_Symbol&amp;")"</f>
        <v/>
      </c>
      <c r="Y6" s="58" t="inlineStr">
        <is>
          <t>Sales
mix</t>
        </is>
      </c>
    </row>
    <row r="7" ht="19" customHeight="1">
      <c r="B7" s="60" t="n"/>
      <c r="C7" s="60" t="n"/>
      <c r="D7" s="71">
        <f>IF($B7="","",SUMIFS('Recipe Builder'!$J$7:$J$406,'Recipe Builder'!$B$7:$B$406,$B7))</f>
        <v/>
      </c>
      <c r="E7" s="63" t="n"/>
      <c r="F7" s="71">
        <f>IF($B7="","",IF(ISNUMBER($E7),$E7,N($D7)))</f>
        <v/>
      </c>
      <c r="G7" s="63" t="n"/>
      <c r="H7" s="77" t="n"/>
      <c r="I7" s="71">
        <f>IF($B7="","",N($H7)/60*cfg_LaborRate)</f>
        <v/>
      </c>
      <c r="J7" s="63" t="n"/>
      <c r="K7" s="78">
        <f>IF($B7="","",$F7+N($G7)+$I7+N($J7))</f>
        <v/>
      </c>
      <c r="L7" s="64" t="n"/>
      <c r="M7" s="72">
        <f>IF($B7="","",IF(AND(ISNUMBER($L7),$L7&lt;0.95),MAX(0,$L7),cfg_TargetMargin))</f>
        <v/>
      </c>
      <c r="N7" s="71">
        <f>IF($B7="","",IF(cfg_Round&gt;0,CEILING($K7/(1-$M7),cfg_Round),ROUND($K7/(1-$M7),2)))</f>
        <v/>
      </c>
      <c r="O7" s="79" t="n"/>
      <c r="P7" s="71">
        <f>IF(OR($B7="",N($O7)&lt;=0),"",$O7-$K7)</f>
        <v/>
      </c>
      <c r="Q7" s="72">
        <f>IF(OR($B7="",N($O7)&lt;=0),"",$P7/$O7)</f>
        <v/>
      </c>
      <c r="R7" s="72">
        <f>IF(OR($B7="",N($O7)&lt;=0,N($K7)&lt;=0),"",$P7/$K7)</f>
        <v/>
      </c>
      <c r="S7" s="72">
        <f>IF(OR($B7="",N($O7)&lt;=0),"",$F7/$O7)</f>
        <v/>
      </c>
      <c r="T7" s="80">
        <f>IF($B7="","",IF(COUNTIF($B$7:$B$56,$B7)&gt;1,"Duplicate name",IF(N($O7)&lt;=0,"Set a price",IF(N($K7)&lt;=0,"Add costs",IF($P7&lt;0,"LOSS",IF($Q7&lt;$M7-0.00001,"Below target",IF($S7&gt;cfg_FoodCostTarget,"High food cost","Healthy")))))))</f>
        <v/>
      </c>
      <c r="U7" s="81">
        <f>IF($T7="","",IF($T7="Duplicate name","Each menu item needs a unique name",IF($T7="Set a price","Suggested starting price: "&amp;cfg_Symbol&amp;TEXT($N7,"0.00"),IF($T7="Add costs","Build the recipe or type an ingredient cost override",IF($T7="LOSS","Losing "&amp;cfg_Symbol&amp;TEXT(-$P7,"0.00")&amp;" per sale - raise to "&amp;cfg_Symbol&amp;TEXT($N7,"0.00"),IF($T7="Below target","Raise to "&amp;cfg_Symbol&amp;TEXT($N7,"0.00")&amp;" for a "&amp;TEXT($M7,"0%")&amp;" margin",IF($T7="High food cost","Margin OK; food cost "&amp;TEXT($S7,"0%")&amp;" is above "&amp;TEXT(cfg_FoodCostTarget,"0%")&amp;" target","On target")))))))</f>
        <v/>
      </c>
      <c r="V7" s="82">
        <f>IF($B7="","",SUMIFS('Sales Log'!$D$7:$D$3006,'Sales Log'!$C$7:$C$3006,$B7,'Sales Log'!$B$7:$B$3006,"&gt;="&amp;cfg_Start,'Sales Log'!$B$7:$B$3006,"&lt;="&amp;cfg_End,'Sales Log'!$N$7:$N$3006,"OK"))</f>
        <v/>
      </c>
      <c r="W7" s="71">
        <f>IF($B7="","",SUMIFS('Sales Log'!$I$7:$I$3006,'Sales Log'!$C$7:$C$3006,$B7,'Sales Log'!$B$7:$B$3006,"&gt;="&amp;cfg_Start,'Sales Log'!$B$7:$B$3006,"&lt;="&amp;cfg_End,'Sales Log'!$N$7:$N$3006,"OK"))</f>
        <v/>
      </c>
      <c r="X7" s="71">
        <f>IF($B7="","",SUMIFS('Sales Log'!$L$7:$L$3006,'Sales Log'!$C$7:$C$3006,$B7,'Sales Log'!$B$7:$B$3006,"&gt;="&amp;cfg_Start,'Sales Log'!$B$7:$B$3006,"&lt;="&amp;cfg_End,'Sales Log'!$N$7:$N$3006,"OK"))</f>
        <v/>
      </c>
      <c r="Y7" s="72">
        <f>IF($B7="","",IF(SUM($V$7:$V$56)=0,0,$V7/SUM($V$7:$V$56)))</f>
        <v/>
      </c>
      <c r="Z7" s="83">
        <f>IF($B7="",-1,N($V7)+ROW()/1000000)</f>
        <v/>
      </c>
      <c r="AA7" s="83">
        <f>IF($B7="",-1E+15,N($X7)+ROW()/1000000)</f>
        <v/>
      </c>
    </row>
    <row r="8" ht="19" customHeight="1">
      <c r="B8" s="60" t="n"/>
      <c r="C8" s="60" t="n"/>
      <c r="D8" s="71">
        <f>IF($B8="","",SUMIFS('Recipe Builder'!$J$7:$J$406,'Recipe Builder'!$B$7:$B$406,$B8))</f>
        <v/>
      </c>
      <c r="E8" s="63" t="n"/>
      <c r="F8" s="71">
        <f>IF($B8="","",IF(ISNUMBER($E8),$E8,N($D8)))</f>
        <v/>
      </c>
      <c r="G8" s="63" t="n"/>
      <c r="H8" s="77" t="n"/>
      <c r="I8" s="71">
        <f>IF($B8="","",N($H8)/60*cfg_LaborRate)</f>
        <v/>
      </c>
      <c r="J8" s="63" t="n"/>
      <c r="K8" s="78">
        <f>IF($B8="","",$F8+N($G8)+$I8+N($J8))</f>
        <v/>
      </c>
      <c r="L8" s="64" t="n"/>
      <c r="M8" s="72">
        <f>IF($B8="","",IF(AND(ISNUMBER($L8),$L8&lt;0.95),MAX(0,$L8),cfg_TargetMargin))</f>
        <v/>
      </c>
      <c r="N8" s="71">
        <f>IF($B8="","",IF(cfg_Round&gt;0,CEILING($K8/(1-$M8),cfg_Round),ROUND($K8/(1-$M8),2)))</f>
        <v/>
      </c>
      <c r="O8" s="79" t="n"/>
      <c r="P8" s="71">
        <f>IF(OR($B8="",N($O8)&lt;=0),"",$O8-$K8)</f>
        <v/>
      </c>
      <c r="Q8" s="72">
        <f>IF(OR($B8="",N($O8)&lt;=0),"",$P8/$O8)</f>
        <v/>
      </c>
      <c r="R8" s="72">
        <f>IF(OR($B8="",N($O8)&lt;=0,N($K8)&lt;=0),"",$P8/$K8)</f>
        <v/>
      </c>
      <c r="S8" s="72">
        <f>IF(OR($B8="",N($O8)&lt;=0),"",$F8/$O8)</f>
        <v/>
      </c>
      <c r="T8" s="80">
        <f>IF($B8="","",IF(COUNTIF($B$7:$B$56,$B8)&gt;1,"Duplicate name",IF(N($O8)&lt;=0,"Set a price",IF(N($K8)&lt;=0,"Add costs",IF($P8&lt;0,"LOSS",IF($Q8&lt;$M8-0.00001,"Below target",IF($S8&gt;cfg_FoodCostTarget,"High food cost","Healthy")))))))</f>
        <v/>
      </c>
      <c r="U8" s="81">
        <f>IF($T8="","",IF($T8="Duplicate name","Each menu item needs a unique name",IF($T8="Set a price","Suggested starting price: "&amp;cfg_Symbol&amp;TEXT($N8,"0.00"),IF($T8="Add costs","Build the recipe or type an ingredient cost override",IF($T8="LOSS","Losing "&amp;cfg_Symbol&amp;TEXT(-$P8,"0.00")&amp;" per sale - raise to "&amp;cfg_Symbol&amp;TEXT($N8,"0.00"),IF($T8="Below target","Raise to "&amp;cfg_Symbol&amp;TEXT($N8,"0.00")&amp;" for a "&amp;TEXT($M8,"0%")&amp;" margin",IF($T8="High food cost","Margin OK; food cost "&amp;TEXT($S8,"0%")&amp;" is above "&amp;TEXT(cfg_FoodCostTarget,"0%")&amp;" target","On target")))))))</f>
        <v/>
      </c>
      <c r="V8" s="82">
        <f>IF($B8="","",SUMIFS('Sales Log'!$D$7:$D$3006,'Sales Log'!$C$7:$C$3006,$B8,'Sales Log'!$B$7:$B$3006,"&gt;="&amp;cfg_Start,'Sales Log'!$B$7:$B$3006,"&lt;="&amp;cfg_End,'Sales Log'!$N$7:$N$3006,"OK"))</f>
        <v/>
      </c>
      <c r="W8" s="71">
        <f>IF($B8="","",SUMIFS('Sales Log'!$I$7:$I$3006,'Sales Log'!$C$7:$C$3006,$B8,'Sales Log'!$B$7:$B$3006,"&gt;="&amp;cfg_Start,'Sales Log'!$B$7:$B$3006,"&lt;="&amp;cfg_End,'Sales Log'!$N$7:$N$3006,"OK"))</f>
        <v/>
      </c>
      <c r="X8" s="71">
        <f>IF($B8="","",SUMIFS('Sales Log'!$L$7:$L$3006,'Sales Log'!$C$7:$C$3006,$B8,'Sales Log'!$B$7:$B$3006,"&gt;="&amp;cfg_Start,'Sales Log'!$B$7:$B$3006,"&lt;="&amp;cfg_End,'Sales Log'!$N$7:$N$3006,"OK"))</f>
        <v/>
      </c>
      <c r="Y8" s="72">
        <f>IF($B8="","",IF(SUM($V$7:$V$56)=0,0,$V8/SUM($V$7:$V$56)))</f>
        <v/>
      </c>
      <c r="Z8" s="83">
        <f>IF($B8="",-1,N($V8)+ROW()/1000000)</f>
        <v/>
      </c>
      <c r="AA8" s="83">
        <f>IF($B8="",-1E+15,N($X8)+ROW()/1000000)</f>
        <v/>
      </c>
    </row>
    <row r="9" ht="19" customHeight="1">
      <c r="B9" s="60" t="n"/>
      <c r="C9" s="60" t="n"/>
      <c r="D9" s="71">
        <f>IF($B9="","",SUMIFS('Recipe Builder'!$J$7:$J$406,'Recipe Builder'!$B$7:$B$406,$B9))</f>
        <v/>
      </c>
      <c r="E9" s="63" t="n"/>
      <c r="F9" s="71">
        <f>IF($B9="","",IF(ISNUMBER($E9),$E9,N($D9)))</f>
        <v/>
      </c>
      <c r="G9" s="63" t="n"/>
      <c r="H9" s="77" t="n"/>
      <c r="I9" s="71">
        <f>IF($B9="","",N($H9)/60*cfg_LaborRate)</f>
        <v/>
      </c>
      <c r="J9" s="63" t="n"/>
      <c r="K9" s="78">
        <f>IF($B9="","",$F9+N($G9)+$I9+N($J9))</f>
        <v/>
      </c>
      <c r="L9" s="64" t="n"/>
      <c r="M9" s="72">
        <f>IF($B9="","",IF(AND(ISNUMBER($L9),$L9&lt;0.95),MAX(0,$L9),cfg_TargetMargin))</f>
        <v/>
      </c>
      <c r="N9" s="71">
        <f>IF($B9="","",IF(cfg_Round&gt;0,CEILING($K9/(1-$M9),cfg_Round),ROUND($K9/(1-$M9),2)))</f>
        <v/>
      </c>
      <c r="O9" s="79" t="n"/>
      <c r="P9" s="71">
        <f>IF(OR($B9="",N($O9)&lt;=0),"",$O9-$K9)</f>
        <v/>
      </c>
      <c r="Q9" s="72">
        <f>IF(OR($B9="",N($O9)&lt;=0),"",$P9/$O9)</f>
        <v/>
      </c>
      <c r="R9" s="72">
        <f>IF(OR($B9="",N($O9)&lt;=0,N($K9)&lt;=0),"",$P9/$K9)</f>
        <v/>
      </c>
      <c r="S9" s="72">
        <f>IF(OR($B9="",N($O9)&lt;=0),"",$F9/$O9)</f>
        <v/>
      </c>
      <c r="T9" s="80">
        <f>IF($B9="","",IF(COUNTIF($B$7:$B$56,$B9)&gt;1,"Duplicate name",IF(N($O9)&lt;=0,"Set a price",IF(N($K9)&lt;=0,"Add costs",IF($P9&lt;0,"LOSS",IF($Q9&lt;$M9-0.00001,"Below target",IF($S9&gt;cfg_FoodCostTarget,"High food cost","Healthy")))))))</f>
        <v/>
      </c>
      <c r="U9" s="81">
        <f>IF($T9="","",IF($T9="Duplicate name","Each menu item needs a unique name",IF($T9="Set a price","Suggested starting price: "&amp;cfg_Symbol&amp;TEXT($N9,"0.00"),IF($T9="Add costs","Build the recipe or type an ingredient cost override",IF($T9="LOSS","Losing "&amp;cfg_Symbol&amp;TEXT(-$P9,"0.00")&amp;" per sale - raise to "&amp;cfg_Symbol&amp;TEXT($N9,"0.00"),IF($T9="Below target","Raise to "&amp;cfg_Symbol&amp;TEXT($N9,"0.00")&amp;" for a "&amp;TEXT($M9,"0%")&amp;" margin",IF($T9="High food cost","Margin OK; food cost "&amp;TEXT($S9,"0%")&amp;" is above "&amp;TEXT(cfg_FoodCostTarget,"0%")&amp;" target","On target")))))))</f>
        <v/>
      </c>
      <c r="V9" s="82">
        <f>IF($B9="","",SUMIFS('Sales Log'!$D$7:$D$3006,'Sales Log'!$C$7:$C$3006,$B9,'Sales Log'!$B$7:$B$3006,"&gt;="&amp;cfg_Start,'Sales Log'!$B$7:$B$3006,"&lt;="&amp;cfg_End,'Sales Log'!$N$7:$N$3006,"OK"))</f>
        <v/>
      </c>
      <c r="W9" s="71">
        <f>IF($B9="","",SUMIFS('Sales Log'!$I$7:$I$3006,'Sales Log'!$C$7:$C$3006,$B9,'Sales Log'!$B$7:$B$3006,"&gt;="&amp;cfg_Start,'Sales Log'!$B$7:$B$3006,"&lt;="&amp;cfg_End,'Sales Log'!$N$7:$N$3006,"OK"))</f>
        <v/>
      </c>
      <c r="X9" s="71">
        <f>IF($B9="","",SUMIFS('Sales Log'!$L$7:$L$3006,'Sales Log'!$C$7:$C$3006,$B9,'Sales Log'!$B$7:$B$3006,"&gt;="&amp;cfg_Start,'Sales Log'!$B$7:$B$3006,"&lt;="&amp;cfg_End,'Sales Log'!$N$7:$N$3006,"OK"))</f>
        <v/>
      </c>
      <c r="Y9" s="72">
        <f>IF($B9="","",IF(SUM($V$7:$V$56)=0,0,$V9/SUM($V$7:$V$56)))</f>
        <v/>
      </c>
      <c r="Z9" s="83">
        <f>IF($B9="",-1,N($V9)+ROW()/1000000)</f>
        <v/>
      </c>
      <c r="AA9" s="83">
        <f>IF($B9="",-1E+15,N($X9)+ROW()/1000000)</f>
        <v/>
      </c>
    </row>
    <row r="10" ht="19" customHeight="1">
      <c r="B10" s="60" t="n"/>
      <c r="C10" s="60" t="n"/>
      <c r="D10" s="71">
        <f>IF($B10="","",SUMIFS('Recipe Builder'!$J$7:$J$406,'Recipe Builder'!$B$7:$B$406,$B10))</f>
        <v/>
      </c>
      <c r="E10" s="63" t="n"/>
      <c r="F10" s="71">
        <f>IF($B10="","",IF(ISNUMBER($E10),$E10,N($D10)))</f>
        <v/>
      </c>
      <c r="G10" s="63" t="n"/>
      <c r="H10" s="77" t="n"/>
      <c r="I10" s="71">
        <f>IF($B10="","",N($H10)/60*cfg_LaborRate)</f>
        <v/>
      </c>
      <c r="J10" s="63" t="n"/>
      <c r="K10" s="78">
        <f>IF($B10="","",$F10+N($G10)+$I10+N($J10))</f>
        <v/>
      </c>
      <c r="L10" s="64" t="n"/>
      <c r="M10" s="72">
        <f>IF($B10="","",IF(AND(ISNUMBER($L10),$L10&lt;0.95),MAX(0,$L10),cfg_TargetMargin))</f>
        <v/>
      </c>
      <c r="N10" s="71">
        <f>IF($B10="","",IF(cfg_Round&gt;0,CEILING($K10/(1-$M10),cfg_Round),ROUND($K10/(1-$M10),2)))</f>
        <v/>
      </c>
      <c r="O10" s="79" t="n"/>
      <c r="P10" s="71">
        <f>IF(OR($B10="",N($O10)&lt;=0),"",$O10-$K10)</f>
        <v/>
      </c>
      <c r="Q10" s="72">
        <f>IF(OR($B10="",N($O10)&lt;=0),"",$P10/$O10)</f>
        <v/>
      </c>
      <c r="R10" s="72">
        <f>IF(OR($B10="",N($O10)&lt;=0,N($K10)&lt;=0),"",$P10/$K10)</f>
        <v/>
      </c>
      <c r="S10" s="72">
        <f>IF(OR($B10="",N($O10)&lt;=0),"",$F10/$O10)</f>
        <v/>
      </c>
      <c r="T10" s="80">
        <f>IF($B10="","",IF(COUNTIF($B$7:$B$56,$B10)&gt;1,"Duplicate name",IF(N($O10)&lt;=0,"Set a price",IF(N($K10)&lt;=0,"Add costs",IF($P10&lt;0,"LOSS",IF($Q10&lt;$M10-0.00001,"Below target",IF($S10&gt;cfg_FoodCostTarget,"High food cost","Healthy")))))))</f>
        <v/>
      </c>
      <c r="U10" s="81">
        <f>IF($T10="","",IF($T10="Duplicate name","Each menu item needs a unique name",IF($T10="Set a price","Suggested starting price: "&amp;cfg_Symbol&amp;TEXT($N10,"0.00"),IF($T10="Add costs","Build the recipe or type an ingredient cost override",IF($T10="LOSS","Losing "&amp;cfg_Symbol&amp;TEXT(-$P10,"0.00")&amp;" per sale - raise to "&amp;cfg_Symbol&amp;TEXT($N10,"0.00"),IF($T10="Below target","Raise to "&amp;cfg_Symbol&amp;TEXT($N10,"0.00")&amp;" for a "&amp;TEXT($M10,"0%")&amp;" margin",IF($T10="High food cost","Margin OK; food cost "&amp;TEXT($S10,"0%")&amp;" is above "&amp;TEXT(cfg_FoodCostTarget,"0%")&amp;" target","On target")))))))</f>
        <v/>
      </c>
      <c r="V10" s="82">
        <f>IF($B10="","",SUMIFS('Sales Log'!$D$7:$D$3006,'Sales Log'!$C$7:$C$3006,$B10,'Sales Log'!$B$7:$B$3006,"&gt;="&amp;cfg_Start,'Sales Log'!$B$7:$B$3006,"&lt;="&amp;cfg_End,'Sales Log'!$N$7:$N$3006,"OK"))</f>
        <v/>
      </c>
      <c r="W10" s="71">
        <f>IF($B10="","",SUMIFS('Sales Log'!$I$7:$I$3006,'Sales Log'!$C$7:$C$3006,$B10,'Sales Log'!$B$7:$B$3006,"&gt;="&amp;cfg_Start,'Sales Log'!$B$7:$B$3006,"&lt;="&amp;cfg_End,'Sales Log'!$N$7:$N$3006,"OK"))</f>
        <v/>
      </c>
      <c r="X10" s="71">
        <f>IF($B10="","",SUMIFS('Sales Log'!$L$7:$L$3006,'Sales Log'!$C$7:$C$3006,$B10,'Sales Log'!$B$7:$B$3006,"&gt;="&amp;cfg_Start,'Sales Log'!$B$7:$B$3006,"&lt;="&amp;cfg_End,'Sales Log'!$N$7:$N$3006,"OK"))</f>
        <v/>
      </c>
      <c r="Y10" s="72">
        <f>IF($B10="","",IF(SUM($V$7:$V$56)=0,0,$V10/SUM($V$7:$V$56)))</f>
        <v/>
      </c>
      <c r="Z10" s="83">
        <f>IF($B10="",-1,N($V10)+ROW()/1000000)</f>
        <v/>
      </c>
      <c r="AA10" s="83">
        <f>IF($B10="",-1E+15,N($X10)+ROW()/1000000)</f>
        <v/>
      </c>
    </row>
    <row r="11" ht="19" customHeight="1">
      <c r="B11" s="60" t="n"/>
      <c r="C11" s="60" t="n"/>
      <c r="D11" s="71">
        <f>IF($B11="","",SUMIFS('Recipe Builder'!$J$7:$J$406,'Recipe Builder'!$B$7:$B$406,$B11))</f>
        <v/>
      </c>
      <c r="E11" s="63" t="n"/>
      <c r="F11" s="71">
        <f>IF($B11="","",IF(ISNUMBER($E11),$E11,N($D11)))</f>
        <v/>
      </c>
      <c r="G11" s="63" t="n"/>
      <c r="H11" s="77" t="n"/>
      <c r="I11" s="71">
        <f>IF($B11="","",N($H11)/60*cfg_LaborRate)</f>
        <v/>
      </c>
      <c r="J11" s="63" t="n"/>
      <c r="K11" s="78">
        <f>IF($B11="","",$F11+N($G11)+$I11+N($J11))</f>
        <v/>
      </c>
      <c r="L11" s="64" t="n"/>
      <c r="M11" s="72">
        <f>IF($B11="","",IF(AND(ISNUMBER($L11),$L11&lt;0.95),MAX(0,$L11),cfg_TargetMargin))</f>
        <v/>
      </c>
      <c r="N11" s="71">
        <f>IF($B11="","",IF(cfg_Round&gt;0,CEILING($K11/(1-$M11),cfg_Round),ROUND($K11/(1-$M11),2)))</f>
        <v/>
      </c>
      <c r="O11" s="79" t="n"/>
      <c r="P11" s="71">
        <f>IF(OR($B11="",N($O11)&lt;=0),"",$O11-$K11)</f>
        <v/>
      </c>
      <c r="Q11" s="72">
        <f>IF(OR($B11="",N($O11)&lt;=0),"",$P11/$O11)</f>
        <v/>
      </c>
      <c r="R11" s="72">
        <f>IF(OR($B11="",N($O11)&lt;=0,N($K11)&lt;=0),"",$P11/$K11)</f>
        <v/>
      </c>
      <c r="S11" s="72">
        <f>IF(OR($B11="",N($O11)&lt;=0),"",$F11/$O11)</f>
        <v/>
      </c>
      <c r="T11" s="80">
        <f>IF($B11="","",IF(COUNTIF($B$7:$B$56,$B11)&gt;1,"Duplicate name",IF(N($O11)&lt;=0,"Set a price",IF(N($K11)&lt;=0,"Add costs",IF($P11&lt;0,"LOSS",IF($Q11&lt;$M11-0.00001,"Below target",IF($S11&gt;cfg_FoodCostTarget,"High food cost","Healthy")))))))</f>
        <v/>
      </c>
      <c r="U11" s="81">
        <f>IF($T11="","",IF($T11="Duplicate name","Each menu item needs a unique name",IF($T11="Set a price","Suggested starting price: "&amp;cfg_Symbol&amp;TEXT($N11,"0.00"),IF($T11="Add costs","Build the recipe or type an ingredient cost override",IF($T11="LOSS","Losing "&amp;cfg_Symbol&amp;TEXT(-$P11,"0.00")&amp;" per sale - raise to "&amp;cfg_Symbol&amp;TEXT($N11,"0.00"),IF($T11="Below target","Raise to "&amp;cfg_Symbol&amp;TEXT($N11,"0.00")&amp;" for a "&amp;TEXT($M11,"0%")&amp;" margin",IF($T11="High food cost","Margin OK; food cost "&amp;TEXT($S11,"0%")&amp;" is above "&amp;TEXT(cfg_FoodCostTarget,"0%")&amp;" target","On target")))))))</f>
        <v/>
      </c>
      <c r="V11" s="82">
        <f>IF($B11="","",SUMIFS('Sales Log'!$D$7:$D$3006,'Sales Log'!$C$7:$C$3006,$B11,'Sales Log'!$B$7:$B$3006,"&gt;="&amp;cfg_Start,'Sales Log'!$B$7:$B$3006,"&lt;="&amp;cfg_End,'Sales Log'!$N$7:$N$3006,"OK"))</f>
        <v/>
      </c>
      <c r="W11" s="71">
        <f>IF($B11="","",SUMIFS('Sales Log'!$I$7:$I$3006,'Sales Log'!$C$7:$C$3006,$B11,'Sales Log'!$B$7:$B$3006,"&gt;="&amp;cfg_Start,'Sales Log'!$B$7:$B$3006,"&lt;="&amp;cfg_End,'Sales Log'!$N$7:$N$3006,"OK"))</f>
        <v/>
      </c>
      <c r="X11" s="71">
        <f>IF($B11="","",SUMIFS('Sales Log'!$L$7:$L$3006,'Sales Log'!$C$7:$C$3006,$B11,'Sales Log'!$B$7:$B$3006,"&gt;="&amp;cfg_Start,'Sales Log'!$B$7:$B$3006,"&lt;="&amp;cfg_End,'Sales Log'!$N$7:$N$3006,"OK"))</f>
        <v/>
      </c>
      <c r="Y11" s="72">
        <f>IF($B11="","",IF(SUM($V$7:$V$56)=0,0,$V11/SUM($V$7:$V$56)))</f>
        <v/>
      </c>
      <c r="Z11" s="83">
        <f>IF($B11="",-1,N($V11)+ROW()/1000000)</f>
        <v/>
      </c>
      <c r="AA11" s="83">
        <f>IF($B11="",-1E+15,N($X11)+ROW()/1000000)</f>
        <v/>
      </c>
    </row>
    <row r="12" ht="19" customHeight="1">
      <c r="B12" s="60" t="n"/>
      <c r="C12" s="60" t="n"/>
      <c r="D12" s="71">
        <f>IF($B12="","",SUMIFS('Recipe Builder'!$J$7:$J$406,'Recipe Builder'!$B$7:$B$406,$B12))</f>
        <v/>
      </c>
      <c r="E12" s="63" t="n"/>
      <c r="F12" s="71">
        <f>IF($B12="","",IF(ISNUMBER($E12),$E12,N($D12)))</f>
        <v/>
      </c>
      <c r="G12" s="63" t="n"/>
      <c r="H12" s="77" t="n"/>
      <c r="I12" s="71">
        <f>IF($B12="","",N($H12)/60*cfg_LaborRate)</f>
        <v/>
      </c>
      <c r="J12" s="63" t="n"/>
      <c r="K12" s="78">
        <f>IF($B12="","",$F12+N($G12)+$I12+N($J12))</f>
        <v/>
      </c>
      <c r="L12" s="64" t="n"/>
      <c r="M12" s="72">
        <f>IF($B12="","",IF(AND(ISNUMBER($L12),$L12&lt;0.95),MAX(0,$L12),cfg_TargetMargin))</f>
        <v/>
      </c>
      <c r="N12" s="71">
        <f>IF($B12="","",IF(cfg_Round&gt;0,CEILING($K12/(1-$M12),cfg_Round),ROUND($K12/(1-$M12),2)))</f>
        <v/>
      </c>
      <c r="O12" s="79" t="n"/>
      <c r="P12" s="71">
        <f>IF(OR($B12="",N($O12)&lt;=0),"",$O12-$K12)</f>
        <v/>
      </c>
      <c r="Q12" s="72">
        <f>IF(OR($B12="",N($O12)&lt;=0),"",$P12/$O12)</f>
        <v/>
      </c>
      <c r="R12" s="72">
        <f>IF(OR($B12="",N($O12)&lt;=0,N($K12)&lt;=0),"",$P12/$K12)</f>
        <v/>
      </c>
      <c r="S12" s="72">
        <f>IF(OR($B12="",N($O12)&lt;=0),"",$F12/$O12)</f>
        <v/>
      </c>
      <c r="T12" s="80">
        <f>IF($B12="","",IF(COUNTIF($B$7:$B$56,$B12)&gt;1,"Duplicate name",IF(N($O12)&lt;=0,"Set a price",IF(N($K12)&lt;=0,"Add costs",IF($P12&lt;0,"LOSS",IF($Q12&lt;$M12-0.00001,"Below target",IF($S12&gt;cfg_FoodCostTarget,"High food cost","Healthy")))))))</f>
        <v/>
      </c>
      <c r="U12" s="81">
        <f>IF($T12="","",IF($T12="Duplicate name","Each menu item needs a unique name",IF($T12="Set a price","Suggested starting price: "&amp;cfg_Symbol&amp;TEXT($N12,"0.00"),IF($T12="Add costs","Build the recipe or type an ingredient cost override",IF($T12="LOSS","Losing "&amp;cfg_Symbol&amp;TEXT(-$P12,"0.00")&amp;" per sale - raise to "&amp;cfg_Symbol&amp;TEXT($N12,"0.00"),IF($T12="Below target","Raise to "&amp;cfg_Symbol&amp;TEXT($N12,"0.00")&amp;" for a "&amp;TEXT($M12,"0%")&amp;" margin",IF($T12="High food cost","Margin OK; food cost "&amp;TEXT($S12,"0%")&amp;" is above "&amp;TEXT(cfg_FoodCostTarget,"0%")&amp;" target","On target")))))))</f>
        <v/>
      </c>
      <c r="V12" s="82">
        <f>IF($B12="","",SUMIFS('Sales Log'!$D$7:$D$3006,'Sales Log'!$C$7:$C$3006,$B12,'Sales Log'!$B$7:$B$3006,"&gt;="&amp;cfg_Start,'Sales Log'!$B$7:$B$3006,"&lt;="&amp;cfg_End,'Sales Log'!$N$7:$N$3006,"OK"))</f>
        <v/>
      </c>
      <c r="W12" s="71">
        <f>IF($B12="","",SUMIFS('Sales Log'!$I$7:$I$3006,'Sales Log'!$C$7:$C$3006,$B12,'Sales Log'!$B$7:$B$3006,"&gt;="&amp;cfg_Start,'Sales Log'!$B$7:$B$3006,"&lt;="&amp;cfg_End,'Sales Log'!$N$7:$N$3006,"OK"))</f>
        <v/>
      </c>
      <c r="X12" s="71">
        <f>IF($B12="","",SUMIFS('Sales Log'!$L$7:$L$3006,'Sales Log'!$C$7:$C$3006,$B12,'Sales Log'!$B$7:$B$3006,"&gt;="&amp;cfg_Start,'Sales Log'!$B$7:$B$3006,"&lt;="&amp;cfg_End,'Sales Log'!$N$7:$N$3006,"OK"))</f>
        <v/>
      </c>
      <c r="Y12" s="72">
        <f>IF($B12="","",IF(SUM($V$7:$V$56)=0,0,$V12/SUM($V$7:$V$56)))</f>
        <v/>
      </c>
      <c r="Z12" s="83">
        <f>IF($B12="",-1,N($V12)+ROW()/1000000)</f>
        <v/>
      </c>
      <c r="AA12" s="83">
        <f>IF($B12="",-1E+15,N($X12)+ROW()/1000000)</f>
        <v/>
      </c>
    </row>
    <row r="13" ht="19" customHeight="1">
      <c r="B13" s="60" t="n"/>
      <c r="C13" s="60" t="n"/>
      <c r="D13" s="71">
        <f>IF($B13="","",SUMIFS('Recipe Builder'!$J$7:$J$406,'Recipe Builder'!$B$7:$B$406,$B13))</f>
        <v/>
      </c>
      <c r="E13" s="63" t="n"/>
      <c r="F13" s="71">
        <f>IF($B13="","",IF(ISNUMBER($E13),$E13,N($D13)))</f>
        <v/>
      </c>
      <c r="G13" s="63" t="n"/>
      <c r="H13" s="77" t="n"/>
      <c r="I13" s="71">
        <f>IF($B13="","",N($H13)/60*cfg_LaborRate)</f>
        <v/>
      </c>
      <c r="J13" s="63" t="n"/>
      <c r="K13" s="78">
        <f>IF($B13="","",$F13+N($G13)+$I13+N($J13))</f>
        <v/>
      </c>
      <c r="L13" s="64" t="n"/>
      <c r="M13" s="72">
        <f>IF($B13="","",IF(AND(ISNUMBER($L13),$L13&lt;0.95),MAX(0,$L13),cfg_TargetMargin))</f>
        <v/>
      </c>
      <c r="N13" s="71">
        <f>IF($B13="","",IF(cfg_Round&gt;0,CEILING($K13/(1-$M13),cfg_Round),ROUND($K13/(1-$M13),2)))</f>
        <v/>
      </c>
      <c r="O13" s="79" t="n"/>
      <c r="P13" s="71">
        <f>IF(OR($B13="",N($O13)&lt;=0),"",$O13-$K13)</f>
        <v/>
      </c>
      <c r="Q13" s="72">
        <f>IF(OR($B13="",N($O13)&lt;=0),"",$P13/$O13)</f>
        <v/>
      </c>
      <c r="R13" s="72">
        <f>IF(OR($B13="",N($O13)&lt;=0,N($K13)&lt;=0),"",$P13/$K13)</f>
        <v/>
      </c>
      <c r="S13" s="72">
        <f>IF(OR($B13="",N($O13)&lt;=0),"",$F13/$O13)</f>
        <v/>
      </c>
      <c r="T13" s="80">
        <f>IF($B13="","",IF(COUNTIF($B$7:$B$56,$B13)&gt;1,"Duplicate name",IF(N($O13)&lt;=0,"Set a price",IF(N($K13)&lt;=0,"Add costs",IF($P13&lt;0,"LOSS",IF($Q13&lt;$M13-0.00001,"Below target",IF($S13&gt;cfg_FoodCostTarget,"High food cost","Healthy")))))))</f>
        <v/>
      </c>
      <c r="U13" s="81">
        <f>IF($T13="","",IF($T13="Duplicate name","Each menu item needs a unique name",IF($T13="Set a price","Suggested starting price: "&amp;cfg_Symbol&amp;TEXT($N13,"0.00"),IF($T13="Add costs","Build the recipe or type an ingredient cost override",IF($T13="LOSS","Losing "&amp;cfg_Symbol&amp;TEXT(-$P13,"0.00")&amp;" per sale - raise to "&amp;cfg_Symbol&amp;TEXT($N13,"0.00"),IF($T13="Below target","Raise to "&amp;cfg_Symbol&amp;TEXT($N13,"0.00")&amp;" for a "&amp;TEXT($M13,"0%")&amp;" margin",IF($T13="High food cost","Margin OK; food cost "&amp;TEXT($S13,"0%")&amp;" is above "&amp;TEXT(cfg_FoodCostTarget,"0%")&amp;" target","On target")))))))</f>
        <v/>
      </c>
      <c r="V13" s="82">
        <f>IF($B13="","",SUMIFS('Sales Log'!$D$7:$D$3006,'Sales Log'!$C$7:$C$3006,$B13,'Sales Log'!$B$7:$B$3006,"&gt;="&amp;cfg_Start,'Sales Log'!$B$7:$B$3006,"&lt;="&amp;cfg_End,'Sales Log'!$N$7:$N$3006,"OK"))</f>
        <v/>
      </c>
      <c r="W13" s="71">
        <f>IF($B13="","",SUMIFS('Sales Log'!$I$7:$I$3006,'Sales Log'!$C$7:$C$3006,$B13,'Sales Log'!$B$7:$B$3006,"&gt;="&amp;cfg_Start,'Sales Log'!$B$7:$B$3006,"&lt;="&amp;cfg_End,'Sales Log'!$N$7:$N$3006,"OK"))</f>
        <v/>
      </c>
      <c r="X13" s="71">
        <f>IF($B13="","",SUMIFS('Sales Log'!$L$7:$L$3006,'Sales Log'!$C$7:$C$3006,$B13,'Sales Log'!$B$7:$B$3006,"&gt;="&amp;cfg_Start,'Sales Log'!$B$7:$B$3006,"&lt;="&amp;cfg_End,'Sales Log'!$N$7:$N$3006,"OK"))</f>
        <v/>
      </c>
      <c r="Y13" s="72">
        <f>IF($B13="","",IF(SUM($V$7:$V$56)=0,0,$V13/SUM($V$7:$V$56)))</f>
        <v/>
      </c>
      <c r="Z13" s="83">
        <f>IF($B13="",-1,N($V13)+ROW()/1000000)</f>
        <v/>
      </c>
      <c r="AA13" s="83">
        <f>IF($B13="",-1E+15,N($X13)+ROW()/1000000)</f>
        <v/>
      </c>
    </row>
    <row r="14" ht="19" customHeight="1">
      <c r="B14" s="60" t="n"/>
      <c r="C14" s="60" t="n"/>
      <c r="D14" s="71">
        <f>IF($B14="","",SUMIFS('Recipe Builder'!$J$7:$J$406,'Recipe Builder'!$B$7:$B$406,$B14))</f>
        <v/>
      </c>
      <c r="E14" s="63" t="n"/>
      <c r="F14" s="71">
        <f>IF($B14="","",IF(ISNUMBER($E14),$E14,N($D14)))</f>
        <v/>
      </c>
      <c r="G14" s="63" t="n"/>
      <c r="H14" s="77" t="n"/>
      <c r="I14" s="71">
        <f>IF($B14="","",N($H14)/60*cfg_LaborRate)</f>
        <v/>
      </c>
      <c r="J14" s="63" t="n"/>
      <c r="K14" s="78">
        <f>IF($B14="","",$F14+N($G14)+$I14+N($J14))</f>
        <v/>
      </c>
      <c r="L14" s="64" t="n"/>
      <c r="M14" s="72">
        <f>IF($B14="","",IF(AND(ISNUMBER($L14),$L14&lt;0.95),MAX(0,$L14),cfg_TargetMargin))</f>
        <v/>
      </c>
      <c r="N14" s="71">
        <f>IF($B14="","",IF(cfg_Round&gt;0,CEILING($K14/(1-$M14),cfg_Round),ROUND($K14/(1-$M14),2)))</f>
        <v/>
      </c>
      <c r="O14" s="79" t="n"/>
      <c r="P14" s="71">
        <f>IF(OR($B14="",N($O14)&lt;=0),"",$O14-$K14)</f>
        <v/>
      </c>
      <c r="Q14" s="72">
        <f>IF(OR($B14="",N($O14)&lt;=0),"",$P14/$O14)</f>
        <v/>
      </c>
      <c r="R14" s="72">
        <f>IF(OR($B14="",N($O14)&lt;=0,N($K14)&lt;=0),"",$P14/$K14)</f>
        <v/>
      </c>
      <c r="S14" s="72">
        <f>IF(OR($B14="",N($O14)&lt;=0),"",$F14/$O14)</f>
        <v/>
      </c>
      <c r="T14" s="80">
        <f>IF($B14="","",IF(COUNTIF($B$7:$B$56,$B14)&gt;1,"Duplicate name",IF(N($O14)&lt;=0,"Set a price",IF(N($K14)&lt;=0,"Add costs",IF($P14&lt;0,"LOSS",IF($Q14&lt;$M14-0.00001,"Below target",IF($S14&gt;cfg_FoodCostTarget,"High food cost","Healthy")))))))</f>
        <v/>
      </c>
      <c r="U14" s="81">
        <f>IF($T14="","",IF($T14="Duplicate name","Each menu item needs a unique name",IF($T14="Set a price","Suggested starting price: "&amp;cfg_Symbol&amp;TEXT($N14,"0.00"),IF($T14="Add costs","Build the recipe or type an ingredient cost override",IF($T14="LOSS","Losing "&amp;cfg_Symbol&amp;TEXT(-$P14,"0.00")&amp;" per sale - raise to "&amp;cfg_Symbol&amp;TEXT($N14,"0.00"),IF($T14="Below target","Raise to "&amp;cfg_Symbol&amp;TEXT($N14,"0.00")&amp;" for a "&amp;TEXT($M14,"0%")&amp;" margin",IF($T14="High food cost","Margin OK; food cost "&amp;TEXT($S14,"0%")&amp;" is above "&amp;TEXT(cfg_FoodCostTarget,"0%")&amp;" target","On target")))))))</f>
        <v/>
      </c>
      <c r="V14" s="82">
        <f>IF($B14="","",SUMIFS('Sales Log'!$D$7:$D$3006,'Sales Log'!$C$7:$C$3006,$B14,'Sales Log'!$B$7:$B$3006,"&gt;="&amp;cfg_Start,'Sales Log'!$B$7:$B$3006,"&lt;="&amp;cfg_End,'Sales Log'!$N$7:$N$3006,"OK"))</f>
        <v/>
      </c>
      <c r="W14" s="71">
        <f>IF($B14="","",SUMIFS('Sales Log'!$I$7:$I$3006,'Sales Log'!$C$7:$C$3006,$B14,'Sales Log'!$B$7:$B$3006,"&gt;="&amp;cfg_Start,'Sales Log'!$B$7:$B$3006,"&lt;="&amp;cfg_End,'Sales Log'!$N$7:$N$3006,"OK"))</f>
        <v/>
      </c>
      <c r="X14" s="71">
        <f>IF($B14="","",SUMIFS('Sales Log'!$L$7:$L$3006,'Sales Log'!$C$7:$C$3006,$B14,'Sales Log'!$B$7:$B$3006,"&gt;="&amp;cfg_Start,'Sales Log'!$B$7:$B$3006,"&lt;="&amp;cfg_End,'Sales Log'!$N$7:$N$3006,"OK"))</f>
        <v/>
      </c>
      <c r="Y14" s="72">
        <f>IF($B14="","",IF(SUM($V$7:$V$56)=0,0,$V14/SUM($V$7:$V$56)))</f>
        <v/>
      </c>
      <c r="Z14" s="83">
        <f>IF($B14="",-1,N($V14)+ROW()/1000000)</f>
        <v/>
      </c>
      <c r="AA14" s="83">
        <f>IF($B14="",-1E+15,N($X14)+ROW()/1000000)</f>
        <v/>
      </c>
    </row>
    <row r="15" ht="19" customHeight="1">
      <c r="B15" s="60" t="n"/>
      <c r="C15" s="60" t="n"/>
      <c r="D15" s="71">
        <f>IF($B15="","",SUMIFS('Recipe Builder'!$J$7:$J$406,'Recipe Builder'!$B$7:$B$406,$B15))</f>
        <v/>
      </c>
      <c r="E15" s="63" t="n"/>
      <c r="F15" s="71">
        <f>IF($B15="","",IF(ISNUMBER($E15),$E15,N($D15)))</f>
        <v/>
      </c>
      <c r="G15" s="63" t="n"/>
      <c r="H15" s="77" t="n"/>
      <c r="I15" s="71">
        <f>IF($B15="","",N($H15)/60*cfg_LaborRate)</f>
        <v/>
      </c>
      <c r="J15" s="63" t="n"/>
      <c r="K15" s="78">
        <f>IF($B15="","",$F15+N($G15)+$I15+N($J15))</f>
        <v/>
      </c>
      <c r="L15" s="64" t="n"/>
      <c r="M15" s="72">
        <f>IF($B15="","",IF(AND(ISNUMBER($L15),$L15&lt;0.95),MAX(0,$L15),cfg_TargetMargin))</f>
        <v/>
      </c>
      <c r="N15" s="71">
        <f>IF($B15="","",IF(cfg_Round&gt;0,CEILING($K15/(1-$M15),cfg_Round),ROUND($K15/(1-$M15),2)))</f>
        <v/>
      </c>
      <c r="O15" s="79" t="n"/>
      <c r="P15" s="71">
        <f>IF(OR($B15="",N($O15)&lt;=0),"",$O15-$K15)</f>
        <v/>
      </c>
      <c r="Q15" s="72">
        <f>IF(OR($B15="",N($O15)&lt;=0),"",$P15/$O15)</f>
        <v/>
      </c>
      <c r="R15" s="72">
        <f>IF(OR($B15="",N($O15)&lt;=0,N($K15)&lt;=0),"",$P15/$K15)</f>
        <v/>
      </c>
      <c r="S15" s="72">
        <f>IF(OR($B15="",N($O15)&lt;=0),"",$F15/$O15)</f>
        <v/>
      </c>
      <c r="T15" s="80">
        <f>IF($B15="","",IF(COUNTIF($B$7:$B$56,$B15)&gt;1,"Duplicate name",IF(N($O15)&lt;=0,"Set a price",IF(N($K15)&lt;=0,"Add costs",IF($P15&lt;0,"LOSS",IF($Q15&lt;$M15-0.00001,"Below target",IF($S15&gt;cfg_FoodCostTarget,"High food cost","Healthy")))))))</f>
        <v/>
      </c>
      <c r="U15" s="81">
        <f>IF($T15="","",IF($T15="Duplicate name","Each menu item needs a unique name",IF($T15="Set a price","Suggested starting price: "&amp;cfg_Symbol&amp;TEXT($N15,"0.00"),IF($T15="Add costs","Build the recipe or type an ingredient cost override",IF($T15="LOSS","Losing "&amp;cfg_Symbol&amp;TEXT(-$P15,"0.00")&amp;" per sale - raise to "&amp;cfg_Symbol&amp;TEXT($N15,"0.00"),IF($T15="Below target","Raise to "&amp;cfg_Symbol&amp;TEXT($N15,"0.00")&amp;" for a "&amp;TEXT($M15,"0%")&amp;" margin",IF($T15="High food cost","Margin OK; food cost "&amp;TEXT($S15,"0%")&amp;" is above "&amp;TEXT(cfg_FoodCostTarget,"0%")&amp;" target","On target")))))))</f>
        <v/>
      </c>
      <c r="V15" s="82">
        <f>IF($B15="","",SUMIFS('Sales Log'!$D$7:$D$3006,'Sales Log'!$C$7:$C$3006,$B15,'Sales Log'!$B$7:$B$3006,"&gt;="&amp;cfg_Start,'Sales Log'!$B$7:$B$3006,"&lt;="&amp;cfg_End,'Sales Log'!$N$7:$N$3006,"OK"))</f>
        <v/>
      </c>
      <c r="W15" s="71">
        <f>IF($B15="","",SUMIFS('Sales Log'!$I$7:$I$3006,'Sales Log'!$C$7:$C$3006,$B15,'Sales Log'!$B$7:$B$3006,"&gt;="&amp;cfg_Start,'Sales Log'!$B$7:$B$3006,"&lt;="&amp;cfg_End,'Sales Log'!$N$7:$N$3006,"OK"))</f>
        <v/>
      </c>
      <c r="X15" s="71">
        <f>IF($B15="","",SUMIFS('Sales Log'!$L$7:$L$3006,'Sales Log'!$C$7:$C$3006,$B15,'Sales Log'!$B$7:$B$3006,"&gt;="&amp;cfg_Start,'Sales Log'!$B$7:$B$3006,"&lt;="&amp;cfg_End,'Sales Log'!$N$7:$N$3006,"OK"))</f>
        <v/>
      </c>
      <c r="Y15" s="72">
        <f>IF($B15="","",IF(SUM($V$7:$V$56)=0,0,$V15/SUM($V$7:$V$56)))</f>
        <v/>
      </c>
      <c r="Z15" s="83">
        <f>IF($B15="",-1,N($V15)+ROW()/1000000)</f>
        <v/>
      </c>
      <c r="AA15" s="83">
        <f>IF($B15="",-1E+15,N($X15)+ROW()/1000000)</f>
        <v/>
      </c>
    </row>
    <row r="16" ht="19" customHeight="1">
      <c r="B16" s="60" t="n"/>
      <c r="C16" s="60" t="n"/>
      <c r="D16" s="71">
        <f>IF($B16="","",SUMIFS('Recipe Builder'!$J$7:$J$406,'Recipe Builder'!$B$7:$B$406,$B16))</f>
        <v/>
      </c>
      <c r="E16" s="63" t="n"/>
      <c r="F16" s="71">
        <f>IF($B16="","",IF(ISNUMBER($E16),$E16,N($D16)))</f>
        <v/>
      </c>
      <c r="G16" s="63" t="n"/>
      <c r="H16" s="77" t="n"/>
      <c r="I16" s="71">
        <f>IF($B16="","",N($H16)/60*cfg_LaborRate)</f>
        <v/>
      </c>
      <c r="J16" s="63" t="n"/>
      <c r="K16" s="78">
        <f>IF($B16="","",$F16+N($G16)+$I16+N($J16))</f>
        <v/>
      </c>
      <c r="L16" s="64" t="n"/>
      <c r="M16" s="72">
        <f>IF($B16="","",IF(AND(ISNUMBER($L16),$L16&lt;0.95),MAX(0,$L16),cfg_TargetMargin))</f>
        <v/>
      </c>
      <c r="N16" s="71">
        <f>IF($B16="","",IF(cfg_Round&gt;0,CEILING($K16/(1-$M16),cfg_Round),ROUND($K16/(1-$M16),2)))</f>
        <v/>
      </c>
      <c r="O16" s="79" t="n"/>
      <c r="P16" s="71">
        <f>IF(OR($B16="",N($O16)&lt;=0),"",$O16-$K16)</f>
        <v/>
      </c>
      <c r="Q16" s="72">
        <f>IF(OR($B16="",N($O16)&lt;=0),"",$P16/$O16)</f>
        <v/>
      </c>
      <c r="R16" s="72">
        <f>IF(OR($B16="",N($O16)&lt;=0,N($K16)&lt;=0),"",$P16/$K16)</f>
        <v/>
      </c>
      <c r="S16" s="72">
        <f>IF(OR($B16="",N($O16)&lt;=0),"",$F16/$O16)</f>
        <v/>
      </c>
      <c r="T16" s="80">
        <f>IF($B16="","",IF(COUNTIF($B$7:$B$56,$B16)&gt;1,"Duplicate name",IF(N($O16)&lt;=0,"Set a price",IF(N($K16)&lt;=0,"Add costs",IF($P16&lt;0,"LOSS",IF($Q16&lt;$M16-0.00001,"Below target",IF($S16&gt;cfg_FoodCostTarget,"High food cost","Healthy")))))))</f>
        <v/>
      </c>
      <c r="U16" s="81">
        <f>IF($T16="","",IF($T16="Duplicate name","Each menu item needs a unique name",IF($T16="Set a price","Suggested starting price: "&amp;cfg_Symbol&amp;TEXT($N16,"0.00"),IF($T16="Add costs","Build the recipe or type an ingredient cost override",IF($T16="LOSS","Losing "&amp;cfg_Symbol&amp;TEXT(-$P16,"0.00")&amp;" per sale - raise to "&amp;cfg_Symbol&amp;TEXT($N16,"0.00"),IF($T16="Below target","Raise to "&amp;cfg_Symbol&amp;TEXT($N16,"0.00")&amp;" for a "&amp;TEXT($M16,"0%")&amp;" margin",IF($T16="High food cost","Margin OK; food cost "&amp;TEXT($S16,"0%")&amp;" is above "&amp;TEXT(cfg_FoodCostTarget,"0%")&amp;" target","On target")))))))</f>
        <v/>
      </c>
      <c r="V16" s="82">
        <f>IF($B16="","",SUMIFS('Sales Log'!$D$7:$D$3006,'Sales Log'!$C$7:$C$3006,$B16,'Sales Log'!$B$7:$B$3006,"&gt;="&amp;cfg_Start,'Sales Log'!$B$7:$B$3006,"&lt;="&amp;cfg_End,'Sales Log'!$N$7:$N$3006,"OK"))</f>
        <v/>
      </c>
      <c r="W16" s="71">
        <f>IF($B16="","",SUMIFS('Sales Log'!$I$7:$I$3006,'Sales Log'!$C$7:$C$3006,$B16,'Sales Log'!$B$7:$B$3006,"&gt;="&amp;cfg_Start,'Sales Log'!$B$7:$B$3006,"&lt;="&amp;cfg_End,'Sales Log'!$N$7:$N$3006,"OK"))</f>
        <v/>
      </c>
      <c r="X16" s="71">
        <f>IF($B16="","",SUMIFS('Sales Log'!$L$7:$L$3006,'Sales Log'!$C$7:$C$3006,$B16,'Sales Log'!$B$7:$B$3006,"&gt;="&amp;cfg_Start,'Sales Log'!$B$7:$B$3006,"&lt;="&amp;cfg_End,'Sales Log'!$N$7:$N$3006,"OK"))</f>
        <v/>
      </c>
      <c r="Y16" s="72">
        <f>IF($B16="","",IF(SUM($V$7:$V$56)=0,0,$V16/SUM($V$7:$V$56)))</f>
        <v/>
      </c>
      <c r="Z16" s="83">
        <f>IF($B16="",-1,N($V16)+ROW()/1000000)</f>
        <v/>
      </c>
      <c r="AA16" s="83">
        <f>IF($B16="",-1E+15,N($X16)+ROW()/1000000)</f>
        <v/>
      </c>
    </row>
    <row r="17" ht="19" customHeight="1">
      <c r="B17" s="60" t="n"/>
      <c r="C17" s="60" t="n"/>
      <c r="D17" s="71">
        <f>IF($B17="","",SUMIFS('Recipe Builder'!$J$7:$J$406,'Recipe Builder'!$B$7:$B$406,$B17))</f>
        <v/>
      </c>
      <c r="E17" s="63" t="n"/>
      <c r="F17" s="71">
        <f>IF($B17="","",IF(ISNUMBER($E17),$E17,N($D17)))</f>
        <v/>
      </c>
      <c r="G17" s="63" t="n"/>
      <c r="H17" s="77" t="n"/>
      <c r="I17" s="71">
        <f>IF($B17="","",N($H17)/60*cfg_LaborRate)</f>
        <v/>
      </c>
      <c r="J17" s="63" t="n"/>
      <c r="K17" s="78">
        <f>IF($B17="","",$F17+N($G17)+$I17+N($J17))</f>
        <v/>
      </c>
      <c r="L17" s="64" t="n"/>
      <c r="M17" s="72">
        <f>IF($B17="","",IF(AND(ISNUMBER($L17),$L17&lt;0.95),MAX(0,$L17),cfg_TargetMargin))</f>
        <v/>
      </c>
      <c r="N17" s="71">
        <f>IF($B17="","",IF(cfg_Round&gt;0,CEILING($K17/(1-$M17),cfg_Round),ROUND($K17/(1-$M17),2)))</f>
        <v/>
      </c>
      <c r="O17" s="79" t="n"/>
      <c r="P17" s="71">
        <f>IF(OR($B17="",N($O17)&lt;=0),"",$O17-$K17)</f>
        <v/>
      </c>
      <c r="Q17" s="72">
        <f>IF(OR($B17="",N($O17)&lt;=0),"",$P17/$O17)</f>
        <v/>
      </c>
      <c r="R17" s="72">
        <f>IF(OR($B17="",N($O17)&lt;=0,N($K17)&lt;=0),"",$P17/$K17)</f>
        <v/>
      </c>
      <c r="S17" s="72">
        <f>IF(OR($B17="",N($O17)&lt;=0),"",$F17/$O17)</f>
        <v/>
      </c>
      <c r="T17" s="80">
        <f>IF($B17="","",IF(COUNTIF($B$7:$B$56,$B17)&gt;1,"Duplicate name",IF(N($O17)&lt;=0,"Set a price",IF(N($K17)&lt;=0,"Add costs",IF($P17&lt;0,"LOSS",IF($Q17&lt;$M17-0.00001,"Below target",IF($S17&gt;cfg_FoodCostTarget,"High food cost","Healthy")))))))</f>
        <v/>
      </c>
      <c r="U17" s="81">
        <f>IF($T17="","",IF($T17="Duplicate name","Each menu item needs a unique name",IF($T17="Set a price","Suggested starting price: "&amp;cfg_Symbol&amp;TEXT($N17,"0.00"),IF($T17="Add costs","Build the recipe or type an ingredient cost override",IF($T17="LOSS","Losing "&amp;cfg_Symbol&amp;TEXT(-$P17,"0.00")&amp;" per sale - raise to "&amp;cfg_Symbol&amp;TEXT($N17,"0.00"),IF($T17="Below target","Raise to "&amp;cfg_Symbol&amp;TEXT($N17,"0.00")&amp;" for a "&amp;TEXT($M17,"0%")&amp;" margin",IF($T17="High food cost","Margin OK; food cost "&amp;TEXT($S17,"0%")&amp;" is above "&amp;TEXT(cfg_FoodCostTarget,"0%")&amp;" target","On target")))))))</f>
        <v/>
      </c>
      <c r="V17" s="82">
        <f>IF($B17="","",SUMIFS('Sales Log'!$D$7:$D$3006,'Sales Log'!$C$7:$C$3006,$B17,'Sales Log'!$B$7:$B$3006,"&gt;="&amp;cfg_Start,'Sales Log'!$B$7:$B$3006,"&lt;="&amp;cfg_End,'Sales Log'!$N$7:$N$3006,"OK"))</f>
        <v/>
      </c>
      <c r="W17" s="71">
        <f>IF($B17="","",SUMIFS('Sales Log'!$I$7:$I$3006,'Sales Log'!$C$7:$C$3006,$B17,'Sales Log'!$B$7:$B$3006,"&gt;="&amp;cfg_Start,'Sales Log'!$B$7:$B$3006,"&lt;="&amp;cfg_End,'Sales Log'!$N$7:$N$3006,"OK"))</f>
        <v/>
      </c>
      <c r="X17" s="71">
        <f>IF($B17="","",SUMIFS('Sales Log'!$L$7:$L$3006,'Sales Log'!$C$7:$C$3006,$B17,'Sales Log'!$B$7:$B$3006,"&gt;="&amp;cfg_Start,'Sales Log'!$B$7:$B$3006,"&lt;="&amp;cfg_End,'Sales Log'!$N$7:$N$3006,"OK"))</f>
        <v/>
      </c>
      <c r="Y17" s="72">
        <f>IF($B17="","",IF(SUM($V$7:$V$56)=0,0,$V17/SUM($V$7:$V$56)))</f>
        <v/>
      </c>
      <c r="Z17" s="83">
        <f>IF($B17="",-1,N($V17)+ROW()/1000000)</f>
        <v/>
      </c>
      <c r="AA17" s="83">
        <f>IF($B17="",-1E+15,N($X17)+ROW()/1000000)</f>
        <v/>
      </c>
    </row>
    <row r="18" ht="19" customHeight="1">
      <c r="B18" s="60" t="n"/>
      <c r="C18" s="60" t="n"/>
      <c r="D18" s="71">
        <f>IF($B18="","",SUMIFS('Recipe Builder'!$J$7:$J$406,'Recipe Builder'!$B$7:$B$406,$B18))</f>
        <v/>
      </c>
      <c r="E18" s="63" t="n"/>
      <c r="F18" s="71">
        <f>IF($B18="","",IF(ISNUMBER($E18),$E18,N($D18)))</f>
        <v/>
      </c>
      <c r="G18" s="63" t="n"/>
      <c r="H18" s="77" t="n"/>
      <c r="I18" s="71">
        <f>IF($B18="","",N($H18)/60*cfg_LaborRate)</f>
        <v/>
      </c>
      <c r="J18" s="63" t="n"/>
      <c r="K18" s="78">
        <f>IF($B18="","",$F18+N($G18)+$I18+N($J18))</f>
        <v/>
      </c>
      <c r="L18" s="64" t="n"/>
      <c r="M18" s="72">
        <f>IF($B18="","",IF(AND(ISNUMBER($L18),$L18&lt;0.95),MAX(0,$L18),cfg_TargetMargin))</f>
        <v/>
      </c>
      <c r="N18" s="71">
        <f>IF($B18="","",IF(cfg_Round&gt;0,CEILING($K18/(1-$M18),cfg_Round),ROUND($K18/(1-$M18),2)))</f>
        <v/>
      </c>
      <c r="O18" s="79" t="n"/>
      <c r="P18" s="71">
        <f>IF(OR($B18="",N($O18)&lt;=0),"",$O18-$K18)</f>
        <v/>
      </c>
      <c r="Q18" s="72">
        <f>IF(OR($B18="",N($O18)&lt;=0),"",$P18/$O18)</f>
        <v/>
      </c>
      <c r="R18" s="72">
        <f>IF(OR($B18="",N($O18)&lt;=0,N($K18)&lt;=0),"",$P18/$K18)</f>
        <v/>
      </c>
      <c r="S18" s="72">
        <f>IF(OR($B18="",N($O18)&lt;=0),"",$F18/$O18)</f>
        <v/>
      </c>
      <c r="T18" s="80">
        <f>IF($B18="","",IF(COUNTIF($B$7:$B$56,$B18)&gt;1,"Duplicate name",IF(N($O18)&lt;=0,"Set a price",IF(N($K18)&lt;=0,"Add costs",IF($P18&lt;0,"LOSS",IF($Q18&lt;$M18-0.00001,"Below target",IF($S18&gt;cfg_FoodCostTarget,"High food cost","Healthy")))))))</f>
        <v/>
      </c>
      <c r="U18" s="81">
        <f>IF($T18="","",IF($T18="Duplicate name","Each menu item needs a unique name",IF($T18="Set a price","Suggested starting price: "&amp;cfg_Symbol&amp;TEXT($N18,"0.00"),IF($T18="Add costs","Build the recipe or type an ingredient cost override",IF($T18="LOSS","Losing "&amp;cfg_Symbol&amp;TEXT(-$P18,"0.00")&amp;" per sale - raise to "&amp;cfg_Symbol&amp;TEXT($N18,"0.00"),IF($T18="Below target","Raise to "&amp;cfg_Symbol&amp;TEXT($N18,"0.00")&amp;" for a "&amp;TEXT($M18,"0%")&amp;" margin",IF($T18="High food cost","Margin OK; food cost "&amp;TEXT($S18,"0%")&amp;" is above "&amp;TEXT(cfg_FoodCostTarget,"0%")&amp;" target","On target")))))))</f>
        <v/>
      </c>
      <c r="V18" s="82">
        <f>IF($B18="","",SUMIFS('Sales Log'!$D$7:$D$3006,'Sales Log'!$C$7:$C$3006,$B18,'Sales Log'!$B$7:$B$3006,"&gt;="&amp;cfg_Start,'Sales Log'!$B$7:$B$3006,"&lt;="&amp;cfg_End,'Sales Log'!$N$7:$N$3006,"OK"))</f>
        <v/>
      </c>
      <c r="W18" s="71">
        <f>IF($B18="","",SUMIFS('Sales Log'!$I$7:$I$3006,'Sales Log'!$C$7:$C$3006,$B18,'Sales Log'!$B$7:$B$3006,"&gt;="&amp;cfg_Start,'Sales Log'!$B$7:$B$3006,"&lt;="&amp;cfg_End,'Sales Log'!$N$7:$N$3006,"OK"))</f>
        <v/>
      </c>
      <c r="X18" s="71">
        <f>IF($B18="","",SUMIFS('Sales Log'!$L$7:$L$3006,'Sales Log'!$C$7:$C$3006,$B18,'Sales Log'!$B$7:$B$3006,"&gt;="&amp;cfg_Start,'Sales Log'!$B$7:$B$3006,"&lt;="&amp;cfg_End,'Sales Log'!$N$7:$N$3006,"OK"))</f>
        <v/>
      </c>
      <c r="Y18" s="72">
        <f>IF($B18="","",IF(SUM($V$7:$V$56)=0,0,$V18/SUM($V$7:$V$56)))</f>
        <v/>
      </c>
      <c r="Z18" s="83">
        <f>IF($B18="",-1,N($V18)+ROW()/1000000)</f>
        <v/>
      </c>
      <c r="AA18" s="83">
        <f>IF($B18="",-1E+15,N($X18)+ROW()/1000000)</f>
        <v/>
      </c>
    </row>
    <row r="19" ht="19" customHeight="1">
      <c r="B19" s="60" t="n"/>
      <c r="C19" s="60" t="n"/>
      <c r="D19" s="71">
        <f>IF($B19="","",SUMIFS('Recipe Builder'!$J$7:$J$406,'Recipe Builder'!$B$7:$B$406,$B19))</f>
        <v/>
      </c>
      <c r="E19" s="63" t="n"/>
      <c r="F19" s="71">
        <f>IF($B19="","",IF(ISNUMBER($E19),$E19,N($D19)))</f>
        <v/>
      </c>
      <c r="G19" s="63" t="n"/>
      <c r="H19" s="77" t="n"/>
      <c r="I19" s="71">
        <f>IF($B19="","",N($H19)/60*cfg_LaborRate)</f>
        <v/>
      </c>
      <c r="J19" s="63" t="n"/>
      <c r="K19" s="78">
        <f>IF($B19="","",$F19+N($G19)+$I19+N($J19))</f>
        <v/>
      </c>
      <c r="L19" s="64" t="n"/>
      <c r="M19" s="72">
        <f>IF($B19="","",IF(AND(ISNUMBER($L19),$L19&lt;0.95),MAX(0,$L19),cfg_TargetMargin))</f>
        <v/>
      </c>
      <c r="N19" s="71">
        <f>IF($B19="","",IF(cfg_Round&gt;0,CEILING($K19/(1-$M19),cfg_Round),ROUND($K19/(1-$M19),2)))</f>
        <v/>
      </c>
      <c r="O19" s="79" t="n"/>
      <c r="P19" s="71">
        <f>IF(OR($B19="",N($O19)&lt;=0),"",$O19-$K19)</f>
        <v/>
      </c>
      <c r="Q19" s="72">
        <f>IF(OR($B19="",N($O19)&lt;=0),"",$P19/$O19)</f>
        <v/>
      </c>
      <c r="R19" s="72">
        <f>IF(OR($B19="",N($O19)&lt;=0,N($K19)&lt;=0),"",$P19/$K19)</f>
        <v/>
      </c>
      <c r="S19" s="72">
        <f>IF(OR($B19="",N($O19)&lt;=0),"",$F19/$O19)</f>
        <v/>
      </c>
      <c r="T19" s="80">
        <f>IF($B19="","",IF(COUNTIF($B$7:$B$56,$B19)&gt;1,"Duplicate name",IF(N($O19)&lt;=0,"Set a price",IF(N($K19)&lt;=0,"Add costs",IF($P19&lt;0,"LOSS",IF($Q19&lt;$M19-0.00001,"Below target",IF($S19&gt;cfg_FoodCostTarget,"High food cost","Healthy")))))))</f>
        <v/>
      </c>
      <c r="U19" s="81">
        <f>IF($T19="","",IF($T19="Duplicate name","Each menu item needs a unique name",IF($T19="Set a price","Suggested starting price: "&amp;cfg_Symbol&amp;TEXT($N19,"0.00"),IF($T19="Add costs","Build the recipe or type an ingredient cost override",IF($T19="LOSS","Losing "&amp;cfg_Symbol&amp;TEXT(-$P19,"0.00")&amp;" per sale - raise to "&amp;cfg_Symbol&amp;TEXT($N19,"0.00"),IF($T19="Below target","Raise to "&amp;cfg_Symbol&amp;TEXT($N19,"0.00")&amp;" for a "&amp;TEXT($M19,"0%")&amp;" margin",IF($T19="High food cost","Margin OK; food cost "&amp;TEXT($S19,"0%")&amp;" is above "&amp;TEXT(cfg_FoodCostTarget,"0%")&amp;" target","On target")))))))</f>
        <v/>
      </c>
      <c r="V19" s="82">
        <f>IF($B19="","",SUMIFS('Sales Log'!$D$7:$D$3006,'Sales Log'!$C$7:$C$3006,$B19,'Sales Log'!$B$7:$B$3006,"&gt;="&amp;cfg_Start,'Sales Log'!$B$7:$B$3006,"&lt;="&amp;cfg_End,'Sales Log'!$N$7:$N$3006,"OK"))</f>
        <v/>
      </c>
      <c r="W19" s="71">
        <f>IF($B19="","",SUMIFS('Sales Log'!$I$7:$I$3006,'Sales Log'!$C$7:$C$3006,$B19,'Sales Log'!$B$7:$B$3006,"&gt;="&amp;cfg_Start,'Sales Log'!$B$7:$B$3006,"&lt;="&amp;cfg_End,'Sales Log'!$N$7:$N$3006,"OK"))</f>
        <v/>
      </c>
      <c r="X19" s="71">
        <f>IF($B19="","",SUMIFS('Sales Log'!$L$7:$L$3006,'Sales Log'!$C$7:$C$3006,$B19,'Sales Log'!$B$7:$B$3006,"&gt;="&amp;cfg_Start,'Sales Log'!$B$7:$B$3006,"&lt;="&amp;cfg_End,'Sales Log'!$N$7:$N$3006,"OK"))</f>
        <v/>
      </c>
      <c r="Y19" s="72">
        <f>IF($B19="","",IF(SUM($V$7:$V$56)=0,0,$V19/SUM($V$7:$V$56)))</f>
        <v/>
      </c>
      <c r="Z19" s="83">
        <f>IF($B19="",-1,N($V19)+ROW()/1000000)</f>
        <v/>
      </c>
      <c r="AA19" s="83">
        <f>IF($B19="",-1E+15,N($X19)+ROW()/1000000)</f>
        <v/>
      </c>
    </row>
    <row r="20" ht="19" customHeight="1">
      <c r="B20" s="60" t="n"/>
      <c r="C20" s="60" t="n"/>
      <c r="D20" s="71">
        <f>IF($B20="","",SUMIFS('Recipe Builder'!$J$7:$J$406,'Recipe Builder'!$B$7:$B$406,$B20))</f>
        <v/>
      </c>
      <c r="E20" s="63" t="n"/>
      <c r="F20" s="71">
        <f>IF($B20="","",IF(ISNUMBER($E20),$E20,N($D20)))</f>
        <v/>
      </c>
      <c r="G20" s="63" t="n"/>
      <c r="H20" s="77" t="n"/>
      <c r="I20" s="71">
        <f>IF($B20="","",N($H20)/60*cfg_LaborRate)</f>
        <v/>
      </c>
      <c r="J20" s="63" t="n"/>
      <c r="K20" s="78">
        <f>IF($B20="","",$F20+N($G20)+$I20+N($J20))</f>
        <v/>
      </c>
      <c r="L20" s="64" t="n"/>
      <c r="M20" s="72">
        <f>IF($B20="","",IF(AND(ISNUMBER($L20),$L20&lt;0.95),MAX(0,$L20),cfg_TargetMargin))</f>
        <v/>
      </c>
      <c r="N20" s="71">
        <f>IF($B20="","",IF(cfg_Round&gt;0,CEILING($K20/(1-$M20),cfg_Round),ROUND($K20/(1-$M20),2)))</f>
        <v/>
      </c>
      <c r="O20" s="79" t="n"/>
      <c r="P20" s="71">
        <f>IF(OR($B20="",N($O20)&lt;=0),"",$O20-$K20)</f>
        <v/>
      </c>
      <c r="Q20" s="72">
        <f>IF(OR($B20="",N($O20)&lt;=0),"",$P20/$O20)</f>
        <v/>
      </c>
      <c r="R20" s="72">
        <f>IF(OR($B20="",N($O20)&lt;=0,N($K20)&lt;=0),"",$P20/$K20)</f>
        <v/>
      </c>
      <c r="S20" s="72">
        <f>IF(OR($B20="",N($O20)&lt;=0),"",$F20/$O20)</f>
        <v/>
      </c>
      <c r="T20" s="80">
        <f>IF($B20="","",IF(COUNTIF($B$7:$B$56,$B20)&gt;1,"Duplicate name",IF(N($O20)&lt;=0,"Set a price",IF(N($K20)&lt;=0,"Add costs",IF($P20&lt;0,"LOSS",IF($Q20&lt;$M20-0.00001,"Below target",IF($S20&gt;cfg_FoodCostTarget,"High food cost","Healthy")))))))</f>
        <v/>
      </c>
      <c r="U20" s="81">
        <f>IF($T20="","",IF($T20="Duplicate name","Each menu item needs a unique name",IF($T20="Set a price","Suggested starting price: "&amp;cfg_Symbol&amp;TEXT($N20,"0.00"),IF($T20="Add costs","Build the recipe or type an ingredient cost override",IF($T20="LOSS","Losing "&amp;cfg_Symbol&amp;TEXT(-$P20,"0.00")&amp;" per sale - raise to "&amp;cfg_Symbol&amp;TEXT($N20,"0.00"),IF($T20="Below target","Raise to "&amp;cfg_Symbol&amp;TEXT($N20,"0.00")&amp;" for a "&amp;TEXT($M20,"0%")&amp;" margin",IF($T20="High food cost","Margin OK; food cost "&amp;TEXT($S20,"0%")&amp;" is above "&amp;TEXT(cfg_FoodCostTarget,"0%")&amp;" target","On target")))))))</f>
        <v/>
      </c>
      <c r="V20" s="82">
        <f>IF($B20="","",SUMIFS('Sales Log'!$D$7:$D$3006,'Sales Log'!$C$7:$C$3006,$B20,'Sales Log'!$B$7:$B$3006,"&gt;="&amp;cfg_Start,'Sales Log'!$B$7:$B$3006,"&lt;="&amp;cfg_End,'Sales Log'!$N$7:$N$3006,"OK"))</f>
        <v/>
      </c>
      <c r="W20" s="71">
        <f>IF($B20="","",SUMIFS('Sales Log'!$I$7:$I$3006,'Sales Log'!$C$7:$C$3006,$B20,'Sales Log'!$B$7:$B$3006,"&gt;="&amp;cfg_Start,'Sales Log'!$B$7:$B$3006,"&lt;="&amp;cfg_End,'Sales Log'!$N$7:$N$3006,"OK"))</f>
        <v/>
      </c>
      <c r="X20" s="71">
        <f>IF($B20="","",SUMIFS('Sales Log'!$L$7:$L$3006,'Sales Log'!$C$7:$C$3006,$B20,'Sales Log'!$B$7:$B$3006,"&gt;="&amp;cfg_Start,'Sales Log'!$B$7:$B$3006,"&lt;="&amp;cfg_End,'Sales Log'!$N$7:$N$3006,"OK"))</f>
        <v/>
      </c>
      <c r="Y20" s="72">
        <f>IF($B20="","",IF(SUM($V$7:$V$56)=0,0,$V20/SUM($V$7:$V$56)))</f>
        <v/>
      </c>
      <c r="Z20" s="83">
        <f>IF($B20="",-1,N($V20)+ROW()/1000000)</f>
        <v/>
      </c>
      <c r="AA20" s="83">
        <f>IF($B20="",-1E+15,N($X20)+ROW()/1000000)</f>
        <v/>
      </c>
    </row>
    <row r="21" ht="19" customHeight="1">
      <c r="B21" s="60" t="n"/>
      <c r="C21" s="60" t="n"/>
      <c r="D21" s="71">
        <f>IF($B21="","",SUMIFS('Recipe Builder'!$J$7:$J$406,'Recipe Builder'!$B$7:$B$406,$B21))</f>
        <v/>
      </c>
      <c r="E21" s="63" t="n"/>
      <c r="F21" s="71">
        <f>IF($B21="","",IF(ISNUMBER($E21),$E21,N($D21)))</f>
        <v/>
      </c>
      <c r="G21" s="63" t="n"/>
      <c r="H21" s="77" t="n"/>
      <c r="I21" s="71">
        <f>IF($B21="","",N($H21)/60*cfg_LaborRate)</f>
        <v/>
      </c>
      <c r="J21" s="63" t="n"/>
      <c r="K21" s="78">
        <f>IF($B21="","",$F21+N($G21)+$I21+N($J21))</f>
        <v/>
      </c>
      <c r="L21" s="64" t="n"/>
      <c r="M21" s="72">
        <f>IF($B21="","",IF(AND(ISNUMBER($L21),$L21&lt;0.95),MAX(0,$L21),cfg_TargetMargin))</f>
        <v/>
      </c>
      <c r="N21" s="71">
        <f>IF($B21="","",IF(cfg_Round&gt;0,CEILING($K21/(1-$M21),cfg_Round),ROUND($K21/(1-$M21),2)))</f>
        <v/>
      </c>
      <c r="O21" s="79" t="n"/>
      <c r="P21" s="71">
        <f>IF(OR($B21="",N($O21)&lt;=0),"",$O21-$K21)</f>
        <v/>
      </c>
      <c r="Q21" s="72">
        <f>IF(OR($B21="",N($O21)&lt;=0),"",$P21/$O21)</f>
        <v/>
      </c>
      <c r="R21" s="72">
        <f>IF(OR($B21="",N($O21)&lt;=0,N($K21)&lt;=0),"",$P21/$K21)</f>
        <v/>
      </c>
      <c r="S21" s="72">
        <f>IF(OR($B21="",N($O21)&lt;=0),"",$F21/$O21)</f>
        <v/>
      </c>
      <c r="T21" s="80">
        <f>IF($B21="","",IF(COUNTIF($B$7:$B$56,$B21)&gt;1,"Duplicate name",IF(N($O21)&lt;=0,"Set a price",IF(N($K21)&lt;=0,"Add costs",IF($P21&lt;0,"LOSS",IF($Q21&lt;$M21-0.00001,"Below target",IF($S21&gt;cfg_FoodCostTarget,"High food cost","Healthy")))))))</f>
        <v/>
      </c>
      <c r="U21" s="81">
        <f>IF($T21="","",IF($T21="Duplicate name","Each menu item needs a unique name",IF($T21="Set a price","Suggested starting price: "&amp;cfg_Symbol&amp;TEXT($N21,"0.00"),IF($T21="Add costs","Build the recipe or type an ingredient cost override",IF($T21="LOSS","Losing "&amp;cfg_Symbol&amp;TEXT(-$P21,"0.00")&amp;" per sale - raise to "&amp;cfg_Symbol&amp;TEXT($N21,"0.00"),IF($T21="Below target","Raise to "&amp;cfg_Symbol&amp;TEXT($N21,"0.00")&amp;" for a "&amp;TEXT($M21,"0%")&amp;" margin",IF($T21="High food cost","Margin OK; food cost "&amp;TEXT($S21,"0%")&amp;" is above "&amp;TEXT(cfg_FoodCostTarget,"0%")&amp;" target","On target")))))))</f>
        <v/>
      </c>
      <c r="V21" s="82">
        <f>IF($B21="","",SUMIFS('Sales Log'!$D$7:$D$3006,'Sales Log'!$C$7:$C$3006,$B21,'Sales Log'!$B$7:$B$3006,"&gt;="&amp;cfg_Start,'Sales Log'!$B$7:$B$3006,"&lt;="&amp;cfg_End,'Sales Log'!$N$7:$N$3006,"OK"))</f>
        <v/>
      </c>
      <c r="W21" s="71">
        <f>IF($B21="","",SUMIFS('Sales Log'!$I$7:$I$3006,'Sales Log'!$C$7:$C$3006,$B21,'Sales Log'!$B$7:$B$3006,"&gt;="&amp;cfg_Start,'Sales Log'!$B$7:$B$3006,"&lt;="&amp;cfg_End,'Sales Log'!$N$7:$N$3006,"OK"))</f>
        <v/>
      </c>
      <c r="X21" s="71">
        <f>IF($B21="","",SUMIFS('Sales Log'!$L$7:$L$3006,'Sales Log'!$C$7:$C$3006,$B21,'Sales Log'!$B$7:$B$3006,"&gt;="&amp;cfg_Start,'Sales Log'!$B$7:$B$3006,"&lt;="&amp;cfg_End,'Sales Log'!$N$7:$N$3006,"OK"))</f>
        <v/>
      </c>
      <c r="Y21" s="72">
        <f>IF($B21="","",IF(SUM($V$7:$V$56)=0,0,$V21/SUM($V$7:$V$56)))</f>
        <v/>
      </c>
      <c r="Z21" s="83">
        <f>IF($B21="",-1,N($V21)+ROW()/1000000)</f>
        <v/>
      </c>
      <c r="AA21" s="83">
        <f>IF($B21="",-1E+15,N($X21)+ROW()/1000000)</f>
        <v/>
      </c>
    </row>
    <row r="22" ht="19" customHeight="1">
      <c r="B22" s="60" t="n"/>
      <c r="C22" s="60" t="n"/>
      <c r="D22" s="71">
        <f>IF($B22="","",SUMIFS('Recipe Builder'!$J$7:$J$406,'Recipe Builder'!$B$7:$B$406,$B22))</f>
        <v/>
      </c>
      <c r="E22" s="63" t="n"/>
      <c r="F22" s="71">
        <f>IF($B22="","",IF(ISNUMBER($E22),$E22,N($D22)))</f>
        <v/>
      </c>
      <c r="G22" s="63" t="n"/>
      <c r="H22" s="77" t="n"/>
      <c r="I22" s="71">
        <f>IF($B22="","",N($H22)/60*cfg_LaborRate)</f>
        <v/>
      </c>
      <c r="J22" s="63" t="n"/>
      <c r="K22" s="78">
        <f>IF($B22="","",$F22+N($G22)+$I22+N($J22))</f>
        <v/>
      </c>
      <c r="L22" s="64" t="n"/>
      <c r="M22" s="72">
        <f>IF($B22="","",IF(AND(ISNUMBER($L22),$L22&lt;0.95),MAX(0,$L22),cfg_TargetMargin))</f>
        <v/>
      </c>
      <c r="N22" s="71">
        <f>IF($B22="","",IF(cfg_Round&gt;0,CEILING($K22/(1-$M22),cfg_Round),ROUND($K22/(1-$M22),2)))</f>
        <v/>
      </c>
      <c r="O22" s="79" t="n"/>
      <c r="P22" s="71">
        <f>IF(OR($B22="",N($O22)&lt;=0),"",$O22-$K22)</f>
        <v/>
      </c>
      <c r="Q22" s="72">
        <f>IF(OR($B22="",N($O22)&lt;=0),"",$P22/$O22)</f>
        <v/>
      </c>
      <c r="R22" s="72">
        <f>IF(OR($B22="",N($O22)&lt;=0,N($K22)&lt;=0),"",$P22/$K22)</f>
        <v/>
      </c>
      <c r="S22" s="72">
        <f>IF(OR($B22="",N($O22)&lt;=0),"",$F22/$O22)</f>
        <v/>
      </c>
      <c r="T22" s="80">
        <f>IF($B22="","",IF(COUNTIF($B$7:$B$56,$B22)&gt;1,"Duplicate name",IF(N($O22)&lt;=0,"Set a price",IF(N($K22)&lt;=0,"Add costs",IF($P22&lt;0,"LOSS",IF($Q22&lt;$M22-0.00001,"Below target",IF($S22&gt;cfg_FoodCostTarget,"High food cost","Healthy")))))))</f>
        <v/>
      </c>
      <c r="U22" s="81">
        <f>IF($T22="","",IF($T22="Duplicate name","Each menu item needs a unique name",IF($T22="Set a price","Suggested starting price: "&amp;cfg_Symbol&amp;TEXT($N22,"0.00"),IF($T22="Add costs","Build the recipe or type an ingredient cost override",IF($T22="LOSS","Losing "&amp;cfg_Symbol&amp;TEXT(-$P22,"0.00")&amp;" per sale - raise to "&amp;cfg_Symbol&amp;TEXT($N22,"0.00"),IF($T22="Below target","Raise to "&amp;cfg_Symbol&amp;TEXT($N22,"0.00")&amp;" for a "&amp;TEXT($M22,"0%")&amp;" margin",IF($T22="High food cost","Margin OK; food cost "&amp;TEXT($S22,"0%")&amp;" is above "&amp;TEXT(cfg_FoodCostTarget,"0%")&amp;" target","On target")))))))</f>
        <v/>
      </c>
      <c r="V22" s="82">
        <f>IF($B22="","",SUMIFS('Sales Log'!$D$7:$D$3006,'Sales Log'!$C$7:$C$3006,$B22,'Sales Log'!$B$7:$B$3006,"&gt;="&amp;cfg_Start,'Sales Log'!$B$7:$B$3006,"&lt;="&amp;cfg_End,'Sales Log'!$N$7:$N$3006,"OK"))</f>
        <v/>
      </c>
      <c r="W22" s="71">
        <f>IF($B22="","",SUMIFS('Sales Log'!$I$7:$I$3006,'Sales Log'!$C$7:$C$3006,$B22,'Sales Log'!$B$7:$B$3006,"&gt;="&amp;cfg_Start,'Sales Log'!$B$7:$B$3006,"&lt;="&amp;cfg_End,'Sales Log'!$N$7:$N$3006,"OK"))</f>
        <v/>
      </c>
      <c r="X22" s="71">
        <f>IF($B22="","",SUMIFS('Sales Log'!$L$7:$L$3006,'Sales Log'!$C$7:$C$3006,$B22,'Sales Log'!$B$7:$B$3006,"&gt;="&amp;cfg_Start,'Sales Log'!$B$7:$B$3006,"&lt;="&amp;cfg_End,'Sales Log'!$N$7:$N$3006,"OK"))</f>
        <v/>
      </c>
      <c r="Y22" s="72">
        <f>IF($B22="","",IF(SUM($V$7:$V$56)=0,0,$V22/SUM($V$7:$V$56)))</f>
        <v/>
      </c>
      <c r="Z22" s="83">
        <f>IF($B22="",-1,N($V22)+ROW()/1000000)</f>
        <v/>
      </c>
      <c r="AA22" s="83">
        <f>IF($B22="",-1E+15,N($X22)+ROW()/1000000)</f>
        <v/>
      </c>
    </row>
    <row r="23" ht="19" customHeight="1">
      <c r="B23" s="60" t="n"/>
      <c r="C23" s="60" t="n"/>
      <c r="D23" s="71">
        <f>IF($B23="","",SUMIFS('Recipe Builder'!$J$7:$J$406,'Recipe Builder'!$B$7:$B$406,$B23))</f>
        <v/>
      </c>
      <c r="E23" s="63" t="n"/>
      <c r="F23" s="71">
        <f>IF($B23="","",IF(ISNUMBER($E23),$E23,N($D23)))</f>
        <v/>
      </c>
      <c r="G23" s="63" t="n"/>
      <c r="H23" s="77" t="n"/>
      <c r="I23" s="71">
        <f>IF($B23="","",N($H23)/60*cfg_LaborRate)</f>
        <v/>
      </c>
      <c r="J23" s="63" t="n"/>
      <c r="K23" s="78">
        <f>IF($B23="","",$F23+N($G23)+$I23+N($J23))</f>
        <v/>
      </c>
      <c r="L23" s="64" t="n"/>
      <c r="M23" s="72">
        <f>IF($B23="","",IF(AND(ISNUMBER($L23),$L23&lt;0.95),MAX(0,$L23),cfg_TargetMargin))</f>
        <v/>
      </c>
      <c r="N23" s="71">
        <f>IF($B23="","",IF(cfg_Round&gt;0,CEILING($K23/(1-$M23),cfg_Round),ROUND($K23/(1-$M23),2)))</f>
        <v/>
      </c>
      <c r="O23" s="79" t="n"/>
      <c r="P23" s="71">
        <f>IF(OR($B23="",N($O23)&lt;=0),"",$O23-$K23)</f>
        <v/>
      </c>
      <c r="Q23" s="72">
        <f>IF(OR($B23="",N($O23)&lt;=0),"",$P23/$O23)</f>
        <v/>
      </c>
      <c r="R23" s="72">
        <f>IF(OR($B23="",N($O23)&lt;=0,N($K23)&lt;=0),"",$P23/$K23)</f>
        <v/>
      </c>
      <c r="S23" s="72">
        <f>IF(OR($B23="",N($O23)&lt;=0),"",$F23/$O23)</f>
        <v/>
      </c>
      <c r="T23" s="80">
        <f>IF($B23="","",IF(COUNTIF($B$7:$B$56,$B23)&gt;1,"Duplicate name",IF(N($O23)&lt;=0,"Set a price",IF(N($K23)&lt;=0,"Add costs",IF($P23&lt;0,"LOSS",IF($Q23&lt;$M23-0.00001,"Below target",IF($S23&gt;cfg_FoodCostTarget,"High food cost","Healthy")))))))</f>
        <v/>
      </c>
      <c r="U23" s="81">
        <f>IF($T23="","",IF($T23="Duplicate name","Each menu item needs a unique name",IF($T23="Set a price","Suggested starting price: "&amp;cfg_Symbol&amp;TEXT($N23,"0.00"),IF($T23="Add costs","Build the recipe or type an ingredient cost override",IF($T23="LOSS","Losing "&amp;cfg_Symbol&amp;TEXT(-$P23,"0.00")&amp;" per sale - raise to "&amp;cfg_Symbol&amp;TEXT($N23,"0.00"),IF($T23="Below target","Raise to "&amp;cfg_Symbol&amp;TEXT($N23,"0.00")&amp;" for a "&amp;TEXT($M23,"0%")&amp;" margin",IF($T23="High food cost","Margin OK; food cost "&amp;TEXT($S23,"0%")&amp;" is above "&amp;TEXT(cfg_FoodCostTarget,"0%")&amp;" target","On target")))))))</f>
        <v/>
      </c>
      <c r="V23" s="82">
        <f>IF($B23="","",SUMIFS('Sales Log'!$D$7:$D$3006,'Sales Log'!$C$7:$C$3006,$B23,'Sales Log'!$B$7:$B$3006,"&gt;="&amp;cfg_Start,'Sales Log'!$B$7:$B$3006,"&lt;="&amp;cfg_End,'Sales Log'!$N$7:$N$3006,"OK"))</f>
        <v/>
      </c>
      <c r="W23" s="71">
        <f>IF($B23="","",SUMIFS('Sales Log'!$I$7:$I$3006,'Sales Log'!$C$7:$C$3006,$B23,'Sales Log'!$B$7:$B$3006,"&gt;="&amp;cfg_Start,'Sales Log'!$B$7:$B$3006,"&lt;="&amp;cfg_End,'Sales Log'!$N$7:$N$3006,"OK"))</f>
        <v/>
      </c>
      <c r="X23" s="71">
        <f>IF($B23="","",SUMIFS('Sales Log'!$L$7:$L$3006,'Sales Log'!$C$7:$C$3006,$B23,'Sales Log'!$B$7:$B$3006,"&gt;="&amp;cfg_Start,'Sales Log'!$B$7:$B$3006,"&lt;="&amp;cfg_End,'Sales Log'!$N$7:$N$3006,"OK"))</f>
        <v/>
      </c>
      <c r="Y23" s="72">
        <f>IF($B23="","",IF(SUM($V$7:$V$56)=0,0,$V23/SUM($V$7:$V$56)))</f>
        <v/>
      </c>
      <c r="Z23" s="83">
        <f>IF($B23="",-1,N($V23)+ROW()/1000000)</f>
        <v/>
      </c>
      <c r="AA23" s="83">
        <f>IF($B23="",-1E+15,N($X23)+ROW()/1000000)</f>
        <v/>
      </c>
    </row>
    <row r="24" ht="19" customHeight="1">
      <c r="B24" s="60" t="n"/>
      <c r="C24" s="60" t="n"/>
      <c r="D24" s="71">
        <f>IF($B24="","",SUMIFS('Recipe Builder'!$J$7:$J$406,'Recipe Builder'!$B$7:$B$406,$B24))</f>
        <v/>
      </c>
      <c r="E24" s="63" t="n"/>
      <c r="F24" s="71">
        <f>IF($B24="","",IF(ISNUMBER($E24),$E24,N($D24)))</f>
        <v/>
      </c>
      <c r="G24" s="63" t="n"/>
      <c r="H24" s="77" t="n"/>
      <c r="I24" s="71">
        <f>IF($B24="","",N($H24)/60*cfg_LaborRate)</f>
        <v/>
      </c>
      <c r="J24" s="63" t="n"/>
      <c r="K24" s="78">
        <f>IF($B24="","",$F24+N($G24)+$I24+N($J24))</f>
        <v/>
      </c>
      <c r="L24" s="64" t="n"/>
      <c r="M24" s="72">
        <f>IF($B24="","",IF(AND(ISNUMBER($L24),$L24&lt;0.95),MAX(0,$L24),cfg_TargetMargin))</f>
        <v/>
      </c>
      <c r="N24" s="71">
        <f>IF($B24="","",IF(cfg_Round&gt;0,CEILING($K24/(1-$M24),cfg_Round),ROUND($K24/(1-$M24),2)))</f>
        <v/>
      </c>
      <c r="O24" s="79" t="n"/>
      <c r="P24" s="71">
        <f>IF(OR($B24="",N($O24)&lt;=0),"",$O24-$K24)</f>
        <v/>
      </c>
      <c r="Q24" s="72">
        <f>IF(OR($B24="",N($O24)&lt;=0),"",$P24/$O24)</f>
        <v/>
      </c>
      <c r="R24" s="72">
        <f>IF(OR($B24="",N($O24)&lt;=0,N($K24)&lt;=0),"",$P24/$K24)</f>
        <v/>
      </c>
      <c r="S24" s="72">
        <f>IF(OR($B24="",N($O24)&lt;=0),"",$F24/$O24)</f>
        <v/>
      </c>
      <c r="T24" s="80">
        <f>IF($B24="","",IF(COUNTIF($B$7:$B$56,$B24)&gt;1,"Duplicate name",IF(N($O24)&lt;=0,"Set a price",IF(N($K24)&lt;=0,"Add costs",IF($P24&lt;0,"LOSS",IF($Q24&lt;$M24-0.00001,"Below target",IF($S24&gt;cfg_FoodCostTarget,"High food cost","Healthy")))))))</f>
        <v/>
      </c>
      <c r="U24" s="81">
        <f>IF($T24="","",IF($T24="Duplicate name","Each menu item needs a unique name",IF($T24="Set a price","Suggested starting price: "&amp;cfg_Symbol&amp;TEXT($N24,"0.00"),IF($T24="Add costs","Build the recipe or type an ingredient cost override",IF($T24="LOSS","Losing "&amp;cfg_Symbol&amp;TEXT(-$P24,"0.00")&amp;" per sale - raise to "&amp;cfg_Symbol&amp;TEXT($N24,"0.00"),IF($T24="Below target","Raise to "&amp;cfg_Symbol&amp;TEXT($N24,"0.00")&amp;" for a "&amp;TEXT($M24,"0%")&amp;" margin",IF($T24="High food cost","Margin OK; food cost "&amp;TEXT($S24,"0%")&amp;" is above "&amp;TEXT(cfg_FoodCostTarget,"0%")&amp;" target","On target")))))))</f>
        <v/>
      </c>
      <c r="V24" s="82">
        <f>IF($B24="","",SUMIFS('Sales Log'!$D$7:$D$3006,'Sales Log'!$C$7:$C$3006,$B24,'Sales Log'!$B$7:$B$3006,"&gt;="&amp;cfg_Start,'Sales Log'!$B$7:$B$3006,"&lt;="&amp;cfg_End,'Sales Log'!$N$7:$N$3006,"OK"))</f>
        <v/>
      </c>
      <c r="W24" s="71">
        <f>IF($B24="","",SUMIFS('Sales Log'!$I$7:$I$3006,'Sales Log'!$C$7:$C$3006,$B24,'Sales Log'!$B$7:$B$3006,"&gt;="&amp;cfg_Start,'Sales Log'!$B$7:$B$3006,"&lt;="&amp;cfg_End,'Sales Log'!$N$7:$N$3006,"OK"))</f>
        <v/>
      </c>
      <c r="X24" s="71">
        <f>IF($B24="","",SUMIFS('Sales Log'!$L$7:$L$3006,'Sales Log'!$C$7:$C$3006,$B24,'Sales Log'!$B$7:$B$3006,"&gt;="&amp;cfg_Start,'Sales Log'!$B$7:$B$3006,"&lt;="&amp;cfg_End,'Sales Log'!$N$7:$N$3006,"OK"))</f>
        <v/>
      </c>
      <c r="Y24" s="72">
        <f>IF($B24="","",IF(SUM($V$7:$V$56)=0,0,$V24/SUM($V$7:$V$56)))</f>
        <v/>
      </c>
      <c r="Z24" s="83">
        <f>IF($B24="",-1,N($V24)+ROW()/1000000)</f>
        <v/>
      </c>
      <c r="AA24" s="83">
        <f>IF($B24="",-1E+15,N($X24)+ROW()/1000000)</f>
        <v/>
      </c>
    </row>
    <row r="25" ht="19" customHeight="1">
      <c r="B25" s="60" t="n"/>
      <c r="C25" s="60" t="n"/>
      <c r="D25" s="71">
        <f>IF($B25="","",SUMIFS('Recipe Builder'!$J$7:$J$406,'Recipe Builder'!$B$7:$B$406,$B25))</f>
        <v/>
      </c>
      <c r="E25" s="63" t="n"/>
      <c r="F25" s="71">
        <f>IF($B25="","",IF(ISNUMBER($E25),$E25,N($D25)))</f>
        <v/>
      </c>
      <c r="G25" s="63" t="n"/>
      <c r="H25" s="77" t="n"/>
      <c r="I25" s="71">
        <f>IF($B25="","",N($H25)/60*cfg_LaborRate)</f>
        <v/>
      </c>
      <c r="J25" s="63" t="n"/>
      <c r="K25" s="78">
        <f>IF($B25="","",$F25+N($G25)+$I25+N($J25))</f>
        <v/>
      </c>
      <c r="L25" s="64" t="n"/>
      <c r="M25" s="72">
        <f>IF($B25="","",IF(AND(ISNUMBER($L25),$L25&lt;0.95),MAX(0,$L25),cfg_TargetMargin))</f>
        <v/>
      </c>
      <c r="N25" s="71">
        <f>IF($B25="","",IF(cfg_Round&gt;0,CEILING($K25/(1-$M25),cfg_Round),ROUND($K25/(1-$M25),2)))</f>
        <v/>
      </c>
      <c r="O25" s="79" t="n"/>
      <c r="P25" s="71">
        <f>IF(OR($B25="",N($O25)&lt;=0),"",$O25-$K25)</f>
        <v/>
      </c>
      <c r="Q25" s="72">
        <f>IF(OR($B25="",N($O25)&lt;=0),"",$P25/$O25)</f>
        <v/>
      </c>
      <c r="R25" s="72">
        <f>IF(OR($B25="",N($O25)&lt;=0,N($K25)&lt;=0),"",$P25/$K25)</f>
        <v/>
      </c>
      <c r="S25" s="72">
        <f>IF(OR($B25="",N($O25)&lt;=0),"",$F25/$O25)</f>
        <v/>
      </c>
      <c r="T25" s="80">
        <f>IF($B25="","",IF(COUNTIF($B$7:$B$56,$B25)&gt;1,"Duplicate name",IF(N($O25)&lt;=0,"Set a price",IF(N($K25)&lt;=0,"Add costs",IF($P25&lt;0,"LOSS",IF($Q25&lt;$M25-0.00001,"Below target",IF($S25&gt;cfg_FoodCostTarget,"High food cost","Healthy")))))))</f>
        <v/>
      </c>
      <c r="U25" s="81">
        <f>IF($T25="","",IF($T25="Duplicate name","Each menu item needs a unique name",IF($T25="Set a price","Suggested starting price: "&amp;cfg_Symbol&amp;TEXT($N25,"0.00"),IF($T25="Add costs","Build the recipe or type an ingredient cost override",IF($T25="LOSS","Losing "&amp;cfg_Symbol&amp;TEXT(-$P25,"0.00")&amp;" per sale - raise to "&amp;cfg_Symbol&amp;TEXT($N25,"0.00"),IF($T25="Below target","Raise to "&amp;cfg_Symbol&amp;TEXT($N25,"0.00")&amp;" for a "&amp;TEXT($M25,"0%")&amp;" margin",IF($T25="High food cost","Margin OK; food cost "&amp;TEXT($S25,"0%")&amp;" is above "&amp;TEXT(cfg_FoodCostTarget,"0%")&amp;" target","On target")))))))</f>
        <v/>
      </c>
      <c r="V25" s="82">
        <f>IF($B25="","",SUMIFS('Sales Log'!$D$7:$D$3006,'Sales Log'!$C$7:$C$3006,$B25,'Sales Log'!$B$7:$B$3006,"&gt;="&amp;cfg_Start,'Sales Log'!$B$7:$B$3006,"&lt;="&amp;cfg_End,'Sales Log'!$N$7:$N$3006,"OK"))</f>
        <v/>
      </c>
      <c r="W25" s="71">
        <f>IF($B25="","",SUMIFS('Sales Log'!$I$7:$I$3006,'Sales Log'!$C$7:$C$3006,$B25,'Sales Log'!$B$7:$B$3006,"&gt;="&amp;cfg_Start,'Sales Log'!$B$7:$B$3006,"&lt;="&amp;cfg_End,'Sales Log'!$N$7:$N$3006,"OK"))</f>
        <v/>
      </c>
      <c r="X25" s="71">
        <f>IF($B25="","",SUMIFS('Sales Log'!$L$7:$L$3006,'Sales Log'!$C$7:$C$3006,$B25,'Sales Log'!$B$7:$B$3006,"&gt;="&amp;cfg_Start,'Sales Log'!$B$7:$B$3006,"&lt;="&amp;cfg_End,'Sales Log'!$N$7:$N$3006,"OK"))</f>
        <v/>
      </c>
      <c r="Y25" s="72">
        <f>IF($B25="","",IF(SUM($V$7:$V$56)=0,0,$V25/SUM($V$7:$V$56)))</f>
        <v/>
      </c>
      <c r="Z25" s="83">
        <f>IF($B25="",-1,N($V25)+ROW()/1000000)</f>
        <v/>
      </c>
      <c r="AA25" s="83">
        <f>IF($B25="",-1E+15,N($X25)+ROW()/1000000)</f>
        <v/>
      </c>
    </row>
    <row r="26" ht="19" customHeight="1">
      <c r="B26" s="60" t="n"/>
      <c r="C26" s="60" t="n"/>
      <c r="D26" s="71">
        <f>IF($B26="","",SUMIFS('Recipe Builder'!$J$7:$J$406,'Recipe Builder'!$B$7:$B$406,$B26))</f>
        <v/>
      </c>
      <c r="E26" s="63" t="n"/>
      <c r="F26" s="71">
        <f>IF($B26="","",IF(ISNUMBER($E26),$E26,N($D26)))</f>
        <v/>
      </c>
      <c r="G26" s="63" t="n"/>
      <c r="H26" s="77" t="n"/>
      <c r="I26" s="71">
        <f>IF($B26="","",N($H26)/60*cfg_LaborRate)</f>
        <v/>
      </c>
      <c r="J26" s="63" t="n"/>
      <c r="K26" s="78">
        <f>IF($B26="","",$F26+N($G26)+$I26+N($J26))</f>
        <v/>
      </c>
      <c r="L26" s="64" t="n"/>
      <c r="M26" s="72">
        <f>IF($B26="","",IF(AND(ISNUMBER($L26),$L26&lt;0.95),MAX(0,$L26),cfg_TargetMargin))</f>
        <v/>
      </c>
      <c r="N26" s="71">
        <f>IF($B26="","",IF(cfg_Round&gt;0,CEILING($K26/(1-$M26),cfg_Round),ROUND($K26/(1-$M26),2)))</f>
        <v/>
      </c>
      <c r="O26" s="79" t="n"/>
      <c r="P26" s="71">
        <f>IF(OR($B26="",N($O26)&lt;=0),"",$O26-$K26)</f>
        <v/>
      </c>
      <c r="Q26" s="72">
        <f>IF(OR($B26="",N($O26)&lt;=0),"",$P26/$O26)</f>
        <v/>
      </c>
      <c r="R26" s="72">
        <f>IF(OR($B26="",N($O26)&lt;=0,N($K26)&lt;=0),"",$P26/$K26)</f>
        <v/>
      </c>
      <c r="S26" s="72">
        <f>IF(OR($B26="",N($O26)&lt;=0),"",$F26/$O26)</f>
        <v/>
      </c>
      <c r="T26" s="80">
        <f>IF($B26="","",IF(COUNTIF($B$7:$B$56,$B26)&gt;1,"Duplicate name",IF(N($O26)&lt;=0,"Set a price",IF(N($K26)&lt;=0,"Add costs",IF($P26&lt;0,"LOSS",IF($Q26&lt;$M26-0.00001,"Below target",IF($S26&gt;cfg_FoodCostTarget,"High food cost","Healthy")))))))</f>
        <v/>
      </c>
      <c r="U26" s="81">
        <f>IF($T26="","",IF($T26="Duplicate name","Each menu item needs a unique name",IF($T26="Set a price","Suggested starting price: "&amp;cfg_Symbol&amp;TEXT($N26,"0.00"),IF($T26="Add costs","Build the recipe or type an ingredient cost override",IF($T26="LOSS","Losing "&amp;cfg_Symbol&amp;TEXT(-$P26,"0.00")&amp;" per sale - raise to "&amp;cfg_Symbol&amp;TEXT($N26,"0.00"),IF($T26="Below target","Raise to "&amp;cfg_Symbol&amp;TEXT($N26,"0.00")&amp;" for a "&amp;TEXT($M26,"0%")&amp;" margin",IF($T26="High food cost","Margin OK; food cost "&amp;TEXT($S26,"0%")&amp;" is above "&amp;TEXT(cfg_FoodCostTarget,"0%")&amp;" target","On target")))))))</f>
        <v/>
      </c>
      <c r="V26" s="82">
        <f>IF($B26="","",SUMIFS('Sales Log'!$D$7:$D$3006,'Sales Log'!$C$7:$C$3006,$B26,'Sales Log'!$B$7:$B$3006,"&gt;="&amp;cfg_Start,'Sales Log'!$B$7:$B$3006,"&lt;="&amp;cfg_End,'Sales Log'!$N$7:$N$3006,"OK"))</f>
        <v/>
      </c>
      <c r="W26" s="71">
        <f>IF($B26="","",SUMIFS('Sales Log'!$I$7:$I$3006,'Sales Log'!$C$7:$C$3006,$B26,'Sales Log'!$B$7:$B$3006,"&gt;="&amp;cfg_Start,'Sales Log'!$B$7:$B$3006,"&lt;="&amp;cfg_End,'Sales Log'!$N$7:$N$3006,"OK"))</f>
        <v/>
      </c>
      <c r="X26" s="71">
        <f>IF($B26="","",SUMIFS('Sales Log'!$L$7:$L$3006,'Sales Log'!$C$7:$C$3006,$B26,'Sales Log'!$B$7:$B$3006,"&gt;="&amp;cfg_Start,'Sales Log'!$B$7:$B$3006,"&lt;="&amp;cfg_End,'Sales Log'!$N$7:$N$3006,"OK"))</f>
        <v/>
      </c>
      <c r="Y26" s="72">
        <f>IF($B26="","",IF(SUM($V$7:$V$56)=0,0,$V26/SUM($V$7:$V$56)))</f>
        <v/>
      </c>
      <c r="Z26" s="83">
        <f>IF($B26="",-1,N($V26)+ROW()/1000000)</f>
        <v/>
      </c>
      <c r="AA26" s="83">
        <f>IF($B26="",-1E+15,N($X26)+ROW()/1000000)</f>
        <v/>
      </c>
    </row>
    <row r="27" ht="19" customHeight="1">
      <c r="B27" s="60" t="n"/>
      <c r="C27" s="60" t="n"/>
      <c r="D27" s="71">
        <f>IF($B27="","",SUMIFS('Recipe Builder'!$J$7:$J$406,'Recipe Builder'!$B$7:$B$406,$B27))</f>
        <v/>
      </c>
      <c r="E27" s="63" t="n"/>
      <c r="F27" s="71">
        <f>IF($B27="","",IF(ISNUMBER($E27),$E27,N($D27)))</f>
        <v/>
      </c>
      <c r="G27" s="63" t="n"/>
      <c r="H27" s="77" t="n"/>
      <c r="I27" s="71">
        <f>IF($B27="","",N($H27)/60*cfg_LaborRate)</f>
        <v/>
      </c>
      <c r="J27" s="63" t="n"/>
      <c r="K27" s="78">
        <f>IF($B27="","",$F27+N($G27)+$I27+N($J27))</f>
        <v/>
      </c>
      <c r="L27" s="64" t="n"/>
      <c r="M27" s="72">
        <f>IF($B27="","",IF(AND(ISNUMBER($L27),$L27&lt;0.95),MAX(0,$L27),cfg_TargetMargin))</f>
        <v/>
      </c>
      <c r="N27" s="71">
        <f>IF($B27="","",IF(cfg_Round&gt;0,CEILING($K27/(1-$M27),cfg_Round),ROUND($K27/(1-$M27),2)))</f>
        <v/>
      </c>
      <c r="O27" s="79" t="n"/>
      <c r="P27" s="71">
        <f>IF(OR($B27="",N($O27)&lt;=0),"",$O27-$K27)</f>
        <v/>
      </c>
      <c r="Q27" s="72">
        <f>IF(OR($B27="",N($O27)&lt;=0),"",$P27/$O27)</f>
        <v/>
      </c>
      <c r="R27" s="72">
        <f>IF(OR($B27="",N($O27)&lt;=0,N($K27)&lt;=0),"",$P27/$K27)</f>
        <v/>
      </c>
      <c r="S27" s="72">
        <f>IF(OR($B27="",N($O27)&lt;=0),"",$F27/$O27)</f>
        <v/>
      </c>
      <c r="T27" s="80">
        <f>IF($B27="","",IF(COUNTIF($B$7:$B$56,$B27)&gt;1,"Duplicate name",IF(N($O27)&lt;=0,"Set a price",IF(N($K27)&lt;=0,"Add costs",IF($P27&lt;0,"LOSS",IF($Q27&lt;$M27-0.00001,"Below target",IF($S27&gt;cfg_FoodCostTarget,"High food cost","Healthy")))))))</f>
        <v/>
      </c>
      <c r="U27" s="81">
        <f>IF($T27="","",IF($T27="Duplicate name","Each menu item needs a unique name",IF($T27="Set a price","Suggested starting price: "&amp;cfg_Symbol&amp;TEXT($N27,"0.00"),IF($T27="Add costs","Build the recipe or type an ingredient cost override",IF($T27="LOSS","Losing "&amp;cfg_Symbol&amp;TEXT(-$P27,"0.00")&amp;" per sale - raise to "&amp;cfg_Symbol&amp;TEXT($N27,"0.00"),IF($T27="Below target","Raise to "&amp;cfg_Symbol&amp;TEXT($N27,"0.00")&amp;" for a "&amp;TEXT($M27,"0%")&amp;" margin",IF($T27="High food cost","Margin OK; food cost "&amp;TEXT($S27,"0%")&amp;" is above "&amp;TEXT(cfg_FoodCostTarget,"0%")&amp;" target","On target")))))))</f>
        <v/>
      </c>
      <c r="V27" s="82">
        <f>IF($B27="","",SUMIFS('Sales Log'!$D$7:$D$3006,'Sales Log'!$C$7:$C$3006,$B27,'Sales Log'!$B$7:$B$3006,"&gt;="&amp;cfg_Start,'Sales Log'!$B$7:$B$3006,"&lt;="&amp;cfg_End,'Sales Log'!$N$7:$N$3006,"OK"))</f>
        <v/>
      </c>
      <c r="W27" s="71">
        <f>IF($B27="","",SUMIFS('Sales Log'!$I$7:$I$3006,'Sales Log'!$C$7:$C$3006,$B27,'Sales Log'!$B$7:$B$3006,"&gt;="&amp;cfg_Start,'Sales Log'!$B$7:$B$3006,"&lt;="&amp;cfg_End,'Sales Log'!$N$7:$N$3006,"OK"))</f>
        <v/>
      </c>
      <c r="X27" s="71">
        <f>IF($B27="","",SUMIFS('Sales Log'!$L$7:$L$3006,'Sales Log'!$C$7:$C$3006,$B27,'Sales Log'!$B$7:$B$3006,"&gt;="&amp;cfg_Start,'Sales Log'!$B$7:$B$3006,"&lt;="&amp;cfg_End,'Sales Log'!$N$7:$N$3006,"OK"))</f>
        <v/>
      </c>
      <c r="Y27" s="72">
        <f>IF($B27="","",IF(SUM($V$7:$V$56)=0,0,$V27/SUM($V$7:$V$56)))</f>
        <v/>
      </c>
      <c r="Z27" s="83">
        <f>IF($B27="",-1,N($V27)+ROW()/1000000)</f>
        <v/>
      </c>
      <c r="AA27" s="83">
        <f>IF($B27="",-1E+15,N($X27)+ROW()/1000000)</f>
        <v/>
      </c>
    </row>
    <row r="28" ht="19" customHeight="1">
      <c r="B28" s="60" t="n"/>
      <c r="C28" s="60" t="n"/>
      <c r="D28" s="71">
        <f>IF($B28="","",SUMIFS('Recipe Builder'!$J$7:$J$406,'Recipe Builder'!$B$7:$B$406,$B28))</f>
        <v/>
      </c>
      <c r="E28" s="63" t="n"/>
      <c r="F28" s="71">
        <f>IF($B28="","",IF(ISNUMBER($E28),$E28,N($D28)))</f>
        <v/>
      </c>
      <c r="G28" s="63" t="n"/>
      <c r="H28" s="77" t="n"/>
      <c r="I28" s="71">
        <f>IF($B28="","",N($H28)/60*cfg_LaborRate)</f>
        <v/>
      </c>
      <c r="J28" s="63" t="n"/>
      <c r="K28" s="78">
        <f>IF($B28="","",$F28+N($G28)+$I28+N($J28))</f>
        <v/>
      </c>
      <c r="L28" s="64" t="n"/>
      <c r="M28" s="72">
        <f>IF($B28="","",IF(AND(ISNUMBER($L28),$L28&lt;0.95),MAX(0,$L28),cfg_TargetMargin))</f>
        <v/>
      </c>
      <c r="N28" s="71">
        <f>IF($B28="","",IF(cfg_Round&gt;0,CEILING($K28/(1-$M28),cfg_Round),ROUND($K28/(1-$M28),2)))</f>
        <v/>
      </c>
      <c r="O28" s="79" t="n"/>
      <c r="P28" s="71">
        <f>IF(OR($B28="",N($O28)&lt;=0),"",$O28-$K28)</f>
        <v/>
      </c>
      <c r="Q28" s="72">
        <f>IF(OR($B28="",N($O28)&lt;=0),"",$P28/$O28)</f>
        <v/>
      </c>
      <c r="R28" s="72">
        <f>IF(OR($B28="",N($O28)&lt;=0,N($K28)&lt;=0),"",$P28/$K28)</f>
        <v/>
      </c>
      <c r="S28" s="72">
        <f>IF(OR($B28="",N($O28)&lt;=0),"",$F28/$O28)</f>
        <v/>
      </c>
      <c r="T28" s="80">
        <f>IF($B28="","",IF(COUNTIF($B$7:$B$56,$B28)&gt;1,"Duplicate name",IF(N($O28)&lt;=0,"Set a price",IF(N($K28)&lt;=0,"Add costs",IF($P28&lt;0,"LOSS",IF($Q28&lt;$M28-0.00001,"Below target",IF($S28&gt;cfg_FoodCostTarget,"High food cost","Healthy")))))))</f>
        <v/>
      </c>
      <c r="U28" s="81">
        <f>IF($T28="","",IF($T28="Duplicate name","Each menu item needs a unique name",IF($T28="Set a price","Suggested starting price: "&amp;cfg_Symbol&amp;TEXT($N28,"0.00"),IF($T28="Add costs","Build the recipe or type an ingredient cost override",IF($T28="LOSS","Losing "&amp;cfg_Symbol&amp;TEXT(-$P28,"0.00")&amp;" per sale - raise to "&amp;cfg_Symbol&amp;TEXT($N28,"0.00"),IF($T28="Below target","Raise to "&amp;cfg_Symbol&amp;TEXT($N28,"0.00")&amp;" for a "&amp;TEXT($M28,"0%")&amp;" margin",IF($T28="High food cost","Margin OK; food cost "&amp;TEXT($S28,"0%")&amp;" is above "&amp;TEXT(cfg_FoodCostTarget,"0%")&amp;" target","On target")))))))</f>
        <v/>
      </c>
      <c r="V28" s="82">
        <f>IF($B28="","",SUMIFS('Sales Log'!$D$7:$D$3006,'Sales Log'!$C$7:$C$3006,$B28,'Sales Log'!$B$7:$B$3006,"&gt;="&amp;cfg_Start,'Sales Log'!$B$7:$B$3006,"&lt;="&amp;cfg_End,'Sales Log'!$N$7:$N$3006,"OK"))</f>
        <v/>
      </c>
      <c r="W28" s="71">
        <f>IF($B28="","",SUMIFS('Sales Log'!$I$7:$I$3006,'Sales Log'!$C$7:$C$3006,$B28,'Sales Log'!$B$7:$B$3006,"&gt;="&amp;cfg_Start,'Sales Log'!$B$7:$B$3006,"&lt;="&amp;cfg_End,'Sales Log'!$N$7:$N$3006,"OK"))</f>
        <v/>
      </c>
      <c r="X28" s="71">
        <f>IF($B28="","",SUMIFS('Sales Log'!$L$7:$L$3006,'Sales Log'!$C$7:$C$3006,$B28,'Sales Log'!$B$7:$B$3006,"&gt;="&amp;cfg_Start,'Sales Log'!$B$7:$B$3006,"&lt;="&amp;cfg_End,'Sales Log'!$N$7:$N$3006,"OK"))</f>
        <v/>
      </c>
      <c r="Y28" s="72">
        <f>IF($B28="","",IF(SUM($V$7:$V$56)=0,0,$V28/SUM($V$7:$V$56)))</f>
        <v/>
      </c>
      <c r="Z28" s="83">
        <f>IF($B28="",-1,N($V28)+ROW()/1000000)</f>
        <v/>
      </c>
      <c r="AA28" s="83">
        <f>IF($B28="",-1E+15,N($X28)+ROW()/1000000)</f>
        <v/>
      </c>
    </row>
    <row r="29" ht="19" customHeight="1">
      <c r="B29" s="60" t="n"/>
      <c r="C29" s="60" t="n"/>
      <c r="D29" s="71">
        <f>IF($B29="","",SUMIFS('Recipe Builder'!$J$7:$J$406,'Recipe Builder'!$B$7:$B$406,$B29))</f>
        <v/>
      </c>
      <c r="E29" s="63" t="n"/>
      <c r="F29" s="71">
        <f>IF($B29="","",IF(ISNUMBER($E29),$E29,N($D29)))</f>
        <v/>
      </c>
      <c r="G29" s="63" t="n"/>
      <c r="H29" s="77" t="n"/>
      <c r="I29" s="71">
        <f>IF($B29="","",N($H29)/60*cfg_LaborRate)</f>
        <v/>
      </c>
      <c r="J29" s="63" t="n"/>
      <c r="K29" s="78">
        <f>IF($B29="","",$F29+N($G29)+$I29+N($J29))</f>
        <v/>
      </c>
      <c r="L29" s="64" t="n"/>
      <c r="M29" s="72">
        <f>IF($B29="","",IF(AND(ISNUMBER($L29),$L29&lt;0.95),MAX(0,$L29),cfg_TargetMargin))</f>
        <v/>
      </c>
      <c r="N29" s="71">
        <f>IF($B29="","",IF(cfg_Round&gt;0,CEILING($K29/(1-$M29),cfg_Round),ROUND($K29/(1-$M29),2)))</f>
        <v/>
      </c>
      <c r="O29" s="79" t="n"/>
      <c r="P29" s="71">
        <f>IF(OR($B29="",N($O29)&lt;=0),"",$O29-$K29)</f>
        <v/>
      </c>
      <c r="Q29" s="72">
        <f>IF(OR($B29="",N($O29)&lt;=0),"",$P29/$O29)</f>
        <v/>
      </c>
      <c r="R29" s="72">
        <f>IF(OR($B29="",N($O29)&lt;=0,N($K29)&lt;=0),"",$P29/$K29)</f>
        <v/>
      </c>
      <c r="S29" s="72">
        <f>IF(OR($B29="",N($O29)&lt;=0),"",$F29/$O29)</f>
        <v/>
      </c>
      <c r="T29" s="80">
        <f>IF($B29="","",IF(COUNTIF($B$7:$B$56,$B29)&gt;1,"Duplicate name",IF(N($O29)&lt;=0,"Set a price",IF(N($K29)&lt;=0,"Add costs",IF($P29&lt;0,"LOSS",IF($Q29&lt;$M29-0.00001,"Below target",IF($S29&gt;cfg_FoodCostTarget,"High food cost","Healthy")))))))</f>
        <v/>
      </c>
      <c r="U29" s="81">
        <f>IF($T29="","",IF($T29="Duplicate name","Each menu item needs a unique name",IF($T29="Set a price","Suggested starting price: "&amp;cfg_Symbol&amp;TEXT($N29,"0.00"),IF($T29="Add costs","Build the recipe or type an ingredient cost override",IF($T29="LOSS","Losing "&amp;cfg_Symbol&amp;TEXT(-$P29,"0.00")&amp;" per sale - raise to "&amp;cfg_Symbol&amp;TEXT($N29,"0.00"),IF($T29="Below target","Raise to "&amp;cfg_Symbol&amp;TEXT($N29,"0.00")&amp;" for a "&amp;TEXT($M29,"0%")&amp;" margin",IF($T29="High food cost","Margin OK; food cost "&amp;TEXT($S29,"0%")&amp;" is above "&amp;TEXT(cfg_FoodCostTarget,"0%")&amp;" target","On target")))))))</f>
        <v/>
      </c>
      <c r="V29" s="82">
        <f>IF($B29="","",SUMIFS('Sales Log'!$D$7:$D$3006,'Sales Log'!$C$7:$C$3006,$B29,'Sales Log'!$B$7:$B$3006,"&gt;="&amp;cfg_Start,'Sales Log'!$B$7:$B$3006,"&lt;="&amp;cfg_End,'Sales Log'!$N$7:$N$3006,"OK"))</f>
        <v/>
      </c>
      <c r="W29" s="71">
        <f>IF($B29="","",SUMIFS('Sales Log'!$I$7:$I$3006,'Sales Log'!$C$7:$C$3006,$B29,'Sales Log'!$B$7:$B$3006,"&gt;="&amp;cfg_Start,'Sales Log'!$B$7:$B$3006,"&lt;="&amp;cfg_End,'Sales Log'!$N$7:$N$3006,"OK"))</f>
        <v/>
      </c>
      <c r="X29" s="71">
        <f>IF($B29="","",SUMIFS('Sales Log'!$L$7:$L$3006,'Sales Log'!$C$7:$C$3006,$B29,'Sales Log'!$B$7:$B$3006,"&gt;="&amp;cfg_Start,'Sales Log'!$B$7:$B$3006,"&lt;="&amp;cfg_End,'Sales Log'!$N$7:$N$3006,"OK"))</f>
        <v/>
      </c>
      <c r="Y29" s="72">
        <f>IF($B29="","",IF(SUM($V$7:$V$56)=0,0,$V29/SUM($V$7:$V$56)))</f>
        <v/>
      </c>
      <c r="Z29" s="83">
        <f>IF($B29="",-1,N($V29)+ROW()/1000000)</f>
        <v/>
      </c>
      <c r="AA29" s="83">
        <f>IF($B29="",-1E+15,N($X29)+ROW()/1000000)</f>
        <v/>
      </c>
    </row>
    <row r="30" ht="19" customHeight="1">
      <c r="B30" s="60" t="n"/>
      <c r="C30" s="60" t="n"/>
      <c r="D30" s="71">
        <f>IF($B30="","",SUMIFS('Recipe Builder'!$J$7:$J$406,'Recipe Builder'!$B$7:$B$406,$B30))</f>
        <v/>
      </c>
      <c r="E30" s="63" t="n"/>
      <c r="F30" s="71">
        <f>IF($B30="","",IF(ISNUMBER($E30),$E30,N($D30)))</f>
        <v/>
      </c>
      <c r="G30" s="63" t="n"/>
      <c r="H30" s="77" t="n"/>
      <c r="I30" s="71">
        <f>IF($B30="","",N($H30)/60*cfg_LaborRate)</f>
        <v/>
      </c>
      <c r="J30" s="63" t="n"/>
      <c r="K30" s="78">
        <f>IF($B30="","",$F30+N($G30)+$I30+N($J30))</f>
        <v/>
      </c>
      <c r="L30" s="64" t="n"/>
      <c r="M30" s="72">
        <f>IF($B30="","",IF(AND(ISNUMBER($L30),$L30&lt;0.95),MAX(0,$L30),cfg_TargetMargin))</f>
        <v/>
      </c>
      <c r="N30" s="71">
        <f>IF($B30="","",IF(cfg_Round&gt;0,CEILING($K30/(1-$M30),cfg_Round),ROUND($K30/(1-$M30),2)))</f>
        <v/>
      </c>
      <c r="O30" s="79" t="n"/>
      <c r="P30" s="71">
        <f>IF(OR($B30="",N($O30)&lt;=0),"",$O30-$K30)</f>
        <v/>
      </c>
      <c r="Q30" s="72">
        <f>IF(OR($B30="",N($O30)&lt;=0),"",$P30/$O30)</f>
        <v/>
      </c>
      <c r="R30" s="72">
        <f>IF(OR($B30="",N($O30)&lt;=0,N($K30)&lt;=0),"",$P30/$K30)</f>
        <v/>
      </c>
      <c r="S30" s="72">
        <f>IF(OR($B30="",N($O30)&lt;=0),"",$F30/$O30)</f>
        <v/>
      </c>
      <c r="T30" s="80">
        <f>IF($B30="","",IF(COUNTIF($B$7:$B$56,$B30)&gt;1,"Duplicate name",IF(N($O30)&lt;=0,"Set a price",IF(N($K30)&lt;=0,"Add costs",IF($P30&lt;0,"LOSS",IF($Q30&lt;$M30-0.00001,"Below target",IF($S30&gt;cfg_FoodCostTarget,"High food cost","Healthy")))))))</f>
        <v/>
      </c>
      <c r="U30" s="81">
        <f>IF($T30="","",IF($T30="Duplicate name","Each menu item needs a unique name",IF($T30="Set a price","Suggested starting price: "&amp;cfg_Symbol&amp;TEXT($N30,"0.00"),IF($T30="Add costs","Build the recipe or type an ingredient cost override",IF($T30="LOSS","Losing "&amp;cfg_Symbol&amp;TEXT(-$P30,"0.00")&amp;" per sale - raise to "&amp;cfg_Symbol&amp;TEXT($N30,"0.00"),IF($T30="Below target","Raise to "&amp;cfg_Symbol&amp;TEXT($N30,"0.00")&amp;" for a "&amp;TEXT($M30,"0%")&amp;" margin",IF($T30="High food cost","Margin OK; food cost "&amp;TEXT($S30,"0%")&amp;" is above "&amp;TEXT(cfg_FoodCostTarget,"0%")&amp;" target","On target")))))))</f>
        <v/>
      </c>
      <c r="V30" s="82">
        <f>IF($B30="","",SUMIFS('Sales Log'!$D$7:$D$3006,'Sales Log'!$C$7:$C$3006,$B30,'Sales Log'!$B$7:$B$3006,"&gt;="&amp;cfg_Start,'Sales Log'!$B$7:$B$3006,"&lt;="&amp;cfg_End,'Sales Log'!$N$7:$N$3006,"OK"))</f>
        <v/>
      </c>
      <c r="W30" s="71">
        <f>IF($B30="","",SUMIFS('Sales Log'!$I$7:$I$3006,'Sales Log'!$C$7:$C$3006,$B30,'Sales Log'!$B$7:$B$3006,"&gt;="&amp;cfg_Start,'Sales Log'!$B$7:$B$3006,"&lt;="&amp;cfg_End,'Sales Log'!$N$7:$N$3006,"OK"))</f>
        <v/>
      </c>
      <c r="X30" s="71">
        <f>IF($B30="","",SUMIFS('Sales Log'!$L$7:$L$3006,'Sales Log'!$C$7:$C$3006,$B30,'Sales Log'!$B$7:$B$3006,"&gt;="&amp;cfg_Start,'Sales Log'!$B$7:$B$3006,"&lt;="&amp;cfg_End,'Sales Log'!$N$7:$N$3006,"OK"))</f>
        <v/>
      </c>
      <c r="Y30" s="72">
        <f>IF($B30="","",IF(SUM($V$7:$V$56)=0,0,$V30/SUM($V$7:$V$56)))</f>
        <v/>
      </c>
      <c r="Z30" s="83">
        <f>IF($B30="",-1,N($V30)+ROW()/1000000)</f>
        <v/>
      </c>
      <c r="AA30" s="83">
        <f>IF($B30="",-1E+15,N($X30)+ROW()/1000000)</f>
        <v/>
      </c>
    </row>
    <row r="31" ht="19" customHeight="1">
      <c r="B31" s="60" t="n"/>
      <c r="C31" s="60" t="n"/>
      <c r="D31" s="71">
        <f>IF($B31="","",SUMIFS('Recipe Builder'!$J$7:$J$406,'Recipe Builder'!$B$7:$B$406,$B31))</f>
        <v/>
      </c>
      <c r="E31" s="63" t="n"/>
      <c r="F31" s="71">
        <f>IF($B31="","",IF(ISNUMBER($E31),$E31,N($D31)))</f>
        <v/>
      </c>
      <c r="G31" s="63" t="n"/>
      <c r="H31" s="77" t="n"/>
      <c r="I31" s="71">
        <f>IF($B31="","",N($H31)/60*cfg_LaborRate)</f>
        <v/>
      </c>
      <c r="J31" s="63" t="n"/>
      <c r="K31" s="78">
        <f>IF($B31="","",$F31+N($G31)+$I31+N($J31))</f>
        <v/>
      </c>
      <c r="L31" s="64" t="n"/>
      <c r="M31" s="72">
        <f>IF($B31="","",IF(AND(ISNUMBER($L31),$L31&lt;0.95),MAX(0,$L31),cfg_TargetMargin))</f>
        <v/>
      </c>
      <c r="N31" s="71">
        <f>IF($B31="","",IF(cfg_Round&gt;0,CEILING($K31/(1-$M31),cfg_Round),ROUND($K31/(1-$M31),2)))</f>
        <v/>
      </c>
      <c r="O31" s="79" t="n"/>
      <c r="P31" s="71">
        <f>IF(OR($B31="",N($O31)&lt;=0),"",$O31-$K31)</f>
        <v/>
      </c>
      <c r="Q31" s="72">
        <f>IF(OR($B31="",N($O31)&lt;=0),"",$P31/$O31)</f>
        <v/>
      </c>
      <c r="R31" s="72">
        <f>IF(OR($B31="",N($O31)&lt;=0,N($K31)&lt;=0),"",$P31/$K31)</f>
        <v/>
      </c>
      <c r="S31" s="72">
        <f>IF(OR($B31="",N($O31)&lt;=0),"",$F31/$O31)</f>
        <v/>
      </c>
      <c r="T31" s="80">
        <f>IF($B31="","",IF(COUNTIF($B$7:$B$56,$B31)&gt;1,"Duplicate name",IF(N($O31)&lt;=0,"Set a price",IF(N($K31)&lt;=0,"Add costs",IF($P31&lt;0,"LOSS",IF($Q31&lt;$M31-0.00001,"Below target",IF($S31&gt;cfg_FoodCostTarget,"High food cost","Healthy")))))))</f>
        <v/>
      </c>
      <c r="U31" s="81">
        <f>IF($T31="","",IF($T31="Duplicate name","Each menu item needs a unique name",IF($T31="Set a price","Suggested starting price: "&amp;cfg_Symbol&amp;TEXT($N31,"0.00"),IF($T31="Add costs","Build the recipe or type an ingredient cost override",IF($T31="LOSS","Losing "&amp;cfg_Symbol&amp;TEXT(-$P31,"0.00")&amp;" per sale - raise to "&amp;cfg_Symbol&amp;TEXT($N31,"0.00"),IF($T31="Below target","Raise to "&amp;cfg_Symbol&amp;TEXT($N31,"0.00")&amp;" for a "&amp;TEXT($M31,"0%")&amp;" margin",IF($T31="High food cost","Margin OK; food cost "&amp;TEXT($S31,"0%")&amp;" is above "&amp;TEXT(cfg_FoodCostTarget,"0%")&amp;" target","On target")))))))</f>
        <v/>
      </c>
      <c r="V31" s="82">
        <f>IF($B31="","",SUMIFS('Sales Log'!$D$7:$D$3006,'Sales Log'!$C$7:$C$3006,$B31,'Sales Log'!$B$7:$B$3006,"&gt;="&amp;cfg_Start,'Sales Log'!$B$7:$B$3006,"&lt;="&amp;cfg_End,'Sales Log'!$N$7:$N$3006,"OK"))</f>
        <v/>
      </c>
      <c r="W31" s="71">
        <f>IF($B31="","",SUMIFS('Sales Log'!$I$7:$I$3006,'Sales Log'!$C$7:$C$3006,$B31,'Sales Log'!$B$7:$B$3006,"&gt;="&amp;cfg_Start,'Sales Log'!$B$7:$B$3006,"&lt;="&amp;cfg_End,'Sales Log'!$N$7:$N$3006,"OK"))</f>
        <v/>
      </c>
      <c r="X31" s="71">
        <f>IF($B31="","",SUMIFS('Sales Log'!$L$7:$L$3006,'Sales Log'!$C$7:$C$3006,$B31,'Sales Log'!$B$7:$B$3006,"&gt;="&amp;cfg_Start,'Sales Log'!$B$7:$B$3006,"&lt;="&amp;cfg_End,'Sales Log'!$N$7:$N$3006,"OK"))</f>
        <v/>
      </c>
      <c r="Y31" s="72">
        <f>IF($B31="","",IF(SUM($V$7:$V$56)=0,0,$V31/SUM($V$7:$V$56)))</f>
        <v/>
      </c>
      <c r="Z31" s="83">
        <f>IF($B31="",-1,N($V31)+ROW()/1000000)</f>
        <v/>
      </c>
      <c r="AA31" s="83">
        <f>IF($B31="",-1E+15,N($X31)+ROW()/1000000)</f>
        <v/>
      </c>
    </row>
    <row r="32" ht="19" customHeight="1">
      <c r="B32" s="60" t="n"/>
      <c r="C32" s="60" t="n"/>
      <c r="D32" s="71">
        <f>IF($B32="","",SUMIFS('Recipe Builder'!$J$7:$J$406,'Recipe Builder'!$B$7:$B$406,$B32))</f>
        <v/>
      </c>
      <c r="E32" s="63" t="n"/>
      <c r="F32" s="71">
        <f>IF($B32="","",IF(ISNUMBER($E32),$E32,N($D32)))</f>
        <v/>
      </c>
      <c r="G32" s="63" t="n"/>
      <c r="H32" s="77" t="n"/>
      <c r="I32" s="71">
        <f>IF($B32="","",N($H32)/60*cfg_LaborRate)</f>
        <v/>
      </c>
      <c r="J32" s="63" t="n"/>
      <c r="K32" s="78">
        <f>IF($B32="","",$F32+N($G32)+$I32+N($J32))</f>
        <v/>
      </c>
      <c r="L32" s="64" t="n"/>
      <c r="M32" s="72">
        <f>IF($B32="","",IF(AND(ISNUMBER($L32),$L32&lt;0.95),MAX(0,$L32),cfg_TargetMargin))</f>
        <v/>
      </c>
      <c r="N32" s="71">
        <f>IF($B32="","",IF(cfg_Round&gt;0,CEILING($K32/(1-$M32),cfg_Round),ROUND($K32/(1-$M32),2)))</f>
        <v/>
      </c>
      <c r="O32" s="79" t="n"/>
      <c r="P32" s="71">
        <f>IF(OR($B32="",N($O32)&lt;=0),"",$O32-$K32)</f>
        <v/>
      </c>
      <c r="Q32" s="72">
        <f>IF(OR($B32="",N($O32)&lt;=0),"",$P32/$O32)</f>
        <v/>
      </c>
      <c r="R32" s="72">
        <f>IF(OR($B32="",N($O32)&lt;=0,N($K32)&lt;=0),"",$P32/$K32)</f>
        <v/>
      </c>
      <c r="S32" s="72">
        <f>IF(OR($B32="",N($O32)&lt;=0),"",$F32/$O32)</f>
        <v/>
      </c>
      <c r="T32" s="80">
        <f>IF($B32="","",IF(COUNTIF($B$7:$B$56,$B32)&gt;1,"Duplicate name",IF(N($O32)&lt;=0,"Set a price",IF(N($K32)&lt;=0,"Add costs",IF($P32&lt;0,"LOSS",IF($Q32&lt;$M32-0.00001,"Below target",IF($S32&gt;cfg_FoodCostTarget,"High food cost","Healthy")))))))</f>
        <v/>
      </c>
      <c r="U32" s="81">
        <f>IF($T32="","",IF($T32="Duplicate name","Each menu item needs a unique name",IF($T32="Set a price","Suggested starting price: "&amp;cfg_Symbol&amp;TEXT($N32,"0.00"),IF($T32="Add costs","Build the recipe or type an ingredient cost override",IF($T32="LOSS","Losing "&amp;cfg_Symbol&amp;TEXT(-$P32,"0.00")&amp;" per sale - raise to "&amp;cfg_Symbol&amp;TEXT($N32,"0.00"),IF($T32="Below target","Raise to "&amp;cfg_Symbol&amp;TEXT($N32,"0.00")&amp;" for a "&amp;TEXT($M32,"0%")&amp;" margin",IF($T32="High food cost","Margin OK; food cost "&amp;TEXT($S32,"0%")&amp;" is above "&amp;TEXT(cfg_FoodCostTarget,"0%")&amp;" target","On target")))))))</f>
        <v/>
      </c>
      <c r="V32" s="82">
        <f>IF($B32="","",SUMIFS('Sales Log'!$D$7:$D$3006,'Sales Log'!$C$7:$C$3006,$B32,'Sales Log'!$B$7:$B$3006,"&gt;="&amp;cfg_Start,'Sales Log'!$B$7:$B$3006,"&lt;="&amp;cfg_End,'Sales Log'!$N$7:$N$3006,"OK"))</f>
        <v/>
      </c>
      <c r="W32" s="71">
        <f>IF($B32="","",SUMIFS('Sales Log'!$I$7:$I$3006,'Sales Log'!$C$7:$C$3006,$B32,'Sales Log'!$B$7:$B$3006,"&gt;="&amp;cfg_Start,'Sales Log'!$B$7:$B$3006,"&lt;="&amp;cfg_End,'Sales Log'!$N$7:$N$3006,"OK"))</f>
        <v/>
      </c>
      <c r="X32" s="71">
        <f>IF($B32="","",SUMIFS('Sales Log'!$L$7:$L$3006,'Sales Log'!$C$7:$C$3006,$B32,'Sales Log'!$B$7:$B$3006,"&gt;="&amp;cfg_Start,'Sales Log'!$B$7:$B$3006,"&lt;="&amp;cfg_End,'Sales Log'!$N$7:$N$3006,"OK"))</f>
        <v/>
      </c>
      <c r="Y32" s="72">
        <f>IF($B32="","",IF(SUM($V$7:$V$56)=0,0,$V32/SUM($V$7:$V$56)))</f>
        <v/>
      </c>
      <c r="Z32" s="83">
        <f>IF($B32="",-1,N($V32)+ROW()/1000000)</f>
        <v/>
      </c>
      <c r="AA32" s="83">
        <f>IF($B32="",-1E+15,N($X32)+ROW()/1000000)</f>
        <v/>
      </c>
    </row>
    <row r="33" ht="19" customHeight="1">
      <c r="B33" s="60" t="n"/>
      <c r="C33" s="60" t="n"/>
      <c r="D33" s="71">
        <f>IF($B33="","",SUMIFS('Recipe Builder'!$J$7:$J$406,'Recipe Builder'!$B$7:$B$406,$B33))</f>
        <v/>
      </c>
      <c r="E33" s="63" t="n"/>
      <c r="F33" s="71">
        <f>IF($B33="","",IF(ISNUMBER($E33),$E33,N($D33)))</f>
        <v/>
      </c>
      <c r="G33" s="63" t="n"/>
      <c r="H33" s="77" t="n"/>
      <c r="I33" s="71">
        <f>IF($B33="","",N($H33)/60*cfg_LaborRate)</f>
        <v/>
      </c>
      <c r="J33" s="63" t="n"/>
      <c r="K33" s="78">
        <f>IF($B33="","",$F33+N($G33)+$I33+N($J33))</f>
        <v/>
      </c>
      <c r="L33" s="64" t="n"/>
      <c r="M33" s="72">
        <f>IF($B33="","",IF(AND(ISNUMBER($L33),$L33&lt;0.95),MAX(0,$L33),cfg_TargetMargin))</f>
        <v/>
      </c>
      <c r="N33" s="71">
        <f>IF($B33="","",IF(cfg_Round&gt;0,CEILING($K33/(1-$M33),cfg_Round),ROUND($K33/(1-$M33),2)))</f>
        <v/>
      </c>
      <c r="O33" s="79" t="n"/>
      <c r="P33" s="71">
        <f>IF(OR($B33="",N($O33)&lt;=0),"",$O33-$K33)</f>
        <v/>
      </c>
      <c r="Q33" s="72">
        <f>IF(OR($B33="",N($O33)&lt;=0),"",$P33/$O33)</f>
        <v/>
      </c>
      <c r="R33" s="72">
        <f>IF(OR($B33="",N($O33)&lt;=0,N($K33)&lt;=0),"",$P33/$K33)</f>
        <v/>
      </c>
      <c r="S33" s="72">
        <f>IF(OR($B33="",N($O33)&lt;=0),"",$F33/$O33)</f>
        <v/>
      </c>
      <c r="T33" s="80">
        <f>IF($B33="","",IF(COUNTIF($B$7:$B$56,$B33)&gt;1,"Duplicate name",IF(N($O33)&lt;=0,"Set a price",IF(N($K33)&lt;=0,"Add costs",IF($P33&lt;0,"LOSS",IF($Q33&lt;$M33-0.00001,"Below target",IF($S33&gt;cfg_FoodCostTarget,"High food cost","Healthy")))))))</f>
        <v/>
      </c>
      <c r="U33" s="81">
        <f>IF($T33="","",IF($T33="Duplicate name","Each menu item needs a unique name",IF($T33="Set a price","Suggested starting price: "&amp;cfg_Symbol&amp;TEXT($N33,"0.00"),IF($T33="Add costs","Build the recipe or type an ingredient cost override",IF($T33="LOSS","Losing "&amp;cfg_Symbol&amp;TEXT(-$P33,"0.00")&amp;" per sale - raise to "&amp;cfg_Symbol&amp;TEXT($N33,"0.00"),IF($T33="Below target","Raise to "&amp;cfg_Symbol&amp;TEXT($N33,"0.00")&amp;" for a "&amp;TEXT($M33,"0%")&amp;" margin",IF($T33="High food cost","Margin OK; food cost "&amp;TEXT($S33,"0%")&amp;" is above "&amp;TEXT(cfg_FoodCostTarget,"0%")&amp;" target","On target")))))))</f>
        <v/>
      </c>
      <c r="V33" s="82">
        <f>IF($B33="","",SUMIFS('Sales Log'!$D$7:$D$3006,'Sales Log'!$C$7:$C$3006,$B33,'Sales Log'!$B$7:$B$3006,"&gt;="&amp;cfg_Start,'Sales Log'!$B$7:$B$3006,"&lt;="&amp;cfg_End,'Sales Log'!$N$7:$N$3006,"OK"))</f>
        <v/>
      </c>
      <c r="W33" s="71">
        <f>IF($B33="","",SUMIFS('Sales Log'!$I$7:$I$3006,'Sales Log'!$C$7:$C$3006,$B33,'Sales Log'!$B$7:$B$3006,"&gt;="&amp;cfg_Start,'Sales Log'!$B$7:$B$3006,"&lt;="&amp;cfg_End,'Sales Log'!$N$7:$N$3006,"OK"))</f>
        <v/>
      </c>
      <c r="X33" s="71">
        <f>IF($B33="","",SUMIFS('Sales Log'!$L$7:$L$3006,'Sales Log'!$C$7:$C$3006,$B33,'Sales Log'!$B$7:$B$3006,"&gt;="&amp;cfg_Start,'Sales Log'!$B$7:$B$3006,"&lt;="&amp;cfg_End,'Sales Log'!$N$7:$N$3006,"OK"))</f>
        <v/>
      </c>
      <c r="Y33" s="72">
        <f>IF($B33="","",IF(SUM($V$7:$V$56)=0,0,$V33/SUM($V$7:$V$56)))</f>
        <v/>
      </c>
      <c r="Z33" s="83">
        <f>IF($B33="",-1,N($V33)+ROW()/1000000)</f>
        <v/>
      </c>
      <c r="AA33" s="83">
        <f>IF($B33="",-1E+15,N($X33)+ROW()/1000000)</f>
        <v/>
      </c>
    </row>
    <row r="34" ht="19" customHeight="1">
      <c r="B34" s="60" t="n"/>
      <c r="C34" s="60" t="n"/>
      <c r="D34" s="71">
        <f>IF($B34="","",SUMIFS('Recipe Builder'!$J$7:$J$406,'Recipe Builder'!$B$7:$B$406,$B34))</f>
        <v/>
      </c>
      <c r="E34" s="63" t="n"/>
      <c r="F34" s="71">
        <f>IF($B34="","",IF(ISNUMBER($E34),$E34,N($D34)))</f>
        <v/>
      </c>
      <c r="G34" s="63" t="n"/>
      <c r="H34" s="77" t="n"/>
      <c r="I34" s="71">
        <f>IF($B34="","",N($H34)/60*cfg_LaborRate)</f>
        <v/>
      </c>
      <c r="J34" s="63" t="n"/>
      <c r="K34" s="78">
        <f>IF($B34="","",$F34+N($G34)+$I34+N($J34))</f>
        <v/>
      </c>
      <c r="L34" s="64" t="n"/>
      <c r="M34" s="72">
        <f>IF($B34="","",IF(AND(ISNUMBER($L34),$L34&lt;0.95),MAX(0,$L34),cfg_TargetMargin))</f>
        <v/>
      </c>
      <c r="N34" s="71">
        <f>IF($B34="","",IF(cfg_Round&gt;0,CEILING($K34/(1-$M34),cfg_Round),ROUND($K34/(1-$M34),2)))</f>
        <v/>
      </c>
      <c r="O34" s="79" t="n"/>
      <c r="P34" s="71">
        <f>IF(OR($B34="",N($O34)&lt;=0),"",$O34-$K34)</f>
        <v/>
      </c>
      <c r="Q34" s="72">
        <f>IF(OR($B34="",N($O34)&lt;=0),"",$P34/$O34)</f>
        <v/>
      </c>
      <c r="R34" s="72">
        <f>IF(OR($B34="",N($O34)&lt;=0,N($K34)&lt;=0),"",$P34/$K34)</f>
        <v/>
      </c>
      <c r="S34" s="72">
        <f>IF(OR($B34="",N($O34)&lt;=0),"",$F34/$O34)</f>
        <v/>
      </c>
      <c r="T34" s="80">
        <f>IF($B34="","",IF(COUNTIF($B$7:$B$56,$B34)&gt;1,"Duplicate name",IF(N($O34)&lt;=0,"Set a price",IF(N($K34)&lt;=0,"Add costs",IF($P34&lt;0,"LOSS",IF($Q34&lt;$M34-0.00001,"Below target",IF($S34&gt;cfg_FoodCostTarget,"High food cost","Healthy")))))))</f>
        <v/>
      </c>
      <c r="U34" s="81">
        <f>IF($T34="","",IF($T34="Duplicate name","Each menu item needs a unique name",IF($T34="Set a price","Suggested starting price: "&amp;cfg_Symbol&amp;TEXT($N34,"0.00"),IF($T34="Add costs","Build the recipe or type an ingredient cost override",IF($T34="LOSS","Losing "&amp;cfg_Symbol&amp;TEXT(-$P34,"0.00")&amp;" per sale - raise to "&amp;cfg_Symbol&amp;TEXT($N34,"0.00"),IF($T34="Below target","Raise to "&amp;cfg_Symbol&amp;TEXT($N34,"0.00")&amp;" for a "&amp;TEXT($M34,"0%")&amp;" margin",IF($T34="High food cost","Margin OK; food cost "&amp;TEXT($S34,"0%")&amp;" is above "&amp;TEXT(cfg_FoodCostTarget,"0%")&amp;" target","On target")))))))</f>
        <v/>
      </c>
      <c r="V34" s="82">
        <f>IF($B34="","",SUMIFS('Sales Log'!$D$7:$D$3006,'Sales Log'!$C$7:$C$3006,$B34,'Sales Log'!$B$7:$B$3006,"&gt;="&amp;cfg_Start,'Sales Log'!$B$7:$B$3006,"&lt;="&amp;cfg_End,'Sales Log'!$N$7:$N$3006,"OK"))</f>
        <v/>
      </c>
      <c r="W34" s="71">
        <f>IF($B34="","",SUMIFS('Sales Log'!$I$7:$I$3006,'Sales Log'!$C$7:$C$3006,$B34,'Sales Log'!$B$7:$B$3006,"&gt;="&amp;cfg_Start,'Sales Log'!$B$7:$B$3006,"&lt;="&amp;cfg_End,'Sales Log'!$N$7:$N$3006,"OK"))</f>
        <v/>
      </c>
      <c r="X34" s="71">
        <f>IF($B34="","",SUMIFS('Sales Log'!$L$7:$L$3006,'Sales Log'!$C$7:$C$3006,$B34,'Sales Log'!$B$7:$B$3006,"&gt;="&amp;cfg_Start,'Sales Log'!$B$7:$B$3006,"&lt;="&amp;cfg_End,'Sales Log'!$N$7:$N$3006,"OK"))</f>
        <v/>
      </c>
      <c r="Y34" s="72">
        <f>IF($B34="","",IF(SUM($V$7:$V$56)=0,0,$V34/SUM($V$7:$V$56)))</f>
        <v/>
      </c>
      <c r="Z34" s="83">
        <f>IF($B34="",-1,N($V34)+ROW()/1000000)</f>
        <v/>
      </c>
      <c r="AA34" s="83">
        <f>IF($B34="",-1E+15,N($X34)+ROW()/1000000)</f>
        <v/>
      </c>
    </row>
    <row r="35" ht="19" customHeight="1">
      <c r="B35" s="60" t="n"/>
      <c r="C35" s="60" t="n"/>
      <c r="D35" s="71">
        <f>IF($B35="","",SUMIFS('Recipe Builder'!$J$7:$J$406,'Recipe Builder'!$B$7:$B$406,$B35))</f>
        <v/>
      </c>
      <c r="E35" s="63" t="n"/>
      <c r="F35" s="71">
        <f>IF($B35="","",IF(ISNUMBER($E35),$E35,N($D35)))</f>
        <v/>
      </c>
      <c r="G35" s="63" t="n"/>
      <c r="H35" s="77" t="n"/>
      <c r="I35" s="71">
        <f>IF($B35="","",N($H35)/60*cfg_LaborRate)</f>
        <v/>
      </c>
      <c r="J35" s="63" t="n"/>
      <c r="K35" s="78">
        <f>IF($B35="","",$F35+N($G35)+$I35+N($J35))</f>
        <v/>
      </c>
      <c r="L35" s="64" t="n"/>
      <c r="M35" s="72">
        <f>IF($B35="","",IF(AND(ISNUMBER($L35),$L35&lt;0.95),MAX(0,$L35),cfg_TargetMargin))</f>
        <v/>
      </c>
      <c r="N35" s="71">
        <f>IF($B35="","",IF(cfg_Round&gt;0,CEILING($K35/(1-$M35),cfg_Round),ROUND($K35/(1-$M35),2)))</f>
        <v/>
      </c>
      <c r="O35" s="79" t="n"/>
      <c r="P35" s="71">
        <f>IF(OR($B35="",N($O35)&lt;=0),"",$O35-$K35)</f>
        <v/>
      </c>
      <c r="Q35" s="72">
        <f>IF(OR($B35="",N($O35)&lt;=0),"",$P35/$O35)</f>
        <v/>
      </c>
      <c r="R35" s="72">
        <f>IF(OR($B35="",N($O35)&lt;=0,N($K35)&lt;=0),"",$P35/$K35)</f>
        <v/>
      </c>
      <c r="S35" s="72">
        <f>IF(OR($B35="",N($O35)&lt;=0),"",$F35/$O35)</f>
        <v/>
      </c>
      <c r="T35" s="80">
        <f>IF($B35="","",IF(COUNTIF($B$7:$B$56,$B35)&gt;1,"Duplicate name",IF(N($O35)&lt;=0,"Set a price",IF(N($K35)&lt;=0,"Add costs",IF($P35&lt;0,"LOSS",IF($Q35&lt;$M35-0.00001,"Below target",IF($S35&gt;cfg_FoodCostTarget,"High food cost","Healthy")))))))</f>
        <v/>
      </c>
      <c r="U35" s="81">
        <f>IF($T35="","",IF($T35="Duplicate name","Each menu item needs a unique name",IF($T35="Set a price","Suggested starting price: "&amp;cfg_Symbol&amp;TEXT($N35,"0.00"),IF($T35="Add costs","Build the recipe or type an ingredient cost override",IF($T35="LOSS","Losing "&amp;cfg_Symbol&amp;TEXT(-$P35,"0.00")&amp;" per sale - raise to "&amp;cfg_Symbol&amp;TEXT($N35,"0.00"),IF($T35="Below target","Raise to "&amp;cfg_Symbol&amp;TEXT($N35,"0.00")&amp;" for a "&amp;TEXT($M35,"0%")&amp;" margin",IF($T35="High food cost","Margin OK; food cost "&amp;TEXT($S35,"0%")&amp;" is above "&amp;TEXT(cfg_FoodCostTarget,"0%")&amp;" target","On target")))))))</f>
        <v/>
      </c>
      <c r="V35" s="82">
        <f>IF($B35="","",SUMIFS('Sales Log'!$D$7:$D$3006,'Sales Log'!$C$7:$C$3006,$B35,'Sales Log'!$B$7:$B$3006,"&gt;="&amp;cfg_Start,'Sales Log'!$B$7:$B$3006,"&lt;="&amp;cfg_End,'Sales Log'!$N$7:$N$3006,"OK"))</f>
        <v/>
      </c>
      <c r="W35" s="71">
        <f>IF($B35="","",SUMIFS('Sales Log'!$I$7:$I$3006,'Sales Log'!$C$7:$C$3006,$B35,'Sales Log'!$B$7:$B$3006,"&gt;="&amp;cfg_Start,'Sales Log'!$B$7:$B$3006,"&lt;="&amp;cfg_End,'Sales Log'!$N$7:$N$3006,"OK"))</f>
        <v/>
      </c>
      <c r="X35" s="71">
        <f>IF($B35="","",SUMIFS('Sales Log'!$L$7:$L$3006,'Sales Log'!$C$7:$C$3006,$B35,'Sales Log'!$B$7:$B$3006,"&gt;="&amp;cfg_Start,'Sales Log'!$B$7:$B$3006,"&lt;="&amp;cfg_End,'Sales Log'!$N$7:$N$3006,"OK"))</f>
        <v/>
      </c>
      <c r="Y35" s="72">
        <f>IF($B35="","",IF(SUM($V$7:$V$56)=0,0,$V35/SUM($V$7:$V$56)))</f>
        <v/>
      </c>
      <c r="Z35" s="83">
        <f>IF($B35="",-1,N($V35)+ROW()/1000000)</f>
        <v/>
      </c>
      <c r="AA35" s="83">
        <f>IF($B35="",-1E+15,N($X35)+ROW()/1000000)</f>
        <v/>
      </c>
    </row>
    <row r="36" ht="19" customHeight="1">
      <c r="B36" s="60" t="n"/>
      <c r="C36" s="60" t="n"/>
      <c r="D36" s="71">
        <f>IF($B36="","",SUMIFS('Recipe Builder'!$J$7:$J$406,'Recipe Builder'!$B$7:$B$406,$B36))</f>
        <v/>
      </c>
      <c r="E36" s="63" t="n"/>
      <c r="F36" s="71">
        <f>IF($B36="","",IF(ISNUMBER($E36),$E36,N($D36)))</f>
        <v/>
      </c>
      <c r="G36" s="63" t="n"/>
      <c r="H36" s="77" t="n"/>
      <c r="I36" s="71">
        <f>IF($B36="","",N($H36)/60*cfg_LaborRate)</f>
        <v/>
      </c>
      <c r="J36" s="63" t="n"/>
      <c r="K36" s="78">
        <f>IF($B36="","",$F36+N($G36)+$I36+N($J36))</f>
        <v/>
      </c>
      <c r="L36" s="64" t="n"/>
      <c r="M36" s="72">
        <f>IF($B36="","",IF(AND(ISNUMBER($L36),$L36&lt;0.95),MAX(0,$L36),cfg_TargetMargin))</f>
        <v/>
      </c>
      <c r="N36" s="71">
        <f>IF($B36="","",IF(cfg_Round&gt;0,CEILING($K36/(1-$M36),cfg_Round),ROUND($K36/(1-$M36),2)))</f>
        <v/>
      </c>
      <c r="O36" s="79" t="n"/>
      <c r="P36" s="71">
        <f>IF(OR($B36="",N($O36)&lt;=0),"",$O36-$K36)</f>
        <v/>
      </c>
      <c r="Q36" s="72">
        <f>IF(OR($B36="",N($O36)&lt;=0),"",$P36/$O36)</f>
        <v/>
      </c>
      <c r="R36" s="72">
        <f>IF(OR($B36="",N($O36)&lt;=0,N($K36)&lt;=0),"",$P36/$K36)</f>
        <v/>
      </c>
      <c r="S36" s="72">
        <f>IF(OR($B36="",N($O36)&lt;=0),"",$F36/$O36)</f>
        <v/>
      </c>
      <c r="T36" s="80">
        <f>IF($B36="","",IF(COUNTIF($B$7:$B$56,$B36)&gt;1,"Duplicate name",IF(N($O36)&lt;=0,"Set a price",IF(N($K36)&lt;=0,"Add costs",IF($P36&lt;0,"LOSS",IF($Q36&lt;$M36-0.00001,"Below target",IF($S36&gt;cfg_FoodCostTarget,"High food cost","Healthy")))))))</f>
        <v/>
      </c>
      <c r="U36" s="81">
        <f>IF($T36="","",IF($T36="Duplicate name","Each menu item needs a unique name",IF($T36="Set a price","Suggested starting price: "&amp;cfg_Symbol&amp;TEXT($N36,"0.00"),IF($T36="Add costs","Build the recipe or type an ingredient cost override",IF($T36="LOSS","Losing "&amp;cfg_Symbol&amp;TEXT(-$P36,"0.00")&amp;" per sale - raise to "&amp;cfg_Symbol&amp;TEXT($N36,"0.00"),IF($T36="Below target","Raise to "&amp;cfg_Symbol&amp;TEXT($N36,"0.00")&amp;" for a "&amp;TEXT($M36,"0%")&amp;" margin",IF($T36="High food cost","Margin OK; food cost "&amp;TEXT($S36,"0%")&amp;" is above "&amp;TEXT(cfg_FoodCostTarget,"0%")&amp;" target","On target")))))))</f>
        <v/>
      </c>
      <c r="V36" s="82">
        <f>IF($B36="","",SUMIFS('Sales Log'!$D$7:$D$3006,'Sales Log'!$C$7:$C$3006,$B36,'Sales Log'!$B$7:$B$3006,"&gt;="&amp;cfg_Start,'Sales Log'!$B$7:$B$3006,"&lt;="&amp;cfg_End,'Sales Log'!$N$7:$N$3006,"OK"))</f>
        <v/>
      </c>
      <c r="W36" s="71">
        <f>IF($B36="","",SUMIFS('Sales Log'!$I$7:$I$3006,'Sales Log'!$C$7:$C$3006,$B36,'Sales Log'!$B$7:$B$3006,"&gt;="&amp;cfg_Start,'Sales Log'!$B$7:$B$3006,"&lt;="&amp;cfg_End,'Sales Log'!$N$7:$N$3006,"OK"))</f>
        <v/>
      </c>
      <c r="X36" s="71">
        <f>IF($B36="","",SUMIFS('Sales Log'!$L$7:$L$3006,'Sales Log'!$C$7:$C$3006,$B36,'Sales Log'!$B$7:$B$3006,"&gt;="&amp;cfg_Start,'Sales Log'!$B$7:$B$3006,"&lt;="&amp;cfg_End,'Sales Log'!$N$7:$N$3006,"OK"))</f>
        <v/>
      </c>
      <c r="Y36" s="72">
        <f>IF($B36="","",IF(SUM($V$7:$V$56)=0,0,$V36/SUM($V$7:$V$56)))</f>
        <v/>
      </c>
      <c r="Z36" s="83">
        <f>IF($B36="",-1,N($V36)+ROW()/1000000)</f>
        <v/>
      </c>
      <c r="AA36" s="83">
        <f>IF($B36="",-1E+15,N($X36)+ROW()/1000000)</f>
        <v/>
      </c>
    </row>
    <row r="37" ht="19" customHeight="1">
      <c r="B37" s="60" t="n"/>
      <c r="C37" s="60" t="n"/>
      <c r="D37" s="71">
        <f>IF($B37="","",SUMIFS('Recipe Builder'!$J$7:$J$406,'Recipe Builder'!$B$7:$B$406,$B37))</f>
        <v/>
      </c>
      <c r="E37" s="63" t="n"/>
      <c r="F37" s="71">
        <f>IF($B37="","",IF(ISNUMBER($E37),$E37,N($D37)))</f>
        <v/>
      </c>
      <c r="G37" s="63" t="n"/>
      <c r="H37" s="77" t="n"/>
      <c r="I37" s="71">
        <f>IF($B37="","",N($H37)/60*cfg_LaborRate)</f>
        <v/>
      </c>
      <c r="J37" s="63" t="n"/>
      <c r="K37" s="78">
        <f>IF($B37="","",$F37+N($G37)+$I37+N($J37))</f>
        <v/>
      </c>
      <c r="L37" s="64" t="n"/>
      <c r="M37" s="72">
        <f>IF($B37="","",IF(AND(ISNUMBER($L37),$L37&lt;0.95),MAX(0,$L37),cfg_TargetMargin))</f>
        <v/>
      </c>
      <c r="N37" s="71">
        <f>IF($B37="","",IF(cfg_Round&gt;0,CEILING($K37/(1-$M37),cfg_Round),ROUND($K37/(1-$M37),2)))</f>
        <v/>
      </c>
      <c r="O37" s="79" t="n"/>
      <c r="P37" s="71">
        <f>IF(OR($B37="",N($O37)&lt;=0),"",$O37-$K37)</f>
        <v/>
      </c>
      <c r="Q37" s="72">
        <f>IF(OR($B37="",N($O37)&lt;=0),"",$P37/$O37)</f>
        <v/>
      </c>
      <c r="R37" s="72">
        <f>IF(OR($B37="",N($O37)&lt;=0,N($K37)&lt;=0),"",$P37/$K37)</f>
        <v/>
      </c>
      <c r="S37" s="72">
        <f>IF(OR($B37="",N($O37)&lt;=0),"",$F37/$O37)</f>
        <v/>
      </c>
      <c r="T37" s="80">
        <f>IF($B37="","",IF(COUNTIF($B$7:$B$56,$B37)&gt;1,"Duplicate name",IF(N($O37)&lt;=0,"Set a price",IF(N($K37)&lt;=0,"Add costs",IF($P37&lt;0,"LOSS",IF($Q37&lt;$M37-0.00001,"Below target",IF($S37&gt;cfg_FoodCostTarget,"High food cost","Healthy")))))))</f>
        <v/>
      </c>
      <c r="U37" s="81">
        <f>IF($T37="","",IF($T37="Duplicate name","Each menu item needs a unique name",IF($T37="Set a price","Suggested starting price: "&amp;cfg_Symbol&amp;TEXT($N37,"0.00"),IF($T37="Add costs","Build the recipe or type an ingredient cost override",IF($T37="LOSS","Losing "&amp;cfg_Symbol&amp;TEXT(-$P37,"0.00")&amp;" per sale - raise to "&amp;cfg_Symbol&amp;TEXT($N37,"0.00"),IF($T37="Below target","Raise to "&amp;cfg_Symbol&amp;TEXT($N37,"0.00")&amp;" for a "&amp;TEXT($M37,"0%")&amp;" margin",IF($T37="High food cost","Margin OK; food cost "&amp;TEXT($S37,"0%")&amp;" is above "&amp;TEXT(cfg_FoodCostTarget,"0%")&amp;" target","On target")))))))</f>
        <v/>
      </c>
      <c r="V37" s="82">
        <f>IF($B37="","",SUMIFS('Sales Log'!$D$7:$D$3006,'Sales Log'!$C$7:$C$3006,$B37,'Sales Log'!$B$7:$B$3006,"&gt;="&amp;cfg_Start,'Sales Log'!$B$7:$B$3006,"&lt;="&amp;cfg_End,'Sales Log'!$N$7:$N$3006,"OK"))</f>
        <v/>
      </c>
      <c r="W37" s="71">
        <f>IF($B37="","",SUMIFS('Sales Log'!$I$7:$I$3006,'Sales Log'!$C$7:$C$3006,$B37,'Sales Log'!$B$7:$B$3006,"&gt;="&amp;cfg_Start,'Sales Log'!$B$7:$B$3006,"&lt;="&amp;cfg_End,'Sales Log'!$N$7:$N$3006,"OK"))</f>
        <v/>
      </c>
      <c r="X37" s="71">
        <f>IF($B37="","",SUMIFS('Sales Log'!$L$7:$L$3006,'Sales Log'!$C$7:$C$3006,$B37,'Sales Log'!$B$7:$B$3006,"&gt;="&amp;cfg_Start,'Sales Log'!$B$7:$B$3006,"&lt;="&amp;cfg_End,'Sales Log'!$N$7:$N$3006,"OK"))</f>
        <v/>
      </c>
      <c r="Y37" s="72">
        <f>IF($B37="","",IF(SUM($V$7:$V$56)=0,0,$V37/SUM($V$7:$V$56)))</f>
        <v/>
      </c>
      <c r="Z37" s="83">
        <f>IF($B37="",-1,N($V37)+ROW()/1000000)</f>
        <v/>
      </c>
      <c r="AA37" s="83">
        <f>IF($B37="",-1E+15,N($X37)+ROW()/1000000)</f>
        <v/>
      </c>
    </row>
    <row r="38" ht="19" customHeight="1">
      <c r="B38" s="60" t="n"/>
      <c r="C38" s="60" t="n"/>
      <c r="D38" s="71">
        <f>IF($B38="","",SUMIFS('Recipe Builder'!$J$7:$J$406,'Recipe Builder'!$B$7:$B$406,$B38))</f>
        <v/>
      </c>
      <c r="E38" s="63" t="n"/>
      <c r="F38" s="71">
        <f>IF($B38="","",IF(ISNUMBER($E38),$E38,N($D38)))</f>
        <v/>
      </c>
      <c r="G38" s="63" t="n"/>
      <c r="H38" s="77" t="n"/>
      <c r="I38" s="71">
        <f>IF($B38="","",N($H38)/60*cfg_LaborRate)</f>
        <v/>
      </c>
      <c r="J38" s="63" t="n"/>
      <c r="K38" s="78">
        <f>IF($B38="","",$F38+N($G38)+$I38+N($J38))</f>
        <v/>
      </c>
      <c r="L38" s="64" t="n"/>
      <c r="M38" s="72">
        <f>IF($B38="","",IF(AND(ISNUMBER($L38),$L38&lt;0.95),MAX(0,$L38),cfg_TargetMargin))</f>
        <v/>
      </c>
      <c r="N38" s="71">
        <f>IF($B38="","",IF(cfg_Round&gt;0,CEILING($K38/(1-$M38),cfg_Round),ROUND($K38/(1-$M38),2)))</f>
        <v/>
      </c>
      <c r="O38" s="79" t="n"/>
      <c r="P38" s="71">
        <f>IF(OR($B38="",N($O38)&lt;=0),"",$O38-$K38)</f>
        <v/>
      </c>
      <c r="Q38" s="72">
        <f>IF(OR($B38="",N($O38)&lt;=0),"",$P38/$O38)</f>
        <v/>
      </c>
      <c r="R38" s="72">
        <f>IF(OR($B38="",N($O38)&lt;=0,N($K38)&lt;=0),"",$P38/$K38)</f>
        <v/>
      </c>
      <c r="S38" s="72">
        <f>IF(OR($B38="",N($O38)&lt;=0),"",$F38/$O38)</f>
        <v/>
      </c>
      <c r="T38" s="80">
        <f>IF($B38="","",IF(COUNTIF($B$7:$B$56,$B38)&gt;1,"Duplicate name",IF(N($O38)&lt;=0,"Set a price",IF(N($K38)&lt;=0,"Add costs",IF($P38&lt;0,"LOSS",IF($Q38&lt;$M38-0.00001,"Below target",IF($S38&gt;cfg_FoodCostTarget,"High food cost","Healthy")))))))</f>
        <v/>
      </c>
      <c r="U38" s="81">
        <f>IF($T38="","",IF($T38="Duplicate name","Each menu item needs a unique name",IF($T38="Set a price","Suggested starting price: "&amp;cfg_Symbol&amp;TEXT($N38,"0.00"),IF($T38="Add costs","Build the recipe or type an ingredient cost override",IF($T38="LOSS","Losing "&amp;cfg_Symbol&amp;TEXT(-$P38,"0.00")&amp;" per sale - raise to "&amp;cfg_Symbol&amp;TEXT($N38,"0.00"),IF($T38="Below target","Raise to "&amp;cfg_Symbol&amp;TEXT($N38,"0.00")&amp;" for a "&amp;TEXT($M38,"0%")&amp;" margin",IF($T38="High food cost","Margin OK; food cost "&amp;TEXT($S38,"0%")&amp;" is above "&amp;TEXT(cfg_FoodCostTarget,"0%")&amp;" target","On target")))))))</f>
        <v/>
      </c>
      <c r="V38" s="82">
        <f>IF($B38="","",SUMIFS('Sales Log'!$D$7:$D$3006,'Sales Log'!$C$7:$C$3006,$B38,'Sales Log'!$B$7:$B$3006,"&gt;="&amp;cfg_Start,'Sales Log'!$B$7:$B$3006,"&lt;="&amp;cfg_End,'Sales Log'!$N$7:$N$3006,"OK"))</f>
        <v/>
      </c>
      <c r="W38" s="71">
        <f>IF($B38="","",SUMIFS('Sales Log'!$I$7:$I$3006,'Sales Log'!$C$7:$C$3006,$B38,'Sales Log'!$B$7:$B$3006,"&gt;="&amp;cfg_Start,'Sales Log'!$B$7:$B$3006,"&lt;="&amp;cfg_End,'Sales Log'!$N$7:$N$3006,"OK"))</f>
        <v/>
      </c>
      <c r="X38" s="71">
        <f>IF($B38="","",SUMIFS('Sales Log'!$L$7:$L$3006,'Sales Log'!$C$7:$C$3006,$B38,'Sales Log'!$B$7:$B$3006,"&gt;="&amp;cfg_Start,'Sales Log'!$B$7:$B$3006,"&lt;="&amp;cfg_End,'Sales Log'!$N$7:$N$3006,"OK"))</f>
        <v/>
      </c>
      <c r="Y38" s="72">
        <f>IF($B38="","",IF(SUM($V$7:$V$56)=0,0,$V38/SUM($V$7:$V$56)))</f>
        <v/>
      </c>
      <c r="Z38" s="83">
        <f>IF($B38="",-1,N($V38)+ROW()/1000000)</f>
        <v/>
      </c>
      <c r="AA38" s="83">
        <f>IF($B38="",-1E+15,N($X38)+ROW()/1000000)</f>
        <v/>
      </c>
    </row>
    <row r="39" ht="19" customHeight="1">
      <c r="B39" s="60" t="n"/>
      <c r="C39" s="60" t="n"/>
      <c r="D39" s="71">
        <f>IF($B39="","",SUMIFS('Recipe Builder'!$J$7:$J$406,'Recipe Builder'!$B$7:$B$406,$B39))</f>
        <v/>
      </c>
      <c r="E39" s="63" t="n"/>
      <c r="F39" s="71">
        <f>IF($B39="","",IF(ISNUMBER($E39),$E39,N($D39)))</f>
        <v/>
      </c>
      <c r="G39" s="63" t="n"/>
      <c r="H39" s="77" t="n"/>
      <c r="I39" s="71">
        <f>IF($B39="","",N($H39)/60*cfg_LaborRate)</f>
        <v/>
      </c>
      <c r="J39" s="63" t="n"/>
      <c r="K39" s="78">
        <f>IF($B39="","",$F39+N($G39)+$I39+N($J39))</f>
        <v/>
      </c>
      <c r="L39" s="64" t="n"/>
      <c r="M39" s="72">
        <f>IF($B39="","",IF(AND(ISNUMBER($L39),$L39&lt;0.95),MAX(0,$L39),cfg_TargetMargin))</f>
        <v/>
      </c>
      <c r="N39" s="71">
        <f>IF($B39="","",IF(cfg_Round&gt;0,CEILING($K39/(1-$M39),cfg_Round),ROUND($K39/(1-$M39),2)))</f>
        <v/>
      </c>
      <c r="O39" s="79" t="n"/>
      <c r="P39" s="71">
        <f>IF(OR($B39="",N($O39)&lt;=0),"",$O39-$K39)</f>
        <v/>
      </c>
      <c r="Q39" s="72">
        <f>IF(OR($B39="",N($O39)&lt;=0),"",$P39/$O39)</f>
        <v/>
      </c>
      <c r="R39" s="72">
        <f>IF(OR($B39="",N($O39)&lt;=0,N($K39)&lt;=0),"",$P39/$K39)</f>
        <v/>
      </c>
      <c r="S39" s="72">
        <f>IF(OR($B39="",N($O39)&lt;=0),"",$F39/$O39)</f>
        <v/>
      </c>
      <c r="T39" s="80">
        <f>IF($B39="","",IF(COUNTIF($B$7:$B$56,$B39)&gt;1,"Duplicate name",IF(N($O39)&lt;=0,"Set a price",IF(N($K39)&lt;=0,"Add costs",IF($P39&lt;0,"LOSS",IF($Q39&lt;$M39-0.00001,"Below target",IF($S39&gt;cfg_FoodCostTarget,"High food cost","Healthy")))))))</f>
        <v/>
      </c>
      <c r="U39" s="81">
        <f>IF($T39="","",IF($T39="Duplicate name","Each menu item needs a unique name",IF($T39="Set a price","Suggested starting price: "&amp;cfg_Symbol&amp;TEXT($N39,"0.00"),IF($T39="Add costs","Build the recipe or type an ingredient cost override",IF($T39="LOSS","Losing "&amp;cfg_Symbol&amp;TEXT(-$P39,"0.00")&amp;" per sale - raise to "&amp;cfg_Symbol&amp;TEXT($N39,"0.00"),IF($T39="Below target","Raise to "&amp;cfg_Symbol&amp;TEXT($N39,"0.00")&amp;" for a "&amp;TEXT($M39,"0%")&amp;" margin",IF($T39="High food cost","Margin OK; food cost "&amp;TEXT($S39,"0%")&amp;" is above "&amp;TEXT(cfg_FoodCostTarget,"0%")&amp;" target","On target")))))))</f>
        <v/>
      </c>
      <c r="V39" s="82">
        <f>IF($B39="","",SUMIFS('Sales Log'!$D$7:$D$3006,'Sales Log'!$C$7:$C$3006,$B39,'Sales Log'!$B$7:$B$3006,"&gt;="&amp;cfg_Start,'Sales Log'!$B$7:$B$3006,"&lt;="&amp;cfg_End,'Sales Log'!$N$7:$N$3006,"OK"))</f>
        <v/>
      </c>
      <c r="W39" s="71">
        <f>IF($B39="","",SUMIFS('Sales Log'!$I$7:$I$3006,'Sales Log'!$C$7:$C$3006,$B39,'Sales Log'!$B$7:$B$3006,"&gt;="&amp;cfg_Start,'Sales Log'!$B$7:$B$3006,"&lt;="&amp;cfg_End,'Sales Log'!$N$7:$N$3006,"OK"))</f>
        <v/>
      </c>
      <c r="X39" s="71">
        <f>IF($B39="","",SUMIFS('Sales Log'!$L$7:$L$3006,'Sales Log'!$C$7:$C$3006,$B39,'Sales Log'!$B$7:$B$3006,"&gt;="&amp;cfg_Start,'Sales Log'!$B$7:$B$3006,"&lt;="&amp;cfg_End,'Sales Log'!$N$7:$N$3006,"OK"))</f>
        <v/>
      </c>
      <c r="Y39" s="72">
        <f>IF($B39="","",IF(SUM($V$7:$V$56)=0,0,$V39/SUM($V$7:$V$56)))</f>
        <v/>
      </c>
      <c r="Z39" s="83">
        <f>IF($B39="",-1,N($V39)+ROW()/1000000)</f>
        <v/>
      </c>
      <c r="AA39" s="83">
        <f>IF($B39="",-1E+15,N($X39)+ROW()/1000000)</f>
        <v/>
      </c>
    </row>
    <row r="40" ht="19" customHeight="1">
      <c r="B40" s="60" t="n"/>
      <c r="C40" s="60" t="n"/>
      <c r="D40" s="71">
        <f>IF($B40="","",SUMIFS('Recipe Builder'!$J$7:$J$406,'Recipe Builder'!$B$7:$B$406,$B40))</f>
        <v/>
      </c>
      <c r="E40" s="63" t="n"/>
      <c r="F40" s="71">
        <f>IF($B40="","",IF(ISNUMBER($E40),$E40,N($D40)))</f>
        <v/>
      </c>
      <c r="G40" s="63" t="n"/>
      <c r="H40" s="77" t="n"/>
      <c r="I40" s="71">
        <f>IF($B40="","",N($H40)/60*cfg_LaborRate)</f>
        <v/>
      </c>
      <c r="J40" s="63" t="n"/>
      <c r="K40" s="78">
        <f>IF($B40="","",$F40+N($G40)+$I40+N($J40))</f>
        <v/>
      </c>
      <c r="L40" s="64" t="n"/>
      <c r="M40" s="72">
        <f>IF($B40="","",IF(AND(ISNUMBER($L40),$L40&lt;0.95),MAX(0,$L40),cfg_TargetMargin))</f>
        <v/>
      </c>
      <c r="N40" s="71">
        <f>IF($B40="","",IF(cfg_Round&gt;0,CEILING($K40/(1-$M40),cfg_Round),ROUND($K40/(1-$M40),2)))</f>
        <v/>
      </c>
      <c r="O40" s="79" t="n"/>
      <c r="P40" s="71">
        <f>IF(OR($B40="",N($O40)&lt;=0),"",$O40-$K40)</f>
        <v/>
      </c>
      <c r="Q40" s="72">
        <f>IF(OR($B40="",N($O40)&lt;=0),"",$P40/$O40)</f>
        <v/>
      </c>
      <c r="R40" s="72">
        <f>IF(OR($B40="",N($O40)&lt;=0,N($K40)&lt;=0),"",$P40/$K40)</f>
        <v/>
      </c>
      <c r="S40" s="72">
        <f>IF(OR($B40="",N($O40)&lt;=0),"",$F40/$O40)</f>
        <v/>
      </c>
      <c r="T40" s="80">
        <f>IF($B40="","",IF(COUNTIF($B$7:$B$56,$B40)&gt;1,"Duplicate name",IF(N($O40)&lt;=0,"Set a price",IF(N($K40)&lt;=0,"Add costs",IF($P40&lt;0,"LOSS",IF($Q40&lt;$M40-0.00001,"Below target",IF($S40&gt;cfg_FoodCostTarget,"High food cost","Healthy")))))))</f>
        <v/>
      </c>
      <c r="U40" s="81">
        <f>IF($T40="","",IF($T40="Duplicate name","Each menu item needs a unique name",IF($T40="Set a price","Suggested starting price: "&amp;cfg_Symbol&amp;TEXT($N40,"0.00"),IF($T40="Add costs","Build the recipe or type an ingredient cost override",IF($T40="LOSS","Losing "&amp;cfg_Symbol&amp;TEXT(-$P40,"0.00")&amp;" per sale - raise to "&amp;cfg_Symbol&amp;TEXT($N40,"0.00"),IF($T40="Below target","Raise to "&amp;cfg_Symbol&amp;TEXT($N40,"0.00")&amp;" for a "&amp;TEXT($M40,"0%")&amp;" margin",IF($T40="High food cost","Margin OK; food cost "&amp;TEXT($S40,"0%")&amp;" is above "&amp;TEXT(cfg_FoodCostTarget,"0%")&amp;" target","On target")))))))</f>
        <v/>
      </c>
      <c r="V40" s="82">
        <f>IF($B40="","",SUMIFS('Sales Log'!$D$7:$D$3006,'Sales Log'!$C$7:$C$3006,$B40,'Sales Log'!$B$7:$B$3006,"&gt;="&amp;cfg_Start,'Sales Log'!$B$7:$B$3006,"&lt;="&amp;cfg_End,'Sales Log'!$N$7:$N$3006,"OK"))</f>
        <v/>
      </c>
      <c r="W40" s="71">
        <f>IF($B40="","",SUMIFS('Sales Log'!$I$7:$I$3006,'Sales Log'!$C$7:$C$3006,$B40,'Sales Log'!$B$7:$B$3006,"&gt;="&amp;cfg_Start,'Sales Log'!$B$7:$B$3006,"&lt;="&amp;cfg_End,'Sales Log'!$N$7:$N$3006,"OK"))</f>
        <v/>
      </c>
      <c r="X40" s="71">
        <f>IF($B40="","",SUMIFS('Sales Log'!$L$7:$L$3006,'Sales Log'!$C$7:$C$3006,$B40,'Sales Log'!$B$7:$B$3006,"&gt;="&amp;cfg_Start,'Sales Log'!$B$7:$B$3006,"&lt;="&amp;cfg_End,'Sales Log'!$N$7:$N$3006,"OK"))</f>
        <v/>
      </c>
      <c r="Y40" s="72">
        <f>IF($B40="","",IF(SUM($V$7:$V$56)=0,0,$V40/SUM($V$7:$V$56)))</f>
        <v/>
      </c>
      <c r="Z40" s="83">
        <f>IF($B40="",-1,N($V40)+ROW()/1000000)</f>
        <v/>
      </c>
      <c r="AA40" s="83">
        <f>IF($B40="",-1E+15,N($X40)+ROW()/1000000)</f>
        <v/>
      </c>
    </row>
    <row r="41" ht="19" customHeight="1">
      <c r="B41" s="60" t="n"/>
      <c r="C41" s="60" t="n"/>
      <c r="D41" s="71">
        <f>IF($B41="","",SUMIFS('Recipe Builder'!$J$7:$J$406,'Recipe Builder'!$B$7:$B$406,$B41))</f>
        <v/>
      </c>
      <c r="E41" s="63" t="n"/>
      <c r="F41" s="71">
        <f>IF($B41="","",IF(ISNUMBER($E41),$E41,N($D41)))</f>
        <v/>
      </c>
      <c r="G41" s="63" t="n"/>
      <c r="H41" s="77" t="n"/>
      <c r="I41" s="71">
        <f>IF($B41="","",N($H41)/60*cfg_LaborRate)</f>
        <v/>
      </c>
      <c r="J41" s="63" t="n"/>
      <c r="K41" s="78">
        <f>IF($B41="","",$F41+N($G41)+$I41+N($J41))</f>
        <v/>
      </c>
      <c r="L41" s="64" t="n"/>
      <c r="M41" s="72">
        <f>IF($B41="","",IF(AND(ISNUMBER($L41),$L41&lt;0.95),MAX(0,$L41),cfg_TargetMargin))</f>
        <v/>
      </c>
      <c r="N41" s="71">
        <f>IF($B41="","",IF(cfg_Round&gt;0,CEILING($K41/(1-$M41),cfg_Round),ROUND($K41/(1-$M41),2)))</f>
        <v/>
      </c>
      <c r="O41" s="79" t="n"/>
      <c r="P41" s="71">
        <f>IF(OR($B41="",N($O41)&lt;=0),"",$O41-$K41)</f>
        <v/>
      </c>
      <c r="Q41" s="72">
        <f>IF(OR($B41="",N($O41)&lt;=0),"",$P41/$O41)</f>
        <v/>
      </c>
      <c r="R41" s="72">
        <f>IF(OR($B41="",N($O41)&lt;=0,N($K41)&lt;=0),"",$P41/$K41)</f>
        <v/>
      </c>
      <c r="S41" s="72">
        <f>IF(OR($B41="",N($O41)&lt;=0),"",$F41/$O41)</f>
        <v/>
      </c>
      <c r="T41" s="80">
        <f>IF($B41="","",IF(COUNTIF($B$7:$B$56,$B41)&gt;1,"Duplicate name",IF(N($O41)&lt;=0,"Set a price",IF(N($K41)&lt;=0,"Add costs",IF($P41&lt;0,"LOSS",IF($Q41&lt;$M41-0.00001,"Below target",IF($S41&gt;cfg_FoodCostTarget,"High food cost","Healthy")))))))</f>
        <v/>
      </c>
      <c r="U41" s="81">
        <f>IF($T41="","",IF($T41="Duplicate name","Each menu item needs a unique name",IF($T41="Set a price","Suggested starting price: "&amp;cfg_Symbol&amp;TEXT($N41,"0.00"),IF($T41="Add costs","Build the recipe or type an ingredient cost override",IF($T41="LOSS","Losing "&amp;cfg_Symbol&amp;TEXT(-$P41,"0.00")&amp;" per sale - raise to "&amp;cfg_Symbol&amp;TEXT($N41,"0.00"),IF($T41="Below target","Raise to "&amp;cfg_Symbol&amp;TEXT($N41,"0.00")&amp;" for a "&amp;TEXT($M41,"0%")&amp;" margin",IF($T41="High food cost","Margin OK; food cost "&amp;TEXT($S41,"0%")&amp;" is above "&amp;TEXT(cfg_FoodCostTarget,"0%")&amp;" target","On target")))))))</f>
        <v/>
      </c>
      <c r="V41" s="82">
        <f>IF($B41="","",SUMIFS('Sales Log'!$D$7:$D$3006,'Sales Log'!$C$7:$C$3006,$B41,'Sales Log'!$B$7:$B$3006,"&gt;="&amp;cfg_Start,'Sales Log'!$B$7:$B$3006,"&lt;="&amp;cfg_End,'Sales Log'!$N$7:$N$3006,"OK"))</f>
        <v/>
      </c>
      <c r="W41" s="71">
        <f>IF($B41="","",SUMIFS('Sales Log'!$I$7:$I$3006,'Sales Log'!$C$7:$C$3006,$B41,'Sales Log'!$B$7:$B$3006,"&gt;="&amp;cfg_Start,'Sales Log'!$B$7:$B$3006,"&lt;="&amp;cfg_End,'Sales Log'!$N$7:$N$3006,"OK"))</f>
        <v/>
      </c>
      <c r="X41" s="71">
        <f>IF($B41="","",SUMIFS('Sales Log'!$L$7:$L$3006,'Sales Log'!$C$7:$C$3006,$B41,'Sales Log'!$B$7:$B$3006,"&gt;="&amp;cfg_Start,'Sales Log'!$B$7:$B$3006,"&lt;="&amp;cfg_End,'Sales Log'!$N$7:$N$3006,"OK"))</f>
        <v/>
      </c>
      <c r="Y41" s="72">
        <f>IF($B41="","",IF(SUM($V$7:$V$56)=0,0,$V41/SUM($V$7:$V$56)))</f>
        <v/>
      </c>
      <c r="Z41" s="83">
        <f>IF($B41="",-1,N($V41)+ROW()/1000000)</f>
        <v/>
      </c>
      <c r="AA41" s="83">
        <f>IF($B41="",-1E+15,N($X41)+ROW()/1000000)</f>
        <v/>
      </c>
    </row>
    <row r="42" ht="19" customHeight="1">
      <c r="B42" s="60" t="n"/>
      <c r="C42" s="60" t="n"/>
      <c r="D42" s="71">
        <f>IF($B42="","",SUMIFS('Recipe Builder'!$J$7:$J$406,'Recipe Builder'!$B$7:$B$406,$B42))</f>
        <v/>
      </c>
      <c r="E42" s="63" t="n"/>
      <c r="F42" s="71">
        <f>IF($B42="","",IF(ISNUMBER($E42),$E42,N($D42)))</f>
        <v/>
      </c>
      <c r="G42" s="63" t="n"/>
      <c r="H42" s="77" t="n"/>
      <c r="I42" s="71">
        <f>IF($B42="","",N($H42)/60*cfg_LaborRate)</f>
        <v/>
      </c>
      <c r="J42" s="63" t="n"/>
      <c r="K42" s="78">
        <f>IF($B42="","",$F42+N($G42)+$I42+N($J42))</f>
        <v/>
      </c>
      <c r="L42" s="64" t="n"/>
      <c r="M42" s="72">
        <f>IF($B42="","",IF(AND(ISNUMBER($L42),$L42&lt;0.95),MAX(0,$L42),cfg_TargetMargin))</f>
        <v/>
      </c>
      <c r="N42" s="71">
        <f>IF($B42="","",IF(cfg_Round&gt;0,CEILING($K42/(1-$M42),cfg_Round),ROUND($K42/(1-$M42),2)))</f>
        <v/>
      </c>
      <c r="O42" s="79" t="n"/>
      <c r="P42" s="71">
        <f>IF(OR($B42="",N($O42)&lt;=0),"",$O42-$K42)</f>
        <v/>
      </c>
      <c r="Q42" s="72">
        <f>IF(OR($B42="",N($O42)&lt;=0),"",$P42/$O42)</f>
        <v/>
      </c>
      <c r="R42" s="72">
        <f>IF(OR($B42="",N($O42)&lt;=0,N($K42)&lt;=0),"",$P42/$K42)</f>
        <v/>
      </c>
      <c r="S42" s="72">
        <f>IF(OR($B42="",N($O42)&lt;=0),"",$F42/$O42)</f>
        <v/>
      </c>
      <c r="T42" s="80">
        <f>IF($B42="","",IF(COUNTIF($B$7:$B$56,$B42)&gt;1,"Duplicate name",IF(N($O42)&lt;=0,"Set a price",IF(N($K42)&lt;=0,"Add costs",IF($P42&lt;0,"LOSS",IF($Q42&lt;$M42-0.00001,"Below target",IF($S42&gt;cfg_FoodCostTarget,"High food cost","Healthy")))))))</f>
        <v/>
      </c>
      <c r="U42" s="81">
        <f>IF($T42="","",IF($T42="Duplicate name","Each menu item needs a unique name",IF($T42="Set a price","Suggested starting price: "&amp;cfg_Symbol&amp;TEXT($N42,"0.00"),IF($T42="Add costs","Build the recipe or type an ingredient cost override",IF($T42="LOSS","Losing "&amp;cfg_Symbol&amp;TEXT(-$P42,"0.00")&amp;" per sale - raise to "&amp;cfg_Symbol&amp;TEXT($N42,"0.00"),IF($T42="Below target","Raise to "&amp;cfg_Symbol&amp;TEXT($N42,"0.00")&amp;" for a "&amp;TEXT($M42,"0%")&amp;" margin",IF($T42="High food cost","Margin OK; food cost "&amp;TEXT($S42,"0%")&amp;" is above "&amp;TEXT(cfg_FoodCostTarget,"0%")&amp;" target","On target")))))))</f>
        <v/>
      </c>
      <c r="V42" s="82">
        <f>IF($B42="","",SUMIFS('Sales Log'!$D$7:$D$3006,'Sales Log'!$C$7:$C$3006,$B42,'Sales Log'!$B$7:$B$3006,"&gt;="&amp;cfg_Start,'Sales Log'!$B$7:$B$3006,"&lt;="&amp;cfg_End,'Sales Log'!$N$7:$N$3006,"OK"))</f>
        <v/>
      </c>
      <c r="W42" s="71">
        <f>IF($B42="","",SUMIFS('Sales Log'!$I$7:$I$3006,'Sales Log'!$C$7:$C$3006,$B42,'Sales Log'!$B$7:$B$3006,"&gt;="&amp;cfg_Start,'Sales Log'!$B$7:$B$3006,"&lt;="&amp;cfg_End,'Sales Log'!$N$7:$N$3006,"OK"))</f>
        <v/>
      </c>
      <c r="X42" s="71">
        <f>IF($B42="","",SUMIFS('Sales Log'!$L$7:$L$3006,'Sales Log'!$C$7:$C$3006,$B42,'Sales Log'!$B$7:$B$3006,"&gt;="&amp;cfg_Start,'Sales Log'!$B$7:$B$3006,"&lt;="&amp;cfg_End,'Sales Log'!$N$7:$N$3006,"OK"))</f>
        <v/>
      </c>
      <c r="Y42" s="72">
        <f>IF($B42="","",IF(SUM($V$7:$V$56)=0,0,$V42/SUM($V$7:$V$56)))</f>
        <v/>
      </c>
      <c r="Z42" s="83">
        <f>IF($B42="",-1,N($V42)+ROW()/1000000)</f>
        <v/>
      </c>
      <c r="AA42" s="83">
        <f>IF($B42="",-1E+15,N($X42)+ROW()/1000000)</f>
        <v/>
      </c>
    </row>
    <row r="43" ht="19" customHeight="1">
      <c r="B43" s="60" t="n"/>
      <c r="C43" s="60" t="n"/>
      <c r="D43" s="71">
        <f>IF($B43="","",SUMIFS('Recipe Builder'!$J$7:$J$406,'Recipe Builder'!$B$7:$B$406,$B43))</f>
        <v/>
      </c>
      <c r="E43" s="63" t="n"/>
      <c r="F43" s="71">
        <f>IF($B43="","",IF(ISNUMBER($E43),$E43,N($D43)))</f>
        <v/>
      </c>
      <c r="G43" s="63" t="n"/>
      <c r="H43" s="77" t="n"/>
      <c r="I43" s="71">
        <f>IF($B43="","",N($H43)/60*cfg_LaborRate)</f>
        <v/>
      </c>
      <c r="J43" s="63" t="n"/>
      <c r="K43" s="78">
        <f>IF($B43="","",$F43+N($G43)+$I43+N($J43))</f>
        <v/>
      </c>
      <c r="L43" s="64" t="n"/>
      <c r="M43" s="72">
        <f>IF($B43="","",IF(AND(ISNUMBER($L43),$L43&lt;0.95),MAX(0,$L43),cfg_TargetMargin))</f>
        <v/>
      </c>
      <c r="N43" s="71">
        <f>IF($B43="","",IF(cfg_Round&gt;0,CEILING($K43/(1-$M43),cfg_Round),ROUND($K43/(1-$M43),2)))</f>
        <v/>
      </c>
      <c r="O43" s="79" t="n"/>
      <c r="P43" s="71">
        <f>IF(OR($B43="",N($O43)&lt;=0),"",$O43-$K43)</f>
        <v/>
      </c>
      <c r="Q43" s="72">
        <f>IF(OR($B43="",N($O43)&lt;=0),"",$P43/$O43)</f>
        <v/>
      </c>
      <c r="R43" s="72">
        <f>IF(OR($B43="",N($O43)&lt;=0,N($K43)&lt;=0),"",$P43/$K43)</f>
        <v/>
      </c>
      <c r="S43" s="72">
        <f>IF(OR($B43="",N($O43)&lt;=0),"",$F43/$O43)</f>
        <v/>
      </c>
      <c r="T43" s="80">
        <f>IF($B43="","",IF(COUNTIF($B$7:$B$56,$B43)&gt;1,"Duplicate name",IF(N($O43)&lt;=0,"Set a price",IF(N($K43)&lt;=0,"Add costs",IF($P43&lt;0,"LOSS",IF($Q43&lt;$M43-0.00001,"Below target",IF($S43&gt;cfg_FoodCostTarget,"High food cost","Healthy")))))))</f>
        <v/>
      </c>
      <c r="U43" s="81">
        <f>IF($T43="","",IF($T43="Duplicate name","Each menu item needs a unique name",IF($T43="Set a price","Suggested starting price: "&amp;cfg_Symbol&amp;TEXT($N43,"0.00"),IF($T43="Add costs","Build the recipe or type an ingredient cost override",IF($T43="LOSS","Losing "&amp;cfg_Symbol&amp;TEXT(-$P43,"0.00")&amp;" per sale - raise to "&amp;cfg_Symbol&amp;TEXT($N43,"0.00"),IF($T43="Below target","Raise to "&amp;cfg_Symbol&amp;TEXT($N43,"0.00")&amp;" for a "&amp;TEXT($M43,"0%")&amp;" margin",IF($T43="High food cost","Margin OK; food cost "&amp;TEXT($S43,"0%")&amp;" is above "&amp;TEXT(cfg_FoodCostTarget,"0%")&amp;" target","On target")))))))</f>
        <v/>
      </c>
      <c r="V43" s="82">
        <f>IF($B43="","",SUMIFS('Sales Log'!$D$7:$D$3006,'Sales Log'!$C$7:$C$3006,$B43,'Sales Log'!$B$7:$B$3006,"&gt;="&amp;cfg_Start,'Sales Log'!$B$7:$B$3006,"&lt;="&amp;cfg_End,'Sales Log'!$N$7:$N$3006,"OK"))</f>
        <v/>
      </c>
      <c r="W43" s="71">
        <f>IF($B43="","",SUMIFS('Sales Log'!$I$7:$I$3006,'Sales Log'!$C$7:$C$3006,$B43,'Sales Log'!$B$7:$B$3006,"&gt;="&amp;cfg_Start,'Sales Log'!$B$7:$B$3006,"&lt;="&amp;cfg_End,'Sales Log'!$N$7:$N$3006,"OK"))</f>
        <v/>
      </c>
      <c r="X43" s="71">
        <f>IF($B43="","",SUMIFS('Sales Log'!$L$7:$L$3006,'Sales Log'!$C$7:$C$3006,$B43,'Sales Log'!$B$7:$B$3006,"&gt;="&amp;cfg_Start,'Sales Log'!$B$7:$B$3006,"&lt;="&amp;cfg_End,'Sales Log'!$N$7:$N$3006,"OK"))</f>
        <v/>
      </c>
      <c r="Y43" s="72">
        <f>IF($B43="","",IF(SUM($V$7:$V$56)=0,0,$V43/SUM($V$7:$V$56)))</f>
        <v/>
      </c>
      <c r="Z43" s="83">
        <f>IF($B43="",-1,N($V43)+ROW()/1000000)</f>
        <v/>
      </c>
      <c r="AA43" s="83">
        <f>IF($B43="",-1E+15,N($X43)+ROW()/1000000)</f>
        <v/>
      </c>
    </row>
    <row r="44" ht="19" customHeight="1">
      <c r="B44" s="60" t="n"/>
      <c r="C44" s="60" t="n"/>
      <c r="D44" s="71">
        <f>IF($B44="","",SUMIFS('Recipe Builder'!$J$7:$J$406,'Recipe Builder'!$B$7:$B$406,$B44))</f>
        <v/>
      </c>
      <c r="E44" s="63" t="n"/>
      <c r="F44" s="71">
        <f>IF($B44="","",IF(ISNUMBER($E44),$E44,N($D44)))</f>
        <v/>
      </c>
      <c r="G44" s="63" t="n"/>
      <c r="H44" s="77" t="n"/>
      <c r="I44" s="71">
        <f>IF($B44="","",N($H44)/60*cfg_LaborRate)</f>
        <v/>
      </c>
      <c r="J44" s="63" t="n"/>
      <c r="K44" s="78">
        <f>IF($B44="","",$F44+N($G44)+$I44+N($J44))</f>
        <v/>
      </c>
      <c r="L44" s="64" t="n"/>
      <c r="M44" s="72">
        <f>IF($B44="","",IF(AND(ISNUMBER($L44),$L44&lt;0.95),MAX(0,$L44),cfg_TargetMargin))</f>
        <v/>
      </c>
      <c r="N44" s="71">
        <f>IF($B44="","",IF(cfg_Round&gt;0,CEILING($K44/(1-$M44),cfg_Round),ROUND($K44/(1-$M44),2)))</f>
        <v/>
      </c>
      <c r="O44" s="79" t="n"/>
      <c r="P44" s="71">
        <f>IF(OR($B44="",N($O44)&lt;=0),"",$O44-$K44)</f>
        <v/>
      </c>
      <c r="Q44" s="72">
        <f>IF(OR($B44="",N($O44)&lt;=0),"",$P44/$O44)</f>
        <v/>
      </c>
      <c r="R44" s="72">
        <f>IF(OR($B44="",N($O44)&lt;=0,N($K44)&lt;=0),"",$P44/$K44)</f>
        <v/>
      </c>
      <c r="S44" s="72">
        <f>IF(OR($B44="",N($O44)&lt;=0),"",$F44/$O44)</f>
        <v/>
      </c>
      <c r="T44" s="80">
        <f>IF($B44="","",IF(COUNTIF($B$7:$B$56,$B44)&gt;1,"Duplicate name",IF(N($O44)&lt;=0,"Set a price",IF(N($K44)&lt;=0,"Add costs",IF($P44&lt;0,"LOSS",IF($Q44&lt;$M44-0.00001,"Below target",IF($S44&gt;cfg_FoodCostTarget,"High food cost","Healthy")))))))</f>
        <v/>
      </c>
      <c r="U44" s="81">
        <f>IF($T44="","",IF($T44="Duplicate name","Each menu item needs a unique name",IF($T44="Set a price","Suggested starting price: "&amp;cfg_Symbol&amp;TEXT($N44,"0.00"),IF($T44="Add costs","Build the recipe or type an ingredient cost override",IF($T44="LOSS","Losing "&amp;cfg_Symbol&amp;TEXT(-$P44,"0.00")&amp;" per sale - raise to "&amp;cfg_Symbol&amp;TEXT($N44,"0.00"),IF($T44="Below target","Raise to "&amp;cfg_Symbol&amp;TEXT($N44,"0.00")&amp;" for a "&amp;TEXT($M44,"0%")&amp;" margin",IF($T44="High food cost","Margin OK; food cost "&amp;TEXT($S44,"0%")&amp;" is above "&amp;TEXT(cfg_FoodCostTarget,"0%")&amp;" target","On target")))))))</f>
        <v/>
      </c>
      <c r="V44" s="82">
        <f>IF($B44="","",SUMIFS('Sales Log'!$D$7:$D$3006,'Sales Log'!$C$7:$C$3006,$B44,'Sales Log'!$B$7:$B$3006,"&gt;="&amp;cfg_Start,'Sales Log'!$B$7:$B$3006,"&lt;="&amp;cfg_End,'Sales Log'!$N$7:$N$3006,"OK"))</f>
        <v/>
      </c>
      <c r="W44" s="71">
        <f>IF($B44="","",SUMIFS('Sales Log'!$I$7:$I$3006,'Sales Log'!$C$7:$C$3006,$B44,'Sales Log'!$B$7:$B$3006,"&gt;="&amp;cfg_Start,'Sales Log'!$B$7:$B$3006,"&lt;="&amp;cfg_End,'Sales Log'!$N$7:$N$3006,"OK"))</f>
        <v/>
      </c>
      <c r="X44" s="71">
        <f>IF($B44="","",SUMIFS('Sales Log'!$L$7:$L$3006,'Sales Log'!$C$7:$C$3006,$B44,'Sales Log'!$B$7:$B$3006,"&gt;="&amp;cfg_Start,'Sales Log'!$B$7:$B$3006,"&lt;="&amp;cfg_End,'Sales Log'!$N$7:$N$3006,"OK"))</f>
        <v/>
      </c>
      <c r="Y44" s="72">
        <f>IF($B44="","",IF(SUM($V$7:$V$56)=0,0,$V44/SUM($V$7:$V$56)))</f>
        <v/>
      </c>
      <c r="Z44" s="83">
        <f>IF($B44="",-1,N($V44)+ROW()/1000000)</f>
        <v/>
      </c>
      <c r="AA44" s="83">
        <f>IF($B44="",-1E+15,N($X44)+ROW()/1000000)</f>
        <v/>
      </c>
    </row>
    <row r="45" ht="19" customHeight="1">
      <c r="B45" s="60" t="n"/>
      <c r="C45" s="60" t="n"/>
      <c r="D45" s="71">
        <f>IF($B45="","",SUMIFS('Recipe Builder'!$J$7:$J$406,'Recipe Builder'!$B$7:$B$406,$B45))</f>
        <v/>
      </c>
      <c r="E45" s="63" t="n"/>
      <c r="F45" s="71">
        <f>IF($B45="","",IF(ISNUMBER($E45),$E45,N($D45)))</f>
        <v/>
      </c>
      <c r="G45" s="63" t="n"/>
      <c r="H45" s="77" t="n"/>
      <c r="I45" s="71">
        <f>IF($B45="","",N($H45)/60*cfg_LaborRate)</f>
        <v/>
      </c>
      <c r="J45" s="63" t="n"/>
      <c r="K45" s="78">
        <f>IF($B45="","",$F45+N($G45)+$I45+N($J45))</f>
        <v/>
      </c>
      <c r="L45" s="64" t="n"/>
      <c r="M45" s="72">
        <f>IF($B45="","",IF(AND(ISNUMBER($L45),$L45&lt;0.95),MAX(0,$L45),cfg_TargetMargin))</f>
        <v/>
      </c>
      <c r="N45" s="71">
        <f>IF($B45="","",IF(cfg_Round&gt;0,CEILING($K45/(1-$M45),cfg_Round),ROUND($K45/(1-$M45),2)))</f>
        <v/>
      </c>
      <c r="O45" s="79" t="n"/>
      <c r="P45" s="71">
        <f>IF(OR($B45="",N($O45)&lt;=0),"",$O45-$K45)</f>
        <v/>
      </c>
      <c r="Q45" s="72">
        <f>IF(OR($B45="",N($O45)&lt;=0),"",$P45/$O45)</f>
        <v/>
      </c>
      <c r="R45" s="72">
        <f>IF(OR($B45="",N($O45)&lt;=0,N($K45)&lt;=0),"",$P45/$K45)</f>
        <v/>
      </c>
      <c r="S45" s="72">
        <f>IF(OR($B45="",N($O45)&lt;=0),"",$F45/$O45)</f>
        <v/>
      </c>
      <c r="T45" s="80">
        <f>IF($B45="","",IF(COUNTIF($B$7:$B$56,$B45)&gt;1,"Duplicate name",IF(N($O45)&lt;=0,"Set a price",IF(N($K45)&lt;=0,"Add costs",IF($P45&lt;0,"LOSS",IF($Q45&lt;$M45-0.00001,"Below target",IF($S45&gt;cfg_FoodCostTarget,"High food cost","Healthy")))))))</f>
        <v/>
      </c>
      <c r="U45" s="81">
        <f>IF($T45="","",IF($T45="Duplicate name","Each menu item needs a unique name",IF($T45="Set a price","Suggested starting price: "&amp;cfg_Symbol&amp;TEXT($N45,"0.00"),IF($T45="Add costs","Build the recipe or type an ingredient cost override",IF($T45="LOSS","Losing "&amp;cfg_Symbol&amp;TEXT(-$P45,"0.00")&amp;" per sale - raise to "&amp;cfg_Symbol&amp;TEXT($N45,"0.00"),IF($T45="Below target","Raise to "&amp;cfg_Symbol&amp;TEXT($N45,"0.00")&amp;" for a "&amp;TEXT($M45,"0%")&amp;" margin",IF($T45="High food cost","Margin OK; food cost "&amp;TEXT($S45,"0%")&amp;" is above "&amp;TEXT(cfg_FoodCostTarget,"0%")&amp;" target","On target")))))))</f>
        <v/>
      </c>
      <c r="V45" s="82">
        <f>IF($B45="","",SUMIFS('Sales Log'!$D$7:$D$3006,'Sales Log'!$C$7:$C$3006,$B45,'Sales Log'!$B$7:$B$3006,"&gt;="&amp;cfg_Start,'Sales Log'!$B$7:$B$3006,"&lt;="&amp;cfg_End,'Sales Log'!$N$7:$N$3006,"OK"))</f>
        <v/>
      </c>
      <c r="W45" s="71">
        <f>IF($B45="","",SUMIFS('Sales Log'!$I$7:$I$3006,'Sales Log'!$C$7:$C$3006,$B45,'Sales Log'!$B$7:$B$3006,"&gt;="&amp;cfg_Start,'Sales Log'!$B$7:$B$3006,"&lt;="&amp;cfg_End,'Sales Log'!$N$7:$N$3006,"OK"))</f>
        <v/>
      </c>
      <c r="X45" s="71">
        <f>IF($B45="","",SUMIFS('Sales Log'!$L$7:$L$3006,'Sales Log'!$C$7:$C$3006,$B45,'Sales Log'!$B$7:$B$3006,"&gt;="&amp;cfg_Start,'Sales Log'!$B$7:$B$3006,"&lt;="&amp;cfg_End,'Sales Log'!$N$7:$N$3006,"OK"))</f>
        <v/>
      </c>
      <c r="Y45" s="72">
        <f>IF($B45="","",IF(SUM($V$7:$V$56)=0,0,$V45/SUM($V$7:$V$56)))</f>
        <v/>
      </c>
      <c r="Z45" s="83">
        <f>IF($B45="",-1,N($V45)+ROW()/1000000)</f>
        <v/>
      </c>
      <c r="AA45" s="83">
        <f>IF($B45="",-1E+15,N($X45)+ROW()/1000000)</f>
        <v/>
      </c>
    </row>
    <row r="46" ht="19" customHeight="1">
      <c r="B46" s="60" t="n"/>
      <c r="C46" s="60" t="n"/>
      <c r="D46" s="71">
        <f>IF($B46="","",SUMIFS('Recipe Builder'!$J$7:$J$406,'Recipe Builder'!$B$7:$B$406,$B46))</f>
        <v/>
      </c>
      <c r="E46" s="63" t="n"/>
      <c r="F46" s="71">
        <f>IF($B46="","",IF(ISNUMBER($E46),$E46,N($D46)))</f>
        <v/>
      </c>
      <c r="G46" s="63" t="n"/>
      <c r="H46" s="77" t="n"/>
      <c r="I46" s="71">
        <f>IF($B46="","",N($H46)/60*cfg_LaborRate)</f>
        <v/>
      </c>
      <c r="J46" s="63" t="n"/>
      <c r="K46" s="78">
        <f>IF($B46="","",$F46+N($G46)+$I46+N($J46))</f>
        <v/>
      </c>
      <c r="L46" s="64" t="n"/>
      <c r="M46" s="72">
        <f>IF($B46="","",IF(AND(ISNUMBER($L46),$L46&lt;0.95),MAX(0,$L46),cfg_TargetMargin))</f>
        <v/>
      </c>
      <c r="N46" s="71">
        <f>IF($B46="","",IF(cfg_Round&gt;0,CEILING($K46/(1-$M46),cfg_Round),ROUND($K46/(1-$M46),2)))</f>
        <v/>
      </c>
      <c r="O46" s="79" t="n"/>
      <c r="P46" s="71">
        <f>IF(OR($B46="",N($O46)&lt;=0),"",$O46-$K46)</f>
        <v/>
      </c>
      <c r="Q46" s="72">
        <f>IF(OR($B46="",N($O46)&lt;=0),"",$P46/$O46)</f>
        <v/>
      </c>
      <c r="R46" s="72">
        <f>IF(OR($B46="",N($O46)&lt;=0,N($K46)&lt;=0),"",$P46/$K46)</f>
        <v/>
      </c>
      <c r="S46" s="72">
        <f>IF(OR($B46="",N($O46)&lt;=0),"",$F46/$O46)</f>
        <v/>
      </c>
      <c r="T46" s="80">
        <f>IF($B46="","",IF(COUNTIF($B$7:$B$56,$B46)&gt;1,"Duplicate name",IF(N($O46)&lt;=0,"Set a price",IF(N($K46)&lt;=0,"Add costs",IF($P46&lt;0,"LOSS",IF($Q46&lt;$M46-0.00001,"Below target",IF($S46&gt;cfg_FoodCostTarget,"High food cost","Healthy")))))))</f>
        <v/>
      </c>
      <c r="U46" s="81">
        <f>IF($T46="","",IF($T46="Duplicate name","Each menu item needs a unique name",IF($T46="Set a price","Suggested starting price: "&amp;cfg_Symbol&amp;TEXT($N46,"0.00"),IF($T46="Add costs","Build the recipe or type an ingredient cost override",IF($T46="LOSS","Losing "&amp;cfg_Symbol&amp;TEXT(-$P46,"0.00")&amp;" per sale - raise to "&amp;cfg_Symbol&amp;TEXT($N46,"0.00"),IF($T46="Below target","Raise to "&amp;cfg_Symbol&amp;TEXT($N46,"0.00")&amp;" for a "&amp;TEXT($M46,"0%")&amp;" margin",IF($T46="High food cost","Margin OK; food cost "&amp;TEXT($S46,"0%")&amp;" is above "&amp;TEXT(cfg_FoodCostTarget,"0%")&amp;" target","On target")))))))</f>
        <v/>
      </c>
      <c r="V46" s="82">
        <f>IF($B46="","",SUMIFS('Sales Log'!$D$7:$D$3006,'Sales Log'!$C$7:$C$3006,$B46,'Sales Log'!$B$7:$B$3006,"&gt;="&amp;cfg_Start,'Sales Log'!$B$7:$B$3006,"&lt;="&amp;cfg_End,'Sales Log'!$N$7:$N$3006,"OK"))</f>
        <v/>
      </c>
      <c r="W46" s="71">
        <f>IF($B46="","",SUMIFS('Sales Log'!$I$7:$I$3006,'Sales Log'!$C$7:$C$3006,$B46,'Sales Log'!$B$7:$B$3006,"&gt;="&amp;cfg_Start,'Sales Log'!$B$7:$B$3006,"&lt;="&amp;cfg_End,'Sales Log'!$N$7:$N$3006,"OK"))</f>
        <v/>
      </c>
      <c r="X46" s="71">
        <f>IF($B46="","",SUMIFS('Sales Log'!$L$7:$L$3006,'Sales Log'!$C$7:$C$3006,$B46,'Sales Log'!$B$7:$B$3006,"&gt;="&amp;cfg_Start,'Sales Log'!$B$7:$B$3006,"&lt;="&amp;cfg_End,'Sales Log'!$N$7:$N$3006,"OK"))</f>
        <v/>
      </c>
      <c r="Y46" s="72">
        <f>IF($B46="","",IF(SUM($V$7:$V$56)=0,0,$V46/SUM($V$7:$V$56)))</f>
        <v/>
      </c>
      <c r="Z46" s="83">
        <f>IF($B46="",-1,N($V46)+ROW()/1000000)</f>
        <v/>
      </c>
      <c r="AA46" s="83">
        <f>IF($B46="",-1E+15,N($X46)+ROW()/1000000)</f>
        <v/>
      </c>
    </row>
    <row r="47" ht="19" customHeight="1">
      <c r="B47" s="60" t="n"/>
      <c r="C47" s="60" t="n"/>
      <c r="D47" s="71">
        <f>IF($B47="","",SUMIFS('Recipe Builder'!$J$7:$J$406,'Recipe Builder'!$B$7:$B$406,$B47))</f>
        <v/>
      </c>
      <c r="E47" s="63" t="n"/>
      <c r="F47" s="71">
        <f>IF($B47="","",IF(ISNUMBER($E47),$E47,N($D47)))</f>
        <v/>
      </c>
      <c r="G47" s="63" t="n"/>
      <c r="H47" s="77" t="n"/>
      <c r="I47" s="71">
        <f>IF($B47="","",N($H47)/60*cfg_LaborRate)</f>
        <v/>
      </c>
      <c r="J47" s="63" t="n"/>
      <c r="K47" s="78">
        <f>IF($B47="","",$F47+N($G47)+$I47+N($J47))</f>
        <v/>
      </c>
      <c r="L47" s="64" t="n"/>
      <c r="M47" s="72">
        <f>IF($B47="","",IF(AND(ISNUMBER($L47),$L47&lt;0.95),MAX(0,$L47),cfg_TargetMargin))</f>
        <v/>
      </c>
      <c r="N47" s="71">
        <f>IF($B47="","",IF(cfg_Round&gt;0,CEILING($K47/(1-$M47),cfg_Round),ROUND($K47/(1-$M47),2)))</f>
        <v/>
      </c>
      <c r="O47" s="79" t="n"/>
      <c r="P47" s="71">
        <f>IF(OR($B47="",N($O47)&lt;=0),"",$O47-$K47)</f>
        <v/>
      </c>
      <c r="Q47" s="72">
        <f>IF(OR($B47="",N($O47)&lt;=0),"",$P47/$O47)</f>
        <v/>
      </c>
      <c r="R47" s="72">
        <f>IF(OR($B47="",N($O47)&lt;=0,N($K47)&lt;=0),"",$P47/$K47)</f>
        <v/>
      </c>
      <c r="S47" s="72">
        <f>IF(OR($B47="",N($O47)&lt;=0),"",$F47/$O47)</f>
        <v/>
      </c>
      <c r="T47" s="80">
        <f>IF($B47="","",IF(COUNTIF($B$7:$B$56,$B47)&gt;1,"Duplicate name",IF(N($O47)&lt;=0,"Set a price",IF(N($K47)&lt;=0,"Add costs",IF($P47&lt;0,"LOSS",IF($Q47&lt;$M47-0.00001,"Below target",IF($S47&gt;cfg_FoodCostTarget,"High food cost","Healthy")))))))</f>
        <v/>
      </c>
      <c r="U47" s="81">
        <f>IF($T47="","",IF($T47="Duplicate name","Each menu item needs a unique name",IF($T47="Set a price","Suggested starting price: "&amp;cfg_Symbol&amp;TEXT($N47,"0.00"),IF($T47="Add costs","Build the recipe or type an ingredient cost override",IF($T47="LOSS","Losing "&amp;cfg_Symbol&amp;TEXT(-$P47,"0.00")&amp;" per sale - raise to "&amp;cfg_Symbol&amp;TEXT($N47,"0.00"),IF($T47="Below target","Raise to "&amp;cfg_Symbol&amp;TEXT($N47,"0.00")&amp;" for a "&amp;TEXT($M47,"0%")&amp;" margin",IF($T47="High food cost","Margin OK; food cost "&amp;TEXT($S47,"0%")&amp;" is above "&amp;TEXT(cfg_FoodCostTarget,"0%")&amp;" target","On target")))))))</f>
        <v/>
      </c>
      <c r="V47" s="82">
        <f>IF($B47="","",SUMIFS('Sales Log'!$D$7:$D$3006,'Sales Log'!$C$7:$C$3006,$B47,'Sales Log'!$B$7:$B$3006,"&gt;="&amp;cfg_Start,'Sales Log'!$B$7:$B$3006,"&lt;="&amp;cfg_End,'Sales Log'!$N$7:$N$3006,"OK"))</f>
        <v/>
      </c>
      <c r="W47" s="71">
        <f>IF($B47="","",SUMIFS('Sales Log'!$I$7:$I$3006,'Sales Log'!$C$7:$C$3006,$B47,'Sales Log'!$B$7:$B$3006,"&gt;="&amp;cfg_Start,'Sales Log'!$B$7:$B$3006,"&lt;="&amp;cfg_End,'Sales Log'!$N$7:$N$3006,"OK"))</f>
        <v/>
      </c>
      <c r="X47" s="71">
        <f>IF($B47="","",SUMIFS('Sales Log'!$L$7:$L$3006,'Sales Log'!$C$7:$C$3006,$B47,'Sales Log'!$B$7:$B$3006,"&gt;="&amp;cfg_Start,'Sales Log'!$B$7:$B$3006,"&lt;="&amp;cfg_End,'Sales Log'!$N$7:$N$3006,"OK"))</f>
        <v/>
      </c>
      <c r="Y47" s="72">
        <f>IF($B47="","",IF(SUM($V$7:$V$56)=0,0,$V47/SUM($V$7:$V$56)))</f>
        <v/>
      </c>
      <c r="Z47" s="83">
        <f>IF($B47="",-1,N($V47)+ROW()/1000000)</f>
        <v/>
      </c>
      <c r="AA47" s="83">
        <f>IF($B47="",-1E+15,N($X47)+ROW()/1000000)</f>
        <v/>
      </c>
    </row>
    <row r="48" ht="19" customHeight="1">
      <c r="B48" s="60" t="n"/>
      <c r="C48" s="60" t="n"/>
      <c r="D48" s="71">
        <f>IF($B48="","",SUMIFS('Recipe Builder'!$J$7:$J$406,'Recipe Builder'!$B$7:$B$406,$B48))</f>
        <v/>
      </c>
      <c r="E48" s="63" t="n"/>
      <c r="F48" s="71">
        <f>IF($B48="","",IF(ISNUMBER($E48),$E48,N($D48)))</f>
        <v/>
      </c>
      <c r="G48" s="63" t="n"/>
      <c r="H48" s="77" t="n"/>
      <c r="I48" s="71">
        <f>IF($B48="","",N($H48)/60*cfg_LaborRate)</f>
        <v/>
      </c>
      <c r="J48" s="63" t="n"/>
      <c r="K48" s="78">
        <f>IF($B48="","",$F48+N($G48)+$I48+N($J48))</f>
        <v/>
      </c>
      <c r="L48" s="64" t="n"/>
      <c r="M48" s="72">
        <f>IF($B48="","",IF(AND(ISNUMBER($L48),$L48&lt;0.95),MAX(0,$L48),cfg_TargetMargin))</f>
        <v/>
      </c>
      <c r="N48" s="71">
        <f>IF($B48="","",IF(cfg_Round&gt;0,CEILING($K48/(1-$M48),cfg_Round),ROUND($K48/(1-$M48),2)))</f>
        <v/>
      </c>
      <c r="O48" s="79" t="n"/>
      <c r="P48" s="71">
        <f>IF(OR($B48="",N($O48)&lt;=0),"",$O48-$K48)</f>
        <v/>
      </c>
      <c r="Q48" s="72">
        <f>IF(OR($B48="",N($O48)&lt;=0),"",$P48/$O48)</f>
        <v/>
      </c>
      <c r="R48" s="72">
        <f>IF(OR($B48="",N($O48)&lt;=0,N($K48)&lt;=0),"",$P48/$K48)</f>
        <v/>
      </c>
      <c r="S48" s="72">
        <f>IF(OR($B48="",N($O48)&lt;=0),"",$F48/$O48)</f>
        <v/>
      </c>
      <c r="T48" s="80">
        <f>IF($B48="","",IF(COUNTIF($B$7:$B$56,$B48)&gt;1,"Duplicate name",IF(N($O48)&lt;=0,"Set a price",IF(N($K48)&lt;=0,"Add costs",IF($P48&lt;0,"LOSS",IF($Q48&lt;$M48-0.00001,"Below target",IF($S48&gt;cfg_FoodCostTarget,"High food cost","Healthy")))))))</f>
        <v/>
      </c>
      <c r="U48" s="81">
        <f>IF($T48="","",IF($T48="Duplicate name","Each menu item needs a unique name",IF($T48="Set a price","Suggested starting price: "&amp;cfg_Symbol&amp;TEXT($N48,"0.00"),IF($T48="Add costs","Build the recipe or type an ingredient cost override",IF($T48="LOSS","Losing "&amp;cfg_Symbol&amp;TEXT(-$P48,"0.00")&amp;" per sale - raise to "&amp;cfg_Symbol&amp;TEXT($N48,"0.00"),IF($T48="Below target","Raise to "&amp;cfg_Symbol&amp;TEXT($N48,"0.00")&amp;" for a "&amp;TEXT($M48,"0%")&amp;" margin",IF($T48="High food cost","Margin OK; food cost "&amp;TEXT($S48,"0%")&amp;" is above "&amp;TEXT(cfg_FoodCostTarget,"0%")&amp;" target","On target")))))))</f>
        <v/>
      </c>
      <c r="V48" s="82">
        <f>IF($B48="","",SUMIFS('Sales Log'!$D$7:$D$3006,'Sales Log'!$C$7:$C$3006,$B48,'Sales Log'!$B$7:$B$3006,"&gt;="&amp;cfg_Start,'Sales Log'!$B$7:$B$3006,"&lt;="&amp;cfg_End,'Sales Log'!$N$7:$N$3006,"OK"))</f>
        <v/>
      </c>
      <c r="W48" s="71">
        <f>IF($B48="","",SUMIFS('Sales Log'!$I$7:$I$3006,'Sales Log'!$C$7:$C$3006,$B48,'Sales Log'!$B$7:$B$3006,"&gt;="&amp;cfg_Start,'Sales Log'!$B$7:$B$3006,"&lt;="&amp;cfg_End,'Sales Log'!$N$7:$N$3006,"OK"))</f>
        <v/>
      </c>
      <c r="X48" s="71">
        <f>IF($B48="","",SUMIFS('Sales Log'!$L$7:$L$3006,'Sales Log'!$C$7:$C$3006,$B48,'Sales Log'!$B$7:$B$3006,"&gt;="&amp;cfg_Start,'Sales Log'!$B$7:$B$3006,"&lt;="&amp;cfg_End,'Sales Log'!$N$7:$N$3006,"OK"))</f>
        <v/>
      </c>
      <c r="Y48" s="72">
        <f>IF($B48="","",IF(SUM($V$7:$V$56)=0,0,$V48/SUM($V$7:$V$56)))</f>
        <v/>
      </c>
      <c r="Z48" s="83">
        <f>IF($B48="",-1,N($V48)+ROW()/1000000)</f>
        <v/>
      </c>
      <c r="AA48" s="83">
        <f>IF($B48="",-1E+15,N($X48)+ROW()/1000000)</f>
        <v/>
      </c>
    </row>
    <row r="49" ht="19" customHeight="1">
      <c r="B49" s="60" t="n"/>
      <c r="C49" s="60" t="n"/>
      <c r="D49" s="71">
        <f>IF($B49="","",SUMIFS('Recipe Builder'!$J$7:$J$406,'Recipe Builder'!$B$7:$B$406,$B49))</f>
        <v/>
      </c>
      <c r="E49" s="63" t="n"/>
      <c r="F49" s="71">
        <f>IF($B49="","",IF(ISNUMBER($E49),$E49,N($D49)))</f>
        <v/>
      </c>
      <c r="G49" s="63" t="n"/>
      <c r="H49" s="77" t="n"/>
      <c r="I49" s="71">
        <f>IF($B49="","",N($H49)/60*cfg_LaborRate)</f>
        <v/>
      </c>
      <c r="J49" s="63" t="n"/>
      <c r="K49" s="78">
        <f>IF($B49="","",$F49+N($G49)+$I49+N($J49))</f>
        <v/>
      </c>
      <c r="L49" s="64" t="n"/>
      <c r="M49" s="72">
        <f>IF($B49="","",IF(AND(ISNUMBER($L49),$L49&lt;0.95),MAX(0,$L49),cfg_TargetMargin))</f>
        <v/>
      </c>
      <c r="N49" s="71">
        <f>IF($B49="","",IF(cfg_Round&gt;0,CEILING($K49/(1-$M49),cfg_Round),ROUND($K49/(1-$M49),2)))</f>
        <v/>
      </c>
      <c r="O49" s="79" t="n"/>
      <c r="P49" s="71">
        <f>IF(OR($B49="",N($O49)&lt;=0),"",$O49-$K49)</f>
        <v/>
      </c>
      <c r="Q49" s="72">
        <f>IF(OR($B49="",N($O49)&lt;=0),"",$P49/$O49)</f>
        <v/>
      </c>
      <c r="R49" s="72">
        <f>IF(OR($B49="",N($O49)&lt;=0,N($K49)&lt;=0),"",$P49/$K49)</f>
        <v/>
      </c>
      <c r="S49" s="72">
        <f>IF(OR($B49="",N($O49)&lt;=0),"",$F49/$O49)</f>
        <v/>
      </c>
      <c r="T49" s="80">
        <f>IF($B49="","",IF(COUNTIF($B$7:$B$56,$B49)&gt;1,"Duplicate name",IF(N($O49)&lt;=0,"Set a price",IF(N($K49)&lt;=0,"Add costs",IF($P49&lt;0,"LOSS",IF($Q49&lt;$M49-0.00001,"Below target",IF($S49&gt;cfg_FoodCostTarget,"High food cost","Healthy")))))))</f>
        <v/>
      </c>
      <c r="U49" s="81">
        <f>IF($T49="","",IF($T49="Duplicate name","Each menu item needs a unique name",IF($T49="Set a price","Suggested starting price: "&amp;cfg_Symbol&amp;TEXT($N49,"0.00"),IF($T49="Add costs","Build the recipe or type an ingredient cost override",IF($T49="LOSS","Losing "&amp;cfg_Symbol&amp;TEXT(-$P49,"0.00")&amp;" per sale - raise to "&amp;cfg_Symbol&amp;TEXT($N49,"0.00"),IF($T49="Below target","Raise to "&amp;cfg_Symbol&amp;TEXT($N49,"0.00")&amp;" for a "&amp;TEXT($M49,"0%")&amp;" margin",IF($T49="High food cost","Margin OK; food cost "&amp;TEXT($S49,"0%")&amp;" is above "&amp;TEXT(cfg_FoodCostTarget,"0%")&amp;" target","On target")))))))</f>
        <v/>
      </c>
      <c r="V49" s="82">
        <f>IF($B49="","",SUMIFS('Sales Log'!$D$7:$D$3006,'Sales Log'!$C$7:$C$3006,$B49,'Sales Log'!$B$7:$B$3006,"&gt;="&amp;cfg_Start,'Sales Log'!$B$7:$B$3006,"&lt;="&amp;cfg_End,'Sales Log'!$N$7:$N$3006,"OK"))</f>
        <v/>
      </c>
      <c r="W49" s="71">
        <f>IF($B49="","",SUMIFS('Sales Log'!$I$7:$I$3006,'Sales Log'!$C$7:$C$3006,$B49,'Sales Log'!$B$7:$B$3006,"&gt;="&amp;cfg_Start,'Sales Log'!$B$7:$B$3006,"&lt;="&amp;cfg_End,'Sales Log'!$N$7:$N$3006,"OK"))</f>
        <v/>
      </c>
      <c r="X49" s="71">
        <f>IF($B49="","",SUMIFS('Sales Log'!$L$7:$L$3006,'Sales Log'!$C$7:$C$3006,$B49,'Sales Log'!$B$7:$B$3006,"&gt;="&amp;cfg_Start,'Sales Log'!$B$7:$B$3006,"&lt;="&amp;cfg_End,'Sales Log'!$N$7:$N$3006,"OK"))</f>
        <v/>
      </c>
      <c r="Y49" s="72">
        <f>IF($B49="","",IF(SUM($V$7:$V$56)=0,0,$V49/SUM($V$7:$V$56)))</f>
        <v/>
      </c>
      <c r="Z49" s="83">
        <f>IF($B49="",-1,N($V49)+ROW()/1000000)</f>
        <v/>
      </c>
      <c r="AA49" s="83">
        <f>IF($B49="",-1E+15,N($X49)+ROW()/1000000)</f>
        <v/>
      </c>
    </row>
    <row r="50" ht="19" customHeight="1">
      <c r="B50" s="60" t="n"/>
      <c r="C50" s="60" t="n"/>
      <c r="D50" s="71">
        <f>IF($B50="","",SUMIFS('Recipe Builder'!$J$7:$J$406,'Recipe Builder'!$B$7:$B$406,$B50))</f>
        <v/>
      </c>
      <c r="E50" s="63" t="n"/>
      <c r="F50" s="71">
        <f>IF($B50="","",IF(ISNUMBER($E50),$E50,N($D50)))</f>
        <v/>
      </c>
      <c r="G50" s="63" t="n"/>
      <c r="H50" s="77" t="n"/>
      <c r="I50" s="71">
        <f>IF($B50="","",N($H50)/60*cfg_LaborRate)</f>
        <v/>
      </c>
      <c r="J50" s="63" t="n"/>
      <c r="K50" s="78">
        <f>IF($B50="","",$F50+N($G50)+$I50+N($J50))</f>
        <v/>
      </c>
      <c r="L50" s="64" t="n"/>
      <c r="M50" s="72">
        <f>IF($B50="","",IF(AND(ISNUMBER($L50),$L50&lt;0.95),MAX(0,$L50),cfg_TargetMargin))</f>
        <v/>
      </c>
      <c r="N50" s="71">
        <f>IF($B50="","",IF(cfg_Round&gt;0,CEILING($K50/(1-$M50),cfg_Round),ROUND($K50/(1-$M50),2)))</f>
        <v/>
      </c>
      <c r="O50" s="79" t="n"/>
      <c r="P50" s="71">
        <f>IF(OR($B50="",N($O50)&lt;=0),"",$O50-$K50)</f>
        <v/>
      </c>
      <c r="Q50" s="72">
        <f>IF(OR($B50="",N($O50)&lt;=0),"",$P50/$O50)</f>
        <v/>
      </c>
      <c r="R50" s="72">
        <f>IF(OR($B50="",N($O50)&lt;=0,N($K50)&lt;=0),"",$P50/$K50)</f>
        <v/>
      </c>
      <c r="S50" s="72">
        <f>IF(OR($B50="",N($O50)&lt;=0),"",$F50/$O50)</f>
        <v/>
      </c>
      <c r="T50" s="80">
        <f>IF($B50="","",IF(COUNTIF($B$7:$B$56,$B50)&gt;1,"Duplicate name",IF(N($O50)&lt;=0,"Set a price",IF(N($K50)&lt;=0,"Add costs",IF($P50&lt;0,"LOSS",IF($Q50&lt;$M50-0.00001,"Below target",IF($S50&gt;cfg_FoodCostTarget,"High food cost","Healthy")))))))</f>
        <v/>
      </c>
      <c r="U50" s="81">
        <f>IF($T50="","",IF($T50="Duplicate name","Each menu item needs a unique name",IF($T50="Set a price","Suggested starting price: "&amp;cfg_Symbol&amp;TEXT($N50,"0.00"),IF($T50="Add costs","Build the recipe or type an ingredient cost override",IF($T50="LOSS","Losing "&amp;cfg_Symbol&amp;TEXT(-$P50,"0.00")&amp;" per sale - raise to "&amp;cfg_Symbol&amp;TEXT($N50,"0.00"),IF($T50="Below target","Raise to "&amp;cfg_Symbol&amp;TEXT($N50,"0.00")&amp;" for a "&amp;TEXT($M50,"0%")&amp;" margin",IF($T50="High food cost","Margin OK; food cost "&amp;TEXT($S50,"0%")&amp;" is above "&amp;TEXT(cfg_FoodCostTarget,"0%")&amp;" target","On target")))))))</f>
        <v/>
      </c>
      <c r="V50" s="82">
        <f>IF($B50="","",SUMIFS('Sales Log'!$D$7:$D$3006,'Sales Log'!$C$7:$C$3006,$B50,'Sales Log'!$B$7:$B$3006,"&gt;="&amp;cfg_Start,'Sales Log'!$B$7:$B$3006,"&lt;="&amp;cfg_End,'Sales Log'!$N$7:$N$3006,"OK"))</f>
        <v/>
      </c>
      <c r="W50" s="71">
        <f>IF($B50="","",SUMIFS('Sales Log'!$I$7:$I$3006,'Sales Log'!$C$7:$C$3006,$B50,'Sales Log'!$B$7:$B$3006,"&gt;="&amp;cfg_Start,'Sales Log'!$B$7:$B$3006,"&lt;="&amp;cfg_End,'Sales Log'!$N$7:$N$3006,"OK"))</f>
        <v/>
      </c>
      <c r="X50" s="71">
        <f>IF($B50="","",SUMIFS('Sales Log'!$L$7:$L$3006,'Sales Log'!$C$7:$C$3006,$B50,'Sales Log'!$B$7:$B$3006,"&gt;="&amp;cfg_Start,'Sales Log'!$B$7:$B$3006,"&lt;="&amp;cfg_End,'Sales Log'!$N$7:$N$3006,"OK"))</f>
        <v/>
      </c>
      <c r="Y50" s="72">
        <f>IF($B50="","",IF(SUM($V$7:$V$56)=0,0,$V50/SUM($V$7:$V$56)))</f>
        <v/>
      </c>
      <c r="Z50" s="83">
        <f>IF($B50="",-1,N($V50)+ROW()/1000000)</f>
        <v/>
      </c>
      <c r="AA50" s="83">
        <f>IF($B50="",-1E+15,N($X50)+ROW()/1000000)</f>
        <v/>
      </c>
    </row>
    <row r="51" ht="19" customHeight="1">
      <c r="B51" s="60" t="n"/>
      <c r="C51" s="60" t="n"/>
      <c r="D51" s="71">
        <f>IF($B51="","",SUMIFS('Recipe Builder'!$J$7:$J$406,'Recipe Builder'!$B$7:$B$406,$B51))</f>
        <v/>
      </c>
      <c r="E51" s="63" t="n"/>
      <c r="F51" s="71">
        <f>IF($B51="","",IF(ISNUMBER($E51),$E51,N($D51)))</f>
        <v/>
      </c>
      <c r="G51" s="63" t="n"/>
      <c r="H51" s="77" t="n"/>
      <c r="I51" s="71">
        <f>IF($B51="","",N($H51)/60*cfg_LaborRate)</f>
        <v/>
      </c>
      <c r="J51" s="63" t="n"/>
      <c r="K51" s="78">
        <f>IF($B51="","",$F51+N($G51)+$I51+N($J51))</f>
        <v/>
      </c>
      <c r="L51" s="64" t="n"/>
      <c r="M51" s="72">
        <f>IF($B51="","",IF(AND(ISNUMBER($L51),$L51&lt;0.95),MAX(0,$L51),cfg_TargetMargin))</f>
        <v/>
      </c>
      <c r="N51" s="71">
        <f>IF($B51="","",IF(cfg_Round&gt;0,CEILING($K51/(1-$M51),cfg_Round),ROUND($K51/(1-$M51),2)))</f>
        <v/>
      </c>
      <c r="O51" s="79" t="n"/>
      <c r="P51" s="71">
        <f>IF(OR($B51="",N($O51)&lt;=0),"",$O51-$K51)</f>
        <v/>
      </c>
      <c r="Q51" s="72">
        <f>IF(OR($B51="",N($O51)&lt;=0),"",$P51/$O51)</f>
        <v/>
      </c>
      <c r="R51" s="72">
        <f>IF(OR($B51="",N($O51)&lt;=0,N($K51)&lt;=0),"",$P51/$K51)</f>
        <v/>
      </c>
      <c r="S51" s="72">
        <f>IF(OR($B51="",N($O51)&lt;=0),"",$F51/$O51)</f>
        <v/>
      </c>
      <c r="T51" s="80">
        <f>IF($B51="","",IF(COUNTIF($B$7:$B$56,$B51)&gt;1,"Duplicate name",IF(N($O51)&lt;=0,"Set a price",IF(N($K51)&lt;=0,"Add costs",IF($P51&lt;0,"LOSS",IF($Q51&lt;$M51-0.00001,"Below target",IF($S51&gt;cfg_FoodCostTarget,"High food cost","Healthy")))))))</f>
        <v/>
      </c>
      <c r="U51" s="81">
        <f>IF($T51="","",IF($T51="Duplicate name","Each menu item needs a unique name",IF($T51="Set a price","Suggested starting price: "&amp;cfg_Symbol&amp;TEXT($N51,"0.00"),IF($T51="Add costs","Build the recipe or type an ingredient cost override",IF($T51="LOSS","Losing "&amp;cfg_Symbol&amp;TEXT(-$P51,"0.00")&amp;" per sale - raise to "&amp;cfg_Symbol&amp;TEXT($N51,"0.00"),IF($T51="Below target","Raise to "&amp;cfg_Symbol&amp;TEXT($N51,"0.00")&amp;" for a "&amp;TEXT($M51,"0%")&amp;" margin",IF($T51="High food cost","Margin OK; food cost "&amp;TEXT($S51,"0%")&amp;" is above "&amp;TEXT(cfg_FoodCostTarget,"0%")&amp;" target","On target")))))))</f>
        <v/>
      </c>
      <c r="V51" s="82">
        <f>IF($B51="","",SUMIFS('Sales Log'!$D$7:$D$3006,'Sales Log'!$C$7:$C$3006,$B51,'Sales Log'!$B$7:$B$3006,"&gt;="&amp;cfg_Start,'Sales Log'!$B$7:$B$3006,"&lt;="&amp;cfg_End,'Sales Log'!$N$7:$N$3006,"OK"))</f>
        <v/>
      </c>
      <c r="W51" s="71">
        <f>IF($B51="","",SUMIFS('Sales Log'!$I$7:$I$3006,'Sales Log'!$C$7:$C$3006,$B51,'Sales Log'!$B$7:$B$3006,"&gt;="&amp;cfg_Start,'Sales Log'!$B$7:$B$3006,"&lt;="&amp;cfg_End,'Sales Log'!$N$7:$N$3006,"OK"))</f>
        <v/>
      </c>
      <c r="X51" s="71">
        <f>IF($B51="","",SUMIFS('Sales Log'!$L$7:$L$3006,'Sales Log'!$C$7:$C$3006,$B51,'Sales Log'!$B$7:$B$3006,"&gt;="&amp;cfg_Start,'Sales Log'!$B$7:$B$3006,"&lt;="&amp;cfg_End,'Sales Log'!$N$7:$N$3006,"OK"))</f>
        <v/>
      </c>
      <c r="Y51" s="72">
        <f>IF($B51="","",IF(SUM($V$7:$V$56)=0,0,$V51/SUM($V$7:$V$56)))</f>
        <v/>
      </c>
      <c r="Z51" s="83">
        <f>IF($B51="",-1,N($V51)+ROW()/1000000)</f>
        <v/>
      </c>
      <c r="AA51" s="83">
        <f>IF($B51="",-1E+15,N($X51)+ROW()/1000000)</f>
        <v/>
      </c>
    </row>
    <row r="52" ht="19" customHeight="1">
      <c r="B52" s="60" t="n"/>
      <c r="C52" s="60" t="n"/>
      <c r="D52" s="71">
        <f>IF($B52="","",SUMIFS('Recipe Builder'!$J$7:$J$406,'Recipe Builder'!$B$7:$B$406,$B52))</f>
        <v/>
      </c>
      <c r="E52" s="63" t="n"/>
      <c r="F52" s="71">
        <f>IF($B52="","",IF(ISNUMBER($E52),$E52,N($D52)))</f>
        <v/>
      </c>
      <c r="G52" s="63" t="n"/>
      <c r="H52" s="77" t="n"/>
      <c r="I52" s="71">
        <f>IF($B52="","",N($H52)/60*cfg_LaborRate)</f>
        <v/>
      </c>
      <c r="J52" s="63" t="n"/>
      <c r="K52" s="78">
        <f>IF($B52="","",$F52+N($G52)+$I52+N($J52))</f>
        <v/>
      </c>
      <c r="L52" s="64" t="n"/>
      <c r="M52" s="72">
        <f>IF($B52="","",IF(AND(ISNUMBER($L52),$L52&lt;0.95),MAX(0,$L52),cfg_TargetMargin))</f>
        <v/>
      </c>
      <c r="N52" s="71">
        <f>IF($B52="","",IF(cfg_Round&gt;0,CEILING($K52/(1-$M52),cfg_Round),ROUND($K52/(1-$M52),2)))</f>
        <v/>
      </c>
      <c r="O52" s="79" t="n"/>
      <c r="P52" s="71">
        <f>IF(OR($B52="",N($O52)&lt;=0),"",$O52-$K52)</f>
        <v/>
      </c>
      <c r="Q52" s="72">
        <f>IF(OR($B52="",N($O52)&lt;=0),"",$P52/$O52)</f>
        <v/>
      </c>
      <c r="R52" s="72">
        <f>IF(OR($B52="",N($O52)&lt;=0,N($K52)&lt;=0),"",$P52/$K52)</f>
        <v/>
      </c>
      <c r="S52" s="72">
        <f>IF(OR($B52="",N($O52)&lt;=0),"",$F52/$O52)</f>
        <v/>
      </c>
      <c r="T52" s="80">
        <f>IF($B52="","",IF(COUNTIF($B$7:$B$56,$B52)&gt;1,"Duplicate name",IF(N($O52)&lt;=0,"Set a price",IF(N($K52)&lt;=0,"Add costs",IF($P52&lt;0,"LOSS",IF($Q52&lt;$M52-0.00001,"Below target",IF($S52&gt;cfg_FoodCostTarget,"High food cost","Healthy")))))))</f>
        <v/>
      </c>
      <c r="U52" s="81">
        <f>IF($T52="","",IF($T52="Duplicate name","Each menu item needs a unique name",IF($T52="Set a price","Suggested starting price: "&amp;cfg_Symbol&amp;TEXT($N52,"0.00"),IF($T52="Add costs","Build the recipe or type an ingredient cost override",IF($T52="LOSS","Losing "&amp;cfg_Symbol&amp;TEXT(-$P52,"0.00")&amp;" per sale - raise to "&amp;cfg_Symbol&amp;TEXT($N52,"0.00"),IF($T52="Below target","Raise to "&amp;cfg_Symbol&amp;TEXT($N52,"0.00")&amp;" for a "&amp;TEXT($M52,"0%")&amp;" margin",IF($T52="High food cost","Margin OK; food cost "&amp;TEXT($S52,"0%")&amp;" is above "&amp;TEXT(cfg_FoodCostTarget,"0%")&amp;" target","On target")))))))</f>
        <v/>
      </c>
      <c r="V52" s="82">
        <f>IF($B52="","",SUMIFS('Sales Log'!$D$7:$D$3006,'Sales Log'!$C$7:$C$3006,$B52,'Sales Log'!$B$7:$B$3006,"&gt;="&amp;cfg_Start,'Sales Log'!$B$7:$B$3006,"&lt;="&amp;cfg_End,'Sales Log'!$N$7:$N$3006,"OK"))</f>
        <v/>
      </c>
      <c r="W52" s="71">
        <f>IF($B52="","",SUMIFS('Sales Log'!$I$7:$I$3006,'Sales Log'!$C$7:$C$3006,$B52,'Sales Log'!$B$7:$B$3006,"&gt;="&amp;cfg_Start,'Sales Log'!$B$7:$B$3006,"&lt;="&amp;cfg_End,'Sales Log'!$N$7:$N$3006,"OK"))</f>
        <v/>
      </c>
      <c r="X52" s="71">
        <f>IF($B52="","",SUMIFS('Sales Log'!$L$7:$L$3006,'Sales Log'!$C$7:$C$3006,$B52,'Sales Log'!$B$7:$B$3006,"&gt;="&amp;cfg_Start,'Sales Log'!$B$7:$B$3006,"&lt;="&amp;cfg_End,'Sales Log'!$N$7:$N$3006,"OK"))</f>
        <v/>
      </c>
      <c r="Y52" s="72">
        <f>IF($B52="","",IF(SUM($V$7:$V$56)=0,0,$V52/SUM($V$7:$V$56)))</f>
        <v/>
      </c>
      <c r="Z52" s="83">
        <f>IF($B52="",-1,N($V52)+ROW()/1000000)</f>
        <v/>
      </c>
      <c r="AA52" s="83">
        <f>IF($B52="",-1E+15,N($X52)+ROW()/1000000)</f>
        <v/>
      </c>
    </row>
    <row r="53" ht="19" customHeight="1">
      <c r="B53" s="60" t="n"/>
      <c r="C53" s="60" t="n"/>
      <c r="D53" s="71">
        <f>IF($B53="","",SUMIFS('Recipe Builder'!$J$7:$J$406,'Recipe Builder'!$B$7:$B$406,$B53))</f>
        <v/>
      </c>
      <c r="E53" s="63" t="n"/>
      <c r="F53" s="71">
        <f>IF($B53="","",IF(ISNUMBER($E53),$E53,N($D53)))</f>
        <v/>
      </c>
      <c r="G53" s="63" t="n"/>
      <c r="H53" s="77" t="n"/>
      <c r="I53" s="71">
        <f>IF($B53="","",N($H53)/60*cfg_LaborRate)</f>
        <v/>
      </c>
      <c r="J53" s="63" t="n"/>
      <c r="K53" s="78">
        <f>IF($B53="","",$F53+N($G53)+$I53+N($J53))</f>
        <v/>
      </c>
      <c r="L53" s="64" t="n"/>
      <c r="M53" s="72">
        <f>IF($B53="","",IF(AND(ISNUMBER($L53),$L53&lt;0.95),MAX(0,$L53),cfg_TargetMargin))</f>
        <v/>
      </c>
      <c r="N53" s="71">
        <f>IF($B53="","",IF(cfg_Round&gt;0,CEILING($K53/(1-$M53),cfg_Round),ROUND($K53/(1-$M53),2)))</f>
        <v/>
      </c>
      <c r="O53" s="79" t="n"/>
      <c r="P53" s="71">
        <f>IF(OR($B53="",N($O53)&lt;=0),"",$O53-$K53)</f>
        <v/>
      </c>
      <c r="Q53" s="72">
        <f>IF(OR($B53="",N($O53)&lt;=0),"",$P53/$O53)</f>
        <v/>
      </c>
      <c r="R53" s="72">
        <f>IF(OR($B53="",N($O53)&lt;=0,N($K53)&lt;=0),"",$P53/$K53)</f>
        <v/>
      </c>
      <c r="S53" s="72">
        <f>IF(OR($B53="",N($O53)&lt;=0),"",$F53/$O53)</f>
        <v/>
      </c>
      <c r="T53" s="80">
        <f>IF($B53="","",IF(COUNTIF($B$7:$B$56,$B53)&gt;1,"Duplicate name",IF(N($O53)&lt;=0,"Set a price",IF(N($K53)&lt;=0,"Add costs",IF($P53&lt;0,"LOSS",IF($Q53&lt;$M53-0.00001,"Below target",IF($S53&gt;cfg_FoodCostTarget,"High food cost","Healthy")))))))</f>
        <v/>
      </c>
      <c r="U53" s="81">
        <f>IF($T53="","",IF($T53="Duplicate name","Each menu item needs a unique name",IF($T53="Set a price","Suggested starting price: "&amp;cfg_Symbol&amp;TEXT($N53,"0.00"),IF($T53="Add costs","Build the recipe or type an ingredient cost override",IF($T53="LOSS","Losing "&amp;cfg_Symbol&amp;TEXT(-$P53,"0.00")&amp;" per sale - raise to "&amp;cfg_Symbol&amp;TEXT($N53,"0.00"),IF($T53="Below target","Raise to "&amp;cfg_Symbol&amp;TEXT($N53,"0.00")&amp;" for a "&amp;TEXT($M53,"0%")&amp;" margin",IF($T53="High food cost","Margin OK; food cost "&amp;TEXT($S53,"0%")&amp;" is above "&amp;TEXT(cfg_FoodCostTarget,"0%")&amp;" target","On target")))))))</f>
        <v/>
      </c>
      <c r="V53" s="82">
        <f>IF($B53="","",SUMIFS('Sales Log'!$D$7:$D$3006,'Sales Log'!$C$7:$C$3006,$B53,'Sales Log'!$B$7:$B$3006,"&gt;="&amp;cfg_Start,'Sales Log'!$B$7:$B$3006,"&lt;="&amp;cfg_End,'Sales Log'!$N$7:$N$3006,"OK"))</f>
        <v/>
      </c>
      <c r="W53" s="71">
        <f>IF($B53="","",SUMIFS('Sales Log'!$I$7:$I$3006,'Sales Log'!$C$7:$C$3006,$B53,'Sales Log'!$B$7:$B$3006,"&gt;="&amp;cfg_Start,'Sales Log'!$B$7:$B$3006,"&lt;="&amp;cfg_End,'Sales Log'!$N$7:$N$3006,"OK"))</f>
        <v/>
      </c>
      <c r="X53" s="71">
        <f>IF($B53="","",SUMIFS('Sales Log'!$L$7:$L$3006,'Sales Log'!$C$7:$C$3006,$B53,'Sales Log'!$B$7:$B$3006,"&gt;="&amp;cfg_Start,'Sales Log'!$B$7:$B$3006,"&lt;="&amp;cfg_End,'Sales Log'!$N$7:$N$3006,"OK"))</f>
        <v/>
      </c>
      <c r="Y53" s="72">
        <f>IF($B53="","",IF(SUM($V$7:$V$56)=0,0,$V53/SUM($V$7:$V$56)))</f>
        <v/>
      </c>
      <c r="Z53" s="83">
        <f>IF($B53="",-1,N($V53)+ROW()/1000000)</f>
        <v/>
      </c>
      <c r="AA53" s="83">
        <f>IF($B53="",-1E+15,N($X53)+ROW()/1000000)</f>
        <v/>
      </c>
    </row>
    <row r="54" ht="19" customHeight="1">
      <c r="B54" s="60" t="n"/>
      <c r="C54" s="60" t="n"/>
      <c r="D54" s="71">
        <f>IF($B54="","",SUMIFS('Recipe Builder'!$J$7:$J$406,'Recipe Builder'!$B$7:$B$406,$B54))</f>
        <v/>
      </c>
      <c r="E54" s="63" t="n"/>
      <c r="F54" s="71">
        <f>IF($B54="","",IF(ISNUMBER($E54),$E54,N($D54)))</f>
        <v/>
      </c>
      <c r="G54" s="63" t="n"/>
      <c r="H54" s="77" t="n"/>
      <c r="I54" s="71">
        <f>IF($B54="","",N($H54)/60*cfg_LaborRate)</f>
        <v/>
      </c>
      <c r="J54" s="63" t="n"/>
      <c r="K54" s="78">
        <f>IF($B54="","",$F54+N($G54)+$I54+N($J54))</f>
        <v/>
      </c>
      <c r="L54" s="64" t="n"/>
      <c r="M54" s="72">
        <f>IF($B54="","",IF(AND(ISNUMBER($L54),$L54&lt;0.95),MAX(0,$L54),cfg_TargetMargin))</f>
        <v/>
      </c>
      <c r="N54" s="71">
        <f>IF($B54="","",IF(cfg_Round&gt;0,CEILING($K54/(1-$M54),cfg_Round),ROUND($K54/(1-$M54),2)))</f>
        <v/>
      </c>
      <c r="O54" s="79" t="n"/>
      <c r="P54" s="71">
        <f>IF(OR($B54="",N($O54)&lt;=0),"",$O54-$K54)</f>
        <v/>
      </c>
      <c r="Q54" s="72">
        <f>IF(OR($B54="",N($O54)&lt;=0),"",$P54/$O54)</f>
        <v/>
      </c>
      <c r="R54" s="72">
        <f>IF(OR($B54="",N($O54)&lt;=0,N($K54)&lt;=0),"",$P54/$K54)</f>
        <v/>
      </c>
      <c r="S54" s="72">
        <f>IF(OR($B54="",N($O54)&lt;=0),"",$F54/$O54)</f>
        <v/>
      </c>
      <c r="T54" s="80">
        <f>IF($B54="","",IF(COUNTIF($B$7:$B$56,$B54)&gt;1,"Duplicate name",IF(N($O54)&lt;=0,"Set a price",IF(N($K54)&lt;=0,"Add costs",IF($P54&lt;0,"LOSS",IF($Q54&lt;$M54-0.00001,"Below target",IF($S54&gt;cfg_FoodCostTarget,"High food cost","Healthy")))))))</f>
        <v/>
      </c>
      <c r="U54" s="81">
        <f>IF($T54="","",IF($T54="Duplicate name","Each menu item needs a unique name",IF($T54="Set a price","Suggested starting price: "&amp;cfg_Symbol&amp;TEXT($N54,"0.00"),IF($T54="Add costs","Build the recipe or type an ingredient cost override",IF($T54="LOSS","Losing "&amp;cfg_Symbol&amp;TEXT(-$P54,"0.00")&amp;" per sale - raise to "&amp;cfg_Symbol&amp;TEXT($N54,"0.00"),IF($T54="Below target","Raise to "&amp;cfg_Symbol&amp;TEXT($N54,"0.00")&amp;" for a "&amp;TEXT($M54,"0%")&amp;" margin",IF($T54="High food cost","Margin OK; food cost "&amp;TEXT($S54,"0%")&amp;" is above "&amp;TEXT(cfg_FoodCostTarget,"0%")&amp;" target","On target")))))))</f>
        <v/>
      </c>
      <c r="V54" s="82">
        <f>IF($B54="","",SUMIFS('Sales Log'!$D$7:$D$3006,'Sales Log'!$C$7:$C$3006,$B54,'Sales Log'!$B$7:$B$3006,"&gt;="&amp;cfg_Start,'Sales Log'!$B$7:$B$3006,"&lt;="&amp;cfg_End,'Sales Log'!$N$7:$N$3006,"OK"))</f>
        <v/>
      </c>
      <c r="W54" s="71">
        <f>IF($B54="","",SUMIFS('Sales Log'!$I$7:$I$3006,'Sales Log'!$C$7:$C$3006,$B54,'Sales Log'!$B$7:$B$3006,"&gt;="&amp;cfg_Start,'Sales Log'!$B$7:$B$3006,"&lt;="&amp;cfg_End,'Sales Log'!$N$7:$N$3006,"OK"))</f>
        <v/>
      </c>
      <c r="X54" s="71">
        <f>IF($B54="","",SUMIFS('Sales Log'!$L$7:$L$3006,'Sales Log'!$C$7:$C$3006,$B54,'Sales Log'!$B$7:$B$3006,"&gt;="&amp;cfg_Start,'Sales Log'!$B$7:$B$3006,"&lt;="&amp;cfg_End,'Sales Log'!$N$7:$N$3006,"OK"))</f>
        <v/>
      </c>
      <c r="Y54" s="72">
        <f>IF($B54="","",IF(SUM($V$7:$V$56)=0,0,$V54/SUM($V$7:$V$56)))</f>
        <v/>
      </c>
      <c r="Z54" s="83">
        <f>IF($B54="",-1,N($V54)+ROW()/1000000)</f>
        <v/>
      </c>
      <c r="AA54" s="83">
        <f>IF($B54="",-1E+15,N($X54)+ROW()/1000000)</f>
        <v/>
      </c>
    </row>
    <row r="55" ht="19" customHeight="1">
      <c r="B55" s="60" t="n"/>
      <c r="C55" s="60" t="n"/>
      <c r="D55" s="71">
        <f>IF($B55="","",SUMIFS('Recipe Builder'!$J$7:$J$406,'Recipe Builder'!$B$7:$B$406,$B55))</f>
        <v/>
      </c>
      <c r="E55" s="63" t="n"/>
      <c r="F55" s="71">
        <f>IF($B55="","",IF(ISNUMBER($E55),$E55,N($D55)))</f>
        <v/>
      </c>
      <c r="G55" s="63" t="n"/>
      <c r="H55" s="77" t="n"/>
      <c r="I55" s="71">
        <f>IF($B55="","",N($H55)/60*cfg_LaborRate)</f>
        <v/>
      </c>
      <c r="J55" s="63" t="n"/>
      <c r="K55" s="78">
        <f>IF($B55="","",$F55+N($G55)+$I55+N($J55))</f>
        <v/>
      </c>
      <c r="L55" s="64" t="n"/>
      <c r="M55" s="72">
        <f>IF($B55="","",IF(AND(ISNUMBER($L55),$L55&lt;0.95),MAX(0,$L55),cfg_TargetMargin))</f>
        <v/>
      </c>
      <c r="N55" s="71">
        <f>IF($B55="","",IF(cfg_Round&gt;0,CEILING($K55/(1-$M55),cfg_Round),ROUND($K55/(1-$M55),2)))</f>
        <v/>
      </c>
      <c r="O55" s="79" t="n"/>
      <c r="P55" s="71">
        <f>IF(OR($B55="",N($O55)&lt;=0),"",$O55-$K55)</f>
        <v/>
      </c>
      <c r="Q55" s="72">
        <f>IF(OR($B55="",N($O55)&lt;=0),"",$P55/$O55)</f>
        <v/>
      </c>
      <c r="R55" s="72">
        <f>IF(OR($B55="",N($O55)&lt;=0,N($K55)&lt;=0),"",$P55/$K55)</f>
        <v/>
      </c>
      <c r="S55" s="72">
        <f>IF(OR($B55="",N($O55)&lt;=0),"",$F55/$O55)</f>
        <v/>
      </c>
      <c r="T55" s="80">
        <f>IF($B55="","",IF(COUNTIF($B$7:$B$56,$B55)&gt;1,"Duplicate name",IF(N($O55)&lt;=0,"Set a price",IF(N($K55)&lt;=0,"Add costs",IF($P55&lt;0,"LOSS",IF($Q55&lt;$M55-0.00001,"Below target",IF($S55&gt;cfg_FoodCostTarget,"High food cost","Healthy")))))))</f>
        <v/>
      </c>
      <c r="U55" s="81">
        <f>IF($T55="","",IF($T55="Duplicate name","Each menu item needs a unique name",IF($T55="Set a price","Suggested starting price: "&amp;cfg_Symbol&amp;TEXT($N55,"0.00"),IF($T55="Add costs","Build the recipe or type an ingredient cost override",IF($T55="LOSS","Losing "&amp;cfg_Symbol&amp;TEXT(-$P55,"0.00")&amp;" per sale - raise to "&amp;cfg_Symbol&amp;TEXT($N55,"0.00"),IF($T55="Below target","Raise to "&amp;cfg_Symbol&amp;TEXT($N55,"0.00")&amp;" for a "&amp;TEXT($M55,"0%")&amp;" margin",IF($T55="High food cost","Margin OK; food cost "&amp;TEXT($S55,"0%")&amp;" is above "&amp;TEXT(cfg_FoodCostTarget,"0%")&amp;" target","On target")))))))</f>
        <v/>
      </c>
      <c r="V55" s="82">
        <f>IF($B55="","",SUMIFS('Sales Log'!$D$7:$D$3006,'Sales Log'!$C$7:$C$3006,$B55,'Sales Log'!$B$7:$B$3006,"&gt;="&amp;cfg_Start,'Sales Log'!$B$7:$B$3006,"&lt;="&amp;cfg_End,'Sales Log'!$N$7:$N$3006,"OK"))</f>
        <v/>
      </c>
      <c r="W55" s="71">
        <f>IF($B55="","",SUMIFS('Sales Log'!$I$7:$I$3006,'Sales Log'!$C$7:$C$3006,$B55,'Sales Log'!$B$7:$B$3006,"&gt;="&amp;cfg_Start,'Sales Log'!$B$7:$B$3006,"&lt;="&amp;cfg_End,'Sales Log'!$N$7:$N$3006,"OK"))</f>
        <v/>
      </c>
      <c r="X55" s="71">
        <f>IF($B55="","",SUMIFS('Sales Log'!$L$7:$L$3006,'Sales Log'!$C$7:$C$3006,$B55,'Sales Log'!$B$7:$B$3006,"&gt;="&amp;cfg_Start,'Sales Log'!$B$7:$B$3006,"&lt;="&amp;cfg_End,'Sales Log'!$N$7:$N$3006,"OK"))</f>
        <v/>
      </c>
      <c r="Y55" s="72">
        <f>IF($B55="","",IF(SUM($V$7:$V$56)=0,0,$V55/SUM($V$7:$V$56)))</f>
        <v/>
      </c>
      <c r="Z55" s="83">
        <f>IF($B55="",-1,N($V55)+ROW()/1000000)</f>
        <v/>
      </c>
      <c r="AA55" s="83">
        <f>IF($B55="",-1E+15,N($X55)+ROW()/1000000)</f>
        <v/>
      </c>
    </row>
    <row r="56" ht="19" customHeight="1">
      <c r="B56" s="60" t="n"/>
      <c r="C56" s="60" t="n"/>
      <c r="D56" s="71">
        <f>IF($B56="","",SUMIFS('Recipe Builder'!$J$7:$J$406,'Recipe Builder'!$B$7:$B$406,$B56))</f>
        <v/>
      </c>
      <c r="E56" s="63" t="n"/>
      <c r="F56" s="71">
        <f>IF($B56="","",IF(ISNUMBER($E56),$E56,N($D56)))</f>
        <v/>
      </c>
      <c r="G56" s="63" t="n"/>
      <c r="H56" s="77" t="n"/>
      <c r="I56" s="71">
        <f>IF($B56="","",N($H56)/60*cfg_LaborRate)</f>
        <v/>
      </c>
      <c r="J56" s="63" t="n"/>
      <c r="K56" s="78">
        <f>IF($B56="","",$F56+N($G56)+$I56+N($J56))</f>
        <v/>
      </c>
      <c r="L56" s="64" t="n"/>
      <c r="M56" s="72">
        <f>IF($B56="","",IF(AND(ISNUMBER($L56),$L56&lt;0.95),MAX(0,$L56),cfg_TargetMargin))</f>
        <v/>
      </c>
      <c r="N56" s="71">
        <f>IF($B56="","",IF(cfg_Round&gt;0,CEILING($K56/(1-$M56),cfg_Round),ROUND($K56/(1-$M56),2)))</f>
        <v/>
      </c>
      <c r="O56" s="79" t="n"/>
      <c r="P56" s="71">
        <f>IF(OR($B56="",N($O56)&lt;=0),"",$O56-$K56)</f>
        <v/>
      </c>
      <c r="Q56" s="72">
        <f>IF(OR($B56="",N($O56)&lt;=0),"",$P56/$O56)</f>
        <v/>
      </c>
      <c r="R56" s="72">
        <f>IF(OR($B56="",N($O56)&lt;=0,N($K56)&lt;=0),"",$P56/$K56)</f>
        <v/>
      </c>
      <c r="S56" s="72">
        <f>IF(OR($B56="",N($O56)&lt;=0),"",$F56/$O56)</f>
        <v/>
      </c>
      <c r="T56" s="80">
        <f>IF($B56="","",IF(COUNTIF($B$7:$B$56,$B56)&gt;1,"Duplicate name",IF(N($O56)&lt;=0,"Set a price",IF(N($K56)&lt;=0,"Add costs",IF($P56&lt;0,"LOSS",IF($Q56&lt;$M56-0.00001,"Below target",IF($S56&gt;cfg_FoodCostTarget,"High food cost","Healthy")))))))</f>
        <v/>
      </c>
      <c r="U56" s="81">
        <f>IF($T56="","",IF($T56="Duplicate name","Each menu item needs a unique name",IF($T56="Set a price","Suggested starting price: "&amp;cfg_Symbol&amp;TEXT($N56,"0.00"),IF($T56="Add costs","Build the recipe or type an ingredient cost override",IF($T56="LOSS","Losing "&amp;cfg_Symbol&amp;TEXT(-$P56,"0.00")&amp;" per sale - raise to "&amp;cfg_Symbol&amp;TEXT($N56,"0.00"),IF($T56="Below target","Raise to "&amp;cfg_Symbol&amp;TEXT($N56,"0.00")&amp;" for a "&amp;TEXT($M56,"0%")&amp;" margin",IF($T56="High food cost","Margin OK; food cost "&amp;TEXT($S56,"0%")&amp;" is above "&amp;TEXT(cfg_FoodCostTarget,"0%")&amp;" target","On target")))))))</f>
        <v/>
      </c>
      <c r="V56" s="82">
        <f>IF($B56="","",SUMIFS('Sales Log'!$D$7:$D$3006,'Sales Log'!$C$7:$C$3006,$B56,'Sales Log'!$B$7:$B$3006,"&gt;="&amp;cfg_Start,'Sales Log'!$B$7:$B$3006,"&lt;="&amp;cfg_End,'Sales Log'!$N$7:$N$3006,"OK"))</f>
        <v/>
      </c>
      <c r="W56" s="71">
        <f>IF($B56="","",SUMIFS('Sales Log'!$I$7:$I$3006,'Sales Log'!$C$7:$C$3006,$B56,'Sales Log'!$B$7:$B$3006,"&gt;="&amp;cfg_Start,'Sales Log'!$B$7:$B$3006,"&lt;="&amp;cfg_End,'Sales Log'!$N$7:$N$3006,"OK"))</f>
        <v/>
      </c>
      <c r="X56" s="71">
        <f>IF($B56="","",SUMIFS('Sales Log'!$L$7:$L$3006,'Sales Log'!$C$7:$C$3006,$B56,'Sales Log'!$B$7:$B$3006,"&gt;="&amp;cfg_Start,'Sales Log'!$B$7:$B$3006,"&lt;="&amp;cfg_End,'Sales Log'!$N$7:$N$3006,"OK"))</f>
        <v/>
      </c>
      <c r="Y56" s="72">
        <f>IF($B56="","",IF(SUM($V$7:$V$56)=0,0,$V56/SUM($V$7:$V$56)))</f>
        <v/>
      </c>
      <c r="Z56" s="83">
        <f>IF($B56="",-1,N($V56)+ROW()/1000000)</f>
        <v/>
      </c>
      <c r="AA56" s="83">
        <f>IF($B56="",-1E+15,N($X56)+ROW()/1000000)</f>
        <v/>
      </c>
    </row>
    <row r="57">
      <c r="B57" s="59" t="inlineStr">
        <is>
          <t>TOTAL / ALERTS</t>
        </is>
      </c>
      <c r="T57" s="84">
        <f>COUNTIF(T7:T56,"LOSS")+COUNTIF(T7:T56,"Below target")&amp;" need attention"</f>
        <v/>
      </c>
      <c r="V57" s="85">
        <f>SUM(V7:V56)</f>
        <v/>
      </c>
      <c r="W57" s="78">
        <f>SUM(W7:W56)</f>
        <v/>
      </c>
      <c r="X57" s="78">
        <f>SUM(X7:X56)</f>
        <v/>
      </c>
    </row>
    <row r="59" ht="46" customHeight="1">
      <c r="B59" s="74" t="inlineStr">
        <is>
          <t>MARGIN = profit / price.  MARKUP = profit / cost.  Example: cost 4.00, price 10.00 -&gt; margin 60%, markup 150%. Suggested price = total cost / (1 - target margin), rounded UP. Prep labour here is a pricing allowance only - real wages are recorded in Expenses. Gross profit in the sales columns uses ingredients + packaging + other variable cost (no labour), so labour is never counted twice.</t>
        </is>
      </c>
    </row>
    <row r="60"/>
  </sheetData>
  <autoFilter ref="B6:Y56"/>
  <mergeCells count="6">
    <mergeCell ref="B5:C5"/>
    <mergeCell ref="L5:N5"/>
    <mergeCell ref="D5:K5"/>
    <mergeCell ref="O5:U5"/>
    <mergeCell ref="V5:Y5"/>
    <mergeCell ref="B59:U60"/>
  </mergeCells>
  <conditionalFormatting sqref="T7:T56">
    <cfRule type="expression" priority="1" dxfId="7">
      <formula>T7="LOSS"</formula>
    </cfRule>
    <cfRule type="expression" priority="2" dxfId="0">
      <formula>T7="Below target"</formula>
    </cfRule>
    <cfRule type="expression" priority="3" dxfId="0">
      <formula>T7="High food cost"</formula>
    </cfRule>
    <cfRule type="expression" priority="4" dxfId="8">
      <formula>T7="Healthy"</formula>
    </cfRule>
    <cfRule type="expression" priority="5" dxfId="9">
      <formula>OR($T7="Set a price",$T7="Add costs",$T7="Duplicate name")</formula>
    </cfRule>
  </conditionalFormatting>
  <conditionalFormatting sqref="B7:B56">
    <cfRule type="expression" priority="6" dxfId="6">
      <formula>AND($B7&lt;&gt;"",COUNTIF($B$7:$B$56,$B7)&gt;1)</formula>
    </cfRule>
    <cfRule type="expression" priority="7" dxfId="6">
      <formula>$T7="LOSS"</formula>
    </cfRule>
  </conditionalFormatting>
  <conditionalFormatting sqref="D7:G56">
    <cfRule type="expression" priority="8" dxfId="10">
      <formula>cfg_Currency="USD"</formula>
    </cfRule>
    <cfRule type="expression" priority="12" dxfId="11">
      <formula>cfg_Currency="GBP"</formula>
    </cfRule>
  </conditionalFormatting>
  <conditionalFormatting sqref="I7:K56">
    <cfRule type="expression" priority="8" dxfId="10">
      <formula>cfg_Currency="USD"</formula>
    </cfRule>
    <cfRule type="expression" priority="12" dxfId="11">
      <formula>cfg_Currency="GBP"</formula>
    </cfRule>
  </conditionalFormatting>
  <conditionalFormatting sqref="N7:P56">
    <cfRule type="expression" priority="8" dxfId="10">
      <formula>cfg_Currency="USD"</formula>
    </cfRule>
    <cfRule type="expression" priority="12" dxfId="11">
      <formula>cfg_Currency="GBP"</formula>
    </cfRule>
  </conditionalFormatting>
  <conditionalFormatting sqref="W7:X57">
    <cfRule type="expression" priority="8" dxfId="10">
      <formula>cfg_Currency="USD"</formula>
    </cfRule>
    <cfRule type="expression" priority="12" dxfId="11">
      <formula>cfg_Currency="GBP"</formula>
    </cfRule>
  </conditionalFormatting>
  <dataValidations count="7">
    <dataValidation sqref="C7:C56" showDropDown="0" showInputMessage="0" showErrorMessage="0" allowBlank="1" errorTitle="Not in list" error="Please pick a value from the dropdown list." type="list" errorStyle="warning">
      <formula1>lst_MenuCat</formula1>
    </dataValidation>
    <dataValidation sqref="E7:E56" showDropDown="0" showInputMessage="1" showErrorMessage="1" allowBlank="1" errorTitle="Invalid number" error="Enter a number of at least 0." promptTitle="Money per serving" prompt="Optional: type the ingredient cost per serving if you don't use Recipe Builder." type="decimal" operator="greaterThanOrEqual">
      <formula1>0</formula1>
    </dataValidation>
    <dataValidation sqref="G7:G56" showDropDown="0" showInputMessage="1" showErrorMessage="1" allowBlank="1" errorTitle="Invalid number" error="Enter a number of at least 0." promptTitle="Money per serving" prompt="Box, cup, napkin, fork... per serving." type="decimal" operator="greaterThanOrEqual">
      <formula1>0</formula1>
    </dataValidation>
    <dataValidation sqref="J7:J56" showDropDown="0" showInputMessage="1" showErrorMessage="1" allowBlank="1" errorTitle="Invalid number" error="Enter a number of at least 0." promptTitle="Money per serving" prompt="Condiments, gas share, card fee per item, etc." type="decimal" operator="greaterThanOrEqual">
      <formula1>0</formula1>
    </dataValidation>
    <dataValidation sqref="O7:O56" showDropDown="0" showInputMessage="1" showErrorMessage="1" allowBlank="1" errorTitle="Invalid number" error="Enter a number of at least 0." promptTitle="Money per serving" prompt="The price on your menu board." type="decimal" operator="greaterThanOrEqual">
      <formula1>0</formula1>
    </dataValidation>
    <dataValidation sqref="H7:H56" showDropDown="0" showInputMessage="1" showErrorMessage="1" allowBlank="1" errorTitle="Invalid number" error="Enter a number of at least 0 and at most 600." promptTitle="Prep minutes" prompt="Hands-on minutes to prepare one serving." type="decimal" operator="between">
      <formula1>0</formula1>
      <formula2>600</formula2>
    </dataValidation>
    <dataValidation sqref="L7:L56" showDropDown="0" showInputMessage="1" showErrorMessage="1" allowBlank="1" errorTitle="Invalid number" error="Enter a number of at least 0 and at most 0.95." promptTitle="Target margin" prompt="Optional item target margin (blank = Settings default)." type="decimal" operator="between">
      <formula1>0</formula1>
      <formula2>0.95</formula2>
    </dataValidation>
  </dataValidations>
  <hyperlinks>
    <hyperlink ref="B4" location="'Start Here'!A1" display="› Start Here"/>
    <hyperlink ref="C4" location="'Dashboard'!A1" display="› Dashboard"/>
    <hyperlink ref="E4" location="'Recipe Builder'!A1" display="› Recipe Builder"/>
    <hyperlink ref="G4" location="'Settings'!A1" display="› Settings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M406"/>
  <sheetViews>
    <sheetView showGridLines="0" zoomScale="100" workbookViewId="0">
      <pane xSplit="2" ySplit="6" topLeftCell="C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26" customWidth="1" min="2" max="2"/>
    <col width="26" customWidth="1" min="3" max="3"/>
    <col width="10" customWidth="1" min="4" max="4"/>
    <col width="11" customWidth="1" min="5" max="5"/>
    <col width="11" customWidth="1" min="6" max="6"/>
    <col width="22" customWidth="1" min="7" max="7"/>
    <col width="13" customWidth="1" min="8" max="8"/>
    <col width="12" customWidth="1" min="9" max="9"/>
    <col width="11" customWidth="1" min="10" max="10"/>
    <col width="12" customWidth="1" min="11" max="11"/>
    <col width="13" customWidth="1" min="12" max="1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B2" s="54" t="inlineStr">
        <is>
          <t>Recipe Builder</t>
        </is>
      </c>
      <c r="L2" s="55" t="inlineStr">
        <is>
          <t>NoviraNest</t>
        </is>
      </c>
    </row>
    <row r="3" ht="18" customHeight="1">
      <c r="B3" s="56" t="inlineStr">
        <is>
          <t>One row per ingredient per menu item. Quantities convert automatically to each ingredient's stock unit. Incompatible units are flagged and never costed.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D4" s="57" t="inlineStr">
        <is>
          <t>› Menu Pricing</t>
        </is>
      </c>
      <c r="F4" s="57" t="inlineStr">
        <is>
          <t>› Inventory</t>
        </is>
      </c>
    </row>
    <row r="5" ht="16" customHeight="1">
      <c r="B5" s="75" t="inlineStr">
        <is>
          <t>WHAT GOES INTO ONE SERVING</t>
        </is>
      </c>
      <c r="F5" s="67" t="inlineStr">
        <is>
          <t>AUTOMATIC COSTING &amp; USAGE</t>
        </is>
      </c>
    </row>
    <row r="6" ht="40" customHeight="1">
      <c r="B6" s="58" t="inlineStr">
        <is>
          <t>Menu item</t>
        </is>
      </c>
      <c r="C6" s="58" t="inlineStr">
        <is>
          <t>Ingredient</t>
        </is>
      </c>
      <c r="D6" s="58" t="inlineStr">
        <is>
          <t>Qty per
serving</t>
        </is>
      </c>
      <c r="E6" s="58" t="inlineStr">
        <is>
          <t>Unit</t>
        </is>
      </c>
      <c r="F6" s="58" t="inlineStr">
        <is>
          <t>Stock unit</t>
        </is>
      </c>
      <c r="G6" s="58" t="inlineStr">
        <is>
          <t>Unit check</t>
        </is>
      </c>
      <c r="H6" s="58" t="inlineStr">
        <is>
          <t>Qty in
stock units</t>
        </is>
      </c>
      <c r="I6" s="58">
        <f>"Cost per stock unit ("&amp;cfg_Symbol&amp;")"</f>
        <v/>
      </c>
      <c r="J6" s="58">
        <f>"Line cost ("&amp;cfg_Symbol&amp;")"</f>
        <v/>
      </c>
      <c r="K6" s="58" t="inlineStr">
        <is>
          <t>Items sold
since count</t>
        </is>
      </c>
      <c r="L6" s="58" t="inlineStr">
        <is>
          <t>Usage since
count</t>
        </is>
      </c>
    </row>
    <row r="7" ht="17" customHeight="1">
      <c r="B7" s="60" t="n"/>
      <c r="C7" s="60" t="n"/>
      <c r="D7" s="86" t="n"/>
      <c r="E7" s="60" t="n"/>
      <c r="F7" s="13">
        <f>IF($C7="","",IFERROR(INDEX('Inventory'!$D$7:$D$106,MATCH($C7,'Inventory'!$B$7:$B$106,0))&amp;"","?"))</f>
        <v/>
      </c>
      <c r="G7" s="80">
        <f>IF(AND($B7="",$C7=""),"",IF($B7="","Pick menu item",IF(ISNA(MATCH($B7,'Menu Pricing'!$B$7:$B$56,0)),"Not on Menu Pricing",IF($C7="","Pick ingredient",IF($F7="?","Not in Inventory",IF($F7="","Set stock unit in Inventory",IF(N($D7)&lt;=0,"Enter quantity",IF($E7="","Pick unit",IF(IFERROR(INDEX('Lists'!$C$6:$C$30,MATCH($E7,'Lists'!$B$6:$B$30,0)),"?")&lt;&gt;IFERROR(INDEX('Lists'!$C$6:$C$30,MATCH($F7,'Lists'!$B$6:$B$30,0)),"?"),"Unit mismatch",IF(ISNUMBER(INDEX('Inventory'!$G$7:$G$106,MATCH($C7,'Inventory'!$B$7:$B$106,0))),"OK","Add price in Inventory"))))))))))</f>
        <v/>
      </c>
      <c r="H7" s="87">
        <f>IF($G7&lt;&gt;"OK","",$D7*INDEX('Lists'!$D$6:$D$30,MATCH($E7,'Lists'!$B$6:$B$30,0))/INDEX('Lists'!$D$6:$D$30,MATCH($F7,'Lists'!$B$6:$B$30,0)))</f>
        <v/>
      </c>
      <c r="I7" s="87">
        <f>IF($G7&lt;&gt;"OK","",INDEX('Inventory'!$G$7:$G$106,MATCH($C7,'Inventory'!$B$7:$B$106,0)))</f>
        <v/>
      </c>
      <c r="J7" s="88">
        <f>IF($G7&lt;&gt;"OK","",$H7*$I7)</f>
        <v/>
      </c>
      <c r="K7" s="82">
        <f>IF($G7&lt;&gt;"OK","",SUMIFS('Sales Log'!$D$7:$D$3006,'Sales Log'!$C$7:$C$3006,$B7,'Sales Log'!$B$7:$B$3006,"&gt;="&amp;cfg_CountDate,'Sales Log'!$N$7:$N$3006,"OK"))</f>
        <v/>
      </c>
      <c r="L7" s="89">
        <f>IF($G7&lt;&gt;"OK","",$H7*$K7)</f>
        <v/>
      </c>
    </row>
    <row r="8" ht="17" customHeight="1">
      <c r="B8" s="60" t="n"/>
      <c r="C8" s="60" t="n"/>
      <c r="D8" s="86" t="n"/>
      <c r="E8" s="60" t="n"/>
      <c r="F8" s="13">
        <f>IF($C8="","",IFERROR(INDEX('Inventory'!$D$7:$D$106,MATCH($C8,'Inventory'!$B$7:$B$106,0))&amp;"","?"))</f>
        <v/>
      </c>
      <c r="G8" s="80">
        <f>IF(AND($B8="",$C8=""),"",IF($B8="","Pick menu item",IF(ISNA(MATCH($B8,'Menu Pricing'!$B$7:$B$56,0)),"Not on Menu Pricing",IF($C8="","Pick ingredient",IF($F8="?","Not in Inventory",IF($F8="","Set stock unit in Inventory",IF(N($D8)&lt;=0,"Enter quantity",IF($E8="","Pick unit",IF(IFERROR(INDEX('Lists'!$C$6:$C$30,MATCH($E8,'Lists'!$B$6:$B$30,0)),"?")&lt;&gt;IFERROR(INDEX('Lists'!$C$6:$C$30,MATCH($F8,'Lists'!$B$6:$B$30,0)),"?"),"Unit mismatch",IF(ISNUMBER(INDEX('Inventory'!$G$7:$G$106,MATCH($C8,'Inventory'!$B$7:$B$106,0))),"OK","Add price in Inventory"))))))))))</f>
        <v/>
      </c>
      <c r="H8" s="87">
        <f>IF($G8&lt;&gt;"OK","",$D8*INDEX('Lists'!$D$6:$D$30,MATCH($E8,'Lists'!$B$6:$B$30,0))/INDEX('Lists'!$D$6:$D$30,MATCH($F8,'Lists'!$B$6:$B$30,0)))</f>
        <v/>
      </c>
      <c r="I8" s="87">
        <f>IF($G8&lt;&gt;"OK","",INDEX('Inventory'!$G$7:$G$106,MATCH($C8,'Inventory'!$B$7:$B$106,0)))</f>
        <v/>
      </c>
      <c r="J8" s="88">
        <f>IF($G8&lt;&gt;"OK","",$H8*$I8)</f>
        <v/>
      </c>
      <c r="K8" s="82">
        <f>IF($G8&lt;&gt;"OK","",SUMIFS('Sales Log'!$D$7:$D$3006,'Sales Log'!$C$7:$C$3006,$B8,'Sales Log'!$B$7:$B$3006,"&gt;="&amp;cfg_CountDate,'Sales Log'!$N$7:$N$3006,"OK"))</f>
        <v/>
      </c>
      <c r="L8" s="89">
        <f>IF($G8&lt;&gt;"OK","",$H8*$K8)</f>
        <v/>
      </c>
    </row>
    <row r="9" ht="17" customHeight="1">
      <c r="B9" s="60" t="n"/>
      <c r="C9" s="60" t="n"/>
      <c r="D9" s="86" t="n"/>
      <c r="E9" s="60" t="n"/>
      <c r="F9" s="13">
        <f>IF($C9="","",IFERROR(INDEX('Inventory'!$D$7:$D$106,MATCH($C9,'Inventory'!$B$7:$B$106,0))&amp;"","?"))</f>
        <v/>
      </c>
      <c r="G9" s="80">
        <f>IF(AND($B9="",$C9=""),"",IF($B9="","Pick menu item",IF(ISNA(MATCH($B9,'Menu Pricing'!$B$7:$B$56,0)),"Not on Menu Pricing",IF($C9="","Pick ingredient",IF($F9="?","Not in Inventory",IF($F9="","Set stock unit in Inventory",IF(N($D9)&lt;=0,"Enter quantity",IF($E9="","Pick unit",IF(IFERROR(INDEX('Lists'!$C$6:$C$30,MATCH($E9,'Lists'!$B$6:$B$30,0)),"?")&lt;&gt;IFERROR(INDEX('Lists'!$C$6:$C$30,MATCH($F9,'Lists'!$B$6:$B$30,0)),"?"),"Unit mismatch",IF(ISNUMBER(INDEX('Inventory'!$G$7:$G$106,MATCH($C9,'Inventory'!$B$7:$B$106,0))),"OK","Add price in Inventory"))))))))))</f>
        <v/>
      </c>
      <c r="H9" s="87">
        <f>IF($G9&lt;&gt;"OK","",$D9*INDEX('Lists'!$D$6:$D$30,MATCH($E9,'Lists'!$B$6:$B$30,0))/INDEX('Lists'!$D$6:$D$30,MATCH($F9,'Lists'!$B$6:$B$30,0)))</f>
        <v/>
      </c>
      <c r="I9" s="87">
        <f>IF($G9&lt;&gt;"OK","",INDEX('Inventory'!$G$7:$G$106,MATCH($C9,'Inventory'!$B$7:$B$106,0)))</f>
        <v/>
      </c>
      <c r="J9" s="88">
        <f>IF($G9&lt;&gt;"OK","",$H9*$I9)</f>
        <v/>
      </c>
      <c r="K9" s="82">
        <f>IF($G9&lt;&gt;"OK","",SUMIFS('Sales Log'!$D$7:$D$3006,'Sales Log'!$C$7:$C$3006,$B9,'Sales Log'!$B$7:$B$3006,"&gt;="&amp;cfg_CountDate,'Sales Log'!$N$7:$N$3006,"OK"))</f>
        <v/>
      </c>
      <c r="L9" s="89">
        <f>IF($G9&lt;&gt;"OK","",$H9*$K9)</f>
        <v/>
      </c>
    </row>
    <row r="10" ht="17" customHeight="1">
      <c r="B10" s="60" t="n"/>
      <c r="C10" s="60" t="n"/>
      <c r="D10" s="86" t="n"/>
      <c r="E10" s="60" t="n"/>
      <c r="F10" s="13">
        <f>IF($C10="","",IFERROR(INDEX('Inventory'!$D$7:$D$106,MATCH($C10,'Inventory'!$B$7:$B$106,0))&amp;"","?"))</f>
        <v/>
      </c>
      <c r="G10" s="80">
        <f>IF(AND($B10="",$C10=""),"",IF($B10="","Pick menu item",IF(ISNA(MATCH($B10,'Menu Pricing'!$B$7:$B$56,0)),"Not on Menu Pricing",IF($C10="","Pick ingredient",IF($F10="?","Not in Inventory",IF($F10="","Set stock unit in Inventory",IF(N($D10)&lt;=0,"Enter quantity",IF($E10="","Pick unit",IF(IFERROR(INDEX('Lists'!$C$6:$C$30,MATCH($E10,'Lists'!$B$6:$B$30,0)),"?")&lt;&gt;IFERROR(INDEX('Lists'!$C$6:$C$30,MATCH($F10,'Lists'!$B$6:$B$30,0)),"?"),"Unit mismatch",IF(ISNUMBER(INDEX('Inventory'!$G$7:$G$106,MATCH($C10,'Inventory'!$B$7:$B$106,0))),"OK","Add price in Inventory"))))))))))</f>
        <v/>
      </c>
      <c r="H10" s="87">
        <f>IF($G10&lt;&gt;"OK","",$D10*INDEX('Lists'!$D$6:$D$30,MATCH($E10,'Lists'!$B$6:$B$30,0))/INDEX('Lists'!$D$6:$D$30,MATCH($F10,'Lists'!$B$6:$B$30,0)))</f>
        <v/>
      </c>
      <c r="I10" s="87">
        <f>IF($G10&lt;&gt;"OK","",INDEX('Inventory'!$G$7:$G$106,MATCH($C10,'Inventory'!$B$7:$B$106,0)))</f>
        <v/>
      </c>
      <c r="J10" s="88">
        <f>IF($G10&lt;&gt;"OK","",$H10*$I10)</f>
        <v/>
      </c>
      <c r="K10" s="82">
        <f>IF($G10&lt;&gt;"OK","",SUMIFS('Sales Log'!$D$7:$D$3006,'Sales Log'!$C$7:$C$3006,$B10,'Sales Log'!$B$7:$B$3006,"&gt;="&amp;cfg_CountDate,'Sales Log'!$N$7:$N$3006,"OK"))</f>
        <v/>
      </c>
      <c r="L10" s="89">
        <f>IF($G10&lt;&gt;"OK","",$H10*$K10)</f>
        <v/>
      </c>
    </row>
    <row r="11" ht="17" customHeight="1">
      <c r="B11" s="60" t="n"/>
      <c r="C11" s="60" t="n"/>
      <c r="D11" s="86" t="n"/>
      <c r="E11" s="60" t="n"/>
      <c r="F11" s="13">
        <f>IF($C11="","",IFERROR(INDEX('Inventory'!$D$7:$D$106,MATCH($C11,'Inventory'!$B$7:$B$106,0))&amp;"","?"))</f>
        <v/>
      </c>
      <c r="G11" s="80">
        <f>IF(AND($B11="",$C11=""),"",IF($B11="","Pick menu item",IF(ISNA(MATCH($B11,'Menu Pricing'!$B$7:$B$56,0)),"Not on Menu Pricing",IF($C11="","Pick ingredient",IF($F11="?","Not in Inventory",IF($F11="","Set stock unit in Inventory",IF(N($D11)&lt;=0,"Enter quantity",IF($E11="","Pick unit",IF(IFERROR(INDEX('Lists'!$C$6:$C$30,MATCH($E11,'Lists'!$B$6:$B$30,0)),"?")&lt;&gt;IFERROR(INDEX('Lists'!$C$6:$C$30,MATCH($F11,'Lists'!$B$6:$B$30,0)),"?"),"Unit mismatch",IF(ISNUMBER(INDEX('Inventory'!$G$7:$G$106,MATCH($C11,'Inventory'!$B$7:$B$106,0))),"OK","Add price in Inventory"))))))))))</f>
        <v/>
      </c>
      <c r="H11" s="87">
        <f>IF($G11&lt;&gt;"OK","",$D11*INDEX('Lists'!$D$6:$D$30,MATCH($E11,'Lists'!$B$6:$B$30,0))/INDEX('Lists'!$D$6:$D$30,MATCH($F11,'Lists'!$B$6:$B$30,0)))</f>
        <v/>
      </c>
      <c r="I11" s="87">
        <f>IF($G11&lt;&gt;"OK","",INDEX('Inventory'!$G$7:$G$106,MATCH($C11,'Inventory'!$B$7:$B$106,0)))</f>
        <v/>
      </c>
      <c r="J11" s="88">
        <f>IF($G11&lt;&gt;"OK","",$H11*$I11)</f>
        <v/>
      </c>
      <c r="K11" s="82">
        <f>IF($G11&lt;&gt;"OK","",SUMIFS('Sales Log'!$D$7:$D$3006,'Sales Log'!$C$7:$C$3006,$B11,'Sales Log'!$B$7:$B$3006,"&gt;="&amp;cfg_CountDate,'Sales Log'!$N$7:$N$3006,"OK"))</f>
        <v/>
      </c>
      <c r="L11" s="89">
        <f>IF($G11&lt;&gt;"OK","",$H11*$K11)</f>
        <v/>
      </c>
    </row>
    <row r="12" ht="17" customHeight="1">
      <c r="B12" s="60" t="n"/>
      <c r="C12" s="60" t="n"/>
      <c r="D12" s="86" t="n"/>
      <c r="E12" s="60" t="n"/>
      <c r="F12" s="13">
        <f>IF($C12="","",IFERROR(INDEX('Inventory'!$D$7:$D$106,MATCH($C12,'Inventory'!$B$7:$B$106,0))&amp;"","?"))</f>
        <v/>
      </c>
      <c r="G12" s="80">
        <f>IF(AND($B12="",$C12=""),"",IF($B12="","Pick menu item",IF(ISNA(MATCH($B12,'Menu Pricing'!$B$7:$B$56,0)),"Not on Menu Pricing",IF($C12="","Pick ingredient",IF($F12="?","Not in Inventory",IF($F12="","Set stock unit in Inventory",IF(N($D12)&lt;=0,"Enter quantity",IF($E12="","Pick unit",IF(IFERROR(INDEX('Lists'!$C$6:$C$30,MATCH($E12,'Lists'!$B$6:$B$30,0)),"?")&lt;&gt;IFERROR(INDEX('Lists'!$C$6:$C$30,MATCH($F12,'Lists'!$B$6:$B$30,0)),"?"),"Unit mismatch",IF(ISNUMBER(INDEX('Inventory'!$G$7:$G$106,MATCH($C12,'Inventory'!$B$7:$B$106,0))),"OK","Add price in Inventory"))))))))))</f>
        <v/>
      </c>
      <c r="H12" s="87">
        <f>IF($G12&lt;&gt;"OK","",$D12*INDEX('Lists'!$D$6:$D$30,MATCH($E12,'Lists'!$B$6:$B$30,0))/INDEX('Lists'!$D$6:$D$30,MATCH($F12,'Lists'!$B$6:$B$30,0)))</f>
        <v/>
      </c>
      <c r="I12" s="87">
        <f>IF($G12&lt;&gt;"OK","",INDEX('Inventory'!$G$7:$G$106,MATCH($C12,'Inventory'!$B$7:$B$106,0)))</f>
        <v/>
      </c>
      <c r="J12" s="88">
        <f>IF($G12&lt;&gt;"OK","",$H12*$I12)</f>
        <v/>
      </c>
      <c r="K12" s="82">
        <f>IF($G12&lt;&gt;"OK","",SUMIFS('Sales Log'!$D$7:$D$3006,'Sales Log'!$C$7:$C$3006,$B12,'Sales Log'!$B$7:$B$3006,"&gt;="&amp;cfg_CountDate,'Sales Log'!$N$7:$N$3006,"OK"))</f>
        <v/>
      </c>
      <c r="L12" s="89">
        <f>IF($G12&lt;&gt;"OK","",$H12*$K12)</f>
        <v/>
      </c>
    </row>
    <row r="13" ht="17" customHeight="1">
      <c r="B13" s="60" t="n"/>
      <c r="C13" s="60" t="n"/>
      <c r="D13" s="86" t="n"/>
      <c r="E13" s="60" t="n"/>
      <c r="F13" s="13">
        <f>IF($C13="","",IFERROR(INDEX('Inventory'!$D$7:$D$106,MATCH($C13,'Inventory'!$B$7:$B$106,0))&amp;"","?"))</f>
        <v/>
      </c>
      <c r="G13" s="80">
        <f>IF(AND($B13="",$C13=""),"",IF($B13="","Pick menu item",IF(ISNA(MATCH($B13,'Menu Pricing'!$B$7:$B$56,0)),"Not on Menu Pricing",IF($C13="","Pick ingredient",IF($F13="?","Not in Inventory",IF($F13="","Set stock unit in Inventory",IF(N($D13)&lt;=0,"Enter quantity",IF($E13="","Pick unit",IF(IFERROR(INDEX('Lists'!$C$6:$C$30,MATCH($E13,'Lists'!$B$6:$B$30,0)),"?")&lt;&gt;IFERROR(INDEX('Lists'!$C$6:$C$30,MATCH($F13,'Lists'!$B$6:$B$30,0)),"?"),"Unit mismatch",IF(ISNUMBER(INDEX('Inventory'!$G$7:$G$106,MATCH($C13,'Inventory'!$B$7:$B$106,0))),"OK","Add price in Inventory"))))))))))</f>
        <v/>
      </c>
      <c r="H13" s="87">
        <f>IF($G13&lt;&gt;"OK","",$D13*INDEX('Lists'!$D$6:$D$30,MATCH($E13,'Lists'!$B$6:$B$30,0))/INDEX('Lists'!$D$6:$D$30,MATCH($F13,'Lists'!$B$6:$B$30,0)))</f>
        <v/>
      </c>
      <c r="I13" s="87">
        <f>IF($G13&lt;&gt;"OK","",INDEX('Inventory'!$G$7:$G$106,MATCH($C13,'Inventory'!$B$7:$B$106,0)))</f>
        <v/>
      </c>
      <c r="J13" s="88">
        <f>IF($G13&lt;&gt;"OK","",$H13*$I13)</f>
        <v/>
      </c>
      <c r="K13" s="82">
        <f>IF($G13&lt;&gt;"OK","",SUMIFS('Sales Log'!$D$7:$D$3006,'Sales Log'!$C$7:$C$3006,$B13,'Sales Log'!$B$7:$B$3006,"&gt;="&amp;cfg_CountDate,'Sales Log'!$N$7:$N$3006,"OK"))</f>
        <v/>
      </c>
      <c r="L13" s="89">
        <f>IF($G13&lt;&gt;"OK","",$H13*$K13)</f>
        <v/>
      </c>
    </row>
    <row r="14" ht="17" customHeight="1">
      <c r="B14" s="60" t="n"/>
      <c r="C14" s="60" t="n"/>
      <c r="D14" s="86" t="n"/>
      <c r="E14" s="60" t="n"/>
      <c r="F14" s="13">
        <f>IF($C14="","",IFERROR(INDEX('Inventory'!$D$7:$D$106,MATCH($C14,'Inventory'!$B$7:$B$106,0))&amp;"","?"))</f>
        <v/>
      </c>
      <c r="G14" s="80">
        <f>IF(AND($B14="",$C14=""),"",IF($B14="","Pick menu item",IF(ISNA(MATCH($B14,'Menu Pricing'!$B$7:$B$56,0)),"Not on Menu Pricing",IF($C14="","Pick ingredient",IF($F14="?","Not in Inventory",IF($F14="","Set stock unit in Inventory",IF(N($D14)&lt;=0,"Enter quantity",IF($E14="","Pick unit",IF(IFERROR(INDEX('Lists'!$C$6:$C$30,MATCH($E14,'Lists'!$B$6:$B$30,0)),"?")&lt;&gt;IFERROR(INDEX('Lists'!$C$6:$C$30,MATCH($F14,'Lists'!$B$6:$B$30,0)),"?"),"Unit mismatch",IF(ISNUMBER(INDEX('Inventory'!$G$7:$G$106,MATCH($C14,'Inventory'!$B$7:$B$106,0))),"OK","Add price in Inventory"))))))))))</f>
        <v/>
      </c>
      <c r="H14" s="87">
        <f>IF($G14&lt;&gt;"OK","",$D14*INDEX('Lists'!$D$6:$D$30,MATCH($E14,'Lists'!$B$6:$B$30,0))/INDEX('Lists'!$D$6:$D$30,MATCH($F14,'Lists'!$B$6:$B$30,0)))</f>
        <v/>
      </c>
      <c r="I14" s="87">
        <f>IF($G14&lt;&gt;"OK","",INDEX('Inventory'!$G$7:$G$106,MATCH($C14,'Inventory'!$B$7:$B$106,0)))</f>
        <v/>
      </c>
      <c r="J14" s="88">
        <f>IF($G14&lt;&gt;"OK","",$H14*$I14)</f>
        <v/>
      </c>
      <c r="K14" s="82">
        <f>IF($G14&lt;&gt;"OK","",SUMIFS('Sales Log'!$D$7:$D$3006,'Sales Log'!$C$7:$C$3006,$B14,'Sales Log'!$B$7:$B$3006,"&gt;="&amp;cfg_CountDate,'Sales Log'!$N$7:$N$3006,"OK"))</f>
        <v/>
      </c>
      <c r="L14" s="89">
        <f>IF($G14&lt;&gt;"OK","",$H14*$K14)</f>
        <v/>
      </c>
    </row>
    <row r="15" ht="17" customHeight="1">
      <c r="B15" s="60" t="n"/>
      <c r="C15" s="60" t="n"/>
      <c r="D15" s="86" t="n"/>
      <c r="E15" s="60" t="n"/>
      <c r="F15" s="13">
        <f>IF($C15="","",IFERROR(INDEX('Inventory'!$D$7:$D$106,MATCH($C15,'Inventory'!$B$7:$B$106,0))&amp;"","?"))</f>
        <v/>
      </c>
      <c r="G15" s="80">
        <f>IF(AND($B15="",$C15=""),"",IF($B15="","Pick menu item",IF(ISNA(MATCH($B15,'Menu Pricing'!$B$7:$B$56,0)),"Not on Menu Pricing",IF($C15="","Pick ingredient",IF($F15="?","Not in Inventory",IF($F15="","Set stock unit in Inventory",IF(N($D15)&lt;=0,"Enter quantity",IF($E15="","Pick unit",IF(IFERROR(INDEX('Lists'!$C$6:$C$30,MATCH($E15,'Lists'!$B$6:$B$30,0)),"?")&lt;&gt;IFERROR(INDEX('Lists'!$C$6:$C$30,MATCH($F15,'Lists'!$B$6:$B$30,0)),"?"),"Unit mismatch",IF(ISNUMBER(INDEX('Inventory'!$G$7:$G$106,MATCH($C15,'Inventory'!$B$7:$B$106,0))),"OK","Add price in Inventory"))))))))))</f>
        <v/>
      </c>
      <c r="H15" s="87">
        <f>IF($G15&lt;&gt;"OK","",$D15*INDEX('Lists'!$D$6:$D$30,MATCH($E15,'Lists'!$B$6:$B$30,0))/INDEX('Lists'!$D$6:$D$30,MATCH($F15,'Lists'!$B$6:$B$30,0)))</f>
        <v/>
      </c>
      <c r="I15" s="87">
        <f>IF($G15&lt;&gt;"OK","",INDEX('Inventory'!$G$7:$G$106,MATCH($C15,'Inventory'!$B$7:$B$106,0)))</f>
        <v/>
      </c>
      <c r="J15" s="88">
        <f>IF($G15&lt;&gt;"OK","",$H15*$I15)</f>
        <v/>
      </c>
      <c r="K15" s="82">
        <f>IF($G15&lt;&gt;"OK","",SUMIFS('Sales Log'!$D$7:$D$3006,'Sales Log'!$C$7:$C$3006,$B15,'Sales Log'!$B$7:$B$3006,"&gt;="&amp;cfg_CountDate,'Sales Log'!$N$7:$N$3006,"OK"))</f>
        <v/>
      </c>
      <c r="L15" s="89">
        <f>IF($G15&lt;&gt;"OK","",$H15*$K15)</f>
        <v/>
      </c>
    </row>
    <row r="16" ht="17" customHeight="1">
      <c r="B16" s="60" t="n"/>
      <c r="C16" s="60" t="n"/>
      <c r="D16" s="86" t="n"/>
      <c r="E16" s="60" t="n"/>
      <c r="F16" s="13">
        <f>IF($C16="","",IFERROR(INDEX('Inventory'!$D$7:$D$106,MATCH($C16,'Inventory'!$B$7:$B$106,0))&amp;"","?"))</f>
        <v/>
      </c>
      <c r="G16" s="80">
        <f>IF(AND($B16="",$C16=""),"",IF($B16="","Pick menu item",IF(ISNA(MATCH($B16,'Menu Pricing'!$B$7:$B$56,0)),"Not on Menu Pricing",IF($C16="","Pick ingredient",IF($F16="?","Not in Inventory",IF($F16="","Set stock unit in Inventory",IF(N($D16)&lt;=0,"Enter quantity",IF($E16="","Pick unit",IF(IFERROR(INDEX('Lists'!$C$6:$C$30,MATCH($E16,'Lists'!$B$6:$B$30,0)),"?")&lt;&gt;IFERROR(INDEX('Lists'!$C$6:$C$30,MATCH($F16,'Lists'!$B$6:$B$30,0)),"?"),"Unit mismatch",IF(ISNUMBER(INDEX('Inventory'!$G$7:$G$106,MATCH($C16,'Inventory'!$B$7:$B$106,0))),"OK","Add price in Inventory"))))))))))</f>
        <v/>
      </c>
      <c r="H16" s="87">
        <f>IF($G16&lt;&gt;"OK","",$D16*INDEX('Lists'!$D$6:$D$30,MATCH($E16,'Lists'!$B$6:$B$30,0))/INDEX('Lists'!$D$6:$D$30,MATCH($F16,'Lists'!$B$6:$B$30,0)))</f>
        <v/>
      </c>
      <c r="I16" s="87">
        <f>IF($G16&lt;&gt;"OK","",INDEX('Inventory'!$G$7:$G$106,MATCH($C16,'Inventory'!$B$7:$B$106,0)))</f>
        <v/>
      </c>
      <c r="J16" s="88">
        <f>IF($G16&lt;&gt;"OK","",$H16*$I16)</f>
        <v/>
      </c>
      <c r="K16" s="82">
        <f>IF($G16&lt;&gt;"OK","",SUMIFS('Sales Log'!$D$7:$D$3006,'Sales Log'!$C$7:$C$3006,$B16,'Sales Log'!$B$7:$B$3006,"&gt;="&amp;cfg_CountDate,'Sales Log'!$N$7:$N$3006,"OK"))</f>
        <v/>
      </c>
      <c r="L16" s="89">
        <f>IF($G16&lt;&gt;"OK","",$H16*$K16)</f>
        <v/>
      </c>
    </row>
    <row r="17" ht="17" customHeight="1">
      <c r="B17" s="60" t="n"/>
      <c r="C17" s="60" t="n"/>
      <c r="D17" s="86" t="n"/>
      <c r="E17" s="60" t="n"/>
      <c r="F17" s="13">
        <f>IF($C17="","",IFERROR(INDEX('Inventory'!$D$7:$D$106,MATCH($C17,'Inventory'!$B$7:$B$106,0))&amp;"","?"))</f>
        <v/>
      </c>
      <c r="G17" s="80">
        <f>IF(AND($B17="",$C17=""),"",IF($B17="","Pick menu item",IF(ISNA(MATCH($B17,'Menu Pricing'!$B$7:$B$56,0)),"Not on Menu Pricing",IF($C17="","Pick ingredient",IF($F17="?","Not in Inventory",IF($F17="","Set stock unit in Inventory",IF(N($D17)&lt;=0,"Enter quantity",IF($E17="","Pick unit",IF(IFERROR(INDEX('Lists'!$C$6:$C$30,MATCH($E17,'Lists'!$B$6:$B$30,0)),"?")&lt;&gt;IFERROR(INDEX('Lists'!$C$6:$C$30,MATCH($F17,'Lists'!$B$6:$B$30,0)),"?"),"Unit mismatch",IF(ISNUMBER(INDEX('Inventory'!$G$7:$G$106,MATCH($C17,'Inventory'!$B$7:$B$106,0))),"OK","Add price in Inventory"))))))))))</f>
        <v/>
      </c>
      <c r="H17" s="87">
        <f>IF($G17&lt;&gt;"OK","",$D17*INDEX('Lists'!$D$6:$D$30,MATCH($E17,'Lists'!$B$6:$B$30,0))/INDEX('Lists'!$D$6:$D$30,MATCH($F17,'Lists'!$B$6:$B$30,0)))</f>
        <v/>
      </c>
      <c r="I17" s="87">
        <f>IF($G17&lt;&gt;"OK","",INDEX('Inventory'!$G$7:$G$106,MATCH($C17,'Inventory'!$B$7:$B$106,0)))</f>
        <v/>
      </c>
      <c r="J17" s="88">
        <f>IF($G17&lt;&gt;"OK","",$H17*$I17)</f>
        <v/>
      </c>
      <c r="K17" s="82">
        <f>IF($G17&lt;&gt;"OK","",SUMIFS('Sales Log'!$D$7:$D$3006,'Sales Log'!$C$7:$C$3006,$B17,'Sales Log'!$B$7:$B$3006,"&gt;="&amp;cfg_CountDate,'Sales Log'!$N$7:$N$3006,"OK"))</f>
        <v/>
      </c>
      <c r="L17" s="89">
        <f>IF($G17&lt;&gt;"OK","",$H17*$K17)</f>
        <v/>
      </c>
    </row>
    <row r="18" ht="17" customHeight="1">
      <c r="B18" s="60" t="n"/>
      <c r="C18" s="60" t="n"/>
      <c r="D18" s="86" t="n"/>
      <c r="E18" s="60" t="n"/>
      <c r="F18" s="13">
        <f>IF($C18="","",IFERROR(INDEX('Inventory'!$D$7:$D$106,MATCH($C18,'Inventory'!$B$7:$B$106,0))&amp;"","?"))</f>
        <v/>
      </c>
      <c r="G18" s="80">
        <f>IF(AND($B18="",$C18=""),"",IF($B18="","Pick menu item",IF(ISNA(MATCH($B18,'Menu Pricing'!$B$7:$B$56,0)),"Not on Menu Pricing",IF($C18="","Pick ingredient",IF($F18="?","Not in Inventory",IF($F18="","Set stock unit in Inventory",IF(N($D18)&lt;=0,"Enter quantity",IF($E18="","Pick unit",IF(IFERROR(INDEX('Lists'!$C$6:$C$30,MATCH($E18,'Lists'!$B$6:$B$30,0)),"?")&lt;&gt;IFERROR(INDEX('Lists'!$C$6:$C$30,MATCH($F18,'Lists'!$B$6:$B$30,0)),"?"),"Unit mismatch",IF(ISNUMBER(INDEX('Inventory'!$G$7:$G$106,MATCH($C18,'Inventory'!$B$7:$B$106,0))),"OK","Add price in Inventory"))))))))))</f>
        <v/>
      </c>
      <c r="H18" s="87">
        <f>IF($G18&lt;&gt;"OK","",$D18*INDEX('Lists'!$D$6:$D$30,MATCH($E18,'Lists'!$B$6:$B$30,0))/INDEX('Lists'!$D$6:$D$30,MATCH($F18,'Lists'!$B$6:$B$30,0)))</f>
        <v/>
      </c>
      <c r="I18" s="87">
        <f>IF($G18&lt;&gt;"OK","",INDEX('Inventory'!$G$7:$G$106,MATCH($C18,'Inventory'!$B$7:$B$106,0)))</f>
        <v/>
      </c>
      <c r="J18" s="88">
        <f>IF($G18&lt;&gt;"OK","",$H18*$I18)</f>
        <v/>
      </c>
      <c r="K18" s="82">
        <f>IF($G18&lt;&gt;"OK","",SUMIFS('Sales Log'!$D$7:$D$3006,'Sales Log'!$C$7:$C$3006,$B18,'Sales Log'!$B$7:$B$3006,"&gt;="&amp;cfg_CountDate,'Sales Log'!$N$7:$N$3006,"OK"))</f>
        <v/>
      </c>
      <c r="L18" s="89">
        <f>IF($G18&lt;&gt;"OK","",$H18*$K18)</f>
        <v/>
      </c>
    </row>
    <row r="19" ht="17" customHeight="1">
      <c r="B19" s="60" t="n"/>
      <c r="C19" s="60" t="n"/>
      <c r="D19" s="86" t="n"/>
      <c r="E19" s="60" t="n"/>
      <c r="F19" s="13">
        <f>IF($C19="","",IFERROR(INDEX('Inventory'!$D$7:$D$106,MATCH($C19,'Inventory'!$B$7:$B$106,0))&amp;"","?"))</f>
        <v/>
      </c>
      <c r="G19" s="80">
        <f>IF(AND($B19="",$C19=""),"",IF($B19="","Pick menu item",IF(ISNA(MATCH($B19,'Menu Pricing'!$B$7:$B$56,0)),"Not on Menu Pricing",IF($C19="","Pick ingredient",IF($F19="?","Not in Inventory",IF($F19="","Set stock unit in Inventory",IF(N($D19)&lt;=0,"Enter quantity",IF($E19="","Pick unit",IF(IFERROR(INDEX('Lists'!$C$6:$C$30,MATCH($E19,'Lists'!$B$6:$B$30,0)),"?")&lt;&gt;IFERROR(INDEX('Lists'!$C$6:$C$30,MATCH($F19,'Lists'!$B$6:$B$30,0)),"?"),"Unit mismatch",IF(ISNUMBER(INDEX('Inventory'!$G$7:$G$106,MATCH($C19,'Inventory'!$B$7:$B$106,0))),"OK","Add price in Inventory"))))))))))</f>
        <v/>
      </c>
      <c r="H19" s="87">
        <f>IF($G19&lt;&gt;"OK","",$D19*INDEX('Lists'!$D$6:$D$30,MATCH($E19,'Lists'!$B$6:$B$30,0))/INDEX('Lists'!$D$6:$D$30,MATCH($F19,'Lists'!$B$6:$B$30,0)))</f>
        <v/>
      </c>
      <c r="I19" s="87">
        <f>IF($G19&lt;&gt;"OK","",INDEX('Inventory'!$G$7:$G$106,MATCH($C19,'Inventory'!$B$7:$B$106,0)))</f>
        <v/>
      </c>
      <c r="J19" s="88">
        <f>IF($G19&lt;&gt;"OK","",$H19*$I19)</f>
        <v/>
      </c>
      <c r="K19" s="82">
        <f>IF($G19&lt;&gt;"OK","",SUMIFS('Sales Log'!$D$7:$D$3006,'Sales Log'!$C$7:$C$3006,$B19,'Sales Log'!$B$7:$B$3006,"&gt;="&amp;cfg_CountDate,'Sales Log'!$N$7:$N$3006,"OK"))</f>
        <v/>
      </c>
      <c r="L19" s="89">
        <f>IF($G19&lt;&gt;"OK","",$H19*$K19)</f>
        <v/>
      </c>
    </row>
    <row r="20" ht="17" customHeight="1">
      <c r="B20" s="60" t="n"/>
      <c r="C20" s="60" t="n"/>
      <c r="D20" s="86" t="n"/>
      <c r="E20" s="60" t="n"/>
      <c r="F20" s="13">
        <f>IF($C20="","",IFERROR(INDEX('Inventory'!$D$7:$D$106,MATCH($C20,'Inventory'!$B$7:$B$106,0))&amp;"","?"))</f>
        <v/>
      </c>
      <c r="G20" s="80">
        <f>IF(AND($B20="",$C20=""),"",IF($B20="","Pick menu item",IF(ISNA(MATCH($B20,'Menu Pricing'!$B$7:$B$56,0)),"Not on Menu Pricing",IF($C20="","Pick ingredient",IF($F20="?","Not in Inventory",IF($F20="","Set stock unit in Inventory",IF(N($D20)&lt;=0,"Enter quantity",IF($E20="","Pick unit",IF(IFERROR(INDEX('Lists'!$C$6:$C$30,MATCH($E20,'Lists'!$B$6:$B$30,0)),"?")&lt;&gt;IFERROR(INDEX('Lists'!$C$6:$C$30,MATCH($F20,'Lists'!$B$6:$B$30,0)),"?"),"Unit mismatch",IF(ISNUMBER(INDEX('Inventory'!$G$7:$G$106,MATCH($C20,'Inventory'!$B$7:$B$106,0))),"OK","Add price in Inventory"))))))))))</f>
        <v/>
      </c>
      <c r="H20" s="87">
        <f>IF($G20&lt;&gt;"OK","",$D20*INDEX('Lists'!$D$6:$D$30,MATCH($E20,'Lists'!$B$6:$B$30,0))/INDEX('Lists'!$D$6:$D$30,MATCH($F20,'Lists'!$B$6:$B$30,0)))</f>
        <v/>
      </c>
      <c r="I20" s="87">
        <f>IF($G20&lt;&gt;"OK","",INDEX('Inventory'!$G$7:$G$106,MATCH($C20,'Inventory'!$B$7:$B$106,0)))</f>
        <v/>
      </c>
      <c r="J20" s="88">
        <f>IF($G20&lt;&gt;"OK","",$H20*$I20)</f>
        <v/>
      </c>
      <c r="K20" s="82">
        <f>IF($G20&lt;&gt;"OK","",SUMIFS('Sales Log'!$D$7:$D$3006,'Sales Log'!$C$7:$C$3006,$B20,'Sales Log'!$B$7:$B$3006,"&gt;="&amp;cfg_CountDate,'Sales Log'!$N$7:$N$3006,"OK"))</f>
        <v/>
      </c>
      <c r="L20" s="89">
        <f>IF($G20&lt;&gt;"OK","",$H20*$K20)</f>
        <v/>
      </c>
    </row>
    <row r="21" ht="17" customHeight="1">
      <c r="B21" s="60" t="n"/>
      <c r="C21" s="60" t="n"/>
      <c r="D21" s="86" t="n"/>
      <c r="E21" s="60" t="n"/>
      <c r="F21" s="13">
        <f>IF($C21="","",IFERROR(INDEX('Inventory'!$D$7:$D$106,MATCH($C21,'Inventory'!$B$7:$B$106,0))&amp;"","?"))</f>
        <v/>
      </c>
      <c r="G21" s="80">
        <f>IF(AND($B21="",$C21=""),"",IF($B21="","Pick menu item",IF(ISNA(MATCH($B21,'Menu Pricing'!$B$7:$B$56,0)),"Not on Menu Pricing",IF($C21="","Pick ingredient",IF($F21="?","Not in Inventory",IF($F21="","Set stock unit in Inventory",IF(N($D21)&lt;=0,"Enter quantity",IF($E21="","Pick unit",IF(IFERROR(INDEX('Lists'!$C$6:$C$30,MATCH($E21,'Lists'!$B$6:$B$30,0)),"?")&lt;&gt;IFERROR(INDEX('Lists'!$C$6:$C$30,MATCH($F21,'Lists'!$B$6:$B$30,0)),"?"),"Unit mismatch",IF(ISNUMBER(INDEX('Inventory'!$G$7:$G$106,MATCH($C21,'Inventory'!$B$7:$B$106,0))),"OK","Add price in Inventory"))))))))))</f>
        <v/>
      </c>
      <c r="H21" s="87">
        <f>IF($G21&lt;&gt;"OK","",$D21*INDEX('Lists'!$D$6:$D$30,MATCH($E21,'Lists'!$B$6:$B$30,0))/INDEX('Lists'!$D$6:$D$30,MATCH($F21,'Lists'!$B$6:$B$30,0)))</f>
        <v/>
      </c>
      <c r="I21" s="87">
        <f>IF($G21&lt;&gt;"OK","",INDEX('Inventory'!$G$7:$G$106,MATCH($C21,'Inventory'!$B$7:$B$106,0)))</f>
        <v/>
      </c>
      <c r="J21" s="88">
        <f>IF($G21&lt;&gt;"OK","",$H21*$I21)</f>
        <v/>
      </c>
      <c r="K21" s="82">
        <f>IF($G21&lt;&gt;"OK","",SUMIFS('Sales Log'!$D$7:$D$3006,'Sales Log'!$C$7:$C$3006,$B21,'Sales Log'!$B$7:$B$3006,"&gt;="&amp;cfg_CountDate,'Sales Log'!$N$7:$N$3006,"OK"))</f>
        <v/>
      </c>
      <c r="L21" s="89">
        <f>IF($G21&lt;&gt;"OK","",$H21*$K21)</f>
        <v/>
      </c>
    </row>
    <row r="22" ht="17" customHeight="1">
      <c r="B22" s="60" t="n"/>
      <c r="C22" s="60" t="n"/>
      <c r="D22" s="86" t="n"/>
      <c r="E22" s="60" t="n"/>
      <c r="F22" s="13">
        <f>IF($C22="","",IFERROR(INDEX('Inventory'!$D$7:$D$106,MATCH($C22,'Inventory'!$B$7:$B$106,0))&amp;"","?"))</f>
        <v/>
      </c>
      <c r="G22" s="80">
        <f>IF(AND($B22="",$C22=""),"",IF($B22="","Pick menu item",IF(ISNA(MATCH($B22,'Menu Pricing'!$B$7:$B$56,0)),"Not on Menu Pricing",IF($C22="","Pick ingredient",IF($F22="?","Not in Inventory",IF($F22="","Set stock unit in Inventory",IF(N($D22)&lt;=0,"Enter quantity",IF($E22="","Pick unit",IF(IFERROR(INDEX('Lists'!$C$6:$C$30,MATCH($E22,'Lists'!$B$6:$B$30,0)),"?")&lt;&gt;IFERROR(INDEX('Lists'!$C$6:$C$30,MATCH($F22,'Lists'!$B$6:$B$30,0)),"?"),"Unit mismatch",IF(ISNUMBER(INDEX('Inventory'!$G$7:$G$106,MATCH($C22,'Inventory'!$B$7:$B$106,0))),"OK","Add price in Inventory"))))))))))</f>
        <v/>
      </c>
      <c r="H22" s="87">
        <f>IF($G22&lt;&gt;"OK","",$D22*INDEX('Lists'!$D$6:$D$30,MATCH($E22,'Lists'!$B$6:$B$30,0))/INDEX('Lists'!$D$6:$D$30,MATCH($F22,'Lists'!$B$6:$B$30,0)))</f>
        <v/>
      </c>
      <c r="I22" s="87">
        <f>IF($G22&lt;&gt;"OK","",INDEX('Inventory'!$G$7:$G$106,MATCH($C22,'Inventory'!$B$7:$B$106,0)))</f>
        <v/>
      </c>
      <c r="J22" s="88">
        <f>IF($G22&lt;&gt;"OK","",$H22*$I22)</f>
        <v/>
      </c>
      <c r="K22" s="82">
        <f>IF($G22&lt;&gt;"OK","",SUMIFS('Sales Log'!$D$7:$D$3006,'Sales Log'!$C$7:$C$3006,$B22,'Sales Log'!$B$7:$B$3006,"&gt;="&amp;cfg_CountDate,'Sales Log'!$N$7:$N$3006,"OK"))</f>
        <v/>
      </c>
      <c r="L22" s="89">
        <f>IF($G22&lt;&gt;"OK","",$H22*$K22)</f>
        <v/>
      </c>
    </row>
    <row r="23" ht="17" customHeight="1">
      <c r="B23" s="60" t="n"/>
      <c r="C23" s="60" t="n"/>
      <c r="D23" s="86" t="n"/>
      <c r="E23" s="60" t="n"/>
      <c r="F23" s="13">
        <f>IF($C23="","",IFERROR(INDEX('Inventory'!$D$7:$D$106,MATCH($C23,'Inventory'!$B$7:$B$106,0))&amp;"","?"))</f>
        <v/>
      </c>
      <c r="G23" s="80">
        <f>IF(AND($B23="",$C23=""),"",IF($B23="","Pick menu item",IF(ISNA(MATCH($B23,'Menu Pricing'!$B$7:$B$56,0)),"Not on Menu Pricing",IF($C23="","Pick ingredient",IF($F23="?","Not in Inventory",IF($F23="","Set stock unit in Inventory",IF(N($D23)&lt;=0,"Enter quantity",IF($E23="","Pick unit",IF(IFERROR(INDEX('Lists'!$C$6:$C$30,MATCH($E23,'Lists'!$B$6:$B$30,0)),"?")&lt;&gt;IFERROR(INDEX('Lists'!$C$6:$C$30,MATCH($F23,'Lists'!$B$6:$B$30,0)),"?"),"Unit mismatch",IF(ISNUMBER(INDEX('Inventory'!$G$7:$G$106,MATCH($C23,'Inventory'!$B$7:$B$106,0))),"OK","Add price in Inventory"))))))))))</f>
        <v/>
      </c>
      <c r="H23" s="87">
        <f>IF($G23&lt;&gt;"OK","",$D23*INDEX('Lists'!$D$6:$D$30,MATCH($E23,'Lists'!$B$6:$B$30,0))/INDEX('Lists'!$D$6:$D$30,MATCH($F23,'Lists'!$B$6:$B$30,0)))</f>
        <v/>
      </c>
      <c r="I23" s="87">
        <f>IF($G23&lt;&gt;"OK","",INDEX('Inventory'!$G$7:$G$106,MATCH($C23,'Inventory'!$B$7:$B$106,0)))</f>
        <v/>
      </c>
      <c r="J23" s="88">
        <f>IF($G23&lt;&gt;"OK","",$H23*$I23)</f>
        <v/>
      </c>
      <c r="K23" s="82">
        <f>IF($G23&lt;&gt;"OK","",SUMIFS('Sales Log'!$D$7:$D$3006,'Sales Log'!$C$7:$C$3006,$B23,'Sales Log'!$B$7:$B$3006,"&gt;="&amp;cfg_CountDate,'Sales Log'!$N$7:$N$3006,"OK"))</f>
        <v/>
      </c>
      <c r="L23" s="89">
        <f>IF($G23&lt;&gt;"OK","",$H23*$K23)</f>
        <v/>
      </c>
    </row>
    <row r="24" ht="17" customHeight="1">
      <c r="B24" s="60" t="n"/>
      <c r="C24" s="60" t="n"/>
      <c r="D24" s="86" t="n"/>
      <c r="E24" s="60" t="n"/>
      <c r="F24" s="13">
        <f>IF($C24="","",IFERROR(INDEX('Inventory'!$D$7:$D$106,MATCH($C24,'Inventory'!$B$7:$B$106,0))&amp;"","?"))</f>
        <v/>
      </c>
      <c r="G24" s="80">
        <f>IF(AND($B24="",$C24=""),"",IF($B24="","Pick menu item",IF(ISNA(MATCH($B24,'Menu Pricing'!$B$7:$B$56,0)),"Not on Menu Pricing",IF($C24="","Pick ingredient",IF($F24="?","Not in Inventory",IF($F24="","Set stock unit in Inventory",IF(N($D24)&lt;=0,"Enter quantity",IF($E24="","Pick unit",IF(IFERROR(INDEX('Lists'!$C$6:$C$30,MATCH($E24,'Lists'!$B$6:$B$30,0)),"?")&lt;&gt;IFERROR(INDEX('Lists'!$C$6:$C$30,MATCH($F24,'Lists'!$B$6:$B$30,0)),"?"),"Unit mismatch",IF(ISNUMBER(INDEX('Inventory'!$G$7:$G$106,MATCH($C24,'Inventory'!$B$7:$B$106,0))),"OK","Add price in Inventory"))))))))))</f>
        <v/>
      </c>
      <c r="H24" s="87">
        <f>IF($G24&lt;&gt;"OK","",$D24*INDEX('Lists'!$D$6:$D$30,MATCH($E24,'Lists'!$B$6:$B$30,0))/INDEX('Lists'!$D$6:$D$30,MATCH($F24,'Lists'!$B$6:$B$30,0)))</f>
        <v/>
      </c>
      <c r="I24" s="87">
        <f>IF($G24&lt;&gt;"OK","",INDEX('Inventory'!$G$7:$G$106,MATCH($C24,'Inventory'!$B$7:$B$106,0)))</f>
        <v/>
      </c>
      <c r="J24" s="88">
        <f>IF($G24&lt;&gt;"OK","",$H24*$I24)</f>
        <v/>
      </c>
      <c r="K24" s="82">
        <f>IF($G24&lt;&gt;"OK","",SUMIFS('Sales Log'!$D$7:$D$3006,'Sales Log'!$C$7:$C$3006,$B24,'Sales Log'!$B$7:$B$3006,"&gt;="&amp;cfg_CountDate,'Sales Log'!$N$7:$N$3006,"OK"))</f>
        <v/>
      </c>
      <c r="L24" s="89">
        <f>IF($G24&lt;&gt;"OK","",$H24*$K24)</f>
        <v/>
      </c>
    </row>
    <row r="25" ht="17" customHeight="1">
      <c r="B25" s="60" t="n"/>
      <c r="C25" s="60" t="n"/>
      <c r="D25" s="86" t="n"/>
      <c r="E25" s="60" t="n"/>
      <c r="F25" s="13">
        <f>IF($C25="","",IFERROR(INDEX('Inventory'!$D$7:$D$106,MATCH($C25,'Inventory'!$B$7:$B$106,0))&amp;"","?"))</f>
        <v/>
      </c>
      <c r="G25" s="80">
        <f>IF(AND($B25="",$C25=""),"",IF($B25="","Pick menu item",IF(ISNA(MATCH($B25,'Menu Pricing'!$B$7:$B$56,0)),"Not on Menu Pricing",IF($C25="","Pick ingredient",IF($F25="?","Not in Inventory",IF($F25="","Set stock unit in Inventory",IF(N($D25)&lt;=0,"Enter quantity",IF($E25="","Pick unit",IF(IFERROR(INDEX('Lists'!$C$6:$C$30,MATCH($E25,'Lists'!$B$6:$B$30,0)),"?")&lt;&gt;IFERROR(INDEX('Lists'!$C$6:$C$30,MATCH($F25,'Lists'!$B$6:$B$30,0)),"?"),"Unit mismatch",IF(ISNUMBER(INDEX('Inventory'!$G$7:$G$106,MATCH($C25,'Inventory'!$B$7:$B$106,0))),"OK","Add price in Inventory"))))))))))</f>
        <v/>
      </c>
      <c r="H25" s="87">
        <f>IF($G25&lt;&gt;"OK","",$D25*INDEX('Lists'!$D$6:$D$30,MATCH($E25,'Lists'!$B$6:$B$30,0))/INDEX('Lists'!$D$6:$D$30,MATCH($F25,'Lists'!$B$6:$B$30,0)))</f>
        <v/>
      </c>
      <c r="I25" s="87">
        <f>IF($G25&lt;&gt;"OK","",INDEX('Inventory'!$G$7:$G$106,MATCH($C25,'Inventory'!$B$7:$B$106,0)))</f>
        <v/>
      </c>
      <c r="J25" s="88">
        <f>IF($G25&lt;&gt;"OK","",$H25*$I25)</f>
        <v/>
      </c>
      <c r="K25" s="82">
        <f>IF($G25&lt;&gt;"OK","",SUMIFS('Sales Log'!$D$7:$D$3006,'Sales Log'!$C$7:$C$3006,$B25,'Sales Log'!$B$7:$B$3006,"&gt;="&amp;cfg_CountDate,'Sales Log'!$N$7:$N$3006,"OK"))</f>
        <v/>
      </c>
      <c r="L25" s="89">
        <f>IF($G25&lt;&gt;"OK","",$H25*$K25)</f>
        <v/>
      </c>
    </row>
    <row r="26" ht="17" customHeight="1">
      <c r="B26" s="60" t="n"/>
      <c r="C26" s="60" t="n"/>
      <c r="D26" s="86" t="n"/>
      <c r="E26" s="60" t="n"/>
      <c r="F26" s="13">
        <f>IF($C26="","",IFERROR(INDEX('Inventory'!$D$7:$D$106,MATCH($C26,'Inventory'!$B$7:$B$106,0))&amp;"","?"))</f>
        <v/>
      </c>
      <c r="G26" s="80">
        <f>IF(AND($B26="",$C26=""),"",IF($B26="","Pick menu item",IF(ISNA(MATCH($B26,'Menu Pricing'!$B$7:$B$56,0)),"Not on Menu Pricing",IF($C26="","Pick ingredient",IF($F26="?","Not in Inventory",IF($F26="","Set stock unit in Inventory",IF(N($D26)&lt;=0,"Enter quantity",IF($E26="","Pick unit",IF(IFERROR(INDEX('Lists'!$C$6:$C$30,MATCH($E26,'Lists'!$B$6:$B$30,0)),"?")&lt;&gt;IFERROR(INDEX('Lists'!$C$6:$C$30,MATCH($F26,'Lists'!$B$6:$B$30,0)),"?"),"Unit mismatch",IF(ISNUMBER(INDEX('Inventory'!$G$7:$G$106,MATCH($C26,'Inventory'!$B$7:$B$106,0))),"OK","Add price in Inventory"))))))))))</f>
        <v/>
      </c>
      <c r="H26" s="87">
        <f>IF($G26&lt;&gt;"OK","",$D26*INDEX('Lists'!$D$6:$D$30,MATCH($E26,'Lists'!$B$6:$B$30,0))/INDEX('Lists'!$D$6:$D$30,MATCH($F26,'Lists'!$B$6:$B$30,0)))</f>
        <v/>
      </c>
      <c r="I26" s="87">
        <f>IF($G26&lt;&gt;"OK","",INDEX('Inventory'!$G$7:$G$106,MATCH($C26,'Inventory'!$B$7:$B$106,0)))</f>
        <v/>
      </c>
      <c r="J26" s="88">
        <f>IF($G26&lt;&gt;"OK","",$H26*$I26)</f>
        <v/>
      </c>
      <c r="K26" s="82">
        <f>IF($G26&lt;&gt;"OK","",SUMIFS('Sales Log'!$D$7:$D$3006,'Sales Log'!$C$7:$C$3006,$B26,'Sales Log'!$B$7:$B$3006,"&gt;="&amp;cfg_CountDate,'Sales Log'!$N$7:$N$3006,"OK"))</f>
        <v/>
      </c>
      <c r="L26" s="89">
        <f>IF($G26&lt;&gt;"OK","",$H26*$K26)</f>
        <v/>
      </c>
    </row>
    <row r="27" ht="17" customHeight="1">
      <c r="B27" s="60" t="n"/>
      <c r="C27" s="60" t="n"/>
      <c r="D27" s="86" t="n"/>
      <c r="E27" s="60" t="n"/>
      <c r="F27" s="13">
        <f>IF($C27="","",IFERROR(INDEX('Inventory'!$D$7:$D$106,MATCH($C27,'Inventory'!$B$7:$B$106,0))&amp;"","?"))</f>
        <v/>
      </c>
      <c r="G27" s="80">
        <f>IF(AND($B27="",$C27=""),"",IF($B27="","Pick menu item",IF(ISNA(MATCH($B27,'Menu Pricing'!$B$7:$B$56,0)),"Not on Menu Pricing",IF($C27="","Pick ingredient",IF($F27="?","Not in Inventory",IF($F27="","Set stock unit in Inventory",IF(N($D27)&lt;=0,"Enter quantity",IF($E27="","Pick unit",IF(IFERROR(INDEX('Lists'!$C$6:$C$30,MATCH($E27,'Lists'!$B$6:$B$30,0)),"?")&lt;&gt;IFERROR(INDEX('Lists'!$C$6:$C$30,MATCH($F27,'Lists'!$B$6:$B$30,0)),"?"),"Unit mismatch",IF(ISNUMBER(INDEX('Inventory'!$G$7:$G$106,MATCH($C27,'Inventory'!$B$7:$B$106,0))),"OK","Add price in Inventory"))))))))))</f>
        <v/>
      </c>
      <c r="H27" s="87">
        <f>IF($G27&lt;&gt;"OK","",$D27*INDEX('Lists'!$D$6:$D$30,MATCH($E27,'Lists'!$B$6:$B$30,0))/INDEX('Lists'!$D$6:$D$30,MATCH($F27,'Lists'!$B$6:$B$30,0)))</f>
        <v/>
      </c>
      <c r="I27" s="87">
        <f>IF($G27&lt;&gt;"OK","",INDEX('Inventory'!$G$7:$G$106,MATCH($C27,'Inventory'!$B$7:$B$106,0)))</f>
        <v/>
      </c>
      <c r="J27" s="88">
        <f>IF($G27&lt;&gt;"OK","",$H27*$I27)</f>
        <v/>
      </c>
      <c r="K27" s="82">
        <f>IF($G27&lt;&gt;"OK","",SUMIFS('Sales Log'!$D$7:$D$3006,'Sales Log'!$C$7:$C$3006,$B27,'Sales Log'!$B$7:$B$3006,"&gt;="&amp;cfg_CountDate,'Sales Log'!$N$7:$N$3006,"OK"))</f>
        <v/>
      </c>
      <c r="L27" s="89">
        <f>IF($G27&lt;&gt;"OK","",$H27*$K27)</f>
        <v/>
      </c>
    </row>
    <row r="28" ht="17" customHeight="1">
      <c r="B28" s="60" t="n"/>
      <c r="C28" s="60" t="n"/>
      <c r="D28" s="86" t="n"/>
      <c r="E28" s="60" t="n"/>
      <c r="F28" s="13">
        <f>IF($C28="","",IFERROR(INDEX('Inventory'!$D$7:$D$106,MATCH($C28,'Inventory'!$B$7:$B$106,0))&amp;"","?"))</f>
        <v/>
      </c>
      <c r="G28" s="80">
        <f>IF(AND($B28="",$C28=""),"",IF($B28="","Pick menu item",IF(ISNA(MATCH($B28,'Menu Pricing'!$B$7:$B$56,0)),"Not on Menu Pricing",IF($C28="","Pick ingredient",IF($F28="?","Not in Inventory",IF($F28="","Set stock unit in Inventory",IF(N($D28)&lt;=0,"Enter quantity",IF($E28="","Pick unit",IF(IFERROR(INDEX('Lists'!$C$6:$C$30,MATCH($E28,'Lists'!$B$6:$B$30,0)),"?")&lt;&gt;IFERROR(INDEX('Lists'!$C$6:$C$30,MATCH($F28,'Lists'!$B$6:$B$30,0)),"?"),"Unit mismatch",IF(ISNUMBER(INDEX('Inventory'!$G$7:$G$106,MATCH($C28,'Inventory'!$B$7:$B$106,0))),"OK","Add price in Inventory"))))))))))</f>
        <v/>
      </c>
      <c r="H28" s="87">
        <f>IF($G28&lt;&gt;"OK","",$D28*INDEX('Lists'!$D$6:$D$30,MATCH($E28,'Lists'!$B$6:$B$30,0))/INDEX('Lists'!$D$6:$D$30,MATCH($F28,'Lists'!$B$6:$B$30,0)))</f>
        <v/>
      </c>
      <c r="I28" s="87">
        <f>IF($G28&lt;&gt;"OK","",INDEX('Inventory'!$G$7:$G$106,MATCH($C28,'Inventory'!$B$7:$B$106,0)))</f>
        <v/>
      </c>
      <c r="J28" s="88">
        <f>IF($G28&lt;&gt;"OK","",$H28*$I28)</f>
        <v/>
      </c>
      <c r="K28" s="82">
        <f>IF($G28&lt;&gt;"OK","",SUMIFS('Sales Log'!$D$7:$D$3006,'Sales Log'!$C$7:$C$3006,$B28,'Sales Log'!$B$7:$B$3006,"&gt;="&amp;cfg_CountDate,'Sales Log'!$N$7:$N$3006,"OK"))</f>
        <v/>
      </c>
      <c r="L28" s="89">
        <f>IF($G28&lt;&gt;"OK","",$H28*$K28)</f>
        <v/>
      </c>
    </row>
    <row r="29" ht="17" customHeight="1">
      <c r="B29" s="60" t="n"/>
      <c r="C29" s="60" t="n"/>
      <c r="D29" s="86" t="n"/>
      <c r="E29" s="60" t="n"/>
      <c r="F29" s="13">
        <f>IF($C29="","",IFERROR(INDEX('Inventory'!$D$7:$D$106,MATCH($C29,'Inventory'!$B$7:$B$106,0))&amp;"","?"))</f>
        <v/>
      </c>
      <c r="G29" s="80">
        <f>IF(AND($B29="",$C29=""),"",IF($B29="","Pick menu item",IF(ISNA(MATCH($B29,'Menu Pricing'!$B$7:$B$56,0)),"Not on Menu Pricing",IF($C29="","Pick ingredient",IF($F29="?","Not in Inventory",IF($F29="","Set stock unit in Inventory",IF(N($D29)&lt;=0,"Enter quantity",IF($E29="","Pick unit",IF(IFERROR(INDEX('Lists'!$C$6:$C$30,MATCH($E29,'Lists'!$B$6:$B$30,0)),"?")&lt;&gt;IFERROR(INDEX('Lists'!$C$6:$C$30,MATCH($F29,'Lists'!$B$6:$B$30,0)),"?"),"Unit mismatch",IF(ISNUMBER(INDEX('Inventory'!$G$7:$G$106,MATCH($C29,'Inventory'!$B$7:$B$106,0))),"OK","Add price in Inventory"))))))))))</f>
        <v/>
      </c>
      <c r="H29" s="87">
        <f>IF($G29&lt;&gt;"OK","",$D29*INDEX('Lists'!$D$6:$D$30,MATCH($E29,'Lists'!$B$6:$B$30,0))/INDEX('Lists'!$D$6:$D$30,MATCH($F29,'Lists'!$B$6:$B$30,0)))</f>
        <v/>
      </c>
      <c r="I29" s="87">
        <f>IF($G29&lt;&gt;"OK","",INDEX('Inventory'!$G$7:$G$106,MATCH($C29,'Inventory'!$B$7:$B$106,0)))</f>
        <v/>
      </c>
      <c r="J29" s="88">
        <f>IF($G29&lt;&gt;"OK","",$H29*$I29)</f>
        <v/>
      </c>
      <c r="K29" s="82">
        <f>IF($G29&lt;&gt;"OK","",SUMIFS('Sales Log'!$D$7:$D$3006,'Sales Log'!$C$7:$C$3006,$B29,'Sales Log'!$B$7:$B$3006,"&gt;="&amp;cfg_CountDate,'Sales Log'!$N$7:$N$3006,"OK"))</f>
        <v/>
      </c>
      <c r="L29" s="89">
        <f>IF($G29&lt;&gt;"OK","",$H29*$K29)</f>
        <v/>
      </c>
    </row>
    <row r="30" ht="17" customHeight="1">
      <c r="B30" s="60" t="n"/>
      <c r="C30" s="60" t="n"/>
      <c r="D30" s="86" t="n"/>
      <c r="E30" s="60" t="n"/>
      <c r="F30" s="13">
        <f>IF($C30="","",IFERROR(INDEX('Inventory'!$D$7:$D$106,MATCH($C30,'Inventory'!$B$7:$B$106,0))&amp;"","?"))</f>
        <v/>
      </c>
      <c r="G30" s="80">
        <f>IF(AND($B30="",$C30=""),"",IF($B30="","Pick menu item",IF(ISNA(MATCH($B30,'Menu Pricing'!$B$7:$B$56,0)),"Not on Menu Pricing",IF($C30="","Pick ingredient",IF($F30="?","Not in Inventory",IF($F30="","Set stock unit in Inventory",IF(N($D30)&lt;=0,"Enter quantity",IF($E30="","Pick unit",IF(IFERROR(INDEX('Lists'!$C$6:$C$30,MATCH($E30,'Lists'!$B$6:$B$30,0)),"?")&lt;&gt;IFERROR(INDEX('Lists'!$C$6:$C$30,MATCH($F30,'Lists'!$B$6:$B$30,0)),"?"),"Unit mismatch",IF(ISNUMBER(INDEX('Inventory'!$G$7:$G$106,MATCH($C30,'Inventory'!$B$7:$B$106,0))),"OK","Add price in Inventory"))))))))))</f>
        <v/>
      </c>
      <c r="H30" s="87">
        <f>IF($G30&lt;&gt;"OK","",$D30*INDEX('Lists'!$D$6:$D$30,MATCH($E30,'Lists'!$B$6:$B$30,0))/INDEX('Lists'!$D$6:$D$30,MATCH($F30,'Lists'!$B$6:$B$30,0)))</f>
        <v/>
      </c>
      <c r="I30" s="87">
        <f>IF($G30&lt;&gt;"OK","",INDEX('Inventory'!$G$7:$G$106,MATCH($C30,'Inventory'!$B$7:$B$106,0)))</f>
        <v/>
      </c>
      <c r="J30" s="88">
        <f>IF($G30&lt;&gt;"OK","",$H30*$I30)</f>
        <v/>
      </c>
      <c r="K30" s="82">
        <f>IF($G30&lt;&gt;"OK","",SUMIFS('Sales Log'!$D$7:$D$3006,'Sales Log'!$C$7:$C$3006,$B30,'Sales Log'!$B$7:$B$3006,"&gt;="&amp;cfg_CountDate,'Sales Log'!$N$7:$N$3006,"OK"))</f>
        <v/>
      </c>
      <c r="L30" s="89">
        <f>IF($G30&lt;&gt;"OK","",$H30*$K30)</f>
        <v/>
      </c>
    </row>
    <row r="31" ht="17" customHeight="1">
      <c r="B31" s="60" t="n"/>
      <c r="C31" s="60" t="n"/>
      <c r="D31" s="86" t="n"/>
      <c r="E31" s="60" t="n"/>
      <c r="F31" s="13">
        <f>IF($C31="","",IFERROR(INDEX('Inventory'!$D$7:$D$106,MATCH($C31,'Inventory'!$B$7:$B$106,0))&amp;"","?"))</f>
        <v/>
      </c>
      <c r="G31" s="80">
        <f>IF(AND($B31="",$C31=""),"",IF($B31="","Pick menu item",IF(ISNA(MATCH($B31,'Menu Pricing'!$B$7:$B$56,0)),"Not on Menu Pricing",IF($C31="","Pick ingredient",IF($F31="?","Not in Inventory",IF($F31="","Set stock unit in Inventory",IF(N($D31)&lt;=0,"Enter quantity",IF($E31="","Pick unit",IF(IFERROR(INDEX('Lists'!$C$6:$C$30,MATCH($E31,'Lists'!$B$6:$B$30,0)),"?")&lt;&gt;IFERROR(INDEX('Lists'!$C$6:$C$30,MATCH($F31,'Lists'!$B$6:$B$30,0)),"?"),"Unit mismatch",IF(ISNUMBER(INDEX('Inventory'!$G$7:$G$106,MATCH($C31,'Inventory'!$B$7:$B$106,0))),"OK","Add price in Inventory"))))))))))</f>
        <v/>
      </c>
      <c r="H31" s="87">
        <f>IF($G31&lt;&gt;"OK","",$D31*INDEX('Lists'!$D$6:$D$30,MATCH($E31,'Lists'!$B$6:$B$30,0))/INDEX('Lists'!$D$6:$D$30,MATCH($F31,'Lists'!$B$6:$B$30,0)))</f>
        <v/>
      </c>
      <c r="I31" s="87">
        <f>IF($G31&lt;&gt;"OK","",INDEX('Inventory'!$G$7:$G$106,MATCH($C31,'Inventory'!$B$7:$B$106,0)))</f>
        <v/>
      </c>
      <c r="J31" s="88">
        <f>IF($G31&lt;&gt;"OK","",$H31*$I31)</f>
        <v/>
      </c>
      <c r="K31" s="82">
        <f>IF($G31&lt;&gt;"OK","",SUMIFS('Sales Log'!$D$7:$D$3006,'Sales Log'!$C$7:$C$3006,$B31,'Sales Log'!$B$7:$B$3006,"&gt;="&amp;cfg_CountDate,'Sales Log'!$N$7:$N$3006,"OK"))</f>
        <v/>
      </c>
      <c r="L31" s="89">
        <f>IF($G31&lt;&gt;"OK","",$H31*$K31)</f>
        <v/>
      </c>
    </row>
    <row r="32" ht="17" customHeight="1">
      <c r="B32" s="60" t="n"/>
      <c r="C32" s="60" t="n"/>
      <c r="D32" s="86" t="n"/>
      <c r="E32" s="60" t="n"/>
      <c r="F32" s="13">
        <f>IF($C32="","",IFERROR(INDEX('Inventory'!$D$7:$D$106,MATCH($C32,'Inventory'!$B$7:$B$106,0))&amp;"","?"))</f>
        <v/>
      </c>
      <c r="G32" s="80">
        <f>IF(AND($B32="",$C32=""),"",IF($B32="","Pick menu item",IF(ISNA(MATCH($B32,'Menu Pricing'!$B$7:$B$56,0)),"Not on Menu Pricing",IF($C32="","Pick ingredient",IF($F32="?","Not in Inventory",IF($F32="","Set stock unit in Inventory",IF(N($D32)&lt;=0,"Enter quantity",IF($E32="","Pick unit",IF(IFERROR(INDEX('Lists'!$C$6:$C$30,MATCH($E32,'Lists'!$B$6:$B$30,0)),"?")&lt;&gt;IFERROR(INDEX('Lists'!$C$6:$C$30,MATCH($F32,'Lists'!$B$6:$B$30,0)),"?"),"Unit mismatch",IF(ISNUMBER(INDEX('Inventory'!$G$7:$G$106,MATCH($C32,'Inventory'!$B$7:$B$106,0))),"OK","Add price in Inventory"))))))))))</f>
        <v/>
      </c>
      <c r="H32" s="87">
        <f>IF($G32&lt;&gt;"OK","",$D32*INDEX('Lists'!$D$6:$D$30,MATCH($E32,'Lists'!$B$6:$B$30,0))/INDEX('Lists'!$D$6:$D$30,MATCH($F32,'Lists'!$B$6:$B$30,0)))</f>
        <v/>
      </c>
      <c r="I32" s="87">
        <f>IF($G32&lt;&gt;"OK","",INDEX('Inventory'!$G$7:$G$106,MATCH($C32,'Inventory'!$B$7:$B$106,0)))</f>
        <v/>
      </c>
      <c r="J32" s="88">
        <f>IF($G32&lt;&gt;"OK","",$H32*$I32)</f>
        <v/>
      </c>
      <c r="K32" s="82">
        <f>IF($G32&lt;&gt;"OK","",SUMIFS('Sales Log'!$D$7:$D$3006,'Sales Log'!$C$7:$C$3006,$B32,'Sales Log'!$B$7:$B$3006,"&gt;="&amp;cfg_CountDate,'Sales Log'!$N$7:$N$3006,"OK"))</f>
        <v/>
      </c>
      <c r="L32" s="89">
        <f>IF($G32&lt;&gt;"OK","",$H32*$K32)</f>
        <v/>
      </c>
    </row>
    <row r="33" ht="17" customHeight="1">
      <c r="B33" s="60" t="n"/>
      <c r="C33" s="60" t="n"/>
      <c r="D33" s="86" t="n"/>
      <c r="E33" s="60" t="n"/>
      <c r="F33" s="13">
        <f>IF($C33="","",IFERROR(INDEX('Inventory'!$D$7:$D$106,MATCH($C33,'Inventory'!$B$7:$B$106,0))&amp;"","?"))</f>
        <v/>
      </c>
      <c r="G33" s="80">
        <f>IF(AND($B33="",$C33=""),"",IF($B33="","Pick menu item",IF(ISNA(MATCH($B33,'Menu Pricing'!$B$7:$B$56,0)),"Not on Menu Pricing",IF($C33="","Pick ingredient",IF($F33="?","Not in Inventory",IF($F33="","Set stock unit in Inventory",IF(N($D33)&lt;=0,"Enter quantity",IF($E33="","Pick unit",IF(IFERROR(INDEX('Lists'!$C$6:$C$30,MATCH($E33,'Lists'!$B$6:$B$30,0)),"?")&lt;&gt;IFERROR(INDEX('Lists'!$C$6:$C$30,MATCH($F33,'Lists'!$B$6:$B$30,0)),"?"),"Unit mismatch",IF(ISNUMBER(INDEX('Inventory'!$G$7:$G$106,MATCH($C33,'Inventory'!$B$7:$B$106,0))),"OK","Add price in Inventory"))))))))))</f>
        <v/>
      </c>
      <c r="H33" s="87">
        <f>IF($G33&lt;&gt;"OK","",$D33*INDEX('Lists'!$D$6:$D$30,MATCH($E33,'Lists'!$B$6:$B$30,0))/INDEX('Lists'!$D$6:$D$30,MATCH($F33,'Lists'!$B$6:$B$30,0)))</f>
        <v/>
      </c>
      <c r="I33" s="87">
        <f>IF($G33&lt;&gt;"OK","",INDEX('Inventory'!$G$7:$G$106,MATCH($C33,'Inventory'!$B$7:$B$106,0)))</f>
        <v/>
      </c>
      <c r="J33" s="88">
        <f>IF($G33&lt;&gt;"OK","",$H33*$I33)</f>
        <v/>
      </c>
      <c r="K33" s="82">
        <f>IF($G33&lt;&gt;"OK","",SUMIFS('Sales Log'!$D$7:$D$3006,'Sales Log'!$C$7:$C$3006,$B33,'Sales Log'!$B$7:$B$3006,"&gt;="&amp;cfg_CountDate,'Sales Log'!$N$7:$N$3006,"OK"))</f>
        <v/>
      </c>
      <c r="L33" s="89">
        <f>IF($G33&lt;&gt;"OK","",$H33*$K33)</f>
        <v/>
      </c>
    </row>
    <row r="34" ht="17" customHeight="1">
      <c r="B34" s="60" t="n"/>
      <c r="C34" s="60" t="n"/>
      <c r="D34" s="86" t="n"/>
      <c r="E34" s="60" t="n"/>
      <c r="F34" s="13">
        <f>IF($C34="","",IFERROR(INDEX('Inventory'!$D$7:$D$106,MATCH($C34,'Inventory'!$B$7:$B$106,0))&amp;"","?"))</f>
        <v/>
      </c>
      <c r="G34" s="80">
        <f>IF(AND($B34="",$C34=""),"",IF($B34="","Pick menu item",IF(ISNA(MATCH($B34,'Menu Pricing'!$B$7:$B$56,0)),"Not on Menu Pricing",IF($C34="","Pick ingredient",IF($F34="?","Not in Inventory",IF($F34="","Set stock unit in Inventory",IF(N($D34)&lt;=0,"Enter quantity",IF($E34="","Pick unit",IF(IFERROR(INDEX('Lists'!$C$6:$C$30,MATCH($E34,'Lists'!$B$6:$B$30,0)),"?")&lt;&gt;IFERROR(INDEX('Lists'!$C$6:$C$30,MATCH($F34,'Lists'!$B$6:$B$30,0)),"?"),"Unit mismatch",IF(ISNUMBER(INDEX('Inventory'!$G$7:$G$106,MATCH($C34,'Inventory'!$B$7:$B$106,0))),"OK","Add price in Inventory"))))))))))</f>
        <v/>
      </c>
      <c r="H34" s="87">
        <f>IF($G34&lt;&gt;"OK","",$D34*INDEX('Lists'!$D$6:$D$30,MATCH($E34,'Lists'!$B$6:$B$30,0))/INDEX('Lists'!$D$6:$D$30,MATCH($F34,'Lists'!$B$6:$B$30,0)))</f>
        <v/>
      </c>
      <c r="I34" s="87">
        <f>IF($G34&lt;&gt;"OK","",INDEX('Inventory'!$G$7:$G$106,MATCH($C34,'Inventory'!$B$7:$B$106,0)))</f>
        <v/>
      </c>
      <c r="J34" s="88">
        <f>IF($G34&lt;&gt;"OK","",$H34*$I34)</f>
        <v/>
      </c>
      <c r="K34" s="82">
        <f>IF($G34&lt;&gt;"OK","",SUMIFS('Sales Log'!$D$7:$D$3006,'Sales Log'!$C$7:$C$3006,$B34,'Sales Log'!$B$7:$B$3006,"&gt;="&amp;cfg_CountDate,'Sales Log'!$N$7:$N$3006,"OK"))</f>
        <v/>
      </c>
      <c r="L34" s="89">
        <f>IF($G34&lt;&gt;"OK","",$H34*$K34)</f>
        <v/>
      </c>
    </row>
    <row r="35" ht="17" customHeight="1">
      <c r="B35" s="60" t="n"/>
      <c r="C35" s="60" t="n"/>
      <c r="D35" s="86" t="n"/>
      <c r="E35" s="60" t="n"/>
      <c r="F35" s="13">
        <f>IF($C35="","",IFERROR(INDEX('Inventory'!$D$7:$D$106,MATCH($C35,'Inventory'!$B$7:$B$106,0))&amp;"","?"))</f>
        <v/>
      </c>
      <c r="G35" s="80">
        <f>IF(AND($B35="",$C35=""),"",IF($B35="","Pick menu item",IF(ISNA(MATCH($B35,'Menu Pricing'!$B$7:$B$56,0)),"Not on Menu Pricing",IF($C35="","Pick ingredient",IF($F35="?","Not in Inventory",IF($F35="","Set stock unit in Inventory",IF(N($D35)&lt;=0,"Enter quantity",IF($E35="","Pick unit",IF(IFERROR(INDEX('Lists'!$C$6:$C$30,MATCH($E35,'Lists'!$B$6:$B$30,0)),"?")&lt;&gt;IFERROR(INDEX('Lists'!$C$6:$C$30,MATCH($F35,'Lists'!$B$6:$B$30,0)),"?"),"Unit mismatch",IF(ISNUMBER(INDEX('Inventory'!$G$7:$G$106,MATCH($C35,'Inventory'!$B$7:$B$106,0))),"OK","Add price in Inventory"))))))))))</f>
        <v/>
      </c>
      <c r="H35" s="87">
        <f>IF($G35&lt;&gt;"OK","",$D35*INDEX('Lists'!$D$6:$D$30,MATCH($E35,'Lists'!$B$6:$B$30,0))/INDEX('Lists'!$D$6:$D$30,MATCH($F35,'Lists'!$B$6:$B$30,0)))</f>
        <v/>
      </c>
      <c r="I35" s="87">
        <f>IF($G35&lt;&gt;"OK","",INDEX('Inventory'!$G$7:$G$106,MATCH($C35,'Inventory'!$B$7:$B$106,0)))</f>
        <v/>
      </c>
      <c r="J35" s="88">
        <f>IF($G35&lt;&gt;"OK","",$H35*$I35)</f>
        <v/>
      </c>
      <c r="K35" s="82">
        <f>IF($G35&lt;&gt;"OK","",SUMIFS('Sales Log'!$D$7:$D$3006,'Sales Log'!$C$7:$C$3006,$B35,'Sales Log'!$B$7:$B$3006,"&gt;="&amp;cfg_CountDate,'Sales Log'!$N$7:$N$3006,"OK"))</f>
        <v/>
      </c>
      <c r="L35" s="89">
        <f>IF($G35&lt;&gt;"OK","",$H35*$K35)</f>
        <v/>
      </c>
    </row>
    <row r="36" ht="17" customHeight="1">
      <c r="B36" s="60" t="n"/>
      <c r="C36" s="60" t="n"/>
      <c r="D36" s="86" t="n"/>
      <c r="E36" s="60" t="n"/>
      <c r="F36" s="13">
        <f>IF($C36="","",IFERROR(INDEX('Inventory'!$D$7:$D$106,MATCH($C36,'Inventory'!$B$7:$B$106,0))&amp;"","?"))</f>
        <v/>
      </c>
      <c r="G36" s="80">
        <f>IF(AND($B36="",$C36=""),"",IF($B36="","Pick menu item",IF(ISNA(MATCH($B36,'Menu Pricing'!$B$7:$B$56,0)),"Not on Menu Pricing",IF($C36="","Pick ingredient",IF($F36="?","Not in Inventory",IF($F36="","Set stock unit in Inventory",IF(N($D36)&lt;=0,"Enter quantity",IF($E36="","Pick unit",IF(IFERROR(INDEX('Lists'!$C$6:$C$30,MATCH($E36,'Lists'!$B$6:$B$30,0)),"?")&lt;&gt;IFERROR(INDEX('Lists'!$C$6:$C$30,MATCH($F36,'Lists'!$B$6:$B$30,0)),"?"),"Unit mismatch",IF(ISNUMBER(INDEX('Inventory'!$G$7:$G$106,MATCH($C36,'Inventory'!$B$7:$B$106,0))),"OK","Add price in Inventory"))))))))))</f>
        <v/>
      </c>
      <c r="H36" s="87">
        <f>IF($G36&lt;&gt;"OK","",$D36*INDEX('Lists'!$D$6:$D$30,MATCH($E36,'Lists'!$B$6:$B$30,0))/INDEX('Lists'!$D$6:$D$30,MATCH($F36,'Lists'!$B$6:$B$30,0)))</f>
        <v/>
      </c>
      <c r="I36" s="87">
        <f>IF($G36&lt;&gt;"OK","",INDEX('Inventory'!$G$7:$G$106,MATCH($C36,'Inventory'!$B$7:$B$106,0)))</f>
        <v/>
      </c>
      <c r="J36" s="88">
        <f>IF($G36&lt;&gt;"OK","",$H36*$I36)</f>
        <v/>
      </c>
      <c r="K36" s="82">
        <f>IF($G36&lt;&gt;"OK","",SUMIFS('Sales Log'!$D$7:$D$3006,'Sales Log'!$C$7:$C$3006,$B36,'Sales Log'!$B$7:$B$3006,"&gt;="&amp;cfg_CountDate,'Sales Log'!$N$7:$N$3006,"OK"))</f>
        <v/>
      </c>
      <c r="L36" s="89">
        <f>IF($G36&lt;&gt;"OK","",$H36*$K36)</f>
        <v/>
      </c>
    </row>
    <row r="37" ht="17" customHeight="1">
      <c r="B37" s="60" t="n"/>
      <c r="C37" s="60" t="n"/>
      <c r="D37" s="86" t="n"/>
      <c r="E37" s="60" t="n"/>
      <c r="F37" s="13">
        <f>IF($C37="","",IFERROR(INDEX('Inventory'!$D$7:$D$106,MATCH($C37,'Inventory'!$B$7:$B$106,0))&amp;"","?"))</f>
        <v/>
      </c>
      <c r="G37" s="80">
        <f>IF(AND($B37="",$C37=""),"",IF($B37="","Pick menu item",IF(ISNA(MATCH($B37,'Menu Pricing'!$B$7:$B$56,0)),"Not on Menu Pricing",IF($C37="","Pick ingredient",IF($F37="?","Not in Inventory",IF($F37="","Set stock unit in Inventory",IF(N($D37)&lt;=0,"Enter quantity",IF($E37="","Pick unit",IF(IFERROR(INDEX('Lists'!$C$6:$C$30,MATCH($E37,'Lists'!$B$6:$B$30,0)),"?")&lt;&gt;IFERROR(INDEX('Lists'!$C$6:$C$30,MATCH($F37,'Lists'!$B$6:$B$30,0)),"?"),"Unit mismatch",IF(ISNUMBER(INDEX('Inventory'!$G$7:$G$106,MATCH($C37,'Inventory'!$B$7:$B$106,0))),"OK","Add price in Inventory"))))))))))</f>
        <v/>
      </c>
      <c r="H37" s="87">
        <f>IF($G37&lt;&gt;"OK","",$D37*INDEX('Lists'!$D$6:$D$30,MATCH($E37,'Lists'!$B$6:$B$30,0))/INDEX('Lists'!$D$6:$D$30,MATCH($F37,'Lists'!$B$6:$B$30,0)))</f>
        <v/>
      </c>
      <c r="I37" s="87">
        <f>IF($G37&lt;&gt;"OK","",INDEX('Inventory'!$G$7:$G$106,MATCH($C37,'Inventory'!$B$7:$B$106,0)))</f>
        <v/>
      </c>
      <c r="J37" s="88">
        <f>IF($G37&lt;&gt;"OK","",$H37*$I37)</f>
        <v/>
      </c>
      <c r="K37" s="82">
        <f>IF($G37&lt;&gt;"OK","",SUMIFS('Sales Log'!$D$7:$D$3006,'Sales Log'!$C$7:$C$3006,$B37,'Sales Log'!$B$7:$B$3006,"&gt;="&amp;cfg_CountDate,'Sales Log'!$N$7:$N$3006,"OK"))</f>
        <v/>
      </c>
      <c r="L37" s="89">
        <f>IF($G37&lt;&gt;"OK","",$H37*$K37)</f>
        <v/>
      </c>
    </row>
    <row r="38" ht="17" customHeight="1">
      <c r="B38" s="60" t="n"/>
      <c r="C38" s="60" t="n"/>
      <c r="D38" s="86" t="n"/>
      <c r="E38" s="60" t="n"/>
      <c r="F38" s="13">
        <f>IF($C38="","",IFERROR(INDEX('Inventory'!$D$7:$D$106,MATCH($C38,'Inventory'!$B$7:$B$106,0))&amp;"","?"))</f>
        <v/>
      </c>
      <c r="G38" s="80">
        <f>IF(AND($B38="",$C38=""),"",IF($B38="","Pick menu item",IF(ISNA(MATCH($B38,'Menu Pricing'!$B$7:$B$56,0)),"Not on Menu Pricing",IF($C38="","Pick ingredient",IF($F38="?","Not in Inventory",IF($F38="","Set stock unit in Inventory",IF(N($D38)&lt;=0,"Enter quantity",IF($E38="","Pick unit",IF(IFERROR(INDEX('Lists'!$C$6:$C$30,MATCH($E38,'Lists'!$B$6:$B$30,0)),"?")&lt;&gt;IFERROR(INDEX('Lists'!$C$6:$C$30,MATCH($F38,'Lists'!$B$6:$B$30,0)),"?"),"Unit mismatch",IF(ISNUMBER(INDEX('Inventory'!$G$7:$G$106,MATCH($C38,'Inventory'!$B$7:$B$106,0))),"OK","Add price in Inventory"))))))))))</f>
        <v/>
      </c>
      <c r="H38" s="87">
        <f>IF($G38&lt;&gt;"OK","",$D38*INDEX('Lists'!$D$6:$D$30,MATCH($E38,'Lists'!$B$6:$B$30,0))/INDEX('Lists'!$D$6:$D$30,MATCH($F38,'Lists'!$B$6:$B$30,0)))</f>
        <v/>
      </c>
      <c r="I38" s="87">
        <f>IF($G38&lt;&gt;"OK","",INDEX('Inventory'!$G$7:$G$106,MATCH($C38,'Inventory'!$B$7:$B$106,0)))</f>
        <v/>
      </c>
      <c r="J38" s="88">
        <f>IF($G38&lt;&gt;"OK","",$H38*$I38)</f>
        <v/>
      </c>
      <c r="K38" s="82">
        <f>IF($G38&lt;&gt;"OK","",SUMIFS('Sales Log'!$D$7:$D$3006,'Sales Log'!$C$7:$C$3006,$B38,'Sales Log'!$B$7:$B$3006,"&gt;="&amp;cfg_CountDate,'Sales Log'!$N$7:$N$3006,"OK"))</f>
        <v/>
      </c>
      <c r="L38" s="89">
        <f>IF($G38&lt;&gt;"OK","",$H38*$K38)</f>
        <v/>
      </c>
    </row>
    <row r="39" ht="17" customHeight="1">
      <c r="B39" s="60" t="n"/>
      <c r="C39" s="60" t="n"/>
      <c r="D39" s="86" t="n"/>
      <c r="E39" s="60" t="n"/>
      <c r="F39" s="13">
        <f>IF($C39="","",IFERROR(INDEX('Inventory'!$D$7:$D$106,MATCH($C39,'Inventory'!$B$7:$B$106,0))&amp;"","?"))</f>
        <v/>
      </c>
      <c r="G39" s="80">
        <f>IF(AND($B39="",$C39=""),"",IF($B39="","Pick menu item",IF(ISNA(MATCH($B39,'Menu Pricing'!$B$7:$B$56,0)),"Not on Menu Pricing",IF($C39="","Pick ingredient",IF($F39="?","Not in Inventory",IF($F39="","Set stock unit in Inventory",IF(N($D39)&lt;=0,"Enter quantity",IF($E39="","Pick unit",IF(IFERROR(INDEX('Lists'!$C$6:$C$30,MATCH($E39,'Lists'!$B$6:$B$30,0)),"?")&lt;&gt;IFERROR(INDEX('Lists'!$C$6:$C$30,MATCH($F39,'Lists'!$B$6:$B$30,0)),"?"),"Unit mismatch",IF(ISNUMBER(INDEX('Inventory'!$G$7:$G$106,MATCH($C39,'Inventory'!$B$7:$B$106,0))),"OK","Add price in Inventory"))))))))))</f>
        <v/>
      </c>
      <c r="H39" s="87">
        <f>IF($G39&lt;&gt;"OK","",$D39*INDEX('Lists'!$D$6:$D$30,MATCH($E39,'Lists'!$B$6:$B$30,0))/INDEX('Lists'!$D$6:$D$30,MATCH($F39,'Lists'!$B$6:$B$30,0)))</f>
        <v/>
      </c>
      <c r="I39" s="87">
        <f>IF($G39&lt;&gt;"OK","",INDEX('Inventory'!$G$7:$G$106,MATCH($C39,'Inventory'!$B$7:$B$106,0)))</f>
        <v/>
      </c>
      <c r="J39" s="88">
        <f>IF($G39&lt;&gt;"OK","",$H39*$I39)</f>
        <v/>
      </c>
      <c r="K39" s="82">
        <f>IF($G39&lt;&gt;"OK","",SUMIFS('Sales Log'!$D$7:$D$3006,'Sales Log'!$C$7:$C$3006,$B39,'Sales Log'!$B$7:$B$3006,"&gt;="&amp;cfg_CountDate,'Sales Log'!$N$7:$N$3006,"OK"))</f>
        <v/>
      </c>
      <c r="L39" s="89">
        <f>IF($G39&lt;&gt;"OK","",$H39*$K39)</f>
        <v/>
      </c>
    </row>
    <row r="40" ht="17" customHeight="1">
      <c r="B40" s="60" t="n"/>
      <c r="C40" s="60" t="n"/>
      <c r="D40" s="86" t="n"/>
      <c r="E40" s="60" t="n"/>
      <c r="F40" s="13">
        <f>IF($C40="","",IFERROR(INDEX('Inventory'!$D$7:$D$106,MATCH($C40,'Inventory'!$B$7:$B$106,0))&amp;"","?"))</f>
        <v/>
      </c>
      <c r="G40" s="80">
        <f>IF(AND($B40="",$C40=""),"",IF($B40="","Pick menu item",IF(ISNA(MATCH($B40,'Menu Pricing'!$B$7:$B$56,0)),"Not on Menu Pricing",IF($C40="","Pick ingredient",IF($F40="?","Not in Inventory",IF($F40="","Set stock unit in Inventory",IF(N($D40)&lt;=0,"Enter quantity",IF($E40="","Pick unit",IF(IFERROR(INDEX('Lists'!$C$6:$C$30,MATCH($E40,'Lists'!$B$6:$B$30,0)),"?")&lt;&gt;IFERROR(INDEX('Lists'!$C$6:$C$30,MATCH($F40,'Lists'!$B$6:$B$30,0)),"?"),"Unit mismatch",IF(ISNUMBER(INDEX('Inventory'!$G$7:$G$106,MATCH($C40,'Inventory'!$B$7:$B$106,0))),"OK","Add price in Inventory"))))))))))</f>
        <v/>
      </c>
      <c r="H40" s="87">
        <f>IF($G40&lt;&gt;"OK","",$D40*INDEX('Lists'!$D$6:$D$30,MATCH($E40,'Lists'!$B$6:$B$30,0))/INDEX('Lists'!$D$6:$D$30,MATCH($F40,'Lists'!$B$6:$B$30,0)))</f>
        <v/>
      </c>
      <c r="I40" s="87">
        <f>IF($G40&lt;&gt;"OK","",INDEX('Inventory'!$G$7:$G$106,MATCH($C40,'Inventory'!$B$7:$B$106,0)))</f>
        <v/>
      </c>
      <c r="J40" s="88">
        <f>IF($G40&lt;&gt;"OK","",$H40*$I40)</f>
        <v/>
      </c>
      <c r="K40" s="82">
        <f>IF($G40&lt;&gt;"OK","",SUMIFS('Sales Log'!$D$7:$D$3006,'Sales Log'!$C$7:$C$3006,$B40,'Sales Log'!$B$7:$B$3006,"&gt;="&amp;cfg_CountDate,'Sales Log'!$N$7:$N$3006,"OK"))</f>
        <v/>
      </c>
      <c r="L40" s="89">
        <f>IF($G40&lt;&gt;"OK","",$H40*$K40)</f>
        <v/>
      </c>
    </row>
    <row r="41" ht="17" customHeight="1">
      <c r="B41" s="60" t="n"/>
      <c r="C41" s="60" t="n"/>
      <c r="D41" s="86" t="n"/>
      <c r="E41" s="60" t="n"/>
      <c r="F41" s="13">
        <f>IF($C41="","",IFERROR(INDEX('Inventory'!$D$7:$D$106,MATCH($C41,'Inventory'!$B$7:$B$106,0))&amp;"","?"))</f>
        <v/>
      </c>
      <c r="G41" s="80">
        <f>IF(AND($B41="",$C41=""),"",IF($B41="","Pick menu item",IF(ISNA(MATCH($B41,'Menu Pricing'!$B$7:$B$56,0)),"Not on Menu Pricing",IF($C41="","Pick ingredient",IF($F41="?","Not in Inventory",IF($F41="","Set stock unit in Inventory",IF(N($D41)&lt;=0,"Enter quantity",IF($E41="","Pick unit",IF(IFERROR(INDEX('Lists'!$C$6:$C$30,MATCH($E41,'Lists'!$B$6:$B$30,0)),"?")&lt;&gt;IFERROR(INDEX('Lists'!$C$6:$C$30,MATCH($F41,'Lists'!$B$6:$B$30,0)),"?"),"Unit mismatch",IF(ISNUMBER(INDEX('Inventory'!$G$7:$G$106,MATCH($C41,'Inventory'!$B$7:$B$106,0))),"OK","Add price in Inventory"))))))))))</f>
        <v/>
      </c>
      <c r="H41" s="87">
        <f>IF($G41&lt;&gt;"OK","",$D41*INDEX('Lists'!$D$6:$D$30,MATCH($E41,'Lists'!$B$6:$B$30,0))/INDEX('Lists'!$D$6:$D$30,MATCH($F41,'Lists'!$B$6:$B$30,0)))</f>
        <v/>
      </c>
      <c r="I41" s="87">
        <f>IF($G41&lt;&gt;"OK","",INDEX('Inventory'!$G$7:$G$106,MATCH($C41,'Inventory'!$B$7:$B$106,0)))</f>
        <v/>
      </c>
      <c r="J41" s="88">
        <f>IF($G41&lt;&gt;"OK","",$H41*$I41)</f>
        <v/>
      </c>
      <c r="K41" s="82">
        <f>IF($G41&lt;&gt;"OK","",SUMIFS('Sales Log'!$D$7:$D$3006,'Sales Log'!$C$7:$C$3006,$B41,'Sales Log'!$B$7:$B$3006,"&gt;="&amp;cfg_CountDate,'Sales Log'!$N$7:$N$3006,"OK"))</f>
        <v/>
      </c>
      <c r="L41" s="89">
        <f>IF($G41&lt;&gt;"OK","",$H41*$K41)</f>
        <v/>
      </c>
    </row>
    <row r="42" ht="17" customHeight="1">
      <c r="B42" s="60" t="n"/>
      <c r="C42" s="60" t="n"/>
      <c r="D42" s="86" t="n"/>
      <c r="E42" s="60" t="n"/>
      <c r="F42" s="13">
        <f>IF($C42="","",IFERROR(INDEX('Inventory'!$D$7:$D$106,MATCH($C42,'Inventory'!$B$7:$B$106,0))&amp;"","?"))</f>
        <v/>
      </c>
      <c r="G42" s="80">
        <f>IF(AND($B42="",$C42=""),"",IF($B42="","Pick menu item",IF(ISNA(MATCH($B42,'Menu Pricing'!$B$7:$B$56,0)),"Not on Menu Pricing",IF($C42="","Pick ingredient",IF($F42="?","Not in Inventory",IF($F42="","Set stock unit in Inventory",IF(N($D42)&lt;=0,"Enter quantity",IF($E42="","Pick unit",IF(IFERROR(INDEX('Lists'!$C$6:$C$30,MATCH($E42,'Lists'!$B$6:$B$30,0)),"?")&lt;&gt;IFERROR(INDEX('Lists'!$C$6:$C$30,MATCH($F42,'Lists'!$B$6:$B$30,0)),"?"),"Unit mismatch",IF(ISNUMBER(INDEX('Inventory'!$G$7:$G$106,MATCH($C42,'Inventory'!$B$7:$B$106,0))),"OK","Add price in Inventory"))))))))))</f>
        <v/>
      </c>
      <c r="H42" s="87">
        <f>IF($G42&lt;&gt;"OK","",$D42*INDEX('Lists'!$D$6:$D$30,MATCH($E42,'Lists'!$B$6:$B$30,0))/INDEX('Lists'!$D$6:$D$30,MATCH($F42,'Lists'!$B$6:$B$30,0)))</f>
        <v/>
      </c>
      <c r="I42" s="87">
        <f>IF($G42&lt;&gt;"OK","",INDEX('Inventory'!$G$7:$G$106,MATCH($C42,'Inventory'!$B$7:$B$106,0)))</f>
        <v/>
      </c>
      <c r="J42" s="88">
        <f>IF($G42&lt;&gt;"OK","",$H42*$I42)</f>
        <v/>
      </c>
      <c r="K42" s="82">
        <f>IF($G42&lt;&gt;"OK","",SUMIFS('Sales Log'!$D$7:$D$3006,'Sales Log'!$C$7:$C$3006,$B42,'Sales Log'!$B$7:$B$3006,"&gt;="&amp;cfg_CountDate,'Sales Log'!$N$7:$N$3006,"OK"))</f>
        <v/>
      </c>
      <c r="L42" s="89">
        <f>IF($G42&lt;&gt;"OK","",$H42*$K42)</f>
        <v/>
      </c>
    </row>
    <row r="43" ht="17" customHeight="1">
      <c r="B43" s="60" t="n"/>
      <c r="C43" s="60" t="n"/>
      <c r="D43" s="86" t="n"/>
      <c r="E43" s="60" t="n"/>
      <c r="F43" s="13">
        <f>IF($C43="","",IFERROR(INDEX('Inventory'!$D$7:$D$106,MATCH($C43,'Inventory'!$B$7:$B$106,0))&amp;"","?"))</f>
        <v/>
      </c>
      <c r="G43" s="80">
        <f>IF(AND($B43="",$C43=""),"",IF($B43="","Pick menu item",IF(ISNA(MATCH($B43,'Menu Pricing'!$B$7:$B$56,0)),"Not on Menu Pricing",IF($C43="","Pick ingredient",IF($F43="?","Not in Inventory",IF($F43="","Set stock unit in Inventory",IF(N($D43)&lt;=0,"Enter quantity",IF($E43="","Pick unit",IF(IFERROR(INDEX('Lists'!$C$6:$C$30,MATCH($E43,'Lists'!$B$6:$B$30,0)),"?")&lt;&gt;IFERROR(INDEX('Lists'!$C$6:$C$30,MATCH($F43,'Lists'!$B$6:$B$30,0)),"?"),"Unit mismatch",IF(ISNUMBER(INDEX('Inventory'!$G$7:$G$106,MATCH($C43,'Inventory'!$B$7:$B$106,0))),"OK","Add price in Inventory"))))))))))</f>
        <v/>
      </c>
      <c r="H43" s="87">
        <f>IF($G43&lt;&gt;"OK","",$D43*INDEX('Lists'!$D$6:$D$30,MATCH($E43,'Lists'!$B$6:$B$30,0))/INDEX('Lists'!$D$6:$D$30,MATCH($F43,'Lists'!$B$6:$B$30,0)))</f>
        <v/>
      </c>
      <c r="I43" s="87">
        <f>IF($G43&lt;&gt;"OK","",INDEX('Inventory'!$G$7:$G$106,MATCH($C43,'Inventory'!$B$7:$B$106,0)))</f>
        <v/>
      </c>
      <c r="J43" s="88">
        <f>IF($G43&lt;&gt;"OK","",$H43*$I43)</f>
        <v/>
      </c>
      <c r="K43" s="82">
        <f>IF($G43&lt;&gt;"OK","",SUMIFS('Sales Log'!$D$7:$D$3006,'Sales Log'!$C$7:$C$3006,$B43,'Sales Log'!$B$7:$B$3006,"&gt;="&amp;cfg_CountDate,'Sales Log'!$N$7:$N$3006,"OK"))</f>
        <v/>
      </c>
      <c r="L43" s="89">
        <f>IF($G43&lt;&gt;"OK","",$H43*$K43)</f>
        <v/>
      </c>
    </row>
    <row r="44" ht="17" customHeight="1">
      <c r="B44" s="60" t="n"/>
      <c r="C44" s="60" t="n"/>
      <c r="D44" s="86" t="n"/>
      <c r="E44" s="60" t="n"/>
      <c r="F44" s="13">
        <f>IF($C44="","",IFERROR(INDEX('Inventory'!$D$7:$D$106,MATCH($C44,'Inventory'!$B$7:$B$106,0))&amp;"","?"))</f>
        <v/>
      </c>
      <c r="G44" s="80">
        <f>IF(AND($B44="",$C44=""),"",IF($B44="","Pick menu item",IF(ISNA(MATCH($B44,'Menu Pricing'!$B$7:$B$56,0)),"Not on Menu Pricing",IF($C44="","Pick ingredient",IF($F44="?","Not in Inventory",IF($F44="","Set stock unit in Inventory",IF(N($D44)&lt;=0,"Enter quantity",IF($E44="","Pick unit",IF(IFERROR(INDEX('Lists'!$C$6:$C$30,MATCH($E44,'Lists'!$B$6:$B$30,0)),"?")&lt;&gt;IFERROR(INDEX('Lists'!$C$6:$C$30,MATCH($F44,'Lists'!$B$6:$B$30,0)),"?"),"Unit mismatch",IF(ISNUMBER(INDEX('Inventory'!$G$7:$G$106,MATCH($C44,'Inventory'!$B$7:$B$106,0))),"OK","Add price in Inventory"))))))))))</f>
        <v/>
      </c>
      <c r="H44" s="87">
        <f>IF($G44&lt;&gt;"OK","",$D44*INDEX('Lists'!$D$6:$D$30,MATCH($E44,'Lists'!$B$6:$B$30,0))/INDEX('Lists'!$D$6:$D$30,MATCH($F44,'Lists'!$B$6:$B$30,0)))</f>
        <v/>
      </c>
      <c r="I44" s="87">
        <f>IF($G44&lt;&gt;"OK","",INDEX('Inventory'!$G$7:$G$106,MATCH($C44,'Inventory'!$B$7:$B$106,0)))</f>
        <v/>
      </c>
      <c r="J44" s="88">
        <f>IF($G44&lt;&gt;"OK","",$H44*$I44)</f>
        <v/>
      </c>
      <c r="K44" s="82">
        <f>IF($G44&lt;&gt;"OK","",SUMIFS('Sales Log'!$D$7:$D$3006,'Sales Log'!$C$7:$C$3006,$B44,'Sales Log'!$B$7:$B$3006,"&gt;="&amp;cfg_CountDate,'Sales Log'!$N$7:$N$3006,"OK"))</f>
        <v/>
      </c>
      <c r="L44" s="89">
        <f>IF($G44&lt;&gt;"OK","",$H44*$K44)</f>
        <v/>
      </c>
    </row>
    <row r="45" ht="17" customHeight="1">
      <c r="B45" s="60" t="n"/>
      <c r="C45" s="60" t="n"/>
      <c r="D45" s="86" t="n"/>
      <c r="E45" s="60" t="n"/>
      <c r="F45" s="13">
        <f>IF($C45="","",IFERROR(INDEX('Inventory'!$D$7:$D$106,MATCH($C45,'Inventory'!$B$7:$B$106,0))&amp;"","?"))</f>
        <v/>
      </c>
      <c r="G45" s="80">
        <f>IF(AND($B45="",$C45=""),"",IF($B45="","Pick menu item",IF(ISNA(MATCH($B45,'Menu Pricing'!$B$7:$B$56,0)),"Not on Menu Pricing",IF($C45="","Pick ingredient",IF($F45="?","Not in Inventory",IF($F45="","Set stock unit in Inventory",IF(N($D45)&lt;=0,"Enter quantity",IF($E45="","Pick unit",IF(IFERROR(INDEX('Lists'!$C$6:$C$30,MATCH($E45,'Lists'!$B$6:$B$30,0)),"?")&lt;&gt;IFERROR(INDEX('Lists'!$C$6:$C$30,MATCH($F45,'Lists'!$B$6:$B$30,0)),"?"),"Unit mismatch",IF(ISNUMBER(INDEX('Inventory'!$G$7:$G$106,MATCH($C45,'Inventory'!$B$7:$B$106,0))),"OK","Add price in Inventory"))))))))))</f>
        <v/>
      </c>
      <c r="H45" s="87">
        <f>IF($G45&lt;&gt;"OK","",$D45*INDEX('Lists'!$D$6:$D$30,MATCH($E45,'Lists'!$B$6:$B$30,0))/INDEX('Lists'!$D$6:$D$30,MATCH($F45,'Lists'!$B$6:$B$30,0)))</f>
        <v/>
      </c>
      <c r="I45" s="87">
        <f>IF($G45&lt;&gt;"OK","",INDEX('Inventory'!$G$7:$G$106,MATCH($C45,'Inventory'!$B$7:$B$106,0)))</f>
        <v/>
      </c>
      <c r="J45" s="88">
        <f>IF($G45&lt;&gt;"OK","",$H45*$I45)</f>
        <v/>
      </c>
      <c r="K45" s="82">
        <f>IF($G45&lt;&gt;"OK","",SUMIFS('Sales Log'!$D$7:$D$3006,'Sales Log'!$C$7:$C$3006,$B45,'Sales Log'!$B$7:$B$3006,"&gt;="&amp;cfg_CountDate,'Sales Log'!$N$7:$N$3006,"OK"))</f>
        <v/>
      </c>
      <c r="L45" s="89">
        <f>IF($G45&lt;&gt;"OK","",$H45*$K45)</f>
        <v/>
      </c>
    </row>
    <row r="46" ht="17" customHeight="1">
      <c r="B46" s="60" t="n"/>
      <c r="C46" s="60" t="n"/>
      <c r="D46" s="86" t="n"/>
      <c r="E46" s="60" t="n"/>
      <c r="F46" s="13">
        <f>IF($C46="","",IFERROR(INDEX('Inventory'!$D$7:$D$106,MATCH($C46,'Inventory'!$B$7:$B$106,0))&amp;"","?"))</f>
        <v/>
      </c>
      <c r="G46" s="80">
        <f>IF(AND($B46="",$C46=""),"",IF($B46="","Pick menu item",IF(ISNA(MATCH($B46,'Menu Pricing'!$B$7:$B$56,0)),"Not on Menu Pricing",IF($C46="","Pick ingredient",IF($F46="?","Not in Inventory",IF($F46="","Set stock unit in Inventory",IF(N($D46)&lt;=0,"Enter quantity",IF($E46="","Pick unit",IF(IFERROR(INDEX('Lists'!$C$6:$C$30,MATCH($E46,'Lists'!$B$6:$B$30,0)),"?")&lt;&gt;IFERROR(INDEX('Lists'!$C$6:$C$30,MATCH($F46,'Lists'!$B$6:$B$30,0)),"?"),"Unit mismatch",IF(ISNUMBER(INDEX('Inventory'!$G$7:$G$106,MATCH($C46,'Inventory'!$B$7:$B$106,0))),"OK","Add price in Inventory"))))))))))</f>
        <v/>
      </c>
      <c r="H46" s="87">
        <f>IF($G46&lt;&gt;"OK","",$D46*INDEX('Lists'!$D$6:$D$30,MATCH($E46,'Lists'!$B$6:$B$30,0))/INDEX('Lists'!$D$6:$D$30,MATCH($F46,'Lists'!$B$6:$B$30,0)))</f>
        <v/>
      </c>
      <c r="I46" s="87">
        <f>IF($G46&lt;&gt;"OK","",INDEX('Inventory'!$G$7:$G$106,MATCH($C46,'Inventory'!$B$7:$B$106,0)))</f>
        <v/>
      </c>
      <c r="J46" s="88">
        <f>IF($G46&lt;&gt;"OK","",$H46*$I46)</f>
        <v/>
      </c>
      <c r="K46" s="82">
        <f>IF($G46&lt;&gt;"OK","",SUMIFS('Sales Log'!$D$7:$D$3006,'Sales Log'!$C$7:$C$3006,$B46,'Sales Log'!$B$7:$B$3006,"&gt;="&amp;cfg_CountDate,'Sales Log'!$N$7:$N$3006,"OK"))</f>
        <v/>
      </c>
      <c r="L46" s="89">
        <f>IF($G46&lt;&gt;"OK","",$H46*$K46)</f>
        <v/>
      </c>
    </row>
    <row r="47" ht="17" customHeight="1">
      <c r="B47" s="60" t="n"/>
      <c r="C47" s="60" t="n"/>
      <c r="D47" s="86" t="n"/>
      <c r="E47" s="60" t="n"/>
      <c r="F47" s="13">
        <f>IF($C47="","",IFERROR(INDEX('Inventory'!$D$7:$D$106,MATCH($C47,'Inventory'!$B$7:$B$106,0))&amp;"","?"))</f>
        <v/>
      </c>
      <c r="G47" s="80">
        <f>IF(AND($B47="",$C47=""),"",IF($B47="","Pick menu item",IF(ISNA(MATCH($B47,'Menu Pricing'!$B$7:$B$56,0)),"Not on Menu Pricing",IF($C47="","Pick ingredient",IF($F47="?","Not in Inventory",IF($F47="","Set stock unit in Inventory",IF(N($D47)&lt;=0,"Enter quantity",IF($E47="","Pick unit",IF(IFERROR(INDEX('Lists'!$C$6:$C$30,MATCH($E47,'Lists'!$B$6:$B$30,0)),"?")&lt;&gt;IFERROR(INDEX('Lists'!$C$6:$C$30,MATCH($F47,'Lists'!$B$6:$B$30,0)),"?"),"Unit mismatch",IF(ISNUMBER(INDEX('Inventory'!$G$7:$G$106,MATCH($C47,'Inventory'!$B$7:$B$106,0))),"OK","Add price in Inventory"))))))))))</f>
        <v/>
      </c>
      <c r="H47" s="87">
        <f>IF($G47&lt;&gt;"OK","",$D47*INDEX('Lists'!$D$6:$D$30,MATCH($E47,'Lists'!$B$6:$B$30,0))/INDEX('Lists'!$D$6:$D$30,MATCH($F47,'Lists'!$B$6:$B$30,0)))</f>
        <v/>
      </c>
      <c r="I47" s="87">
        <f>IF($G47&lt;&gt;"OK","",INDEX('Inventory'!$G$7:$G$106,MATCH($C47,'Inventory'!$B$7:$B$106,0)))</f>
        <v/>
      </c>
      <c r="J47" s="88">
        <f>IF($G47&lt;&gt;"OK","",$H47*$I47)</f>
        <v/>
      </c>
      <c r="K47" s="82">
        <f>IF($G47&lt;&gt;"OK","",SUMIFS('Sales Log'!$D$7:$D$3006,'Sales Log'!$C$7:$C$3006,$B47,'Sales Log'!$B$7:$B$3006,"&gt;="&amp;cfg_CountDate,'Sales Log'!$N$7:$N$3006,"OK"))</f>
        <v/>
      </c>
      <c r="L47" s="89">
        <f>IF($G47&lt;&gt;"OK","",$H47*$K47)</f>
        <v/>
      </c>
    </row>
    <row r="48" ht="17" customHeight="1">
      <c r="B48" s="60" t="n"/>
      <c r="C48" s="60" t="n"/>
      <c r="D48" s="86" t="n"/>
      <c r="E48" s="60" t="n"/>
      <c r="F48" s="13">
        <f>IF($C48="","",IFERROR(INDEX('Inventory'!$D$7:$D$106,MATCH($C48,'Inventory'!$B$7:$B$106,0))&amp;"","?"))</f>
        <v/>
      </c>
      <c r="G48" s="80">
        <f>IF(AND($B48="",$C48=""),"",IF($B48="","Pick menu item",IF(ISNA(MATCH($B48,'Menu Pricing'!$B$7:$B$56,0)),"Not on Menu Pricing",IF($C48="","Pick ingredient",IF($F48="?","Not in Inventory",IF($F48="","Set stock unit in Inventory",IF(N($D48)&lt;=0,"Enter quantity",IF($E48="","Pick unit",IF(IFERROR(INDEX('Lists'!$C$6:$C$30,MATCH($E48,'Lists'!$B$6:$B$30,0)),"?")&lt;&gt;IFERROR(INDEX('Lists'!$C$6:$C$30,MATCH($F48,'Lists'!$B$6:$B$30,0)),"?"),"Unit mismatch",IF(ISNUMBER(INDEX('Inventory'!$G$7:$G$106,MATCH($C48,'Inventory'!$B$7:$B$106,0))),"OK","Add price in Inventory"))))))))))</f>
        <v/>
      </c>
      <c r="H48" s="87">
        <f>IF($G48&lt;&gt;"OK","",$D48*INDEX('Lists'!$D$6:$D$30,MATCH($E48,'Lists'!$B$6:$B$30,0))/INDEX('Lists'!$D$6:$D$30,MATCH($F48,'Lists'!$B$6:$B$30,0)))</f>
        <v/>
      </c>
      <c r="I48" s="87">
        <f>IF($G48&lt;&gt;"OK","",INDEX('Inventory'!$G$7:$G$106,MATCH($C48,'Inventory'!$B$7:$B$106,0)))</f>
        <v/>
      </c>
      <c r="J48" s="88">
        <f>IF($G48&lt;&gt;"OK","",$H48*$I48)</f>
        <v/>
      </c>
      <c r="K48" s="82">
        <f>IF($G48&lt;&gt;"OK","",SUMIFS('Sales Log'!$D$7:$D$3006,'Sales Log'!$C$7:$C$3006,$B48,'Sales Log'!$B$7:$B$3006,"&gt;="&amp;cfg_CountDate,'Sales Log'!$N$7:$N$3006,"OK"))</f>
        <v/>
      </c>
      <c r="L48" s="89">
        <f>IF($G48&lt;&gt;"OK","",$H48*$K48)</f>
        <v/>
      </c>
    </row>
    <row r="49" ht="17" customHeight="1">
      <c r="B49" s="60" t="n"/>
      <c r="C49" s="60" t="n"/>
      <c r="D49" s="86" t="n"/>
      <c r="E49" s="60" t="n"/>
      <c r="F49" s="13">
        <f>IF($C49="","",IFERROR(INDEX('Inventory'!$D$7:$D$106,MATCH($C49,'Inventory'!$B$7:$B$106,0))&amp;"","?"))</f>
        <v/>
      </c>
      <c r="G49" s="80">
        <f>IF(AND($B49="",$C49=""),"",IF($B49="","Pick menu item",IF(ISNA(MATCH($B49,'Menu Pricing'!$B$7:$B$56,0)),"Not on Menu Pricing",IF($C49="","Pick ingredient",IF($F49="?","Not in Inventory",IF($F49="","Set stock unit in Inventory",IF(N($D49)&lt;=0,"Enter quantity",IF($E49="","Pick unit",IF(IFERROR(INDEX('Lists'!$C$6:$C$30,MATCH($E49,'Lists'!$B$6:$B$30,0)),"?")&lt;&gt;IFERROR(INDEX('Lists'!$C$6:$C$30,MATCH($F49,'Lists'!$B$6:$B$30,0)),"?"),"Unit mismatch",IF(ISNUMBER(INDEX('Inventory'!$G$7:$G$106,MATCH($C49,'Inventory'!$B$7:$B$106,0))),"OK","Add price in Inventory"))))))))))</f>
        <v/>
      </c>
      <c r="H49" s="87">
        <f>IF($G49&lt;&gt;"OK","",$D49*INDEX('Lists'!$D$6:$D$30,MATCH($E49,'Lists'!$B$6:$B$30,0))/INDEX('Lists'!$D$6:$D$30,MATCH($F49,'Lists'!$B$6:$B$30,0)))</f>
        <v/>
      </c>
      <c r="I49" s="87">
        <f>IF($G49&lt;&gt;"OK","",INDEX('Inventory'!$G$7:$G$106,MATCH($C49,'Inventory'!$B$7:$B$106,0)))</f>
        <v/>
      </c>
      <c r="J49" s="88">
        <f>IF($G49&lt;&gt;"OK","",$H49*$I49)</f>
        <v/>
      </c>
      <c r="K49" s="82">
        <f>IF($G49&lt;&gt;"OK","",SUMIFS('Sales Log'!$D$7:$D$3006,'Sales Log'!$C$7:$C$3006,$B49,'Sales Log'!$B$7:$B$3006,"&gt;="&amp;cfg_CountDate,'Sales Log'!$N$7:$N$3006,"OK"))</f>
        <v/>
      </c>
      <c r="L49" s="89">
        <f>IF($G49&lt;&gt;"OK","",$H49*$K49)</f>
        <v/>
      </c>
    </row>
    <row r="50" ht="17" customHeight="1">
      <c r="B50" s="60" t="n"/>
      <c r="C50" s="60" t="n"/>
      <c r="D50" s="86" t="n"/>
      <c r="E50" s="60" t="n"/>
      <c r="F50" s="13">
        <f>IF($C50="","",IFERROR(INDEX('Inventory'!$D$7:$D$106,MATCH($C50,'Inventory'!$B$7:$B$106,0))&amp;"","?"))</f>
        <v/>
      </c>
      <c r="G50" s="80">
        <f>IF(AND($B50="",$C50=""),"",IF($B50="","Pick menu item",IF(ISNA(MATCH($B50,'Menu Pricing'!$B$7:$B$56,0)),"Not on Menu Pricing",IF($C50="","Pick ingredient",IF($F50="?","Not in Inventory",IF($F50="","Set stock unit in Inventory",IF(N($D50)&lt;=0,"Enter quantity",IF($E50="","Pick unit",IF(IFERROR(INDEX('Lists'!$C$6:$C$30,MATCH($E50,'Lists'!$B$6:$B$30,0)),"?")&lt;&gt;IFERROR(INDEX('Lists'!$C$6:$C$30,MATCH($F50,'Lists'!$B$6:$B$30,0)),"?"),"Unit mismatch",IF(ISNUMBER(INDEX('Inventory'!$G$7:$G$106,MATCH($C50,'Inventory'!$B$7:$B$106,0))),"OK","Add price in Inventory"))))))))))</f>
        <v/>
      </c>
      <c r="H50" s="87">
        <f>IF($G50&lt;&gt;"OK","",$D50*INDEX('Lists'!$D$6:$D$30,MATCH($E50,'Lists'!$B$6:$B$30,0))/INDEX('Lists'!$D$6:$D$30,MATCH($F50,'Lists'!$B$6:$B$30,0)))</f>
        <v/>
      </c>
      <c r="I50" s="87">
        <f>IF($G50&lt;&gt;"OK","",INDEX('Inventory'!$G$7:$G$106,MATCH($C50,'Inventory'!$B$7:$B$106,0)))</f>
        <v/>
      </c>
      <c r="J50" s="88">
        <f>IF($G50&lt;&gt;"OK","",$H50*$I50)</f>
        <v/>
      </c>
      <c r="K50" s="82">
        <f>IF($G50&lt;&gt;"OK","",SUMIFS('Sales Log'!$D$7:$D$3006,'Sales Log'!$C$7:$C$3006,$B50,'Sales Log'!$B$7:$B$3006,"&gt;="&amp;cfg_CountDate,'Sales Log'!$N$7:$N$3006,"OK"))</f>
        <v/>
      </c>
      <c r="L50" s="89">
        <f>IF($G50&lt;&gt;"OK","",$H50*$K50)</f>
        <v/>
      </c>
    </row>
    <row r="51" ht="17" customHeight="1">
      <c r="B51" s="60" t="n"/>
      <c r="C51" s="60" t="n"/>
      <c r="D51" s="86" t="n"/>
      <c r="E51" s="60" t="n"/>
      <c r="F51" s="13">
        <f>IF($C51="","",IFERROR(INDEX('Inventory'!$D$7:$D$106,MATCH($C51,'Inventory'!$B$7:$B$106,0))&amp;"","?"))</f>
        <v/>
      </c>
      <c r="G51" s="80">
        <f>IF(AND($B51="",$C51=""),"",IF($B51="","Pick menu item",IF(ISNA(MATCH($B51,'Menu Pricing'!$B$7:$B$56,0)),"Not on Menu Pricing",IF($C51="","Pick ingredient",IF($F51="?","Not in Inventory",IF($F51="","Set stock unit in Inventory",IF(N($D51)&lt;=0,"Enter quantity",IF($E51="","Pick unit",IF(IFERROR(INDEX('Lists'!$C$6:$C$30,MATCH($E51,'Lists'!$B$6:$B$30,0)),"?")&lt;&gt;IFERROR(INDEX('Lists'!$C$6:$C$30,MATCH($F51,'Lists'!$B$6:$B$30,0)),"?"),"Unit mismatch",IF(ISNUMBER(INDEX('Inventory'!$G$7:$G$106,MATCH($C51,'Inventory'!$B$7:$B$106,0))),"OK","Add price in Inventory"))))))))))</f>
        <v/>
      </c>
      <c r="H51" s="87">
        <f>IF($G51&lt;&gt;"OK","",$D51*INDEX('Lists'!$D$6:$D$30,MATCH($E51,'Lists'!$B$6:$B$30,0))/INDEX('Lists'!$D$6:$D$30,MATCH($F51,'Lists'!$B$6:$B$30,0)))</f>
        <v/>
      </c>
      <c r="I51" s="87">
        <f>IF($G51&lt;&gt;"OK","",INDEX('Inventory'!$G$7:$G$106,MATCH($C51,'Inventory'!$B$7:$B$106,0)))</f>
        <v/>
      </c>
      <c r="J51" s="88">
        <f>IF($G51&lt;&gt;"OK","",$H51*$I51)</f>
        <v/>
      </c>
      <c r="K51" s="82">
        <f>IF($G51&lt;&gt;"OK","",SUMIFS('Sales Log'!$D$7:$D$3006,'Sales Log'!$C$7:$C$3006,$B51,'Sales Log'!$B$7:$B$3006,"&gt;="&amp;cfg_CountDate,'Sales Log'!$N$7:$N$3006,"OK"))</f>
        <v/>
      </c>
      <c r="L51" s="89">
        <f>IF($G51&lt;&gt;"OK","",$H51*$K51)</f>
        <v/>
      </c>
    </row>
    <row r="52" ht="17" customHeight="1">
      <c r="B52" s="60" t="n"/>
      <c r="C52" s="60" t="n"/>
      <c r="D52" s="86" t="n"/>
      <c r="E52" s="60" t="n"/>
      <c r="F52" s="13">
        <f>IF($C52="","",IFERROR(INDEX('Inventory'!$D$7:$D$106,MATCH($C52,'Inventory'!$B$7:$B$106,0))&amp;"","?"))</f>
        <v/>
      </c>
      <c r="G52" s="80">
        <f>IF(AND($B52="",$C52=""),"",IF($B52="","Pick menu item",IF(ISNA(MATCH($B52,'Menu Pricing'!$B$7:$B$56,0)),"Not on Menu Pricing",IF($C52="","Pick ingredient",IF($F52="?","Not in Inventory",IF($F52="","Set stock unit in Inventory",IF(N($D52)&lt;=0,"Enter quantity",IF($E52="","Pick unit",IF(IFERROR(INDEX('Lists'!$C$6:$C$30,MATCH($E52,'Lists'!$B$6:$B$30,0)),"?")&lt;&gt;IFERROR(INDEX('Lists'!$C$6:$C$30,MATCH($F52,'Lists'!$B$6:$B$30,0)),"?"),"Unit mismatch",IF(ISNUMBER(INDEX('Inventory'!$G$7:$G$106,MATCH($C52,'Inventory'!$B$7:$B$106,0))),"OK","Add price in Inventory"))))))))))</f>
        <v/>
      </c>
      <c r="H52" s="87">
        <f>IF($G52&lt;&gt;"OK","",$D52*INDEX('Lists'!$D$6:$D$30,MATCH($E52,'Lists'!$B$6:$B$30,0))/INDEX('Lists'!$D$6:$D$30,MATCH($F52,'Lists'!$B$6:$B$30,0)))</f>
        <v/>
      </c>
      <c r="I52" s="87">
        <f>IF($G52&lt;&gt;"OK","",INDEX('Inventory'!$G$7:$G$106,MATCH($C52,'Inventory'!$B$7:$B$106,0)))</f>
        <v/>
      </c>
      <c r="J52" s="88">
        <f>IF($G52&lt;&gt;"OK","",$H52*$I52)</f>
        <v/>
      </c>
      <c r="K52" s="82">
        <f>IF($G52&lt;&gt;"OK","",SUMIFS('Sales Log'!$D$7:$D$3006,'Sales Log'!$C$7:$C$3006,$B52,'Sales Log'!$B$7:$B$3006,"&gt;="&amp;cfg_CountDate,'Sales Log'!$N$7:$N$3006,"OK"))</f>
        <v/>
      </c>
      <c r="L52" s="89">
        <f>IF($G52&lt;&gt;"OK","",$H52*$K52)</f>
        <v/>
      </c>
    </row>
    <row r="53" ht="17" customHeight="1">
      <c r="B53" s="60" t="n"/>
      <c r="C53" s="60" t="n"/>
      <c r="D53" s="86" t="n"/>
      <c r="E53" s="60" t="n"/>
      <c r="F53" s="13">
        <f>IF($C53="","",IFERROR(INDEX('Inventory'!$D$7:$D$106,MATCH($C53,'Inventory'!$B$7:$B$106,0))&amp;"","?"))</f>
        <v/>
      </c>
      <c r="G53" s="80">
        <f>IF(AND($B53="",$C53=""),"",IF($B53="","Pick menu item",IF(ISNA(MATCH($B53,'Menu Pricing'!$B$7:$B$56,0)),"Not on Menu Pricing",IF($C53="","Pick ingredient",IF($F53="?","Not in Inventory",IF($F53="","Set stock unit in Inventory",IF(N($D53)&lt;=0,"Enter quantity",IF($E53="","Pick unit",IF(IFERROR(INDEX('Lists'!$C$6:$C$30,MATCH($E53,'Lists'!$B$6:$B$30,0)),"?")&lt;&gt;IFERROR(INDEX('Lists'!$C$6:$C$30,MATCH($F53,'Lists'!$B$6:$B$30,0)),"?"),"Unit mismatch",IF(ISNUMBER(INDEX('Inventory'!$G$7:$G$106,MATCH($C53,'Inventory'!$B$7:$B$106,0))),"OK","Add price in Inventory"))))))))))</f>
        <v/>
      </c>
      <c r="H53" s="87">
        <f>IF($G53&lt;&gt;"OK","",$D53*INDEX('Lists'!$D$6:$D$30,MATCH($E53,'Lists'!$B$6:$B$30,0))/INDEX('Lists'!$D$6:$D$30,MATCH($F53,'Lists'!$B$6:$B$30,0)))</f>
        <v/>
      </c>
      <c r="I53" s="87">
        <f>IF($G53&lt;&gt;"OK","",INDEX('Inventory'!$G$7:$G$106,MATCH($C53,'Inventory'!$B$7:$B$106,0)))</f>
        <v/>
      </c>
      <c r="J53" s="88">
        <f>IF($G53&lt;&gt;"OK","",$H53*$I53)</f>
        <v/>
      </c>
      <c r="K53" s="82">
        <f>IF($G53&lt;&gt;"OK","",SUMIFS('Sales Log'!$D$7:$D$3006,'Sales Log'!$C$7:$C$3006,$B53,'Sales Log'!$B$7:$B$3006,"&gt;="&amp;cfg_CountDate,'Sales Log'!$N$7:$N$3006,"OK"))</f>
        <v/>
      </c>
      <c r="L53" s="89">
        <f>IF($G53&lt;&gt;"OK","",$H53*$K53)</f>
        <v/>
      </c>
    </row>
    <row r="54" ht="17" customHeight="1">
      <c r="B54" s="60" t="n"/>
      <c r="C54" s="60" t="n"/>
      <c r="D54" s="86" t="n"/>
      <c r="E54" s="60" t="n"/>
      <c r="F54" s="13">
        <f>IF($C54="","",IFERROR(INDEX('Inventory'!$D$7:$D$106,MATCH($C54,'Inventory'!$B$7:$B$106,0))&amp;"","?"))</f>
        <v/>
      </c>
      <c r="G54" s="80">
        <f>IF(AND($B54="",$C54=""),"",IF($B54="","Pick menu item",IF(ISNA(MATCH($B54,'Menu Pricing'!$B$7:$B$56,0)),"Not on Menu Pricing",IF($C54="","Pick ingredient",IF($F54="?","Not in Inventory",IF($F54="","Set stock unit in Inventory",IF(N($D54)&lt;=0,"Enter quantity",IF($E54="","Pick unit",IF(IFERROR(INDEX('Lists'!$C$6:$C$30,MATCH($E54,'Lists'!$B$6:$B$30,0)),"?")&lt;&gt;IFERROR(INDEX('Lists'!$C$6:$C$30,MATCH($F54,'Lists'!$B$6:$B$30,0)),"?"),"Unit mismatch",IF(ISNUMBER(INDEX('Inventory'!$G$7:$G$106,MATCH($C54,'Inventory'!$B$7:$B$106,0))),"OK","Add price in Inventory"))))))))))</f>
        <v/>
      </c>
      <c r="H54" s="87">
        <f>IF($G54&lt;&gt;"OK","",$D54*INDEX('Lists'!$D$6:$D$30,MATCH($E54,'Lists'!$B$6:$B$30,0))/INDEX('Lists'!$D$6:$D$30,MATCH($F54,'Lists'!$B$6:$B$30,0)))</f>
        <v/>
      </c>
      <c r="I54" s="87">
        <f>IF($G54&lt;&gt;"OK","",INDEX('Inventory'!$G$7:$G$106,MATCH($C54,'Inventory'!$B$7:$B$106,0)))</f>
        <v/>
      </c>
      <c r="J54" s="88">
        <f>IF($G54&lt;&gt;"OK","",$H54*$I54)</f>
        <v/>
      </c>
      <c r="K54" s="82">
        <f>IF($G54&lt;&gt;"OK","",SUMIFS('Sales Log'!$D$7:$D$3006,'Sales Log'!$C$7:$C$3006,$B54,'Sales Log'!$B$7:$B$3006,"&gt;="&amp;cfg_CountDate,'Sales Log'!$N$7:$N$3006,"OK"))</f>
        <v/>
      </c>
      <c r="L54" s="89">
        <f>IF($G54&lt;&gt;"OK","",$H54*$K54)</f>
        <v/>
      </c>
    </row>
    <row r="55" ht="17" customHeight="1">
      <c r="B55" s="60" t="n"/>
      <c r="C55" s="60" t="n"/>
      <c r="D55" s="86" t="n"/>
      <c r="E55" s="60" t="n"/>
      <c r="F55" s="13">
        <f>IF($C55="","",IFERROR(INDEX('Inventory'!$D$7:$D$106,MATCH($C55,'Inventory'!$B$7:$B$106,0))&amp;"","?"))</f>
        <v/>
      </c>
      <c r="G55" s="80">
        <f>IF(AND($B55="",$C55=""),"",IF($B55="","Pick menu item",IF(ISNA(MATCH($B55,'Menu Pricing'!$B$7:$B$56,0)),"Not on Menu Pricing",IF($C55="","Pick ingredient",IF($F55="?","Not in Inventory",IF($F55="","Set stock unit in Inventory",IF(N($D55)&lt;=0,"Enter quantity",IF($E55="","Pick unit",IF(IFERROR(INDEX('Lists'!$C$6:$C$30,MATCH($E55,'Lists'!$B$6:$B$30,0)),"?")&lt;&gt;IFERROR(INDEX('Lists'!$C$6:$C$30,MATCH($F55,'Lists'!$B$6:$B$30,0)),"?"),"Unit mismatch",IF(ISNUMBER(INDEX('Inventory'!$G$7:$G$106,MATCH($C55,'Inventory'!$B$7:$B$106,0))),"OK","Add price in Inventory"))))))))))</f>
        <v/>
      </c>
      <c r="H55" s="87">
        <f>IF($G55&lt;&gt;"OK","",$D55*INDEX('Lists'!$D$6:$D$30,MATCH($E55,'Lists'!$B$6:$B$30,0))/INDEX('Lists'!$D$6:$D$30,MATCH($F55,'Lists'!$B$6:$B$30,0)))</f>
        <v/>
      </c>
      <c r="I55" s="87">
        <f>IF($G55&lt;&gt;"OK","",INDEX('Inventory'!$G$7:$G$106,MATCH($C55,'Inventory'!$B$7:$B$106,0)))</f>
        <v/>
      </c>
      <c r="J55" s="88">
        <f>IF($G55&lt;&gt;"OK","",$H55*$I55)</f>
        <v/>
      </c>
      <c r="K55" s="82">
        <f>IF($G55&lt;&gt;"OK","",SUMIFS('Sales Log'!$D$7:$D$3006,'Sales Log'!$C$7:$C$3006,$B55,'Sales Log'!$B$7:$B$3006,"&gt;="&amp;cfg_CountDate,'Sales Log'!$N$7:$N$3006,"OK"))</f>
        <v/>
      </c>
      <c r="L55" s="89">
        <f>IF($G55&lt;&gt;"OK","",$H55*$K55)</f>
        <v/>
      </c>
    </row>
    <row r="56" ht="17" customHeight="1">
      <c r="B56" s="60" t="n"/>
      <c r="C56" s="60" t="n"/>
      <c r="D56" s="86" t="n"/>
      <c r="E56" s="60" t="n"/>
      <c r="F56" s="13">
        <f>IF($C56="","",IFERROR(INDEX('Inventory'!$D$7:$D$106,MATCH($C56,'Inventory'!$B$7:$B$106,0))&amp;"","?"))</f>
        <v/>
      </c>
      <c r="G56" s="80">
        <f>IF(AND($B56="",$C56=""),"",IF($B56="","Pick menu item",IF(ISNA(MATCH($B56,'Menu Pricing'!$B$7:$B$56,0)),"Not on Menu Pricing",IF($C56="","Pick ingredient",IF($F56="?","Not in Inventory",IF($F56="","Set stock unit in Inventory",IF(N($D56)&lt;=0,"Enter quantity",IF($E56="","Pick unit",IF(IFERROR(INDEX('Lists'!$C$6:$C$30,MATCH($E56,'Lists'!$B$6:$B$30,0)),"?")&lt;&gt;IFERROR(INDEX('Lists'!$C$6:$C$30,MATCH($F56,'Lists'!$B$6:$B$30,0)),"?"),"Unit mismatch",IF(ISNUMBER(INDEX('Inventory'!$G$7:$G$106,MATCH($C56,'Inventory'!$B$7:$B$106,0))),"OK","Add price in Inventory"))))))))))</f>
        <v/>
      </c>
      <c r="H56" s="87">
        <f>IF($G56&lt;&gt;"OK","",$D56*INDEX('Lists'!$D$6:$D$30,MATCH($E56,'Lists'!$B$6:$B$30,0))/INDEX('Lists'!$D$6:$D$30,MATCH($F56,'Lists'!$B$6:$B$30,0)))</f>
        <v/>
      </c>
      <c r="I56" s="87">
        <f>IF($G56&lt;&gt;"OK","",INDEX('Inventory'!$G$7:$G$106,MATCH($C56,'Inventory'!$B$7:$B$106,0)))</f>
        <v/>
      </c>
      <c r="J56" s="88">
        <f>IF($G56&lt;&gt;"OK","",$H56*$I56)</f>
        <v/>
      </c>
      <c r="K56" s="82">
        <f>IF($G56&lt;&gt;"OK","",SUMIFS('Sales Log'!$D$7:$D$3006,'Sales Log'!$C$7:$C$3006,$B56,'Sales Log'!$B$7:$B$3006,"&gt;="&amp;cfg_CountDate,'Sales Log'!$N$7:$N$3006,"OK"))</f>
        <v/>
      </c>
      <c r="L56" s="89">
        <f>IF($G56&lt;&gt;"OK","",$H56*$K56)</f>
        <v/>
      </c>
    </row>
    <row r="57" ht="17" customHeight="1">
      <c r="B57" s="60" t="n"/>
      <c r="C57" s="60" t="n"/>
      <c r="D57" s="86" t="n"/>
      <c r="E57" s="60" t="n"/>
      <c r="F57" s="13">
        <f>IF($C57="","",IFERROR(INDEX('Inventory'!$D$7:$D$106,MATCH($C57,'Inventory'!$B$7:$B$106,0))&amp;"","?"))</f>
        <v/>
      </c>
      <c r="G57" s="80">
        <f>IF(AND($B57="",$C57=""),"",IF($B57="","Pick menu item",IF(ISNA(MATCH($B57,'Menu Pricing'!$B$7:$B$56,0)),"Not on Menu Pricing",IF($C57="","Pick ingredient",IF($F57="?","Not in Inventory",IF($F57="","Set stock unit in Inventory",IF(N($D57)&lt;=0,"Enter quantity",IF($E57="","Pick unit",IF(IFERROR(INDEX('Lists'!$C$6:$C$30,MATCH($E57,'Lists'!$B$6:$B$30,0)),"?")&lt;&gt;IFERROR(INDEX('Lists'!$C$6:$C$30,MATCH($F57,'Lists'!$B$6:$B$30,0)),"?"),"Unit mismatch",IF(ISNUMBER(INDEX('Inventory'!$G$7:$G$106,MATCH($C57,'Inventory'!$B$7:$B$106,0))),"OK","Add price in Inventory"))))))))))</f>
        <v/>
      </c>
      <c r="H57" s="87">
        <f>IF($G57&lt;&gt;"OK","",$D57*INDEX('Lists'!$D$6:$D$30,MATCH($E57,'Lists'!$B$6:$B$30,0))/INDEX('Lists'!$D$6:$D$30,MATCH($F57,'Lists'!$B$6:$B$30,0)))</f>
        <v/>
      </c>
      <c r="I57" s="87">
        <f>IF($G57&lt;&gt;"OK","",INDEX('Inventory'!$G$7:$G$106,MATCH($C57,'Inventory'!$B$7:$B$106,0)))</f>
        <v/>
      </c>
      <c r="J57" s="88">
        <f>IF($G57&lt;&gt;"OK","",$H57*$I57)</f>
        <v/>
      </c>
      <c r="K57" s="82">
        <f>IF($G57&lt;&gt;"OK","",SUMIFS('Sales Log'!$D$7:$D$3006,'Sales Log'!$C$7:$C$3006,$B57,'Sales Log'!$B$7:$B$3006,"&gt;="&amp;cfg_CountDate,'Sales Log'!$N$7:$N$3006,"OK"))</f>
        <v/>
      </c>
      <c r="L57" s="89">
        <f>IF($G57&lt;&gt;"OK","",$H57*$K57)</f>
        <v/>
      </c>
    </row>
    <row r="58" ht="17" customHeight="1">
      <c r="B58" s="60" t="n"/>
      <c r="C58" s="60" t="n"/>
      <c r="D58" s="86" t="n"/>
      <c r="E58" s="60" t="n"/>
      <c r="F58" s="13">
        <f>IF($C58="","",IFERROR(INDEX('Inventory'!$D$7:$D$106,MATCH($C58,'Inventory'!$B$7:$B$106,0))&amp;"","?"))</f>
        <v/>
      </c>
      <c r="G58" s="80">
        <f>IF(AND($B58="",$C58=""),"",IF($B58="","Pick menu item",IF(ISNA(MATCH($B58,'Menu Pricing'!$B$7:$B$56,0)),"Not on Menu Pricing",IF($C58="","Pick ingredient",IF($F58="?","Not in Inventory",IF($F58="","Set stock unit in Inventory",IF(N($D58)&lt;=0,"Enter quantity",IF($E58="","Pick unit",IF(IFERROR(INDEX('Lists'!$C$6:$C$30,MATCH($E58,'Lists'!$B$6:$B$30,0)),"?")&lt;&gt;IFERROR(INDEX('Lists'!$C$6:$C$30,MATCH($F58,'Lists'!$B$6:$B$30,0)),"?"),"Unit mismatch",IF(ISNUMBER(INDEX('Inventory'!$G$7:$G$106,MATCH($C58,'Inventory'!$B$7:$B$106,0))),"OK","Add price in Inventory"))))))))))</f>
        <v/>
      </c>
      <c r="H58" s="87">
        <f>IF($G58&lt;&gt;"OK","",$D58*INDEX('Lists'!$D$6:$D$30,MATCH($E58,'Lists'!$B$6:$B$30,0))/INDEX('Lists'!$D$6:$D$30,MATCH($F58,'Lists'!$B$6:$B$30,0)))</f>
        <v/>
      </c>
      <c r="I58" s="87">
        <f>IF($G58&lt;&gt;"OK","",INDEX('Inventory'!$G$7:$G$106,MATCH($C58,'Inventory'!$B$7:$B$106,0)))</f>
        <v/>
      </c>
      <c r="J58" s="88">
        <f>IF($G58&lt;&gt;"OK","",$H58*$I58)</f>
        <v/>
      </c>
      <c r="K58" s="82">
        <f>IF($G58&lt;&gt;"OK","",SUMIFS('Sales Log'!$D$7:$D$3006,'Sales Log'!$C$7:$C$3006,$B58,'Sales Log'!$B$7:$B$3006,"&gt;="&amp;cfg_CountDate,'Sales Log'!$N$7:$N$3006,"OK"))</f>
        <v/>
      </c>
      <c r="L58" s="89">
        <f>IF($G58&lt;&gt;"OK","",$H58*$K58)</f>
        <v/>
      </c>
    </row>
    <row r="59" ht="17" customHeight="1">
      <c r="B59" s="60" t="n"/>
      <c r="C59" s="60" t="n"/>
      <c r="D59" s="86" t="n"/>
      <c r="E59" s="60" t="n"/>
      <c r="F59" s="13">
        <f>IF($C59="","",IFERROR(INDEX('Inventory'!$D$7:$D$106,MATCH($C59,'Inventory'!$B$7:$B$106,0))&amp;"","?"))</f>
        <v/>
      </c>
      <c r="G59" s="80">
        <f>IF(AND($B59="",$C59=""),"",IF($B59="","Pick menu item",IF(ISNA(MATCH($B59,'Menu Pricing'!$B$7:$B$56,0)),"Not on Menu Pricing",IF($C59="","Pick ingredient",IF($F59="?","Not in Inventory",IF($F59="","Set stock unit in Inventory",IF(N($D59)&lt;=0,"Enter quantity",IF($E59="","Pick unit",IF(IFERROR(INDEX('Lists'!$C$6:$C$30,MATCH($E59,'Lists'!$B$6:$B$30,0)),"?")&lt;&gt;IFERROR(INDEX('Lists'!$C$6:$C$30,MATCH($F59,'Lists'!$B$6:$B$30,0)),"?"),"Unit mismatch",IF(ISNUMBER(INDEX('Inventory'!$G$7:$G$106,MATCH($C59,'Inventory'!$B$7:$B$106,0))),"OK","Add price in Inventory"))))))))))</f>
        <v/>
      </c>
      <c r="H59" s="87">
        <f>IF($G59&lt;&gt;"OK","",$D59*INDEX('Lists'!$D$6:$D$30,MATCH($E59,'Lists'!$B$6:$B$30,0))/INDEX('Lists'!$D$6:$D$30,MATCH($F59,'Lists'!$B$6:$B$30,0)))</f>
        <v/>
      </c>
      <c r="I59" s="87">
        <f>IF($G59&lt;&gt;"OK","",INDEX('Inventory'!$G$7:$G$106,MATCH($C59,'Inventory'!$B$7:$B$106,0)))</f>
        <v/>
      </c>
      <c r="J59" s="88">
        <f>IF($G59&lt;&gt;"OK","",$H59*$I59)</f>
        <v/>
      </c>
      <c r="K59" s="82">
        <f>IF($G59&lt;&gt;"OK","",SUMIFS('Sales Log'!$D$7:$D$3006,'Sales Log'!$C$7:$C$3006,$B59,'Sales Log'!$B$7:$B$3006,"&gt;="&amp;cfg_CountDate,'Sales Log'!$N$7:$N$3006,"OK"))</f>
        <v/>
      </c>
      <c r="L59" s="89">
        <f>IF($G59&lt;&gt;"OK","",$H59*$K59)</f>
        <v/>
      </c>
    </row>
    <row r="60" ht="17" customHeight="1">
      <c r="B60" s="60" t="n"/>
      <c r="C60" s="60" t="n"/>
      <c r="D60" s="86" t="n"/>
      <c r="E60" s="60" t="n"/>
      <c r="F60" s="13">
        <f>IF($C60="","",IFERROR(INDEX('Inventory'!$D$7:$D$106,MATCH($C60,'Inventory'!$B$7:$B$106,0))&amp;"","?"))</f>
        <v/>
      </c>
      <c r="G60" s="80">
        <f>IF(AND($B60="",$C60=""),"",IF($B60="","Pick menu item",IF(ISNA(MATCH($B60,'Menu Pricing'!$B$7:$B$56,0)),"Not on Menu Pricing",IF($C60="","Pick ingredient",IF($F60="?","Not in Inventory",IF($F60="","Set stock unit in Inventory",IF(N($D60)&lt;=0,"Enter quantity",IF($E60="","Pick unit",IF(IFERROR(INDEX('Lists'!$C$6:$C$30,MATCH($E60,'Lists'!$B$6:$B$30,0)),"?")&lt;&gt;IFERROR(INDEX('Lists'!$C$6:$C$30,MATCH($F60,'Lists'!$B$6:$B$30,0)),"?"),"Unit mismatch",IF(ISNUMBER(INDEX('Inventory'!$G$7:$G$106,MATCH($C60,'Inventory'!$B$7:$B$106,0))),"OK","Add price in Inventory"))))))))))</f>
        <v/>
      </c>
      <c r="H60" s="87">
        <f>IF($G60&lt;&gt;"OK","",$D60*INDEX('Lists'!$D$6:$D$30,MATCH($E60,'Lists'!$B$6:$B$30,0))/INDEX('Lists'!$D$6:$D$30,MATCH($F60,'Lists'!$B$6:$B$30,0)))</f>
        <v/>
      </c>
      <c r="I60" s="87">
        <f>IF($G60&lt;&gt;"OK","",INDEX('Inventory'!$G$7:$G$106,MATCH($C60,'Inventory'!$B$7:$B$106,0)))</f>
        <v/>
      </c>
      <c r="J60" s="88">
        <f>IF($G60&lt;&gt;"OK","",$H60*$I60)</f>
        <v/>
      </c>
      <c r="K60" s="82">
        <f>IF($G60&lt;&gt;"OK","",SUMIFS('Sales Log'!$D$7:$D$3006,'Sales Log'!$C$7:$C$3006,$B60,'Sales Log'!$B$7:$B$3006,"&gt;="&amp;cfg_CountDate,'Sales Log'!$N$7:$N$3006,"OK"))</f>
        <v/>
      </c>
      <c r="L60" s="89">
        <f>IF($G60&lt;&gt;"OK","",$H60*$K60)</f>
        <v/>
      </c>
    </row>
    <row r="61" ht="17" customHeight="1">
      <c r="B61" s="60" t="n"/>
      <c r="C61" s="60" t="n"/>
      <c r="D61" s="86" t="n"/>
      <c r="E61" s="60" t="n"/>
      <c r="F61" s="13">
        <f>IF($C61="","",IFERROR(INDEX('Inventory'!$D$7:$D$106,MATCH($C61,'Inventory'!$B$7:$B$106,0))&amp;"","?"))</f>
        <v/>
      </c>
      <c r="G61" s="80">
        <f>IF(AND($B61="",$C61=""),"",IF($B61="","Pick menu item",IF(ISNA(MATCH($B61,'Menu Pricing'!$B$7:$B$56,0)),"Not on Menu Pricing",IF($C61="","Pick ingredient",IF($F61="?","Not in Inventory",IF($F61="","Set stock unit in Inventory",IF(N($D61)&lt;=0,"Enter quantity",IF($E61="","Pick unit",IF(IFERROR(INDEX('Lists'!$C$6:$C$30,MATCH($E61,'Lists'!$B$6:$B$30,0)),"?")&lt;&gt;IFERROR(INDEX('Lists'!$C$6:$C$30,MATCH($F61,'Lists'!$B$6:$B$30,0)),"?"),"Unit mismatch",IF(ISNUMBER(INDEX('Inventory'!$G$7:$G$106,MATCH($C61,'Inventory'!$B$7:$B$106,0))),"OK","Add price in Inventory"))))))))))</f>
        <v/>
      </c>
      <c r="H61" s="87">
        <f>IF($G61&lt;&gt;"OK","",$D61*INDEX('Lists'!$D$6:$D$30,MATCH($E61,'Lists'!$B$6:$B$30,0))/INDEX('Lists'!$D$6:$D$30,MATCH($F61,'Lists'!$B$6:$B$30,0)))</f>
        <v/>
      </c>
      <c r="I61" s="87">
        <f>IF($G61&lt;&gt;"OK","",INDEX('Inventory'!$G$7:$G$106,MATCH($C61,'Inventory'!$B$7:$B$106,0)))</f>
        <v/>
      </c>
      <c r="J61" s="88">
        <f>IF($G61&lt;&gt;"OK","",$H61*$I61)</f>
        <v/>
      </c>
      <c r="K61" s="82">
        <f>IF($G61&lt;&gt;"OK","",SUMIFS('Sales Log'!$D$7:$D$3006,'Sales Log'!$C$7:$C$3006,$B61,'Sales Log'!$B$7:$B$3006,"&gt;="&amp;cfg_CountDate,'Sales Log'!$N$7:$N$3006,"OK"))</f>
        <v/>
      </c>
      <c r="L61" s="89">
        <f>IF($G61&lt;&gt;"OK","",$H61*$K61)</f>
        <v/>
      </c>
    </row>
    <row r="62" ht="17" customHeight="1">
      <c r="B62" s="60" t="n"/>
      <c r="C62" s="60" t="n"/>
      <c r="D62" s="86" t="n"/>
      <c r="E62" s="60" t="n"/>
      <c r="F62" s="13">
        <f>IF($C62="","",IFERROR(INDEX('Inventory'!$D$7:$D$106,MATCH($C62,'Inventory'!$B$7:$B$106,0))&amp;"","?"))</f>
        <v/>
      </c>
      <c r="G62" s="80">
        <f>IF(AND($B62="",$C62=""),"",IF($B62="","Pick menu item",IF(ISNA(MATCH($B62,'Menu Pricing'!$B$7:$B$56,0)),"Not on Menu Pricing",IF($C62="","Pick ingredient",IF($F62="?","Not in Inventory",IF($F62="","Set stock unit in Inventory",IF(N($D62)&lt;=0,"Enter quantity",IF($E62="","Pick unit",IF(IFERROR(INDEX('Lists'!$C$6:$C$30,MATCH($E62,'Lists'!$B$6:$B$30,0)),"?")&lt;&gt;IFERROR(INDEX('Lists'!$C$6:$C$30,MATCH($F62,'Lists'!$B$6:$B$30,0)),"?"),"Unit mismatch",IF(ISNUMBER(INDEX('Inventory'!$G$7:$G$106,MATCH($C62,'Inventory'!$B$7:$B$106,0))),"OK","Add price in Inventory"))))))))))</f>
        <v/>
      </c>
      <c r="H62" s="87">
        <f>IF($G62&lt;&gt;"OK","",$D62*INDEX('Lists'!$D$6:$D$30,MATCH($E62,'Lists'!$B$6:$B$30,0))/INDEX('Lists'!$D$6:$D$30,MATCH($F62,'Lists'!$B$6:$B$30,0)))</f>
        <v/>
      </c>
      <c r="I62" s="87">
        <f>IF($G62&lt;&gt;"OK","",INDEX('Inventory'!$G$7:$G$106,MATCH($C62,'Inventory'!$B$7:$B$106,0)))</f>
        <v/>
      </c>
      <c r="J62" s="88">
        <f>IF($G62&lt;&gt;"OK","",$H62*$I62)</f>
        <v/>
      </c>
      <c r="K62" s="82">
        <f>IF($G62&lt;&gt;"OK","",SUMIFS('Sales Log'!$D$7:$D$3006,'Sales Log'!$C$7:$C$3006,$B62,'Sales Log'!$B$7:$B$3006,"&gt;="&amp;cfg_CountDate,'Sales Log'!$N$7:$N$3006,"OK"))</f>
        <v/>
      </c>
      <c r="L62" s="89">
        <f>IF($G62&lt;&gt;"OK","",$H62*$K62)</f>
        <v/>
      </c>
    </row>
    <row r="63" ht="17" customHeight="1">
      <c r="B63" s="60" t="n"/>
      <c r="C63" s="60" t="n"/>
      <c r="D63" s="86" t="n"/>
      <c r="E63" s="60" t="n"/>
      <c r="F63" s="13">
        <f>IF($C63="","",IFERROR(INDEX('Inventory'!$D$7:$D$106,MATCH($C63,'Inventory'!$B$7:$B$106,0))&amp;"","?"))</f>
        <v/>
      </c>
      <c r="G63" s="80">
        <f>IF(AND($B63="",$C63=""),"",IF($B63="","Pick menu item",IF(ISNA(MATCH($B63,'Menu Pricing'!$B$7:$B$56,0)),"Not on Menu Pricing",IF($C63="","Pick ingredient",IF($F63="?","Not in Inventory",IF($F63="","Set stock unit in Inventory",IF(N($D63)&lt;=0,"Enter quantity",IF($E63="","Pick unit",IF(IFERROR(INDEX('Lists'!$C$6:$C$30,MATCH($E63,'Lists'!$B$6:$B$30,0)),"?")&lt;&gt;IFERROR(INDEX('Lists'!$C$6:$C$30,MATCH($F63,'Lists'!$B$6:$B$30,0)),"?"),"Unit mismatch",IF(ISNUMBER(INDEX('Inventory'!$G$7:$G$106,MATCH($C63,'Inventory'!$B$7:$B$106,0))),"OK","Add price in Inventory"))))))))))</f>
        <v/>
      </c>
      <c r="H63" s="87">
        <f>IF($G63&lt;&gt;"OK","",$D63*INDEX('Lists'!$D$6:$D$30,MATCH($E63,'Lists'!$B$6:$B$30,0))/INDEX('Lists'!$D$6:$D$30,MATCH($F63,'Lists'!$B$6:$B$30,0)))</f>
        <v/>
      </c>
      <c r="I63" s="87">
        <f>IF($G63&lt;&gt;"OK","",INDEX('Inventory'!$G$7:$G$106,MATCH($C63,'Inventory'!$B$7:$B$106,0)))</f>
        <v/>
      </c>
      <c r="J63" s="88">
        <f>IF($G63&lt;&gt;"OK","",$H63*$I63)</f>
        <v/>
      </c>
      <c r="K63" s="82">
        <f>IF($G63&lt;&gt;"OK","",SUMIFS('Sales Log'!$D$7:$D$3006,'Sales Log'!$C$7:$C$3006,$B63,'Sales Log'!$B$7:$B$3006,"&gt;="&amp;cfg_CountDate,'Sales Log'!$N$7:$N$3006,"OK"))</f>
        <v/>
      </c>
      <c r="L63" s="89">
        <f>IF($G63&lt;&gt;"OK","",$H63*$K63)</f>
        <v/>
      </c>
    </row>
    <row r="64" ht="17" customHeight="1">
      <c r="B64" s="60" t="n"/>
      <c r="C64" s="60" t="n"/>
      <c r="D64" s="86" t="n"/>
      <c r="E64" s="60" t="n"/>
      <c r="F64" s="13">
        <f>IF($C64="","",IFERROR(INDEX('Inventory'!$D$7:$D$106,MATCH($C64,'Inventory'!$B$7:$B$106,0))&amp;"","?"))</f>
        <v/>
      </c>
      <c r="G64" s="80">
        <f>IF(AND($B64="",$C64=""),"",IF($B64="","Pick menu item",IF(ISNA(MATCH($B64,'Menu Pricing'!$B$7:$B$56,0)),"Not on Menu Pricing",IF($C64="","Pick ingredient",IF($F64="?","Not in Inventory",IF($F64="","Set stock unit in Inventory",IF(N($D64)&lt;=0,"Enter quantity",IF($E64="","Pick unit",IF(IFERROR(INDEX('Lists'!$C$6:$C$30,MATCH($E64,'Lists'!$B$6:$B$30,0)),"?")&lt;&gt;IFERROR(INDEX('Lists'!$C$6:$C$30,MATCH($F64,'Lists'!$B$6:$B$30,0)),"?"),"Unit mismatch",IF(ISNUMBER(INDEX('Inventory'!$G$7:$G$106,MATCH($C64,'Inventory'!$B$7:$B$106,0))),"OK","Add price in Inventory"))))))))))</f>
        <v/>
      </c>
      <c r="H64" s="87">
        <f>IF($G64&lt;&gt;"OK","",$D64*INDEX('Lists'!$D$6:$D$30,MATCH($E64,'Lists'!$B$6:$B$30,0))/INDEX('Lists'!$D$6:$D$30,MATCH($F64,'Lists'!$B$6:$B$30,0)))</f>
        <v/>
      </c>
      <c r="I64" s="87">
        <f>IF($G64&lt;&gt;"OK","",INDEX('Inventory'!$G$7:$G$106,MATCH($C64,'Inventory'!$B$7:$B$106,0)))</f>
        <v/>
      </c>
      <c r="J64" s="88">
        <f>IF($G64&lt;&gt;"OK","",$H64*$I64)</f>
        <v/>
      </c>
      <c r="K64" s="82">
        <f>IF($G64&lt;&gt;"OK","",SUMIFS('Sales Log'!$D$7:$D$3006,'Sales Log'!$C$7:$C$3006,$B64,'Sales Log'!$B$7:$B$3006,"&gt;="&amp;cfg_CountDate,'Sales Log'!$N$7:$N$3006,"OK"))</f>
        <v/>
      </c>
      <c r="L64" s="89">
        <f>IF($G64&lt;&gt;"OK","",$H64*$K64)</f>
        <v/>
      </c>
    </row>
    <row r="65" ht="17" customHeight="1">
      <c r="B65" s="60" t="n"/>
      <c r="C65" s="60" t="n"/>
      <c r="D65" s="86" t="n"/>
      <c r="E65" s="60" t="n"/>
      <c r="F65" s="13">
        <f>IF($C65="","",IFERROR(INDEX('Inventory'!$D$7:$D$106,MATCH($C65,'Inventory'!$B$7:$B$106,0))&amp;"","?"))</f>
        <v/>
      </c>
      <c r="G65" s="80">
        <f>IF(AND($B65="",$C65=""),"",IF($B65="","Pick menu item",IF(ISNA(MATCH($B65,'Menu Pricing'!$B$7:$B$56,0)),"Not on Menu Pricing",IF($C65="","Pick ingredient",IF($F65="?","Not in Inventory",IF($F65="","Set stock unit in Inventory",IF(N($D65)&lt;=0,"Enter quantity",IF($E65="","Pick unit",IF(IFERROR(INDEX('Lists'!$C$6:$C$30,MATCH($E65,'Lists'!$B$6:$B$30,0)),"?")&lt;&gt;IFERROR(INDEX('Lists'!$C$6:$C$30,MATCH($F65,'Lists'!$B$6:$B$30,0)),"?"),"Unit mismatch",IF(ISNUMBER(INDEX('Inventory'!$G$7:$G$106,MATCH($C65,'Inventory'!$B$7:$B$106,0))),"OK","Add price in Inventory"))))))))))</f>
        <v/>
      </c>
      <c r="H65" s="87">
        <f>IF($G65&lt;&gt;"OK","",$D65*INDEX('Lists'!$D$6:$D$30,MATCH($E65,'Lists'!$B$6:$B$30,0))/INDEX('Lists'!$D$6:$D$30,MATCH($F65,'Lists'!$B$6:$B$30,0)))</f>
        <v/>
      </c>
      <c r="I65" s="87">
        <f>IF($G65&lt;&gt;"OK","",INDEX('Inventory'!$G$7:$G$106,MATCH($C65,'Inventory'!$B$7:$B$106,0)))</f>
        <v/>
      </c>
      <c r="J65" s="88">
        <f>IF($G65&lt;&gt;"OK","",$H65*$I65)</f>
        <v/>
      </c>
      <c r="K65" s="82">
        <f>IF($G65&lt;&gt;"OK","",SUMIFS('Sales Log'!$D$7:$D$3006,'Sales Log'!$C$7:$C$3006,$B65,'Sales Log'!$B$7:$B$3006,"&gt;="&amp;cfg_CountDate,'Sales Log'!$N$7:$N$3006,"OK"))</f>
        <v/>
      </c>
      <c r="L65" s="89">
        <f>IF($G65&lt;&gt;"OK","",$H65*$K65)</f>
        <v/>
      </c>
    </row>
    <row r="66" ht="17" customHeight="1">
      <c r="B66" s="60" t="n"/>
      <c r="C66" s="60" t="n"/>
      <c r="D66" s="86" t="n"/>
      <c r="E66" s="60" t="n"/>
      <c r="F66" s="13">
        <f>IF($C66="","",IFERROR(INDEX('Inventory'!$D$7:$D$106,MATCH($C66,'Inventory'!$B$7:$B$106,0))&amp;"","?"))</f>
        <v/>
      </c>
      <c r="G66" s="80">
        <f>IF(AND($B66="",$C66=""),"",IF($B66="","Pick menu item",IF(ISNA(MATCH($B66,'Menu Pricing'!$B$7:$B$56,0)),"Not on Menu Pricing",IF($C66="","Pick ingredient",IF($F66="?","Not in Inventory",IF($F66="","Set stock unit in Inventory",IF(N($D66)&lt;=0,"Enter quantity",IF($E66="","Pick unit",IF(IFERROR(INDEX('Lists'!$C$6:$C$30,MATCH($E66,'Lists'!$B$6:$B$30,0)),"?")&lt;&gt;IFERROR(INDEX('Lists'!$C$6:$C$30,MATCH($F66,'Lists'!$B$6:$B$30,0)),"?"),"Unit mismatch",IF(ISNUMBER(INDEX('Inventory'!$G$7:$G$106,MATCH($C66,'Inventory'!$B$7:$B$106,0))),"OK","Add price in Inventory"))))))))))</f>
        <v/>
      </c>
      <c r="H66" s="87">
        <f>IF($G66&lt;&gt;"OK","",$D66*INDEX('Lists'!$D$6:$D$30,MATCH($E66,'Lists'!$B$6:$B$30,0))/INDEX('Lists'!$D$6:$D$30,MATCH($F66,'Lists'!$B$6:$B$30,0)))</f>
        <v/>
      </c>
      <c r="I66" s="87">
        <f>IF($G66&lt;&gt;"OK","",INDEX('Inventory'!$G$7:$G$106,MATCH($C66,'Inventory'!$B$7:$B$106,0)))</f>
        <v/>
      </c>
      <c r="J66" s="88">
        <f>IF($G66&lt;&gt;"OK","",$H66*$I66)</f>
        <v/>
      </c>
      <c r="K66" s="82">
        <f>IF($G66&lt;&gt;"OK","",SUMIFS('Sales Log'!$D$7:$D$3006,'Sales Log'!$C$7:$C$3006,$B66,'Sales Log'!$B$7:$B$3006,"&gt;="&amp;cfg_CountDate,'Sales Log'!$N$7:$N$3006,"OK"))</f>
        <v/>
      </c>
      <c r="L66" s="89">
        <f>IF($G66&lt;&gt;"OK","",$H66*$K66)</f>
        <v/>
      </c>
    </row>
    <row r="67" ht="17" customHeight="1">
      <c r="B67" s="60" t="n"/>
      <c r="C67" s="60" t="n"/>
      <c r="D67" s="86" t="n"/>
      <c r="E67" s="60" t="n"/>
      <c r="F67" s="13">
        <f>IF($C67="","",IFERROR(INDEX('Inventory'!$D$7:$D$106,MATCH($C67,'Inventory'!$B$7:$B$106,0))&amp;"","?"))</f>
        <v/>
      </c>
      <c r="G67" s="80">
        <f>IF(AND($B67="",$C67=""),"",IF($B67="","Pick menu item",IF(ISNA(MATCH($B67,'Menu Pricing'!$B$7:$B$56,0)),"Not on Menu Pricing",IF($C67="","Pick ingredient",IF($F67="?","Not in Inventory",IF($F67="","Set stock unit in Inventory",IF(N($D67)&lt;=0,"Enter quantity",IF($E67="","Pick unit",IF(IFERROR(INDEX('Lists'!$C$6:$C$30,MATCH($E67,'Lists'!$B$6:$B$30,0)),"?")&lt;&gt;IFERROR(INDEX('Lists'!$C$6:$C$30,MATCH($F67,'Lists'!$B$6:$B$30,0)),"?"),"Unit mismatch",IF(ISNUMBER(INDEX('Inventory'!$G$7:$G$106,MATCH($C67,'Inventory'!$B$7:$B$106,0))),"OK","Add price in Inventory"))))))))))</f>
        <v/>
      </c>
      <c r="H67" s="87">
        <f>IF($G67&lt;&gt;"OK","",$D67*INDEX('Lists'!$D$6:$D$30,MATCH($E67,'Lists'!$B$6:$B$30,0))/INDEX('Lists'!$D$6:$D$30,MATCH($F67,'Lists'!$B$6:$B$30,0)))</f>
        <v/>
      </c>
      <c r="I67" s="87">
        <f>IF($G67&lt;&gt;"OK","",INDEX('Inventory'!$G$7:$G$106,MATCH($C67,'Inventory'!$B$7:$B$106,0)))</f>
        <v/>
      </c>
      <c r="J67" s="88">
        <f>IF($G67&lt;&gt;"OK","",$H67*$I67)</f>
        <v/>
      </c>
      <c r="K67" s="82">
        <f>IF($G67&lt;&gt;"OK","",SUMIFS('Sales Log'!$D$7:$D$3006,'Sales Log'!$C$7:$C$3006,$B67,'Sales Log'!$B$7:$B$3006,"&gt;="&amp;cfg_CountDate,'Sales Log'!$N$7:$N$3006,"OK"))</f>
        <v/>
      </c>
      <c r="L67" s="89">
        <f>IF($G67&lt;&gt;"OK","",$H67*$K67)</f>
        <v/>
      </c>
    </row>
    <row r="68" ht="17" customHeight="1">
      <c r="B68" s="60" t="n"/>
      <c r="C68" s="60" t="n"/>
      <c r="D68" s="86" t="n"/>
      <c r="E68" s="60" t="n"/>
      <c r="F68" s="13">
        <f>IF($C68="","",IFERROR(INDEX('Inventory'!$D$7:$D$106,MATCH($C68,'Inventory'!$B$7:$B$106,0))&amp;"","?"))</f>
        <v/>
      </c>
      <c r="G68" s="80">
        <f>IF(AND($B68="",$C68=""),"",IF($B68="","Pick menu item",IF(ISNA(MATCH($B68,'Menu Pricing'!$B$7:$B$56,0)),"Not on Menu Pricing",IF($C68="","Pick ingredient",IF($F68="?","Not in Inventory",IF($F68="","Set stock unit in Inventory",IF(N($D68)&lt;=0,"Enter quantity",IF($E68="","Pick unit",IF(IFERROR(INDEX('Lists'!$C$6:$C$30,MATCH($E68,'Lists'!$B$6:$B$30,0)),"?")&lt;&gt;IFERROR(INDEX('Lists'!$C$6:$C$30,MATCH($F68,'Lists'!$B$6:$B$30,0)),"?"),"Unit mismatch",IF(ISNUMBER(INDEX('Inventory'!$G$7:$G$106,MATCH($C68,'Inventory'!$B$7:$B$106,0))),"OK","Add price in Inventory"))))))))))</f>
        <v/>
      </c>
      <c r="H68" s="87">
        <f>IF($G68&lt;&gt;"OK","",$D68*INDEX('Lists'!$D$6:$D$30,MATCH($E68,'Lists'!$B$6:$B$30,0))/INDEX('Lists'!$D$6:$D$30,MATCH($F68,'Lists'!$B$6:$B$30,0)))</f>
        <v/>
      </c>
      <c r="I68" s="87">
        <f>IF($G68&lt;&gt;"OK","",INDEX('Inventory'!$G$7:$G$106,MATCH($C68,'Inventory'!$B$7:$B$106,0)))</f>
        <v/>
      </c>
      <c r="J68" s="88">
        <f>IF($G68&lt;&gt;"OK","",$H68*$I68)</f>
        <v/>
      </c>
      <c r="K68" s="82">
        <f>IF($G68&lt;&gt;"OK","",SUMIFS('Sales Log'!$D$7:$D$3006,'Sales Log'!$C$7:$C$3006,$B68,'Sales Log'!$B$7:$B$3006,"&gt;="&amp;cfg_CountDate,'Sales Log'!$N$7:$N$3006,"OK"))</f>
        <v/>
      </c>
      <c r="L68" s="89">
        <f>IF($G68&lt;&gt;"OK","",$H68*$K68)</f>
        <v/>
      </c>
    </row>
    <row r="69" ht="17" customHeight="1">
      <c r="B69" s="60" t="n"/>
      <c r="C69" s="60" t="n"/>
      <c r="D69" s="86" t="n"/>
      <c r="E69" s="60" t="n"/>
      <c r="F69" s="13">
        <f>IF($C69="","",IFERROR(INDEX('Inventory'!$D$7:$D$106,MATCH($C69,'Inventory'!$B$7:$B$106,0))&amp;"","?"))</f>
        <v/>
      </c>
      <c r="G69" s="80">
        <f>IF(AND($B69="",$C69=""),"",IF($B69="","Pick menu item",IF(ISNA(MATCH($B69,'Menu Pricing'!$B$7:$B$56,0)),"Not on Menu Pricing",IF($C69="","Pick ingredient",IF($F69="?","Not in Inventory",IF($F69="","Set stock unit in Inventory",IF(N($D69)&lt;=0,"Enter quantity",IF($E69="","Pick unit",IF(IFERROR(INDEX('Lists'!$C$6:$C$30,MATCH($E69,'Lists'!$B$6:$B$30,0)),"?")&lt;&gt;IFERROR(INDEX('Lists'!$C$6:$C$30,MATCH($F69,'Lists'!$B$6:$B$30,0)),"?"),"Unit mismatch",IF(ISNUMBER(INDEX('Inventory'!$G$7:$G$106,MATCH($C69,'Inventory'!$B$7:$B$106,0))),"OK","Add price in Inventory"))))))))))</f>
        <v/>
      </c>
      <c r="H69" s="87">
        <f>IF($G69&lt;&gt;"OK","",$D69*INDEX('Lists'!$D$6:$D$30,MATCH($E69,'Lists'!$B$6:$B$30,0))/INDEX('Lists'!$D$6:$D$30,MATCH($F69,'Lists'!$B$6:$B$30,0)))</f>
        <v/>
      </c>
      <c r="I69" s="87">
        <f>IF($G69&lt;&gt;"OK","",INDEX('Inventory'!$G$7:$G$106,MATCH($C69,'Inventory'!$B$7:$B$106,0)))</f>
        <v/>
      </c>
      <c r="J69" s="88">
        <f>IF($G69&lt;&gt;"OK","",$H69*$I69)</f>
        <v/>
      </c>
      <c r="K69" s="82">
        <f>IF($G69&lt;&gt;"OK","",SUMIFS('Sales Log'!$D$7:$D$3006,'Sales Log'!$C$7:$C$3006,$B69,'Sales Log'!$B$7:$B$3006,"&gt;="&amp;cfg_CountDate,'Sales Log'!$N$7:$N$3006,"OK"))</f>
        <v/>
      </c>
      <c r="L69" s="89">
        <f>IF($G69&lt;&gt;"OK","",$H69*$K69)</f>
        <v/>
      </c>
    </row>
    <row r="70" ht="17" customHeight="1">
      <c r="B70" s="60" t="n"/>
      <c r="C70" s="60" t="n"/>
      <c r="D70" s="86" t="n"/>
      <c r="E70" s="60" t="n"/>
      <c r="F70" s="13">
        <f>IF($C70="","",IFERROR(INDEX('Inventory'!$D$7:$D$106,MATCH($C70,'Inventory'!$B$7:$B$106,0))&amp;"","?"))</f>
        <v/>
      </c>
      <c r="G70" s="80">
        <f>IF(AND($B70="",$C70=""),"",IF($B70="","Pick menu item",IF(ISNA(MATCH($B70,'Menu Pricing'!$B$7:$B$56,0)),"Not on Menu Pricing",IF($C70="","Pick ingredient",IF($F70="?","Not in Inventory",IF($F70="","Set stock unit in Inventory",IF(N($D70)&lt;=0,"Enter quantity",IF($E70="","Pick unit",IF(IFERROR(INDEX('Lists'!$C$6:$C$30,MATCH($E70,'Lists'!$B$6:$B$30,0)),"?")&lt;&gt;IFERROR(INDEX('Lists'!$C$6:$C$30,MATCH($F70,'Lists'!$B$6:$B$30,0)),"?"),"Unit mismatch",IF(ISNUMBER(INDEX('Inventory'!$G$7:$G$106,MATCH($C70,'Inventory'!$B$7:$B$106,0))),"OK","Add price in Inventory"))))))))))</f>
        <v/>
      </c>
      <c r="H70" s="87">
        <f>IF($G70&lt;&gt;"OK","",$D70*INDEX('Lists'!$D$6:$D$30,MATCH($E70,'Lists'!$B$6:$B$30,0))/INDEX('Lists'!$D$6:$D$30,MATCH($F70,'Lists'!$B$6:$B$30,0)))</f>
        <v/>
      </c>
      <c r="I70" s="87">
        <f>IF($G70&lt;&gt;"OK","",INDEX('Inventory'!$G$7:$G$106,MATCH($C70,'Inventory'!$B$7:$B$106,0)))</f>
        <v/>
      </c>
      <c r="J70" s="88">
        <f>IF($G70&lt;&gt;"OK","",$H70*$I70)</f>
        <v/>
      </c>
      <c r="K70" s="82">
        <f>IF($G70&lt;&gt;"OK","",SUMIFS('Sales Log'!$D$7:$D$3006,'Sales Log'!$C$7:$C$3006,$B70,'Sales Log'!$B$7:$B$3006,"&gt;="&amp;cfg_CountDate,'Sales Log'!$N$7:$N$3006,"OK"))</f>
        <v/>
      </c>
      <c r="L70" s="89">
        <f>IF($G70&lt;&gt;"OK","",$H70*$K70)</f>
        <v/>
      </c>
    </row>
    <row r="71" ht="17" customHeight="1">
      <c r="B71" s="60" t="n"/>
      <c r="C71" s="60" t="n"/>
      <c r="D71" s="86" t="n"/>
      <c r="E71" s="60" t="n"/>
      <c r="F71" s="13">
        <f>IF($C71="","",IFERROR(INDEX('Inventory'!$D$7:$D$106,MATCH($C71,'Inventory'!$B$7:$B$106,0))&amp;"","?"))</f>
        <v/>
      </c>
      <c r="G71" s="80">
        <f>IF(AND($B71="",$C71=""),"",IF($B71="","Pick menu item",IF(ISNA(MATCH($B71,'Menu Pricing'!$B$7:$B$56,0)),"Not on Menu Pricing",IF($C71="","Pick ingredient",IF($F71="?","Not in Inventory",IF($F71="","Set stock unit in Inventory",IF(N($D71)&lt;=0,"Enter quantity",IF($E71="","Pick unit",IF(IFERROR(INDEX('Lists'!$C$6:$C$30,MATCH($E71,'Lists'!$B$6:$B$30,0)),"?")&lt;&gt;IFERROR(INDEX('Lists'!$C$6:$C$30,MATCH($F71,'Lists'!$B$6:$B$30,0)),"?"),"Unit mismatch",IF(ISNUMBER(INDEX('Inventory'!$G$7:$G$106,MATCH($C71,'Inventory'!$B$7:$B$106,0))),"OK","Add price in Inventory"))))))))))</f>
        <v/>
      </c>
      <c r="H71" s="87">
        <f>IF($G71&lt;&gt;"OK","",$D71*INDEX('Lists'!$D$6:$D$30,MATCH($E71,'Lists'!$B$6:$B$30,0))/INDEX('Lists'!$D$6:$D$30,MATCH($F71,'Lists'!$B$6:$B$30,0)))</f>
        <v/>
      </c>
      <c r="I71" s="87">
        <f>IF($G71&lt;&gt;"OK","",INDEX('Inventory'!$G$7:$G$106,MATCH($C71,'Inventory'!$B$7:$B$106,0)))</f>
        <v/>
      </c>
      <c r="J71" s="88">
        <f>IF($G71&lt;&gt;"OK","",$H71*$I71)</f>
        <v/>
      </c>
      <c r="K71" s="82">
        <f>IF($G71&lt;&gt;"OK","",SUMIFS('Sales Log'!$D$7:$D$3006,'Sales Log'!$C$7:$C$3006,$B71,'Sales Log'!$B$7:$B$3006,"&gt;="&amp;cfg_CountDate,'Sales Log'!$N$7:$N$3006,"OK"))</f>
        <v/>
      </c>
      <c r="L71" s="89">
        <f>IF($G71&lt;&gt;"OK","",$H71*$K71)</f>
        <v/>
      </c>
    </row>
    <row r="72" ht="17" customHeight="1">
      <c r="B72" s="60" t="n"/>
      <c r="C72" s="60" t="n"/>
      <c r="D72" s="86" t="n"/>
      <c r="E72" s="60" t="n"/>
      <c r="F72" s="13">
        <f>IF($C72="","",IFERROR(INDEX('Inventory'!$D$7:$D$106,MATCH($C72,'Inventory'!$B$7:$B$106,0))&amp;"","?"))</f>
        <v/>
      </c>
      <c r="G72" s="80">
        <f>IF(AND($B72="",$C72=""),"",IF($B72="","Pick menu item",IF(ISNA(MATCH($B72,'Menu Pricing'!$B$7:$B$56,0)),"Not on Menu Pricing",IF($C72="","Pick ingredient",IF($F72="?","Not in Inventory",IF($F72="","Set stock unit in Inventory",IF(N($D72)&lt;=0,"Enter quantity",IF($E72="","Pick unit",IF(IFERROR(INDEX('Lists'!$C$6:$C$30,MATCH($E72,'Lists'!$B$6:$B$30,0)),"?")&lt;&gt;IFERROR(INDEX('Lists'!$C$6:$C$30,MATCH($F72,'Lists'!$B$6:$B$30,0)),"?"),"Unit mismatch",IF(ISNUMBER(INDEX('Inventory'!$G$7:$G$106,MATCH($C72,'Inventory'!$B$7:$B$106,0))),"OK","Add price in Inventory"))))))))))</f>
        <v/>
      </c>
      <c r="H72" s="87">
        <f>IF($G72&lt;&gt;"OK","",$D72*INDEX('Lists'!$D$6:$D$30,MATCH($E72,'Lists'!$B$6:$B$30,0))/INDEX('Lists'!$D$6:$D$30,MATCH($F72,'Lists'!$B$6:$B$30,0)))</f>
        <v/>
      </c>
      <c r="I72" s="87">
        <f>IF($G72&lt;&gt;"OK","",INDEX('Inventory'!$G$7:$G$106,MATCH($C72,'Inventory'!$B$7:$B$106,0)))</f>
        <v/>
      </c>
      <c r="J72" s="88">
        <f>IF($G72&lt;&gt;"OK","",$H72*$I72)</f>
        <v/>
      </c>
      <c r="K72" s="82">
        <f>IF($G72&lt;&gt;"OK","",SUMIFS('Sales Log'!$D$7:$D$3006,'Sales Log'!$C$7:$C$3006,$B72,'Sales Log'!$B$7:$B$3006,"&gt;="&amp;cfg_CountDate,'Sales Log'!$N$7:$N$3006,"OK"))</f>
        <v/>
      </c>
      <c r="L72" s="89">
        <f>IF($G72&lt;&gt;"OK","",$H72*$K72)</f>
        <v/>
      </c>
    </row>
    <row r="73" ht="17" customHeight="1">
      <c r="B73" s="60" t="n"/>
      <c r="C73" s="60" t="n"/>
      <c r="D73" s="86" t="n"/>
      <c r="E73" s="60" t="n"/>
      <c r="F73" s="13">
        <f>IF($C73="","",IFERROR(INDEX('Inventory'!$D$7:$D$106,MATCH($C73,'Inventory'!$B$7:$B$106,0))&amp;"","?"))</f>
        <v/>
      </c>
      <c r="G73" s="80">
        <f>IF(AND($B73="",$C73=""),"",IF($B73="","Pick menu item",IF(ISNA(MATCH($B73,'Menu Pricing'!$B$7:$B$56,0)),"Not on Menu Pricing",IF($C73="","Pick ingredient",IF($F73="?","Not in Inventory",IF($F73="","Set stock unit in Inventory",IF(N($D73)&lt;=0,"Enter quantity",IF($E73="","Pick unit",IF(IFERROR(INDEX('Lists'!$C$6:$C$30,MATCH($E73,'Lists'!$B$6:$B$30,0)),"?")&lt;&gt;IFERROR(INDEX('Lists'!$C$6:$C$30,MATCH($F73,'Lists'!$B$6:$B$30,0)),"?"),"Unit mismatch",IF(ISNUMBER(INDEX('Inventory'!$G$7:$G$106,MATCH($C73,'Inventory'!$B$7:$B$106,0))),"OK","Add price in Inventory"))))))))))</f>
        <v/>
      </c>
      <c r="H73" s="87">
        <f>IF($G73&lt;&gt;"OK","",$D73*INDEX('Lists'!$D$6:$D$30,MATCH($E73,'Lists'!$B$6:$B$30,0))/INDEX('Lists'!$D$6:$D$30,MATCH($F73,'Lists'!$B$6:$B$30,0)))</f>
        <v/>
      </c>
      <c r="I73" s="87">
        <f>IF($G73&lt;&gt;"OK","",INDEX('Inventory'!$G$7:$G$106,MATCH($C73,'Inventory'!$B$7:$B$106,0)))</f>
        <v/>
      </c>
      <c r="J73" s="88">
        <f>IF($G73&lt;&gt;"OK","",$H73*$I73)</f>
        <v/>
      </c>
      <c r="K73" s="82">
        <f>IF($G73&lt;&gt;"OK","",SUMIFS('Sales Log'!$D$7:$D$3006,'Sales Log'!$C$7:$C$3006,$B73,'Sales Log'!$B$7:$B$3006,"&gt;="&amp;cfg_CountDate,'Sales Log'!$N$7:$N$3006,"OK"))</f>
        <v/>
      </c>
      <c r="L73" s="89">
        <f>IF($G73&lt;&gt;"OK","",$H73*$K73)</f>
        <v/>
      </c>
    </row>
    <row r="74" ht="17" customHeight="1">
      <c r="B74" s="60" t="n"/>
      <c r="C74" s="60" t="n"/>
      <c r="D74" s="86" t="n"/>
      <c r="E74" s="60" t="n"/>
      <c r="F74" s="13">
        <f>IF($C74="","",IFERROR(INDEX('Inventory'!$D$7:$D$106,MATCH($C74,'Inventory'!$B$7:$B$106,0))&amp;"","?"))</f>
        <v/>
      </c>
      <c r="G74" s="80">
        <f>IF(AND($B74="",$C74=""),"",IF($B74="","Pick menu item",IF(ISNA(MATCH($B74,'Menu Pricing'!$B$7:$B$56,0)),"Not on Menu Pricing",IF($C74="","Pick ingredient",IF($F74="?","Not in Inventory",IF($F74="","Set stock unit in Inventory",IF(N($D74)&lt;=0,"Enter quantity",IF($E74="","Pick unit",IF(IFERROR(INDEX('Lists'!$C$6:$C$30,MATCH($E74,'Lists'!$B$6:$B$30,0)),"?")&lt;&gt;IFERROR(INDEX('Lists'!$C$6:$C$30,MATCH($F74,'Lists'!$B$6:$B$30,0)),"?"),"Unit mismatch",IF(ISNUMBER(INDEX('Inventory'!$G$7:$G$106,MATCH($C74,'Inventory'!$B$7:$B$106,0))),"OK","Add price in Inventory"))))))))))</f>
        <v/>
      </c>
      <c r="H74" s="87">
        <f>IF($G74&lt;&gt;"OK","",$D74*INDEX('Lists'!$D$6:$D$30,MATCH($E74,'Lists'!$B$6:$B$30,0))/INDEX('Lists'!$D$6:$D$30,MATCH($F74,'Lists'!$B$6:$B$30,0)))</f>
        <v/>
      </c>
      <c r="I74" s="87">
        <f>IF($G74&lt;&gt;"OK","",INDEX('Inventory'!$G$7:$G$106,MATCH($C74,'Inventory'!$B$7:$B$106,0)))</f>
        <v/>
      </c>
      <c r="J74" s="88">
        <f>IF($G74&lt;&gt;"OK","",$H74*$I74)</f>
        <v/>
      </c>
      <c r="K74" s="82">
        <f>IF($G74&lt;&gt;"OK","",SUMIFS('Sales Log'!$D$7:$D$3006,'Sales Log'!$C$7:$C$3006,$B74,'Sales Log'!$B$7:$B$3006,"&gt;="&amp;cfg_CountDate,'Sales Log'!$N$7:$N$3006,"OK"))</f>
        <v/>
      </c>
      <c r="L74" s="89">
        <f>IF($G74&lt;&gt;"OK","",$H74*$K74)</f>
        <v/>
      </c>
    </row>
    <row r="75" ht="17" customHeight="1">
      <c r="B75" s="60" t="n"/>
      <c r="C75" s="60" t="n"/>
      <c r="D75" s="86" t="n"/>
      <c r="E75" s="60" t="n"/>
      <c r="F75" s="13">
        <f>IF($C75="","",IFERROR(INDEX('Inventory'!$D$7:$D$106,MATCH($C75,'Inventory'!$B$7:$B$106,0))&amp;"","?"))</f>
        <v/>
      </c>
      <c r="G75" s="80">
        <f>IF(AND($B75="",$C75=""),"",IF($B75="","Pick menu item",IF(ISNA(MATCH($B75,'Menu Pricing'!$B$7:$B$56,0)),"Not on Menu Pricing",IF($C75="","Pick ingredient",IF($F75="?","Not in Inventory",IF($F75="","Set stock unit in Inventory",IF(N($D75)&lt;=0,"Enter quantity",IF($E75="","Pick unit",IF(IFERROR(INDEX('Lists'!$C$6:$C$30,MATCH($E75,'Lists'!$B$6:$B$30,0)),"?")&lt;&gt;IFERROR(INDEX('Lists'!$C$6:$C$30,MATCH($F75,'Lists'!$B$6:$B$30,0)),"?"),"Unit mismatch",IF(ISNUMBER(INDEX('Inventory'!$G$7:$G$106,MATCH($C75,'Inventory'!$B$7:$B$106,0))),"OK","Add price in Inventory"))))))))))</f>
        <v/>
      </c>
      <c r="H75" s="87">
        <f>IF($G75&lt;&gt;"OK","",$D75*INDEX('Lists'!$D$6:$D$30,MATCH($E75,'Lists'!$B$6:$B$30,0))/INDEX('Lists'!$D$6:$D$30,MATCH($F75,'Lists'!$B$6:$B$30,0)))</f>
        <v/>
      </c>
      <c r="I75" s="87">
        <f>IF($G75&lt;&gt;"OK","",INDEX('Inventory'!$G$7:$G$106,MATCH($C75,'Inventory'!$B$7:$B$106,0)))</f>
        <v/>
      </c>
      <c r="J75" s="88">
        <f>IF($G75&lt;&gt;"OK","",$H75*$I75)</f>
        <v/>
      </c>
      <c r="K75" s="82">
        <f>IF($G75&lt;&gt;"OK","",SUMIFS('Sales Log'!$D$7:$D$3006,'Sales Log'!$C$7:$C$3006,$B75,'Sales Log'!$B$7:$B$3006,"&gt;="&amp;cfg_CountDate,'Sales Log'!$N$7:$N$3006,"OK"))</f>
        <v/>
      </c>
      <c r="L75" s="89">
        <f>IF($G75&lt;&gt;"OK","",$H75*$K75)</f>
        <v/>
      </c>
    </row>
    <row r="76" ht="17" customHeight="1">
      <c r="B76" s="60" t="n"/>
      <c r="C76" s="60" t="n"/>
      <c r="D76" s="86" t="n"/>
      <c r="E76" s="60" t="n"/>
      <c r="F76" s="13">
        <f>IF($C76="","",IFERROR(INDEX('Inventory'!$D$7:$D$106,MATCH($C76,'Inventory'!$B$7:$B$106,0))&amp;"","?"))</f>
        <v/>
      </c>
      <c r="G76" s="80">
        <f>IF(AND($B76="",$C76=""),"",IF($B76="","Pick menu item",IF(ISNA(MATCH($B76,'Menu Pricing'!$B$7:$B$56,0)),"Not on Menu Pricing",IF($C76="","Pick ingredient",IF($F76="?","Not in Inventory",IF($F76="","Set stock unit in Inventory",IF(N($D76)&lt;=0,"Enter quantity",IF($E76="","Pick unit",IF(IFERROR(INDEX('Lists'!$C$6:$C$30,MATCH($E76,'Lists'!$B$6:$B$30,0)),"?")&lt;&gt;IFERROR(INDEX('Lists'!$C$6:$C$30,MATCH($F76,'Lists'!$B$6:$B$30,0)),"?"),"Unit mismatch",IF(ISNUMBER(INDEX('Inventory'!$G$7:$G$106,MATCH($C76,'Inventory'!$B$7:$B$106,0))),"OK","Add price in Inventory"))))))))))</f>
        <v/>
      </c>
      <c r="H76" s="87">
        <f>IF($G76&lt;&gt;"OK","",$D76*INDEX('Lists'!$D$6:$D$30,MATCH($E76,'Lists'!$B$6:$B$30,0))/INDEX('Lists'!$D$6:$D$30,MATCH($F76,'Lists'!$B$6:$B$30,0)))</f>
        <v/>
      </c>
      <c r="I76" s="87">
        <f>IF($G76&lt;&gt;"OK","",INDEX('Inventory'!$G$7:$G$106,MATCH($C76,'Inventory'!$B$7:$B$106,0)))</f>
        <v/>
      </c>
      <c r="J76" s="88">
        <f>IF($G76&lt;&gt;"OK","",$H76*$I76)</f>
        <v/>
      </c>
      <c r="K76" s="82">
        <f>IF($G76&lt;&gt;"OK","",SUMIFS('Sales Log'!$D$7:$D$3006,'Sales Log'!$C$7:$C$3006,$B76,'Sales Log'!$B$7:$B$3006,"&gt;="&amp;cfg_CountDate,'Sales Log'!$N$7:$N$3006,"OK"))</f>
        <v/>
      </c>
      <c r="L76" s="89">
        <f>IF($G76&lt;&gt;"OK","",$H76*$K76)</f>
        <v/>
      </c>
    </row>
    <row r="77" ht="17" customHeight="1">
      <c r="B77" s="60" t="n"/>
      <c r="C77" s="60" t="n"/>
      <c r="D77" s="86" t="n"/>
      <c r="E77" s="60" t="n"/>
      <c r="F77" s="13">
        <f>IF($C77="","",IFERROR(INDEX('Inventory'!$D$7:$D$106,MATCH($C77,'Inventory'!$B$7:$B$106,0))&amp;"","?"))</f>
        <v/>
      </c>
      <c r="G77" s="80">
        <f>IF(AND($B77="",$C77=""),"",IF($B77="","Pick menu item",IF(ISNA(MATCH($B77,'Menu Pricing'!$B$7:$B$56,0)),"Not on Menu Pricing",IF($C77="","Pick ingredient",IF($F77="?","Not in Inventory",IF($F77="","Set stock unit in Inventory",IF(N($D77)&lt;=0,"Enter quantity",IF($E77="","Pick unit",IF(IFERROR(INDEX('Lists'!$C$6:$C$30,MATCH($E77,'Lists'!$B$6:$B$30,0)),"?")&lt;&gt;IFERROR(INDEX('Lists'!$C$6:$C$30,MATCH($F77,'Lists'!$B$6:$B$30,0)),"?"),"Unit mismatch",IF(ISNUMBER(INDEX('Inventory'!$G$7:$G$106,MATCH($C77,'Inventory'!$B$7:$B$106,0))),"OK","Add price in Inventory"))))))))))</f>
        <v/>
      </c>
      <c r="H77" s="87">
        <f>IF($G77&lt;&gt;"OK","",$D77*INDEX('Lists'!$D$6:$D$30,MATCH($E77,'Lists'!$B$6:$B$30,0))/INDEX('Lists'!$D$6:$D$30,MATCH($F77,'Lists'!$B$6:$B$30,0)))</f>
        <v/>
      </c>
      <c r="I77" s="87">
        <f>IF($G77&lt;&gt;"OK","",INDEX('Inventory'!$G$7:$G$106,MATCH($C77,'Inventory'!$B$7:$B$106,0)))</f>
        <v/>
      </c>
      <c r="J77" s="88">
        <f>IF($G77&lt;&gt;"OK","",$H77*$I77)</f>
        <v/>
      </c>
      <c r="K77" s="82">
        <f>IF($G77&lt;&gt;"OK","",SUMIFS('Sales Log'!$D$7:$D$3006,'Sales Log'!$C$7:$C$3006,$B77,'Sales Log'!$B$7:$B$3006,"&gt;="&amp;cfg_CountDate,'Sales Log'!$N$7:$N$3006,"OK"))</f>
        <v/>
      </c>
      <c r="L77" s="89">
        <f>IF($G77&lt;&gt;"OK","",$H77*$K77)</f>
        <v/>
      </c>
    </row>
    <row r="78" ht="17" customHeight="1">
      <c r="B78" s="60" t="n"/>
      <c r="C78" s="60" t="n"/>
      <c r="D78" s="86" t="n"/>
      <c r="E78" s="60" t="n"/>
      <c r="F78" s="13">
        <f>IF($C78="","",IFERROR(INDEX('Inventory'!$D$7:$D$106,MATCH($C78,'Inventory'!$B$7:$B$106,0))&amp;"","?"))</f>
        <v/>
      </c>
      <c r="G78" s="80">
        <f>IF(AND($B78="",$C78=""),"",IF($B78="","Pick menu item",IF(ISNA(MATCH($B78,'Menu Pricing'!$B$7:$B$56,0)),"Not on Menu Pricing",IF($C78="","Pick ingredient",IF($F78="?","Not in Inventory",IF($F78="","Set stock unit in Inventory",IF(N($D78)&lt;=0,"Enter quantity",IF($E78="","Pick unit",IF(IFERROR(INDEX('Lists'!$C$6:$C$30,MATCH($E78,'Lists'!$B$6:$B$30,0)),"?")&lt;&gt;IFERROR(INDEX('Lists'!$C$6:$C$30,MATCH($F78,'Lists'!$B$6:$B$30,0)),"?"),"Unit mismatch",IF(ISNUMBER(INDEX('Inventory'!$G$7:$G$106,MATCH($C78,'Inventory'!$B$7:$B$106,0))),"OK","Add price in Inventory"))))))))))</f>
        <v/>
      </c>
      <c r="H78" s="87">
        <f>IF($G78&lt;&gt;"OK","",$D78*INDEX('Lists'!$D$6:$D$30,MATCH($E78,'Lists'!$B$6:$B$30,0))/INDEX('Lists'!$D$6:$D$30,MATCH($F78,'Lists'!$B$6:$B$30,0)))</f>
        <v/>
      </c>
      <c r="I78" s="87">
        <f>IF($G78&lt;&gt;"OK","",INDEX('Inventory'!$G$7:$G$106,MATCH($C78,'Inventory'!$B$7:$B$106,0)))</f>
        <v/>
      </c>
      <c r="J78" s="88">
        <f>IF($G78&lt;&gt;"OK","",$H78*$I78)</f>
        <v/>
      </c>
      <c r="K78" s="82">
        <f>IF($G78&lt;&gt;"OK","",SUMIFS('Sales Log'!$D$7:$D$3006,'Sales Log'!$C$7:$C$3006,$B78,'Sales Log'!$B$7:$B$3006,"&gt;="&amp;cfg_CountDate,'Sales Log'!$N$7:$N$3006,"OK"))</f>
        <v/>
      </c>
      <c r="L78" s="89">
        <f>IF($G78&lt;&gt;"OK","",$H78*$K78)</f>
        <v/>
      </c>
    </row>
    <row r="79" ht="17" customHeight="1">
      <c r="B79" s="60" t="n"/>
      <c r="C79" s="60" t="n"/>
      <c r="D79" s="86" t="n"/>
      <c r="E79" s="60" t="n"/>
      <c r="F79" s="13">
        <f>IF($C79="","",IFERROR(INDEX('Inventory'!$D$7:$D$106,MATCH($C79,'Inventory'!$B$7:$B$106,0))&amp;"","?"))</f>
        <v/>
      </c>
      <c r="G79" s="80">
        <f>IF(AND($B79="",$C79=""),"",IF($B79="","Pick menu item",IF(ISNA(MATCH($B79,'Menu Pricing'!$B$7:$B$56,0)),"Not on Menu Pricing",IF($C79="","Pick ingredient",IF($F79="?","Not in Inventory",IF($F79="","Set stock unit in Inventory",IF(N($D79)&lt;=0,"Enter quantity",IF($E79="","Pick unit",IF(IFERROR(INDEX('Lists'!$C$6:$C$30,MATCH($E79,'Lists'!$B$6:$B$30,0)),"?")&lt;&gt;IFERROR(INDEX('Lists'!$C$6:$C$30,MATCH($F79,'Lists'!$B$6:$B$30,0)),"?"),"Unit mismatch",IF(ISNUMBER(INDEX('Inventory'!$G$7:$G$106,MATCH($C79,'Inventory'!$B$7:$B$106,0))),"OK","Add price in Inventory"))))))))))</f>
        <v/>
      </c>
      <c r="H79" s="87">
        <f>IF($G79&lt;&gt;"OK","",$D79*INDEX('Lists'!$D$6:$D$30,MATCH($E79,'Lists'!$B$6:$B$30,0))/INDEX('Lists'!$D$6:$D$30,MATCH($F79,'Lists'!$B$6:$B$30,0)))</f>
        <v/>
      </c>
      <c r="I79" s="87">
        <f>IF($G79&lt;&gt;"OK","",INDEX('Inventory'!$G$7:$G$106,MATCH($C79,'Inventory'!$B$7:$B$106,0)))</f>
        <v/>
      </c>
      <c r="J79" s="88">
        <f>IF($G79&lt;&gt;"OK","",$H79*$I79)</f>
        <v/>
      </c>
      <c r="K79" s="82">
        <f>IF($G79&lt;&gt;"OK","",SUMIFS('Sales Log'!$D$7:$D$3006,'Sales Log'!$C$7:$C$3006,$B79,'Sales Log'!$B$7:$B$3006,"&gt;="&amp;cfg_CountDate,'Sales Log'!$N$7:$N$3006,"OK"))</f>
        <v/>
      </c>
      <c r="L79" s="89">
        <f>IF($G79&lt;&gt;"OK","",$H79*$K79)</f>
        <v/>
      </c>
    </row>
    <row r="80" ht="17" customHeight="1">
      <c r="B80" s="60" t="n"/>
      <c r="C80" s="60" t="n"/>
      <c r="D80" s="86" t="n"/>
      <c r="E80" s="60" t="n"/>
      <c r="F80" s="13">
        <f>IF($C80="","",IFERROR(INDEX('Inventory'!$D$7:$D$106,MATCH($C80,'Inventory'!$B$7:$B$106,0))&amp;"","?"))</f>
        <v/>
      </c>
      <c r="G80" s="80">
        <f>IF(AND($B80="",$C80=""),"",IF($B80="","Pick menu item",IF(ISNA(MATCH($B80,'Menu Pricing'!$B$7:$B$56,0)),"Not on Menu Pricing",IF($C80="","Pick ingredient",IF($F80="?","Not in Inventory",IF($F80="","Set stock unit in Inventory",IF(N($D80)&lt;=0,"Enter quantity",IF($E80="","Pick unit",IF(IFERROR(INDEX('Lists'!$C$6:$C$30,MATCH($E80,'Lists'!$B$6:$B$30,0)),"?")&lt;&gt;IFERROR(INDEX('Lists'!$C$6:$C$30,MATCH($F80,'Lists'!$B$6:$B$30,0)),"?"),"Unit mismatch",IF(ISNUMBER(INDEX('Inventory'!$G$7:$G$106,MATCH($C80,'Inventory'!$B$7:$B$106,0))),"OK","Add price in Inventory"))))))))))</f>
        <v/>
      </c>
      <c r="H80" s="87">
        <f>IF($G80&lt;&gt;"OK","",$D80*INDEX('Lists'!$D$6:$D$30,MATCH($E80,'Lists'!$B$6:$B$30,0))/INDEX('Lists'!$D$6:$D$30,MATCH($F80,'Lists'!$B$6:$B$30,0)))</f>
        <v/>
      </c>
      <c r="I80" s="87">
        <f>IF($G80&lt;&gt;"OK","",INDEX('Inventory'!$G$7:$G$106,MATCH($C80,'Inventory'!$B$7:$B$106,0)))</f>
        <v/>
      </c>
      <c r="J80" s="88">
        <f>IF($G80&lt;&gt;"OK","",$H80*$I80)</f>
        <v/>
      </c>
      <c r="K80" s="82">
        <f>IF($G80&lt;&gt;"OK","",SUMIFS('Sales Log'!$D$7:$D$3006,'Sales Log'!$C$7:$C$3006,$B80,'Sales Log'!$B$7:$B$3006,"&gt;="&amp;cfg_CountDate,'Sales Log'!$N$7:$N$3006,"OK"))</f>
        <v/>
      </c>
      <c r="L80" s="89">
        <f>IF($G80&lt;&gt;"OK","",$H80*$K80)</f>
        <v/>
      </c>
    </row>
    <row r="81" ht="17" customHeight="1">
      <c r="B81" s="60" t="n"/>
      <c r="C81" s="60" t="n"/>
      <c r="D81" s="86" t="n"/>
      <c r="E81" s="60" t="n"/>
      <c r="F81" s="13">
        <f>IF($C81="","",IFERROR(INDEX('Inventory'!$D$7:$D$106,MATCH($C81,'Inventory'!$B$7:$B$106,0))&amp;"","?"))</f>
        <v/>
      </c>
      <c r="G81" s="80">
        <f>IF(AND($B81="",$C81=""),"",IF($B81="","Pick menu item",IF(ISNA(MATCH($B81,'Menu Pricing'!$B$7:$B$56,0)),"Not on Menu Pricing",IF($C81="","Pick ingredient",IF($F81="?","Not in Inventory",IF($F81="","Set stock unit in Inventory",IF(N($D81)&lt;=0,"Enter quantity",IF($E81="","Pick unit",IF(IFERROR(INDEX('Lists'!$C$6:$C$30,MATCH($E81,'Lists'!$B$6:$B$30,0)),"?")&lt;&gt;IFERROR(INDEX('Lists'!$C$6:$C$30,MATCH($F81,'Lists'!$B$6:$B$30,0)),"?"),"Unit mismatch",IF(ISNUMBER(INDEX('Inventory'!$G$7:$G$106,MATCH($C81,'Inventory'!$B$7:$B$106,0))),"OK","Add price in Inventory"))))))))))</f>
        <v/>
      </c>
      <c r="H81" s="87">
        <f>IF($G81&lt;&gt;"OK","",$D81*INDEX('Lists'!$D$6:$D$30,MATCH($E81,'Lists'!$B$6:$B$30,0))/INDEX('Lists'!$D$6:$D$30,MATCH($F81,'Lists'!$B$6:$B$30,0)))</f>
        <v/>
      </c>
      <c r="I81" s="87">
        <f>IF($G81&lt;&gt;"OK","",INDEX('Inventory'!$G$7:$G$106,MATCH($C81,'Inventory'!$B$7:$B$106,0)))</f>
        <v/>
      </c>
      <c r="J81" s="88">
        <f>IF($G81&lt;&gt;"OK","",$H81*$I81)</f>
        <v/>
      </c>
      <c r="K81" s="82">
        <f>IF($G81&lt;&gt;"OK","",SUMIFS('Sales Log'!$D$7:$D$3006,'Sales Log'!$C$7:$C$3006,$B81,'Sales Log'!$B$7:$B$3006,"&gt;="&amp;cfg_CountDate,'Sales Log'!$N$7:$N$3006,"OK"))</f>
        <v/>
      </c>
      <c r="L81" s="89">
        <f>IF($G81&lt;&gt;"OK","",$H81*$K81)</f>
        <v/>
      </c>
    </row>
    <row r="82" ht="17" customHeight="1">
      <c r="B82" s="60" t="n"/>
      <c r="C82" s="60" t="n"/>
      <c r="D82" s="86" t="n"/>
      <c r="E82" s="60" t="n"/>
      <c r="F82" s="13">
        <f>IF($C82="","",IFERROR(INDEX('Inventory'!$D$7:$D$106,MATCH($C82,'Inventory'!$B$7:$B$106,0))&amp;"","?"))</f>
        <v/>
      </c>
      <c r="G82" s="80">
        <f>IF(AND($B82="",$C82=""),"",IF($B82="","Pick menu item",IF(ISNA(MATCH($B82,'Menu Pricing'!$B$7:$B$56,0)),"Not on Menu Pricing",IF($C82="","Pick ingredient",IF($F82="?","Not in Inventory",IF($F82="","Set stock unit in Inventory",IF(N($D82)&lt;=0,"Enter quantity",IF($E82="","Pick unit",IF(IFERROR(INDEX('Lists'!$C$6:$C$30,MATCH($E82,'Lists'!$B$6:$B$30,0)),"?")&lt;&gt;IFERROR(INDEX('Lists'!$C$6:$C$30,MATCH($F82,'Lists'!$B$6:$B$30,0)),"?"),"Unit mismatch",IF(ISNUMBER(INDEX('Inventory'!$G$7:$G$106,MATCH($C82,'Inventory'!$B$7:$B$106,0))),"OK","Add price in Inventory"))))))))))</f>
        <v/>
      </c>
      <c r="H82" s="87">
        <f>IF($G82&lt;&gt;"OK","",$D82*INDEX('Lists'!$D$6:$D$30,MATCH($E82,'Lists'!$B$6:$B$30,0))/INDEX('Lists'!$D$6:$D$30,MATCH($F82,'Lists'!$B$6:$B$30,0)))</f>
        <v/>
      </c>
      <c r="I82" s="87">
        <f>IF($G82&lt;&gt;"OK","",INDEX('Inventory'!$G$7:$G$106,MATCH($C82,'Inventory'!$B$7:$B$106,0)))</f>
        <v/>
      </c>
      <c r="J82" s="88">
        <f>IF($G82&lt;&gt;"OK","",$H82*$I82)</f>
        <v/>
      </c>
      <c r="K82" s="82">
        <f>IF($G82&lt;&gt;"OK","",SUMIFS('Sales Log'!$D$7:$D$3006,'Sales Log'!$C$7:$C$3006,$B82,'Sales Log'!$B$7:$B$3006,"&gt;="&amp;cfg_CountDate,'Sales Log'!$N$7:$N$3006,"OK"))</f>
        <v/>
      </c>
      <c r="L82" s="89">
        <f>IF($G82&lt;&gt;"OK","",$H82*$K82)</f>
        <v/>
      </c>
    </row>
    <row r="83" ht="17" customHeight="1">
      <c r="B83" s="60" t="n"/>
      <c r="C83" s="60" t="n"/>
      <c r="D83" s="86" t="n"/>
      <c r="E83" s="60" t="n"/>
      <c r="F83" s="13">
        <f>IF($C83="","",IFERROR(INDEX('Inventory'!$D$7:$D$106,MATCH($C83,'Inventory'!$B$7:$B$106,0))&amp;"","?"))</f>
        <v/>
      </c>
      <c r="G83" s="80">
        <f>IF(AND($B83="",$C83=""),"",IF($B83="","Pick menu item",IF(ISNA(MATCH($B83,'Menu Pricing'!$B$7:$B$56,0)),"Not on Menu Pricing",IF($C83="","Pick ingredient",IF($F83="?","Not in Inventory",IF($F83="","Set stock unit in Inventory",IF(N($D83)&lt;=0,"Enter quantity",IF($E83="","Pick unit",IF(IFERROR(INDEX('Lists'!$C$6:$C$30,MATCH($E83,'Lists'!$B$6:$B$30,0)),"?")&lt;&gt;IFERROR(INDEX('Lists'!$C$6:$C$30,MATCH($F83,'Lists'!$B$6:$B$30,0)),"?"),"Unit mismatch",IF(ISNUMBER(INDEX('Inventory'!$G$7:$G$106,MATCH($C83,'Inventory'!$B$7:$B$106,0))),"OK","Add price in Inventory"))))))))))</f>
        <v/>
      </c>
      <c r="H83" s="87">
        <f>IF($G83&lt;&gt;"OK","",$D83*INDEX('Lists'!$D$6:$D$30,MATCH($E83,'Lists'!$B$6:$B$30,0))/INDEX('Lists'!$D$6:$D$30,MATCH($F83,'Lists'!$B$6:$B$30,0)))</f>
        <v/>
      </c>
      <c r="I83" s="87">
        <f>IF($G83&lt;&gt;"OK","",INDEX('Inventory'!$G$7:$G$106,MATCH($C83,'Inventory'!$B$7:$B$106,0)))</f>
        <v/>
      </c>
      <c r="J83" s="88">
        <f>IF($G83&lt;&gt;"OK","",$H83*$I83)</f>
        <v/>
      </c>
      <c r="K83" s="82">
        <f>IF($G83&lt;&gt;"OK","",SUMIFS('Sales Log'!$D$7:$D$3006,'Sales Log'!$C$7:$C$3006,$B83,'Sales Log'!$B$7:$B$3006,"&gt;="&amp;cfg_CountDate,'Sales Log'!$N$7:$N$3006,"OK"))</f>
        <v/>
      </c>
      <c r="L83" s="89">
        <f>IF($G83&lt;&gt;"OK","",$H83*$K83)</f>
        <v/>
      </c>
    </row>
    <row r="84" ht="17" customHeight="1">
      <c r="B84" s="60" t="n"/>
      <c r="C84" s="60" t="n"/>
      <c r="D84" s="86" t="n"/>
      <c r="E84" s="60" t="n"/>
      <c r="F84" s="13">
        <f>IF($C84="","",IFERROR(INDEX('Inventory'!$D$7:$D$106,MATCH($C84,'Inventory'!$B$7:$B$106,0))&amp;"","?"))</f>
        <v/>
      </c>
      <c r="G84" s="80">
        <f>IF(AND($B84="",$C84=""),"",IF($B84="","Pick menu item",IF(ISNA(MATCH($B84,'Menu Pricing'!$B$7:$B$56,0)),"Not on Menu Pricing",IF($C84="","Pick ingredient",IF($F84="?","Not in Inventory",IF($F84="","Set stock unit in Inventory",IF(N($D84)&lt;=0,"Enter quantity",IF($E84="","Pick unit",IF(IFERROR(INDEX('Lists'!$C$6:$C$30,MATCH($E84,'Lists'!$B$6:$B$30,0)),"?")&lt;&gt;IFERROR(INDEX('Lists'!$C$6:$C$30,MATCH($F84,'Lists'!$B$6:$B$30,0)),"?"),"Unit mismatch",IF(ISNUMBER(INDEX('Inventory'!$G$7:$G$106,MATCH($C84,'Inventory'!$B$7:$B$106,0))),"OK","Add price in Inventory"))))))))))</f>
        <v/>
      </c>
      <c r="H84" s="87">
        <f>IF($G84&lt;&gt;"OK","",$D84*INDEX('Lists'!$D$6:$D$30,MATCH($E84,'Lists'!$B$6:$B$30,0))/INDEX('Lists'!$D$6:$D$30,MATCH($F84,'Lists'!$B$6:$B$30,0)))</f>
        <v/>
      </c>
      <c r="I84" s="87">
        <f>IF($G84&lt;&gt;"OK","",INDEX('Inventory'!$G$7:$G$106,MATCH($C84,'Inventory'!$B$7:$B$106,0)))</f>
        <v/>
      </c>
      <c r="J84" s="88">
        <f>IF($G84&lt;&gt;"OK","",$H84*$I84)</f>
        <v/>
      </c>
      <c r="K84" s="82">
        <f>IF($G84&lt;&gt;"OK","",SUMIFS('Sales Log'!$D$7:$D$3006,'Sales Log'!$C$7:$C$3006,$B84,'Sales Log'!$B$7:$B$3006,"&gt;="&amp;cfg_CountDate,'Sales Log'!$N$7:$N$3006,"OK"))</f>
        <v/>
      </c>
      <c r="L84" s="89">
        <f>IF($G84&lt;&gt;"OK","",$H84*$K84)</f>
        <v/>
      </c>
    </row>
    <row r="85" ht="17" customHeight="1">
      <c r="B85" s="60" t="n"/>
      <c r="C85" s="60" t="n"/>
      <c r="D85" s="86" t="n"/>
      <c r="E85" s="60" t="n"/>
      <c r="F85" s="13">
        <f>IF($C85="","",IFERROR(INDEX('Inventory'!$D$7:$D$106,MATCH($C85,'Inventory'!$B$7:$B$106,0))&amp;"","?"))</f>
        <v/>
      </c>
      <c r="G85" s="80">
        <f>IF(AND($B85="",$C85=""),"",IF($B85="","Pick menu item",IF(ISNA(MATCH($B85,'Menu Pricing'!$B$7:$B$56,0)),"Not on Menu Pricing",IF($C85="","Pick ingredient",IF($F85="?","Not in Inventory",IF($F85="","Set stock unit in Inventory",IF(N($D85)&lt;=0,"Enter quantity",IF($E85="","Pick unit",IF(IFERROR(INDEX('Lists'!$C$6:$C$30,MATCH($E85,'Lists'!$B$6:$B$30,0)),"?")&lt;&gt;IFERROR(INDEX('Lists'!$C$6:$C$30,MATCH($F85,'Lists'!$B$6:$B$30,0)),"?"),"Unit mismatch",IF(ISNUMBER(INDEX('Inventory'!$G$7:$G$106,MATCH($C85,'Inventory'!$B$7:$B$106,0))),"OK","Add price in Inventory"))))))))))</f>
        <v/>
      </c>
      <c r="H85" s="87">
        <f>IF($G85&lt;&gt;"OK","",$D85*INDEX('Lists'!$D$6:$D$30,MATCH($E85,'Lists'!$B$6:$B$30,0))/INDEX('Lists'!$D$6:$D$30,MATCH($F85,'Lists'!$B$6:$B$30,0)))</f>
        <v/>
      </c>
      <c r="I85" s="87">
        <f>IF($G85&lt;&gt;"OK","",INDEX('Inventory'!$G$7:$G$106,MATCH($C85,'Inventory'!$B$7:$B$106,0)))</f>
        <v/>
      </c>
      <c r="J85" s="88">
        <f>IF($G85&lt;&gt;"OK","",$H85*$I85)</f>
        <v/>
      </c>
      <c r="K85" s="82">
        <f>IF($G85&lt;&gt;"OK","",SUMIFS('Sales Log'!$D$7:$D$3006,'Sales Log'!$C$7:$C$3006,$B85,'Sales Log'!$B$7:$B$3006,"&gt;="&amp;cfg_CountDate,'Sales Log'!$N$7:$N$3006,"OK"))</f>
        <v/>
      </c>
      <c r="L85" s="89">
        <f>IF($G85&lt;&gt;"OK","",$H85*$K85)</f>
        <v/>
      </c>
    </row>
    <row r="86" ht="17" customHeight="1">
      <c r="B86" s="60" t="n"/>
      <c r="C86" s="60" t="n"/>
      <c r="D86" s="86" t="n"/>
      <c r="E86" s="60" t="n"/>
      <c r="F86" s="13">
        <f>IF($C86="","",IFERROR(INDEX('Inventory'!$D$7:$D$106,MATCH($C86,'Inventory'!$B$7:$B$106,0))&amp;"","?"))</f>
        <v/>
      </c>
      <c r="G86" s="80">
        <f>IF(AND($B86="",$C86=""),"",IF($B86="","Pick menu item",IF(ISNA(MATCH($B86,'Menu Pricing'!$B$7:$B$56,0)),"Not on Menu Pricing",IF($C86="","Pick ingredient",IF($F86="?","Not in Inventory",IF($F86="","Set stock unit in Inventory",IF(N($D86)&lt;=0,"Enter quantity",IF($E86="","Pick unit",IF(IFERROR(INDEX('Lists'!$C$6:$C$30,MATCH($E86,'Lists'!$B$6:$B$30,0)),"?")&lt;&gt;IFERROR(INDEX('Lists'!$C$6:$C$30,MATCH($F86,'Lists'!$B$6:$B$30,0)),"?"),"Unit mismatch",IF(ISNUMBER(INDEX('Inventory'!$G$7:$G$106,MATCH($C86,'Inventory'!$B$7:$B$106,0))),"OK","Add price in Inventory"))))))))))</f>
        <v/>
      </c>
      <c r="H86" s="87">
        <f>IF($G86&lt;&gt;"OK","",$D86*INDEX('Lists'!$D$6:$D$30,MATCH($E86,'Lists'!$B$6:$B$30,0))/INDEX('Lists'!$D$6:$D$30,MATCH($F86,'Lists'!$B$6:$B$30,0)))</f>
        <v/>
      </c>
      <c r="I86" s="87">
        <f>IF($G86&lt;&gt;"OK","",INDEX('Inventory'!$G$7:$G$106,MATCH($C86,'Inventory'!$B$7:$B$106,0)))</f>
        <v/>
      </c>
      <c r="J86" s="88">
        <f>IF($G86&lt;&gt;"OK","",$H86*$I86)</f>
        <v/>
      </c>
      <c r="K86" s="82">
        <f>IF($G86&lt;&gt;"OK","",SUMIFS('Sales Log'!$D$7:$D$3006,'Sales Log'!$C$7:$C$3006,$B86,'Sales Log'!$B$7:$B$3006,"&gt;="&amp;cfg_CountDate,'Sales Log'!$N$7:$N$3006,"OK"))</f>
        <v/>
      </c>
      <c r="L86" s="89">
        <f>IF($G86&lt;&gt;"OK","",$H86*$K86)</f>
        <v/>
      </c>
    </row>
    <row r="87" ht="17" customHeight="1">
      <c r="B87" s="60" t="n"/>
      <c r="C87" s="60" t="n"/>
      <c r="D87" s="86" t="n"/>
      <c r="E87" s="60" t="n"/>
      <c r="F87" s="13">
        <f>IF($C87="","",IFERROR(INDEX('Inventory'!$D$7:$D$106,MATCH($C87,'Inventory'!$B$7:$B$106,0))&amp;"","?"))</f>
        <v/>
      </c>
      <c r="G87" s="80">
        <f>IF(AND($B87="",$C87=""),"",IF($B87="","Pick menu item",IF(ISNA(MATCH($B87,'Menu Pricing'!$B$7:$B$56,0)),"Not on Menu Pricing",IF($C87="","Pick ingredient",IF($F87="?","Not in Inventory",IF($F87="","Set stock unit in Inventory",IF(N($D87)&lt;=0,"Enter quantity",IF($E87="","Pick unit",IF(IFERROR(INDEX('Lists'!$C$6:$C$30,MATCH($E87,'Lists'!$B$6:$B$30,0)),"?")&lt;&gt;IFERROR(INDEX('Lists'!$C$6:$C$30,MATCH($F87,'Lists'!$B$6:$B$30,0)),"?"),"Unit mismatch",IF(ISNUMBER(INDEX('Inventory'!$G$7:$G$106,MATCH($C87,'Inventory'!$B$7:$B$106,0))),"OK","Add price in Inventory"))))))))))</f>
        <v/>
      </c>
      <c r="H87" s="87">
        <f>IF($G87&lt;&gt;"OK","",$D87*INDEX('Lists'!$D$6:$D$30,MATCH($E87,'Lists'!$B$6:$B$30,0))/INDEX('Lists'!$D$6:$D$30,MATCH($F87,'Lists'!$B$6:$B$30,0)))</f>
        <v/>
      </c>
      <c r="I87" s="87">
        <f>IF($G87&lt;&gt;"OK","",INDEX('Inventory'!$G$7:$G$106,MATCH($C87,'Inventory'!$B$7:$B$106,0)))</f>
        <v/>
      </c>
      <c r="J87" s="88">
        <f>IF($G87&lt;&gt;"OK","",$H87*$I87)</f>
        <v/>
      </c>
      <c r="K87" s="82">
        <f>IF($G87&lt;&gt;"OK","",SUMIFS('Sales Log'!$D$7:$D$3006,'Sales Log'!$C$7:$C$3006,$B87,'Sales Log'!$B$7:$B$3006,"&gt;="&amp;cfg_CountDate,'Sales Log'!$N$7:$N$3006,"OK"))</f>
        <v/>
      </c>
      <c r="L87" s="89">
        <f>IF($G87&lt;&gt;"OK","",$H87*$K87)</f>
        <v/>
      </c>
    </row>
    <row r="88" ht="17" customHeight="1">
      <c r="B88" s="60" t="n"/>
      <c r="C88" s="60" t="n"/>
      <c r="D88" s="86" t="n"/>
      <c r="E88" s="60" t="n"/>
      <c r="F88" s="13">
        <f>IF($C88="","",IFERROR(INDEX('Inventory'!$D$7:$D$106,MATCH($C88,'Inventory'!$B$7:$B$106,0))&amp;"","?"))</f>
        <v/>
      </c>
      <c r="G88" s="80">
        <f>IF(AND($B88="",$C88=""),"",IF($B88="","Pick menu item",IF(ISNA(MATCH($B88,'Menu Pricing'!$B$7:$B$56,0)),"Not on Menu Pricing",IF($C88="","Pick ingredient",IF($F88="?","Not in Inventory",IF($F88="","Set stock unit in Inventory",IF(N($D88)&lt;=0,"Enter quantity",IF($E88="","Pick unit",IF(IFERROR(INDEX('Lists'!$C$6:$C$30,MATCH($E88,'Lists'!$B$6:$B$30,0)),"?")&lt;&gt;IFERROR(INDEX('Lists'!$C$6:$C$30,MATCH($F88,'Lists'!$B$6:$B$30,0)),"?"),"Unit mismatch",IF(ISNUMBER(INDEX('Inventory'!$G$7:$G$106,MATCH($C88,'Inventory'!$B$7:$B$106,0))),"OK","Add price in Inventory"))))))))))</f>
        <v/>
      </c>
      <c r="H88" s="87">
        <f>IF($G88&lt;&gt;"OK","",$D88*INDEX('Lists'!$D$6:$D$30,MATCH($E88,'Lists'!$B$6:$B$30,0))/INDEX('Lists'!$D$6:$D$30,MATCH($F88,'Lists'!$B$6:$B$30,0)))</f>
        <v/>
      </c>
      <c r="I88" s="87">
        <f>IF($G88&lt;&gt;"OK","",INDEX('Inventory'!$G$7:$G$106,MATCH($C88,'Inventory'!$B$7:$B$106,0)))</f>
        <v/>
      </c>
      <c r="J88" s="88">
        <f>IF($G88&lt;&gt;"OK","",$H88*$I88)</f>
        <v/>
      </c>
      <c r="K88" s="82">
        <f>IF($G88&lt;&gt;"OK","",SUMIFS('Sales Log'!$D$7:$D$3006,'Sales Log'!$C$7:$C$3006,$B88,'Sales Log'!$B$7:$B$3006,"&gt;="&amp;cfg_CountDate,'Sales Log'!$N$7:$N$3006,"OK"))</f>
        <v/>
      </c>
      <c r="L88" s="89">
        <f>IF($G88&lt;&gt;"OK","",$H88*$K88)</f>
        <v/>
      </c>
    </row>
    <row r="89" ht="17" customHeight="1">
      <c r="B89" s="60" t="n"/>
      <c r="C89" s="60" t="n"/>
      <c r="D89" s="86" t="n"/>
      <c r="E89" s="60" t="n"/>
      <c r="F89" s="13">
        <f>IF($C89="","",IFERROR(INDEX('Inventory'!$D$7:$D$106,MATCH($C89,'Inventory'!$B$7:$B$106,0))&amp;"","?"))</f>
        <v/>
      </c>
      <c r="G89" s="80">
        <f>IF(AND($B89="",$C89=""),"",IF($B89="","Pick menu item",IF(ISNA(MATCH($B89,'Menu Pricing'!$B$7:$B$56,0)),"Not on Menu Pricing",IF($C89="","Pick ingredient",IF($F89="?","Not in Inventory",IF($F89="","Set stock unit in Inventory",IF(N($D89)&lt;=0,"Enter quantity",IF($E89="","Pick unit",IF(IFERROR(INDEX('Lists'!$C$6:$C$30,MATCH($E89,'Lists'!$B$6:$B$30,0)),"?")&lt;&gt;IFERROR(INDEX('Lists'!$C$6:$C$30,MATCH($F89,'Lists'!$B$6:$B$30,0)),"?"),"Unit mismatch",IF(ISNUMBER(INDEX('Inventory'!$G$7:$G$106,MATCH($C89,'Inventory'!$B$7:$B$106,0))),"OK","Add price in Inventory"))))))))))</f>
        <v/>
      </c>
      <c r="H89" s="87">
        <f>IF($G89&lt;&gt;"OK","",$D89*INDEX('Lists'!$D$6:$D$30,MATCH($E89,'Lists'!$B$6:$B$30,0))/INDEX('Lists'!$D$6:$D$30,MATCH($F89,'Lists'!$B$6:$B$30,0)))</f>
        <v/>
      </c>
      <c r="I89" s="87">
        <f>IF($G89&lt;&gt;"OK","",INDEX('Inventory'!$G$7:$G$106,MATCH($C89,'Inventory'!$B$7:$B$106,0)))</f>
        <v/>
      </c>
      <c r="J89" s="88">
        <f>IF($G89&lt;&gt;"OK","",$H89*$I89)</f>
        <v/>
      </c>
      <c r="K89" s="82">
        <f>IF($G89&lt;&gt;"OK","",SUMIFS('Sales Log'!$D$7:$D$3006,'Sales Log'!$C$7:$C$3006,$B89,'Sales Log'!$B$7:$B$3006,"&gt;="&amp;cfg_CountDate,'Sales Log'!$N$7:$N$3006,"OK"))</f>
        <v/>
      </c>
      <c r="L89" s="89">
        <f>IF($G89&lt;&gt;"OK","",$H89*$K89)</f>
        <v/>
      </c>
    </row>
    <row r="90" ht="17" customHeight="1">
      <c r="B90" s="60" t="n"/>
      <c r="C90" s="60" t="n"/>
      <c r="D90" s="86" t="n"/>
      <c r="E90" s="60" t="n"/>
      <c r="F90" s="13">
        <f>IF($C90="","",IFERROR(INDEX('Inventory'!$D$7:$D$106,MATCH($C90,'Inventory'!$B$7:$B$106,0))&amp;"","?"))</f>
        <v/>
      </c>
      <c r="G90" s="80">
        <f>IF(AND($B90="",$C90=""),"",IF($B90="","Pick menu item",IF(ISNA(MATCH($B90,'Menu Pricing'!$B$7:$B$56,0)),"Not on Menu Pricing",IF($C90="","Pick ingredient",IF($F90="?","Not in Inventory",IF($F90="","Set stock unit in Inventory",IF(N($D90)&lt;=0,"Enter quantity",IF($E90="","Pick unit",IF(IFERROR(INDEX('Lists'!$C$6:$C$30,MATCH($E90,'Lists'!$B$6:$B$30,0)),"?")&lt;&gt;IFERROR(INDEX('Lists'!$C$6:$C$30,MATCH($F90,'Lists'!$B$6:$B$30,0)),"?"),"Unit mismatch",IF(ISNUMBER(INDEX('Inventory'!$G$7:$G$106,MATCH($C90,'Inventory'!$B$7:$B$106,0))),"OK","Add price in Inventory"))))))))))</f>
        <v/>
      </c>
      <c r="H90" s="87">
        <f>IF($G90&lt;&gt;"OK","",$D90*INDEX('Lists'!$D$6:$D$30,MATCH($E90,'Lists'!$B$6:$B$30,0))/INDEX('Lists'!$D$6:$D$30,MATCH($F90,'Lists'!$B$6:$B$30,0)))</f>
        <v/>
      </c>
      <c r="I90" s="87">
        <f>IF($G90&lt;&gt;"OK","",INDEX('Inventory'!$G$7:$G$106,MATCH($C90,'Inventory'!$B$7:$B$106,0)))</f>
        <v/>
      </c>
      <c r="J90" s="88">
        <f>IF($G90&lt;&gt;"OK","",$H90*$I90)</f>
        <v/>
      </c>
      <c r="K90" s="82">
        <f>IF($G90&lt;&gt;"OK","",SUMIFS('Sales Log'!$D$7:$D$3006,'Sales Log'!$C$7:$C$3006,$B90,'Sales Log'!$B$7:$B$3006,"&gt;="&amp;cfg_CountDate,'Sales Log'!$N$7:$N$3006,"OK"))</f>
        <v/>
      </c>
      <c r="L90" s="89">
        <f>IF($G90&lt;&gt;"OK","",$H90*$K90)</f>
        <v/>
      </c>
    </row>
    <row r="91" ht="17" customHeight="1">
      <c r="B91" s="60" t="n"/>
      <c r="C91" s="60" t="n"/>
      <c r="D91" s="86" t="n"/>
      <c r="E91" s="60" t="n"/>
      <c r="F91" s="13">
        <f>IF($C91="","",IFERROR(INDEX('Inventory'!$D$7:$D$106,MATCH($C91,'Inventory'!$B$7:$B$106,0))&amp;"","?"))</f>
        <v/>
      </c>
      <c r="G91" s="80">
        <f>IF(AND($B91="",$C91=""),"",IF($B91="","Pick menu item",IF(ISNA(MATCH($B91,'Menu Pricing'!$B$7:$B$56,0)),"Not on Menu Pricing",IF($C91="","Pick ingredient",IF($F91="?","Not in Inventory",IF($F91="","Set stock unit in Inventory",IF(N($D91)&lt;=0,"Enter quantity",IF($E91="","Pick unit",IF(IFERROR(INDEX('Lists'!$C$6:$C$30,MATCH($E91,'Lists'!$B$6:$B$30,0)),"?")&lt;&gt;IFERROR(INDEX('Lists'!$C$6:$C$30,MATCH($F91,'Lists'!$B$6:$B$30,0)),"?"),"Unit mismatch",IF(ISNUMBER(INDEX('Inventory'!$G$7:$G$106,MATCH($C91,'Inventory'!$B$7:$B$106,0))),"OK","Add price in Inventory"))))))))))</f>
        <v/>
      </c>
      <c r="H91" s="87">
        <f>IF($G91&lt;&gt;"OK","",$D91*INDEX('Lists'!$D$6:$D$30,MATCH($E91,'Lists'!$B$6:$B$30,0))/INDEX('Lists'!$D$6:$D$30,MATCH($F91,'Lists'!$B$6:$B$30,0)))</f>
        <v/>
      </c>
      <c r="I91" s="87">
        <f>IF($G91&lt;&gt;"OK","",INDEX('Inventory'!$G$7:$G$106,MATCH($C91,'Inventory'!$B$7:$B$106,0)))</f>
        <v/>
      </c>
      <c r="J91" s="88">
        <f>IF($G91&lt;&gt;"OK","",$H91*$I91)</f>
        <v/>
      </c>
      <c r="K91" s="82">
        <f>IF($G91&lt;&gt;"OK","",SUMIFS('Sales Log'!$D$7:$D$3006,'Sales Log'!$C$7:$C$3006,$B91,'Sales Log'!$B$7:$B$3006,"&gt;="&amp;cfg_CountDate,'Sales Log'!$N$7:$N$3006,"OK"))</f>
        <v/>
      </c>
      <c r="L91" s="89">
        <f>IF($G91&lt;&gt;"OK","",$H91*$K91)</f>
        <v/>
      </c>
    </row>
    <row r="92" ht="17" customHeight="1">
      <c r="B92" s="60" t="n"/>
      <c r="C92" s="60" t="n"/>
      <c r="D92" s="86" t="n"/>
      <c r="E92" s="60" t="n"/>
      <c r="F92" s="13">
        <f>IF($C92="","",IFERROR(INDEX('Inventory'!$D$7:$D$106,MATCH($C92,'Inventory'!$B$7:$B$106,0))&amp;"","?"))</f>
        <v/>
      </c>
      <c r="G92" s="80">
        <f>IF(AND($B92="",$C92=""),"",IF($B92="","Pick menu item",IF(ISNA(MATCH($B92,'Menu Pricing'!$B$7:$B$56,0)),"Not on Menu Pricing",IF($C92="","Pick ingredient",IF($F92="?","Not in Inventory",IF($F92="","Set stock unit in Inventory",IF(N($D92)&lt;=0,"Enter quantity",IF($E92="","Pick unit",IF(IFERROR(INDEX('Lists'!$C$6:$C$30,MATCH($E92,'Lists'!$B$6:$B$30,0)),"?")&lt;&gt;IFERROR(INDEX('Lists'!$C$6:$C$30,MATCH($F92,'Lists'!$B$6:$B$30,0)),"?"),"Unit mismatch",IF(ISNUMBER(INDEX('Inventory'!$G$7:$G$106,MATCH($C92,'Inventory'!$B$7:$B$106,0))),"OK","Add price in Inventory"))))))))))</f>
        <v/>
      </c>
      <c r="H92" s="87">
        <f>IF($G92&lt;&gt;"OK","",$D92*INDEX('Lists'!$D$6:$D$30,MATCH($E92,'Lists'!$B$6:$B$30,0))/INDEX('Lists'!$D$6:$D$30,MATCH($F92,'Lists'!$B$6:$B$30,0)))</f>
        <v/>
      </c>
      <c r="I92" s="87">
        <f>IF($G92&lt;&gt;"OK","",INDEX('Inventory'!$G$7:$G$106,MATCH($C92,'Inventory'!$B$7:$B$106,0)))</f>
        <v/>
      </c>
      <c r="J92" s="88">
        <f>IF($G92&lt;&gt;"OK","",$H92*$I92)</f>
        <v/>
      </c>
      <c r="K92" s="82">
        <f>IF($G92&lt;&gt;"OK","",SUMIFS('Sales Log'!$D$7:$D$3006,'Sales Log'!$C$7:$C$3006,$B92,'Sales Log'!$B$7:$B$3006,"&gt;="&amp;cfg_CountDate,'Sales Log'!$N$7:$N$3006,"OK"))</f>
        <v/>
      </c>
      <c r="L92" s="89">
        <f>IF($G92&lt;&gt;"OK","",$H92*$K92)</f>
        <v/>
      </c>
    </row>
    <row r="93" ht="17" customHeight="1">
      <c r="B93" s="60" t="n"/>
      <c r="C93" s="60" t="n"/>
      <c r="D93" s="86" t="n"/>
      <c r="E93" s="60" t="n"/>
      <c r="F93" s="13">
        <f>IF($C93="","",IFERROR(INDEX('Inventory'!$D$7:$D$106,MATCH($C93,'Inventory'!$B$7:$B$106,0))&amp;"","?"))</f>
        <v/>
      </c>
      <c r="G93" s="80">
        <f>IF(AND($B93="",$C93=""),"",IF($B93="","Pick menu item",IF(ISNA(MATCH($B93,'Menu Pricing'!$B$7:$B$56,0)),"Not on Menu Pricing",IF($C93="","Pick ingredient",IF($F93="?","Not in Inventory",IF($F93="","Set stock unit in Inventory",IF(N($D93)&lt;=0,"Enter quantity",IF($E93="","Pick unit",IF(IFERROR(INDEX('Lists'!$C$6:$C$30,MATCH($E93,'Lists'!$B$6:$B$30,0)),"?")&lt;&gt;IFERROR(INDEX('Lists'!$C$6:$C$30,MATCH($F93,'Lists'!$B$6:$B$30,0)),"?"),"Unit mismatch",IF(ISNUMBER(INDEX('Inventory'!$G$7:$G$106,MATCH($C93,'Inventory'!$B$7:$B$106,0))),"OK","Add price in Inventory"))))))))))</f>
        <v/>
      </c>
      <c r="H93" s="87">
        <f>IF($G93&lt;&gt;"OK","",$D93*INDEX('Lists'!$D$6:$D$30,MATCH($E93,'Lists'!$B$6:$B$30,0))/INDEX('Lists'!$D$6:$D$30,MATCH($F93,'Lists'!$B$6:$B$30,0)))</f>
        <v/>
      </c>
      <c r="I93" s="87">
        <f>IF($G93&lt;&gt;"OK","",INDEX('Inventory'!$G$7:$G$106,MATCH($C93,'Inventory'!$B$7:$B$106,0)))</f>
        <v/>
      </c>
      <c r="J93" s="88">
        <f>IF($G93&lt;&gt;"OK","",$H93*$I93)</f>
        <v/>
      </c>
      <c r="K93" s="82">
        <f>IF($G93&lt;&gt;"OK","",SUMIFS('Sales Log'!$D$7:$D$3006,'Sales Log'!$C$7:$C$3006,$B93,'Sales Log'!$B$7:$B$3006,"&gt;="&amp;cfg_CountDate,'Sales Log'!$N$7:$N$3006,"OK"))</f>
        <v/>
      </c>
      <c r="L93" s="89">
        <f>IF($G93&lt;&gt;"OK","",$H93*$K93)</f>
        <v/>
      </c>
    </row>
    <row r="94" ht="17" customHeight="1">
      <c r="B94" s="60" t="n"/>
      <c r="C94" s="60" t="n"/>
      <c r="D94" s="86" t="n"/>
      <c r="E94" s="60" t="n"/>
      <c r="F94" s="13">
        <f>IF($C94="","",IFERROR(INDEX('Inventory'!$D$7:$D$106,MATCH($C94,'Inventory'!$B$7:$B$106,0))&amp;"","?"))</f>
        <v/>
      </c>
      <c r="G94" s="80">
        <f>IF(AND($B94="",$C94=""),"",IF($B94="","Pick menu item",IF(ISNA(MATCH($B94,'Menu Pricing'!$B$7:$B$56,0)),"Not on Menu Pricing",IF($C94="","Pick ingredient",IF($F94="?","Not in Inventory",IF($F94="","Set stock unit in Inventory",IF(N($D94)&lt;=0,"Enter quantity",IF($E94="","Pick unit",IF(IFERROR(INDEX('Lists'!$C$6:$C$30,MATCH($E94,'Lists'!$B$6:$B$30,0)),"?")&lt;&gt;IFERROR(INDEX('Lists'!$C$6:$C$30,MATCH($F94,'Lists'!$B$6:$B$30,0)),"?"),"Unit mismatch",IF(ISNUMBER(INDEX('Inventory'!$G$7:$G$106,MATCH($C94,'Inventory'!$B$7:$B$106,0))),"OK","Add price in Inventory"))))))))))</f>
        <v/>
      </c>
      <c r="H94" s="87">
        <f>IF($G94&lt;&gt;"OK","",$D94*INDEX('Lists'!$D$6:$D$30,MATCH($E94,'Lists'!$B$6:$B$30,0))/INDEX('Lists'!$D$6:$D$30,MATCH($F94,'Lists'!$B$6:$B$30,0)))</f>
        <v/>
      </c>
      <c r="I94" s="87">
        <f>IF($G94&lt;&gt;"OK","",INDEX('Inventory'!$G$7:$G$106,MATCH($C94,'Inventory'!$B$7:$B$106,0)))</f>
        <v/>
      </c>
      <c r="J94" s="88">
        <f>IF($G94&lt;&gt;"OK","",$H94*$I94)</f>
        <v/>
      </c>
      <c r="K94" s="82">
        <f>IF($G94&lt;&gt;"OK","",SUMIFS('Sales Log'!$D$7:$D$3006,'Sales Log'!$C$7:$C$3006,$B94,'Sales Log'!$B$7:$B$3006,"&gt;="&amp;cfg_CountDate,'Sales Log'!$N$7:$N$3006,"OK"))</f>
        <v/>
      </c>
      <c r="L94" s="89">
        <f>IF($G94&lt;&gt;"OK","",$H94*$K94)</f>
        <v/>
      </c>
    </row>
    <row r="95" ht="17" customHeight="1">
      <c r="B95" s="60" t="n"/>
      <c r="C95" s="60" t="n"/>
      <c r="D95" s="86" t="n"/>
      <c r="E95" s="60" t="n"/>
      <c r="F95" s="13">
        <f>IF($C95="","",IFERROR(INDEX('Inventory'!$D$7:$D$106,MATCH($C95,'Inventory'!$B$7:$B$106,0))&amp;"","?"))</f>
        <v/>
      </c>
      <c r="G95" s="80">
        <f>IF(AND($B95="",$C95=""),"",IF($B95="","Pick menu item",IF(ISNA(MATCH($B95,'Menu Pricing'!$B$7:$B$56,0)),"Not on Menu Pricing",IF($C95="","Pick ingredient",IF($F95="?","Not in Inventory",IF($F95="","Set stock unit in Inventory",IF(N($D95)&lt;=0,"Enter quantity",IF($E95="","Pick unit",IF(IFERROR(INDEX('Lists'!$C$6:$C$30,MATCH($E95,'Lists'!$B$6:$B$30,0)),"?")&lt;&gt;IFERROR(INDEX('Lists'!$C$6:$C$30,MATCH($F95,'Lists'!$B$6:$B$30,0)),"?"),"Unit mismatch",IF(ISNUMBER(INDEX('Inventory'!$G$7:$G$106,MATCH($C95,'Inventory'!$B$7:$B$106,0))),"OK","Add price in Inventory"))))))))))</f>
        <v/>
      </c>
      <c r="H95" s="87">
        <f>IF($G95&lt;&gt;"OK","",$D95*INDEX('Lists'!$D$6:$D$30,MATCH($E95,'Lists'!$B$6:$B$30,0))/INDEX('Lists'!$D$6:$D$30,MATCH($F95,'Lists'!$B$6:$B$30,0)))</f>
        <v/>
      </c>
      <c r="I95" s="87">
        <f>IF($G95&lt;&gt;"OK","",INDEX('Inventory'!$G$7:$G$106,MATCH($C95,'Inventory'!$B$7:$B$106,0)))</f>
        <v/>
      </c>
      <c r="J95" s="88">
        <f>IF($G95&lt;&gt;"OK","",$H95*$I95)</f>
        <v/>
      </c>
      <c r="K95" s="82">
        <f>IF($G95&lt;&gt;"OK","",SUMIFS('Sales Log'!$D$7:$D$3006,'Sales Log'!$C$7:$C$3006,$B95,'Sales Log'!$B$7:$B$3006,"&gt;="&amp;cfg_CountDate,'Sales Log'!$N$7:$N$3006,"OK"))</f>
        <v/>
      </c>
      <c r="L95" s="89">
        <f>IF($G95&lt;&gt;"OK","",$H95*$K95)</f>
        <v/>
      </c>
    </row>
    <row r="96" ht="17" customHeight="1">
      <c r="B96" s="60" t="n"/>
      <c r="C96" s="60" t="n"/>
      <c r="D96" s="86" t="n"/>
      <c r="E96" s="60" t="n"/>
      <c r="F96" s="13">
        <f>IF($C96="","",IFERROR(INDEX('Inventory'!$D$7:$D$106,MATCH($C96,'Inventory'!$B$7:$B$106,0))&amp;"","?"))</f>
        <v/>
      </c>
      <c r="G96" s="80">
        <f>IF(AND($B96="",$C96=""),"",IF($B96="","Pick menu item",IF(ISNA(MATCH($B96,'Menu Pricing'!$B$7:$B$56,0)),"Not on Menu Pricing",IF($C96="","Pick ingredient",IF($F96="?","Not in Inventory",IF($F96="","Set stock unit in Inventory",IF(N($D96)&lt;=0,"Enter quantity",IF($E96="","Pick unit",IF(IFERROR(INDEX('Lists'!$C$6:$C$30,MATCH($E96,'Lists'!$B$6:$B$30,0)),"?")&lt;&gt;IFERROR(INDEX('Lists'!$C$6:$C$30,MATCH($F96,'Lists'!$B$6:$B$30,0)),"?"),"Unit mismatch",IF(ISNUMBER(INDEX('Inventory'!$G$7:$G$106,MATCH($C96,'Inventory'!$B$7:$B$106,0))),"OK","Add price in Inventory"))))))))))</f>
        <v/>
      </c>
      <c r="H96" s="87">
        <f>IF($G96&lt;&gt;"OK","",$D96*INDEX('Lists'!$D$6:$D$30,MATCH($E96,'Lists'!$B$6:$B$30,0))/INDEX('Lists'!$D$6:$D$30,MATCH($F96,'Lists'!$B$6:$B$30,0)))</f>
        <v/>
      </c>
      <c r="I96" s="87">
        <f>IF($G96&lt;&gt;"OK","",INDEX('Inventory'!$G$7:$G$106,MATCH($C96,'Inventory'!$B$7:$B$106,0)))</f>
        <v/>
      </c>
      <c r="J96" s="88">
        <f>IF($G96&lt;&gt;"OK","",$H96*$I96)</f>
        <v/>
      </c>
      <c r="K96" s="82">
        <f>IF($G96&lt;&gt;"OK","",SUMIFS('Sales Log'!$D$7:$D$3006,'Sales Log'!$C$7:$C$3006,$B96,'Sales Log'!$B$7:$B$3006,"&gt;="&amp;cfg_CountDate,'Sales Log'!$N$7:$N$3006,"OK"))</f>
        <v/>
      </c>
      <c r="L96" s="89">
        <f>IF($G96&lt;&gt;"OK","",$H96*$K96)</f>
        <v/>
      </c>
    </row>
    <row r="97" ht="17" customHeight="1">
      <c r="B97" s="60" t="n"/>
      <c r="C97" s="60" t="n"/>
      <c r="D97" s="86" t="n"/>
      <c r="E97" s="60" t="n"/>
      <c r="F97" s="13">
        <f>IF($C97="","",IFERROR(INDEX('Inventory'!$D$7:$D$106,MATCH($C97,'Inventory'!$B$7:$B$106,0))&amp;"","?"))</f>
        <v/>
      </c>
      <c r="G97" s="80">
        <f>IF(AND($B97="",$C97=""),"",IF($B97="","Pick menu item",IF(ISNA(MATCH($B97,'Menu Pricing'!$B$7:$B$56,0)),"Not on Menu Pricing",IF($C97="","Pick ingredient",IF($F97="?","Not in Inventory",IF($F97="","Set stock unit in Inventory",IF(N($D97)&lt;=0,"Enter quantity",IF($E97="","Pick unit",IF(IFERROR(INDEX('Lists'!$C$6:$C$30,MATCH($E97,'Lists'!$B$6:$B$30,0)),"?")&lt;&gt;IFERROR(INDEX('Lists'!$C$6:$C$30,MATCH($F97,'Lists'!$B$6:$B$30,0)),"?"),"Unit mismatch",IF(ISNUMBER(INDEX('Inventory'!$G$7:$G$106,MATCH($C97,'Inventory'!$B$7:$B$106,0))),"OK","Add price in Inventory"))))))))))</f>
        <v/>
      </c>
      <c r="H97" s="87">
        <f>IF($G97&lt;&gt;"OK","",$D97*INDEX('Lists'!$D$6:$D$30,MATCH($E97,'Lists'!$B$6:$B$30,0))/INDEX('Lists'!$D$6:$D$30,MATCH($F97,'Lists'!$B$6:$B$30,0)))</f>
        <v/>
      </c>
      <c r="I97" s="87">
        <f>IF($G97&lt;&gt;"OK","",INDEX('Inventory'!$G$7:$G$106,MATCH($C97,'Inventory'!$B$7:$B$106,0)))</f>
        <v/>
      </c>
      <c r="J97" s="88">
        <f>IF($G97&lt;&gt;"OK","",$H97*$I97)</f>
        <v/>
      </c>
      <c r="K97" s="82">
        <f>IF($G97&lt;&gt;"OK","",SUMIFS('Sales Log'!$D$7:$D$3006,'Sales Log'!$C$7:$C$3006,$B97,'Sales Log'!$B$7:$B$3006,"&gt;="&amp;cfg_CountDate,'Sales Log'!$N$7:$N$3006,"OK"))</f>
        <v/>
      </c>
      <c r="L97" s="89">
        <f>IF($G97&lt;&gt;"OK","",$H97*$K97)</f>
        <v/>
      </c>
    </row>
    <row r="98" ht="17" customHeight="1">
      <c r="B98" s="60" t="n"/>
      <c r="C98" s="60" t="n"/>
      <c r="D98" s="86" t="n"/>
      <c r="E98" s="60" t="n"/>
      <c r="F98" s="13">
        <f>IF($C98="","",IFERROR(INDEX('Inventory'!$D$7:$D$106,MATCH($C98,'Inventory'!$B$7:$B$106,0))&amp;"","?"))</f>
        <v/>
      </c>
      <c r="G98" s="80">
        <f>IF(AND($B98="",$C98=""),"",IF($B98="","Pick menu item",IF(ISNA(MATCH($B98,'Menu Pricing'!$B$7:$B$56,0)),"Not on Menu Pricing",IF($C98="","Pick ingredient",IF($F98="?","Not in Inventory",IF($F98="","Set stock unit in Inventory",IF(N($D98)&lt;=0,"Enter quantity",IF($E98="","Pick unit",IF(IFERROR(INDEX('Lists'!$C$6:$C$30,MATCH($E98,'Lists'!$B$6:$B$30,0)),"?")&lt;&gt;IFERROR(INDEX('Lists'!$C$6:$C$30,MATCH($F98,'Lists'!$B$6:$B$30,0)),"?"),"Unit mismatch",IF(ISNUMBER(INDEX('Inventory'!$G$7:$G$106,MATCH($C98,'Inventory'!$B$7:$B$106,0))),"OK","Add price in Inventory"))))))))))</f>
        <v/>
      </c>
      <c r="H98" s="87">
        <f>IF($G98&lt;&gt;"OK","",$D98*INDEX('Lists'!$D$6:$D$30,MATCH($E98,'Lists'!$B$6:$B$30,0))/INDEX('Lists'!$D$6:$D$30,MATCH($F98,'Lists'!$B$6:$B$30,0)))</f>
        <v/>
      </c>
      <c r="I98" s="87">
        <f>IF($G98&lt;&gt;"OK","",INDEX('Inventory'!$G$7:$G$106,MATCH($C98,'Inventory'!$B$7:$B$106,0)))</f>
        <v/>
      </c>
      <c r="J98" s="88">
        <f>IF($G98&lt;&gt;"OK","",$H98*$I98)</f>
        <v/>
      </c>
      <c r="K98" s="82">
        <f>IF($G98&lt;&gt;"OK","",SUMIFS('Sales Log'!$D$7:$D$3006,'Sales Log'!$C$7:$C$3006,$B98,'Sales Log'!$B$7:$B$3006,"&gt;="&amp;cfg_CountDate,'Sales Log'!$N$7:$N$3006,"OK"))</f>
        <v/>
      </c>
      <c r="L98" s="89">
        <f>IF($G98&lt;&gt;"OK","",$H98*$K98)</f>
        <v/>
      </c>
    </row>
    <row r="99" ht="17" customHeight="1">
      <c r="B99" s="60" t="n"/>
      <c r="C99" s="60" t="n"/>
      <c r="D99" s="86" t="n"/>
      <c r="E99" s="60" t="n"/>
      <c r="F99" s="13">
        <f>IF($C99="","",IFERROR(INDEX('Inventory'!$D$7:$D$106,MATCH($C99,'Inventory'!$B$7:$B$106,0))&amp;"","?"))</f>
        <v/>
      </c>
      <c r="G99" s="80">
        <f>IF(AND($B99="",$C99=""),"",IF($B99="","Pick menu item",IF(ISNA(MATCH($B99,'Menu Pricing'!$B$7:$B$56,0)),"Not on Menu Pricing",IF($C99="","Pick ingredient",IF($F99="?","Not in Inventory",IF($F99="","Set stock unit in Inventory",IF(N($D99)&lt;=0,"Enter quantity",IF($E99="","Pick unit",IF(IFERROR(INDEX('Lists'!$C$6:$C$30,MATCH($E99,'Lists'!$B$6:$B$30,0)),"?")&lt;&gt;IFERROR(INDEX('Lists'!$C$6:$C$30,MATCH($F99,'Lists'!$B$6:$B$30,0)),"?"),"Unit mismatch",IF(ISNUMBER(INDEX('Inventory'!$G$7:$G$106,MATCH($C99,'Inventory'!$B$7:$B$106,0))),"OK","Add price in Inventory"))))))))))</f>
        <v/>
      </c>
      <c r="H99" s="87">
        <f>IF($G99&lt;&gt;"OK","",$D99*INDEX('Lists'!$D$6:$D$30,MATCH($E99,'Lists'!$B$6:$B$30,0))/INDEX('Lists'!$D$6:$D$30,MATCH($F99,'Lists'!$B$6:$B$30,0)))</f>
        <v/>
      </c>
      <c r="I99" s="87">
        <f>IF($G99&lt;&gt;"OK","",INDEX('Inventory'!$G$7:$G$106,MATCH($C99,'Inventory'!$B$7:$B$106,0)))</f>
        <v/>
      </c>
      <c r="J99" s="88">
        <f>IF($G99&lt;&gt;"OK","",$H99*$I99)</f>
        <v/>
      </c>
      <c r="K99" s="82">
        <f>IF($G99&lt;&gt;"OK","",SUMIFS('Sales Log'!$D$7:$D$3006,'Sales Log'!$C$7:$C$3006,$B99,'Sales Log'!$B$7:$B$3006,"&gt;="&amp;cfg_CountDate,'Sales Log'!$N$7:$N$3006,"OK"))</f>
        <v/>
      </c>
      <c r="L99" s="89">
        <f>IF($G99&lt;&gt;"OK","",$H99*$K99)</f>
        <v/>
      </c>
    </row>
    <row r="100" ht="17" customHeight="1">
      <c r="B100" s="60" t="n"/>
      <c r="C100" s="60" t="n"/>
      <c r="D100" s="86" t="n"/>
      <c r="E100" s="60" t="n"/>
      <c r="F100" s="13">
        <f>IF($C100="","",IFERROR(INDEX('Inventory'!$D$7:$D$106,MATCH($C100,'Inventory'!$B$7:$B$106,0))&amp;"","?"))</f>
        <v/>
      </c>
      <c r="G100" s="80">
        <f>IF(AND($B100="",$C100=""),"",IF($B100="","Pick menu item",IF(ISNA(MATCH($B100,'Menu Pricing'!$B$7:$B$56,0)),"Not on Menu Pricing",IF($C100="","Pick ingredient",IF($F100="?","Not in Inventory",IF($F100="","Set stock unit in Inventory",IF(N($D100)&lt;=0,"Enter quantity",IF($E100="","Pick unit",IF(IFERROR(INDEX('Lists'!$C$6:$C$30,MATCH($E100,'Lists'!$B$6:$B$30,0)),"?")&lt;&gt;IFERROR(INDEX('Lists'!$C$6:$C$30,MATCH($F100,'Lists'!$B$6:$B$30,0)),"?"),"Unit mismatch",IF(ISNUMBER(INDEX('Inventory'!$G$7:$G$106,MATCH($C100,'Inventory'!$B$7:$B$106,0))),"OK","Add price in Inventory"))))))))))</f>
        <v/>
      </c>
      <c r="H100" s="87">
        <f>IF($G100&lt;&gt;"OK","",$D100*INDEX('Lists'!$D$6:$D$30,MATCH($E100,'Lists'!$B$6:$B$30,0))/INDEX('Lists'!$D$6:$D$30,MATCH($F100,'Lists'!$B$6:$B$30,0)))</f>
        <v/>
      </c>
      <c r="I100" s="87">
        <f>IF($G100&lt;&gt;"OK","",INDEX('Inventory'!$G$7:$G$106,MATCH($C100,'Inventory'!$B$7:$B$106,0)))</f>
        <v/>
      </c>
      <c r="J100" s="88">
        <f>IF($G100&lt;&gt;"OK","",$H100*$I100)</f>
        <v/>
      </c>
      <c r="K100" s="82">
        <f>IF($G100&lt;&gt;"OK","",SUMIFS('Sales Log'!$D$7:$D$3006,'Sales Log'!$C$7:$C$3006,$B100,'Sales Log'!$B$7:$B$3006,"&gt;="&amp;cfg_CountDate,'Sales Log'!$N$7:$N$3006,"OK"))</f>
        <v/>
      </c>
      <c r="L100" s="89">
        <f>IF($G100&lt;&gt;"OK","",$H100*$K100)</f>
        <v/>
      </c>
    </row>
    <row r="101" ht="17" customHeight="1">
      <c r="B101" s="60" t="n"/>
      <c r="C101" s="60" t="n"/>
      <c r="D101" s="86" t="n"/>
      <c r="E101" s="60" t="n"/>
      <c r="F101" s="13">
        <f>IF($C101="","",IFERROR(INDEX('Inventory'!$D$7:$D$106,MATCH($C101,'Inventory'!$B$7:$B$106,0))&amp;"","?"))</f>
        <v/>
      </c>
      <c r="G101" s="80">
        <f>IF(AND($B101="",$C101=""),"",IF($B101="","Pick menu item",IF(ISNA(MATCH($B101,'Menu Pricing'!$B$7:$B$56,0)),"Not on Menu Pricing",IF($C101="","Pick ingredient",IF($F101="?","Not in Inventory",IF($F101="","Set stock unit in Inventory",IF(N($D101)&lt;=0,"Enter quantity",IF($E101="","Pick unit",IF(IFERROR(INDEX('Lists'!$C$6:$C$30,MATCH($E101,'Lists'!$B$6:$B$30,0)),"?")&lt;&gt;IFERROR(INDEX('Lists'!$C$6:$C$30,MATCH($F101,'Lists'!$B$6:$B$30,0)),"?"),"Unit mismatch",IF(ISNUMBER(INDEX('Inventory'!$G$7:$G$106,MATCH($C101,'Inventory'!$B$7:$B$106,0))),"OK","Add price in Inventory"))))))))))</f>
        <v/>
      </c>
      <c r="H101" s="87">
        <f>IF($G101&lt;&gt;"OK","",$D101*INDEX('Lists'!$D$6:$D$30,MATCH($E101,'Lists'!$B$6:$B$30,0))/INDEX('Lists'!$D$6:$D$30,MATCH($F101,'Lists'!$B$6:$B$30,0)))</f>
        <v/>
      </c>
      <c r="I101" s="87">
        <f>IF($G101&lt;&gt;"OK","",INDEX('Inventory'!$G$7:$G$106,MATCH($C101,'Inventory'!$B$7:$B$106,0)))</f>
        <v/>
      </c>
      <c r="J101" s="88">
        <f>IF($G101&lt;&gt;"OK","",$H101*$I101)</f>
        <v/>
      </c>
      <c r="K101" s="82">
        <f>IF($G101&lt;&gt;"OK","",SUMIFS('Sales Log'!$D$7:$D$3006,'Sales Log'!$C$7:$C$3006,$B101,'Sales Log'!$B$7:$B$3006,"&gt;="&amp;cfg_CountDate,'Sales Log'!$N$7:$N$3006,"OK"))</f>
        <v/>
      </c>
      <c r="L101" s="89">
        <f>IF($G101&lt;&gt;"OK","",$H101*$K101)</f>
        <v/>
      </c>
    </row>
    <row r="102" ht="17" customHeight="1">
      <c r="B102" s="60" t="n"/>
      <c r="C102" s="60" t="n"/>
      <c r="D102" s="86" t="n"/>
      <c r="E102" s="60" t="n"/>
      <c r="F102" s="13">
        <f>IF($C102="","",IFERROR(INDEX('Inventory'!$D$7:$D$106,MATCH($C102,'Inventory'!$B$7:$B$106,0))&amp;"","?"))</f>
        <v/>
      </c>
      <c r="G102" s="80">
        <f>IF(AND($B102="",$C102=""),"",IF($B102="","Pick menu item",IF(ISNA(MATCH($B102,'Menu Pricing'!$B$7:$B$56,0)),"Not on Menu Pricing",IF($C102="","Pick ingredient",IF($F102="?","Not in Inventory",IF($F102="","Set stock unit in Inventory",IF(N($D102)&lt;=0,"Enter quantity",IF($E102="","Pick unit",IF(IFERROR(INDEX('Lists'!$C$6:$C$30,MATCH($E102,'Lists'!$B$6:$B$30,0)),"?")&lt;&gt;IFERROR(INDEX('Lists'!$C$6:$C$30,MATCH($F102,'Lists'!$B$6:$B$30,0)),"?"),"Unit mismatch",IF(ISNUMBER(INDEX('Inventory'!$G$7:$G$106,MATCH($C102,'Inventory'!$B$7:$B$106,0))),"OK","Add price in Inventory"))))))))))</f>
        <v/>
      </c>
      <c r="H102" s="87">
        <f>IF($G102&lt;&gt;"OK","",$D102*INDEX('Lists'!$D$6:$D$30,MATCH($E102,'Lists'!$B$6:$B$30,0))/INDEX('Lists'!$D$6:$D$30,MATCH($F102,'Lists'!$B$6:$B$30,0)))</f>
        <v/>
      </c>
      <c r="I102" s="87">
        <f>IF($G102&lt;&gt;"OK","",INDEX('Inventory'!$G$7:$G$106,MATCH($C102,'Inventory'!$B$7:$B$106,0)))</f>
        <v/>
      </c>
      <c r="J102" s="88">
        <f>IF($G102&lt;&gt;"OK","",$H102*$I102)</f>
        <v/>
      </c>
      <c r="K102" s="82">
        <f>IF($G102&lt;&gt;"OK","",SUMIFS('Sales Log'!$D$7:$D$3006,'Sales Log'!$C$7:$C$3006,$B102,'Sales Log'!$B$7:$B$3006,"&gt;="&amp;cfg_CountDate,'Sales Log'!$N$7:$N$3006,"OK"))</f>
        <v/>
      </c>
      <c r="L102" s="89">
        <f>IF($G102&lt;&gt;"OK","",$H102*$K102)</f>
        <v/>
      </c>
    </row>
    <row r="103" ht="17" customHeight="1">
      <c r="B103" s="60" t="n"/>
      <c r="C103" s="60" t="n"/>
      <c r="D103" s="86" t="n"/>
      <c r="E103" s="60" t="n"/>
      <c r="F103" s="13">
        <f>IF($C103="","",IFERROR(INDEX('Inventory'!$D$7:$D$106,MATCH($C103,'Inventory'!$B$7:$B$106,0))&amp;"","?"))</f>
        <v/>
      </c>
      <c r="G103" s="80">
        <f>IF(AND($B103="",$C103=""),"",IF($B103="","Pick menu item",IF(ISNA(MATCH($B103,'Menu Pricing'!$B$7:$B$56,0)),"Not on Menu Pricing",IF($C103="","Pick ingredient",IF($F103="?","Not in Inventory",IF($F103="","Set stock unit in Inventory",IF(N($D103)&lt;=0,"Enter quantity",IF($E103="","Pick unit",IF(IFERROR(INDEX('Lists'!$C$6:$C$30,MATCH($E103,'Lists'!$B$6:$B$30,0)),"?")&lt;&gt;IFERROR(INDEX('Lists'!$C$6:$C$30,MATCH($F103,'Lists'!$B$6:$B$30,0)),"?"),"Unit mismatch",IF(ISNUMBER(INDEX('Inventory'!$G$7:$G$106,MATCH($C103,'Inventory'!$B$7:$B$106,0))),"OK","Add price in Inventory"))))))))))</f>
        <v/>
      </c>
      <c r="H103" s="87">
        <f>IF($G103&lt;&gt;"OK","",$D103*INDEX('Lists'!$D$6:$D$30,MATCH($E103,'Lists'!$B$6:$B$30,0))/INDEX('Lists'!$D$6:$D$30,MATCH($F103,'Lists'!$B$6:$B$30,0)))</f>
        <v/>
      </c>
      <c r="I103" s="87">
        <f>IF($G103&lt;&gt;"OK","",INDEX('Inventory'!$G$7:$G$106,MATCH($C103,'Inventory'!$B$7:$B$106,0)))</f>
        <v/>
      </c>
      <c r="J103" s="88">
        <f>IF($G103&lt;&gt;"OK","",$H103*$I103)</f>
        <v/>
      </c>
      <c r="K103" s="82">
        <f>IF($G103&lt;&gt;"OK","",SUMIFS('Sales Log'!$D$7:$D$3006,'Sales Log'!$C$7:$C$3006,$B103,'Sales Log'!$B$7:$B$3006,"&gt;="&amp;cfg_CountDate,'Sales Log'!$N$7:$N$3006,"OK"))</f>
        <v/>
      </c>
      <c r="L103" s="89">
        <f>IF($G103&lt;&gt;"OK","",$H103*$K103)</f>
        <v/>
      </c>
    </row>
    <row r="104" ht="17" customHeight="1">
      <c r="B104" s="60" t="n"/>
      <c r="C104" s="60" t="n"/>
      <c r="D104" s="86" t="n"/>
      <c r="E104" s="60" t="n"/>
      <c r="F104" s="13">
        <f>IF($C104="","",IFERROR(INDEX('Inventory'!$D$7:$D$106,MATCH($C104,'Inventory'!$B$7:$B$106,0))&amp;"","?"))</f>
        <v/>
      </c>
      <c r="G104" s="80">
        <f>IF(AND($B104="",$C104=""),"",IF($B104="","Pick menu item",IF(ISNA(MATCH($B104,'Menu Pricing'!$B$7:$B$56,0)),"Not on Menu Pricing",IF($C104="","Pick ingredient",IF($F104="?","Not in Inventory",IF($F104="","Set stock unit in Inventory",IF(N($D104)&lt;=0,"Enter quantity",IF($E104="","Pick unit",IF(IFERROR(INDEX('Lists'!$C$6:$C$30,MATCH($E104,'Lists'!$B$6:$B$30,0)),"?")&lt;&gt;IFERROR(INDEX('Lists'!$C$6:$C$30,MATCH($F104,'Lists'!$B$6:$B$30,0)),"?"),"Unit mismatch",IF(ISNUMBER(INDEX('Inventory'!$G$7:$G$106,MATCH($C104,'Inventory'!$B$7:$B$106,0))),"OK","Add price in Inventory"))))))))))</f>
        <v/>
      </c>
      <c r="H104" s="87">
        <f>IF($G104&lt;&gt;"OK","",$D104*INDEX('Lists'!$D$6:$D$30,MATCH($E104,'Lists'!$B$6:$B$30,0))/INDEX('Lists'!$D$6:$D$30,MATCH($F104,'Lists'!$B$6:$B$30,0)))</f>
        <v/>
      </c>
      <c r="I104" s="87">
        <f>IF($G104&lt;&gt;"OK","",INDEX('Inventory'!$G$7:$G$106,MATCH($C104,'Inventory'!$B$7:$B$106,0)))</f>
        <v/>
      </c>
      <c r="J104" s="88">
        <f>IF($G104&lt;&gt;"OK","",$H104*$I104)</f>
        <v/>
      </c>
      <c r="K104" s="82">
        <f>IF($G104&lt;&gt;"OK","",SUMIFS('Sales Log'!$D$7:$D$3006,'Sales Log'!$C$7:$C$3006,$B104,'Sales Log'!$B$7:$B$3006,"&gt;="&amp;cfg_CountDate,'Sales Log'!$N$7:$N$3006,"OK"))</f>
        <v/>
      </c>
      <c r="L104" s="89">
        <f>IF($G104&lt;&gt;"OK","",$H104*$K104)</f>
        <v/>
      </c>
    </row>
    <row r="105" ht="17" customHeight="1">
      <c r="B105" s="60" t="n"/>
      <c r="C105" s="60" t="n"/>
      <c r="D105" s="86" t="n"/>
      <c r="E105" s="60" t="n"/>
      <c r="F105" s="13">
        <f>IF($C105="","",IFERROR(INDEX('Inventory'!$D$7:$D$106,MATCH($C105,'Inventory'!$B$7:$B$106,0))&amp;"","?"))</f>
        <v/>
      </c>
      <c r="G105" s="80">
        <f>IF(AND($B105="",$C105=""),"",IF($B105="","Pick menu item",IF(ISNA(MATCH($B105,'Menu Pricing'!$B$7:$B$56,0)),"Not on Menu Pricing",IF($C105="","Pick ingredient",IF($F105="?","Not in Inventory",IF($F105="","Set stock unit in Inventory",IF(N($D105)&lt;=0,"Enter quantity",IF($E105="","Pick unit",IF(IFERROR(INDEX('Lists'!$C$6:$C$30,MATCH($E105,'Lists'!$B$6:$B$30,0)),"?")&lt;&gt;IFERROR(INDEX('Lists'!$C$6:$C$30,MATCH($F105,'Lists'!$B$6:$B$30,0)),"?"),"Unit mismatch",IF(ISNUMBER(INDEX('Inventory'!$G$7:$G$106,MATCH($C105,'Inventory'!$B$7:$B$106,0))),"OK","Add price in Inventory"))))))))))</f>
        <v/>
      </c>
      <c r="H105" s="87">
        <f>IF($G105&lt;&gt;"OK","",$D105*INDEX('Lists'!$D$6:$D$30,MATCH($E105,'Lists'!$B$6:$B$30,0))/INDEX('Lists'!$D$6:$D$30,MATCH($F105,'Lists'!$B$6:$B$30,0)))</f>
        <v/>
      </c>
      <c r="I105" s="87">
        <f>IF($G105&lt;&gt;"OK","",INDEX('Inventory'!$G$7:$G$106,MATCH($C105,'Inventory'!$B$7:$B$106,0)))</f>
        <v/>
      </c>
      <c r="J105" s="88">
        <f>IF($G105&lt;&gt;"OK","",$H105*$I105)</f>
        <v/>
      </c>
      <c r="K105" s="82">
        <f>IF($G105&lt;&gt;"OK","",SUMIFS('Sales Log'!$D$7:$D$3006,'Sales Log'!$C$7:$C$3006,$B105,'Sales Log'!$B$7:$B$3006,"&gt;="&amp;cfg_CountDate,'Sales Log'!$N$7:$N$3006,"OK"))</f>
        <v/>
      </c>
      <c r="L105" s="89">
        <f>IF($G105&lt;&gt;"OK","",$H105*$K105)</f>
        <v/>
      </c>
    </row>
    <row r="106" ht="17" customHeight="1">
      <c r="B106" s="60" t="n"/>
      <c r="C106" s="60" t="n"/>
      <c r="D106" s="86" t="n"/>
      <c r="E106" s="60" t="n"/>
      <c r="F106" s="13">
        <f>IF($C106="","",IFERROR(INDEX('Inventory'!$D$7:$D$106,MATCH($C106,'Inventory'!$B$7:$B$106,0))&amp;"","?"))</f>
        <v/>
      </c>
      <c r="G106" s="80">
        <f>IF(AND($B106="",$C106=""),"",IF($B106="","Pick menu item",IF(ISNA(MATCH($B106,'Menu Pricing'!$B$7:$B$56,0)),"Not on Menu Pricing",IF($C106="","Pick ingredient",IF($F106="?","Not in Inventory",IF($F106="","Set stock unit in Inventory",IF(N($D106)&lt;=0,"Enter quantity",IF($E106="","Pick unit",IF(IFERROR(INDEX('Lists'!$C$6:$C$30,MATCH($E106,'Lists'!$B$6:$B$30,0)),"?")&lt;&gt;IFERROR(INDEX('Lists'!$C$6:$C$30,MATCH($F106,'Lists'!$B$6:$B$30,0)),"?"),"Unit mismatch",IF(ISNUMBER(INDEX('Inventory'!$G$7:$G$106,MATCH($C106,'Inventory'!$B$7:$B$106,0))),"OK","Add price in Inventory"))))))))))</f>
        <v/>
      </c>
      <c r="H106" s="87">
        <f>IF($G106&lt;&gt;"OK","",$D106*INDEX('Lists'!$D$6:$D$30,MATCH($E106,'Lists'!$B$6:$B$30,0))/INDEX('Lists'!$D$6:$D$30,MATCH($F106,'Lists'!$B$6:$B$30,0)))</f>
        <v/>
      </c>
      <c r="I106" s="87">
        <f>IF($G106&lt;&gt;"OK","",INDEX('Inventory'!$G$7:$G$106,MATCH($C106,'Inventory'!$B$7:$B$106,0)))</f>
        <v/>
      </c>
      <c r="J106" s="88">
        <f>IF($G106&lt;&gt;"OK","",$H106*$I106)</f>
        <v/>
      </c>
      <c r="K106" s="82">
        <f>IF($G106&lt;&gt;"OK","",SUMIFS('Sales Log'!$D$7:$D$3006,'Sales Log'!$C$7:$C$3006,$B106,'Sales Log'!$B$7:$B$3006,"&gt;="&amp;cfg_CountDate,'Sales Log'!$N$7:$N$3006,"OK"))</f>
        <v/>
      </c>
      <c r="L106" s="89">
        <f>IF($G106&lt;&gt;"OK","",$H106*$K106)</f>
        <v/>
      </c>
    </row>
    <row r="107" ht="17" customHeight="1">
      <c r="B107" s="60" t="n"/>
      <c r="C107" s="60" t="n"/>
      <c r="D107" s="86" t="n"/>
      <c r="E107" s="60" t="n"/>
      <c r="F107" s="13">
        <f>IF($C107="","",IFERROR(INDEX('Inventory'!$D$7:$D$106,MATCH($C107,'Inventory'!$B$7:$B$106,0))&amp;"","?"))</f>
        <v/>
      </c>
      <c r="G107" s="80">
        <f>IF(AND($B107="",$C107=""),"",IF($B107="","Pick menu item",IF(ISNA(MATCH($B107,'Menu Pricing'!$B$7:$B$56,0)),"Not on Menu Pricing",IF($C107="","Pick ingredient",IF($F107="?","Not in Inventory",IF($F107="","Set stock unit in Inventory",IF(N($D107)&lt;=0,"Enter quantity",IF($E107="","Pick unit",IF(IFERROR(INDEX('Lists'!$C$6:$C$30,MATCH($E107,'Lists'!$B$6:$B$30,0)),"?")&lt;&gt;IFERROR(INDEX('Lists'!$C$6:$C$30,MATCH($F107,'Lists'!$B$6:$B$30,0)),"?"),"Unit mismatch",IF(ISNUMBER(INDEX('Inventory'!$G$7:$G$106,MATCH($C107,'Inventory'!$B$7:$B$106,0))),"OK","Add price in Inventory"))))))))))</f>
        <v/>
      </c>
      <c r="H107" s="87">
        <f>IF($G107&lt;&gt;"OK","",$D107*INDEX('Lists'!$D$6:$D$30,MATCH($E107,'Lists'!$B$6:$B$30,0))/INDEX('Lists'!$D$6:$D$30,MATCH($F107,'Lists'!$B$6:$B$30,0)))</f>
        <v/>
      </c>
      <c r="I107" s="87">
        <f>IF($G107&lt;&gt;"OK","",INDEX('Inventory'!$G$7:$G$106,MATCH($C107,'Inventory'!$B$7:$B$106,0)))</f>
        <v/>
      </c>
      <c r="J107" s="88">
        <f>IF($G107&lt;&gt;"OK","",$H107*$I107)</f>
        <v/>
      </c>
      <c r="K107" s="82">
        <f>IF($G107&lt;&gt;"OK","",SUMIFS('Sales Log'!$D$7:$D$3006,'Sales Log'!$C$7:$C$3006,$B107,'Sales Log'!$B$7:$B$3006,"&gt;="&amp;cfg_CountDate,'Sales Log'!$N$7:$N$3006,"OK"))</f>
        <v/>
      </c>
      <c r="L107" s="89">
        <f>IF($G107&lt;&gt;"OK","",$H107*$K107)</f>
        <v/>
      </c>
    </row>
    <row r="108" ht="17" customHeight="1">
      <c r="B108" s="60" t="n"/>
      <c r="C108" s="60" t="n"/>
      <c r="D108" s="86" t="n"/>
      <c r="E108" s="60" t="n"/>
      <c r="F108" s="13">
        <f>IF($C108="","",IFERROR(INDEX('Inventory'!$D$7:$D$106,MATCH($C108,'Inventory'!$B$7:$B$106,0))&amp;"","?"))</f>
        <v/>
      </c>
      <c r="G108" s="80">
        <f>IF(AND($B108="",$C108=""),"",IF($B108="","Pick menu item",IF(ISNA(MATCH($B108,'Menu Pricing'!$B$7:$B$56,0)),"Not on Menu Pricing",IF($C108="","Pick ingredient",IF($F108="?","Not in Inventory",IF($F108="","Set stock unit in Inventory",IF(N($D108)&lt;=0,"Enter quantity",IF($E108="","Pick unit",IF(IFERROR(INDEX('Lists'!$C$6:$C$30,MATCH($E108,'Lists'!$B$6:$B$30,0)),"?")&lt;&gt;IFERROR(INDEX('Lists'!$C$6:$C$30,MATCH($F108,'Lists'!$B$6:$B$30,0)),"?"),"Unit mismatch",IF(ISNUMBER(INDEX('Inventory'!$G$7:$G$106,MATCH($C108,'Inventory'!$B$7:$B$106,0))),"OK","Add price in Inventory"))))))))))</f>
        <v/>
      </c>
      <c r="H108" s="87">
        <f>IF($G108&lt;&gt;"OK","",$D108*INDEX('Lists'!$D$6:$D$30,MATCH($E108,'Lists'!$B$6:$B$30,0))/INDEX('Lists'!$D$6:$D$30,MATCH($F108,'Lists'!$B$6:$B$30,0)))</f>
        <v/>
      </c>
      <c r="I108" s="87">
        <f>IF($G108&lt;&gt;"OK","",INDEX('Inventory'!$G$7:$G$106,MATCH($C108,'Inventory'!$B$7:$B$106,0)))</f>
        <v/>
      </c>
      <c r="J108" s="88">
        <f>IF($G108&lt;&gt;"OK","",$H108*$I108)</f>
        <v/>
      </c>
      <c r="K108" s="82">
        <f>IF($G108&lt;&gt;"OK","",SUMIFS('Sales Log'!$D$7:$D$3006,'Sales Log'!$C$7:$C$3006,$B108,'Sales Log'!$B$7:$B$3006,"&gt;="&amp;cfg_CountDate,'Sales Log'!$N$7:$N$3006,"OK"))</f>
        <v/>
      </c>
      <c r="L108" s="89">
        <f>IF($G108&lt;&gt;"OK","",$H108*$K108)</f>
        <v/>
      </c>
    </row>
    <row r="109" ht="17" customHeight="1">
      <c r="B109" s="60" t="n"/>
      <c r="C109" s="60" t="n"/>
      <c r="D109" s="86" t="n"/>
      <c r="E109" s="60" t="n"/>
      <c r="F109" s="13">
        <f>IF($C109="","",IFERROR(INDEX('Inventory'!$D$7:$D$106,MATCH($C109,'Inventory'!$B$7:$B$106,0))&amp;"","?"))</f>
        <v/>
      </c>
      <c r="G109" s="80">
        <f>IF(AND($B109="",$C109=""),"",IF($B109="","Pick menu item",IF(ISNA(MATCH($B109,'Menu Pricing'!$B$7:$B$56,0)),"Not on Menu Pricing",IF($C109="","Pick ingredient",IF($F109="?","Not in Inventory",IF($F109="","Set stock unit in Inventory",IF(N($D109)&lt;=0,"Enter quantity",IF($E109="","Pick unit",IF(IFERROR(INDEX('Lists'!$C$6:$C$30,MATCH($E109,'Lists'!$B$6:$B$30,0)),"?")&lt;&gt;IFERROR(INDEX('Lists'!$C$6:$C$30,MATCH($F109,'Lists'!$B$6:$B$30,0)),"?"),"Unit mismatch",IF(ISNUMBER(INDEX('Inventory'!$G$7:$G$106,MATCH($C109,'Inventory'!$B$7:$B$106,0))),"OK","Add price in Inventory"))))))))))</f>
        <v/>
      </c>
      <c r="H109" s="87">
        <f>IF($G109&lt;&gt;"OK","",$D109*INDEX('Lists'!$D$6:$D$30,MATCH($E109,'Lists'!$B$6:$B$30,0))/INDEX('Lists'!$D$6:$D$30,MATCH($F109,'Lists'!$B$6:$B$30,0)))</f>
        <v/>
      </c>
      <c r="I109" s="87">
        <f>IF($G109&lt;&gt;"OK","",INDEX('Inventory'!$G$7:$G$106,MATCH($C109,'Inventory'!$B$7:$B$106,0)))</f>
        <v/>
      </c>
      <c r="J109" s="88">
        <f>IF($G109&lt;&gt;"OK","",$H109*$I109)</f>
        <v/>
      </c>
      <c r="K109" s="82">
        <f>IF($G109&lt;&gt;"OK","",SUMIFS('Sales Log'!$D$7:$D$3006,'Sales Log'!$C$7:$C$3006,$B109,'Sales Log'!$B$7:$B$3006,"&gt;="&amp;cfg_CountDate,'Sales Log'!$N$7:$N$3006,"OK"))</f>
        <v/>
      </c>
      <c r="L109" s="89">
        <f>IF($G109&lt;&gt;"OK","",$H109*$K109)</f>
        <v/>
      </c>
    </row>
    <row r="110" ht="17" customHeight="1">
      <c r="B110" s="60" t="n"/>
      <c r="C110" s="60" t="n"/>
      <c r="D110" s="86" t="n"/>
      <c r="E110" s="60" t="n"/>
      <c r="F110" s="13">
        <f>IF($C110="","",IFERROR(INDEX('Inventory'!$D$7:$D$106,MATCH($C110,'Inventory'!$B$7:$B$106,0))&amp;"","?"))</f>
        <v/>
      </c>
      <c r="G110" s="80">
        <f>IF(AND($B110="",$C110=""),"",IF($B110="","Pick menu item",IF(ISNA(MATCH($B110,'Menu Pricing'!$B$7:$B$56,0)),"Not on Menu Pricing",IF($C110="","Pick ingredient",IF($F110="?","Not in Inventory",IF($F110="","Set stock unit in Inventory",IF(N($D110)&lt;=0,"Enter quantity",IF($E110="","Pick unit",IF(IFERROR(INDEX('Lists'!$C$6:$C$30,MATCH($E110,'Lists'!$B$6:$B$30,0)),"?")&lt;&gt;IFERROR(INDEX('Lists'!$C$6:$C$30,MATCH($F110,'Lists'!$B$6:$B$30,0)),"?"),"Unit mismatch",IF(ISNUMBER(INDEX('Inventory'!$G$7:$G$106,MATCH($C110,'Inventory'!$B$7:$B$106,0))),"OK","Add price in Inventory"))))))))))</f>
        <v/>
      </c>
      <c r="H110" s="87">
        <f>IF($G110&lt;&gt;"OK","",$D110*INDEX('Lists'!$D$6:$D$30,MATCH($E110,'Lists'!$B$6:$B$30,0))/INDEX('Lists'!$D$6:$D$30,MATCH($F110,'Lists'!$B$6:$B$30,0)))</f>
        <v/>
      </c>
      <c r="I110" s="87">
        <f>IF($G110&lt;&gt;"OK","",INDEX('Inventory'!$G$7:$G$106,MATCH($C110,'Inventory'!$B$7:$B$106,0)))</f>
        <v/>
      </c>
      <c r="J110" s="88">
        <f>IF($G110&lt;&gt;"OK","",$H110*$I110)</f>
        <v/>
      </c>
      <c r="K110" s="82">
        <f>IF($G110&lt;&gt;"OK","",SUMIFS('Sales Log'!$D$7:$D$3006,'Sales Log'!$C$7:$C$3006,$B110,'Sales Log'!$B$7:$B$3006,"&gt;="&amp;cfg_CountDate,'Sales Log'!$N$7:$N$3006,"OK"))</f>
        <v/>
      </c>
      <c r="L110" s="89">
        <f>IF($G110&lt;&gt;"OK","",$H110*$K110)</f>
        <v/>
      </c>
    </row>
    <row r="111" ht="17" customHeight="1">
      <c r="B111" s="60" t="n"/>
      <c r="C111" s="60" t="n"/>
      <c r="D111" s="86" t="n"/>
      <c r="E111" s="60" t="n"/>
      <c r="F111" s="13">
        <f>IF($C111="","",IFERROR(INDEX('Inventory'!$D$7:$D$106,MATCH($C111,'Inventory'!$B$7:$B$106,0))&amp;"","?"))</f>
        <v/>
      </c>
      <c r="G111" s="80">
        <f>IF(AND($B111="",$C111=""),"",IF($B111="","Pick menu item",IF(ISNA(MATCH($B111,'Menu Pricing'!$B$7:$B$56,0)),"Not on Menu Pricing",IF($C111="","Pick ingredient",IF($F111="?","Not in Inventory",IF($F111="","Set stock unit in Inventory",IF(N($D111)&lt;=0,"Enter quantity",IF($E111="","Pick unit",IF(IFERROR(INDEX('Lists'!$C$6:$C$30,MATCH($E111,'Lists'!$B$6:$B$30,0)),"?")&lt;&gt;IFERROR(INDEX('Lists'!$C$6:$C$30,MATCH($F111,'Lists'!$B$6:$B$30,0)),"?"),"Unit mismatch",IF(ISNUMBER(INDEX('Inventory'!$G$7:$G$106,MATCH($C111,'Inventory'!$B$7:$B$106,0))),"OK","Add price in Inventory"))))))))))</f>
        <v/>
      </c>
      <c r="H111" s="87">
        <f>IF($G111&lt;&gt;"OK","",$D111*INDEX('Lists'!$D$6:$D$30,MATCH($E111,'Lists'!$B$6:$B$30,0))/INDEX('Lists'!$D$6:$D$30,MATCH($F111,'Lists'!$B$6:$B$30,0)))</f>
        <v/>
      </c>
      <c r="I111" s="87">
        <f>IF($G111&lt;&gt;"OK","",INDEX('Inventory'!$G$7:$G$106,MATCH($C111,'Inventory'!$B$7:$B$106,0)))</f>
        <v/>
      </c>
      <c r="J111" s="88">
        <f>IF($G111&lt;&gt;"OK","",$H111*$I111)</f>
        <v/>
      </c>
      <c r="K111" s="82">
        <f>IF($G111&lt;&gt;"OK","",SUMIFS('Sales Log'!$D$7:$D$3006,'Sales Log'!$C$7:$C$3006,$B111,'Sales Log'!$B$7:$B$3006,"&gt;="&amp;cfg_CountDate,'Sales Log'!$N$7:$N$3006,"OK"))</f>
        <v/>
      </c>
      <c r="L111" s="89">
        <f>IF($G111&lt;&gt;"OK","",$H111*$K111)</f>
        <v/>
      </c>
    </row>
    <row r="112" ht="17" customHeight="1">
      <c r="B112" s="60" t="n"/>
      <c r="C112" s="60" t="n"/>
      <c r="D112" s="86" t="n"/>
      <c r="E112" s="60" t="n"/>
      <c r="F112" s="13">
        <f>IF($C112="","",IFERROR(INDEX('Inventory'!$D$7:$D$106,MATCH($C112,'Inventory'!$B$7:$B$106,0))&amp;"","?"))</f>
        <v/>
      </c>
      <c r="G112" s="80">
        <f>IF(AND($B112="",$C112=""),"",IF($B112="","Pick menu item",IF(ISNA(MATCH($B112,'Menu Pricing'!$B$7:$B$56,0)),"Not on Menu Pricing",IF($C112="","Pick ingredient",IF($F112="?","Not in Inventory",IF($F112="","Set stock unit in Inventory",IF(N($D112)&lt;=0,"Enter quantity",IF($E112="","Pick unit",IF(IFERROR(INDEX('Lists'!$C$6:$C$30,MATCH($E112,'Lists'!$B$6:$B$30,0)),"?")&lt;&gt;IFERROR(INDEX('Lists'!$C$6:$C$30,MATCH($F112,'Lists'!$B$6:$B$30,0)),"?"),"Unit mismatch",IF(ISNUMBER(INDEX('Inventory'!$G$7:$G$106,MATCH($C112,'Inventory'!$B$7:$B$106,0))),"OK","Add price in Inventory"))))))))))</f>
        <v/>
      </c>
      <c r="H112" s="87">
        <f>IF($G112&lt;&gt;"OK","",$D112*INDEX('Lists'!$D$6:$D$30,MATCH($E112,'Lists'!$B$6:$B$30,0))/INDEX('Lists'!$D$6:$D$30,MATCH($F112,'Lists'!$B$6:$B$30,0)))</f>
        <v/>
      </c>
      <c r="I112" s="87">
        <f>IF($G112&lt;&gt;"OK","",INDEX('Inventory'!$G$7:$G$106,MATCH($C112,'Inventory'!$B$7:$B$106,0)))</f>
        <v/>
      </c>
      <c r="J112" s="88">
        <f>IF($G112&lt;&gt;"OK","",$H112*$I112)</f>
        <v/>
      </c>
      <c r="K112" s="82">
        <f>IF($G112&lt;&gt;"OK","",SUMIFS('Sales Log'!$D$7:$D$3006,'Sales Log'!$C$7:$C$3006,$B112,'Sales Log'!$B$7:$B$3006,"&gt;="&amp;cfg_CountDate,'Sales Log'!$N$7:$N$3006,"OK"))</f>
        <v/>
      </c>
      <c r="L112" s="89">
        <f>IF($G112&lt;&gt;"OK","",$H112*$K112)</f>
        <v/>
      </c>
    </row>
    <row r="113" ht="17" customHeight="1">
      <c r="B113" s="60" t="n"/>
      <c r="C113" s="60" t="n"/>
      <c r="D113" s="86" t="n"/>
      <c r="E113" s="60" t="n"/>
      <c r="F113" s="13">
        <f>IF($C113="","",IFERROR(INDEX('Inventory'!$D$7:$D$106,MATCH($C113,'Inventory'!$B$7:$B$106,0))&amp;"","?"))</f>
        <v/>
      </c>
      <c r="G113" s="80">
        <f>IF(AND($B113="",$C113=""),"",IF($B113="","Pick menu item",IF(ISNA(MATCH($B113,'Menu Pricing'!$B$7:$B$56,0)),"Not on Menu Pricing",IF($C113="","Pick ingredient",IF($F113="?","Not in Inventory",IF($F113="","Set stock unit in Inventory",IF(N($D113)&lt;=0,"Enter quantity",IF($E113="","Pick unit",IF(IFERROR(INDEX('Lists'!$C$6:$C$30,MATCH($E113,'Lists'!$B$6:$B$30,0)),"?")&lt;&gt;IFERROR(INDEX('Lists'!$C$6:$C$30,MATCH($F113,'Lists'!$B$6:$B$30,0)),"?"),"Unit mismatch",IF(ISNUMBER(INDEX('Inventory'!$G$7:$G$106,MATCH($C113,'Inventory'!$B$7:$B$106,0))),"OK","Add price in Inventory"))))))))))</f>
        <v/>
      </c>
      <c r="H113" s="87">
        <f>IF($G113&lt;&gt;"OK","",$D113*INDEX('Lists'!$D$6:$D$30,MATCH($E113,'Lists'!$B$6:$B$30,0))/INDEX('Lists'!$D$6:$D$30,MATCH($F113,'Lists'!$B$6:$B$30,0)))</f>
        <v/>
      </c>
      <c r="I113" s="87">
        <f>IF($G113&lt;&gt;"OK","",INDEX('Inventory'!$G$7:$G$106,MATCH($C113,'Inventory'!$B$7:$B$106,0)))</f>
        <v/>
      </c>
      <c r="J113" s="88">
        <f>IF($G113&lt;&gt;"OK","",$H113*$I113)</f>
        <v/>
      </c>
      <c r="K113" s="82">
        <f>IF($G113&lt;&gt;"OK","",SUMIFS('Sales Log'!$D$7:$D$3006,'Sales Log'!$C$7:$C$3006,$B113,'Sales Log'!$B$7:$B$3006,"&gt;="&amp;cfg_CountDate,'Sales Log'!$N$7:$N$3006,"OK"))</f>
        <v/>
      </c>
      <c r="L113" s="89">
        <f>IF($G113&lt;&gt;"OK","",$H113*$K113)</f>
        <v/>
      </c>
    </row>
    <row r="114" ht="17" customHeight="1">
      <c r="B114" s="60" t="n"/>
      <c r="C114" s="60" t="n"/>
      <c r="D114" s="86" t="n"/>
      <c r="E114" s="60" t="n"/>
      <c r="F114" s="13">
        <f>IF($C114="","",IFERROR(INDEX('Inventory'!$D$7:$D$106,MATCH($C114,'Inventory'!$B$7:$B$106,0))&amp;"","?"))</f>
        <v/>
      </c>
      <c r="G114" s="80">
        <f>IF(AND($B114="",$C114=""),"",IF($B114="","Pick menu item",IF(ISNA(MATCH($B114,'Menu Pricing'!$B$7:$B$56,0)),"Not on Menu Pricing",IF($C114="","Pick ingredient",IF($F114="?","Not in Inventory",IF($F114="","Set stock unit in Inventory",IF(N($D114)&lt;=0,"Enter quantity",IF($E114="","Pick unit",IF(IFERROR(INDEX('Lists'!$C$6:$C$30,MATCH($E114,'Lists'!$B$6:$B$30,0)),"?")&lt;&gt;IFERROR(INDEX('Lists'!$C$6:$C$30,MATCH($F114,'Lists'!$B$6:$B$30,0)),"?"),"Unit mismatch",IF(ISNUMBER(INDEX('Inventory'!$G$7:$G$106,MATCH($C114,'Inventory'!$B$7:$B$106,0))),"OK","Add price in Inventory"))))))))))</f>
        <v/>
      </c>
      <c r="H114" s="87">
        <f>IF($G114&lt;&gt;"OK","",$D114*INDEX('Lists'!$D$6:$D$30,MATCH($E114,'Lists'!$B$6:$B$30,0))/INDEX('Lists'!$D$6:$D$30,MATCH($F114,'Lists'!$B$6:$B$30,0)))</f>
        <v/>
      </c>
      <c r="I114" s="87">
        <f>IF($G114&lt;&gt;"OK","",INDEX('Inventory'!$G$7:$G$106,MATCH($C114,'Inventory'!$B$7:$B$106,0)))</f>
        <v/>
      </c>
      <c r="J114" s="88">
        <f>IF($G114&lt;&gt;"OK","",$H114*$I114)</f>
        <v/>
      </c>
      <c r="K114" s="82">
        <f>IF($G114&lt;&gt;"OK","",SUMIFS('Sales Log'!$D$7:$D$3006,'Sales Log'!$C$7:$C$3006,$B114,'Sales Log'!$B$7:$B$3006,"&gt;="&amp;cfg_CountDate,'Sales Log'!$N$7:$N$3006,"OK"))</f>
        <v/>
      </c>
      <c r="L114" s="89">
        <f>IF($G114&lt;&gt;"OK","",$H114*$K114)</f>
        <v/>
      </c>
    </row>
    <row r="115" ht="17" customHeight="1">
      <c r="B115" s="60" t="n"/>
      <c r="C115" s="60" t="n"/>
      <c r="D115" s="86" t="n"/>
      <c r="E115" s="60" t="n"/>
      <c r="F115" s="13">
        <f>IF($C115="","",IFERROR(INDEX('Inventory'!$D$7:$D$106,MATCH($C115,'Inventory'!$B$7:$B$106,0))&amp;"","?"))</f>
        <v/>
      </c>
      <c r="G115" s="80">
        <f>IF(AND($B115="",$C115=""),"",IF($B115="","Pick menu item",IF(ISNA(MATCH($B115,'Menu Pricing'!$B$7:$B$56,0)),"Not on Menu Pricing",IF($C115="","Pick ingredient",IF($F115="?","Not in Inventory",IF($F115="","Set stock unit in Inventory",IF(N($D115)&lt;=0,"Enter quantity",IF($E115="","Pick unit",IF(IFERROR(INDEX('Lists'!$C$6:$C$30,MATCH($E115,'Lists'!$B$6:$B$30,0)),"?")&lt;&gt;IFERROR(INDEX('Lists'!$C$6:$C$30,MATCH($F115,'Lists'!$B$6:$B$30,0)),"?"),"Unit mismatch",IF(ISNUMBER(INDEX('Inventory'!$G$7:$G$106,MATCH($C115,'Inventory'!$B$7:$B$106,0))),"OK","Add price in Inventory"))))))))))</f>
        <v/>
      </c>
      <c r="H115" s="87">
        <f>IF($G115&lt;&gt;"OK","",$D115*INDEX('Lists'!$D$6:$D$30,MATCH($E115,'Lists'!$B$6:$B$30,0))/INDEX('Lists'!$D$6:$D$30,MATCH($F115,'Lists'!$B$6:$B$30,0)))</f>
        <v/>
      </c>
      <c r="I115" s="87">
        <f>IF($G115&lt;&gt;"OK","",INDEX('Inventory'!$G$7:$G$106,MATCH($C115,'Inventory'!$B$7:$B$106,0)))</f>
        <v/>
      </c>
      <c r="J115" s="88">
        <f>IF($G115&lt;&gt;"OK","",$H115*$I115)</f>
        <v/>
      </c>
      <c r="K115" s="82">
        <f>IF($G115&lt;&gt;"OK","",SUMIFS('Sales Log'!$D$7:$D$3006,'Sales Log'!$C$7:$C$3006,$B115,'Sales Log'!$B$7:$B$3006,"&gt;="&amp;cfg_CountDate,'Sales Log'!$N$7:$N$3006,"OK"))</f>
        <v/>
      </c>
      <c r="L115" s="89">
        <f>IF($G115&lt;&gt;"OK","",$H115*$K115)</f>
        <v/>
      </c>
    </row>
    <row r="116" ht="17" customHeight="1">
      <c r="B116" s="60" t="n"/>
      <c r="C116" s="60" t="n"/>
      <c r="D116" s="86" t="n"/>
      <c r="E116" s="60" t="n"/>
      <c r="F116" s="13">
        <f>IF($C116="","",IFERROR(INDEX('Inventory'!$D$7:$D$106,MATCH($C116,'Inventory'!$B$7:$B$106,0))&amp;"","?"))</f>
        <v/>
      </c>
      <c r="G116" s="80">
        <f>IF(AND($B116="",$C116=""),"",IF($B116="","Pick menu item",IF(ISNA(MATCH($B116,'Menu Pricing'!$B$7:$B$56,0)),"Not on Menu Pricing",IF($C116="","Pick ingredient",IF($F116="?","Not in Inventory",IF($F116="","Set stock unit in Inventory",IF(N($D116)&lt;=0,"Enter quantity",IF($E116="","Pick unit",IF(IFERROR(INDEX('Lists'!$C$6:$C$30,MATCH($E116,'Lists'!$B$6:$B$30,0)),"?")&lt;&gt;IFERROR(INDEX('Lists'!$C$6:$C$30,MATCH($F116,'Lists'!$B$6:$B$30,0)),"?"),"Unit mismatch",IF(ISNUMBER(INDEX('Inventory'!$G$7:$G$106,MATCH($C116,'Inventory'!$B$7:$B$106,0))),"OK","Add price in Inventory"))))))))))</f>
        <v/>
      </c>
      <c r="H116" s="87">
        <f>IF($G116&lt;&gt;"OK","",$D116*INDEX('Lists'!$D$6:$D$30,MATCH($E116,'Lists'!$B$6:$B$30,0))/INDEX('Lists'!$D$6:$D$30,MATCH($F116,'Lists'!$B$6:$B$30,0)))</f>
        <v/>
      </c>
      <c r="I116" s="87">
        <f>IF($G116&lt;&gt;"OK","",INDEX('Inventory'!$G$7:$G$106,MATCH($C116,'Inventory'!$B$7:$B$106,0)))</f>
        <v/>
      </c>
      <c r="J116" s="88">
        <f>IF($G116&lt;&gt;"OK","",$H116*$I116)</f>
        <v/>
      </c>
      <c r="K116" s="82">
        <f>IF($G116&lt;&gt;"OK","",SUMIFS('Sales Log'!$D$7:$D$3006,'Sales Log'!$C$7:$C$3006,$B116,'Sales Log'!$B$7:$B$3006,"&gt;="&amp;cfg_CountDate,'Sales Log'!$N$7:$N$3006,"OK"))</f>
        <v/>
      </c>
      <c r="L116" s="89">
        <f>IF($G116&lt;&gt;"OK","",$H116*$K116)</f>
        <v/>
      </c>
    </row>
    <row r="117" ht="17" customHeight="1">
      <c r="B117" s="60" t="n"/>
      <c r="C117" s="60" t="n"/>
      <c r="D117" s="86" t="n"/>
      <c r="E117" s="60" t="n"/>
      <c r="F117" s="13">
        <f>IF($C117="","",IFERROR(INDEX('Inventory'!$D$7:$D$106,MATCH($C117,'Inventory'!$B$7:$B$106,0))&amp;"","?"))</f>
        <v/>
      </c>
      <c r="G117" s="80">
        <f>IF(AND($B117="",$C117=""),"",IF($B117="","Pick menu item",IF(ISNA(MATCH($B117,'Menu Pricing'!$B$7:$B$56,0)),"Not on Menu Pricing",IF($C117="","Pick ingredient",IF($F117="?","Not in Inventory",IF($F117="","Set stock unit in Inventory",IF(N($D117)&lt;=0,"Enter quantity",IF($E117="","Pick unit",IF(IFERROR(INDEX('Lists'!$C$6:$C$30,MATCH($E117,'Lists'!$B$6:$B$30,0)),"?")&lt;&gt;IFERROR(INDEX('Lists'!$C$6:$C$30,MATCH($F117,'Lists'!$B$6:$B$30,0)),"?"),"Unit mismatch",IF(ISNUMBER(INDEX('Inventory'!$G$7:$G$106,MATCH($C117,'Inventory'!$B$7:$B$106,0))),"OK","Add price in Inventory"))))))))))</f>
        <v/>
      </c>
      <c r="H117" s="87">
        <f>IF($G117&lt;&gt;"OK","",$D117*INDEX('Lists'!$D$6:$D$30,MATCH($E117,'Lists'!$B$6:$B$30,0))/INDEX('Lists'!$D$6:$D$30,MATCH($F117,'Lists'!$B$6:$B$30,0)))</f>
        <v/>
      </c>
      <c r="I117" s="87">
        <f>IF($G117&lt;&gt;"OK","",INDEX('Inventory'!$G$7:$G$106,MATCH($C117,'Inventory'!$B$7:$B$106,0)))</f>
        <v/>
      </c>
      <c r="J117" s="88">
        <f>IF($G117&lt;&gt;"OK","",$H117*$I117)</f>
        <v/>
      </c>
      <c r="K117" s="82">
        <f>IF($G117&lt;&gt;"OK","",SUMIFS('Sales Log'!$D$7:$D$3006,'Sales Log'!$C$7:$C$3006,$B117,'Sales Log'!$B$7:$B$3006,"&gt;="&amp;cfg_CountDate,'Sales Log'!$N$7:$N$3006,"OK"))</f>
        <v/>
      </c>
      <c r="L117" s="89">
        <f>IF($G117&lt;&gt;"OK","",$H117*$K117)</f>
        <v/>
      </c>
    </row>
    <row r="118" ht="17" customHeight="1">
      <c r="B118" s="60" t="n"/>
      <c r="C118" s="60" t="n"/>
      <c r="D118" s="86" t="n"/>
      <c r="E118" s="60" t="n"/>
      <c r="F118" s="13">
        <f>IF($C118="","",IFERROR(INDEX('Inventory'!$D$7:$D$106,MATCH($C118,'Inventory'!$B$7:$B$106,0))&amp;"","?"))</f>
        <v/>
      </c>
      <c r="G118" s="80">
        <f>IF(AND($B118="",$C118=""),"",IF($B118="","Pick menu item",IF(ISNA(MATCH($B118,'Menu Pricing'!$B$7:$B$56,0)),"Not on Menu Pricing",IF($C118="","Pick ingredient",IF($F118="?","Not in Inventory",IF($F118="","Set stock unit in Inventory",IF(N($D118)&lt;=0,"Enter quantity",IF($E118="","Pick unit",IF(IFERROR(INDEX('Lists'!$C$6:$C$30,MATCH($E118,'Lists'!$B$6:$B$30,0)),"?")&lt;&gt;IFERROR(INDEX('Lists'!$C$6:$C$30,MATCH($F118,'Lists'!$B$6:$B$30,0)),"?"),"Unit mismatch",IF(ISNUMBER(INDEX('Inventory'!$G$7:$G$106,MATCH($C118,'Inventory'!$B$7:$B$106,0))),"OK","Add price in Inventory"))))))))))</f>
        <v/>
      </c>
      <c r="H118" s="87">
        <f>IF($G118&lt;&gt;"OK","",$D118*INDEX('Lists'!$D$6:$D$30,MATCH($E118,'Lists'!$B$6:$B$30,0))/INDEX('Lists'!$D$6:$D$30,MATCH($F118,'Lists'!$B$6:$B$30,0)))</f>
        <v/>
      </c>
      <c r="I118" s="87">
        <f>IF($G118&lt;&gt;"OK","",INDEX('Inventory'!$G$7:$G$106,MATCH($C118,'Inventory'!$B$7:$B$106,0)))</f>
        <v/>
      </c>
      <c r="J118" s="88">
        <f>IF($G118&lt;&gt;"OK","",$H118*$I118)</f>
        <v/>
      </c>
      <c r="K118" s="82">
        <f>IF($G118&lt;&gt;"OK","",SUMIFS('Sales Log'!$D$7:$D$3006,'Sales Log'!$C$7:$C$3006,$B118,'Sales Log'!$B$7:$B$3006,"&gt;="&amp;cfg_CountDate,'Sales Log'!$N$7:$N$3006,"OK"))</f>
        <v/>
      </c>
      <c r="L118" s="89">
        <f>IF($G118&lt;&gt;"OK","",$H118*$K118)</f>
        <v/>
      </c>
    </row>
    <row r="119" ht="17" customHeight="1">
      <c r="B119" s="60" t="n"/>
      <c r="C119" s="60" t="n"/>
      <c r="D119" s="86" t="n"/>
      <c r="E119" s="60" t="n"/>
      <c r="F119" s="13">
        <f>IF($C119="","",IFERROR(INDEX('Inventory'!$D$7:$D$106,MATCH($C119,'Inventory'!$B$7:$B$106,0))&amp;"","?"))</f>
        <v/>
      </c>
      <c r="G119" s="80">
        <f>IF(AND($B119="",$C119=""),"",IF($B119="","Pick menu item",IF(ISNA(MATCH($B119,'Menu Pricing'!$B$7:$B$56,0)),"Not on Menu Pricing",IF($C119="","Pick ingredient",IF($F119="?","Not in Inventory",IF($F119="","Set stock unit in Inventory",IF(N($D119)&lt;=0,"Enter quantity",IF($E119="","Pick unit",IF(IFERROR(INDEX('Lists'!$C$6:$C$30,MATCH($E119,'Lists'!$B$6:$B$30,0)),"?")&lt;&gt;IFERROR(INDEX('Lists'!$C$6:$C$30,MATCH($F119,'Lists'!$B$6:$B$30,0)),"?"),"Unit mismatch",IF(ISNUMBER(INDEX('Inventory'!$G$7:$G$106,MATCH($C119,'Inventory'!$B$7:$B$106,0))),"OK","Add price in Inventory"))))))))))</f>
        <v/>
      </c>
      <c r="H119" s="87">
        <f>IF($G119&lt;&gt;"OK","",$D119*INDEX('Lists'!$D$6:$D$30,MATCH($E119,'Lists'!$B$6:$B$30,0))/INDEX('Lists'!$D$6:$D$30,MATCH($F119,'Lists'!$B$6:$B$30,0)))</f>
        <v/>
      </c>
      <c r="I119" s="87">
        <f>IF($G119&lt;&gt;"OK","",INDEX('Inventory'!$G$7:$G$106,MATCH($C119,'Inventory'!$B$7:$B$106,0)))</f>
        <v/>
      </c>
      <c r="J119" s="88">
        <f>IF($G119&lt;&gt;"OK","",$H119*$I119)</f>
        <v/>
      </c>
      <c r="K119" s="82">
        <f>IF($G119&lt;&gt;"OK","",SUMIFS('Sales Log'!$D$7:$D$3006,'Sales Log'!$C$7:$C$3006,$B119,'Sales Log'!$B$7:$B$3006,"&gt;="&amp;cfg_CountDate,'Sales Log'!$N$7:$N$3006,"OK"))</f>
        <v/>
      </c>
      <c r="L119" s="89">
        <f>IF($G119&lt;&gt;"OK","",$H119*$K119)</f>
        <v/>
      </c>
    </row>
    <row r="120" ht="17" customHeight="1">
      <c r="B120" s="60" t="n"/>
      <c r="C120" s="60" t="n"/>
      <c r="D120" s="86" t="n"/>
      <c r="E120" s="60" t="n"/>
      <c r="F120" s="13">
        <f>IF($C120="","",IFERROR(INDEX('Inventory'!$D$7:$D$106,MATCH($C120,'Inventory'!$B$7:$B$106,0))&amp;"","?"))</f>
        <v/>
      </c>
      <c r="G120" s="80">
        <f>IF(AND($B120="",$C120=""),"",IF($B120="","Pick menu item",IF(ISNA(MATCH($B120,'Menu Pricing'!$B$7:$B$56,0)),"Not on Menu Pricing",IF($C120="","Pick ingredient",IF($F120="?","Not in Inventory",IF($F120="","Set stock unit in Inventory",IF(N($D120)&lt;=0,"Enter quantity",IF($E120="","Pick unit",IF(IFERROR(INDEX('Lists'!$C$6:$C$30,MATCH($E120,'Lists'!$B$6:$B$30,0)),"?")&lt;&gt;IFERROR(INDEX('Lists'!$C$6:$C$30,MATCH($F120,'Lists'!$B$6:$B$30,0)),"?"),"Unit mismatch",IF(ISNUMBER(INDEX('Inventory'!$G$7:$G$106,MATCH($C120,'Inventory'!$B$7:$B$106,0))),"OK","Add price in Inventory"))))))))))</f>
        <v/>
      </c>
      <c r="H120" s="87">
        <f>IF($G120&lt;&gt;"OK","",$D120*INDEX('Lists'!$D$6:$D$30,MATCH($E120,'Lists'!$B$6:$B$30,0))/INDEX('Lists'!$D$6:$D$30,MATCH($F120,'Lists'!$B$6:$B$30,0)))</f>
        <v/>
      </c>
      <c r="I120" s="87">
        <f>IF($G120&lt;&gt;"OK","",INDEX('Inventory'!$G$7:$G$106,MATCH($C120,'Inventory'!$B$7:$B$106,0)))</f>
        <v/>
      </c>
      <c r="J120" s="88">
        <f>IF($G120&lt;&gt;"OK","",$H120*$I120)</f>
        <v/>
      </c>
      <c r="K120" s="82">
        <f>IF($G120&lt;&gt;"OK","",SUMIFS('Sales Log'!$D$7:$D$3006,'Sales Log'!$C$7:$C$3006,$B120,'Sales Log'!$B$7:$B$3006,"&gt;="&amp;cfg_CountDate,'Sales Log'!$N$7:$N$3006,"OK"))</f>
        <v/>
      </c>
      <c r="L120" s="89">
        <f>IF($G120&lt;&gt;"OK","",$H120*$K120)</f>
        <v/>
      </c>
    </row>
    <row r="121" ht="17" customHeight="1">
      <c r="B121" s="60" t="n"/>
      <c r="C121" s="60" t="n"/>
      <c r="D121" s="86" t="n"/>
      <c r="E121" s="60" t="n"/>
      <c r="F121" s="13">
        <f>IF($C121="","",IFERROR(INDEX('Inventory'!$D$7:$D$106,MATCH($C121,'Inventory'!$B$7:$B$106,0))&amp;"","?"))</f>
        <v/>
      </c>
      <c r="G121" s="80">
        <f>IF(AND($B121="",$C121=""),"",IF($B121="","Pick menu item",IF(ISNA(MATCH($B121,'Menu Pricing'!$B$7:$B$56,0)),"Not on Menu Pricing",IF($C121="","Pick ingredient",IF($F121="?","Not in Inventory",IF($F121="","Set stock unit in Inventory",IF(N($D121)&lt;=0,"Enter quantity",IF($E121="","Pick unit",IF(IFERROR(INDEX('Lists'!$C$6:$C$30,MATCH($E121,'Lists'!$B$6:$B$30,0)),"?")&lt;&gt;IFERROR(INDEX('Lists'!$C$6:$C$30,MATCH($F121,'Lists'!$B$6:$B$30,0)),"?"),"Unit mismatch",IF(ISNUMBER(INDEX('Inventory'!$G$7:$G$106,MATCH($C121,'Inventory'!$B$7:$B$106,0))),"OK","Add price in Inventory"))))))))))</f>
        <v/>
      </c>
      <c r="H121" s="87">
        <f>IF($G121&lt;&gt;"OK","",$D121*INDEX('Lists'!$D$6:$D$30,MATCH($E121,'Lists'!$B$6:$B$30,0))/INDEX('Lists'!$D$6:$D$30,MATCH($F121,'Lists'!$B$6:$B$30,0)))</f>
        <v/>
      </c>
      <c r="I121" s="87">
        <f>IF($G121&lt;&gt;"OK","",INDEX('Inventory'!$G$7:$G$106,MATCH($C121,'Inventory'!$B$7:$B$106,0)))</f>
        <v/>
      </c>
      <c r="J121" s="88">
        <f>IF($G121&lt;&gt;"OK","",$H121*$I121)</f>
        <v/>
      </c>
      <c r="K121" s="82">
        <f>IF($G121&lt;&gt;"OK","",SUMIFS('Sales Log'!$D$7:$D$3006,'Sales Log'!$C$7:$C$3006,$B121,'Sales Log'!$B$7:$B$3006,"&gt;="&amp;cfg_CountDate,'Sales Log'!$N$7:$N$3006,"OK"))</f>
        <v/>
      </c>
      <c r="L121" s="89">
        <f>IF($G121&lt;&gt;"OK","",$H121*$K121)</f>
        <v/>
      </c>
    </row>
    <row r="122" ht="17" customHeight="1">
      <c r="B122" s="60" t="n"/>
      <c r="C122" s="60" t="n"/>
      <c r="D122" s="86" t="n"/>
      <c r="E122" s="60" t="n"/>
      <c r="F122" s="13">
        <f>IF($C122="","",IFERROR(INDEX('Inventory'!$D$7:$D$106,MATCH($C122,'Inventory'!$B$7:$B$106,0))&amp;"","?"))</f>
        <v/>
      </c>
      <c r="G122" s="80">
        <f>IF(AND($B122="",$C122=""),"",IF($B122="","Pick menu item",IF(ISNA(MATCH($B122,'Menu Pricing'!$B$7:$B$56,0)),"Not on Menu Pricing",IF($C122="","Pick ingredient",IF($F122="?","Not in Inventory",IF($F122="","Set stock unit in Inventory",IF(N($D122)&lt;=0,"Enter quantity",IF($E122="","Pick unit",IF(IFERROR(INDEX('Lists'!$C$6:$C$30,MATCH($E122,'Lists'!$B$6:$B$30,0)),"?")&lt;&gt;IFERROR(INDEX('Lists'!$C$6:$C$30,MATCH($F122,'Lists'!$B$6:$B$30,0)),"?"),"Unit mismatch",IF(ISNUMBER(INDEX('Inventory'!$G$7:$G$106,MATCH($C122,'Inventory'!$B$7:$B$106,0))),"OK","Add price in Inventory"))))))))))</f>
        <v/>
      </c>
      <c r="H122" s="87">
        <f>IF($G122&lt;&gt;"OK","",$D122*INDEX('Lists'!$D$6:$D$30,MATCH($E122,'Lists'!$B$6:$B$30,0))/INDEX('Lists'!$D$6:$D$30,MATCH($F122,'Lists'!$B$6:$B$30,0)))</f>
        <v/>
      </c>
      <c r="I122" s="87">
        <f>IF($G122&lt;&gt;"OK","",INDEX('Inventory'!$G$7:$G$106,MATCH($C122,'Inventory'!$B$7:$B$106,0)))</f>
        <v/>
      </c>
      <c r="J122" s="88">
        <f>IF($G122&lt;&gt;"OK","",$H122*$I122)</f>
        <v/>
      </c>
      <c r="K122" s="82">
        <f>IF($G122&lt;&gt;"OK","",SUMIFS('Sales Log'!$D$7:$D$3006,'Sales Log'!$C$7:$C$3006,$B122,'Sales Log'!$B$7:$B$3006,"&gt;="&amp;cfg_CountDate,'Sales Log'!$N$7:$N$3006,"OK"))</f>
        <v/>
      </c>
      <c r="L122" s="89">
        <f>IF($G122&lt;&gt;"OK","",$H122*$K122)</f>
        <v/>
      </c>
    </row>
    <row r="123" ht="17" customHeight="1">
      <c r="B123" s="60" t="n"/>
      <c r="C123" s="60" t="n"/>
      <c r="D123" s="86" t="n"/>
      <c r="E123" s="60" t="n"/>
      <c r="F123" s="13">
        <f>IF($C123="","",IFERROR(INDEX('Inventory'!$D$7:$D$106,MATCH($C123,'Inventory'!$B$7:$B$106,0))&amp;"","?"))</f>
        <v/>
      </c>
      <c r="G123" s="80">
        <f>IF(AND($B123="",$C123=""),"",IF($B123="","Pick menu item",IF(ISNA(MATCH($B123,'Menu Pricing'!$B$7:$B$56,0)),"Not on Menu Pricing",IF($C123="","Pick ingredient",IF($F123="?","Not in Inventory",IF($F123="","Set stock unit in Inventory",IF(N($D123)&lt;=0,"Enter quantity",IF($E123="","Pick unit",IF(IFERROR(INDEX('Lists'!$C$6:$C$30,MATCH($E123,'Lists'!$B$6:$B$30,0)),"?")&lt;&gt;IFERROR(INDEX('Lists'!$C$6:$C$30,MATCH($F123,'Lists'!$B$6:$B$30,0)),"?"),"Unit mismatch",IF(ISNUMBER(INDEX('Inventory'!$G$7:$G$106,MATCH($C123,'Inventory'!$B$7:$B$106,0))),"OK","Add price in Inventory"))))))))))</f>
        <v/>
      </c>
      <c r="H123" s="87">
        <f>IF($G123&lt;&gt;"OK","",$D123*INDEX('Lists'!$D$6:$D$30,MATCH($E123,'Lists'!$B$6:$B$30,0))/INDEX('Lists'!$D$6:$D$30,MATCH($F123,'Lists'!$B$6:$B$30,0)))</f>
        <v/>
      </c>
      <c r="I123" s="87">
        <f>IF($G123&lt;&gt;"OK","",INDEX('Inventory'!$G$7:$G$106,MATCH($C123,'Inventory'!$B$7:$B$106,0)))</f>
        <v/>
      </c>
      <c r="J123" s="88">
        <f>IF($G123&lt;&gt;"OK","",$H123*$I123)</f>
        <v/>
      </c>
      <c r="K123" s="82">
        <f>IF($G123&lt;&gt;"OK","",SUMIFS('Sales Log'!$D$7:$D$3006,'Sales Log'!$C$7:$C$3006,$B123,'Sales Log'!$B$7:$B$3006,"&gt;="&amp;cfg_CountDate,'Sales Log'!$N$7:$N$3006,"OK"))</f>
        <v/>
      </c>
      <c r="L123" s="89">
        <f>IF($G123&lt;&gt;"OK","",$H123*$K123)</f>
        <v/>
      </c>
    </row>
    <row r="124" ht="17" customHeight="1">
      <c r="B124" s="60" t="n"/>
      <c r="C124" s="60" t="n"/>
      <c r="D124" s="86" t="n"/>
      <c r="E124" s="60" t="n"/>
      <c r="F124" s="13">
        <f>IF($C124="","",IFERROR(INDEX('Inventory'!$D$7:$D$106,MATCH($C124,'Inventory'!$B$7:$B$106,0))&amp;"","?"))</f>
        <v/>
      </c>
      <c r="G124" s="80">
        <f>IF(AND($B124="",$C124=""),"",IF($B124="","Pick menu item",IF(ISNA(MATCH($B124,'Menu Pricing'!$B$7:$B$56,0)),"Not on Menu Pricing",IF($C124="","Pick ingredient",IF($F124="?","Not in Inventory",IF($F124="","Set stock unit in Inventory",IF(N($D124)&lt;=0,"Enter quantity",IF($E124="","Pick unit",IF(IFERROR(INDEX('Lists'!$C$6:$C$30,MATCH($E124,'Lists'!$B$6:$B$30,0)),"?")&lt;&gt;IFERROR(INDEX('Lists'!$C$6:$C$30,MATCH($F124,'Lists'!$B$6:$B$30,0)),"?"),"Unit mismatch",IF(ISNUMBER(INDEX('Inventory'!$G$7:$G$106,MATCH($C124,'Inventory'!$B$7:$B$106,0))),"OK","Add price in Inventory"))))))))))</f>
        <v/>
      </c>
      <c r="H124" s="87">
        <f>IF($G124&lt;&gt;"OK","",$D124*INDEX('Lists'!$D$6:$D$30,MATCH($E124,'Lists'!$B$6:$B$30,0))/INDEX('Lists'!$D$6:$D$30,MATCH($F124,'Lists'!$B$6:$B$30,0)))</f>
        <v/>
      </c>
      <c r="I124" s="87">
        <f>IF($G124&lt;&gt;"OK","",INDEX('Inventory'!$G$7:$G$106,MATCH($C124,'Inventory'!$B$7:$B$106,0)))</f>
        <v/>
      </c>
      <c r="J124" s="88">
        <f>IF($G124&lt;&gt;"OK","",$H124*$I124)</f>
        <v/>
      </c>
      <c r="K124" s="82">
        <f>IF($G124&lt;&gt;"OK","",SUMIFS('Sales Log'!$D$7:$D$3006,'Sales Log'!$C$7:$C$3006,$B124,'Sales Log'!$B$7:$B$3006,"&gt;="&amp;cfg_CountDate,'Sales Log'!$N$7:$N$3006,"OK"))</f>
        <v/>
      </c>
      <c r="L124" s="89">
        <f>IF($G124&lt;&gt;"OK","",$H124*$K124)</f>
        <v/>
      </c>
    </row>
    <row r="125" ht="17" customHeight="1">
      <c r="B125" s="60" t="n"/>
      <c r="C125" s="60" t="n"/>
      <c r="D125" s="86" t="n"/>
      <c r="E125" s="60" t="n"/>
      <c r="F125" s="13">
        <f>IF($C125="","",IFERROR(INDEX('Inventory'!$D$7:$D$106,MATCH($C125,'Inventory'!$B$7:$B$106,0))&amp;"","?"))</f>
        <v/>
      </c>
      <c r="G125" s="80">
        <f>IF(AND($B125="",$C125=""),"",IF($B125="","Pick menu item",IF(ISNA(MATCH($B125,'Menu Pricing'!$B$7:$B$56,0)),"Not on Menu Pricing",IF($C125="","Pick ingredient",IF($F125="?","Not in Inventory",IF($F125="","Set stock unit in Inventory",IF(N($D125)&lt;=0,"Enter quantity",IF($E125="","Pick unit",IF(IFERROR(INDEX('Lists'!$C$6:$C$30,MATCH($E125,'Lists'!$B$6:$B$30,0)),"?")&lt;&gt;IFERROR(INDEX('Lists'!$C$6:$C$30,MATCH($F125,'Lists'!$B$6:$B$30,0)),"?"),"Unit mismatch",IF(ISNUMBER(INDEX('Inventory'!$G$7:$G$106,MATCH($C125,'Inventory'!$B$7:$B$106,0))),"OK","Add price in Inventory"))))))))))</f>
        <v/>
      </c>
      <c r="H125" s="87">
        <f>IF($G125&lt;&gt;"OK","",$D125*INDEX('Lists'!$D$6:$D$30,MATCH($E125,'Lists'!$B$6:$B$30,0))/INDEX('Lists'!$D$6:$D$30,MATCH($F125,'Lists'!$B$6:$B$30,0)))</f>
        <v/>
      </c>
      <c r="I125" s="87">
        <f>IF($G125&lt;&gt;"OK","",INDEX('Inventory'!$G$7:$G$106,MATCH($C125,'Inventory'!$B$7:$B$106,0)))</f>
        <v/>
      </c>
      <c r="J125" s="88">
        <f>IF($G125&lt;&gt;"OK","",$H125*$I125)</f>
        <v/>
      </c>
      <c r="K125" s="82">
        <f>IF($G125&lt;&gt;"OK","",SUMIFS('Sales Log'!$D$7:$D$3006,'Sales Log'!$C$7:$C$3006,$B125,'Sales Log'!$B$7:$B$3006,"&gt;="&amp;cfg_CountDate,'Sales Log'!$N$7:$N$3006,"OK"))</f>
        <v/>
      </c>
      <c r="L125" s="89">
        <f>IF($G125&lt;&gt;"OK","",$H125*$K125)</f>
        <v/>
      </c>
    </row>
    <row r="126" ht="17" customHeight="1">
      <c r="B126" s="60" t="n"/>
      <c r="C126" s="60" t="n"/>
      <c r="D126" s="86" t="n"/>
      <c r="E126" s="60" t="n"/>
      <c r="F126" s="13">
        <f>IF($C126="","",IFERROR(INDEX('Inventory'!$D$7:$D$106,MATCH($C126,'Inventory'!$B$7:$B$106,0))&amp;"","?"))</f>
        <v/>
      </c>
      <c r="G126" s="80">
        <f>IF(AND($B126="",$C126=""),"",IF($B126="","Pick menu item",IF(ISNA(MATCH($B126,'Menu Pricing'!$B$7:$B$56,0)),"Not on Menu Pricing",IF($C126="","Pick ingredient",IF($F126="?","Not in Inventory",IF($F126="","Set stock unit in Inventory",IF(N($D126)&lt;=0,"Enter quantity",IF($E126="","Pick unit",IF(IFERROR(INDEX('Lists'!$C$6:$C$30,MATCH($E126,'Lists'!$B$6:$B$30,0)),"?")&lt;&gt;IFERROR(INDEX('Lists'!$C$6:$C$30,MATCH($F126,'Lists'!$B$6:$B$30,0)),"?"),"Unit mismatch",IF(ISNUMBER(INDEX('Inventory'!$G$7:$G$106,MATCH($C126,'Inventory'!$B$7:$B$106,0))),"OK","Add price in Inventory"))))))))))</f>
        <v/>
      </c>
      <c r="H126" s="87">
        <f>IF($G126&lt;&gt;"OK","",$D126*INDEX('Lists'!$D$6:$D$30,MATCH($E126,'Lists'!$B$6:$B$30,0))/INDEX('Lists'!$D$6:$D$30,MATCH($F126,'Lists'!$B$6:$B$30,0)))</f>
        <v/>
      </c>
      <c r="I126" s="87">
        <f>IF($G126&lt;&gt;"OK","",INDEX('Inventory'!$G$7:$G$106,MATCH($C126,'Inventory'!$B$7:$B$106,0)))</f>
        <v/>
      </c>
      <c r="J126" s="88">
        <f>IF($G126&lt;&gt;"OK","",$H126*$I126)</f>
        <v/>
      </c>
      <c r="K126" s="82">
        <f>IF($G126&lt;&gt;"OK","",SUMIFS('Sales Log'!$D$7:$D$3006,'Sales Log'!$C$7:$C$3006,$B126,'Sales Log'!$B$7:$B$3006,"&gt;="&amp;cfg_CountDate,'Sales Log'!$N$7:$N$3006,"OK"))</f>
        <v/>
      </c>
      <c r="L126" s="89">
        <f>IF($G126&lt;&gt;"OK","",$H126*$K126)</f>
        <v/>
      </c>
    </row>
    <row r="127" ht="17" customHeight="1">
      <c r="B127" s="60" t="n"/>
      <c r="C127" s="60" t="n"/>
      <c r="D127" s="86" t="n"/>
      <c r="E127" s="60" t="n"/>
      <c r="F127" s="13">
        <f>IF($C127="","",IFERROR(INDEX('Inventory'!$D$7:$D$106,MATCH($C127,'Inventory'!$B$7:$B$106,0))&amp;"","?"))</f>
        <v/>
      </c>
      <c r="G127" s="80">
        <f>IF(AND($B127="",$C127=""),"",IF($B127="","Pick menu item",IF(ISNA(MATCH($B127,'Menu Pricing'!$B$7:$B$56,0)),"Not on Menu Pricing",IF($C127="","Pick ingredient",IF($F127="?","Not in Inventory",IF($F127="","Set stock unit in Inventory",IF(N($D127)&lt;=0,"Enter quantity",IF($E127="","Pick unit",IF(IFERROR(INDEX('Lists'!$C$6:$C$30,MATCH($E127,'Lists'!$B$6:$B$30,0)),"?")&lt;&gt;IFERROR(INDEX('Lists'!$C$6:$C$30,MATCH($F127,'Lists'!$B$6:$B$30,0)),"?"),"Unit mismatch",IF(ISNUMBER(INDEX('Inventory'!$G$7:$G$106,MATCH($C127,'Inventory'!$B$7:$B$106,0))),"OK","Add price in Inventory"))))))))))</f>
        <v/>
      </c>
      <c r="H127" s="87">
        <f>IF($G127&lt;&gt;"OK","",$D127*INDEX('Lists'!$D$6:$D$30,MATCH($E127,'Lists'!$B$6:$B$30,0))/INDEX('Lists'!$D$6:$D$30,MATCH($F127,'Lists'!$B$6:$B$30,0)))</f>
        <v/>
      </c>
      <c r="I127" s="87">
        <f>IF($G127&lt;&gt;"OK","",INDEX('Inventory'!$G$7:$G$106,MATCH($C127,'Inventory'!$B$7:$B$106,0)))</f>
        <v/>
      </c>
      <c r="J127" s="88">
        <f>IF($G127&lt;&gt;"OK","",$H127*$I127)</f>
        <v/>
      </c>
      <c r="K127" s="82">
        <f>IF($G127&lt;&gt;"OK","",SUMIFS('Sales Log'!$D$7:$D$3006,'Sales Log'!$C$7:$C$3006,$B127,'Sales Log'!$B$7:$B$3006,"&gt;="&amp;cfg_CountDate,'Sales Log'!$N$7:$N$3006,"OK"))</f>
        <v/>
      </c>
      <c r="L127" s="89">
        <f>IF($G127&lt;&gt;"OK","",$H127*$K127)</f>
        <v/>
      </c>
    </row>
    <row r="128" ht="17" customHeight="1">
      <c r="B128" s="60" t="n"/>
      <c r="C128" s="60" t="n"/>
      <c r="D128" s="86" t="n"/>
      <c r="E128" s="60" t="n"/>
      <c r="F128" s="13">
        <f>IF($C128="","",IFERROR(INDEX('Inventory'!$D$7:$D$106,MATCH($C128,'Inventory'!$B$7:$B$106,0))&amp;"","?"))</f>
        <v/>
      </c>
      <c r="G128" s="80">
        <f>IF(AND($B128="",$C128=""),"",IF($B128="","Pick menu item",IF(ISNA(MATCH($B128,'Menu Pricing'!$B$7:$B$56,0)),"Not on Menu Pricing",IF($C128="","Pick ingredient",IF($F128="?","Not in Inventory",IF($F128="","Set stock unit in Inventory",IF(N($D128)&lt;=0,"Enter quantity",IF($E128="","Pick unit",IF(IFERROR(INDEX('Lists'!$C$6:$C$30,MATCH($E128,'Lists'!$B$6:$B$30,0)),"?")&lt;&gt;IFERROR(INDEX('Lists'!$C$6:$C$30,MATCH($F128,'Lists'!$B$6:$B$30,0)),"?"),"Unit mismatch",IF(ISNUMBER(INDEX('Inventory'!$G$7:$G$106,MATCH($C128,'Inventory'!$B$7:$B$106,0))),"OK","Add price in Inventory"))))))))))</f>
        <v/>
      </c>
      <c r="H128" s="87">
        <f>IF($G128&lt;&gt;"OK","",$D128*INDEX('Lists'!$D$6:$D$30,MATCH($E128,'Lists'!$B$6:$B$30,0))/INDEX('Lists'!$D$6:$D$30,MATCH($F128,'Lists'!$B$6:$B$30,0)))</f>
        <v/>
      </c>
      <c r="I128" s="87">
        <f>IF($G128&lt;&gt;"OK","",INDEX('Inventory'!$G$7:$G$106,MATCH($C128,'Inventory'!$B$7:$B$106,0)))</f>
        <v/>
      </c>
      <c r="J128" s="88">
        <f>IF($G128&lt;&gt;"OK","",$H128*$I128)</f>
        <v/>
      </c>
      <c r="K128" s="82">
        <f>IF($G128&lt;&gt;"OK","",SUMIFS('Sales Log'!$D$7:$D$3006,'Sales Log'!$C$7:$C$3006,$B128,'Sales Log'!$B$7:$B$3006,"&gt;="&amp;cfg_CountDate,'Sales Log'!$N$7:$N$3006,"OK"))</f>
        <v/>
      </c>
      <c r="L128" s="89">
        <f>IF($G128&lt;&gt;"OK","",$H128*$K128)</f>
        <v/>
      </c>
    </row>
    <row r="129" ht="17" customHeight="1">
      <c r="B129" s="60" t="n"/>
      <c r="C129" s="60" t="n"/>
      <c r="D129" s="86" t="n"/>
      <c r="E129" s="60" t="n"/>
      <c r="F129" s="13">
        <f>IF($C129="","",IFERROR(INDEX('Inventory'!$D$7:$D$106,MATCH($C129,'Inventory'!$B$7:$B$106,0))&amp;"","?"))</f>
        <v/>
      </c>
      <c r="G129" s="80">
        <f>IF(AND($B129="",$C129=""),"",IF($B129="","Pick menu item",IF(ISNA(MATCH($B129,'Menu Pricing'!$B$7:$B$56,0)),"Not on Menu Pricing",IF($C129="","Pick ingredient",IF($F129="?","Not in Inventory",IF($F129="","Set stock unit in Inventory",IF(N($D129)&lt;=0,"Enter quantity",IF($E129="","Pick unit",IF(IFERROR(INDEX('Lists'!$C$6:$C$30,MATCH($E129,'Lists'!$B$6:$B$30,0)),"?")&lt;&gt;IFERROR(INDEX('Lists'!$C$6:$C$30,MATCH($F129,'Lists'!$B$6:$B$30,0)),"?"),"Unit mismatch",IF(ISNUMBER(INDEX('Inventory'!$G$7:$G$106,MATCH($C129,'Inventory'!$B$7:$B$106,0))),"OK","Add price in Inventory"))))))))))</f>
        <v/>
      </c>
      <c r="H129" s="87">
        <f>IF($G129&lt;&gt;"OK","",$D129*INDEX('Lists'!$D$6:$D$30,MATCH($E129,'Lists'!$B$6:$B$30,0))/INDEX('Lists'!$D$6:$D$30,MATCH($F129,'Lists'!$B$6:$B$30,0)))</f>
        <v/>
      </c>
      <c r="I129" s="87">
        <f>IF($G129&lt;&gt;"OK","",INDEX('Inventory'!$G$7:$G$106,MATCH($C129,'Inventory'!$B$7:$B$106,0)))</f>
        <v/>
      </c>
      <c r="J129" s="88">
        <f>IF($G129&lt;&gt;"OK","",$H129*$I129)</f>
        <v/>
      </c>
      <c r="K129" s="82">
        <f>IF($G129&lt;&gt;"OK","",SUMIFS('Sales Log'!$D$7:$D$3006,'Sales Log'!$C$7:$C$3006,$B129,'Sales Log'!$B$7:$B$3006,"&gt;="&amp;cfg_CountDate,'Sales Log'!$N$7:$N$3006,"OK"))</f>
        <v/>
      </c>
      <c r="L129" s="89">
        <f>IF($G129&lt;&gt;"OK","",$H129*$K129)</f>
        <v/>
      </c>
    </row>
    <row r="130" ht="17" customHeight="1">
      <c r="B130" s="60" t="n"/>
      <c r="C130" s="60" t="n"/>
      <c r="D130" s="86" t="n"/>
      <c r="E130" s="60" t="n"/>
      <c r="F130" s="13">
        <f>IF($C130="","",IFERROR(INDEX('Inventory'!$D$7:$D$106,MATCH($C130,'Inventory'!$B$7:$B$106,0))&amp;"","?"))</f>
        <v/>
      </c>
      <c r="G130" s="80">
        <f>IF(AND($B130="",$C130=""),"",IF($B130="","Pick menu item",IF(ISNA(MATCH($B130,'Menu Pricing'!$B$7:$B$56,0)),"Not on Menu Pricing",IF($C130="","Pick ingredient",IF($F130="?","Not in Inventory",IF($F130="","Set stock unit in Inventory",IF(N($D130)&lt;=0,"Enter quantity",IF($E130="","Pick unit",IF(IFERROR(INDEX('Lists'!$C$6:$C$30,MATCH($E130,'Lists'!$B$6:$B$30,0)),"?")&lt;&gt;IFERROR(INDEX('Lists'!$C$6:$C$30,MATCH($F130,'Lists'!$B$6:$B$30,0)),"?"),"Unit mismatch",IF(ISNUMBER(INDEX('Inventory'!$G$7:$G$106,MATCH($C130,'Inventory'!$B$7:$B$106,0))),"OK","Add price in Inventory"))))))))))</f>
        <v/>
      </c>
      <c r="H130" s="87">
        <f>IF($G130&lt;&gt;"OK","",$D130*INDEX('Lists'!$D$6:$D$30,MATCH($E130,'Lists'!$B$6:$B$30,0))/INDEX('Lists'!$D$6:$D$30,MATCH($F130,'Lists'!$B$6:$B$30,0)))</f>
        <v/>
      </c>
      <c r="I130" s="87">
        <f>IF($G130&lt;&gt;"OK","",INDEX('Inventory'!$G$7:$G$106,MATCH($C130,'Inventory'!$B$7:$B$106,0)))</f>
        <v/>
      </c>
      <c r="J130" s="88">
        <f>IF($G130&lt;&gt;"OK","",$H130*$I130)</f>
        <v/>
      </c>
      <c r="K130" s="82">
        <f>IF($G130&lt;&gt;"OK","",SUMIFS('Sales Log'!$D$7:$D$3006,'Sales Log'!$C$7:$C$3006,$B130,'Sales Log'!$B$7:$B$3006,"&gt;="&amp;cfg_CountDate,'Sales Log'!$N$7:$N$3006,"OK"))</f>
        <v/>
      </c>
      <c r="L130" s="89">
        <f>IF($G130&lt;&gt;"OK","",$H130*$K130)</f>
        <v/>
      </c>
    </row>
    <row r="131" ht="17" customHeight="1">
      <c r="B131" s="60" t="n"/>
      <c r="C131" s="60" t="n"/>
      <c r="D131" s="86" t="n"/>
      <c r="E131" s="60" t="n"/>
      <c r="F131" s="13">
        <f>IF($C131="","",IFERROR(INDEX('Inventory'!$D$7:$D$106,MATCH($C131,'Inventory'!$B$7:$B$106,0))&amp;"","?"))</f>
        <v/>
      </c>
      <c r="G131" s="80">
        <f>IF(AND($B131="",$C131=""),"",IF($B131="","Pick menu item",IF(ISNA(MATCH($B131,'Menu Pricing'!$B$7:$B$56,0)),"Not on Menu Pricing",IF($C131="","Pick ingredient",IF($F131="?","Not in Inventory",IF($F131="","Set stock unit in Inventory",IF(N($D131)&lt;=0,"Enter quantity",IF($E131="","Pick unit",IF(IFERROR(INDEX('Lists'!$C$6:$C$30,MATCH($E131,'Lists'!$B$6:$B$30,0)),"?")&lt;&gt;IFERROR(INDEX('Lists'!$C$6:$C$30,MATCH($F131,'Lists'!$B$6:$B$30,0)),"?"),"Unit mismatch",IF(ISNUMBER(INDEX('Inventory'!$G$7:$G$106,MATCH($C131,'Inventory'!$B$7:$B$106,0))),"OK","Add price in Inventory"))))))))))</f>
        <v/>
      </c>
      <c r="H131" s="87">
        <f>IF($G131&lt;&gt;"OK","",$D131*INDEX('Lists'!$D$6:$D$30,MATCH($E131,'Lists'!$B$6:$B$30,0))/INDEX('Lists'!$D$6:$D$30,MATCH($F131,'Lists'!$B$6:$B$30,0)))</f>
        <v/>
      </c>
      <c r="I131" s="87">
        <f>IF($G131&lt;&gt;"OK","",INDEX('Inventory'!$G$7:$G$106,MATCH($C131,'Inventory'!$B$7:$B$106,0)))</f>
        <v/>
      </c>
      <c r="J131" s="88">
        <f>IF($G131&lt;&gt;"OK","",$H131*$I131)</f>
        <v/>
      </c>
      <c r="K131" s="82">
        <f>IF($G131&lt;&gt;"OK","",SUMIFS('Sales Log'!$D$7:$D$3006,'Sales Log'!$C$7:$C$3006,$B131,'Sales Log'!$B$7:$B$3006,"&gt;="&amp;cfg_CountDate,'Sales Log'!$N$7:$N$3006,"OK"))</f>
        <v/>
      </c>
      <c r="L131" s="89">
        <f>IF($G131&lt;&gt;"OK","",$H131*$K131)</f>
        <v/>
      </c>
    </row>
    <row r="132" ht="17" customHeight="1">
      <c r="B132" s="60" t="n"/>
      <c r="C132" s="60" t="n"/>
      <c r="D132" s="86" t="n"/>
      <c r="E132" s="60" t="n"/>
      <c r="F132" s="13">
        <f>IF($C132="","",IFERROR(INDEX('Inventory'!$D$7:$D$106,MATCH($C132,'Inventory'!$B$7:$B$106,0))&amp;"","?"))</f>
        <v/>
      </c>
      <c r="G132" s="80">
        <f>IF(AND($B132="",$C132=""),"",IF($B132="","Pick menu item",IF(ISNA(MATCH($B132,'Menu Pricing'!$B$7:$B$56,0)),"Not on Menu Pricing",IF($C132="","Pick ingredient",IF($F132="?","Not in Inventory",IF($F132="","Set stock unit in Inventory",IF(N($D132)&lt;=0,"Enter quantity",IF($E132="","Pick unit",IF(IFERROR(INDEX('Lists'!$C$6:$C$30,MATCH($E132,'Lists'!$B$6:$B$30,0)),"?")&lt;&gt;IFERROR(INDEX('Lists'!$C$6:$C$30,MATCH($F132,'Lists'!$B$6:$B$30,0)),"?"),"Unit mismatch",IF(ISNUMBER(INDEX('Inventory'!$G$7:$G$106,MATCH($C132,'Inventory'!$B$7:$B$106,0))),"OK","Add price in Inventory"))))))))))</f>
        <v/>
      </c>
      <c r="H132" s="87">
        <f>IF($G132&lt;&gt;"OK","",$D132*INDEX('Lists'!$D$6:$D$30,MATCH($E132,'Lists'!$B$6:$B$30,0))/INDEX('Lists'!$D$6:$D$30,MATCH($F132,'Lists'!$B$6:$B$30,0)))</f>
        <v/>
      </c>
      <c r="I132" s="87">
        <f>IF($G132&lt;&gt;"OK","",INDEX('Inventory'!$G$7:$G$106,MATCH($C132,'Inventory'!$B$7:$B$106,0)))</f>
        <v/>
      </c>
      <c r="J132" s="88">
        <f>IF($G132&lt;&gt;"OK","",$H132*$I132)</f>
        <v/>
      </c>
      <c r="K132" s="82">
        <f>IF($G132&lt;&gt;"OK","",SUMIFS('Sales Log'!$D$7:$D$3006,'Sales Log'!$C$7:$C$3006,$B132,'Sales Log'!$B$7:$B$3006,"&gt;="&amp;cfg_CountDate,'Sales Log'!$N$7:$N$3006,"OK"))</f>
        <v/>
      </c>
      <c r="L132" s="89">
        <f>IF($G132&lt;&gt;"OK","",$H132*$K132)</f>
        <v/>
      </c>
    </row>
    <row r="133" ht="17" customHeight="1">
      <c r="B133" s="60" t="n"/>
      <c r="C133" s="60" t="n"/>
      <c r="D133" s="86" t="n"/>
      <c r="E133" s="60" t="n"/>
      <c r="F133" s="13">
        <f>IF($C133="","",IFERROR(INDEX('Inventory'!$D$7:$D$106,MATCH($C133,'Inventory'!$B$7:$B$106,0))&amp;"","?"))</f>
        <v/>
      </c>
      <c r="G133" s="80">
        <f>IF(AND($B133="",$C133=""),"",IF($B133="","Pick menu item",IF(ISNA(MATCH($B133,'Menu Pricing'!$B$7:$B$56,0)),"Not on Menu Pricing",IF($C133="","Pick ingredient",IF($F133="?","Not in Inventory",IF($F133="","Set stock unit in Inventory",IF(N($D133)&lt;=0,"Enter quantity",IF($E133="","Pick unit",IF(IFERROR(INDEX('Lists'!$C$6:$C$30,MATCH($E133,'Lists'!$B$6:$B$30,0)),"?")&lt;&gt;IFERROR(INDEX('Lists'!$C$6:$C$30,MATCH($F133,'Lists'!$B$6:$B$30,0)),"?"),"Unit mismatch",IF(ISNUMBER(INDEX('Inventory'!$G$7:$G$106,MATCH($C133,'Inventory'!$B$7:$B$106,0))),"OK","Add price in Inventory"))))))))))</f>
        <v/>
      </c>
      <c r="H133" s="87">
        <f>IF($G133&lt;&gt;"OK","",$D133*INDEX('Lists'!$D$6:$D$30,MATCH($E133,'Lists'!$B$6:$B$30,0))/INDEX('Lists'!$D$6:$D$30,MATCH($F133,'Lists'!$B$6:$B$30,0)))</f>
        <v/>
      </c>
      <c r="I133" s="87">
        <f>IF($G133&lt;&gt;"OK","",INDEX('Inventory'!$G$7:$G$106,MATCH($C133,'Inventory'!$B$7:$B$106,0)))</f>
        <v/>
      </c>
      <c r="J133" s="88">
        <f>IF($G133&lt;&gt;"OK","",$H133*$I133)</f>
        <v/>
      </c>
      <c r="K133" s="82">
        <f>IF($G133&lt;&gt;"OK","",SUMIFS('Sales Log'!$D$7:$D$3006,'Sales Log'!$C$7:$C$3006,$B133,'Sales Log'!$B$7:$B$3006,"&gt;="&amp;cfg_CountDate,'Sales Log'!$N$7:$N$3006,"OK"))</f>
        <v/>
      </c>
      <c r="L133" s="89">
        <f>IF($G133&lt;&gt;"OK","",$H133*$K133)</f>
        <v/>
      </c>
    </row>
    <row r="134" ht="17" customHeight="1">
      <c r="B134" s="60" t="n"/>
      <c r="C134" s="60" t="n"/>
      <c r="D134" s="86" t="n"/>
      <c r="E134" s="60" t="n"/>
      <c r="F134" s="13">
        <f>IF($C134="","",IFERROR(INDEX('Inventory'!$D$7:$D$106,MATCH($C134,'Inventory'!$B$7:$B$106,0))&amp;"","?"))</f>
        <v/>
      </c>
      <c r="G134" s="80">
        <f>IF(AND($B134="",$C134=""),"",IF($B134="","Pick menu item",IF(ISNA(MATCH($B134,'Menu Pricing'!$B$7:$B$56,0)),"Not on Menu Pricing",IF($C134="","Pick ingredient",IF($F134="?","Not in Inventory",IF($F134="","Set stock unit in Inventory",IF(N($D134)&lt;=0,"Enter quantity",IF($E134="","Pick unit",IF(IFERROR(INDEX('Lists'!$C$6:$C$30,MATCH($E134,'Lists'!$B$6:$B$30,0)),"?")&lt;&gt;IFERROR(INDEX('Lists'!$C$6:$C$30,MATCH($F134,'Lists'!$B$6:$B$30,0)),"?"),"Unit mismatch",IF(ISNUMBER(INDEX('Inventory'!$G$7:$G$106,MATCH($C134,'Inventory'!$B$7:$B$106,0))),"OK","Add price in Inventory"))))))))))</f>
        <v/>
      </c>
      <c r="H134" s="87">
        <f>IF($G134&lt;&gt;"OK","",$D134*INDEX('Lists'!$D$6:$D$30,MATCH($E134,'Lists'!$B$6:$B$30,0))/INDEX('Lists'!$D$6:$D$30,MATCH($F134,'Lists'!$B$6:$B$30,0)))</f>
        <v/>
      </c>
      <c r="I134" s="87">
        <f>IF($G134&lt;&gt;"OK","",INDEX('Inventory'!$G$7:$G$106,MATCH($C134,'Inventory'!$B$7:$B$106,0)))</f>
        <v/>
      </c>
      <c r="J134" s="88">
        <f>IF($G134&lt;&gt;"OK","",$H134*$I134)</f>
        <v/>
      </c>
      <c r="K134" s="82">
        <f>IF($G134&lt;&gt;"OK","",SUMIFS('Sales Log'!$D$7:$D$3006,'Sales Log'!$C$7:$C$3006,$B134,'Sales Log'!$B$7:$B$3006,"&gt;="&amp;cfg_CountDate,'Sales Log'!$N$7:$N$3006,"OK"))</f>
        <v/>
      </c>
      <c r="L134" s="89">
        <f>IF($G134&lt;&gt;"OK","",$H134*$K134)</f>
        <v/>
      </c>
    </row>
    <row r="135" ht="17" customHeight="1">
      <c r="B135" s="60" t="n"/>
      <c r="C135" s="60" t="n"/>
      <c r="D135" s="86" t="n"/>
      <c r="E135" s="60" t="n"/>
      <c r="F135" s="13">
        <f>IF($C135="","",IFERROR(INDEX('Inventory'!$D$7:$D$106,MATCH($C135,'Inventory'!$B$7:$B$106,0))&amp;"","?"))</f>
        <v/>
      </c>
      <c r="G135" s="80">
        <f>IF(AND($B135="",$C135=""),"",IF($B135="","Pick menu item",IF(ISNA(MATCH($B135,'Menu Pricing'!$B$7:$B$56,0)),"Not on Menu Pricing",IF($C135="","Pick ingredient",IF($F135="?","Not in Inventory",IF($F135="","Set stock unit in Inventory",IF(N($D135)&lt;=0,"Enter quantity",IF($E135="","Pick unit",IF(IFERROR(INDEX('Lists'!$C$6:$C$30,MATCH($E135,'Lists'!$B$6:$B$30,0)),"?")&lt;&gt;IFERROR(INDEX('Lists'!$C$6:$C$30,MATCH($F135,'Lists'!$B$6:$B$30,0)),"?"),"Unit mismatch",IF(ISNUMBER(INDEX('Inventory'!$G$7:$G$106,MATCH($C135,'Inventory'!$B$7:$B$106,0))),"OK","Add price in Inventory"))))))))))</f>
        <v/>
      </c>
      <c r="H135" s="87">
        <f>IF($G135&lt;&gt;"OK","",$D135*INDEX('Lists'!$D$6:$D$30,MATCH($E135,'Lists'!$B$6:$B$30,0))/INDEX('Lists'!$D$6:$D$30,MATCH($F135,'Lists'!$B$6:$B$30,0)))</f>
        <v/>
      </c>
      <c r="I135" s="87">
        <f>IF($G135&lt;&gt;"OK","",INDEX('Inventory'!$G$7:$G$106,MATCH($C135,'Inventory'!$B$7:$B$106,0)))</f>
        <v/>
      </c>
      <c r="J135" s="88">
        <f>IF($G135&lt;&gt;"OK","",$H135*$I135)</f>
        <v/>
      </c>
      <c r="K135" s="82">
        <f>IF($G135&lt;&gt;"OK","",SUMIFS('Sales Log'!$D$7:$D$3006,'Sales Log'!$C$7:$C$3006,$B135,'Sales Log'!$B$7:$B$3006,"&gt;="&amp;cfg_CountDate,'Sales Log'!$N$7:$N$3006,"OK"))</f>
        <v/>
      </c>
      <c r="L135" s="89">
        <f>IF($G135&lt;&gt;"OK","",$H135*$K135)</f>
        <v/>
      </c>
    </row>
    <row r="136" ht="17" customHeight="1">
      <c r="B136" s="60" t="n"/>
      <c r="C136" s="60" t="n"/>
      <c r="D136" s="86" t="n"/>
      <c r="E136" s="60" t="n"/>
      <c r="F136" s="13">
        <f>IF($C136="","",IFERROR(INDEX('Inventory'!$D$7:$D$106,MATCH($C136,'Inventory'!$B$7:$B$106,0))&amp;"","?"))</f>
        <v/>
      </c>
      <c r="G136" s="80">
        <f>IF(AND($B136="",$C136=""),"",IF($B136="","Pick menu item",IF(ISNA(MATCH($B136,'Menu Pricing'!$B$7:$B$56,0)),"Not on Menu Pricing",IF($C136="","Pick ingredient",IF($F136="?","Not in Inventory",IF($F136="","Set stock unit in Inventory",IF(N($D136)&lt;=0,"Enter quantity",IF($E136="","Pick unit",IF(IFERROR(INDEX('Lists'!$C$6:$C$30,MATCH($E136,'Lists'!$B$6:$B$30,0)),"?")&lt;&gt;IFERROR(INDEX('Lists'!$C$6:$C$30,MATCH($F136,'Lists'!$B$6:$B$30,0)),"?"),"Unit mismatch",IF(ISNUMBER(INDEX('Inventory'!$G$7:$G$106,MATCH($C136,'Inventory'!$B$7:$B$106,0))),"OK","Add price in Inventory"))))))))))</f>
        <v/>
      </c>
      <c r="H136" s="87">
        <f>IF($G136&lt;&gt;"OK","",$D136*INDEX('Lists'!$D$6:$D$30,MATCH($E136,'Lists'!$B$6:$B$30,0))/INDEX('Lists'!$D$6:$D$30,MATCH($F136,'Lists'!$B$6:$B$30,0)))</f>
        <v/>
      </c>
      <c r="I136" s="87">
        <f>IF($G136&lt;&gt;"OK","",INDEX('Inventory'!$G$7:$G$106,MATCH($C136,'Inventory'!$B$7:$B$106,0)))</f>
        <v/>
      </c>
      <c r="J136" s="88">
        <f>IF($G136&lt;&gt;"OK","",$H136*$I136)</f>
        <v/>
      </c>
      <c r="K136" s="82">
        <f>IF($G136&lt;&gt;"OK","",SUMIFS('Sales Log'!$D$7:$D$3006,'Sales Log'!$C$7:$C$3006,$B136,'Sales Log'!$B$7:$B$3006,"&gt;="&amp;cfg_CountDate,'Sales Log'!$N$7:$N$3006,"OK"))</f>
        <v/>
      </c>
      <c r="L136" s="89">
        <f>IF($G136&lt;&gt;"OK","",$H136*$K136)</f>
        <v/>
      </c>
    </row>
    <row r="137" ht="17" customHeight="1">
      <c r="B137" s="60" t="n"/>
      <c r="C137" s="60" t="n"/>
      <c r="D137" s="86" t="n"/>
      <c r="E137" s="60" t="n"/>
      <c r="F137" s="13">
        <f>IF($C137="","",IFERROR(INDEX('Inventory'!$D$7:$D$106,MATCH($C137,'Inventory'!$B$7:$B$106,0))&amp;"","?"))</f>
        <v/>
      </c>
      <c r="G137" s="80">
        <f>IF(AND($B137="",$C137=""),"",IF($B137="","Pick menu item",IF(ISNA(MATCH($B137,'Menu Pricing'!$B$7:$B$56,0)),"Not on Menu Pricing",IF($C137="","Pick ingredient",IF($F137="?","Not in Inventory",IF($F137="","Set stock unit in Inventory",IF(N($D137)&lt;=0,"Enter quantity",IF($E137="","Pick unit",IF(IFERROR(INDEX('Lists'!$C$6:$C$30,MATCH($E137,'Lists'!$B$6:$B$30,0)),"?")&lt;&gt;IFERROR(INDEX('Lists'!$C$6:$C$30,MATCH($F137,'Lists'!$B$6:$B$30,0)),"?"),"Unit mismatch",IF(ISNUMBER(INDEX('Inventory'!$G$7:$G$106,MATCH($C137,'Inventory'!$B$7:$B$106,0))),"OK","Add price in Inventory"))))))))))</f>
        <v/>
      </c>
      <c r="H137" s="87">
        <f>IF($G137&lt;&gt;"OK","",$D137*INDEX('Lists'!$D$6:$D$30,MATCH($E137,'Lists'!$B$6:$B$30,0))/INDEX('Lists'!$D$6:$D$30,MATCH($F137,'Lists'!$B$6:$B$30,0)))</f>
        <v/>
      </c>
      <c r="I137" s="87">
        <f>IF($G137&lt;&gt;"OK","",INDEX('Inventory'!$G$7:$G$106,MATCH($C137,'Inventory'!$B$7:$B$106,0)))</f>
        <v/>
      </c>
      <c r="J137" s="88">
        <f>IF($G137&lt;&gt;"OK","",$H137*$I137)</f>
        <v/>
      </c>
      <c r="K137" s="82">
        <f>IF($G137&lt;&gt;"OK","",SUMIFS('Sales Log'!$D$7:$D$3006,'Sales Log'!$C$7:$C$3006,$B137,'Sales Log'!$B$7:$B$3006,"&gt;="&amp;cfg_CountDate,'Sales Log'!$N$7:$N$3006,"OK"))</f>
        <v/>
      </c>
      <c r="L137" s="89">
        <f>IF($G137&lt;&gt;"OK","",$H137*$K137)</f>
        <v/>
      </c>
    </row>
    <row r="138" ht="17" customHeight="1">
      <c r="B138" s="60" t="n"/>
      <c r="C138" s="60" t="n"/>
      <c r="D138" s="86" t="n"/>
      <c r="E138" s="60" t="n"/>
      <c r="F138" s="13">
        <f>IF($C138="","",IFERROR(INDEX('Inventory'!$D$7:$D$106,MATCH($C138,'Inventory'!$B$7:$B$106,0))&amp;"","?"))</f>
        <v/>
      </c>
      <c r="G138" s="80">
        <f>IF(AND($B138="",$C138=""),"",IF($B138="","Pick menu item",IF(ISNA(MATCH($B138,'Menu Pricing'!$B$7:$B$56,0)),"Not on Menu Pricing",IF($C138="","Pick ingredient",IF($F138="?","Not in Inventory",IF($F138="","Set stock unit in Inventory",IF(N($D138)&lt;=0,"Enter quantity",IF($E138="","Pick unit",IF(IFERROR(INDEX('Lists'!$C$6:$C$30,MATCH($E138,'Lists'!$B$6:$B$30,0)),"?")&lt;&gt;IFERROR(INDEX('Lists'!$C$6:$C$30,MATCH($F138,'Lists'!$B$6:$B$30,0)),"?"),"Unit mismatch",IF(ISNUMBER(INDEX('Inventory'!$G$7:$G$106,MATCH($C138,'Inventory'!$B$7:$B$106,0))),"OK","Add price in Inventory"))))))))))</f>
        <v/>
      </c>
      <c r="H138" s="87">
        <f>IF($G138&lt;&gt;"OK","",$D138*INDEX('Lists'!$D$6:$D$30,MATCH($E138,'Lists'!$B$6:$B$30,0))/INDEX('Lists'!$D$6:$D$30,MATCH($F138,'Lists'!$B$6:$B$30,0)))</f>
        <v/>
      </c>
      <c r="I138" s="87">
        <f>IF($G138&lt;&gt;"OK","",INDEX('Inventory'!$G$7:$G$106,MATCH($C138,'Inventory'!$B$7:$B$106,0)))</f>
        <v/>
      </c>
      <c r="J138" s="88">
        <f>IF($G138&lt;&gt;"OK","",$H138*$I138)</f>
        <v/>
      </c>
      <c r="K138" s="82">
        <f>IF($G138&lt;&gt;"OK","",SUMIFS('Sales Log'!$D$7:$D$3006,'Sales Log'!$C$7:$C$3006,$B138,'Sales Log'!$B$7:$B$3006,"&gt;="&amp;cfg_CountDate,'Sales Log'!$N$7:$N$3006,"OK"))</f>
        <v/>
      </c>
      <c r="L138" s="89">
        <f>IF($G138&lt;&gt;"OK","",$H138*$K138)</f>
        <v/>
      </c>
    </row>
    <row r="139" ht="17" customHeight="1">
      <c r="B139" s="60" t="n"/>
      <c r="C139" s="60" t="n"/>
      <c r="D139" s="86" t="n"/>
      <c r="E139" s="60" t="n"/>
      <c r="F139" s="13">
        <f>IF($C139="","",IFERROR(INDEX('Inventory'!$D$7:$D$106,MATCH($C139,'Inventory'!$B$7:$B$106,0))&amp;"","?"))</f>
        <v/>
      </c>
      <c r="G139" s="80">
        <f>IF(AND($B139="",$C139=""),"",IF($B139="","Pick menu item",IF(ISNA(MATCH($B139,'Menu Pricing'!$B$7:$B$56,0)),"Not on Menu Pricing",IF($C139="","Pick ingredient",IF($F139="?","Not in Inventory",IF($F139="","Set stock unit in Inventory",IF(N($D139)&lt;=0,"Enter quantity",IF($E139="","Pick unit",IF(IFERROR(INDEX('Lists'!$C$6:$C$30,MATCH($E139,'Lists'!$B$6:$B$30,0)),"?")&lt;&gt;IFERROR(INDEX('Lists'!$C$6:$C$30,MATCH($F139,'Lists'!$B$6:$B$30,0)),"?"),"Unit mismatch",IF(ISNUMBER(INDEX('Inventory'!$G$7:$G$106,MATCH($C139,'Inventory'!$B$7:$B$106,0))),"OK","Add price in Inventory"))))))))))</f>
        <v/>
      </c>
      <c r="H139" s="87">
        <f>IF($G139&lt;&gt;"OK","",$D139*INDEX('Lists'!$D$6:$D$30,MATCH($E139,'Lists'!$B$6:$B$30,0))/INDEX('Lists'!$D$6:$D$30,MATCH($F139,'Lists'!$B$6:$B$30,0)))</f>
        <v/>
      </c>
      <c r="I139" s="87">
        <f>IF($G139&lt;&gt;"OK","",INDEX('Inventory'!$G$7:$G$106,MATCH($C139,'Inventory'!$B$7:$B$106,0)))</f>
        <v/>
      </c>
      <c r="J139" s="88">
        <f>IF($G139&lt;&gt;"OK","",$H139*$I139)</f>
        <v/>
      </c>
      <c r="K139" s="82">
        <f>IF($G139&lt;&gt;"OK","",SUMIFS('Sales Log'!$D$7:$D$3006,'Sales Log'!$C$7:$C$3006,$B139,'Sales Log'!$B$7:$B$3006,"&gt;="&amp;cfg_CountDate,'Sales Log'!$N$7:$N$3006,"OK"))</f>
        <v/>
      </c>
      <c r="L139" s="89">
        <f>IF($G139&lt;&gt;"OK","",$H139*$K139)</f>
        <v/>
      </c>
    </row>
    <row r="140" ht="17" customHeight="1">
      <c r="B140" s="60" t="n"/>
      <c r="C140" s="60" t="n"/>
      <c r="D140" s="86" t="n"/>
      <c r="E140" s="60" t="n"/>
      <c r="F140" s="13">
        <f>IF($C140="","",IFERROR(INDEX('Inventory'!$D$7:$D$106,MATCH($C140,'Inventory'!$B$7:$B$106,0))&amp;"","?"))</f>
        <v/>
      </c>
      <c r="G140" s="80">
        <f>IF(AND($B140="",$C140=""),"",IF($B140="","Pick menu item",IF(ISNA(MATCH($B140,'Menu Pricing'!$B$7:$B$56,0)),"Not on Menu Pricing",IF($C140="","Pick ingredient",IF($F140="?","Not in Inventory",IF($F140="","Set stock unit in Inventory",IF(N($D140)&lt;=0,"Enter quantity",IF($E140="","Pick unit",IF(IFERROR(INDEX('Lists'!$C$6:$C$30,MATCH($E140,'Lists'!$B$6:$B$30,0)),"?")&lt;&gt;IFERROR(INDEX('Lists'!$C$6:$C$30,MATCH($F140,'Lists'!$B$6:$B$30,0)),"?"),"Unit mismatch",IF(ISNUMBER(INDEX('Inventory'!$G$7:$G$106,MATCH($C140,'Inventory'!$B$7:$B$106,0))),"OK","Add price in Inventory"))))))))))</f>
        <v/>
      </c>
      <c r="H140" s="87">
        <f>IF($G140&lt;&gt;"OK","",$D140*INDEX('Lists'!$D$6:$D$30,MATCH($E140,'Lists'!$B$6:$B$30,0))/INDEX('Lists'!$D$6:$D$30,MATCH($F140,'Lists'!$B$6:$B$30,0)))</f>
        <v/>
      </c>
      <c r="I140" s="87">
        <f>IF($G140&lt;&gt;"OK","",INDEX('Inventory'!$G$7:$G$106,MATCH($C140,'Inventory'!$B$7:$B$106,0)))</f>
        <v/>
      </c>
      <c r="J140" s="88">
        <f>IF($G140&lt;&gt;"OK","",$H140*$I140)</f>
        <v/>
      </c>
      <c r="K140" s="82">
        <f>IF($G140&lt;&gt;"OK","",SUMIFS('Sales Log'!$D$7:$D$3006,'Sales Log'!$C$7:$C$3006,$B140,'Sales Log'!$B$7:$B$3006,"&gt;="&amp;cfg_CountDate,'Sales Log'!$N$7:$N$3006,"OK"))</f>
        <v/>
      </c>
      <c r="L140" s="89">
        <f>IF($G140&lt;&gt;"OK","",$H140*$K140)</f>
        <v/>
      </c>
    </row>
    <row r="141" ht="17" customHeight="1">
      <c r="B141" s="60" t="n"/>
      <c r="C141" s="60" t="n"/>
      <c r="D141" s="86" t="n"/>
      <c r="E141" s="60" t="n"/>
      <c r="F141" s="13">
        <f>IF($C141="","",IFERROR(INDEX('Inventory'!$D$7:$D$106,MATCH($C141,'Inventory'!$B$7:$B$106,0))&amp;"","?"))</f>
        <v/>
      </c>
      <c r="G141" s="80">
        <f>IF(AND($B141="",$C141=""),"",IF($B141="","Pick menu item",IF(ISNA(MATCH($B141,'Menu Pricing'!$B$7:$B$56,0)),"Not on Menu Pricing",IF($C141="","Pick ingredient",IF($F141="?","Not in Inventory",IF($F141="","Set stock unit in Inventory",IF(N($D141)&lt;=0,"Enter quantity",IF($E141="","Pick unit",IF(IFERROR(INDEX('Lists'!$C$6:$C$30,MATCH($E141,'Lists'!$B$6:$B$30,0)),"?")&lt;&gt;IFERROR(INDEX('Lists'!$C$6:$C$30,MATCH($F141,'Lists'!$B$6:$B$30,0)),"?"),"Unit mismatch",IF(ISNUMBER(INDEX('Inventory'!$G$7:$G$106,MATCH($C141,'Inventory'!$B$7:$B$106,0))),"OK","Add price in Inventory"))))))))))</f>
        <v/>
      </c>
      <c r="H141" s="87">
        <f>IF($G141&lt;&gt;"OK","",$D141*INDEX('Lists'!$D$6:$D$30,MATCH($E141,'Lists'!$B$6:$B$30,0))/INDEX('Lists'!$D$6:$D$30,MATCH($F141,'Lists'!$B$6:$B$30,0)))</f>
        <v/>
      </c>
      <c r="I141" s="87">
        <f>IF($G141&lt;&gt;"OK","",INDEX('Inventory'!$G$7:$G$106,MATCH($C141,'Inventory'!$B$7:$B$106,0)))</f>
        <v/>
      </c>
      <c r="J141" s="88">
        <f>IF($G141&lt;&gt;"OK","",$H141*$I141)</f>
        <v/>
      </c>
      <c r="K141" s="82">
        <f>IF($G141&lt;&gt;"OK","",SUMIFS('Sales Log'!$D$7:$D$3006,'Sales Log'!$C$7:$C$3006,$B141,'Sales Log'!$B$7:$B$3006,"&gt;="&amp;cfg_CountDate,'Sales Log'!$N$7:$N$3006,"OK"))</f>
        <v/>
      </c>
      <c r="L141" s="89">
        <f>IF($G141&lt;&gt;"OK","",$H141*$K141)</f>
        <v/>
      </c>
    </row>
    <row r="142" ht="17" customHeight="1">
      <c r="B142" s="60" t="n"/>
      <c r="C142" s="60" t="n"/>
      <c r="D142" s="86" t="n"/>
      <c r="E142" s="60" t="n"/>
      <c r="F142" s="13">
        <f>IF($C142="","",IFERROR(INDEX('Inventory'!$D$7:$D$106,MATCH($C142,'Inventory'!$B$7:$B$106,0))&amp;"","?"))</f>
        <v/>
      </c>
      <c r="G142" s="80">
        <f>IF(AND($B142="",$C142=""),"",IF($B142="","Pick menu item",IF(ISNA(MATCH($B142,'Menu Pricing'!$B$7:$B$56,0)),"Not on Menu Pricing",IF($C142="","Pick ingredient",IF($F142="?","Not in Inventory",IF($F142="","Set stock unit in Inventory",IF(N($D142)&lt;=0,"Enter quantity",IF($E142="","Pick unit",IF(IFERROR(INDEX('Lists'!$C$6:$C$30,MATCH($E142,'Lists'!$B$6:$B$30,0)),"?")&lt;&gt;IFERROR(INDEX('Lists'!$C$6:$C$30,MATCH($F142,'Lists'!$B$6:$B$30,0)),"?"),"Unit mismatch",IF(ISNUMBER(INDEX('Inventory'!$G$7:$G$106,MATCH($C142,'Inventory'!$B$7:$B$106,0))),"OK","Add price in Inventory"))))))))))</f>
        <v/>
      </c>
      <c r="H142" s="87">
        <f>IF($G142&lt;&gt;"OK","",$D142*INDEX('Lists'!$D$6:$D$30,MATCH($E142,'Lists'!$B$6:$B$30,0))/INDEX('Lists'!$D$6:$D$30,MATCH($F142,'Lists'!$B$6:$B$30,0)))</f>
        <v/>
      </c>
      <c r="I142" s="87">
        <f>IF($G142&lt;&gt;"OK","",INDEX('Inventory'!$G$7:$G$106,MATCH($C142,'Inventory'!$B$7:$B$106,0)))</f>
        <v/>
      </c>
      <c r="J142" s="88">
        <f>IF($G142&lt;&gt;"OK","",$H142*$I142)</f>
        <v/>
      </c>
      <c r="K142" s="82">
        <f>IF($G142&lt;&gt;"OK","",SUMIFS('Sales Log'!$D$7:$D$3006,'Sales Log'!$C$7:$C$3006,$B142,'Sales Log'!$B$7:$B$3006,"&gt;="&amp;cfg_CountDate,'Sales Log'!$N$7:$N$3006,"OK"))</f>
        <v/>
      </c>
      <c r="L142" s="89">
        <f>IF($G142&lt;&gt;"OK","",$H142*$K142)</f>
        <v/>
      </c>
    </row>
    <row r="143" ht="17" customHeight="1">
      <c r="B143" s="60" t="n"/>
      <c r="C143" s="60" t="n"/>
      <c r="D143" s="86" t="n"/>
      <c r="E143" s="60" t="n"/>
      <c r="F143" s="13">
        <f>IF($C143="","",IFERROR(INDEX('Inventory'!$D$7:$D$106,MATCH($C143,'Inventory'!$B$7:$B$106,0))&amp;"","?"))</f>
        <v/>
      </c>
      <c r="G143" s="80">
        <f>IF(AND($B143="",$C143=""),"",IF($B143="","Pick menu item",IF(ISNA(MATCH($B143,'Menu Pricing'!$B$7:$B$56,0)),"Not on Menu Pricing",IF($C143="","Pick ingredient",IF($F143="?","Not in Inventory",IF($F143="","Set stock unit in Inventory",IF(N($D143)&lt;=0,"Enter quantity",IF($E143="","Pick unit",IF(IFERROR(INDEX('Lists'!$C$6:$C$30,MATCH($E143,'Lists'!$B$6:$B$30,0)),"?")&lt;&gt;IFERROR(INDEX('Lists'!$C$6:$C$30,MATCH($F143,'Lists'!$B$6:$B$30,0)),"?"),"Unit mismatch",IF(ISNUMBER(INDEX('Inventory'!$G$7:$G$106,MATCH($C143,'Inventory'!$B$7:$B$106,0))),"OK","Add price in Inventory"))))))))))</f>
        <v/>
      </c>
      <c r="H143" s="87">
        <f>IF($G143&lt;&gt;"OK","",$D143*INDEX('Lists'!$D$6:$D$30,MATCH($E143,'Lists'!$B$6:$B$30,0))/INDEX('Lists'!$D$6:$D$30,MATCH($F143,'Lists'!$B$6:$B$30,0)))</f>
        <v/>
      </c>
      <c r="I143" s="87">
        <f>IF($G143&lt;&gt;"OK","",INDEX('Inventory'!$G$7:$G$106,MATCH($C143,'Inventory'!$B$7:$B$106,0)))</f>
        <v/>
      </c>
      <c r="J143" s="88">
        <f>IF($G143&lt;&gt;"OK","",$H143*$I143)</f>
        <v/>
      </c>
      <c r="K143" s="82">
        <f>IF($G143&lt;&gt;"OK","",SUMIFS('Sales Log'!$D$7:$D$3006,'Sales Log'!$C$7:$C$3006,$B143,'Sales Log'!$B$7:$B$3006,"&gt;="&amp;cfg_CountDate,'Sales Log'!$N$7:$N$3006,"OK"))</f>
        <v/>
      </c>
      <c r="L143" s="89">
        <f>IF($G143&lt;&gt;"OK","",$H143*$K143)</f>
        <v/>
      </c>
    </row>
    <row r="144" ht="17" customHeight="1">
      <c r="B144" s="60" t="n"/>
      <c r="C144" s="60" t="n"/>
      <c r="D144" s="86" t="n"/>
      <c r="E144" s="60" t="n"/>
      <c r="F144" s="13">
        <f>IF($C144="","",IFERROR(INDEX('Inventory'!$D$7:$D$106,MATCH($C144,'Inventory'!$B$7:$B$106,0))&amp;"","?"))</f>
        <v/>
      </c>
      <c r="G144" s="80">
        <f>IF(AND($B144="",$C144=""),"",IF($B144="","Pick menu item",IF(ISNA(MATCH($B144,'Menu Pricing'!$B$7:$B$56,0)),"Not on Menu Pricing",IF($C144="","Pick ingredient",IF($F144="?","Not in Inventory",IF($F144="","Set stock unit in Inventory",IF(N($D144)&lt;=0,"Enter quantity",IF($E144="","Pick unit",IF(IFERROR(INDEX('Lists'!$C$6:$C$30,MATCH($E144,'Lists'!$B$6:$B$30,0)),"?")&lt;&gt;IFERROR(INDEX('Lists'!$C$6:$C$30,MATCH($F144,'Lists'!$B$6:$B$30,0)),"?"),"Unit mismatch",IF(ISNUMBER(INDEX('Inventory'!$G$7:$G$106,MATCH($C144,'Inventory'!$B$7:$B$106,0))),"OK","Add price in Inventory"))))))))))</f>
        <v/>
      </c>
      <c r="H144" s="87">
        <f>IF($G144&lt;&gt;"OK","",$D144*INDEX('Lists'!$D$6:$D$30,MATCH($E144,'Lists'!$B$6:$B$30,0))/INDEX('Lists'!$D$6:$D$30,MATCH($F144,'Lists'!$B$6:$B$30,0)))</f>
        <v/>
      </c>
      <c r="I144" s="87">
        <f>IF($G144&lt;&gt;"OK","",INDEX('Inventory'!$G$7:$G$106,MATCH($C144,'Inventory'!$B$7:$B$106,0)))</f>
        <v/>
      </c>
      <c r="J144" s="88">
        <f>IF($G144&lt;&gt;"OK","",$H144*$I144)</f>
        <v/>
      </c>
      <c r="K144" s="82">
        <f>IF($G144&lt;&gt;"OK","",SUMIFS('Sales Log'!$D$7:$D$3006,'Sales Log'!$C$7:$C$3006,$B144,'Sales Log'!$B$7:$B$3006,"&gt;="&amp;cfg_CountDate,'Sales Log'!$N$7:$N$3006,"OK"))</f>
        <v/>
      </c>
      <c r="L144" s="89">
        <f>IF($G144&lt;&gt;"OK","",$H144*$K144)</f>
        <v/>
      </c>
    </row>
    <row r="145" ht="17" customHeight="1">
      <c r="B145" s="60" t="n"/>
      <c r="C145" s="60" t="n"/>
      <c r="D145" s="86" t="n"/>
      <c r="E145" s="60" t="n"/>
      <c r="F145" s="13">
        <f>IF($C145="","",IFERROR(INDEX('Inventory'!$D$7:$D$106,MATCH($C145,'Inventory'!$B$7:$B$106,0))&amp;"","?"))</f>
        <v/>
      </c>
      <c r="G145" s="80">
        <f>IF(AND($B145="",$C145=""),"",IF($B145="","Pick menu item",IF(ISNA(MATCH($B145,'Menu Pricing'!$B$7:$B$56,0)),"Not on Menu Pricing",IF($C145="","Pick ingredient",IF($F145="?","Not in Inventory",IF($F145="","Set stock unit in Inventory",IF(N($D145)&lt;=0,"Enter quantity",IF($E145="","Pick unit",IF(IFERROR(INDEX('Lists'!$C$6:$C$30,MATCH($E145,'Lists'!$B$6:$B$30,0)),"?")&lt;&gt;IFERROR(INDEX('Lists'!$C$6:$C$30,MATCH($F145,'Lists'!$B$6:$B$30,0)),"?"),"Unit mismatch",IF(ISNUMBER(INDEX('Inventory'!$G$7:$G$106,MATCH($C145,'Inventory'!$B$7:$B$106,0))),"OK","Add price in Inventory"))))))))))</f>
        <v/>
      </c>
      <c r="H145" s="87">
        <f>IF($G145&lt;&gt;"OK","",$D145*INDEX('Lists'!$D$6:$D$30,MATCH($E145,'Lists'!$B$6:$B$30,0))/INDEX('Lists'!$D$6:$D$30,MATCH($F145,'Lists'!$B$6:$B$30,0)))</f>
        <v/>
      </c>
      <c r="I145" s="87">
        <f>IF($G145&lt;&gt;"OK","",INDEX('Inventory'!$G$7:$G$106,MATCH($C145,'Inventory'!$B$7:$B$106,0)))</f>
        <v/>
      </c>
      <c r="J145" s="88">
        <f>IF($G145&lt;&gt;"OK","",$H145*$I145)</f>
        <v/>
      </c>
      <c r="K145" s="82">
        <f>IF($G145&lt;&gt;"OK","",SUMIFS('Sales Log'!$D$7:$D$3006,'Sales Log'!$C$7:$C$3006,$B145,'Sales Log'!$B$7:$B$3006,"&gt;="&amp;cfg_CountDate,'Sales Log'!$N$7:$N$3006,"OK"))</f>
        <v/>
      </c>
      <c r="L145" s="89">
        <f>IF($G145&lt;&gt;"OK","",$H145*$K145)</f>
        <v/>
      </c>
    </row>
    <row r="146" ht="17" customHeight="1">
      <c r="B146" s="60" t="n"/>
      <c r="C146" s="60" t="n"/>
      <c r="D146" s="86" t="n"/>
      <c r="E146" s="60" t="n"/>
      <c r="F146" s="13">
        <f>IF($C146="","",IFERROR(INDEX('Inventory'!$D$7:$D$106,MATCH($C146,'Inventory'!$B$7:$B$106,0))&amp;"","?"))</f>
        <v/>
      </c>
      <c r="G146" s="80">
        <f>IF(AND($B146="",$C146=""),"",IF($B146="","Pick menu item",IF(ISNA(MATCH($B146,'Menu Pricing'!$B$7:$B$56,0)),"Not on Menu Pricing",IF($C146="","Pick ingredient",IF($F146="?","Not in Inventory",IF($F146="","Set stock unit in Inventory",IF(N($D146)&lt;=0,"Enter quantity",IF($E146="","Pick unit",IF(IFERROR(INDEX('Lists'!$C$6:$C$30,MATCH($E146,'Lists'!$B$6:$B$30,0)),"?")&lt;&gt;IFERROR(INDEX('Lists'!$C$6:$C$30,MATCH($F146,'Lists'!$B$6:$B$30,0)),"?"),"Unit mismatch",IF(ISNUMBER(INDEX('Inventory'!$G$7:$G$106,MATCH($C146,'Inventory'!$B$7:$B$106,0))),"OK","Add price in Inventory"))))))))))</f>
        <v/>
      </c>
      <c r="H146" s="87">
        <f>IF($G146&lt;&gt;"OK","",$D146*INDEX('Lists'!$D$6:$D$30,MATCH($E146,'Lists'!$B$6:$B$30,0))/INDEX('Lists'!$D$6:$D$30,MATCH($F146,'Lists'!$B$6:$B$30,0)))</f>
        <v/>
      </c>
      <c r="I146" s="87">
        <f>IF($G146&lt;&gt;"OK","",INDEX('Inventory'!$G$7:$G$106,MATCH($C146,'Inventory'!$B$7:$B$106,0)))</f>
        <v/>
      </c>
      <c r="J146" s="88">
        <f>IF($G146&lt;&gt;"OK","",$H146*$I146)</f>
        <v/>
      </c>
      <c r="K146" s="82">
        <f>IF($G146&lt;&gt;"OK","",SUMIFS('Sales Log'!$D$7:$D$3006,'Sales Log'!$C$7:$C$3006,$B146,'Sales Log'!$B$7:$B$3006,"&gt;="&amp;cfg_CountDate,'Sales Log'!$N$7:$N$3006,"OK"))</f>
        <v/>
      </c>
      <c r="L146" s="89">
        <f>IF($G146&lt;&gt;"OK","",$H146*$K146)</f>
        <v/>
      </c>
    </row>
    <row r="147" ht="17" customHeight="1">
      <c r="B147" s="60" t="n"/>
      <c r="C147" s="60" t="n"/>
      <c r="D147" s="86" t="n"/>
      <c r="E147" s="60" t="n"/>
      <c r="F147" s="13">
        <f>IF($C147="","",IFERROR(INDEX('Inventory'!$D$7:$D$106,MATCH($C147,'Inventory'!$B$7:$B$106,0))&amp;"","?"))</f>
        <v/>
      </c>
      <c r="G147" s="80">
        <f>IF(AND($B147="",$C147=""),"",IF($B147="","Pick menu item",IF(ISNA(MATCH($B147,'Menu Pricing'!$B$7:$B$56,0)),"Not on Menu Pricing",IF($C147="","Pick ingredient",IF($F147="?","Not in Inventory",IF($F147="","Set stock unit in Inventory",IF(N($D147)&lt;=0,"Enter quantity",IF($E147="","Pick unit",IF(IFERROR(INDEX('Lists'!$C$6:$C$30,MATCH($E147,'Lists'!$B$6:$B$30,0)),"?")&lt;&gt;IFERROR(INDEX('Lists'!$C$6:$C$30,MATCH($F147,'Lists'!$B$6:$B$30,0)),"?"),"Unit mismatch",IF(ISNUMBER(INDEX('Inventory'!$G$7:$G$106,MATCH($C147,'Inventory'!$B$7:$B$106,0))),"OK","Add price in Inventory"))))))))))</f>
        <v/>
      </c>
      <c r="H147" s="87">
        <f>IF($G147&lt;&gt;"OK","",$D147*INDEX('Lists'!$D$6:$D$30,MATCH($E147,'Lists'!$B$6:$B$30,0))/INDEX('Lists'!$D$6:$D$30,MATCH($F147,'Lists'!$B$6:$B$30,0)))</f>
        <v/>
      </c>
      <c r="I147" s="87">
        <f>IF($G147&lt;&gt;"OK","",INDEX('Inventory'!$G$7:$G$106,MATCH($C147,'Inventory'!$B$7:$B$106,0)))</f>
        <v/>
      </c>
      <c r="J147" s="88">
        <f>IF($G147&lt;&gt;"OK","",$H147*$I147)</f>
        <v/>
      </c>
      <c r="K147" s="82">
        <f>IF($G147&lt;&gt;"OK","",SUMIFS('Sales Log'!$D$7:$D$3006,'Sales Log'!$C$7:$C$3006,$B147,'Sales Log'!$B$7:$B$3006,"&gt;="&amp;cfg_CountDate,'Sales Log'!$N$7:$N$3006,"OK"))</f>
        <v/>
      </c>
      <c r="L147" s="89">
        <f>IF($G147&lt;&gt;"OK","",$H147*$K147)</f>
        <v/>
      </c>
    </row>
    <row r="148" ht="17" customHeight="1">
      <c r="B148" s="60" t="n"/>
      <c r="C148" s="60" t="n"/>
      <c r="D148" s="86" t="n"/>
      <c r="E148" s="60" t="n"/>
      <c r="F148" s="13">
        <f>IF($C148="","",IFERROR(INDEX('Inventory'!$D$7:$D$106,MATCH($C148,'Inventory'!$B$7:$B$106,0))&amp;"","?"))</f>
        <v/>
      </c>
      <c r="G148" s="80">
        <f>IF(AND($B148="",$C148=""),"",IF($B148="","Pick menu item",IF(ISNA(MATCH($B148,'Menu Pricing'!$B$7:$B$56,0)),"Not on Menu Pricing",IF($C148="","Pick ingredient",IF($F148="?","Not in Inventory",IF($F148="","Set stock unit in Inventory",IF(N($D148)&lt;=0,"Enter quantity",IF($E148="","Pick unit",IF(IFERROR(INDEX('Lists'!$C$6:$C$30,MATCH($E148,'Lists'!$B$6:$B$30,0)),"?")&lt;&gt;IFERROR(INDEX('Lists'!$C$6:$C$30,MATCH($F148,'Lists'!$B$6:$B$30,0)),"?"),"Unit mismatch",IF(ISNUMBER(INDEX('Inventory'!$G$7:$G$106,MATCH($C148,'Inventory'!$B$7:$B$106,0))),"OK","Add price in Inventory"))))))))))</f>
        <v/>
      </c>
      <c r="H148" s="87">
        <f>IF($G148&lt;&gt;"OK","",$D148*INDEX('Lists'!$D$6:$D$30,MATCH($E148,'Lists'!$B$6:$B$30,0))/INDEX('Lists'!$D$6:$D$30,MATCH($F148,'Lists'!$B$6:$B$30,0)))</f>
        <v/>
      </c>
      <c r="I148" s="87">
        <f>IF($G148&lt;&gt;"OK","",INDEX('Inventory'!$G$7:$G$106,MATCH($C148,'Inventory'!$B$7:$B$106,0)))</f>
        <v/>
      </c>
      <c r="J148" s="88">
        <f>IF($G148&lt;&gt;"OK","",$H148*$I148)</f>
        <v/>
      </c>
      <c r="K148" s="82">
        <f>IF($G148&lt;&gt;"OK","",SUMIFS('Sales Log'!$D$7:$D$3006,'Sales Log'!$C$7:$C$3006,$B148,'Sales Log'!$B$7:$B$3006,"&gt;="&amp;cfg_CountDate,'Sales Log'!$N$7:$N$3006,"OK"))</f>
        <v/>
      </c>
      <c r="L148" s="89">
        <f>IF($G148&lt;&gt;"OK","",$H148*$K148)</f>
        <v/>
      </c>
    </row>
    <row r="149" ht="17" customHeight="1">
      <c r="B149" s="60" t="n"/>
      <c r="C149" s="60" t="n"/>
      <c r="D149" s="86" t="n"/>
      <c r="E149" s="60" t="n"/>
      <c r="F149" s="13">
        <f>IF($C149="","",IFERROR(INDEX('Inventory'!$D$7:$D$106,MATCH($C149,'Inventory'!$B$7:$B$106,0))&amp;"","?"))</f>
        <v/>
      </c>
      <c r="G149" s="80">
        <f>IF(AND($B149="",$C149=""),"",IF($B149="","Pick menu item",IF(ISNA(MATCH($B149,'Menu Pricing'!$B$7:$B$56,0)),"Not on Menu Pricing",IF($C149="","Pick ingredient",IF($F149="?","Not in Inventory",IF($F149="","Set stock unit in Inventory",IF(N($D149)&lt;=0,"Enter quantity",IF($E149="","Pick unit",IF(IFERROR(INDEX('Lists'!$C$6:$C$30,MATCH($E149,'Lists'!$B$6:$B$30,0)),"?")&lt;&gt;IFERROR(INDEX('Lists'!$C$6:$C$30,MATCH($F149,'Lists'!$B$6:$B$30,0)),"?"),"Unit mismatch",IF(ISNUMBER(INDEX('Inventory'!$G$7:$G$106,MATCH($C149,'Inventory'!$B$7:$B$106,0))),"OK","Add price in Inventory"))))))))))</f>
        <v/>
      </c>
      <c r="H149" s="87">
        <f>IF($G149&lt;&gt;"OK","",$D149*INDEX('Lists'!$D$6:$D$30,MATCH($E149,'Lists'!$B$6:$B$30,0))/INDEX('Lists'!$D$6:$D$30,MATCH($F149,'Lists'!$B$6:$B$30,0)))</f>
        <v/>
      </c>
      <c r="I149" s="87">
        <f>IF($G149&lt;&gt;"OK","",INDEX('Inventory'!$G$7:$G$106,MATCH($C149,'Inventory'!$B$7:$B$106,0)))</f>
        <v/>
      </c>
      <c r="J149" s="88">
        <f>IF($G149&lt;&gt;"OK","",$H149*$I149)</f>
        <v/>
      </c>
      <c r="K149" s="82">
        <f>IF($G149&lt;&gt;"OK","",SUMIFS('Sales Log'!$D$7:$D$3006,'Sales Log'!$C$7:$C$3006,$B149,'Sales Log'!$B$7:$B$3006,"&gt;="&amp;cfg_CountDate,'Sales Log'!$N$7:$N$3006,"OK"))</f>
        <v/>
      </c>
      <c r="L149" s="89">
        <f>IF($G149&lt;&gt;"OK","",$H149*$K149)</f>
        <v/>
      </c>
    </row>
    <row r="150" ht="17" customHeight="1">
      <c r="B150" s="60" t="n"/>
      <c r="C150" s="60" t="n"/>
      <c r="D150" s="86" t="n"/>
      <c r="E150" s="60" t="n"/>
      <c r="F150" s="13">
        <f>IF($C150="","",IFERROR(INDEX('Inventory'!$D$7:$D$106,MATCH($C150,'Inventory'!$B$7:$B$106,0))&amp;"","?"))</f>
        <v/>
      </c>
      <c r="G150" s="80">
        <f>IF(AND($B150="",$C150=""),"",IF($B150="","Pick menu item",IF(ISNA(MATCH($B150,'Menu Pricing'!$B$7:$B$56,0)),"Not on Menu Pricing",IF($C150="","Pick ingredient",IF($F150="?","Not in Inventory",IF($F150="","Set stock unit in Inventory",IF(N($D150)&lt;=0,"Enter quantity",IF($E150="","Pick unit",IF(IFERROR(INDEX('Lists'!$C$6:$C$30,MATCH($E150,'Lists'!$B$6:$B$30,0)),"?")&lt;&gt;IFERROR(INDEX('Lists'!$C$6:$C$30,MATCH($F150,'Lists'!$B$6:$B$30,0)),"?"),"Unit mismatch",IF(ISNUMBER(INDEX('Inventory'!$G$7:$G$106,MATCH($C150,'Inventory'!$B$7:$B$106,0))),"OK","Add price in Inventory"))))))))))</f>
        <v/>
      </c>
      <c r="H150" s="87">
        <f>IF($G150&lt;&gt;"OK","",$D150*INDEX('Lists'!$D$6:$D$30,MATCH($E150,'Lists'!$B$6:$B$30,0))/INDEX('Lists'!$D$6:$D$30,MATCH($F150,'Lists'!$B$6:$B$30,0)))</f>
        <v/>
      </c>
      <c r="I150" s="87">
        <f>IF($G150&lt;&gt;"OK","",INDEX('Inventory'!$G$7:$G$106,MATCH($C150,'Inventory'!$B$7:$B$106,0)))</f>
        <v/>
      </c>
      <c r="J150" s="88">
        <f>IF($G150&lt;&gt;"OK","",$H150*$I150)</f>
        <v/>
      </c>
      <c r="K150" s="82">
        <f>IF($G150&lt;&gt;"OK","",SUMIFS('Sales Log'!$D$7:$D$3006,'Sales Log'!$C$7:$C$3006,$B150,'Sales Log'!$B$7:$B$3006,"&gt;="&amp;cfg_CountDate,'Sales Log'!$N$7:$N$3006,"OK"))</f>
        <v/>
      </c>
      <c r="L150" s="89">
        <f>IF($G150&lt;&gt;"OK","",$H150*$K150)</f>
        <v/>
      </c>
    </row>
    <row r="151" ht="17" customHeight="1">
      <c r="B151" s="60" t="n"/>
      <c r="C151" s="60" t="n"/>
      <c r="D151" s="86" t="n"/>
      <c r="E151" s="60" t="n"/>
      <c r="F151" s="13">
        <f>IF($C151="","",IFERROR(INDEX('Inventory'!$D$7:$D$106,MATCH($C151,'Inventory'!$B$7:$B$106,0))&amp;"","?"))</f>
        <v/>
      </c>
      <c r="G151" s="80">
        <f>IF(AND($B151="",$C151=""),"",IF($B151="","Pick menu item",IF(ISNA(MATCH($B151,'Menu Pricing'!$B$7:$B$56,0)),"Not on Menu Pricing",IF($C151="","Pick ingredient",IF($F151="?","Not in Inventory",IF($F151="","Set stock unit in Inventory",IF(N($D151)&lt;=0,"Enter quantity",IF($E151="","Pick unit",IF(IFERROR(INDEX('Lists'!$C$6:$C$30,MATCH($E151,'Lists'!$B$6:$B$30,0)),"?")&lt;&gt;IFERROR(INDEX('Lists'!$C$6:$C$30,MATCH($F151,'Lists'!$B$6:$B$30,0)),"?"),"Unit mismatch",IF(ISNUMBER(INDEX('Inventory'!$G$7:$G$106,MATCH($C151,'Inventory'!$B$7:$B$106,0))),"OK","Add price in Inventory"))))))))))</f>
        <v/>
      </c>
      <c r="H151" s="87">
        <f>IF($G151&lt;&gt;"OK","",$D151*INDEX('Lists'!$D$6:$D$30,MATCH($E151,'Lists'!$B$6:$B$30,0))/INDEX('Lists'!$D$6:$D$30,MATCH($F151,'Lists'!$B$6:$B$30,0)))</f>
        <v/>
      </c>
      <c r="I151" s="87">
        <f>IF($G151&lt;&gt;"OK","",INDEX('Inventory'!$G$7:$G$106,MATCH($C151,'Inventory'!$B$7:$B$106,0)))</f>
        <v/>
      </c>
      <c r="J151" s="88">
        <f>IF($G151&lt;&gt;"OK","",$H151*$I151)</f>
        <v/>
      </c>
      <c r="K151" s="82">
        <f>IF($G151&lt;&gt;"OK","",SUMIFS('Sales Log'!$D$7:$D$3006,'Sales Log'!$C$7:$C$3006,$B151,'Sales Log'!$B$7:$B$3006,"&gt;="&amp;cfg_CountDate,'Sales Log'!$N$7:$N$3006,"OK"))</f>
        <v/>
      </c>
      <c r="L151" s="89">
        <f>IF($G151&lt;&gt;"OK","",$H151*$K151)</f>
        <v/>
      </c>
    </row>
    <row r="152" ht="17" customHeight="1">
      <c r="B152" s="60" t="n"/>
      <c r="C152" s="60" t="n"/>
      <c r="D152" s="86" t="n"/>
      <c r="E152" s="60" t="n"/>
      <c r="F152" s="13">
        <f>IF($C152="","",IFERROR(INDEX('Inventory'!$D$7:$D$106,MATCH($C152,'Inventory'!$B$7:$B$106,0))&amp;"","?"))</f>
        <v/>
      </c>
      <c r="G152" s="80">
        <f>IF(AND($B152="",$C152=""),"",IF($B152="","Pick menu item",IF(ISNA(MATCH($B152,'Menu Pricing'!$B$7:$B$56,0)),"Not on Menu Pricing",IF($C152="","Pick ingredient",IF($F152="?","Not in Inventory",IF($F152="","Set stock unit in Inventory",IF(N($D152)&lt;=0,"Enter quantity",IF($E152="","Pick unit",IF(IFERROR(INDEX('Lists'!$C$6:$C$30,MATCH($E152,'Lists'!$B$6:$B$30,0)),"?")&lt;&gt;IFERROR(INDEX('Lists'!$C$6:$C$30,MATCH($F152,'Lists'!$B$6:$B$30,0)),"?"),"Unit mismatch",IF(ISNUMBER(INDEX('Inventory'!$G$7:$G$106,MATCH($C152,'Inventory'!$B$7:$B$106,0))),"OK","Add price in Inventory"))))))))))</f>
        <v/>
      </c>
      <c r="H152" s="87">
        <f>IF($G152&lt;&gt;"OK","",$D152*INDEX('Lists'!$D$6:$D$30,MATCH($E152,'Lists'!$B$6:$B$30,0))/INDEX('Lists'!$D$6:$D$30,MATCH($F152,'Lists'!$B$6:$B$30,0)))</f>
        <v/>
      </c>
      <c r="I152" s="87">
        <f>IF($G152&lt;&gt;"OK","",INDEX('Inventory'!$G$7:$G$106,MATCH($C152,'Inventory'!$B$7:$B$106,0)))</f>
        <v/>
      </c>
      <c r="J152" s="88">
        <f>IF($G152&lt;&gt;"OK","",$H152*$I152)</f>
        <v/>
      </c>
      <c r="K152" s="82">
        <f>IF($G152&lt;&gt;"OK","",SUMIFS('Sales Log'!$D$7:$D$3006,'Sales Log'!$C$7:$C$3006,$B152,'Sales Log'!$B$7:$B$3006,"&gt;="&amp;cfg_CountDate,'Sales Log'!$N$7:$N$3006,"OK"))</f>
        <v/>
      </c>
      <c r="L152" s="89">
        <f>IF($G152&lt;&gt;"OK","",$H152*$K152)</f>
        <v/>
      </c>
    </row>
    <row r="153" ht="17" customHeight="1">
      <c r="B153" s="60" t="n"/>
      <c r="C153" s="60" t="n"/>
      <c r="D153" s="86" t="n"/>
      <c r="E153" s="60" t="n"/>
      <c r="F153" s="13">
        <f>IF($C153="","",IFERROR(INDEX('Inventory'!$D$7:$D$106,MATCH($C153,'Inventory'!$B$7:$B$106,0))&amp;"","?"))</f>
        <v/>
      </c>
      <c r="G153" s="80">
        <f>IF(AND($B153="",$C153=""),"",IF($B153="","Pick menu item",IF(ISNA(MATCH($B153,'Menu Pricing'!$B$7:$B$56,0)),"Not on Menu Pricing",IF($C153="","Pick ingredient",IF($F153="?","Not in Inventory",IF($F153="","Set stock unit in Inventory",IF(N($D153)&lt;=0,"Enter quantity",IF($E153="","Pick unit",IF(IFERROR(INDEX('Lists'!$C$6:$C$30,MATCH($E153,'Lists'!$B$6:$B$30,0)),"?")&lt;&gt;IFERROR(INDEX('Lists'!$C$6:$C$30,MATCH($F153,'Lists'!$B$6:$B$30,0)),"?"),"Unit mismatch",IF(ISNUMBER(INDEX('Inventory'!$G$7:$G$106,MATCH($C153,'Inventory'!$B$7:$B$106,0))),"OK","Add price in Inventory"))))))))))</f>
        <v/>
      </c>
      <c r="H153" s="87">
        <f>IF($G153&lt;&gt;"OK","",$D153*INDEX('Lists'!$D$6:$D$30,MATCH($E153,'Lists'!$B$6:$B$30,0))/INDEX('Lists'!$D$6:$D$30,MATCH($F153,'Lists'!$B$6:$B$30,0)))</f>
        <v/>
      </c>
      <c r="I153" s="87">
        <f>IF($G153&lt;&gt;"OK","",INDEX('Inventory'!$G$7:$G$106,MATCH($C153,'Inventory'!$B$7:$B$106,0)))</f>
        <v/>
      </c>
      <c r="J153" s="88">
        <f>IF($G153&lt;&gt;"OK","",$H153*$I153)</f>
        <v/>
      </c>
      <c r="K153" s="82">
        <f>IF($G153&lt;&gt;"OK","",SUMIFS('Sales Log'!$D$7:$D$3006,'Sales Log'!$C$7:$C$3006,$B153,'Sales Log'!$B$7:$B$3006,"&gt;="&amp;cfg_CountDate,'Sales Log'!$N$7:$N$3006,"OK"))</f>
        <v/>
      </c>
      <c r="L153" s="89">
        <f>IF($G153&lt;&gt;"OK","",$H153*$K153)</f>
        <v/>
      </c>
    </row>
    <row r="154" ht="17" customHeight="1">
      <c r="B154" s="60" t="n"/>
      <c r="C154" s="60" t="n"/>
      <c r="D154" s="86" t="n"/>
      <c r="E154" s="60" t="n"/>
      <c r="F154" s="13">
        <f>IF($C154="","",IFERROR(INDEX('Inventory'!$D$7:$D$106,MATCH($C154,'Inventory'!$B$7:$B$106,0))&amp;"","?"))</f>
        <v/>
      </c>
      <c r="G154" s="80">
        <f>IF(AND($B154="",$C154=""),"",IF($B154="","Pick menu item",IF(ISNA(MATCH($B154,'Menu Pricing'!$B$7:$B$56,0)),"Not on Menu Pricing",IF($C154="","Pick ingredient",IF($F154="?","Not in Inventory",IF($F154="","Set stock unit in Inventory",IF(N($D154)&lt;=0,"Enter quantity",IF($E154="","Pick unit",IF(IFERROR(INDEX('Lists'!$C$6:$C$30,MATCH($E154,'Lists'!$B$6:$B$30,0)),"?")&lt;&gt;IFERROR(INDEX('Lists'!$C$6:$C$30,MATCH($F154,'Lists'!$B$6:$B$30,0)),"?"),"Unit mismatch",IF(ISNUMBER(INDEX('Inventory'!$G$7:$G$106,MATCH($C154,'Inventory'!$B$7:$B$106,0))),"OK","Add price in Inventory"))))))))))</f>
        <v/>
      </c>
      <c r="H154" s="87">
        <f>IF($G154&lt;&gt;"OK","",$D154*INDEX('Lists'!$D$6:$D$30,MATCH($E154,'Lists'!$B$6:$B$30,0))/INDEX('Lists'!$D$6:$D$30,MATCH($F154,'Lists'!$B$6:$B$30,0)))</f>
        <v/>
      </c>
      <c r="I154" s="87">
        <f>IF($G154&lt;&gt;"OK","",INDEX('Inventory'!$G$7:$G$106,MATCH($C154,'Inventory'!$B$7:$B$106,0)))</f>
        <v/>
      </c>
      <c r="J154" s="88">
        <f>IF($G154&lt;&gt;"OK","",$H154*$I154)</f>
        <v/>
      </c>
      <c r="K154" s="82">
        <f>IF($G154&lt;&gt;"OK","",SUMIFS('Sales Log'!$D$7:$D$3006,'Sales Log'!$C$7:$C$3006,$B154,'Sales Log'!$B$7:$B$3006,"&gt;="&amp;cfg_CountDate,'Sales Log'!$N$7:$N$3006,"OK"))</f>
        <v/>
      </c>
      <c r="L154" s="89">
        <f>IF($G154&lt;&gt;"OK","",$H154*$K154)</f>
        <v/>
      </c>
    </row>
    <row r="155" ht="17" customHeight="1">
      <c r="B155" s="60" t="n"/>
      <c r="C155" s="60" t="n"/>
      <c r="D155" s="86" t="n"/>
      <c r="E155" s="60" t="n"/>
      <c r="F155" s="13">
        <f>IF($C155="","",IFERROR(INDEX('Inventory'!$D$7:$D$106,MATCH($C155,'Inventory'!$B$7:$B$106,0))&amp;"","?"))</f>
        <v/>
      </c>
      <c r="G155" s="80">
        <f>IF(AND($B155="",$C155=""),"",IF($B155="","Pick menu item",IF(ISNA(MATCH($B155,'Menu Pricing'!$B$7:$B$56,0)),"Not on Menu Pricing",IF($C155="","Pick ingredient",IF($F155="?","Not in Inventory",IF($F155="","Set stock unit in Inventory",IF(N($D155)&lt;=0,"Enter quantity",IF($E155="","Pick unit",IF(IFERROR(INDEX('Lists'!$C$6:$C$30,MATCH($E155,'Lists'!$B$6:$B$30,0)),"?")&lt;&gt;IFERROR(INDEX('Lists'!$C$6:$C$30,MATCH($F155,'Lists'!$B$6:$B$30,0)),"?"),"Unit mismatch",IF(ISNUMBER(INDEX('Inventory'!$G$7:$G$106,MATCH($C155,'Inventory'!$B$7:$B$106,0))),"OK","Add price in Inventory"))))))))))</f>
        <v/>
      </c>
      <c r="H155" s="87">
        <f>IF($G155&lt;&gt;"OK","",$D155*INDEX('Lists'!$D$6:$D$30,MATCH($E155,'Lists'!$B$6:$B$30,0))/INDEX('Lists'!$D$6:$D$30,MATCH($F155,'Lists'!$B$6:$B$30,0)))</f>
        <v/>
      </c>
      <c r="I155" s="87">
        <f>IF($G155&lt;&gt;"OK","",INDEX('Inventory'!$G$7:$G$106,MATCH($C155,'Inventory'!$B$7:$B$106,0)))</f>
        <v/>
      </c>
      <c r="J155" s="88">
        <f>IF($G155&lt;&gt;"OK","",$H155*$I155)</f>
        <v/>
      </c>
      <c r="K155" s="82">
        <f>IF($G155&lt;&gt;"OK","",SUMIFS('Sales Log'!$D$7:$D$3006,'Sales Log'!$C$7:$C$3006,$B155,'Sales Log'!$B$7:$B$3006,"&gt;="&amp;cfg_CountDate,'Sales Log'!$N$7:$N$3006,"OK"))</f>
        <v/>
      </c>
      <c r="L155" s="89">
        <f>IF($G155&lt;&gt;"OK","",$H155*$K155)</f>
        <v/>
      </c>
    </row>
    <row r="156" ht="17" customHeight="1">
      <c r="B156" s="60" t="n"/>
      <c r="C156" s="60" t="n"/>
      <c r="D156" s="86" t="n"/>
      <c r="E156" s="60" t="n"/>
      <c r="F156" s="13">
        <f>IF($C156="","",IFERROR(INDEX('Inventory'!$D$7:$D$106,MATCH($C156,'Inventory'!$B$7:$B$106,0))&amp;"","?"))</f>
        <v/>
      </c>
      <c r="G156" s="80">
        <f>IF(AND($B156="",$C156=""),"",IF($B156="","Pick menu item",IF(ISNA(MATCH($B156,'Menu Pricing'!$B$7:$B$56,0)),"Not on Menu Pricing",IF($C156="","Pick ingredient",IF($F156="?","Not in Inventory",IF($F156="","Set stock unit in Inventory",IF(N($D156)&lt;=0,"Enter quantity",IF($E156="","Pick unit",IF(IFERROR(INDEX('Lists'!$C$6:$C$30,MATCH($E156,'Lists'!$B$6:$B$30,0)),"?")&lt;&gt;IFERROR(INDEX('Lists'!$C$6:$C$30,MATCH($F156,'Lists'!$B$6:$B$30,0)),"?"),"Unit mismatch",IF(ISNUMBER(INDEX('Inventory'!$G$7:$G$106,MATCH($C156,'Inventory'!$B$7:$B$106,0))),"OK","Add price in Inventory"))))))))))</f>
        <v/>
      </c>
      <c r="H156" s="87">
        <f>IF($G156&lt;&gt;"OK","",$D156*INDEX('Lists'!$D$6:$D$30,MATCH($E156,'Lists'!$B$6:$B$30,0))/INDEX('Lists'!$D$6:$D$30,MATCH($F156,'Lists'!$B$6:$B$30,0)))</f>
        <v/>
      </c>
      <c r="I156" s="87">
        <f>IF($G156&lt;&gt;"OK","",INDEX('Inventory'!$G$7:$G$106,MATCH($C156,'Inventory'!$B$7:$B$106,0)))</f>
        <v/>
      </c>
      <c r="J156" s="88">
        <f>IF($G156&lt;&gt;"OK","",$H156*$I156)</f>
        <v/>
      </c>
      <c r="K156" s="82">
        <f>IF($G156&lt;&gt;"OK","",SUMIFS('Sales Log'!$D$7:$D$3006,'Sales Log'!$C$7:$C$3006,$B156,'Sales Log'!$B$7:$B$3006,"&gt;="&amp;cfg_CountDate,'Sales Log'!$N$7:$N$3006,"OK"))</f>
        <v/>
      </c>
      <c r="L156" s="89">
        <f>IF($G156&lt;&gt;"OK","",$H156*$K156)</f>
        <v/>
      </c>
    </row>
    <row r="157" ht="17" customHeight="1">
      <c r="B157" s="60" t="n"/>
      <c r="C157" s="60" t="n"/>
      <c r="D157" s="86" t="n"/>
      <c r="E157" s="60" t="n"/>
      <c r="F157" s="13">
        <f>IF($C157="","",IFERROR(INDEX('Inventory'!$D$7:$D$106,MATCH($C157,'Inventory'!$B$7:$B$106,0))&amp;"","?"))</f>
        <v/>
      </c>
      <c r="G157" s="80">
        <f>IF(AND($B157="",$C157=""),"",IF($B157="","Pick menu item",IF(ISNA(MATCH($B157,'Menu Pricing'!$B$7:$B$56,0)),"Not on Menu Pricing",IF($C157="","Pick ingredient",IF($F157="?","Not in Inventory",IF($F157="","Set stock unit in Inventory",IF(N($D157)&lt;=0,"Enter quantity",IF($E157="","Pick unit",IF(IFERROR(INDEX('Lists'!$C$6:$C$30,MATCH($E157,'Lists'!$B$6:$B$30,0)),"?")&lt;&gt;IFERROR(INDEX('Lists'!$C$6:$C$30,MATCH($F157,'Lists'!$B$6:$B$30,0)),"?"),"Unit mismatch",IF(ISNUMBER(INDEX('Inventory'!$G$7:$G$106,MATCH($C157,'Inventory'!$B$7:$B$106,0))),"OK","Add price in Inventory"))))))))))</f>
        <v/>
      </c>
      <c r="H157" s="87">
        <f>IF($G157&lt;&gt;"OK","",$D157*INDEX('Lists'!$D$6:$D$30,MATCH($E157,'Lists'!$B$6:$B$30,0))/INDEX('Lists'!$D$6:$D$30,MATCH($F157,'Lists'!$B$6:$B$30,0)))</f>
        <v/>
      </c>
      <c r="I157" s="87">
        <f>IF($G157&lt;&gt;"OK","",INDEX('Inventory'!$G$7:$G$106,MATCH($C157,'Inventory'!$B$7:$B$106,0)))</f>
        <v/>
      </c>
      <c r="J157" s="88">
        <f>IF($G157&lt;&gt;"OK","",$H157*$I157)</f>
        <v/>
      </c>
      <c r="K157" s="82">
        <f>IF($G157&lt;&gt;"OK","",SUMIFS('Sales Log'!$D$7:$D$3006,'Sales Log'!$C$7:$C$3006,$B157,'Sales Log'!$B$7:$B$3006,"&gt;="&amp;cfg_CountDate,'Sales Log'!$N$7:$N$3006,"OK"))</f>
        <v/>
      </c>
      <c r="L157" s="89">
        <f>IF($G157&lt;&gt;"OK","",$H157*$K157)</f>
        <v/>
      </c>
    </row>
    <row r="158" ht="17" customHeight="1">
      <c r="B158" s="60" t="n"/>
      <c r="C158" s="60" t="n"/>
      <c r="D158" s="86" t="n"/>
      <c r="E158" s="60" t="n"/>
      <c r="F158" s="13">
        <f>IF($C158="","",IFERROR(INDEX('Inventory'!$D$7:$D$106,MATCH($C158,'Inventory'!$B$7:$B$106,0))&amp;"","?"))</f>
        <v/>
      </c>
      <c r="G158" s="80">
        <f>IF(AND($B158="",$C158=""),"",IF($B158="","Pick menu item",IF(ISNA(MATCH($B158,'Menu Pricing'!$B$7:$B$56,0)),"Not on Menu Pricing",IF($C158="","Pick ingredient",IF($F158="?","Not in Inventory",IF($F158="","Set stock unit in Inventory",IF(N($D158)&lt;=0,"Enter quantity",IF($E158="","Pick unit",IF(IFERROR(INDEX('Lists'!$C$6:$C$30,MATCH($E158,'Lists'!$B$6:$B$30,0)),"?")&lt;&gt;IFERROR(INDEX('Lists'!$C$6:$C$30,MATCH($F158,'Lists'!$B$6:$B$30,0)),"?"),"Unit mismatch",IF(ISNUMBER(INDEX('Inventory'!$G$7:$G$106,MATCH($C158,'Inventory'!$B$7:$B$106,0))),"OK","Add price in Inventory"))))))))))</f>
        <v/>
      </c>
      <c r="H158" s="87">
        <f>IF($G158&lt;&gt;"OK","",$D158*INDEX('Lists'!$D$6:$D$30,MATCH($E158,'Lists'!$B$6:$B$30,0))/INDEX('Lists'!$D$6:$D$30,MATCH($F158,'Lists'!$B$6:$B$30,0)))</f>
        <v/>
      </c>
      <c r="I158" s="87">
        <f>IF($G158&lt;&gt;"OK","",INDEX('Inventory'!$G$7:$G$106,MATCH($C158,'Inventory'!$B$7:$B$106,0)))</f>
        <v/>
      </c>
      <c r="J158" s="88">
        <f>IF($G158&lt;&gt;"OK","",$H158*$I158)</f>
        <v/>
      </c>
      <c r="K158" s="82">
        <f>IF($G158&lt;&gt;"OK","",SUMIFS('Sales Log'!$D$7:$D$3006,'Sales Log'!$C$7:$C$3006,$B158,'Sales Log'!$B$7:$B$3006,"&gt;="&amp;cfg_CountDate,'Sales Log'!$N$7:$N$3006,"OK"))</f>
        <v/>
      </c>
      <c r="L158" s="89">
        <f>IF($G158&lt;&gt;"OK","",$H158*$K158)</f>
        <v/>
      </c>
    </row>
    <row r="159" ht="17" customHeight="1">
      <c r="B159" s="60" t="n"/>
      <c r="C159" s="60" t="n"/>
      <c r="D159" s="86" t="n"/>
      <c r="E159" s="60" t="n"/>
      <c r="F159" s="13">
        <f>IF($C159="","",IFERROR(INDEX('Inventory'!$D$7:$D$106,MATCH($C159,'Inventory'!$B$7:$B$106,0))&amp;"","?"))</f>
        <v/>
      </c>
      <c r="G159" s="80">
        <f>IF(AND($B159="",$C159=""),"",IF($B159="","Pick menu item",IF(ISNA(MATCH($B159,'Menu Pricing'!$B$7:$B$56,0)),"Not on Menu Pricing",IF($C159="","Pick ingredient",IF($F159="?","Not in Inventory",IF($F159="","Set stock unit in Inventory",IF(N($D159)&lt;=0,"Enter quantity",IF($E159="","Pick unit",IF(IFERROR(INDEX('Lists'!$C$6:$C$30,MATCH($E159,'Lists'!$B$6:$B$30,0)),"?")&lt;&gt;IFERROR(INDEX('Lists'!$C$6:$C$30,MATCH($F159,'Lists'!$B$6:$B$30,0)),"?"),"Unit mismatch",IF(ISNUMBER(INDEX('Inventory'!$G$7:$G$106,MATCH($C159,'Inventory'!$B$7:$B$106,0))),"OK","Add price in Inventory"))))))))))</f>
        <v/>
      </c>
      <c r="H159" s="87">
        <f>IF($G159&lt;&gt;"OK","",$D159*INDEX('Lists'!$D$6:$D$30,MATCH($E159,'Lists'!$B$6:$B$30,0))/INDEX('Lists'!$D$6:$D$30,MATCH($F159,'Lists'!$B$6:$B$30,0)))</f>
        <v/>
      </c>
      <c r="I159" s="87">
        <f>IF($G159&lt;&gt;"OK","",INDEX('Inventory'!$G$7:$G$106,MATCH($C159,'Inventory'!$B$7:$B$106,0)))</f>
        <v/>
      </c>
      <c r="J159" s="88">
        <f>IF($G159&lt;&gt;"OK","",$H159*$I159)</f>
        <v/>
      </c>
      <c r="K159" s="82">
        <f>IF($G159&lt;&gt;"OK","",SUMIFS('Sales Log'!$D$7:$D$3006,'Sales Log'!$C$7:$C$3006,$B159,'Sales Log'!$B$7:$B$3006,"&gt;="&amp;cfg_CountDate,'Sales Log'!$N$7:$N$3006,"OK"))</f>
        <v/>
      </c>
      <c r="L159" s="89">
        <f>IF($G159&lt;&gt;"OK","",$H159*$K159)</f>
        <v/>
      </c>
    </row>
    <row r="160" ht="17" customHeight="1">
      <c r="B160" s="60" t="n"/>
      <c r="C160" s="60" t="n"/>
      <c r="D160" s="86" t="n"/>
      <c r="E160" s="60" t="n"/>
      <c r="F160" s="13">
        <f>IF($C160="","",IFERROR(INDEX('Inventory'!$D$7:$D$106,MATCH($C160,'Inventory'!$B$7:$B$106,0))&amp;"","?"))</f>
        <v/>
      </c>
      <c r="G160" s="80">
        <f>IF(AND($B160="",$C160=""),"",IF($B160="","Pick menu item",IF(ISNA(MATCH($B160,'Menu Pricing'!$B$7:$B$56,0)),"Not on Menu Pricing",IF($C160="","Pick ingredient",IF($F160="?","Not in Inventory",IF($F160="","Set stock unit in Inventory",IF(N($D160)&lt;=0,"Enter quantity",IF($E160="","Pick unit",IF(IFERROR(INDEX('Lists'!$C$6:$C$30,MATCH($E160,'Lists'!$B$6:$B$30,0)),"?")&lt;&gt;IFERROR(INDEX('Lists'!$C$6:$C$30,MATCH($F160,'Lists'!$B$6:$B$30,0)),"?"),"Unit mismatch",IF(ISNUMBER(INDEX('Inventory'!$G$7:$G$106,MATCH($C160,'Inventory'!$B$7:$B$106,0))),"OK","Add price in Inventory"))))))))))</f>
        <v/>
      </c>
      <c r="H160" s="87">
        <f>IF($G160&lt;&gt;"OK","",$D160*INDEX('Lists'!$D$6:$D$30,MATCH($E160,'Lists'!$B$6:$B$30,0))/INDEX('Lists'!$D$6:$D$30,MATCH($F160,'Lists'!$B$6:$B$30,0)))</f>
        <v/>
      </c>
      <c r="I160" s="87">
        <f>IF($G160&lt;&gt;"OK","",INDEX('Inventory'!$G$7:$G$106,MATCH($C160,'Inventory'!$B$7:$B$106,0)))</f>
        <v/>
      </c>
      <c r="J160" s="88">
        <f>IF($G160&lt;&gt;"OK","",$H160*$I160)</f>
        <v/>
      </c>
      <c r="K160" s="82">
        <f>IF($G160&lt;&gt;"OK","",SUMIFS('Sales Log'!$D$7:$D$3006,'Sales Log'!$C$7:$C$3006,$B160,'Sales Log'!$B$7:$B$3006,"&gt;="&amp;cfg_CountDate,'Sales Log'!$N$7:$N$3006,"OK"))</f>
        <v/>
      </c>
      <c r="L160" s="89">
        <f>IF($G160&lt;&gt;"OK","",$H160*$K160)</f>
        <v/>
      </c>
    </row>
    <row r="161" ht="17" customHeight="1">
      <c r="B161" s="60" t="n"/>
      <c r="C161" s="60" t="n"/>
      <c r="D161" s="86" t="n"/>
      <c r="E161" s="60" t="n"/>
      <c r="F161" s="13">
        <f>IF($C161="","",IFERROR(INDEX('Inventory'!$D$7:$D$106,MATCH($C161,'Inventory'!$B$7:$B$106,0))&amp;"","?"))</f>
        <v/>
      </c>
      <c r="G161" s="80">
        <f>IF(AND($B161="",$C161=""),"",IF($B161="","Pick menu item",IF(ISNA(MATCH($B161,'Menu Pricing'!$B$7:$B$56,0)),"Not on Menu Pricing",IF($C161="","Pick ingredient",IF($F161="?","Not in Inventory",IF($F161="","Set stock unit in Inventory",IF(N($D161)&lt;=0,"Enter quantity",IF($E161="","Pick unit",IF(IFERROR(INDEX('Lists'!$C$6:$C$30,MATCH($E161,'Lists'!$B$6:$B$30,0)),"?")&lt;&gt;IFERROR(INDEX('Lists'!$C$6:$C$30,MATCH($F161,'Lists'!$B$6:$B$30,0)),"?"),"Unit mismatch",IF(ISNUMBER(INDEX('Inventory'!$G$7:$G$106,MATCH($C161,'Inventory'!$B$7:$B$106,0))),"OK","Add price in Inventory"))))))))))</f>
        <v/>
      </c>
      <c r="H161" s="87">
        <f>IF($G161&lt;&gt;"OK","",$D161*INDEX('Lists'!$D$6:$D$30,MATCH($E161,'Lists'!$B$6:$B$30,0))/INDEX('Lists'!$D$6:$D$30,MATCH($F161,'Lists'!$B$6:$B$30,0)))</f>
        <v/>
      </c>
      <c r="I161" s="87">
        <f>IF($G161&lt;&gt;"OK","",INDEX('Inventory'!$G$7:$G$106,MATCH($C161,'Inventory'!$B$7:$B$106,0)))</f>
        <v/>
      </c>
      <c r="J161" s="88">
        <f>IF($G161&lt;&gt;"OK","",$H161*$I161)</f>
        <v/>
      </c>
      <c r="K161" s="82">
        <f>IF($G161&lt;&gt;"OK","",SUMIFS('Sales Log'!$D$7:$D$3006,'Sales Log'!$C$7:$C$3006,$B161,'Sales Log'!$B$7:$B$3006,"&gt;="&amp;cfg_CountDate,'Sales Log'!$N$7:$N$3006,"OK"))</f>
        <v/>
      </c>
      <c r="L161" s="89">
        <f>IF($G161&lt;&gt;"OK","",$H161*$K161)</f>
        <v/>
      </c>
    </row>
    <row r="162" ht="17" customHeight="1">
      <c r="B162" s="60" t="n"/>
      <c r="C162" s="60" t="n"/>
      <c r="D162" s="86" t="n"/>
      <c r="E162" s="60" t="n"/>
      <c r="F162" s="13">
        <f>IF($C162="","",IFERROR(INDEX('Inventory'!$D$7:$D$106,MATCH($C162,'Inventory'!$B$7:$B$106,0))&amp;"","?"))</f>
        <v/>
      </c>
      <c r="G162" s="80">
        <f>IF(AND($B162="",$C162=""),"",IF($B162="","Pick menu item",IF(ISNA(MATCH($B162,'Menu Pricing'!$B$7:$B$56,0)),"Not on Menu Pricing",IF($C162="","Pick ingredient",IF($F162="?","Not in Inventory",IF($F162="","Set stock unit in Inventory",IF(N($D162)&lt;=0,"Enter quantity",IF($E162="","Pick unit",IF(IFERROR(INDEX('Lists'!$C$6:$C$30,MATCH($E162,'Lists'!$B$6:$B$30,0)),"?")&lt;&gt;IFERROR(INDEX('Lists'!$C$6:$C$30,MATCH($F162,'Lists'!$B$6:$B$30,0)),"?"),"Unit mismatch",IF(ISNUMBER(INDEX('Inventory'!$G$7:$G$106,MATCH($C162,'Inventory'!$B$7:$B$106,0))),"OK","Add price in Inventory"))))))))))</f>
        <v/>
      </c>
      <c r="H162" s="87">
        <f>IF($G162&lt;&gt;"OK","",$D162*INDEX('Lists'!$D$6:$D$30,MATCH($E162,'Lists'!$B$6:$B$30,0))/INDEX('Lists'!$D$6:$D$30,MATCH($F162,'Lists'!$B$6:$B$30,0)))</f>
        <v/>
      </c>
      <c r="I162" s="87">
        <f>IF($G162&lt;&gt;"OK","",INDEX('Inventory'!$G$7:$G$106,MATCH($C162,'Inventory'!$B$7:$B$106,0)))</f>
        <v/>
      </c>
      <c r="J162" s="88">
        <f>IF($G162&lt;&gt;"OK","",$H162*$I162)</f>
        <v/>
      </c>
      <c r="K162" s="82">
        <f>IF($G162&lt;&gt;"OK","",SUMIFS('Sales Log'!$D$7:$D$3006,'Sales Log'!$C$7:$C$3006,$B162,'Sales Log'!$B$7:$B$3006,"&gt;="&amp;cfg_CountDate,'Sales Log'!$N$7:$N$3006,"OK"))</f>
        <v/>
      </c>
      <c r="L162" s="89">
        <f>IF($G162&lt;&gt;"OK","",$H162*$K162)</f>
        <v/>
      </c>
    </row>
    <row r="163" ht="17" customHeight="1">
      <c r="B163" s="60" t="n"/>
      <c r="C163" s="60" t="n"/>
      <c r="D163" s="86" t="n"/>
      <c r="E163" s="60" t="n"/>
      <c r="F163" s="13">
        <f>IF($C163="","",IFERROR(INDEX('Inventory'!$D$7:$D$106,MATCH($C163,'Inventory'!$B$7:$B$106,0))&amp;"","?"))</f>
        <v/>
      </c>
      <c r="G163" s="80">
        <f>IF(AND($B163="",$C163=""),"",IF($B163="","Pick menu item",IF(ISNA(MATCH($B163,'Menu Pricing'!$B$7:$B$56,0)),"Not on Menu Pricing",IF($C163="","Pick ingredient",IF($F163="?","Not in Inventory",IF($F163="","Set stock unit in Inventory",IF(N($D163)&lt;=0,"Enter quantity",IF($E163="","Pick unit",IF(IFERROR(INDEX('Lists'!$C$6:$C$30,MATCH($E163,'Lists'!$B$6:$B$30,0)),"?")&lt;&gt;IFERROR(INDEX('Lists'!$C$6:$C$30,MATCH($F163,'Lists'!$B$6:$B$30,0)),"?"),"Unit mismatch",IF(ISNUMBER(INDEX('Inventory'!$G$7:$G$106,MATCH($C163,'Inventory'!$B$7:$B$106,0))),"OK","Add price in Inventory"))))))))))</f>
        <v/>
      </c>
      <c r="H163" s="87">
        <f>IF($G163&lt;&gt;"OK","",$D163*INDEX('Lists'!$D$6:$D$30,MATCH($E163,'Lists'!$B$6:$B$30,0))/INDEX('Lists'!$D$6:$D$30,MATCH($F163,'Lists'!$B$6:$B$30,0)))</f>
        <v/>
      </c>
      <c r="I163" s="87">
        <f>IF($G163&lt;&gt;"OK","",INDEX('Inventory'!$G$7:$G$106,MATCH($C163,'Inventory'!$B$7:$B$106,0)))</f>
        <v/>
      </c>
      <c r="J163" s="88">
        <f>IF($G163&lt;&gt;"OK","",$H163*$I163)</f>
        <v/>
      </c>
      <c r="K163" s="82">
        <f>IF($G163&lt;&gt;"OK","",SUMIFS('Sales Log'!$D$7:$D$3006,'Sales Log'!$C$7:$C$3006,$B163,'Sales Log'!$B$7:$B$3006,"&gt;="&amp;cfg_CountDate,'Sales Log'!$N$7:$N$3006,"OK"))</f>
        <v/>
      </c>
      <c r="L163" s="89">
        <f>IF($G163&lt;&gt;"OK","",$H163*$K163)</f>
        <v/>
      </c>
    </row>
    <row r="164" ht="17" customHeight="1">
      <c r="B164" s="60" t="n"/>
      <c r="C164" s="60" t="n"/>
      <c r="D164" s="86" t="n"/>
      <c r="E164" s="60" t="n"/>
      <c r="F164" s="13">
        <f>IF($C164="","",IFERROR(INDEX('Inventory'!$D$7:$D$106,MATCH($C164,'Inventory'!$B$7:$B$106,0))&amp;"","?"))</f>
        <v/>
      </c>
      <c r="G164" s="80">
        <f>IF(AND($B164="",$C164=""),"",IF($B164="","Pick menu item",IF(ISNA(MATCH($B164,'Menu Pricing'!$B$7:$B$56,0)),"Not on Menu Pricing",IF($C164="","Pick ingredient",IF($F164="?","Not in Inventory",IF($F164="","Set stock unit in Inventory",IF(N($D164)&lt;=0,"Enter quantity",IF($E164="","Pick unit",IF(IFERROR(INDEX('Lists'!$C$6:$C$30,MATCH($E164,'Lists'!$B$6:$B$30,0)),"?")&lt;&gt;IFERROR(INDEX('Lists'!$C$6:$C$30,MATCH($F164,'Lists'!$B$6:$B$30,0)),"?"),"Unit mismatch",IF(ISNUMBER(INDEX('Inventory'!$G$7:$G$106,MATCH($C164,'Inventory'!$B$7:$B$106,0))),"OK","Add price in Inventory"))))))))))</f>
        <v/>
      </c>
      <c r="H164" s="87">
        <f>IF($G164&lt;&gt;"OK","",$D164*INDEX('Lists'!$D$6:$D$30,MATCH($E164,'Lists'!$B$6:$B$30,0))/INDEX('Lists'!$D$6:$D$30,MATCH($F164,'Lists'!$B$6:$B$30,0)))</f>
        <v/>
      </c>
      <c r="I164" s="87">
        <f>IF($G164&lt;&gt;"OK","",INDEX('Inventory'!$G$7:$G$106,MATCH($C164,'Inventory'!$B$7:$B$106,0)))</f>
        <v/>
      </c>
      <c r="J164" s="88">
        <f>IF($G164&lt;&gt;"OK","",$H164*$I164)</f>
        <v/>
      </c>
      <c r="K164" s="82">
        <f>IF($G164&lt;&gt;"OK","",SUMIFS('Sales Log'!$D$7:$D$3006,'Sales Log'!$C$7:$C$3006,$B164,'Sales Log'!$B$7:$B$3006,"&gt;="&amp;cfg_CountDate,'Sales Log'!$N$7:$N$3006,"OK"))</f>
        <v/>
      </c>
      <c r="L164" s="89">
        <f>IF($G164&lt;&gt;"OK","",$H164*$K164)</f>
        <v/>
      </c>
    </row>
    <row r="165" ht="17" customHeight="1">
      <c r="B165" s="60" t="n"/>
      <c r="C165" s="60" t="n"/>
      <c r="D165" s="86" t="n"/>
      <c r="E165" s="60" t="n"/>
      <c r="F165" s="13">
        <f>IF($C165="","",IFERROR(INDEX('Inventory'!$D$7:$D$106,MATCH($C165,'Inventory'!$B$7:$B$106,0))&amp;"","?"))</f>
        <v/>
      </c>
      <c r="G165" s="80">
        <f>IF(AND($B165="",$C165=""),"",IF($B165="","Pick menu item",IF(ISNA(MATCH($B165,'Menu Pricing'!$B$7:$B$56,0)),"Not on Menu Pricing",IF($C165="","Pick ingredient",IF($F165="?","Not in Inventory",IF($F165="","Set stock unit in Inventory",IF(N($D165)&lt;=0,"Enter quantity",IF($E165="","Pick unit",IF(IFERROR(INDEX('Lists'!$C$6:$C$30,MATCH($E165,'Lists'!$B$6:$B$30,0)),"?")&lt;&gt;IFERROR(INDEX('Lists'!$C$6:$C$30,MATCH($F165,'Lists'!$B$6:$B$30,0)),"?"),"Unit mismatch",IF(ISNUMBER(INDEX('Inventory'!$G$7:$G$106,MATCH($C165,'Inventory'!$B$7:$B$106,0))),"OK","Add price in Inventory"))))))))))</f>
        <v/>
      </c>
      <c r="H165" s="87">
        <f>IF($G165&lt;&gt;"OK","",$D165*INDEX('Lists'!$D$6:$D$30,MATCH($E165,'Lists'!$B$6:$B$30,0))/INDEX('Lists'!$D$6:$D$30,MATCH($F165,'Lists'!$B$6:$B$30,0)))</f>
        <v/>
      </c>
      <c r="I165" s="87">
        <f>IF($G165&lt;&gt;"OK","",INDEX('Inventory'!$G$7:$G$106,MATCH($C165,'Inventory'!$B$7:$B$106,0)))</f>
        <v/>
      </c>
      <c r="J165" s="88">
        <f>IF($G165&lt;&gt;"OK","",$H165*$I165)</f>
        <v/>
      </c>
      <c r="K165" s="82">
        <f>IF($G165&lt;&gt;"OK","",SUMIFS('Sales Log'!$D$7:$D$3006,'Sales Log'!$C$7:$C$3006,$B165,'Sales Log'!$B$7:$B$3006,"&gt;="&amp;cfg_CountDate,'Sales Log'!$N$7:$N$3006,"OK"))</f>
        <v/>
      </c>
      <c r="L165" s="89">
        <f>IF($G165&lt;&gt;"OK","",$H165*$K165)</f>
        <v/>
      </c>
    </row>
    <row r="166" ht="17" customHeight="1">
      <c r="B166" s="60" t="n"/>
      <c r="C166" s="60" t="n"/>
      <c r="D166" s="86" t="n"/>
      <c r="E166" s="60" t="n"/>
      <c r="F166" s="13">
        <f>IF($C166="","",IFERROR(INDEX('Inventory'!$D$7:$D$106,MATCH($C166,'Inventory'!$B$7:$B$106,0))&amp;"","?"))</f>
        <v/>
      </c>
      <c r="G166" s="80">
        <f>IF(AND($B166="",$C166=""),"",IF($B166="","Pick menu item",IF(ISNA(MATCH($B166,'Menu Pricing'!$B$7:$B$56,0)),"Not on Menu Pricing",IF($C166="","Pick ingredient",IF($F166="?","Not in Inventory",IF($F166="","Set stock unit in Inventory",IF(N($D166)&lt;=0,"Enter quantity",IF($E166="","Pick unit",IF(IFERROR(INDEX('Lists'!$C$6:$C$30,MATCH($E166,'Lists'!$B$6:$B$30,0)),"?")&lt;&gt;IFERROR(INDEX('Lists'!$C$6:$C$30,MATCH($F166,'Lists'!$B$6:$B$30,0)),"?"),"Unit mismatch",IF(ISNUMBER(INDEX('Inventory'!$G$7:$G$106,MATCH($C166,'Inventory'!$B$7:$B$106,0))),"OK","Add price in Inventory"))))))))))</f>
        <v/>
      </c>
      <c r="H166" s="87">
        <f>IF($G166&lt;&gt;"OK","",$D166*INDEX('Lists'!$D$6:$D$30,MATCH($E166,'Lists'!$B$6:$B$30,0))/INDEX('Lists'!$D$6:$D$30,MATCH($F166,'Lists'!$B$6:$B$30,0)))</f>
        <v/>
      </c>
      <c r="I166" s="87">
        <f>IF($G166&lt;&gt;"OK","",INDEX('Inventory'!$G$7:$G$106,MATCH($C166,'Inventory'!$B$7:$B$106,0)))</f>
        <v/>
      </c>
      <c r="J166" s="88">
        <f>IF($G166&lt;&gt;"OK","",$H166*$I166)</f>
        <v/>
      </c>
      <c r="K166" s="82">
        <f>IF($G166&lt;&gt;"OK","",SUMIFS('Sales Log'!$D$7:$D$3006,'Sales Log'!$C$7:$C$3006,$B166,'Sales Log'!$B$7:$B$3006,"&gt;="&amp;cfg_CountDate,'Sales Log'!$N$7:$N$3006,"OK"))</f>
        <v/>
      </c>
      <c r="L166" s="89">
        <f>IF($G166&lt;&gt;"OK","",$H166*$K166)</f>
        <v/>
      </c>
    </row>
    <row r="167" ht="17" customHeight="1">
      <c r="B167" s="60" t="n"/>
      <c r="C167" s="60" t="n"/>
      <c r="D167" s="86" t="n"/>
      <c r="E167" s="60" t="n"/>
      <c r="F167" s="13">
        <f>IF($C167="","",IFERROR(INDEX('Inventory'!$D$7:$D$106,MATCH($C167,'Inventory'!$B$7:$B$106,0))&amp;"","?"))</f>
        <v/>
      </c>
      <c r="G167" s="80">
        <f>IF(AND($B167="",$C167=""),"",IF($B167="","Pick menu item",IF(ISNA(MATCH($B167,'Menu Pricing'!$B$7:$B$56,0)),"Not on Menu Pricing",IF($C167="","Pick ingredient",IF($F167="?","Not in Inventory",IF($F167="","Set stock unit in Inventory",IF(N($D167)&lt;=0,"Enter quantity",IF($E167="","Pick unit",IF(IFERROR(INDEX('Lists'!$C$6:$C$30,MATCH($E167,'Lists'!$B$6:$B$30,0)),"?")&lt;&gt;IFERROR(INDEX('Lists'!$C$6:$C$30,MATCH($F167,'Lists'!$B$6:$B$30,0)),"?"),"Unit mismatch",IF(ISNUMBER(INDEX('Inventory'!$G$7:$G$106,MATCH($C167,'Inventory'!$B$7:$B$106,0))),"OK","Add price in Inventory"))))))))))</f>
        <v/>
      </c>
      <c r="H167" s="87">
        <f>IF($G167&lt;&gt;"OK","",$D167*INDEX('Lists'!$D$6:$D$30,MATCH($E167,'Lists'!$B$6:$B$30,0))/INDEX('Lists'!$D$6:$D$30,MATCH($F167,'Lists'!$B$6:$B$30,0)))</f>
        <v/>
      </c>
      <c r="I167" s="87">
        <f>IF($G167&lt;&gt;"OK","",INDEX('Inventory'!$G$7:$G$106,MATCH($C167,'Inventory'!$B$7:$B$106,0)))</f>
        <v/>
      </c>
      <c r="J167" s="88">
        <f>IF($G167&lt;&gt;"OK","",$H167*$I167)</f>
        <v/>
      </c>
      <c r="K167" s="82">
        <f>IF($G167&lt;&gt;"OK","",SUMIFS('Sales Log'!$D$7:$D$3006,'Sales Log'!$C$7:$C$3006,$B167,'Sales Log'!$B$7:$B$3006,"&gt;="&amp;cfg_CountDate,'Sales Log'!$N$7:$N$3006,"OK"))</f>
        <v/>
      </c>
      <c r="L167" s="89">
        <f>IF($G167&lt;&gt;"OK","",$H167*$K167)</f>
        <v/>
      </c>
    </row>
    <row r="168" ht="17" customHeight="1">
      <c r="B168" s="60" t="n"/>
      <c r="C168" s="60" t="n"/>
      <c r="D168" s="86" t="n"/>
      <c r="E168" s="60" t="n"/>
      <c r="F168" s="13">
        <f>IF($C168="","",IFERROR(INDEX('Inventory'!$D$7:$D$106,MATCH($C168,'Inventory'!$B$7:$B$106,0))&amp;"","?"))</f>
        <v/>
      </c>
      <c r="G168" s="80">
        <f>IF(AND($B168="",$C168=""),"",IF($B168="","Pick menu item",IF(ISNA(MATCH($B168,'Menu Pricing'!$B$7:$B$56,0)),"Not on Menu Pricing",IF($C168="","Pick ingredient",IF($F168="?","Not in Inventory",IF($F168="","Set stock unit in Inventory",IF(N($D168)&lt;=0,"Enter quantity",IF($E168="","Pick unit",IF(IFERROR(INDEX('Lists'!$C$6:$C$30,MATCH($E168,'Lists'!$B$6:$B$30,0)),"?")&lt;&gt;IFERROR(INDEX('Lists'!$C$6:$C$30,MATCH($F168,'Lists'!$B$6:$B$30,0)),"?"),"Unit mismatch",IF(ISNUMBER(INDEX('Inventory'!$G$7:$G$106,MATCH($C168,'Inventory'!$B$7:$B$106,0))),"OK","Add price in Inventory"))))))))))</f>
        <v/>
      </c>
      <c r="H168" s="87">
        <f>IF($G168&lt;&gt;"OK","",$D168*INDEX('Lists'!$D$6:$D$30,MATCH($E168,'Lists'!$B$6:$B$30,0))/INDEX('Lists'!$D$6:$D$30,MATCH($F168,'Lists'!$B$6:$B$30,0)))</f>
        <v/>
      </c>
      <c r="I168" s="87">
        <f>IF($G168&lt;&gt;"OK","",INDEX('Inventory'!$G$7:$G$106,MATCH($C168,'Inventory'!$B$7:$B$106,0)))</f>
        <v/>
      </c>
      <c r="J168" s="88">
        <f>IF($G168&lt;&gt;"OK","",$H168*$I168)</f>
        <v/>
      </c>
      <c r="K168" s="82">
        <f>IF($G168&lt;&gt;"OK","",SUMIFS('Sales Log'!$D$7:$D$3006,'Sales Log'!$C$7:$C$3006,$B168,'Sales Log'!$B$7:$B$3006,"&gt;="&amp;cfg_CountDate,'Sales Log'!$N$7:$N$3006,"OK"))</f>
        <v/>
      </c>
      <c r="L168" s="89">
        <f>IF($G168&lt;&gt;"OK","",$H168*$K168)</f>
        <v/>
      </c>
    </row>
    <row r="169" ht="17" customHeight="1">
      <c r="B169" s="60" t="n"/>
      <c r="C169" s="60" t="n"/>
      <c r="D169" s="86" t="n"/>
      <c r="E169" s="60" t="n"/>
      <c r="F169" s="13">
        <f>IF($C169="","",IFERROR(INDEX('Inventory'!$D$7:$D$106,MATCH($C169,'Inventory'!$B$7:$B$106,0))&amp;"","?"))</f>
        <v/>
      </c>
      <c r="G169" s="80">
        <f>IF(AND($B169="",$C169=""),"",IF($B169="","Pick menu item",IF(ISNA(MATCH($B169,'Menu Pricing'!$B$7:$B$56,0)),"Not on Menu Pricing",IF($C169="","Pick ingredient",IF($F169="?","Not in Inventory",IF($F169="","Set stock unit in Inventory",IF(N($D169)&lt;=0,"Enter quantity",IF($E169="","Pick unit",IF(IFERROR(INDEX('Lists'!$C$6:$C$30,MATCH($E169,'Lists'!$B$6:$B$30,0)),"?")&lt;&gt;IFERROR(INDEX('Lists'!$C$6:$C$30,MATCH($F169,'Lists'!$B$6:$B$30,0)),"?"),"Unit mismatch",IF(ISNUMBER(INDEX('Inventory'!$G$7:$G$106,MATCH($C169,'Inventory'!$B$7:$B$106,0))),"OK","Add price in Inventory"))))))))))</f>
        <v/>
      </c>
      <c r="H169" s="87">
        <f>IF($G169&lt;&gt;"OK","",$D169*INDEX('Lists'!$D$6:$D$30,MATCH($E169,'Lists'!$B$6:$B$30,0))/INDEX('Lists'!$D$6:$D$30,MATCH($F169,'Lists'!$B$6:$B$30,0)))</f>
        <v/>
      </c>
      <c r="I169" s="87">
        <f>IF($G169&lt;&gt;"OK","",INDEX('Inventory'!$G$7:$G$106,MATCH($C169,'Inventory'!$B$7:$B$106,0)))</f>
        <v/>
      </c>
      <c r="J169" s="88">
        <f>IF($G169&lt;&gt;"OK","",$H169*$I169)</f>
        <v/>
      </c>
      <c r="K169" s="82">
        <f>IF($G169&lt;&gt;"OK","",SUMIFS('Sales Log'!$D$7:$D$3006,'Sales Log'!$C$7:$C$3006,$B169,'Sales Log'!$B$7:$B$3006,"&gt;="&amp;cfg_CountDate,'Sales Log'!$N$7:$N$3006,"OK"))</f>
        <v/>
      </c>
      <c r="L169" s="89">
        <f>IF($G169&lt;&gt;"OK","",$H169*$K169)</f>
        <v/>
      </c>
    </row>
    <row r="170" ht="17" customHeight="1">
      <c r="B170" s="60" t="n"/>
      <c r="C170" s="60" t="n"/>
      <c r="D170" s="86" t="n"/>
      <c r="E170" s="60" t="n"/>
      <c r="F170" s="13">
        <f>IF($C170="","",IFERROR(INDEX('Inventory'!$D$7:$D$106,MATCH($C170,'Inventory'!$B$7:$B$106,0))&amp;"","?"))</f>
        <v/>
      </c>
      <c r="G170" s="80">
        <f>IF(AND($B170="",$C170=""),"",IF($B170="","Pick menu item",IF(ISNA(MATCH($B170,'Menu Pricing'!$B$7:$B$56,0)),"Not on Menu Pricing",IF($C170="","Pick ingredient",IF($F170="?","Not in Inventory",IF($F170="","Set stock unit in Inventory",IF(N($D170)&lt;=0,"Enter quantity",IF($E170="","Pick unit",IF(IFERROR(INDEX('Lists'!$C$6:$C$30,MATCH($E170,'Lists'!$B$6:$B$30,0)),"?")&lt;&gt;IFERROR(INDEX('Lists'!$C$6:$C$30,MATCH($F170,'Lists'!$B$6:$B$30,0)),"?"),"Unit mismatch",IF(ISNUMBER(INDEX('Inventory'!$G$7:$G$106,MATCH($C170,'Inventory'!$B$7:$B$106,0))),"OK","Add price in Inventory"))))))))))</f>
        <v/>
      </c>
      <c r="H170" s="87">
        <f>IF($G170&lt;&gt;"OK","",$D170*INDEX('Lists'!$D$6:$D$30,MATCH($E170,'Lists'!$B$6:$B$30,0))/INDEX('Lists'!$D$6:$D$30,MATCH($F170,'Lists'!$B$6:$B$30,0)))</f>
        <v/>
      </c>
      <c r="I170" s="87">
        <f>IF($G170&lt;&gt;"OK","",INDEX('Inventory'!$G$7:$G$106,MATCH($C170,'Inventory'!$B$7:$B$106,0)))</f>
        <v/>
      </c>
      <c r="J170" s="88">
        <f>IF($G170&lt;&gt;"OK","",$H170*$I170)</f>
        <v/>
      </c>
      <c r="K170" s="82">
        <f>IF($G170&lt;&gt;"OK","",SUMIFS('Sales Log'!$D$7:$D$3006,'Sales Log'!$C$7:$C$3006,$B170,'Sales Log'!$B$7:$B$3006,"&gt;="&amp;cfg_CountDate,'Sales Log'!$N$7:$N$3006,"OK"))</f>
        <v/>
      </c>
      <c r="L170" s="89">
        <f>IF($G170&lt;&gt;"OK","",$H170*$K170)</f>
        <v/>
      </c>
    </row>
    <row r="171" ht="17" customHeight="1">
      <c r="B171" s="60" t="n"/>
      <c r="C171" s="60" t="n"/>
      <c r="D171" s="86" t="n"/>
      <c r="E171" s="60" t="n"/>
      <c r="F171" s="13">
        <f>IF($C171="","",IFERROR(INDEX('Inventory'!$D$7:$D$106,MATCH($C171,'Inventory'!$B$7:$B$106,0))&amp;"","?"))</f>
        <v/>
      </c>
      <c r="G171" s="80">
        <f>IF(AND($B171="",$C171=""),"",IF($B171="","Pick menu item",IF(ISNA(MATCH($B171,'Menu Pricing'!$B$7:$B$56,0)),"Not on Menu Pricing",IF($C171="","Pick ingredient",IF($F171="?","Not in Inventory",IF($F171="","Set stock unit in Inventory",IF(N($D171)&lt;=0,"Enter quantity",IF($E171="","Pick unit",IF(IFERROR(INDEX('Lists'!$C$6:$C$30,MATCH($E171,'Lists'!$B$6:$B$30,0)),"?")&lt;&gt;IFERROR(INDEX('Lists'!$C$6:$C$30,MATCH($F171,'Lists'!$B$6:$B$30,0)),"?"),"Unit mismatch",IF(ISNUMBER(INDEX('Inventory'!$G$7:$G$106,MATCH($C171,'Inventory'!$B$7:$B$106,0))),"OK","Add price in Inventory"))))))))))</f>
        <v/>
      </c>
      <c r="H171" s="87">
        <f>IF($G171&lt;&gt;"OK","",$D171*INDEX('Lists'!$D$6:$D$30,MATCH($E171,'Lists'!$B$6:$B$30,0))/INDEX('Lists'!$D$6:$D$30,MATCH($F171,'Lists'!$B$6:$B$30,0)))</f>
        <v/>
      </c>
      <c r="I171" s="87">
        <f>IF($G171&lt;&gt;"OK","",INDEX('Inventory'!$G$7:$G$106,MATCH($C171,'Inventory'!$B$7:$B$106,0)))</f>
        <v/>
      </c>
      <c r="J171" s="88">
        <f>IF($G171&lt;&gt;"OK","",$H171*$I171)</f>
        <v/>
      </c>
      <c r="K171" s="82">
        <f>IF($G171&lt;&gt;"OK","",SUMIFS('Sales Log'!$D$7:$D$3006,'Sales Log'!$C$7:$C$3006,$B171,'Sales Log'!$B$7:$B$3006,"&gt;="&amp;cfg_CountDate,'Sales Log'!$N$7:$N$3006,"OK"))</f>
        <v/>
      </c>
      <c r="L171" s="89">
        <f>IF($G171&lt;&gt;"OK","",$H171*$K171)</f>
        <v/>
      </c>
    </row>
    <row r="172" ht="17" customHeight="1">
      <c r="B172" s="60" t="n"/>
      <c r="C172" s="60" t="n"/>
      <c r="D172" s="86" t="n"/>
      <c r="E172" s="60" t="n"/>
      <c r="F172" s="13">
        <f>IF($C172="","",IFERROR(INDEX('Inventory'!$D$7:$D$106,MATCH($C172,'Inventory'!$B$7:$B$106,0))&amp;"","?"))</f>
        <v/>
      </c>
      <c r="G172" s="80">
        <f>IF(AND($B172="",$C172=""),"",IF($B172="","Pick menu item",IF(ISNA(MATCH($B172,'Menu Pricing'!$B$7:$B$56,0)),"Not on Menu Pricing",IF($C172="","Pick ingredient",IF($F172="?","Not in Inventory",IF($F172="","Set stock unit in Inventory",IF(N($D172)&lt;=0,"Enter quantity",IF($E172="","Pick unit",IF(IFERROR(INDEX('Lists'!$C$6:$C$30,MATCH($E172,'Lists'!$B$6:$B$30,0)),"?")&lt;&gt;IFERROR(INDEX('Lists'!$C$6:$C$30,MATCH($F172,'Lists'!$B$6:$B$30,0)),"?"),"Unit mismatch",IF(ISNUMBER(INDEX('Inventory'!$G$7:$G$106,MATCH($C172,'Inventory'!$B$7:$B$106,0))),"OK","Add price in Inventory"))))))))))</f>
        <v/>
      </c>
      <c r="H172" s="87">
        <f>IF($G172&lt;&gt;"OK","",$D172*INDEX('Lists'!$D$6:$D$30,MATCH($E172,'Lists'!$B$6:$B$30,0))/INDEX('Lists'!$D$6:$D$30,MATCH($F172,'Lists'!$B$6:$B$30,0)))</f>
        <v/>
      </c>
      <c r="I172" s="87">
        <f>IF($G172&lt;&gt;"OK","",INDEX('Inventory'!$G$7:$G$106,MATCH($C172,'Inventory'!$B$7:$B$106,0)))</f>
        <v/>
      </c>
      <c r="J172" s="88">
        <f>IF($G172&lt;&gt;"OK","",$H172*$I172)</f>
        <v/>
      </c>
      <c r="K172" s="82">
        <f>IF($G172&lt;&gt;"OK","",SUMIFS('Sales Log'!$D$7:$D$3006,'Sales Log'!$C$7:$C$3006,$B172,'Sales Log'!$B$7:$B$3006,"&gt;="&amp;cfg_CountDate,'Sales Log'!$N$7:$N$3006,"OK"))</f>
        <v/>
      </c>
      <c r="L172" s="89">
        <f>IF($G172&lt;&gt;"OK","",$H172*$K172)</f>
        <v/>
      </c>
    </row>
    <row r="173" ht="17" customHeight="1">
      <c r="B173" s="60" t="n"/>
      <c r="C173" s="60" t="n"/>
      <c r="D173" s="86" t="n"/>
      <c r="E173" s="60" t="n"/>
      <c r="F173" s="13">
        <f>IF($C173="","",IFERROR(INDEX('Inventory'!$D$7:$D$106,MATCH($C173,'Inventory'!$B$7:$B$106,0))&amp;"","?"))</f>
        <v/>
      </c>
      <c r="G173" s="80">
        <f>IF(AND($B173="",$C173=""),"",IF($B173="","Pick menu item",IF(ISNA(MATCH($B173,'Menu Pricing'!$B$7:$B$56,0)),"Not on Menu Pricing",IF($C173="","Pick ingredient",IF($F173="?","Not in Inventory",IF($F173="","Set stock unit in Inventory",IF(N($D173)&lt;=0,"Enter quantity",IF($E173="","Pick unit",IF(IFERROR(INDEX('Lists'!$C$6:$C$30,MATCH($E173,'Lists'!$B$6:$B$30,0)),"?")&lt;&gt;IFERROR(INDEX('Lists'!$C$6:$C$30,MATCH($F173,'Lists'!$B$6:$B$30,0)),"?"),"Unit mismatch",IF(ISNUMBER(INDEX('Inventory'!$G$7:$G$106,MATCH($C173,'Inventory'!$B$7:$B$106,0))),"OK","Add price in Inventory"))))))))))</f>
        <v/>
      </c>
      <c r="H173" s="87">
        <f>IF($G173&lt;&gt;"OK","",$D173*INDEX('Lists'!$D$6:$D$30,MATCH($E173,'Lists'!$B$6:$B$30,0))/INDEX('Lists'!$D$6:$D$30,MATCH($F173,'Lists'!$B$6:$B$30,0)))</f>
        <v/>
      </c>
      <c r="I173" s="87">
        <f>IF($G173&lt;&gt;"OK","",INDEX('Inventory'!$G$7:$G$106,MATCH($C173,'Inventory'!$B$7:$B$106,0)))</f>
        <v/>
      </c>
      <c r="J173" s="88">
        <f>IF($G173&lt;&gt;"OK","",$H173*$I173)</f>
        <v/>
      </c>
      <c r="K173" s="82">
        <f>IF($G173&lt;&gt;"OK","",SUMIFS('Sales Log'!$D$7:$D$3006,'Sales Log'!$C$7:$C$3006,$B173,'Sales Log'!$B$7:$B$3006,"&gt;="&amp;cfg_CountDate,'Sales Log'!$N$7:$N$3006,"OK"))</f>
        <v/>
      </c>
      <c r="L173" s="89">
        <f>IF($G173&lt;&gt;"OK","",$H173*$K173)</f>
        <v/>
      </c>
    </row>
    <row r="174" ht="17" customHeight="1">
      <c r="B174" s="60" t="n"/>
      <c r="C174" s="60" t="n"/>
      <c r="D174" s="86" t="n"/>
      <c r="E174" s="60" t="n"/>
      <c r="F174" s="13">
        <f>IF($C174="","",IFERROR(INDEX('Inventory'!$D$7:$D$106,MATCH($C174,'Inventory'!$B$7:$B$106,0))&amp;"","?"))</f>
        <v/>
      </c>
      <c r="G174" s="80">
        <f>IF(AND($B174="",$C174=""),"",IF($B174="","Pick menu item",IF(ISNA(MATCH($B174,'Menu Pricing'!$B$7:$B$56,0)),"Not on Menu Pricing",IF($C174="","Pick ingredient",IF($F174="?","Not in Inventory",IF($F174="","Set stock unit in Inventory",IF(N($D174)&lt;=0,"Enter quantity",IF($E174="","Pick unit",IF(IFERROR(INDEX('Lists'!$C$6:$C$30,MATCH($E174,'Lists'!$B$6:$B$30,0)),"?")&lt;&gt;IFERROR(INDEX('Lists'!$C$6:$C$30,MATCH($F174,'Lists'!$B$6:$B$30,0)),"?"),"Unit mismatch",IF(ISNUMBER(INDEX('Inventory'!$G$7:$G$106,MATCH($C174,'Inventory'!$B$7:$B$106,0))),"OK","Add price in Inventory"))))))))))</f>
        <v/>
      </c>
      <c r="H174" s="87">
        <f>IF($G174&lt;&gt;"OK","",$D174*INDEX('Lists'!$D$6:$D$30,MATCH($E174,'Lists'!$B$6:$B$30,0))/INDEX('Lists'!$D$6:$D$30,MATCH($F174,'Lists'!$B$6:$B$30,0)))</f>
        <v/>
      </c>
      <c r="I174" s="87">
        <f>IF($G174&lt;&gt;"OK","",INDEX('Inventory'!$G$7:$G$106,MATCH($C174,'Inventory'!$B$7:$B$106,0)))</f>
        <v/>
      </c>
      <c r="J174" s="88">
        <f>IF($G174&lt;&gt;"OK","",$H174*$I174)</f>
        <v/>
      </c>
      <c r="K174" s="82">
        <f>IF($G174&lt;&gt;"OK","",SUMIFS('Sales Log'!$D$7:$D$3006,'Sales Log'!$C$7:$C$3006,$B174,'Sales Log'!$B$7:$B$3006,"&gt;="&amp;cfg_CountDate,'Sales Log'!$N$7:$N$3006,"OK"))</f>
        <v/>
      </c>
      <c r="L174" s="89">
        <f>IF($G174&lt;&gt;"OK","",$H174*$K174)</f>
        <v/>
      </c>
    </row>
    <row r="175" ht="17" customHeight="1">
      <c r="B175" s="60" t="n"/>
      <c r="C175" s="60" t="n"/>
      <c r="D175" s="86" t="n"/>
      <c r="E175" s="60" t="n"/>
      <c r="F175" s="13">
        <f>IF($C175="","",IFERROR(INDEX('Inventory'!$D$7:$D$106,MATCH($C175,'Inventory'!$B$7:$B$106,0))&amp;"","?"))</f>
        <v/>
      </c>
      <c r="G175" s="80">
        <f>IF(AND($B175="",$C175=""),"",IF($B175="","Pick menu item",IF(ISNA(MATCH($B175,'Menu Pricing'!$B$7:$B$56,0)),"Not on Menu Pricing",IF($C175="","Pick ingredient",IF($F175="?","Not in Inventory",IF($F175="","Set stock unit in Inventory",IF(N($D175)&lt;=0,"Enter quantity",IF($E175="","Pick unit",IF(IFERROR(INDEX('Lists'!$C$6:$C$30,MATCH($E175,'Lists'!$B$6:$B$30,0)),"?")&lt;&gt;IFERROR(INDEX('Lists'!$C$6:$C$30,MATCH($F175,'Lists'!$B$6:$B$30,0)),"?"),"Unit mismatch",IF(ISNUMBER(INDEX('Inventory'!$G$7:$G$106,MATCH($C175,'Inventory'!$B$7:$B$106,0))),"OK","Add price in Inventory"))))))))))</f>
        <v/>
      </c>
      <c r="H175" s="87">
        <f>IF($G175&lt;&gt;"OK","",$D175*INDEX('Lists'!$D$6:$D$30,MATCH($E175,'Lists'!$B$6:$B$30,0))/INDEX('Lists'!$D$6:$D$30,MATCH($F175,'Lists'!$B$6:$B$30,0)))</f>
        <v/>
      </c>
      <c r="I175" s="87">
        <f>IF($G175&lt;&gt;"OK","",INDEX('Inventory'!$G$7:$G$106,MATCH($C175,'Inventory'!$B$7:$B$106,0)))</f>
        <v/>
      </c>
      <c r="J175" s="88">
        <f>IF($G175&lt;&gt;"OK","",$H175*$I175)</f>
        <v/>
      </c>
      <c r="K175" s="82">
        <f>IF($G175&lt;&gt;"OK","",SUMIFS('Sales Log'!$D$7:$D$3006,'Sales Log'!$C$7:$C$3006,$B175,'Sales Log'!$B$7:$B$3006,"&gt;="&amp;cfg_CountDate,'Sales Log'!$N$7:$N$3006,"OK"))</f>
        <v/>
      </c>
      <c r="L175" s="89">
        <f>IF($G175&lt;&gt;"OK","",$H175*$K175)</f>
        <v/>
      </c>
    </row>
    <row r="176" ht="17" customHeight="1">
      <c r="B176" s="60" t="n"/>
      <c r="C176" s="60" t="n"/>
      <c r="D176" s="86" t="n"/>
      <c r="E176" s="60" t="n"/>
      <c r="F176" s="13">
        <f>IF($C176="","",IFERROR(INDEX('Inventory'!$D$7:$D$106,MATCH($C176,'Inventory'!$B$7:$B$106,0))&amp;"","?"))</f>
        <v/>
      </c>
      <c r="G176" s="80">
        <f>IF(AND($B176="",$C176=""),"",IF($B176="","Pick menu item",IF(ISNA(MATCH($B176,'Menu Pricing'!$B$7:$B$56,0)),"Not on Menu Pricing",IF($C176="","Pick ingredient",IF($F176="?","Not in Inventory",IF($F176="","Set stock unit in Inventory",IF(N($D176)&lt;=0,"Enter quantity",IF($E176="","Pick unit",IF(IFERROR(INDEX('Lists'!$C$6:$C$30,MATCH($E176,'Lists'!$B$6:$B$30,0)),"?")&lt;&gt;IFERROR(INDEX('Lists'!$C$6:$C$30,MATCH($F176,'Lists'!$B$6:$B$30,0)),"?"),"Unit mismatch",IF(ISNUMBER(INDEX('Inventory'!$G$7:$G$106,MATCH($C176,'Inventory'!$B$7:$B$106,0))),"OK","Add price in Inventory"))))))))))</f>
        <v/>
      </c>
      <c r="H176" s="87">
        <f>IF($G176&lt;&gt;"OK","",$D176*INDEX('Lists'!$D$6:$D$30,MATCH($E176,'Lists'!$B$6:$B$30,0))/INDEX('Lists'!$D$6:$D$30,MATCH($F176,'Lists'!$B$6:$B$30,0)))</f>
        <v/>
      </c>
      <c r="I176" s="87">
        <f>IF($G176&lt;&gt;"OK","",INDEX('Inventory'!$G$7:$G$106,MATCH($C176,'Inventory'!$B$7:$B$106,0)))</f>
        <v/>
      </c>
      <c r="J176" s="88">
        <f>IF($G176&lt;&gt;"OK","",$H176*$I176)</f>
        <v/>
      </c>
      <c r="K176" s="82">
        <f>IF($G176&lt;&gt;"OK","",SUMIFS('Sales Log'!$D$7:$D$3006,'Sales Log'!$C$7:$C$3006,$B176,'Sales Log'!$B$7:$B$3006,"&gt;="&amp;cfg_CountDate,'Sales Log'!$N$7:$N$3006,"OK"))</f>
        <v/>
      </c>
      <c r="L176" s="89">
        <f>IF($G176&lt;&gt;"OK","",$H176*$K176)</f>
        <v/>
      </c>
    </row>
    <row r="177" ht="17" customHeight="1">
      <c r="B177" s="60" t="n"/>
      <c r="C177" s="60" t="n"/>
      <c r="D177" s="86" t="n"/>
      <c r="E177" s="60" t="n"/>
      <c r="F177" s="13">
        <f>IF($C177="","",IFERROR(INDEX('Inventory'!$D$7:$D$106,MATCH($C177,'Inventory'!$B$7:$B$106,0))&amp;"","?"))</f>
        <v/>
      </c>
      <c r="G177" s="80">
        <f>IF(AND($B177="",$C177=""),"",IF($B177="","Pick menu item",IF(ISNA(MATCH($B177,'Menu Pricing'!$B$7:$B$56,0)),"Not on Menu Pricing",IF($C177="","Pick ingredient",IF($F177="?","Not in Inventory",IF($F177="","Set stock unit in Inventory",IF(N($D177)&lt;=0,"Enter quantity",IF($E177="","Pick unit",IF(IFERROR(INDEX('Lists'!$C$6:$C$30,MATCH($E177,'Lists'!$B$6:$B$30,0)),"?")&lt;&gt;IFERROR(INDEX('Lists'!$C$6:$C$30,MATCH($F177,'Lists'!$B$6:$B$30,0)),"?"),"Unit mismatch",IF(ISNUMBER(INDEX('Inventory'!$G$7:$G$106,MATCH($C177,'Inventory'!$B$7:$B$106,0))),"OK","Add price in Inventory"))))))))))</f>
        <v/>
      </c>
      <c r="H177" s="87">
        <f>IF($G177&lt;&gt;"OK","",$D177*INDEX('Lists'!$D$6:$D$30,MATCH($E177,'Lists'!$B$6:$B$30,0))/INDEX('Lists'!$D$6:$D$30,MATCH($F177,'Lists'!$B$6:$B$30,0)))</f>
        <v/>
      </c>
      <c r="I177" s="87">
        <f>IF($G177&lt;&gt;"OK","",INDEX('Inventory'!$G$7:$G$106,MATCH($C177,'Inventory'!$B$7:$B$106,0)))</f>
        <v/>
      </c>
      <c r="J177" s="88">
        <f>IF($G177&lt;&gt;"OK","",$H177*$I177)</f>
        <v/>
      </c>
      <c r="K177" s="82">
        <f>IF($G177&lt;&gt;"OK","",SUMIFS('Sales Log'!$D$7:$D$3006,'Sales Log'!$C$7:$C$3006,$B177,'Sales Log'!$B$7:$B$3006,"&gt;="&amp;cfg_CountDate,'Sales Log'!$N$7:$N$3006,"OK"))</f>
        <v/>
      </c>
      <c r="L177" s="89">
        <f>IF($G177&lt;&gt;"OK","",$H177*$K177)</f>
        <v/>
      </c>
    </row>
    <row r="178" ht="17" customHeight="1">
      <c r="B178" s="60" t="n"/>
      <c r="C178" s="60" t="n"/>
      <c r="D178" s="86" t="n"/>
      <c r="E178" s="60" t="n"/>
      <c r="F178" s="13">
        <f>IF($C178="","",IFERROR(INDEX('Inventory'!$D$7:$D$106,MATCH($C178,'Inventory'!$B$7:$B$106,0))&amp;"","?"))</f>
        <v/>
      </c>
      <c r="G178" s="80">
        <f>IF(AND($B178="",$C178=""),"",IF($B178="","Pick menu item",IF(ISNA(MATCH($B178,'Menu Pricing'!$B$7:$B$56,0)),"Not on Menu Pricing",IF($C178="","Pick ingredient",IF($F178="?","Not in Inventory",IF($F178="","Set stock unit in Inventory",IF(N($D178)&lt;=0,"Enter quantity",IF($E178="","Pick unit",IF(IFERROR(INDEX('Lists'!$C$6:$C$30,MATCH($E178,'Lists'!$B$6:$B$30,0)),"?")&lt;&gt;IFERROR(INDEX('Lists'!$C$6:$C$30,MATCH($F178,'Lists'!$B$6:$B$30,0)),"?"),"Unit mismatch",IF(ISNUMBER(INDEX('Inventory'!$G$7:$G$106,MATCH($C178,'Inventory'!$B$7:$B$106,0))),"OK","Add price in Inventory"))))))))))</f>
        <v/>
      </c>
      <c r="H178" s="87">
        <f>IF($G178&lt;&gt;"OK","",$D178*INDEX('Lists'!$D$6:$D$30,MATCH($E178,'Lists'!$B$6:$B$30,0))/INDEX('Lists'!$D$6:$D$30,MATCH($F178,'Lists'!$B$6:$B$30,0)))</f>
        <v/>
      </c>
      <c r="I178" s="87">
        <f>IF($G178&lt;&gt;"OK","",INDEX('Inventory'!$G$7:$G$106,MATCH($C178,'Inventory'!$B$7:$B$106,0)))</f>
        <v/>
      </c>
      <c r="J178" s="88">
        <f>IF($G178&lt;&gt;"OK","",$H178*$I178)</f>
        <v/>
      </c>
      <c r="K178" s="82">
        <f>IF($G178&lt;&gt;"OK","",SUMIFS('Sales Log'!$D$7:$D$3006,'Sales Log'!$C$7:$C$3006,$B178,'Sales Log'!$B$7:$B$3006,"&gt;="&amp;cfg_CountDate,'Sales Log'!$N$7:$N$3006,"OK"))</f>
        <v/>
      </c>
      <c r="L178" s="89">
        <f>IF($G178&lt;&gt;"OK","",$H178*$K178)</f>
        <v/>
      </c>
    </row>
    <row r="179" ht="17" customHeight="1">
      <c r="B179" s="60" t="n"/>
      <c r="C179" s="60" t="n"/>
      <c r="D179" s="86" t="n"/>
      <c r="E179" s="60" t="n"/>
      <c r="F179" s="13">
        <f>IF($C179="","",IFERROR(INDEX('Inventory'!$D$7:$D$106,MATCH($C179,'Inventory'!$B$7:$B$106,0))&amp;"","?"))</f>
        <v/>
      </c>
      <c r="G179" s="80">
        <f>IF(AND($B179="",$C179=""),"",IF($B179="","Pick menu item",IF(ISNA(MATCH($B179,'Menu Pricing'!$B$7:$B$56,0)),"Not on Menu Pricing",IF($C179="","Pick ingredient",IF($F179="?","Not in Inventory",IF($F179="","Set stock unit in Inventory",IF(N($D179)&lt;=0,"Enter quantity",IF($E179="","Pick unit",IF(IFERROR(INDEX('Lists'!$C$6:$C$30,MATCH($E179,'Lists'!$B$6:$B$30,0)),"?")&lt;&gt;IFERROR(INDEX('Lists'!$C$6:$C$30,MATCH($F179,'Lists'!$B$6:$B$30,0)),"?"),"Unit mismatch",IF(ISNUMBER(INDEX('Inventory'!$G$7:$G$106,MATCH($C179,'Inventory'!$B$7:$B$106,0))),"OK","Add price in Inventory"))))))))))</f>
        <v/>
      </c>
      <c r="H179" s="87">
        <f>IF($G179&lt;&gt;"OK","",$D179*INDEX('Lists'!$D$6:$D$30,MATCH($E179,'Lists'!$B$6:$B$30,0))/INDEX('Lists'!$D$6:$D$30,MATCH($F179,'Lists'!$B$6:$B$30,0)))</f>
        <v/>
      </c>
      <c r="I179" s="87">
        <f>IF($G179&lt;&gt;"OK","",INDEX('Inventory'!$G$7:$G$106,MATCH($C179,'Inventory'!$B$7:$B$106,0)))</f>
        <v/>
      </c>
      <c r="J179" s="88">
        <f>IF($G179&lt;&gt;"OK","",$H179*$I179)</f>
        <v/>
      </c>
      <c r="K179" s="82">
        <f>IF($G179&lt;&gt;"OK","",SUMIFS('Sales Log'!$D$7:$D$3006,'Sales Log'!$C$7:$C$3006,$B179,'Sales Log'!$B$7:$B$3006,"&gt;="&amp;cfg_CountDate,'Sales Log'!$N$7:$N$3006,"OK"))</f>
        <v/>
      </c>
      <c r="L179" s="89">
        <f>IF($G179&lt;&gt;"OK","",$H179*$K179)</f>
        <v/>
      </c>
    </row>
    <row r="180" ht="17" customHeight="1">
      <c r="B180" s="60" t="n"/>
      <c r="C180" s="60" t="n"/>
      <c r="D180" s="86" t="n"/>
      <c r="E180" s="60" t="n"/>
      <c r="F180" s="13">
        <f>IF($C180="","",IFERROR(INDEX('Inventory'!$D$7:$D$106,MATCH($C180,'Inventory'!$B$7:$B$106,0))&amp;"","?"))</f>
        <v/>
      </c>
      <c r="G180" s="80">
        <f>IF(AND($B180="",$C180=""),"",IF($B180="","Pick menu item",IF(ISNA(MATCH($B180,'Menu Pricing'!$B$7:$B$56,0)),"Not on Menu Pricing",IF($C180="","Pick ingredient",IF($F180="?","Not in Inventory",IF($F180="","Set stock unit in Inventory",IF(N($D180)&lt;=0,"Enter quantity",IF($E180="","Pick unit",IF(IFERROR(INDEX('Lists'!$C$6:$C$30,MATCH($E180,'Lists'!$B$6:$B$30,0)),"?")&lt;&gt;IFERROR(INDEX('Lists'!$C$6:$C$30,MATCH($F180,'Lists'!$B$6:$B$30,0)),"?"),"Unit mismatch",IF(ISNUMBER(INDEX('Inventory'!$G$7:$G$106,MATCH($C180,'Inventory'!$B$7:$B$106,0))),"OK","Add price in Inventory"))))))))))</f>
        <v/>
      </c>
      <c r="H180" s="87">
        <f>IF($G180&lt;&gt;"OK","",$D180*INDEX('Lists'!$D$6:$D$30,MATCH($E180,'Lists'!$B$6:$B$30,0))/INDEX('Lists'!$D$6:$D$30,MATCH($F180,'Lists'!$B$6:$B$30,0)))</f>
        <v/>
      </c>
      <c r="I180" s="87">
        <f>IF($G180&lt;&gt;"OK","",INDEX('Inventory'!$G$7:$G$106,MATCH($C180,'Inventory'!$B$7:$B$106,0)))</f>
        <v/>
      </c>
      <c r="J180" s="88">
        <f>IF($G180&lt;&gt;"OK","",$H180*$I180)</f>
        <v/>
      </c>
      <c r="K180" s="82">
        <f>IF($G180&lt;&gt;"OK","",SUMIFS('Sales Log'!$D$7:$D$3006,'Sales Log'!$C$7:$C$3006,$B180,'Sales Log'!$B$7:$B$3006,"&gt;="&amp;cfg_CountDate,'Sales Log'!$N$7:$N$3006,"OK"))</f>
        <v/>
      </c>
      <c r="L180" s="89">
        <f>IF($G180&lt;&gt;"OK","",$H180*$K180)</f>
        <v/>
      </c>
    </row>
    <row r="181" ht="17" customHeight="1">
      <c r="B181" s="60" t="n"/>
      <c r="C181" s="60" t="n"/>
      <c r="D181" s="86" t="n"/>
      <c r="E181" s="60" t="n"/>
      <c r="F181" s="13">
        <f>IF($C181="","",IFERROR(INDEX('Inventory'!$D$7:$D$106,MATCH($C181,'Inventory'!$B$7:$B$106,0))&amp;"","?"))</f>
        <v/>
      </c>
      <c r="G181" s="80">
        <f>IF(AND($B181="",$C181=""),"",IF($B181="","Pick menu item",IF(ISNA(MATCH($B181,'Menu Pricing'!$B$7:$B$56,0)),"Not on Menu Pricing",IF($C181="","Pick ingredient",IF($F181="?","Not in Inventory",IF($F181="","Set stock unit in Inventory",IF(N($D181)&lt;=0,"Enter quantity",IF($E181="","Pick unit",IF(IFERROR(INDEX('Lists'!$C$6:$C$30,MATCH($E181,'Lists'!$B$6:$B$30,0)),"?")&lt;&gt;IFERROR(INDEX('Lists'!$C$6:$C$30,MATCH($F181,'Lists'!$B$6:$B$30,0)),"?"),"Unit mismatch",IF(ISNUMBER(INDEX('Inventory'!$G$7:$G$106,MATCH($C181,'Inventory'!$B$7:$B$106,0))),"OK","Add price in Inventory"))))))))))</f>
        <v/>
      </c>
      <c r="H181" s="87">
        <f>IF($G181&lt;&gt;"OK","",$D181*INDEX('Lists'!$D$6:$D$30,MATCH($E181,'Lists'!$B$6:$B$30,0))/INDEX('Lists'!$D$6:$D$30,MATCH($F181,'Lists'!$B$6:$B$30,0)))</f>
        <v/>
      </c>
      <c r="I181" s="87">
        <f>IF($G181&lt;&gt;"OK","",INDEX('Inventory'!$G$7:$G$106,MATCH($C181,'Inventory'!$B$7:$B$106,0)))</f>
        <v/>
      </c>
      <c r="J181" s="88">
        <f>IF($G181&lt;&gt;"OK","",$H181*$I181)</f>
        <v/>
      </c>
      <c r="K181" s="82">
        <f>IF($G181&lt;&gt;"OK","",SUMIFS('Sales Log'!$D$7:$D$3006,'Sales Log'!$C$7:$C$3006,$B181,'Sales Log'!$B$7:$B$3006,"&gt;="&amp;cfg_CountDate,'Sales Log'!$N$7:$N$3006,"OK"))</f>
        <v/>
      </c>
      <c r="L181" s="89">
        <f>IF($G181&lt;&gt;"OK","",$H181*$K181)</f>
        <v/>
      </c>
    </row>
    <row r="182" ht="17" customHeight="1">
      <c r="B182" s="60" t="n"/>
      <c r="C182" s="60" t="n"/>
      <c r="D182" s="86" t="n"/>
      <c r="E182" s="60" t="n"/>
      <c r="F182" s="13">
        <f>IF($C182="","",IFERROR(INDEX('Inventory'!$D$7:$D$106,MATCH($C182,'Inventory'!$B$7:$B$106,0))&amp;"","?"))</f>
        <v/>
      </c>
      <c r="G182" s="80">
        <f>IF(AND($B182="",$C182=""),"",IF($B182="","Pick menu item",IF(ISNA(MATCH($B182,'Menu Pricing'!$B$7:$B$56,0)),"Not on Menu Pricing",IF($C182="","Pick ingredient",IF($F182="?","Not in Inventory",IF($F182="","Set stock unit in Inventory",IF(N($D182)&lt;=0,"Enter quantity",IF($E182="","Pick unit",IF(IFERROR(INDEX('Lists'!$C$6:$C$30,MATCH($E182,'Lists'!$B$6:$B$30,0)),"?")&lt;&gt;IFERROR(INDEX('Lists'!$C$6:$C$30,MATCH($F182,'Lists'!$B$6:$B$30,0)),"?"),"Unit mismatch",IF(ISNUMBER(INDEX('Inventory'!$G$7:$G$106,MATCH($C182,'Inventory'!$B$7:$B$106,0))),"OK","Add price in Inventory"))))))))))</f>
        <v/>
      </c>
      <c r="H182" s="87">
        <f>IF($G182&lt;&gt;"OK","",$D182*INDEX('Lists'!$D$6:$D$30,MATCH($E182,'Lists'!$B$6:$B$30,0))/INDEX('Lists'!$D$6:$D$30,MATCH($F182,'Lists'!$B$6:$B$30,0)))</f>
        <v/>
      </c>
      <c r="I182" s="87">
        <f>IF($G182&lt;&gt;"OK","",INDEX('Inventory'!$G$7:$G$106,MATCH($C182,'Inventory'!$B$7:$B$106,0)))</f>
        <v/>
      </c>
      <c r="J182" s="88">
        <f>IF($G182&lt;&gt;"OK","",$H182*$I182)</f>
        <v/>
      </c>
      <c r="K182" s="82">
        <f>IF($G182&lt;&gt;"OK","",SUMIFS('Sales Log'!$D$7:$D$3006,'Sales Log'!$C$7:$C$3006,$B182,'Sales Log'!$B$7:$B$3006,"&gt;="&amp;cfg_CountDate,'Sales Log'!$N$7:$N$3006,"OK"))</f>
        <v/>
      </c>
      <c r="L182" s="89">
        <f>IF($G182&lt;&gt;"OK","",$H182*$K182)</f>
        <v/>
      </c>
    </row>
    <row r="183" ht="17" customHeight="1">
      <c r="B183" s="60" t="n"/>
      <c r="C183" s="60" t="n"/>
      <c r="D183" s="86" t="n"/>
      <c r="E183" s="60" t="n"/>
      <c r="F183" s="13">
        <f>IF($C183="","",IFERROR(INDEX('Inventory'!$D$7:$D$106,MATCH($C183,'Inventory'!$B$7:$B$106,0))&amp;"","?"))</f>
        <v/>
      </c>
      <c r="G183" s="80">
        <f>IF(AND($B183="",$C183=""),"",IF($B183="","Pick menu item",IF(ISNA(MATCH($B183,'Menu Pricing'!$B$7:$B$56,0)),"Not on Menu Pricing",IF($C183="","Pick ingredient",IF($F183="?","Not in Inventory",IF($F183="","Set stock unit in Inventory",IF(N($D183)&lt;=0,"Enter quantity",IF($E183="","Pick unit",IF(IFERROR(INDEX('Lists'!$C$6:$C$30,MATCH($E183,'Lists'!$B$6:$B$30,0)),"?")&lt;&gt;IFERROR(INDEX('Lists'!$C$6:$C$30,MATCH($F183,'Lists'!$B$6:$B$30,0)),"?"),"Unit mismatch",IF(ISNUMBER(INDEX('Inventory'!$G$7:$G$106,MATCH($C183,'Inventory'!$B$7:$B$106,0))),"OK","Add price in Inventory"))))))))))</f>
        <v/>
      </c>
      <c r="H183" s="87">
        <f>IF($G183&lt;&gt;"OK","",$D183*INDEX('Lists'!$D$6:$D$30,MATCH($E183,'Lists'!$B$6:$B$30,0))/INDEX('Lists'!$D$6:$D$30,MATCH($F183,'Lists'!$B$6:$B$30,0)))</f>
        <v/>
      </c>
      <c r="I183" s="87">
        <f>IF($G183&lt;&gt;"OK","",INDEX('Inventory'!$G$7:$G$106,MATCH($C183,'Inventory'!$B$7:$B$106,0)))</f>
        <v/>
      </c>
      <c r="J183" s="88">
        <f>IF($G183&lt;&gt;"OK","",$H183*$I183)</f>
        <v/>
      </c>
      <c r="K183" s="82">
        <f>IF($G183&lt;&gt;"OK","",SUMIFS('Sales Log'!$D$7:$D$3006,'Sales Log'!$C$7:$C$3006,$B183,'Sales Log'!$B$7:$B$3006,"&gt;="&amp;cfg_CountDate,'Sales Log'!$N$7:$N$3006,"OK"))</f>
        <v/>
      </c>
      <c r="L183" s="89">
        <f>IF($G183&lt;&gt;"OK","",$H183*$K183)</f>
        <v/>
      </c>
    </row>
    <row r="184" ht="17" customHeight="1">
      <c r="B184" s="60" t="n"/>
      <c r="C184" s="60" t="n"/>
      <c r="D184" s="86" t="n"/>
      <c r="E184" s="60" t="n"/>
      <c r="F184" s="13">
        <f>IF($C184="","",IFERROR(INDEX('Inventory'!$D$7:$D$106,MATCH($C184,'Inventory'!$B$7:$B$106,0))&amp;"","?"))</f>
        <v/>
      </c>
      <c r="G184" s="80">
        <f>IF(AND($B184="",$C184=""),"",IF($B184="","Pick menu item",IF(ISNA(MATCH($B184,'Menu Pricing'!$B$7:$B$56,0)),"Not on Menu Pricing",IF($C184="","Pick ingredient",IF($F184="?","Not in Inventory",IF($F184="","Set stock unit in Inventory",IF(N($D184)&lt;=0,"Enter quantity",IF($E184="","Pick unit",IF(IFERROR(INDEX('Lists'!$C$6:$C$30,MATCH($E184,'Lists'!$B$6:$B$30,0)),"?")&lt;&gt;IFERROR(INDEX('Lists'!$C$6:$C$30,MATCH($F184,'Lists'!$B$6:$B$30,0)),"?"),"Unit mismatch",IF(ISNUMBER(INDEX('Inventory'!$G$7:$G$106,MATCH($C184,'Inventory'!$B$7:$B$106,0))),"OK","Add price in Inventory"))))))))))</f>
        <v/>
      </c>
      <c r="H184" s="87">
        <f>IF($G184&lt;&gt;"OK","",$D184*INDEX('Lists'!$D$6:$D$30,MATCH($E184,'Lists'!$B$6:$B$30,0))/INDEX('Lists'!$D$6:$D$30,MATCH($F184,'Lists'!$B$6:$B$30,0)))</f>
        <v/>
      </c>
      <c r="I184" s="87">
        <f>IF($G184&lt;&gt;"OK","",INDEX('Inventory'!$G$7:$G$106,MATCH($C184,'Inventory'!$B$7:$B$106,0)))</f>
        <v/>
      </c>
      <c r="J184" s="88">
        <f>IF($G184&lt;&gt;"OK","",$H184*$I184)</f>
        <v/>
      </c>
      <c r="K184" s="82">
        <f>IF($G184&lt;&gt;"OK","",SUMIFS('Sales Log'!$D$7:$D$3006,'Sales Log'!$C$7:$C$3006,$B184,'Sales Log'!$B$7:$B$3006,"&gt;="&amp;cfg_CountDate,'Sales Log'!$N$7:$N$3006,"OK"))</f>
        <v/>
      </c>
      <c r="L184" s="89">
        <f>IF($G184&lt;&gt;"OK","",$H184*$K184)</f>
        <v/>
      </c>
    </row>
    <row r="185" ht="17" customHeight="1">
      <c r="B185" s="60" t="n"/>
      <c r="C185" s="60" t="n"/>
      <c r="D185" s="86" t="n"/>
      <c r="E185" s="60" t="n"/>
      <c r="F185" s="13">
        <f>IF($C185="","",IFERROR(INDEX('Inventory'!$D$7:$D$106,MATCH($C185,'Inventory'!$B$7:$B$106,0))&amp;"","?"))</f>
        <v/>
      </c>
      <c r="G185" s="80">
        <f>IF(AND($B185="",$C185=""),"",IF($B185="","Pick menu item",IF(ISNA(MATCH($B185,'Menu Pricing'!$B$7:$B$56,0)),"Not on Menu Pricing",IF($C185="","Pick ingredient",IF($F185="?","Not in Inventory",IF($F185="","Set stock unit in Inventory",IF(N($D185)&lt;=0,"Enter quantity",IF($E185="","Pick unit",IF(IFERROR(INDEX('Lists'!$C$6:$C$30,MATCH($E185,'Lists'!$B$6:$B$30,0)),"?")&lt;&gt;IFERROR(INDEX('Lists'!$C$6:$C$30,MATCH($F185,'Lists'!$B$6:$B$30,0)),"?"),"Unit mismatch",IF(ISNUMBER(INDEX('Inventory'!$G$7:$G$106,MATCH($C185,'Inventory'!$B$7:$B$106,0))),"OK","Add price in Inventory"))))))))))</f>
        <v/>
      </c>
      <c r="H185" s="87">
        <f>IF($G185&lt;&gt;"OK","",$D185*INDEX('Lists'!$D$6:$D$30,MATCH($E185,'Lists'!$B$6:$B$30,0))/INDEX('Lists'!$D$6:$D$30,MATCH($F185,'Lists'!$B$6:$B$30,0)))</f>
        <v/>
      </c>
      <c r="I185" s="87">
        <f>IF($G185&lt;&gt;"OK","",INDEX('Inventory'!$G$7:$G$106,MATCH($C185,'Inventory'!$B$7:$B$106,0)))</f>
        <v/>
      </c>
      <c r="J185" s="88">
        <f>IF($G185&lt;&gt;"OK","",$H185*$I185)</f>
        <v/>
      </c>
      <c r="K185" s="82">
        <f>IF($G185&lt;&gt;"OK","",SUMIFS('Sales Log'!$D$7:$D$3006,'Sales Log'!$C$7:$C$3006,$B185,'Sales Log'!$B$7:$B$3006,"&gt;="&amp;cfg_CountDate,'Sales Log'!$N$7:$N$3006,"OK"))</f>
        <v/>
      </c>
      <c r="L185" s="89">
        <f>IF($G185&lt;&gt;"OK","",$H185*$K185)</f>
        <v/>
      </c>
    </row>
    <row r="186" ht="17" customHeight="1">
      <c r="B186" s="60" t="n"/>
      <c r="C186" s="60" t="n"/>
      <c r="D186" s="86" t="n"/>
      <c r="E186" s="60" t="n"/>
      <c r="F186" s="13">
        <f>IF($C186="","",IFERROR(INDEX('Inventory'!$D$7:$D$106,MATCH($C186,'Inventory'!$B$7:$B$106,0))&amp;"","?"))</f>
        <v/>
      </c>
      <c r="G186" s="80">
        <f>IF(AND($B186="",$C186=""),"",IF($B186="","Pick menu item",IF(ISNA(MATCH($B186,'Menu Pricing'!$B$7:$B$56,0)),"Not on Menu Pricing",IF($C186="","Pick ingredient",IF($F186="?","Not in Inventory",IF($F186="","Set stock unit in Inventory",IF(N($D186)&lt;=0,"Enter quantity",IF($E186="","Pick unit",IF(IFERROR(INDEX('Lists'!$C$6:$C$30,MATCH($E186,'Lists'!$B$6:$B$30,0)),"?")&lt;&gt;IFERROR(INDEX('Lists'!$C$6:$C$30,MATCH($F186,'Lists'!$B$6:$B$30,0)),"?"),"Unit mismatch",IF(ISNUMBER(INDEX('Inventory'!$G$7:$G$106,MATCH($C186,'Inventory'!$B$7:$B$106,0))),"OK","Add price in Inventory"))))))))))</f>
        <v/>
      </c>
      <c r="H186" s="87">
        <f>IF($G186&lt;&gt;"OK","",$D186*INDEX('Lists'!$D$6:$D$30,MATCH($E186,'Lists'!$B$6:$B$30,0))/INDEX('Lists'!$D$6:$D$30,MATCH($F186,'Lists'!$B$6:$B$30,0)))</f>
        <v/>
      </c>
      <c r="I186" s="87">
        <f>IF($G186&lt;&gt;"OK","",INDEX('Inventory'!$G$7:$G$106,MATCH($C186,'Inventory'!$B$7:$B$106,0)))</f>
        <v/>
      </c>
      <c r="J186" s="88">
        <f>IF($G186&lt;&gt;"OK","",$H186*$I186)</f>
        <v/>
      </c>
      <c r="K186" s="82">
        <f>IF($G186&lt;&gt;"OK","",SUMIFS('Sales Log'!$D$7:$D$3006,'Sales Log'!$C$7:$C$3006,$B186,'Sales Log'!$B$7:$B$3006,"&gt;="&amp;cfg_CountDate,'Sales Log'!$N$7:$N$3006,"OK"))</f>
        <v/>
      </c>
      <c r="L186" s="89">
        <f>IF($G186&lt;&gt;"OK","",$H186*$K186)</f>
        <v/>
      </c>
    </row>
    <row r="187" ht="17" customHeight="1">
      <c r="B187" s="60" t="n"/>
      <c r="C187" s="60" t="n"/>
      <c r="D187" s="86" t="n"/>
      <c r="E187" s="60" t="n"/>
      <c r="F187" s="13">
        <f>IF($C187="","",IFERROR(INDEX('Inventory'!$D$7:$D$106,MATCH($C187,'Inventory'!$B$7:$B$106,0))&amp;"","?"))</f>
        <v/>
      </c>
      <c r="G187" s="80">
        <f>IF(AND($B187="",$C187=""),"",IF($B187="","Pick menu item",IF(ISNA(MATCH($B187,'Menu Pricing'!$B$7:$B$56,0)),"Not on Menu Pricing",IF($C187="","Pick ingredient",IF($F187="?","Not in Inventory",IF($F187="","Set stock unit in Inventory",IF(N($D187)&lt;=0,"Enter quantity",IF($E187="","Pick unit",IF(IFERROR(INDEX('Lists'!$C$6:$C$30,MATCH($E187,'Lists'!$B$6:$B$30,0)),"?")&lt;&gt;IFERROR(INDEX('Lists'!$C$6:$C$30,MATCH($F187,'Lists'!$B$6:$B$30,0)),"?"),"Unit mismatch",IF(ISNUMBER(INDEX('Inventory'!$G$7:$G$106,MATCH($C187,'Inventory'!$B$7:$B$106,0))),"OK","Add price in Inventory"))))))))))</f>
        <v/>
      </c>
      <c r="H187" s="87">
        <f>IF($G187&lt;&gt;"OK","",$D187*INDEX('Lists'!$D$6:$D$30,MATCH($E187,'Lists'!$B$6:$B$30,0))/INDEX('Lists'!$D$6:$D$30,MATCH($F187,'Lists'!$B$6:$B$30,0)))</f>
        <v/>
      </c>
      <c r="I187" s="87">
        <f>IF($G187&lt;&gt;"OK","",INDEX('Inventory'!$G$7:$G$106,MATCH($C187,'Inventory'!$B$7:$B$106,0)))</f>
        <v/>
      </c>
      <c r="J187" s="88">
        <f>IF($G187&lt;&gt;"OK","",$H187*$I187)</f>
        <v/>
      </c>
      <c r="K187" s="82">
        <f>IF($G187&lt;&gt;"OK","",SUMIFS('Sales Log'!$D$7:$D$3006,'Sales Log'!$C$7:$C$3006,$B187,'Sales Log'!$B$7:$B$3006,"&gt;="&amp;cfg_CountDate,'Sales Log'!$N$7:$N$3006,"OK"))</f>
        <v/>
      </c>
      <c r="L187" s="89">
        <f>IF($G187&lt;&gt;"OK","",$H187*$K187)</f>
        <v/>
      </c>
    </row>
    <row r="188" ht="17" customHeight="1">
      <c r="B188" s="60" t="n"/>
      <c r="C188" s="60" t="n"/>
      <c r="D188" s="86" t="n"/>
      <c r="E188" s="60" t="n"/>
      <c r="F188" s="13">
        <f>IF($C188="","",IFERROR(INDEX('Inventory'!$D$7:$D$106,MATCH($C188,'Inventory'!$B$7:$B$106,0))&amp;"","?"))</f>
        <v/>
      </c>
      <c r="G188" s="80">
        <f>IF(AND($B188="",$C188=""),"",IF($B188="","Pick menu item",IF(ISNA(MATCH($B188,'Menu Pricing'!$B$7:$B$56,0)),"Not on Menu Pricing",IF($C188="","Pick ingredient",IF($F188="?","Not in Inventory",IF($F188="","Set stock unit in Inventory",IF(N($D188)&lt;=0,"Enter quantity",IF($E188="","Pick unit",IF(IFERROR(INDEX('Lists'!$C$6:$C$30,MATCH($E188,'Lists'!$B$6:$B$30,0)),"?")&lt;&gt;IFERROR(INDEX('Lists'!$C$6:$C$30,MATCH($F188,'Lists'!$B$6:$B$30,0)),"?"),"Unit mismatch",IF(ISNUMBER(INDEX('Inventory'!$G$7:$G$106,MATCH($C188,'Inventory'!$B$7:$B$106,0))),"OK","Add price in Inventory"))))))))))</f>
        <v/>
      </c>
      <c r="H188" s="87">
        <f>IF($G188&lt;&gt;"OK","",$D188*INDEX('Lists'!$D$6:$D$30,MATCH($E188,'Lists'!$B$6:$B$30,0))/INDEX('Lists'!$D$6:$D$30,MATCH($F188,'Lists'!$B$6:$B$30,0)))</f>
        <v/>
      </c>
      <c r="I188" s="87">
        <f>IF($G188&lt;&gt;"OK","",INDEX('Inventory'!$G$7:$G$106,MATCH($C188,'Inventory'!$B$7:$B$106,0)))</f>
        <v/>
      </c>
      <c r="J188" s="88">
        <f>IF($G188&lt;&gt;"OK","",$H188*$I188)</f>
        <v/>
      </c>
      <c r="K188" s="82">
        <f>IF($G188&lt;&gt;"OK","",SUMIFS('Sales Log'!$D$7:$D$3006,'Sales Log'!$C$7:$C$3006,$B188,'Sales Log'!$B$7:$B$3006,"&gt;="&amp;cfg_CountDate,'Sales Log'!$N$7:$N$3006,"OK"))</f>
        <v/>
      </c>
      <c r="L188" s="89">
        <f>IF($G188&lt;&gt;"OK","",$H188*$K188)</f>
        <v/>
      </c>
    </row>
    <row r="189" ht="17" customHeight="1">
      <c r="B189" s="60" t="n"/>
      <c r="C189" s="60" t="n"/>
      <c r="D189" s="86" t="n"/>
      <c r="E189" s="60" t="n"/>
      <c r="F189" s="13">
        <f>IF($C189="","",IFERROR(INDEX('Inventory'!$D$7:$D$106,MATCH($C189,'Inventory'!$B$7:$B$106,0))&amp;"","?"))</f>
        <v/>
      </c>
      <c r="G189" s="80">
        <f>IF(AND($B189="",$C189=""),"",IF($B189="","Pick menu item",IF(ISNA(MATCH($B189,'Menu Pricing'!$B$7:$B$56,0)),"Not on Menu Pricing",IF($C189="","Pick ingredient",IF($F189="?","Not in Inventory",IF($F189="","Set stock unit in Inventory",IF(N($D189)&lt;=0,"Enter quantity",IF($E189="","Pick unit",IF(IFERROR(INDEX('Lists'!$C$6:$C$30,MATCH($E189,'Lists'!$B$6:$B$30,0)),"?")&lt;&gt;IFERROR(INDEX('Lists'!$C$6:$C$30,MATCH($F189,'Lists'!$B$6:$B$30,0)),"?"),"Unit mismatch",IF(ISNUMBER(INDEX('Inventory'!$G$7:$G$106,MATCH($C189,'Inventory'!$B$7:$B$106,0))),"OK","Add price in Inventory"))))))))))</f>
        <v/>
      </c>
      <c r="H189" s="87">
        <f>IF($G189&lt;&gt;"OK","",$D189*INDEX('Lists'!$D$6:$D$30,MATCH($E189,'Lists'!$B$6:$B$30,0))/INDEX('Lists'!$D$6:$D$30,MATCH($F189,'Lists'!$B$6:$B$30,0)))</f>
        <v/>
      </c>
      <c r="I189" s="87">
        <f>IF($G189&lt;&gt;"OK","",INDEX('Inventory'!$G$7:$G$106,MATCH($C189,'Inventory'!$B$7:$B$106,0)))</f>
        <v/>
      </c>
      <c r="J189" s="88">
        <f>IF($G189&lt;&gt;"OK","",$H189*$I189)</f>
        <v/>
      </c>
      <c r="K189" s="82">
        <f>IF($G189&lt;&gt;"OK","",SUMIFS('Sales Log'!$D$7:$D$3006,'Sales Log'!$C$7:$C$3006,$B189,'Sales Log'!$B$7:$B$3006,"&gt;="&amp;cfg_CountDate,'Sales Log'!$N$7:$N$3006,"OK"))</f>
        <v/>
      </c>
      <c r="L189" s="89">
        <f>IF($G189&lt;&gt;"OK","",$H189*$K189)</f>
        <v/>
      </c>
    </row>
    <row r="190" ht="17" customHeight="1">
      <c r="B190" s="60" t="n"/>
      <c r="C190" s="60" t="n"/>
      <c r="D190" s="86" t="n"/>
      <c r="E190" s="60" t="n"/>
      <c r="F190" s="13">
        <f>IF($C190="","",IFERROR(INDEX('Inventory'!$D$7:$D$106,MATCH($C190,'Inventory'!$B$7:$B$106,0))&amp;"","?"))</f>
        <v/>
      </c>
      <c r="G190" s="80">
        <f>IF(AND($B190="",$C190=""),"",IF($B190="","Pick menu item",IF(ISNA(MATCH($B190,'Menu Pricing'!$B$7:$B$56,0)),"Not on Menu Pricing",IF($C190="","Pick ingredient",IF($F190="?","Not in Inventory",IF($F190="","Set stock unit in Inventory",IF(N($D190)&lt;=0,"Enter quantity",IF($E190="","Pick unit",IF(IFERROR(INDEX('Lists'!$C$6:$C$30,MATCH($E190,'Lists'!$B$6:$B$30,0)),"?")&lt;&gt;IFERROR(INDEX('Lists'!$C$6:$C$30,MATCH($F190,'Lists'!$B$6:$B$30,0)),"?"),"Unit mismatch",IF(ISNUMBER(INDEX('Inventory'!$G$7:$G$106,MATCH($C190,'Inventory'!$B$7:$B$106,0))),"OK","Add price in Inventory"))))))))))</f>
        <v/>
      </c>
      <c r="H190" s="87">
        <f>IF($G190&lt;&gt;"OK","",$D190*INDEX('Lists'!$D$6:$D$30,MATCH($E190,'Lists'!$B$6:$B$30,0))/INDEX('Lists'!$D$6:$D$30,MATCH($F190,'Lists'!$B$6:$B$30,0)))</f>
        <v/>
      </c>
      <c r="I190" s="87">
        <f>IF($G190&lt;&gt;"OK","",INDEX('Inventory'!$G$7:$G$106,MATCH($C190,'Inventory'!$B$7:$B$106,0)))</f>
        <v/>
      </c>
      <c r="J190" s="88">
        <f>IF($G190&lt;&gt;"OK","",$H190*$I190)</f>
        <v/>
      </c>
      <c r="K190" s="82">
        <f>IF($G190&lt;&gt;"OK","",SUMIFS('Sales Log'!$D$7:$D$3006,'Sales Log'!$C$7:$C$3006,$B190,'Sales Log'!$B$7:$B$3006,"&gt;="&amp;cfg_CountDate,'Sales Log'!$N$7:$N$3006,"OK"))</f>
        <v/>
      </c>
      <c r="L190" s="89">
        <f>IF($G190&lt;&gt;"OK","",$H190*$K190)</f>
        <v/>
      </c>
    </row>
    <row r="191" ht="17" customHeight="1">
      <c r="B191" s="60" t="n"/>
      <c r="C191" s="60" t="n"/>
      <c r="D191" s="86" t="n"/>
      <c r="E191" s="60" t="n"/>
      <c r="F191" s="13">
        <f>IF($C191="","",IFERROR(INDEX('Inventory'!$D$7:$D$106,MATCH($C191,'Inventory'!$B$7:$B$106,0))&amp;"","?"))</f>
        <v/>
      </c>
      <c r="G191" s="80">
        <f>IF(AND($B191="",$C191=""),"",IF($B191="","Pick menu item",IF(ISNA(MATCH($B191,'Menu Pricing'!$B$7:$B$56,0)),"Not on Menu Pricing",IF($C191="","Pick ingredient",IF($F191="?","Not in Inventory",IF($F191="","Set stock unit in Inventory",IF(N($D191)&lt;=0,"Enter quantity",IF($E191="","Pick unit",IF(IFERROR(INDEX('Lists'!$C$6:$C$30,MATCH($E191,'Lists'!$B$6:$B$30,0)),"?")&lt;&gt;IFERROR(INDEX('Lists'!$C$6:$C$30,MATCH($F191,'Lists'!$B$6:$B$30,0)),"?"),"Unit mismatch",IF(ISNUMBER(INDEX('Inventory'!$G$7:$G$106,MATCH($C191,'Inventory'!$B$7:$B$106,0))),"OK","Add price in Inventory"))))))))))</f>
        <v/>
      </c>
      <c r="H191" s="87">
        <f>IF($G191&lt;&gt;"OK","",$D191*INDEX('Lists'!$D$6:$D$30,MATCH($E191,'Lists'!$B$6:$B$30,0))/INDEX('Lists'!$D$6:$D$30,MATCH($F191,'Lists'!$B$6:$B$30,0)))</f>
        <v/>
      </c>
      <c r="I191" s="87">
        <f>IF($G191&lt;&gt;"OK","",INDEX('Inventory'!$G$7:$G$106,MATCH($C191,'Inventory'!$B$7:$B$106,0)))</f>
        <v/>
      </c>
      <c r="J191" s="88">
        <f>IF($G191&lt;&gt;"OK","",$H191*$I191)</f>
        <v/>
      </c>
      <c r="K191" s="82">
        <f>IF($G191&lt;&gt;"OK","",SUMIFS('Sales Log'!$D$7:$D$3006,'Sales Log'!$C$7:$C$3006,$B191,'Sales Log'!$B$7:$B$3006,"&gt;="&amp;cfg_CountDate,'Sales Log'!$N$7:$N$3006,"OK"))</f>
        <v/>
      </c>
      <c r="L191" s="89">
        <f>IF($G191&lt;&gt;"OK","",$H191*$K191)</f>
        <v/>
      </c>
    </row>
    <row r="192" ht="17" customHeight="1">
      <c r="B192" s="60" t="n"/>
      <c r="C192" s="60" t="n"/>
      <c r="D192" s="86" t="n"/>
      <c r="E192" s="60" t="n"/>
      <c r="F192" s="13">
        <f>IF($C192="","",IFERROR(INDEX('Inventory'!$D$7:$D$106,MATCH($C192,'Inventory'!$B$7:$B$106,0))&amp;"","?"))</f>
        <v/>
      </c>
      <c r="G192" s="80">
        <f>IF(AND($B192="",$C192=""),"",IF($B192="","Pick menu item",IF(ISNA(MATCH($B192,'Menu Pricing'!$B$7:$B$56,0)),"Not on Menu Pricing",IF($C192="","Pick ingredient",IF($F192="?","Not in Inventory",IF($F192="","Set stock unit in Inventory",IF(N($D192)&lt;=0,"Enter quantity",IF($E192="","Pick unit",IF(IFERROR(INDEX('Lists'!$C$6:$C$30,MATCH($E192,'Lists'!$B$6:$B$30,0)),"?")&lt;&gt;IFERROR(INDEX('Lists'!$C$6:$C$30,MATCH($F192,'Lists'!$B$6:$B$30,0)),"?"),"Unit mismatch",IF(ISNUMBER(INDEX('Inventory'!$G$7:$G$106,MATCH($C192,'Inventory'!$B$7:$B$106,0))),"OK","Add price in Inventory"))))))))))</f>
        <v/>
      </c>
      <c r="H192" s="87">
        <f>IF($G192&lt;&gt;"OK","",$D192*INDEX('Lists'!$D$6:$D$30,MATCH($E192,'Lists'!$B$6:$B$30,0))/INDEX('Lists'!$D$6:$D$30,MATCH($F192,'Lists'!$B$6:$B$30,0)))</f>
        <v/>
      </c>
      <c r="I192" s="87">
        <f>IF($G192&lt;&gt;"OK","",INDEX('Inventory'!$G$7:$G$106,MATCH($C192,'Inventory'!$B$7:$B$106,0)))</f>
        <v/>
      </c>
      <c r="J192" s="88">
        <f>IF($G192&lt;&gt;"OK","",$H192*$I192)</f>
        <v/>
      </c>
      <c r="K192" s="82">
        <f>IF($G192&lt;&gt;"OK","",SUMIFS('Sales Log'!$D$7:$D$3006,'Sales Log'!$C$7:$C$3006,$B192,'Sales Log'!$B$7:$B$3006,"&gt;="&amp;cfg_CountDate,'Sales Log'!$N$7:$N$3006,"OK"))</f>
        <v/>
      </c>
      <c r="L192" s="89">
        <f>IF($G192&lt;&gt;"OK","",$H192*$K192)</f>
        <v/>
      </c>
    </row>
    <row r="193" ht="17" customHeight="1">
      <c r="B193" s="60" t="n"/>
      <c r="C193" s="60" t="n"/>
      <c r="D193" s="86" t="n"/>
      <c r="E193" s="60" t="n"/>
      <c r="F193" s="13">
        <f>IF($C193="","",IFERROR(INDEX('Inventory'!$D$7:$D$106,MATCH($C193,'Inventory'!$B$7:$B$106,0))&amp;"","?"))</f>
        <v/>
      </c>
      <c r="G193" s="80">
        <f>IF(AND($B193="",$C193=""),"",IF($B193="","Pick menu item",IF(ISNA(MATCH($B193,'Menu Pricing'!$B$7:$B$56,0)),"Not on Menu Pricing",IF($C193="","Pick ingredient",IF($F193="?","Not in Inventory",IF($F193="","Set stock unit in Inventory",IF(N($D193)&lt;=0,"Enter quantity",IF($E193="","Pick unit",IF(IFERROR(INDEX('Lists'!$C$6:$C$30,MATCH($E193,'Lists'!$B$6:$B$30,0)),"?")&lt;&gt;IFERROR(INDEX('Lists'!$C$6:$C$30,MATCH($F193,'Lists'!$B$6:$B$30,0)),"?"),"Unit mismatch",IF(ISNUMBER(INDEX('Inventory'!$G$7:$G$106,MATCH($C193,'Inventory'!$B$7:$B$106,0))),"OK","Add price in Inventory"))))))))))</f>
        <v/>
      </c>
      <c r="H193" s="87">
        <f>IF($G193&lt;&gt;"OK","",$D193*INDEX('Lists'!$D$6:$D$30,MATCH($E193,'Lists'!$B$6:$B$30,0))/INDEX('Lists'!$D$6:$D$30,MATCH($F193,'Lists'!$B$6:$B$30,0)))</f>
        <v/>
      </c>
      <c r="I193" s="87">
        <f>IF($G193&lt;&gt;"OK","",INDEX('Inventory'!$G$7:$G$106,MATCH($C193,'Inventory'!$B$7:$B$106,0)))</f>
        <v/>
      </c>
      <c r="J193" s="88">
        <f>IF($G193&lt;&gt;"OK","",$H193*$I193)</f>
        <v/>
      </c>
      <c r="K193" s="82">
        <f>IF($G193&lt;&gt;"OK","",SUMIFS('Sales Log'!$D$7:$D$3006,'Sales Log'!$C$7:$C$3006,$B193,'Sales Log'!$B$7:$B$3006,"&gt;="&amp;cfg_CountDate,'Sales Log'!$N$7:$N$3006,"OK"))</f>
        <v/>
      </c>
      <c r="L193" s="89">
        <f>IF($G193&lt;&gt;"OK","",$H193*$K193)</f>
        <v/>
      </c>
    </row>
    <row r="194" ht="17" customHeight="1">
      <c r="B194" s="60" t="n"/>
      <c r="C194" s="60" t="n"/>
      <c r="D194" s="86" t="n"/>
      <c r="E194" s="60" t="n"/>
      <c r="F194" s="13">
        <f>IF($C194="","",IFERROR(INDEX('Inventory'!$D$7:$D$106,MATCH($C194,'Inventory'!$B$7:$B$106,0))&amp;"","?"))</f>
        <v/>
      </c>
      <c r="G194" s="80">
        <f>IF(AND($B194="",$C194=""),"",IF($B194="","Pick menu item",IF(ISNA(MATCH($B194,'Menu Pricing'!$B$7:$B$56,0)),"Not on Menu Pricing",IF($C194="","Pick ingredient",IF($F194="?","Not in Inventory",IF($F194="","Set stock unit in Inventory",IF(N($D194)&lt;=0,"Enter quantity",IF($E194="","Pick unit",IF(IFERROR(INDEX('Lists'!$C$6:$C$30,MATCH($E194,'Lists'!$B$6:$B$30,0)),"?")&lt;&gt;IFERROR(INDEX('Lists'!$C$6:$C$30,MATCH($F194,'Lists'!$B$6:$B$30,0)),"?"),"Unit mismatch",IF(ISNUMBER(INDEX('Inventory'!$G$7:$G$106,MATCH($C194,'Inventory'!$B$7:$B$106,0))),"OK","Add price in Inventory"))))))))))</f>
        <v/>
      </c>
      <c r="H194" s="87">
        <f>IF($G194&lt;&gt;"OK","",$D194*INDEX('Lists'!$D$6:$D$30,MATCH($E194,'Lists'!$B$6:$B$30,0))/INDEX('Lists'!$D$6:$D$30,MATCH($F194,'Lists'!$B$6:$B$30,0)))</f>
        <v/>
      </c>
      <c r="I194" s="87">
        <f>IF($G194&lt;&gt;"OK","",INDEX('Inventory'!$G$7:$G$106,MATCH($C194,'Inventory'!$B$7:$B$106,0)))</f>
        <v/>
      </c>
      <c r="J194" s="88">
        <f>IF($G194&lt;&gt;"OK","",$H194*$I194)</f>
        <v/>
      </c>
      <c r="K194" s="82">
        <f>IF($G194&lt;&gt;"OK","",SUMIFS('Sales Log'!$D$7:$D$3006,'Sales Log'!$C$7:$C$3006,$B194,'Sales Log'!$B$7:$B$3006,"&gt;="&amp;cfg_CountDate,'Sales Log'!$N$7:$N$3006,"OK"))</f>
        <v/>
      </c>
      <c r="L194" s="89">
        <f>IF($G194&lt;&gt;"OK","",$H194*$K194)</f>
        <v/>
      </c>
    </row>
    <row r="195" ht="17" customHeight="1">
      <c r="B195" s="60" t="n"/>
      <c r="C195" s="60" t="n"/>
      <c r="D195" s="86" t="n"/>
      <c r="E195" s="60" t="n"/>
      <c r="F195" s="13">
        <f>IF($C195="","",IFERROR(INDEX('Inventory'!$D$7:$D$106,MATCH($C195,'Inventory'!$B$7:$B$106,0))&amp;"","?"))</f>
        <v/>
      </c>
      <c r="G195" s="80">
        <f>IF(AND($B195="",$C195=""),"",IF($B195="","Pick menu item",IF(ISNA(MATCH($B195,'Menu Pricing'!$B$7:$B$56,0)),"Not on Menu Pricing",IF($C195="","Pick ingredient",IF($F195="?","Not in Inventory",IF($F195="","Set stock unit in Inventory",IF(N($D195)&lt;=0,"Enter quantity",IF($E195="","Pick unit",IF(IFERROR(INDEX('Lists'!$C$6:$C$30,MATCH($E195,'Lists'!$B$6:$B$30,0)),"?")&lt;&gt;IFERROR(INDEX('Lists'!$C$6:$C$30,MATCH($F195,'Lists'!$B$6:$B$30,0)),"?"),"Unit mismatch",IF(ISNUMBER(INDEX('Inventory'!$G$7:$G$106,MATCH($C195,'Inventory'!$B$7:$B$106,0))),"OK","Add price in Inventory"))))))))))</f>
        <v/>
      </c>
      <c r="H195" s="87">
        <f>IF($G195&lt;&gt;"OK","",$D195*INDEX('Lists'!$D$6:$D$30,MATCH($E195,'Lists'!$B$6:$B$30,0))/INDEX('Lists'!$D$6:$D$30,MATCH($F195,'Lists'!$B$6:$B$30,0)))</f>
        <v/>
      </c>
      <c r="I195" s="87">
        <f>IF($G195&lt;&gt;"OK","",INDEX('Inventory'!$G$7:$G$106,MATCH($C195,'Inventory'!$B$7:$B$106,0)))</f>
        <v/>
      </c>
      <c r="J195" s="88">
        <f>IF($G195&lt;&gt;"OK","",$H195*$I195)</f>
        <v/>
      </c>
      <c r="K195" s="82">
        <f>IF($G195&lt;&gt;"OK","",SUMIFS('Sales Log'!$D$7:$D$3006,'Sales Log'!$C$7:$C$3006,$B195,'Sales Log'!$B$7:$B$3006,"&gt;="&amp;cfg_CountDate,'Sales Log'!$N$7:$N$3006,"OK"))</f>
        <v/>
      </c>
      <c r="L195" s="89">
        <f>IF($G195&lt;&gt;"OK","",$H195*$K195)</f>
        <v/>
      </c>
    </row>
    <row r="196" ht="17" customHeight="1">
      <c r="B196" s="60" t="n"/>
      <c r="C196" s="60" t="n"/>
      <c r="D196" s="86" t="n"/>
      <c r="E196" s="60" t="n"/>
      <c r="F196" s="13">
        <f>IF($C196="","",IFERROR(INDEX('Inventory'!$D$7:$D$106,MATCH($C196,'Inventory'!$B$7:$B$106,0))&amp;"","?"))</f>
        <v/>
      </c>
      <c r="G196" s="80">
        <f>IF(AND($B196="",$C196=""),"",IF($B196="","Pick menu item",IF(ISNA(MATCH($B196,'Menu Pricing'!$B$7:$B$56,0)),"Not on Menu Pricing",IF($C196="","Pick ingredient",IF($F196="?","Not in Inventory",IF($F196="","Set stock unit in Inventory",IF(N($D196)&lt;=0,"Enter quantity",IF($E196="","Pick unit",IF(IFERROR(INDEX('Lists'!$C$6:$C$30,MATCH($E196,'Lists'!$B$6:$B$30,0)),"?")&lt;&gt;IFERROR(INDEX('Lists'!$C$6:$C$30,MATCH($F196,'Lists'!$B$6:$B$30,0)),"?"),"Unit mismatch",IF(ISNUMBER(INDEX('Inventory'!$G$7:$G$106,MATCH($C196,'Inventory'!$B$7:$B$106,0))),"OK","Add price in Inventory"))))))))))</f>
        <v/>
      </c>
      <c r="H196" s="87">
        <f>IF($G196&lt;&gt;"OK","",$D196*INDEX('Lists'!$D$6:$D$30,MATCH($E196,'Lists'!$B$6:$B$30,0))/INDEX('Lists'!$D$6:$D$30,MATCH($F196,'Lists'!$B$6:$B$30,0)))</f>
        <v/>
      </c>
      <c r="I196" s="87">
        <f>IF($G196&lt;&gt;"OK","",INDEX('Inventory'!$G$7:$G$106,MATCH($C196,'Inventory'!$B$7:$B$106,0)))</f>
        <v/>
      </c>
      <c r="J196" s="88">
        <f>IF($G196&lt;&gt;"OK","",$H196*$I196)</f>
        <v/>
      </c>
      <c r="K196" s="82">
        <f>IF($G196&lt;&gt;"OK","",SUMIFS('Sales Log'!$D$7:$D$3006,'Sales Log'!$C$7:$C$3006,$B196,'Sales Log'!$B$7:$B$3006,"&gt;="&amp;cfg_CountDate,'Sales Log'!$N$7:$N$3006,"OK"))</f>
        <v/>
      </c>
      <c r="L196" s="89">
        <f>IF($G196&lt;&gt;"OK","",$H196*$K196)</f>
        <v/>
      </c>
    </row>
    <row r="197" ht="17" customHeight="1">
      <c r="B197" s="60" t="n"/>
      <c r="C197" s="60" t="n"/>
      <c r="D197" s="86" t="n"/>
      <c r="E197" s="60" t="n"/>
      <c r="F197" s="13">
        <f>IF($C197="","",IFERROR(INDEX('Inventory'!$D$7:$D$106,MATCH($C197,'Inventory'!$B$7:$B$106,0))&amp;"","?"))</f>
        <v/>
      </c>
      <c r="G197" s="80">
        <f>IF(AND($B197="",$C197=""),"",IF($B197="","Pick menu item",IF(ISNA(MATCH($B197,'Menu Pricing'!$B$7:$B$56,0)),"Not on Menu Pricing",IF($C197="","Pick ingredient",IF($F197="?","Not in Inventory",IF($F197="","Set stock unit in Inventory",IF(N($D197)&lt;=0,"Enter quantity",IF($E197="","Pick unit",IF(IFERROR(INDEX('Lists'!$C$6:$C$30,MATCH($E197,'Lists'!$B$6:$B$30,0)),"?")&lt;&gt;IFERROR(INDEX('Lists'!$C$6:$C$30,MATCH($F197,'Lists'!$B$6:$B$30,0)),"?"),"Unit mismatch",IF(ISNUMBER(INDEX('Inventory'!$G$7:$G$106,MATCH($C197,'Inventory'!$B$7:$B$106,0))),"OK","Add price in Inventory"))))))))))</f>
        <v/>
      </c>
      <c r="H197" s="87">
        <f>IF($G197&lt;&gt;"OK","",$D197*INDEX('Lists'!$D$6:$D$30,MATCH($E197,'Lists'!$B$6:$B$30,0))/INDEX('Lists'!$D$6:$D$30,MATCH($F197,'Lists'!$B$6:$B$30,0)))</f>
        <v/>
      </c>
      <c r="I197" s="87">
        <f>IF($G197&lt;&gt;"OK","",INDEX('Inventory'!$G$7:$G$106,MATCH($C197,'Inventory'!$B$7:$B$106,0)))</f>
        <v/>
      </c>
      <c r="J197" s="88">
        <f>IF($G197&lt;&gt;"OK","",$H197*$I197)</f>
        <v/>
      </c>
      <c r="K197" s="82">
        <f>IF($G197&lt;&gt;"OK","",SUMIFS('Sales Log'!$D$7:$D$3006,'Sales Log'!$C$7:$C$3006,$B197,'Sales Log'!$B$7:$B$3006,"&gt;="&amp;cfg_CountDate,'Sales Log'!$N$7:$N$3006,"OK"))</f>
        <v/>
      </c>
      <c r="L197" s="89">
        <f>IF($G197&lt;&gt;"OK","",$H197*$K197)</f>
        <v/>
      </c>
    </row>
    <row r="198" ht="17" customHeight="1">
      <c r="B198" s="60" t="n"/>
      <c r="C198" s="60" t="n"/>
      <c r="D198" s="86" t="n"/>
      <c r="E198" s="60" t="n"/>
      <c r="F198" s="13">
        <f>IF($C198="","",IFERROR(INDEX('Inventory'!$D$7:$D$106,MATCH($C198,'Inventory'!$B$7:$B$106,0))&amp;"","?"))</f>
        <v/>
      </c>
      <c r="G198" s="80">
        <f>IF(AND($B198="",$C198=""),"",IF($B198="","Pick menu item",IF(ISNA(MATCH($B198,'Menu Pricing'!$B$7:$B$56,0)),"Not on Menu Pricing",IF($C198="","Pick ingredient",IF($F198="?","Not in Inventory",IF($F198="","Set stock unit in Inventory",IF(N($D198)&lt;=0,"Enter quantity",IF($E198="","Pick unit",IF(IFERROR(INDEX('Lists'!$C$6:$C$30,MATCH($E198,'Lists'!$B$6:$B$30,0)),"?")&lt;&gt;IFERROR(INDEX('Lists'!$C$6:$C$30,MATCH($F198,'Lists'!$B$6:$B$30,0)),"?"),"Unit mismatch",IF(ISNUMBER(INDEX('Inventory'!$G$7:$G$106,MATCH($C198,'Inventory'!$B$7:$B$106,0))),"OK","Add price in Inventory"))))))))))</f>
        <v/>
      </c>
      <c r="H198" s="87">
        <f>IF($G198&lt;&gt;"OK","",$D198*INDEX('Lists'!$D$6:$D$30,MATCH($E198,'Lists'!$B$6:$B$30,0))/INDEX('Lists'!$D$6:$D$30,MATCH($F198,'Lists'!$B$6:$B$30,0)))</f>
        <v/>
      </c>
      <c r="I198" s="87">
        <f>IF($G198&lt;&gt;"OK","",INDEX('Inventory'!$G$7:$G$106,MATCH($C198,'Inventory'!$B$7:$B$106,0)))</f>
        <v/>
      </c>
      <c r="J198" s="88">
        <f>IF($G198&lt;&gt;"OK","",$H198*$I198)</f>
        <v/>
      </c>
      <c r="K198" s="82">
        <f>IF($G198&lt;&gt;"OK","",SUMIFS('Sales Log'!$D$7:$D$3006,'Sales Log'!$C$7:$C$3006,$B198,'Sales Log'!$B$7:$B$3006,"&gt;="&amp;cfg_CountDate,'Sales Log'!$N$7:$N$3006,"OK"))</f>
        <v/>
      </c>
      <c r="L198" s="89">
        <f>IF($G198&lt;&gt;"OK","",$H198*$K198)</f>
        <v/>
      </c>
    </row>
    <row r="199" ht="17" customHeight="1">
      <c r="B199" s="60" t="n"/>
      <c r="C199" s="60" t="n"/>
      <c r="D199" s="86" t="n"/>
      <c r="E199" s="60" t="n"/>
      <c r="F199" s="13">
        <f>IF($C199="","",IFERROR(INDEX('Inventory'!$D$7:$D$106,MATCH($C199,'Inventory'!$B$7:$B$106,0))&amp;"","?"))</f>
        <v/>
      </c>
      <c r="G199" s="80">
        <f>IF(AND($B199="",$C199=""),"",IF($B199="","Pick menu item",IF(ISNA(MATCH($B199,'Menu Pricing'!$B$7:$B$56,0)),"Not on Menu Pricing",IF($C199="","Pick ingredient",IF($F199="?","Not in Inventory",IF($F199="","Set stock unit in Inventory",IF(N($D199)&lt;=0,"Enter quantity",IF($E199="","Pick unit",IF(IFERROR(INDEX('Lists'!$C$6:$C$30,MATCH($E199,'Lists'!$B$6:$B$30,0)),"?")&lt;&gt;IFERROR(INDEX('Lists'!$C$6:$C$30,MATCH($F199,'Lists'!$B$6:$B$30,0)),"?"),"Unit mismatch",IF(ISNUMBER(INDEX('Inventory'!$G$7:$G$106,MATCH($C199,'Inventory'!$B$7:$B$106,0))),"OK","Add price in Inventory"))))))))))</f>
        <v/>
      </c>
      <c r="H199" s="87">
        <f>IF($G199&lt;&gt;"OK","",$D199*INDEX('Lists'!$D$6:$D$30,MATCH($E199,'Lists'!$B$6:$B$30,0))/INDEX('Lists'!$D$6:$D$30,MATCH($F199,'Lists'!$B$6:$B$30,0)))</f>
        <v/>
      </c>
      <c r="I199" s="87">
        <f>IF($G199&lt;&gt;"OK","",INDEX('Inventory'!$G$7:$G$106,MATCH($C199,'Inventory'!$B$7:$B$106,0)))</f>
        <v/>
      </c>
      <c r="J199" s="88">
        <f>IF($G199&lt;&gt;"OK","",$H199*$I199)</f>
        <v/>
      </c>
      <c r="K199" s="82">
        <f>IF($G199&lt;&gt;"OK","",SUMIFS('Sales Log'!$D$7:$D$3006,'Sales Log'!$C$7:$C$3006,$B199,'Sales Log'!$B$7:$B$3006,"&gt;="&amp;cfg_CountDate,'Sales Log'!$N$7:$N$3006,"OK"))</f>
        <v/>
      </c>
      <c r="L199" s="89">
        <f>IF($G199&lt;&gt;"OK","",$H199*$K199)</f>
        <v/>
      </c>
    </row>
    <row r="200" ht="17" customHeight="1">
      <c r="B200" s="60" t="n"/>
      <c r="C200" s="60" t="n"/>
      <c r="D200" s="86" t="n"/>
      <c r="E200" s="60" t="n"/>
      <c r="F200" s="13">
        <f>IF($C200="","",IFERROR(INDEX('Inventory'!$D$7:$D$106,MATCH($C200,'Inventory'!$B$7:$B$106,0))&amp;"","?"))</f>
        <v/>
      </c>
      <c r="G200" s="80">
        <f>IF(AND($B200="",$C200=""),"",IF($B200="","Pick menu item",IF(ISNA(MATCH($B200,'Menu Pricing'!$B$7:$B$56,0)),"Not on Menu Pricing",IF($C200="","Pick ingredient",IF($F200="?","Not in Inventory",IF($F200="","Set stock unit in Inventory",IF(N($D200)&lt;=0,"Enter quantity",IF($E200="","Pick unit",IF(IFERROR(INDEX('Lists'!$C$6:$C$30,MATCH($E200,'Lists'!$B$6:$B$30,0)),"?")&lt;&gt;IFERROR(INDEX('Lists'!$C$6:$C$30,MATCH($F200,'Lists'!$B$6:$B$30,0)),"?"),"Unit mismatch",IF(ISNUMBER(INDEX('Inventory'!$G$7:$G$106,MATCH($C200,'Inventory'!$B$7:$B$106,0))),"OK","Add price in Inventory"))))))))))</f>
        <v/>
      </c>
      <c r="H200" s="87">
        <f>IF($G200&lt;&gt;"OK","",$D200*INDEX('Lists'!$D$6:$D$30,MATCH($E200,'Lists'!$B$6:$B$30,0))/INDEX('Lists'!$D$6:$D$30,MATCH($F200,'Lists'!$B$6:$B$30,0)))</f>
        <v/>
      </c>
      <c r="I200" s="87">
        <f>IF($G200&lt;&gt;"OK","",INDEX('Inventory'!$G$7:$G$106,MATCH($C200,'Inventory'!$B$7:$B$106,0)))</f>
        <v/>
      </c>
      <c r="J200" s="88">
        <f>IF($G200&lt;&gt;"OK","",$H200*$I200)</f>
        <v/>
      </c>
      <c r="K200" s="82">
        <f>IF($G200&lt;&gt;"OK","",SUMIFS('Sales Log'!$D$7:$D$3006,'Sales Log'!$C$7:$C$3006,$B200,'Sales Log'!$B$7:$B$3006,"&gt;="&amp;cfg_CountDate,'Sales Log'!$N$7:$N$3006,"OK"))</f>
        <v/>
      </c>
      <c r="L200" s="89">
        <f>IF($G200&lt;&gt;"OK","",$H200*$K200)</f>
        <v/>
      </c>
    </row>
    <row r="201" ht="17" customHeight="1">
      <c r="B201" s="60" t="n"/>
      <c r="C201" s="60" t="n"/>
      <c r="D201" s="86" t="n"/>
      <c r="E201" s="60" t="n"/>
      <c r="F201" s="13">
        <f>IF($C201="","",IFERROR(INDEX('Inventory'!$D$7:$D$106,MATCH($C201,'Inventory'!$B$7:$B$106,0))&amp;"","?"))</f>
        <v/>
      </c>
      <c r="G201" s="80">
        <f>IF(AND($B201="",$C201=""),"",IF($B201="","Pick menu item",IF(ISNA(MATCH($B201,'Menu Pricing'!$B$7:$B$56,0)),"Not on Menu Pricing",IF($C201="","Pick ingredient",IF($F201="?","Not in Inventory",IF($F201="","Set stock unit in Inventory",IF(N($D201)&lt;=0,"Enter quantity",IF($E201="","Pick unit",IF(IFERROR(INDEX('Lists'!$C$6:$C$30,MATCH($E201,'Lists'!$B$6:$B$30,0)),"?")&lt;&gt;IFERROR(INDEX('Lists'!$C$6:$C$30,MATCH($F201,'Lists'!$B$6:$B$30,0)),"?"),"Unit mismatch",IF(ISNUMBER(INDEX('Inventory'!$G$7:$G$106,MATCH($C201,'Inventory'!$B$7:$B$106,0))),"OK","Add price in Inventory"))))))))))</f>
        <v/>
      </c>
      <c r="H201" s="87">
        <f>IF($G201&lt;&gt;"OK","",$D201*INDEX('Lists'!$D$6:$D$30,MATCH($E201,'Lists'!$B$6:$B$30,0))/INDEX('Lists'!$D$6:$D$30,MATCH($F201,'Lists'!$B$6:$B$30,0)))</f>
        <v/>
      </c>
      <c r="I201" s="87">
        <f>IF($G201&lt;&gt;"OK","",INDEX('Inventory'!$G$7:$G$106,MATCH($C201,'Inventory'!$B$7:$B$106,0)))</f>
        <v/>
      </c>
      <c r="J201" s="88">
        <f>IF($G201&lt;&gt;"OK","",$H201*$I201)</f>
        <v/>
      </c>
      <c r="K201" s="82">
        <f>IF($G201&lt;&gt;"OK","",SUMIFS('Sales Log'!$D$7:$D$3006,'Sales Log'!$C$7:$C$3006,$B201,'Sales Log'!$B$7:$B$3006,"&gt;="&amp;cfg_CountDate,'Sales Log'!$N$7:$N$3006,"OK"))</f>
        <v/>
      </c>
      <c r="L201" s="89">
        <f>IF($G201&lt;&gt;"OK","",$H201*$K201)</f>
        <v/>
      </c>
    </row>
    <row r="202" ht="17" customHeight="1">
      <c r="B202" s="60" t="n"/>
      <c r="C202" s="60" t="n"/>
      <c r="D202" s="86" t="n"/>
      <c r="E202" s="60" t="n"/>
      <c r="F202" s="13">
        <f>IF($C202="","",IFERROR(INDEX('Inventory'!$D$7:$D$106,MATCH($C202,'Inventory'!$B$7:$B$106,0))&amp;"","?"))</f>
        <v/>
      </c>
      <c r="G202" s="80">
        <f>IF(AND($B202="",$C202=""),"",IF($B202="","Pick menu item",IF(ISNA(MATCH($B202,'Menu Pricing'!$B$7:$B$56,0)),"Not on Menu Pricing",IF($C202="","Pick ingredient",IF($F202="?","Not in Inventory",IF($F202="","Set stock unit in Inventory",IF(N($D202)&lt;=0,"Enter quantity",IF($E202="","Pick unit",IF(IFERROR(INDEX('Lists'!$C$6:$C$30,MATCH($E202,'Lists'!$B$6:$B$30,0)),"?")&lt;&gt;IFERROR(INDEX('Lists'!$C$6:$C$30,MATCH($F202,'Lists'!$B$6:$B$30,0)),"?"),"Unit mismatch",IF(ISNUMBER(INDEX('Inventory'!$G$7:$G$106,MATCH($C202,'Inventory'!$B$7:$B$106,0))),"OK","Add price in Inventory"))))))))))</f>
        <v/>
      </c>
      <c r="H202" s="87">
        <f>IF($G202&lt;&gt;"OK","",$D202*INDEX('Lists'!$D$6:$D$30,MATCH($E202,'Lists'!$B$6:$B$30,0))/INDEX('Lists'!$D$6:$D$30,MATCH($F202,'Lists'!$B$6:$B$30,0)))</f>
        <v/>
      </c>
      <c r="I202" s="87">
        <f>IF($G202&lt;&gt;"OK","",INDEX('Inventory'!$G$7:$G$106,MATCH($C202,'Inventory'!$B$7:$B$106,0)))</f>
        <v/>
      </c>
      <c r="J202" s="88">
        <f>IF($G202&lt;&gt;"OK","",$H202*$I202)</f>
        <v/>
      </c>
      <c r="K202" s="82">
        <f>IF($G202&lt;&gt;"OK","",SUMIFS('Sales Log'!$D$7:$D$3006,'Sales Log'!$C$7:$C$3006,$B202,'Sales Log'!$B$7:$B$3006,"&gt;="&amp;cfg_CountDate,'Sales Log'!$N$7:$N$3006,"OK"))</f>
        <v/>
      </c>
      <c r="L202" s="89">
        <f>IF($G202&lt;&gt;"OK","",$H202*$K202)</f>
        <v/>
      </c>
    </row>
    <row r="203" ht="17" customHeight="1">
      <c r="B203" s="60" t="n"/>
      <c r="C203" s="60" t="n"/>
      <c r="D203" s="86" t="n"/>
      <c r="E203" s="60" t="n"/>
      <c r="F203" s="13">
        <f>IF($C203="","",IFERROR(INDEX('Inventory'!$D$7:$D$106,MATCH($C203,'Inventory'!$B$7:$B$106,0))&amp;"","?"))</f>
        <v/>
      </c>
      <c r="G203" s="80">
        <f>IF(AND($B203="",$C203=""),"",IF($B203="","Pick menu item",IF(ISNA(MATCH($B203,'Menu Pricing'!$B$7:$B$56,0)),"Not on Menu Pricing",IF($C203="","Pick ingredient",IF($F203="?","Not in Inventory",IF($F203="","Set stock unit in Inventory",IF(N($D203)&lt;=0,"Enter quantity",IF($E203="","Pick unit",IF(IFERROR(INDEX('Lists'!$C$6:$C$30,MATCH($E203,'Lists'!$B$6:$B$30,0)),"?")&lt;&gt;IFERROR(INDEX('Lists'!$C$6:$C$30,MATCH($F203,'Lists'!$B$6:$B$30,0)),"?"),"Unit mismatch",IF(ISNUMBER(INDEX('Inventory'!$G$7:$G$106,MATCH($C203,'Inventory'!$B$7:$B$106,0))),"OK","Add price in Inventory"))))))))))</f>
        <v/>
      </c>
      <c r="H203" s="87">
        <f>IF($G203&lt;&gt;"OK","",$D203*INDEX('Lists'!$D$6:$D$30,MATCH($E203,'Lists'!$B$6:$B$30,0))/INDEX('Lists'!$D$6:$D$30,MATCH($F203,'Lists'!$B$6:$B$30,0)))</f>
        <v/>
      </c>
      <c r="I203" s="87">
        <f>IF($G203&lt;&gt;"OK","",INDEX('Inventory'!$G$7:$G$106,MATCH($C203,'Inventory'!$B$7:$B$106,0)))</f>
        <v/>
      </c>
      <c r="J203" s="88">
        <f>IF($G203&lt;&gt;"OK","",$H203*$I203)</f>
        <v/>
      </c>
      <c r="K203" s="82">
        <f>IF($G203&lt;&gt;"OK","",SUMIFS('Sales Log'!$D$7:$D$3006,'Sales Log'!$C$7:$C$3006,$B203,'Sales Log'!$B$7:$B$3006,"&gt;="&amp;cfg_CountDate,'Sales Log'!$N$7:$N$3006,"OK"))</f>
        <v/>
      </c>
      <c r="L203" s="89">
        <f>IF($G203&lt;&gt;"OK","",$H203*$K203)</f>
        <v/>
      </c>
    </row>
    <row r="204" ht="17" customHeight="1">
      <c r="B204" s="60" t="n"/>
      <c r="C204" s="60" t="n"/>
      <c r="D204" s="86" t="n"/>
      <c r="E204" s="60" t="n"/>
      <c r="F204" s="13">
        <f>IF($C204="","",IFERROR(INDEX('Inventory'!$D$7:$D$106,MATCH($C204,'Inventory'!$B$7:$B$106,0))&amp;"","?"))</f>
        <v/>
      </c>
      <c r="G204" s="80">
        <f>IF(AND($B204="",$C204=""),"",IF($B204="","Pick menu item",IF(ISNA(MATCH($B204,'Menu Pricing'!$B$7:$B$56,0)),"Not on Menu Pricing",IF($C204="","Pick ingredient",IF($F204="?","Not in Inventory",IF($F204="","Set stock unit in Inventory",IF(N($D204)&lt;=0,"Enter quantity",IF($E204="","Pick unit",IF(IFERROR(INDEX('Lists'!$C$6:$C$30,MATCH($E204,'Lists'!$B$6:$B$30,0)),"?")&lt;&gt;IFERROR(INDEX('Lists'!$C$6:$C$30,MATCH($F204,'Lists'!$B$6:$B$30,0)),"?"),"Unit mismatch",IF(ISNUMBER(INDEX('Inventory'!$G$7:$G$106,MATCH($C204,'Inventory'!$B$7:$B$106,0))),"OK","Add price in Inventory"))))))))))</f>
        <v/>
      </c>
      <c r="H204" s="87">
        <f>IF($G204&lt;&gt;"OK","",$D204*INDEX('Lists'!$D$6:$D$30,MATCH($E204,'Lists'!$B$6:$B$30,0))/INDEX('Lists'!$D$6:$D$30,MATCH($F204,'Lists'!$B$6:$B$30,0)))</f>
        <v/>
      </c>
      <c r="I204" s="87">
        <f>IF($G204&lt;&gt;"OK","",INDEX('Inventory'!$G$7:$G$106,MATCH($C204,'Inventory'!$B$7:$B$106,0)))</f>
        <v/>
      </c>
      <c r="J204" s="88">
        <f>IF($G204&lt;&gt;"OK","",$H204*$I204)</f>
        <v/>
      </c>
      <c r="K204" s="82">
        <f>IF($G204&lt;&gt;"OK","",SUMIFS('Sales Log'!$D$7:$D$3006,'Sales Log'!$C$7:$C$3006,$B204,'Sales Log'!$B$7:$B$3006,"&gt;="&amp;cfg_CountDate,'Sales Log'!$N$7:$N$3006,"OK"))</f>
        <v/>
      </c>
      <c r="L204" s="89">
        <f>IF($G204&lt;&gt;"OK","",$H204*$K204)</f>
        <v/>
      </c>
    </row>
    <row r="205" ht="17" customHeight="1">
      <c r="B205" s="60" t="n"/>
      <c r="C205" s="60" t="n"/>
      <c r="D205" s="86" t="n"/>
      <c r="E205" s="60" t="n"/>
      <c r="F205" s="13">
        <f>IF($C205="","",IFERROR(INDEX('Inventory'!$D$7:$D$106,MATCH($C205,'Inventory'!$B$7:$B$106,0))&amp;"","?"))</f>
        <v/>
      </c>
      <c r="G205" s="80">
        <f>IF(AND($B205="",$C205=""),"",IF($B205="","Pick menu item",IF(ISNA(MATCH($B205,'Menu Pricing'!$B$7:$B$56,0)),"Not on Menu Pricing",IF($C205="","Pick ingredient",IF($F205="?","Not in Inventory",IF($F205="","Set stock unit in Inventory",IF(N($D205)&lt;=0,"Enter quantity",IF($E205="","Pick unit",IF(IFERROR(INDEX('Lists'!$C$6:$C$30,MATCH($E205,'Lists'!$B$6:$B$30,0)),"?")&lt;&gt;IFERROR(INDEX('Lists'!$C$6:$C$30,MATCH($F205,'Lists'!$B$6:$B$30,0)),"?"),"Unit mismatch",IF(ISNUMBER(INDEX('Inventory'!$G$7:$G$106,MATCH($C205,'Inventory'!$B$7:$B$106,0))),"OK","Add price in Inventory"))))))))))</f>
        <v/>
      </c>
      <c r="H205" s="87">
        <f>IF($G205&lt;&gt;"OK","",$D205*INDEX('Lists'!$D$6:$D$30,MATCH($E205,'Lists'!$B$6:$B$30,0))/INDEX('Lists'!$D$6:$D$30,MATCH($F205,'Lists'!$B$6:$B$30,0)))</f>
        <v/>
      </c>
      <c r="I205" s="87">
        <f>IF($G205&lt;&gt;"OK","",INDEX('Inventory'!$G$7:$G$106,MATCH($C205,'Inventory'!$B$7:$B$106,0)))</f>
        <v/>
      </c>
      <c r="J205" s="88">
        <f>IF($G205&lt;&gt;"OK","",$H205*$I205)</f>
        <v/>
      </c>
      <c r="K205" s="82">
        <f>IF($G205&lt;&gt;"OK","",SUMIFS('Sales Log'!$D$7:$D$3006,'Sales Log'!$C$7:$C$3006,$B205,'Sales Log'!$B$7:$B$3006,"&gt;="&amp;cfg_CountDate,'Sales Log'!$N$7:$N$3006,"OK"))</f>
        <v/>
      </c>
      <c r="L205" s="89">
        <f>IF($G205&lt;&gt;"OK","",$H205*$K205)</f>
        <v/>
      </c>
    </row>
    <row r="206" ht="17" customHeight="1">
      <c r="B206" s="60" t="n"/>
      <c r="C206" s="60" t="n"/>
      <c r="D206" s="86" t="n"/>
      <c r="E206" s="60" t="n"/>
      <c r="F206" s="13">
        <f>IF($C206="","",IFERROR(INDEX('Inventory'!$D$7:$D$106,MATCH($C206,'Inventory'!$B$7:$B$106,0))&amp;"","?"))</f>
        <v/>
      </c>
      <c r="G206" s="80">
        <f>IF(AND($B206="",$C206=""),"",IF($B206="","Pick menu item",IF(ISNA(MATCH($B206,'Menu Pricing'!$B$7:$B$56,0)),"Not on Menu Pricing",IF($C206="","Pick ingredient",IF($F206="?","Not in Inventory",IF($F206="","Set stock unit in Inventory",IF(N($D206)&lt;=0,"Enter quantity",IF($E206="","Pick unit",IF(IFERROR(INDEX('Lists'!$C$6:$C$30,MATCH($E206,'Lists'!$B$6:$B$30,0)),"?")&lt;&gt;IFERROR(INDEX('Lists'!$C$6:$C$30,MATCH($F206,'Lists'!$B$6:$B$30,0)),"?"),"Unit mismatch",IF(ISNUMBER(INDEX('Inventory'!$G$7:$G$106,MATCH($C206,'Inventory'!$B$7:$B$106,0))),"OK","Add price in Inventory"))))))))))</f>
        <v/>
      </c>
      <c r="H206" s="87">
        <f>IF($G206&lt;&gt;"OK","",$D206*INDEX('Lists'!$D$6:$D$30,MATCH($E206,'Lists'!$B$6:$B$30,0))/INDEX('Lists'!$D$6:$D$30,MATCH($F206,'Lists'!$B$6:$B$30,0)))</f>
        <v/>
      </c>
      <c r="I206" s="87">
        <f>IF($G206&lt;&gt;"OK","",INDEX('Inventory'!$G$7:$G$106,MATCH($C206,'Inventory'!$B$7:$B$106,0)))</f>
        <v/>
      </c>
      <c r="J206" s="88">
        <f>IF($G206&lt;&gt;"OK","",$H206*$I206)</f>
        <v/>
      </c>
      <c r="K206" s="82">
        <f>IF($G206&lt;&gt;"OK","",SUMIFS('Sales Log'!$D$7:$D$3006,'Sales Log'!$C$7:$C$3006,$B206,'Sales Log'!$B$7:$B$3006,"&gt;="&amp;cfg_CountDate,'Sales Log'!$N$7:$N$3006,"OK"))</f>
        <v/>
      </c>
      <c r="L206" s="89">
        <f>IF($G206&lt;&gt;"OK","",$H206*$K206)</f>
        <v/>
      </c>
    </row>
    <row r="207" ht="17" customHeight="1">
      <c r="B207" s="60" t="n"/>
      <c r="C207" s="60" t="n"/>
      <c r="D207" s="86" t="n"/>
      <c r="E207" s="60" t="n"/>
      <c r="F207" s="13">
        <f>IF($C207="","",IFERROR(INDEX('Inventory'!$D$7:$D$106,MATCH($C207,'Inventory'!$B$7:$B$106,0))&amp;"","?"))</f>
        <v/>
      </c>
      <c r="G207" s="80">
        <f>IF(AND($B207="",$C207=""),"",IF($B207="","Pick menu item",IF(ISNA(MATCH($B207,'Menu Pricing'!$B$7:$B$56,0)),"Not on Menu Pricing",IF($C207="","Pick ingredient",IF($F207="?","Not in Inventory",IF($F207="","Set stock unit in Inventory",IF(N($D207)&lt;=0,"Enter quantity",IF($E207="","Pick unit",IF(IFERROR(INDEX('Lists'!$C$6:$C$30,MATCH($E207,'Lists'!$B$6:$B$30,0)),"?")&lt;&gt;IFERROR(INDEX('Lists'!$C$6:$C$30,MATCH($F207,'Lists'!$B$6:$B$30,0)),"?"),"Unit mismatch",IF(ISNUMBER(INDEX('Inventory'!$G$7:$G$106,MATCH($C207,'Inventory'!$B$7:$B$106,0))),"OK","Add price in Inventory"))))))))))</f>
        <v/>
      </c>
      <c r="H207" s="87">
        <f>IF($G207&lt;&gt;"OK","",$D207*INDEX('Lists'!$D$6:$D$30,MATCH($E207,'Lists'!$B$6:$B$30,0))/INDEX('Lists'!$D$6:$D$30,MATCH($F207,'Lists'!$B$6:$B$30,0)))</f>
        <v/>
      </c>
      <c r="I207" s="87">
        <f>IF($G207&lt;&gt;"OK","",INDEX('Inventory'!$G$7:$G$106,MATCH($C207,'Inventory'!$B$7:$B$106,0)))</f>
        <v/>
      </c>
      <c r="J207" s="88">
        <f>IF($G207&lt;&gt;"OK","",$H207*$I207)</f>
        <v/>
      </c>
      <c r="K207" s="82">
        <f>IF($G207&lt;&gt;"OK","",SUMIFS('Sales Log'!$D$7:$D$3006,'Sales Log'!$C$7:$C$3006,$B207,'Sales Log'!$B$7:$B$3006,"&gt;="&amp;cfg_CountDate,'Sales Log'!$N$7:$N$3006,"OK"))</f>
        <v/>
      </c>
      <c r="L207" s="89">
        <f>IF($G207&lt;&gt;"OK","",$H207*$K207)</f>
        <v/>
      </c>
    </row>
    <row r="208" ht="17" customHeight="1">
      <c r="B208" s="60" t="n"/>
      <c r="C208" s="60" t="n"/>
      <c r="D208" s="86" t="n"/>
      <c r="E208" s="60" t="n"/>
      <c r="F208" s="13">
        <f>IF($C208="","",IFERROR(INDEX('Inventory'!$D$7:$D$106,MATCH($C208,'Inventory'!$B$7:$B$106,0))&amp;"","?"))</f>
        <v/>
      </c>
      <c r="G208" s="80">
        <f>IF(AND($B208="",$C208=""),"",IF($B208="","Pick menu item",IF(ISNA(MATCH($B208,'Menu Pricing'!$B$7:$B$56,0)),"Not on Menu Pricing",IF($C208="","Pick ingredient",IF($F208="?","Not in Inventory",IF($F208="","Set stock unit in Inventory",IF(N($D208)&lt;=0,"Enter quantity",IF($E208="","Pick unit",IF(IFERROR(INDEX('Lists'!$C$6:$C$30,MATCH($E208,'Lists'!$B$6:$B$30,0)),"?")&lt;&gt;IFERROR(INDEX('Lists'!$C$6:$C$30,MATCH($F208,'Lists'!$B$6:$B$30,0)),"?"),"Unit mismatch",IF(ISNUMBER(INDEX('Inventory'!$G$7:$G$106,MATCH($C208,'Inventory'!$B$7:$B$106,0))),"OK","Add price in Inventory"))))))))))</f>
        <v/>
      </c>
      <c r="H208" s="87">
        <f>IF($G208&lt;&gt;"OK","",$D208*INDEX('Lists'!$D$6:$D$30,MATCH($E208,'Lists'!$B$6:$B$30,0))/INDEX('Lists'!$D$6:$D$30,MATCH($F208,'Lists'!$B$6:$B$30,0)))</f>
        <v/>
      </c>
      <c r="I208" s="87">
        <f>IF($G208&lt;&gt;"OK","",INDEX('Inventory'!$G$7:$G$106,MATCH($C208,'Inventory'!$B$7:$B$106,0)))</f>
        <v/>
      </c>
      <c r="J208" s="88">
        <f>IF($G208&lt;&gt;"OK","",$H208*$I208)</f>
        <v/>
      </c>
      <c r="K208" s="82">
        <f>IF($G208&lt;&gt;"OK","",SUMIFS('Sales Log'!$D$7:$D$3006,'Sales Log'!$C$7:$C$3006,$B208,'Sales Log'!$B$7:$B$3006,"&gt;="&amp;cfg_CountDate,'Sales Log'!$N$7:$N$3006,"OK"))</f>
        <v/>
      </c>
      <c r="L208" s="89">
        <f>IF($G208&lt;&gt;"OK","",$H208*$K208)</f>
        <v/>
      </c>
    </row>
    <row r="209" ht="17" customHeight="1">
      <c r="B209" s="60" t="n"/>
      <c r="C209" s="60" t="n"/>
      <c r="D209" s="86" t="n"/>
      <c r="E209" s="60" t="n"/>
      <c r="F209" s="13">
        <f>IF($C209="","",IFERROR(INDEX('Inventory'!$D$7:$D$106,MATCH($C209,'Inventory'!$B$7:$B$106,0))&amp;"","?"))</f>
        <v/>
      </c>
      <c r="G209" s="80">
        <f>IF(AND($B209="",$C209=""),"",IF($B209="","Pick menu item",IF(ISNA(MATCH($B209,'Menu Pricing'!$B$7:$B$56,0)),"Not on Menu Pricing",IF($C209="","Pick ingredient",IF($F209="?","Not in Inventory",IF($F209="","Set stock unit in Inventory",IF(N($D209)&lt;=0,"Enter quantity",IF($E209="","Pick unit",IF(IFERROR(INDEX('Lists'!$C$6:$C$30,MATCH($E209,'Lists'!$B$6:$B$30,0)),"?")&lt;&gt;IFERROR(INDEX('Lists'!$C$6:$C$30,MATCH($F209,'Lists'!$B$6:$B$30,0)),"?"),"Unit mismatch",IF(ISNUMBER(INDEX('Inventory'!$G$7:$G$106,MATCH($C209,'Inventory'!$B$7:$B$106,0))),"OK","Add price in Inventory"))))))))))</f>
        <v/>
      </c>
      <c r="H209" s="87">
        <f>IF($G209&lt;&gt;"OK","",$D209*INDEX('Lists'!$D$6:$D$30,MATCH($E209,'Lists'!$B$6:$B$30,0))/INDEX('Lists'!$D$6:$D$30,MATCH($F209,'Lists'!$B$6:$B$30,0)))</f>
        <v/>
      </c>
      <c r="I209" s="87">
        <f>IF($G209&lt;&gt;"OK","",INDEX('Inventory'!$G$7:$G$106,MATCH($C209,'Inventory'!$B$7:$B$106,0)))</f>
        <v/>
      </c>
      <c r="J209" s="88">
        <f>IF($G209&lt;&gt;"OK","",$H209*$I209)</f>
        <v/>
      </c>
      <c r="K209" s="82">
        <f>IF($G209&lt;&gt;"OK","",SUMIFS('Sales Log'!$D$7:$D$3006,'Sales Log'!$C$7:$C$3006,$B209,'Sales Log'!$B$7:$B$3006,"&gt;="&amp;cfg_CountDate,'Sales Log'!$N$7:$N$3006,"OK"))</f>
        <v/>
      </c>
      <c r="L209" s="89">
        <f>IF($G209&lt;&gt;"OK","",$H209*$K209)</f>
        <v/>
      </c>
    </row>
    <row r="210" ht="17" customHeight="1">
      <c r="B210" s="60" t="n"/>
      <c r="C210" s="60" t="n"/>
      <c r="D210" s="86" t="n"/>
      <c r="E210" s="60" t="n"/>
      <c r="F210" s="13">
        <f>IF($C210="","",IFERROR(INDEX('Inventory'!$D$7:$D$106,MATCH($C210,'Inventory'!$B$7:$B$106,0))&amp;"","?"))</f>
        <v/>
      </c>
      <c r="G210" s="80">
        <f>IF(AND($B210="",$C210=""),"",IF($B210="","Pick menu item",IF(ISNA(MATCH($B210,'Menu Pricing'!$B$7:$B$56,0)),"Not on Menu Pricing",IF($C210="","Pick ingredient",IF($F210="?","Not in Inventory",IF($F210="","Set stock unit in Inventory",IF(N($D210)&lt;=0,"Enter quantity",IF($E210="","Pick unit",IF(IFERROR(INDEX('Lists'!$C$6:$C$30,MATCH($E210,'Lists'!$B$6:$B$30,0)),"?")&lt;&gt;IFERROR(INDEX('Lists'!$C$6:$C$30,MATCH($F210,'Lists'!$B$6:$B$30,0)),"?"),"Unit mismatch",IF(ISNUMBER(INDEX('Inventory'!$G$7:$G$106,MATCH($C210,'Inventory'!$B$7:$B$106,0))),"OK","Add price in Inventory"))))))))))</f>
        <v/>
      </c>
      <c r="H210" s="87">
        <f>IF($G210&lt;&gt;"OK","",$D210*INDEX('Lists'!$D$6:$D$30,MATCH($E210,'Lists'!$B$6:$B$30,0))/INDEX('Lists'!$D$6:$D$30,MATCH($F210,'Lists'!$B$6:$B$30,0)))</f>
        <v/>
      </c>
      <c r="I210" s="87">
        <f>IF($G210&lt;&gt;"OK","",INDEX('Inventory'!$G$7:$G$106,MATCH($C210,'Inventory'!$B$7:$B$106,0)))</f>
        <v/>
      </c>
      <c r="J210" s="88">
        <f>IF($G210&lt;&gt;"OK","",$H210*$I210)</f>
        <v/>
      </c>
      <c r="K210" s="82">
        <f>IF($G210&lt;&gt;"OK","",SUMIFS('Sales Log'!$D$7:$D$3006,'Sales Log'!$C$7:$C$3006,$B210,'Sales Log'!$B$7:$B$3006,"&gt;="&amp;cfg_CountDate,'Sales Log'!$N$7:$N$3006,"OK"))</f>
        <v/>
      </c>
      <c r="L210" s="89">
        <f>IF($G210&lt;&gt;"OK","",$H210*$K210)</f>
        <v/>
      </c>
    </row>
    <row r="211" ht="17" customHeight="1">
      <c r="B211" s="60" t="n"/>
      <c r="C211" s="60" t="n"/>
      <c r="D211" s="86" t="n"/>
      <c r="E211" s="60" t="n"/>
      <c r="F211" s="13">
        <f>IF($C211="","",IFERROR(INDEX('Inventory'!$D$7:$D$106,MATCH($C211,'Inventory'!$B$7:$B$106,0))&amp;"","?"))</f>
        <v/>
      </c>
      <c r="G211" s="80">
        <f>IF(AND($B211="",$C211=""),"",IF($B211="","Pick menu item",IF(ISNA(MATCH($B211,'Menu Pricing'!$B$7:$B$56,0)),"Not on Menu Pricing",IF($C211="","Pick ingredient",IF($F211="?","Not in Inventory",IF($F211="","Set stock unit in Inventory",IF(N($D211)&lt;=0,"Enter quantity",IF($E211="","Pick unit",IF(IFERROR(INDEX('Lists'!$C$6:$C$30,MATCH($E211,'Lists'!$B$6:$B$30,0)),"?")&lt;&gt;IFERROR(INDEX('Lists'!$C$6:$C$30,MATCH($F211,'Lists'!$B$6:$B$30,0)),"?"),"Unit mismatch",IF(ISNUMBER(INDEX('Inventory'!$G$7:$G$106,MATCH($C211,'Inventory'!$B$7:$B$106,0))),"OK","Add price in Inventory"))))))))))</f>
        <v/>
      </c>
      <c r="H211" s="87">
        <f>IF($G211&lt;&gt;"OK","",$D211*INDEX('Lists'!$D$6:$D$30,MATCH($E211,'Lists'!$B$6:$B$30,0))/INDEX('Lists'!$D$6:$D$30,MATCH($F211,'Lists'!$B$6:$B$30,0)))</f>
        <v/>
      </c>
      <c r="I211" s="87">
        <f>IF($G211&lt;&gt;"OK","",INDEX('Inventory'!$G$7:$G$106,MATCH($C211,'Inventory'!$B$7:$B$106,0)))</f>
        <v/>
      </c>
      <c r="J211" s="88">
        <f>IF($G211&lt;&gt;"OK","",$H211*$I211)</f>
        <v/>
      </c>
      <c r="K211" s="82">
        <f>IF($G211&lt;&gt;"OK","",SUMIFS('Sales Log'!$D$7:$D$3006,'Sales Log'!$C$7:$C$3006,$B211,'Sales Log'!$B$7:$B$3006,"&gt;="&amp;cfg_CountDate,'Sales Log'!$N$7:$N$3006,"OK"))</f>
        <v/>
      </c>
      <c r="L211" s="89">
        <f>IF($G211&lt;&gt;"OK","",$H211*$K211)</f>
        <v/>
      </c>
    </row>
    <row r="212" ht="17" customHeight="1">
      <c r="B212" s="60" t="n"/>
      <c r="C212" s="60" t="n"/>
      <c r="D212" s="86" t="n"/>
      <c r="E212" s="60" t="n"/>
      <c r="F212" s="13">
        <f>IF($C212="","",IFERROR(INDEX('Inventory'!$D$7:$D$106,MATCH($C212,'Inventory'!$B$7:$B$106,0))&amp;"","?"))</f>
        <v/>
      </c>
      <c r="G212" s="80">
        <f>IF(AND($B212="",$C212=""),"",IF($B212="","Pick menu item",IF(ISNA(MATCH($B212,'Menu Pricing'!$B$7:$B$56,0)),"Not on Menu Pricing",IF($C212="","Pick ingredient",IF($F212="?","Not in Inventory",IF($F212="","Set stock unit in Inventory",IF(N($D212)&lt;=0,"Enter quantity",IF($E212="","Pick unit",IF(IFERROR(INDEX('Lists'!$C$6:$C$30,MATCH($E212,'Lists'!$B$6:$B$30,0)),"?")&lt;&gt;IFERROR(INDEX('Lists'!$C$6:$C$30,MATCH($F212,'Lists'!$B$6:$B$30,0)),"?"),"Unit mismatch",IF(ISNUMBER(INDEX('Inventory'!$G$7:$G$106,MATCH($C212,'Inventory'!$B$7:$B$106,0))),"OK","Add price in Inventory"))))))))))</f>
        <v/>
      </c>
      <c r="H212" s="87">
        <f>IF($G212&lt;&gt;"OK","",$D212*INDEX('Lists'!$D$6:$D$30,MATCH($E212,'Lists'!$B$6:$B$30,0))/INDEX('Lists'!$D$6:$D$30,MATCH($F212,'Lists'!$B$6:$B$30,0)))</f>
        <v/>
      </c>
      <c r="I212" s="87">
        <f>IF($G212&lt;&gt;"OK","",INDEX('Inventory'!$G$7:$G$106,MATCH($C212,'Inventory'!$B$7:$B$106,0)))</f>
        <v/>
      </c>
      <c r="J212" s="88">
        <f>IF($G212&lt;&gt;"OK","",$H212*$I212)</f>
        <v/>
      </c>
      <c r="K212" s="82">
        <f>IF($G212&lt;&gt;"OK","",SUMIFS('Sales Log'!$D$7:$D$3006,'Sales Log'!$C$7:$C$3006,$B212,'Sales Log'!$B$7:$B$3006,"&gt;="&amp;cfg_CountDate,'Sales Log'!$N$7:$N$3006,"OK"))</f>
        <v/>
      </c>
      <c r="L212" s="89">
        <f>IF($G212&lt;&gt;"OK","",$H212*$K212)</f>
        <v/>
      </c>
    </row>
    <row r="213" ht="17" customHeight="1">
      <c r="B213" s="60" t="n"/>
      <c r="C213" s="60" t="n"/>
      <c r="D213" s="86" t="n"/>
      <c r="E213" s="60" t="n"/>
      <c r="F213" s="13">
        <f>IF($C213="","",IFERROR(INDEX('Inventory'!$D$7:$D$106,MATCH($C213,'Inventory'!$B$7:$B$106,0))&amp;"","?"))</f>
        <v/>
      </c>
      <c r="G213" s="80">
        <f>IF(AND($B213="",$C213=""),"",IF($B213="","Pick menu item",IF(ISNA(MATCH($B213,'Menu Pricing'!$B$7:$B$56,0)),"Not on Menu Pricing",IF($C213="","Pick ingredient",IF($F213="?","Not in Inventory",IF($F213="","Set stock unit in Inventory",IF(N($D213)&lt;=0,"Enter quantity",IF($E213="","Pick unit",IF(IFERROR(INDEX('Lists'!$C$6:$C$30,MATCH($E213,'Lists'!$B$6:$B$30,0)),"?")&lt;&gt;IFERROR(INDEX('Lists'!$C$6:$C$30,MATCH($F213,'Lists'!$B$6:$B$30,0)),"?"),"Unit mismatch",IF(ISNUMBER(INDEX('Inventory'!$G$7:$G$106,MATCH($C213,'Inventory'!$B$7:$B$106,0))),"OK","Add price in Inventory"))))))))))</f>
        <v/>
      </c>
      <c r="H213" s="87">
        <f>IF($G213&lt;&gt;"OK","",$D213*INDEX('Lists'!$D$6:$D$30,MATCH($E213,'Lists'!$B$6:$B$30,0))/INDEX('Lists'!$D$6:$D$30,MATCH($F213,'Lists'!$B$6:$B$30,0)))</f>
        <v/>
      </c>
      <c r="I213" s="87">
        <f>IF($G213&lt;&gt;"OK","",INDEX('Inventory'!$G$7:$G$106,MATCH($C213,'Inventory'!$B$7:$B$106,0)))</f>
        <v/>
      </c>
      <c r="J213" s="88">
        <f>IF($G213&lt;&gt;"OK","",$H213*$I213)</f>
        <v/>
      </c>
      <c r="K213" s="82">
        <f>IF($G213&lt;&gt;"OK","",SUMIFS('Sales Log'!$D$7:$D$3006,'Sales Log'!$C$7:$C$3006,$B213,'Sales Log'!$B$7:$B$3006,"&gt;="&amp;cfg_CountDate,'Sales Log'!$N$7:$N$3006,"OK"))</f>
        <v/>
      </c>
      <c r="L213" s="89">
        <f>IF($G213&lt;&gt;"OK","",$H213*$K213)</f>
        <v/>
      </c>
    </row>
    <row r="214" ht="17" customHeight="1">
      <c r="B214" s="60" t="n"/>
      <c r="C214" s="60" t="n"/>
      <c r="D214" s="86" t="n"/>
      <c r="E214" s="60" t="n"/>
      <c r="F214" s="13">
        <f>IF($C214="","",IFERROR(INDEX('Inventory'!$D$7:$D$106,MATCH($C214,'Inventory'!$B$7:$B$106,0))&amp;"","?"))</f>
        <v/>
      </c>
      <c r="G214" s="80">
        <f>IF(AND($B214="",$C214=""),"",IF($B214="","Pick menu item",IF(ISNA(MATCH($B214,'Menu Pricing'!$B$7:$B$56,0)),"Not on Menu Pricing",IF($C214="","Pick ingredient",IF($F214="?","Not in Inventory",IF($F214="","Set stock unit in Inventory",IF(N($D214)&lt;=0,"Enter quantity",IF($E214="","Pick unit",IF(IFERROR(INDEX('Lists'!$C$6:$C$30,MATCH($E214,'Lists'!$B$6:$B$30,0)),"?")&lt;&gt;IFERROR(INDEX('Lists'!$C$6:$C$30,MATCH($F214,'Lists'!$B$6:$B$30,0)),"?"),"Unit mismatch",IF(ISNUMBER(INDEX('Inventory'!$G$7:$G$106,MATCH($C214,'Inventory'!$B$7:$B$106,0))),"OK","Add price in Inventory"))))))))))</f>
        <v/>
      </c>
      <c r="H214" s="87">
        <f>IF($G214&lt;&gt;"OK","",$D214*INDEX('Lists'!$D$6:$D$30,MATCH($E214,'Lists'!$B$6:$B$30,0))/INDEX('Lists'!$D$6:$D$30,MATCH($F214,'Lists'!$B$6:$B$30,0)))</f>
        <v/>
      </c>
      <c r="I214" s="87">
        <f>IF($G214&lt;&gt;"OK","",INDEX('Inventory'!$G$7:$G$106,MATCH($C214,'Inventory'!$B$7:$B$106,0)))</f>
        <v/>
      </c>
      <c r="J214" s="88">
        <f>IF($G214&lt;&gt;"OK","",$H214*$I214)</f>
        <v/>
      </c>
      <c r="K214" s="82">
        <f>IF($G214&lt;&gt;"OK","",SUMIFS('Sales Log'!$D$7:$D$3006,'Sales Log'!$C$7:$C$3006,$B214,'Sales Log'!$B$7:$B$3006,"&gt;="&amp;cfg_CountDate,'Sales Log'!$N$7:$N$3006,"OK"))</f>
        <v/>
      </c>
      <c r="L214" s="89">
        <f>IF($G214&lt;&gt;"OK","",$H214*$K214)</f>
        <v/>
      </c>
    </row>
    <row r="215" ht="17" customHeight="1">
      <c r="B215" s="60" t="n"/>
      <c r="C215" s="60" t="n"/>
      <c r="D215" s="86" t="n"/>
      <c r="E215" s="60" t="n"/>
      <c r="F215" s="13">
        <f>IF($C215="","",IFERROR(INDEX('Inventory'!$D$7:$D$106,MATCH($C215,'Inventory'!$B$7:$B$106,0))&amp;"","?"))</f>
        <v/>
      </c>
      <c r="G215" s="80">
        <f>IF(AND($B215="",$C215=""),"",IF($B215="","Pick menu item",IF(ISNA(MATCH($B215,'Menu Pricing'!$B$7:$B$56,0)),"Not on Menu Pricing",IF($C215="","Pick ingredient",IF($F215="?","Not in Inventory",IF($F215="","Set stock unit in Inventory",IF(N($D215)&lt;=0,"Enter quantity",IF($E215="","Pick unit",IF(IFERROR(INDEX('Lists'!$C$6:$C$30,MATCH($E215,'Lists'!$B$6:$B$30,0)),"?")&lt;&gt;IFERROR(INDEX('Lists'!$C$6:$C$30,MATCH($F215,'Lists'!$B$6:$B$30,0)),"?"),"Unit mismatch",IF(ISNUMBER(INDEX('Inventory'!$G$7:$G$106,MATCH($C215,'Inventory'!$B$7:$B$106,0))),"OK","Add price in Inventory"))))))))))</f>
        <v/>
      </c>
      <c r="H215" s="87">
        <f>IF($G215&lt;&gt;"OK","",$D215*INDEX('Lists'!$D$6:$D$30,MATCH($E215,'Lists'!$B$6:$B$30,0))/INDEX('Lists'!$D$6:$D$30,MATCH($F215,'Lists'!$B$6:$B$30,0)))</f>
        <v/>
      </c>
      <c r="I215" s="87">
        <f>IF($G215&lt;&gt;"OK","",INDEX('Inventory'!$G$7:$G$106,MATCH($C215,'Inventory'!$B$7:$B$106,0)))</f>
        <v/>
      </c>
      <c r="J215" s="88">
        <f>IF($G215&lt;&gt;"OK","",$H215*$I215)</f>
        <v/>
      </c>
      <c r="K215" s="82">
        <f>IF($G215&lt;&gt;"OK","",SUMIFS('Sales Log'!$D$7:$D$3006,'Sales Log'!$C$7:$C$3006,$B215,'Sales Log'!$B$7:$B$3006,"&gt;="&amp;cfg_CountDate,'Sales Log'!$N$7:$N$3006,"OK"))</f>
        <v/>
      </c>
      <c r="L215" s="89">
        <f>IF($G215&lt;&gt;"OK","",$H215*$K215)</f>
        <v/>
      </c>
    </row>
    <row r="216" ht="17" customHeight="1">
      <c r="B216" s="60" t="n"/>
      <c r="C216" s="60" t="n"/>
      <c r="D216" s="86" t="n"/>
      <c r="E216" s="60" t="n"/>
      <c r="F216" s="13">
        <f>IF($C216="","",IFERROR(INDEX('Inventory'!$D$7:$D$106,MATCH($C216,'Inventory'!$B$7:$B$106,0))&amp;"","?"))</f>
        <v/>
      </c>
      <c r="G216" s="80">
        <f>IF(AND($B216="",$C216=""),"",IF($B216="","Pick menu item",IF(ISNA(MATCH($B216,'Menu Pricing'!$B$7:$B$56,0)),"Not on Menu Pricing",IF($C216="","Pick ingredient",IF($F216="?","Not in Inventory",IF($F216="","Set stock unit in Inventory",IF(N($D216)&lt;=0,"Enter quantity",IF($E216="","Pick unit",IF(IFERROR(INDEX('Lists'!$C$6:$C$30,MATCH($E216,'Lists'!$B$6:$B$30,0)),"?")&lt;&gt;IFERROR(INDEX('Lists'!$C$6:$C$30,MATCH($F216,'Lists'!$B$6:$B$30,0)),"?"),"Unit mismatch",IF(ISNUMBER(INDEX('Inventory'!$G$7:$G$106,MATCH($C216,'Inventory'!$B$7:$B$106,0))),"OK","Add price in Inventory"))))))))))</f>
        <v/>
      </c>
      <c r="H216" s="87">
        <f>IF($G216&lt;&gt;"OK","",$D216*INDEX('Lists'!$D$6:$D$30,MATCH($E216,'Lists'!$B$6:$B$30,0))/INDEX('Lists'!$D$6:$D$30,MATCH($F216,'Lists'!$B$6:$B$30,0)))</f>
        <v/>
      </c>
      <c r="I216" s="87">
        <f>IF($G216&lt;&gt;"OK","",INDEX('Inventory'!$G$7:$G$106,MATCH($C216,'Inventory'!$B$7:$B$106,0)))</f>
        <v/>
      </c>
      <c r="J216" s="88">
        <f>IF($G216&lt;&gt;"OK","",$H216*$I216)</f>
        <v/>
      </c>
      <c r="K216" s="82">
        <f>IF($G216&lt;&gt;"OK","",SUMIFS('Sales Log'!$D$7:$D$3006,'Sales Log'!$C$7:$C$3006,$B216,'Sales Log'!$B$7:$B$3006,"&gt;="&amp;cfg_CountDate,'Sales Log'!$N$7:$N$3006,"OK"))</f>
        <v/>
      </c>
      <c r="L216" s="89">
        <f>IF($G216&lt;&gt;"OK","",$H216*$K216)</f>
        <v/>
      </c>
    </row>
    <row r="217" ht="17" customHeight="1">
      <c r="B217" s="60" t="n"/>
      <c r="C217" s="60" t="n"/>
      <c r="D217" s="86" t="n"/>
      <c r="E217" s="60" t="n"/>
      <c r="F217" s="13">
        <f>IF($C217="","",IFERROR(INDEX('Inventory'!$D$7:$D$106,MATCH($C217,'Inventory'!$B$7:$B$106,0))&amp;"","?"))</f>
        <v/>
      </c>
      <c r="G217" s="80">
        <f>IF(AND($B217="",$C217=""),"",IF($B217="","Pick menu item",IF(ISNA(MATCH($B217,'Menu Pricing'!$B$7:$B$56,0)),"Not on Menu Pricing",IF($C217="","Pick ingredient",IF($F217="?","Not in Inventory",IF($F217="","Set stock unit in Inventory",IF(N($D217)&lt;=0,"Enter quantity",IF($E217="","Pick unit",IF(IFERROR(INDEX('Lists'!$C$6:$C$30,MATCH($E217,'Lists'!$B$6:$B$30,0)),"?")&lt;&gt;IFERROR(INDEX('Lists'!$C$6:$C$30,MATCH($F217,'Lists'!$B$6:$B$30,0)),"?"),"Unit mismatch",IF(ISNUMBER(INDEX('Inventory'!$G$7:$G$106,MATCH($C217,'Inventory'!$B$7:$B$106,0))),"OK","Add price in Inventory"))))))))))</f>
        <v/>
      </c>
      <c r="H217" s="87">
        <f>IF($G217&lt;&gt;"OK","",$D217*INDEX('Lists'!$D$6:$D$30,MATCH($E217,'Lists'!$B$6:$B$30,0))/INDEX('Lists'!$D$6:$D$30,MATCH($F217,'Lists'!$B$6:$B$30,0)))</f>
        <v/>
      </c>
      <c r="I217" s="87">
        <f>IF($G217&lt;&gt;"OK","",INDEX('Inventory'!$G$7:$G$106,MATCH($C217,'Inventory'!$B$7:$B$106,0)))</f>
        <v/>
      </c>
      <c r="J217" s="88">
        <f>IF($G217&lt;&gt;"OK","",$H217*$I217)</f>
        <v/>
      </c>
      <c r="K217" s="82">
        <f>IF($G217&lt;&gt;"OK","",SUMIFS('Sales Log'!$D$7:$D$3006,'Sales Log'!$C$7:$C$3006,$B217,'Sales Log'!$B$7:$B$3006,"&gt;="&amp;cfg_CountDate,'Sales Log'!$N$7:$N$3006,"OK"))</f>
        <v/>
      </c>
      <c r="L217" s="89">
        <f>IF($G217&lt;&gt;"OK","",$H217*$K217)</f>
        <v/>
      </c>
    </row>
    <row r="218" ht="17" customHeight="1">
      <c r="B218" s="60" t="n"/>
      <c r="C218" s="60" t="n"/>
      <c r="D218" s="86" t="n"/>
      <c r="E218" s="60" t="n"/>
      <c r="F218" s="13">
        <f>IF($C218="","",IFERROR(INDEX('Inventory'!$D$7:$D$106,MATCH($C218,'Inventory'!$B$7:$B$106,0))&amp;"","?"))</f>
        <v/>
      </c>
      <c r="G218" s="80">
        <f>IF(AND($B218="",$C218=""),"",IF($B218="","Pick menu item",IF(ISNA(MATCH($B218,'Menu Pricing'!$B$7:$B$56,0)),"Not on Menu Pricing",IF($C218="","Pick ingredient",IF($F218="?","Not in Inventory",IF($F218="","Set stock unit in Inventory",IF(N($D218)&lt;=0,"Enter quantity",IF($E218="","Pick unit",IF(IFERROR(INDEX('Lists'!$C$6:$C$30,MATCH($E218,'Lists'!$B$6:$B$30,0)),"?")&lt;&gt;IFERROR(INDEX('Lists'!$C$6:$C$30,MATCH($F218,'Lists'!$B$6:$B$30,0)),"?"),"Unit mismatch",IF(ISNUMBER(INDEX('Inventory'!$G$7:$G$106,MATCH($C218,'Inventory'!$B$7:$B$106,0))),"OK","Add price in Inventory"))))))))))</f>
        <v/>
      </c>
      <c r="H218" s="87">
        <f>IF($G218&lt;&gt;"OK","",$D218*INDEX('Lists'!$D$6:$D$30,MATCH($E218,'Lists'!$B$6:$B$30,0))/INDEX('Lists'!$D$6:$D$30,MATCH($F218,'Lists'!$B$6:$B$30,0)))</f>
        <v/>
      </c>
      <c r="I218" s="87">
        <f>IF($G218&lt;&gt;"OK","",INDEX('Inventory'!$G$7:$G$106,MATCH($C218,'Inventory'!$B$7:$B$106,0)))</f>
        <v/>
      </c>
      <c r="J218" s="88">
        <f>IF($G218&lt;&gt;"OK","",$H218*$I218)</f>
        <v/>
      </c>
      <c r="K218" s="82">
        <f>IF($G218&lt;&gt;"OK","",SUMIFS('Sales Log'!$D$7:$D$3006,'Sales Log'!$C$7:$C$3006,$B218,'Sales Log'!$B$7:$B$3006,"&gt;="&amp;cfg_CountDate,'Sales Log'!$N$7:$N$3006,"OK"))</f>
        <v/>
      </c>
      <c r="L218" s="89">
        <f>IF($G218&lt;&gt;"OK","",$H218*$K218)</f>
        <v/>
      </c>
    </row>
    <row r="219" ht="17" customHeight="1">
      <c r="B219" s="60" t="n"/>
      <c r="C219" s="60" t="n"/>
      <c r="D219" s="86" t="n"/>
      <c r="E219" s="60" t="n"/>
      <c r="F219" s="13">
        <f>IF($C219="","",IFERROR(INDEX('Inventory'!$D$7:$D$106,MATCH($C219,'Inventory'!$B$7:$B$106,0))&amp;"","?"))</f>
        <v/>
      </c>
      <c r="G219" s="80">
        <f>IF(AND($B219="",$C219=""),"",IF($B219="","Pick menu item",IF(ISNA(MATCH($B219,'Menu Pricing'!$B$7:$B$56,0)),"Not on Menu Pricing",IF($C219="","Pick ingredient",IF($F219="?","Not in Inventory",IF($F219="","Set stock unit in Inventory",IF(N($D219)&lt;=0,"Enter quantity",IF($E219="","Pick unit",IF(IFERROR(INDEX('Lists'!$C$6:$C$30,MATCH($E219,'Lists'!$B$6:$B$30,0)),"?")&lt;&gt;IFERROR(INDEX('Lists'!$C$6:$C$30,MATCH($F219,'Lists'!$B$6:$B$30,0)),"?"),"Unit mismatch",IF(ISNUMBER(INDEX('Inventory'!$G$7:$G$106,MATCH($C219,'Inventory'!$B$7:$B$106,0))),"OK","Add price in Inventory"))))))))))</f>
        <v/>
      </c>
      <c r="H219" s="87">
        <f>IF($G219&lt;&gt;"OK","",$D219*INDEX('Lists'!$D$6:$D$30,MATCH($E219,'Lists'!$B$6:$B$30,0))/INDEX('Lists'!$D$6:$D$30,MATCH($F219,'Lists'!$B$6:$B$30,0)))</f>
        <v/>
      </c>
      <c r="I219" s="87">
        <f>IF($G219&lt;&gt;"OK","",INDEX('Inventory'!$G$7:$G$106,MATCH($C219,'Inventory'!$B$7:$B$106,0)))</f>
        <v/>
      </c>
      <c r="J219" s="88">
        <f>IF($G219&lt;&gt;"OK","",$H219*$I219)</f>
        <v/>
      </c>
      <c r="K219" s="82">
        <f>IF($G219&lt;&gt;"OK","",SUMIFS('Sales Log'!$D$7:$D$3006,'Sales Log'!$C$7:$C$3006,$B219,'Sales Log'!$B$7:$B$3006,"&gt;="&amp;cfg_CountDate,'Sales Log'!$N$7:$N$3006,"OK"))</f>
        <v/>
      </c>
      <c r="L219" s="89">
        <f>IF($G219&lt;&gt;"OK","",$H219*$K219)</f>
        <v/>
      </c>
    </row>
    <row r="220" ht="17" customHeight="1">
      <c r="B220" s="60" t="n"/>
      <c r="C220" s="60" t="n"/>
      <c r="D220" s="86" t="n"/>
      <c r="E220" s="60" t="n"/>
      <c r="F220" s="13">
        <f>IF($C220="","",IFERROR(INDEX('Inventory'!$D$7:$D$106,MATCH($C220,'Inventory'!$B$7:$B$106,0))&amp;"","?"))</f>
        <v/>
      </c>
      <c r="G220" s="80">
        <f>IF(AND($B220="",$C220=""),"",IF($B220="","Pick menu item",IF(ISNA(MATCH($B220,'Menu Pricing'!$B$7:$B$56,0)),"Not on Menu Pricing",IF($C220="","Pick ingredient",IF($F220="?","Not in Inventory",IF($F220="","Set stock unit in Inventory",IF(N($D220)&lt;=0,"Enter quantity",IF($E220="","Pick unit",IF(IFERROR(INDEX('Lists'!$C$6:$C$30,MATCH($E220,'Lists'!$B$6:$B$30,0)),"?")&lt;&gt;IFERROR(INDEX('Lists'!$C$6:$C$30,MATCH($F220,'Lists'!$B$6:$B$30,0)),"?"),"Unit mismatch",IF(ISNUMBER(INDEX('Inventory'!$G$7:$G$106,MATCH($C220,'Inventory'!$B$7:$B$106,0))),"OK","Add price in Inventory"))))))))))</f>
        <v/>
      </c>
      <c r="H220" s="87">
        <f>IF($G220&lt;&gt;"OK","",$D220*INDEX('Lists'!$D$6:$D$30,MATCH($E220,'Lists'!$B$6:$B$30,0))/INDEX('Lists'!$D$6:$D$30,MATCH($F220,'Lists'!$B$6:$B$30,0)))</f>
        <v/>
      </c>
      <c r="I220" s="87">
        <f>IF($G220&lt;&gt;"OK","",INDEX('Inventory'!$G$7:$G$106,MATCH($C220,'Inventory'!$B$7:$B$106,0)))</f>
        <v/>
      </c>
      <c r="J220" s="88">
        <f>IF($G220&lt;&gt;"OK","",$H220*$I220)</f>
        <v/>
      </c>
      <c r="K220" s="82">
        <f>IF($G220&lt;&gt;"OK","",SUMIFS('Sales Log'!$D$7:$D$3006,'Sales Log'!$C$7:$C$3006,$B220,'Sales Log'!$B$7:$B$3006,"&gt;="&amp;cfg_CountDate,'Sales Log'!$N$7:$N$3006,"OK"))</f>
        <v/>
      </c>
      <c r="L220" s="89">
        <f>IF($G220&lt;&gt;"OK","",$H220*$K220)</f>
        <v/>
      </c>
    </row>
    <row r="221" ht="17" customHeight="1">
      <c r="B221" s="60" t="n"/>
      <c r="C221" s="60" t="n"/>
      <c r="D221" s="86" t="n"/>
      <c r="E221" s="60" t="n"/>
      <c r="F221" s="13">
        <f>IF($C221="","",IFERROR(INDEX('Inventory'!$D$7:$D$106,MATCH($C221,'Inventory'!$B$7:$B$106,0))&amp;"","?"))</f>
        <v/>
      </c>
      <c r="G221" s="80">
        <f>IF(AND($B221="",$C221=""),"",IF($B221="","Pick menu item",IF(ISNA(MATCH($B221,'Menu Pricing'!$B$7:$B$56,0)),"Not on Menu Pricing",IF($C221="","Pick ingredient",IF($F221="?","Not in Inventory",IF($F221="","Set stock unit in Inventory",IF(N($D221)&lt;=0,"Enter quantity",IF($E221="","Pick unit",IF(IFERROR(INDEX('Lists'!$C$6:$C$30,MATCH($E221,'Lists'!$B$6:$B$30,0)),"?")&lt;&gt;IFERROR(INDEX('Lists'!$C$6:$C$30,MATCH($F221,'Lists'!$B$6:$B$30,0)),"?"),"Unit mismatch",IF(ISNUMBER(INDEX('Inventory'!$G$7:$G$106,MATCH($C221,'Inventory'!$B$7:$B$106,0))),"OK","Add price in Inventory"))))))))))</f>
        <v/>
      </c>
      <c r="H221" s="87">
        <f>IF($G221&lt;&gt;"OK","",$D221*INDEX('Lists'!$D$6:$D$30,MATCH($E221,'Lists'!$B$6:$B$30,0))/INDEX('Lists'!$D$6:$D$30,MATCH($F221,'Lists'!$B$6:$B$30,0)))</f>
        <v/>
      </c>
      <c r="I221" s="87">
        <f>IF($G221&lt;&gt;"OK","",INDEX('Inventory'!$G$7:$G$106,MATCH($C221,'Inventory'!$B$7:$B$106,0)))</f>
        <v/>
      </c>
      <c r="J221" s="88">
        <f>IF($G221&lt;&gt;"OK","",$H221*$I221)</f>
        <v/>
      </c>
      <c r="K221" s="82">
        <f>IF($G221&lt;&gt;"OK","",SUMIFS('Sales Log'!$D$7:$D$3006,'Sales Log'!$C$7:$C$3006,$B221,'Sales Log'!$B$7:$B$3006,"&gt;="&amp;cfg_CountDate,'Sales Log'!$N$7:$N$3006,"OK"))</f>
        <v/>
      </c>
      <c r="L221" s="89">
        <f>IF($G221&lt;&gt;"OK","",$H221*$K221)</f>
        <v/>
      </c>
    </row>
    <row r="222" ht="17" customHeight="1">
      <c r="B222" s="60" t="n"/>
      <c r="C222" s="60" t="n"/>
      <c r="D222" s="86" t="n"/>
      <c r="E222" s="60" t="n"/>
      <c r="F222" s="13">
        <f>IF($C222="","",IFERROR(INDEX('Inventory'!$D$7:$D$106,MATCH($C222,'Inventory'!$B$7:$B$106,0))&amp;"","?"))</f>
        <v/>
      </c>
      <c r="G222" s="80">
        <f>IF(AND($B222="",$C222=""),"",IF($B222="","Pick menu item",IF(ISNA(MATCH($B222,'Menu Pricing'!$B$7:$B$56,0)),"Not on Menu Pricing",IF($C222="","Pick ingredient",IF($F222="?","Not in Inventory",IF($F222="","Set stock unit in Inventory",IF(N($D222)&lt;=0,"Enter quantity",IF($E222="","Pick unit",IF(IFERROR(INDEX('Lists'!$C$6:$C$30,MATCH($E222,'Lists'!$B$6:$B$30,0)),"?")&lt;&gt;IFERROR(INDEX('Lists'!$C$6:$C$30,MATCH($F222,'Lists'!$B$6:$B$30,0)),"?"),"Unit mismatch",IF(ISNUMBER(INDEX('Inventory'!$G$7:$G$106,MATCH($C222,'Inventory'!$B$7:$B$106,0))),"OK","Add price in Inventory"))))))))))</f>
        <v/>
      </c>
      <c r="H222" s="87">
        <f>IF($G222&lt;&gt;"OK","",$D222*INDEX('Lists'!$D$6:$D$30,MATCH($E222,'Lists'!$B$6:$B$30,0))/INDEX('Lists'!$D$6:$D$30,MATCH($F222,'Lists'!$B$6:$B$30,0)))</f>
        <v/>
      </c>
      <c r="I222" s="87">
        <f>IF($G222&lt;&gt;"OK","",INDEX('Inventory'!$G$7:$G$106,MATCH($C222,'Inventory'!$B$7:$B$106,0)))</f>
        <v/>
      </c>
      <c r="J222" s="88">
        <f>IF($G222&lt;&gt;"OK","",$H222*$I222)</f>
        <v/>
      </c>
      <c r="K222" s="82">
        <f>IF($G222&lt;&gt;"OK","",SUMIFS('Sales Log'!$D$7:$D$3006,'Sales Log'!$C$7:$C$3006,$B222,'Sales Log'!$B$7:$B$3006,"&gt;="&amp;cfg_CountDate,'Sales Log'!$N$7:$N$3006,"OK"))</f>
        <v/>
      </c>
      <c r="L222" s="89">
        <f>IF($G222&lt;&gt;"OK","",$H222*$K222)</f>
        <v/>
      </c>
    </row>
    <row r="223" ht="17" customHeight="1">
      <c r="B223" s="60" t="n"/>
      <c r="C223" s="60" t="n"/>
      <c r="D223" s="86" t="n"/>
      <c r="E223" s="60" t="n"/>
      <c r="F223" s="13">
        <f>IF($C223="","",IFERROR(INDEX('Inventory'!$D$7:$D$106,MATCH($C223,'Inventory'!$B$7:$B$106,0))&amp;"","?"))</f>
        <v/>
      </c>
      <c r="G223" s="80">
        <f>IF(AND($B223="",$C223=""),"",IF($B223="","Pick menu item",IF(ISNA(MATCH($B223,'Menu Pricing'!$B$7:$B$56,0)),"Not on Menu Pricing",IF($C223="","Pick ingredient",IF($F223="?","Not in Inventory",IF($F223="","Set stock unit in Inventory",IF(N($D223)&lt;=0,"Enter quantity",IF($E223="","Pick unit",IF(IFERROR(INDEX('Lists'!$C$6:$C$30,MATCH($E223,'Lists'!$B$6:$B$30,0)),"?")&lt;&gt;IFERROR(INDEX('Lists'!$C$6:$C$30,MATCH($F223,'Lists'!$B$6:$B$30,0)),"?"),"Unit mismatch",IF(ISNUMBER(INDEX('Inventory'!$G$7:$G$106,MATCH($C223,'Inventory'!$B$7:$B$106,0))),"OK","Add price in Inventory"))))))))))</f>
        <v/>
      </c>
      <c r="H223" s="87">
        <f>IF($G223&lt;&gt;"OK","",$D223*INDEX('Lists'!$D$6:$D$30,MATCH($E223,'Lists'!$B$6:$B$30,0))/INDEX('Lists'!$D$6:$D$30,MATCH($F223,'Lists'!$B$6:$B$30,0)))</f>
        <v/>
      </c>
      <c r="I223" s="87">
        <f>IF($G223&lt;&gt;"OK","",INDEX('Inventory'!$G$7:$G$106,MATCH($C223,'Inventory'!$B$7:$B$106,0)))</f>
        <v/>
      </c>
      <c r="J223" s="88">
        <f>IF($G223&lt;&gt;"OK","",$H223*$I223)</f>
        <v/>
      </c>
      <c r="K223" s="82">
        <f>IF($G223&lt;&gt;"OK","",SUMIFS('Sales Log'!$D$7:$D$3006,'Sales Log'!$C$7:$C$3006,$B223,'Sales Log'!$B$7:$B$3006,"&gt;="&amp;cfg_CountDate,'Sales Log'!$N$7:$N$3006,"OK"))</f>
        <v/>
      </c>
      <c r="L223" s="89">
        <f>IF($G223&lt;&gt;"OK","",$H223*$K223)</f>
        <v/>
      </c>
    </row>
    <row r="224" ht="17" customHeight="1">
      <c r="B224" s="60" t="n"/>
      <c r="C224" s="60" t="n"/>
      <c r="D224" s="86" t="n"/>
      <c r="E224" s="60" t="n"/>
      <c r="F224" s="13">
        <f>IF($C224="","",IFERROR(INDEX('Inventory'!$D$7:$D$106,MATCH($C224,'Inventory'!$B$7:$B$106,0))&amp;"","?"))</f>
        <v/>
      </c>
      <c r="G224" s="80">
        <f>IF(AND($B224="",$C224=""),"",IF($B224="","Pick menu item",IF(ISNA(MATCH($B224,'Menu Pricing'!$B$7:$B$56,0)),"Not on Menu Pricing",IF($C224="","Pick ingredient",IF($F224="?","Not in Inventory",IF($F224="","Set stock unit in Inventory",IF(N($D224)&lt;=0,"Enter quantity",IF($E224="","Pick unit",IF(IFERROR(INDEX('Lists'!$C$6:$C$30,MATCH($E224,'Lists'!$B$6:$B$30,0)),"?")&lt;&gt;IFERROR(INDEX('Lists'!$C$6:$C$30,MATCH($F224,'Lists'!$B$6:$B$30,0)),"?"),"Unit mismatch",IF(ISNUMBER(INDEX('Inventory'!$G$7:$G$106,MATCH($C224,'Inventory'!$B$7:$B$106,0))),"OK","Add price in Inventory"))))))))))</f>
        <v/>
      </c>
      <c r="H224" s="87">
        <f>IF($G224&lt;&gt;"OK","",$D224*INDEX('Lists'!$D$6:$D$30,MATCH($E224,'Lists'!$B$6:$B$30,0))/INDEX('Lists'!$D$6:$D$30,MATCH($F224,'Lists'!$B$6:$B$30,0)))</f>
        <v/>
      </c>
      <c r="I224" s="87">
        <f>IF($G224&lt;&gt;"OK","",INDEX('Inventory'!$G$7:$G$106,MATCH($C224,'Inventory'!$B$7:$B$106,0)))</f>
        <v/>
      </c>
      <c r="J224" s="88">
        <f>IF($G224&lt;&gt;"OK","",$H224*$I224)</f>
        <v/>
      </c>
      <c r="K224" s="82">
        <f>IF($G224&lt;&gt;"OK","",SUMIFS('Sales Log'!$D$7:$D$3006,'Sales Log'!$C$7:$C$3006,$B224,'Sales Log'!$B$7:$B$3006,"&gt;="&amp;cfg_CountDate,'Sales Log'!$N$7:$N$3006,"OK"))</f>
        <v/>
      </c>
      <c r="L224" s="89">
        <f>IF($G224&lt;&gt;"OK","",$H224*$K224)</f>
        <v/>
      </c>
    </row>
    <row r="225" ht="17" customHeight="1">
      <c r="B225" s="60" t="n"/>
      <c r="C225" s="60" t="n"/>
      <c r="D225" s="86" t="n"/>
      <c r="E225" s="60" t="n"/>
      <c r="F225" s="13">
        <f>IF($C225="","",IFERROR(INDEX('Inventory'!$D$7:$D$106,MATCH($C225,'Inventory'!$B$7:$B$106,0))&amp;"","?"))</f>
        <v/>
      </c>
      <c r="G225" s="80">
        <f>IF(AND($B225="",$C225=""),"",IF($B225="","Pick menu item",IF(ISNA(MATCH($B225,'Menu Pricing'!$B$7:$B$56,0)),"Not on Menu Pricing",IF($C225="","Pick ingredient",IF($F225="?","Not in Inventory",IF($F225="","Set stock unit in Inventory",IF(N($D225)&lt;=0,"Enter quantity",IF($E225="","Pick unit",IF(IFERROR(INDEX('Lists'!$C$6:$C$30,MATCH($E225,'Lists'!$B$6:$B$30,0)),"?")&lt;&gt;IFERROR(INDEX('Lists'!$C$6:$C$30,MATCH($F225,'Lists'!$B$6:$B$30,0)),"?"),"Unit mismatch",IF(ISNUMBER(INDEX('Inventory'!$G$7:$G$106,MATCH($C225,'Inventory'!$B$7:$B$106,0))),"OK","Add price in Inventory"))))))))))</f>
        <v/>
      </c>
      <c r="H225" s="87">
        <f>IF($G225&lt;&gt;"OK","",$D225*INDEX('Lists'!$D$6:$D$30,MATCH($E225,'Lists'!$B$6:$B$30,0))/INDEX('Lists'!$D$6:$D$30,MATCH($F225,'Lists'!$B$6:$B$30,0)))</f>
        <v/>
      </c>
      <c r="I225" s="87">
        <f>IF($G225&lt;&gt;"OK","",INDEX('Inventory'!$G$7:$G$106,MATCH($C225,'Inventory'!$B$7:$B$106,0)))</f>
        <v/>
      </c>
      <c r="J225" s="88">
        <f>IF($G225&lt;&gt;"OK","",$H225*$I225)</f>
        <v/>
      </c>
      <c r="K225" s="82">
        <f>IF($G225&lt;&gt;"OK","",SUMIFS('Sales Log'!$D$7:$D$3006,'Sales Log'!$C$7:$C$3006,$B225,'Sales Log'!$B$7:$B$3006,"&gt;="&amp;cfg_CountDate,'Sales Log'!$N$7:$N$3006,"OK"))</f>
        <v/>
      </c>
      <c r="L225" s="89">
        <f>IF($G225&lt;&gt;"OK","",$H225*$K225)</f>
        <v/>
      </c>
    </row>
    <row r="226" ht="17" customHeight="1">
      <c r="B226" s="60" t="n"/>
      <c r="C226" s="60" t="n"/>
      <c r="D226" s="86" t="n"/>
      <c r="E226" s="60" t="n"/>
      <c r="F226" s="13">
        <f>IF($C226="","",IFERROR(INDEX('Inventory'!$D$7:$D$106,MATCH($C226,'Inventory'!$B$7:$B$106,0))&amp;"","?"))</f>
        <v/>
      </c>
      <c r="G226" s="80">
        <f>IF(AND($B226="",$C226=""),"",IF($B226="","Pick menu item",IF(ISNA(MATCH($B226,'Menu Pricing'!$B$7:$B$56,0)),"Not on Menu Pricing",IF($C226="","Pick ingredient",IF($F226="?","Not in Inventory",IF($F226="","Set stock unit in Inventory",IF(N($D226)&lt;=0,"Enter quantity",IF($E226="","Pick unit",IF(IFERROR(INDEX('Lists'!$C$6:$C$30,MATCH($E226,'Lists'!$B$6:$B$30,0)),"?")&lt;&gt;IFERROR(INDEX('Lists'!$C$6:$C$30,MATCH($F226,'Lists'!$B$6:$B$30,0)),"?"),"Unit mismatch",IF(ISNUMBER(INDEX('Inventory'!$G$7:$G$106,MATCH($C226,'Inventory'!$B$7:$B$106,0))),"OK","Add price in Inventory"))))))))))</f>
        <v/>
      </c>
      <c r="H226" s="87">
        <f>IF($G226&lt;&gt;"OK","",$D226*INDEX('Lists'!$D$6:$D$30,MATCH($E226,'Lists'!$B$6:$B$30,0))/INDEX('Lists'!$D$6:$D$30,MATCH($F226,'Lists'!$B$6:$B$30,0)))</f>
        <v/>
      </c>
      <c r="I226" s="87">
        <f>IF($G226&lt;&gt;"OK","",INDEX('Inventory'!$G$7:$G$106,MATCH($C226,'Inventory'!$B$7:$B$106,0)))</f>
        <v/>
      </c>
      <c r="J226" s="88">
        <f>IF($G226&lt;&gt;"OK","",$H226*$I226)</f>
        <v/>
      </c>
      <c r="K226" s="82">
        <f>IF($G226&lt;&gt;"OK","",SUMIFS('Sales Log'!$D$7:$D$3006,'Sales Log'!$C$7:$C$3006,$B226,'Sales Log'!$B$7:$B$3006,"&gt;="&amp;cfg_CountDate,'Sales Log'!$N$7:$N$3006,"OK"))</f>
        <v/>
      </c>
      <c r="L226" s="89">
        <f>IF($G226&lt;&gt;"OK","",$H226*$K226)</f>
        <v/>
      </c>
    </row>
    <row r="227" ht="17" customHeight="1">
      <c r="B227" s="60" t="n"/>
      <c r="C227" s="60" t="n"/>
      <c r="D227" s="86" t="n"/>
      <c r="E227" s="60" t="n"/>
      <c r="F227" s="13">
        <f>IF($C227="","",IFERROR(INDEX('Inventory'!$D$7:$D$106,MATCH($C227,'Inventory'!$B$7:$B$106,0))&amp;"","?"))</f>
        <v/>
      </c>
      <c r="G227" s="80">
        <f>IF(AND($B227="",$C227=""),"",IF($B227="","Pick menu item",IF(ISNA(MATCH($B227,'Menu Pricing'!$B$7:$B$56,0)),"Not on Menu Pricing",IF($C227="","Pick ingredient",IF($F227="?","Not in Inventory",IF($F227="","Set stock unit in Inventory",IF(N($D227)&lt;=0,"Enter quantity",IF($E227="","Pick unit",IF(IFERROR(INDEX('Lists'!$C$6:$C$30,MATCH($E227,'Lists'!$B$6:$B$30,0)),"?")&lt;&gt;IFERROR(INDEX('Lists'!$C$6:$C$30,MATCH($F227,'Lists'!$B$6:$B$30,0)),"?"),"Unit mismatch",IF(ISNUMBER(INDEX('Inventory'!$G$7:$G$106,MATCH($C227,'Inventory'!$B$7:$B$106,0))),"OK","Add price in Inventory"))))))))))</f>
        <v/>
      </c>
      <c r="H227" s="87">
        <f>IF($G227&lt;&gt;"OK","",$D227*INDEX('Lists'!$D$6:$D$30,MATCH($E227,'Lists'!$B$6:$B$30,0))/INDEX('Lists'!$D$6:$D$30,MATCH($F227,'Lists'!$B$6:$B$30,0)))</f>
        <v/>
      </c>
      <c r="I227" s="87">
        <f>IF($G227&lt;&gt;"OK","",INDEX('Inventory'!$G$7:$G$106,MATCH($C227,'Inventory'!$B$7:$B$106,0)))</f>
        <v/>
      </c>
      <c r="J227" s="88">
        <f>IF($G227&lt;&gt;"OK","",$H227*$I227)</f>
        <v/>
      </c>
      <c r="K227" s="82">
        <f>IF($G227&lt;&gt;"OK","",SUMIFS('Sales Log'!$D$7:$D$3006,'Sales Log'!$C$7:$C$3006,$B227,'Sales Log'!$B$7:$B$3006,"&gt;="&amp;cfg_CountDate,'Sales Log'!$N$7:$N$3006,"OK"))</f>
        <v/>
      </c>
      <c r="L227" s="89">
        <f>IF($G227&lt;&gt;"OK","",$H227*$K227)</f>
        <v/>
      </c>
    </row>
    <row r="228" ht="17" customHeight="1">
      <c r="B228" s="60" t="n"/>
      <c r="C228" s="60" t="n"/>
      <c r="D228" s="86" t="n"/>
      <c r="E228" s="60" t="n"/>
      <c r="F228" s="13">
        <f>IF($C228="","",IFERROR(INDEX('Inventory'!$D$7:$D$106,MATCH($C228,'Inventory'!$B$7:$B$106,0))&amp;"","?"))</f>
        <v/>
      </c>
      <c r="G228" s="80">
        <f>IF(AND($B228="",$C228=""),"",IF($B228="","Pick menu item",IF(ISNA(MATCH($B228,'Menu Pricing'!$B$7:$B$56,0)),"Not on Menu Pricing",IF($C228="","Pick ingredient",IF($F228="?","Not in Inventory",IF($F228="","Set stock unit in Inventory",IF(N($D228)&lt;=0,"Enter quantity",IF($E228="","Pick unit",IF(IFERROR(INDEX('Lists'!$C$6:$C$30,MATCH($E228,'Lists'!$B$6:$B$30,0)),"?")&lt;&gt;IFERROR(INDEX('Lists'!$C$6:$C$30,MATCH($F228,'Lists'!$B$6:$B$30,0)),"?"),"Unit mismatch",IF(ISNUMBER(INDEX('Inventory'!$G$7:$G$106,MATCH($C228,'Inventory'!$B$7:$B$106,0))),"OK","Add price in Inventory"))))))))))</f>
        <v/>
      </c>
      <c r="H228" s="87">
        <f>IF($G228&lt;&gt;"OK","",$D228*INDEX('Lists'!$D$6:$D$30,MATCH($E228,'Lists'!$B$6:$B$30,0))/INDEX('Lists'!$D$6:$D$30,MATCH($F228,'Lists'!$B$6:$B$30,0)))</f>
        <v/>
      </c>
      <c r="I228" s="87">
        <f>IF($G228&lt;&gt;"OK","",INDEX('Inventory'!$G$7:$G$106,MATCH($C228,'Inventory'!$B$7:$B$106,0)))</f>
        <v/>
      </c>
      <c r="J228" s="88">
        <f>IF($G228&lt;&gt;"OK","",$H228*$I228)</f>
        <v/>
      </c>
      <c r="K228" s="82">
        <f>IF($G228&lt;&gt;"OK","",SUMIFS('Sales Log'!$D$7:$D$3006,'Sales Log'!$C$7:$C$3006,$B228,'Sales Log'!$B$7:$B$3006,"&gt;="&amp;cfg_CountDate,'Sales Log'!$N$7:$N$3006,"OK"))</f>
        <v/>
      </c>
      <c r="L228" s="89">
        <f>IF($G228&lt;&gt;"OK","",$H228*$K228)</f>
        <v/>
      </c>
    </row>
    <row r="229" ht="17" customHeight="1">
      <c r="B229" s="60" t="n"/>
      <c r="C229" s="60" t="n"/>
      <c r="D229" s="86" t="n"/>
      <c r="E229" s="60" t="n"/>
      <c r="F229" s="13">
        <f>IF($C229="","",IFERROR(INDEX('Inventory'!$D$7:$D$106,MATCH($C229,'Inventory'!$B$7:$B$106,0))&amp;"","?"))</f>
        <v/>
      </c>
      <c r="G229" s="80">
        <f>IF(AND($B229="",$C229=""),"",IF($B229="","Pick menu item",IF(ISNA(MATCH($B229,'Menu Pricing'!$B$7:$B$56,0)),"Not on Menu Pricing",IF($C229="","Pick ingredient",IF($F229="?","Not in Inventory",IF($F229="","Set stock unit in Inventory",IF(N($D229)&lt;=0,"Enter quantity",IF($E229="","Pick unit",IF(IFERROR(INDEX('Lists'!$C$6:$C$30,MATCH($E229,'Lists'!$B$6:$B$30,0)),"?")&lt;&gt;IFERROR(INDEX('Lists'!$C$6:$C$30,MATCH($F229,'Lists'!$B$6:$B$30,0)),"?"),"Unit mismatch",IF(ISNUMBER(INDEX('Inventory'!$G$7:$G$106,MATCH($C229,'Inventory'!$B$7:$B$106,0))),"OK","Add price in Inventory"))))))))))</f>
        <v/>
      </c>
      <c r="H229" s="87">
        <f>IF($G229&lt;&gt;"OK","",$D229*INDEX('Lists'!$D$6:$D$30,MATCH($E229,'Lists'!$B$6:$B$30,0))/INDEX('Lists'!$D$6:$D$30,MATCH($F229,'Lists'!$B$6:$B$30,0)))</f>
        <v/>
      </c>
      <c r="I229" s="87">
        <f>IF($G229&lt;&gt;"OK","",INDEX('Inventory'!$G$7:$G$106,MATCH($C229,'Inventory'!$B$7:$B$106,0)))</f>
        <v/>
      </c>
      <c r="J229" s="88">
        <f>IF($G229&lt;&gt;"OK","",$H229*$I229)</f>
        <v/>
      </c>
      <c r="K229" s="82">
        <f>IF($G229&lt;&gt;"OK","",SUMIFS('Sales Log'!$D$7:$D$3006,'Sales Log'!$C$7:$C$3006,$B229,'Sales Log'!$B$7:$B$3006,"&gt;="&amp;cfg_CountDate,'Sales Log'!$N$7:$N$3006,"OK"))</f>
        <v/>
      </c>
      <c r="L229" s="89">
        <f>IF($G229&lt;&gt;"OK","",$H229*$K229)</f>
        <v/>
      </c>
    </row>
    <row r="230" ht="17" customHeight="1">
      <c r="B230" s="60" t="n"/>
      <c r="C230" s="60" t="n"/>
      <c r="D230" s="86" t="n"/>
      <c r="E230" s="60" t="n"/>
      <c r="F230" s="13">
        <f>IF($C230="","",IFERROR(INDEX('Inventory'!$D$7:$D$106,MATCH($C230,'Inventory'!$B$7:$B$106,0))&amp;"","?"))</f>
        <v/>
      </c>
      <c r="G230" s="80">
        <f>IF(AND($B230="",$C230=""),"",IF($B230="","Pick menu item",IF(ISNA(MATCH($B230,'Menu Pricing'!$B$7:$B$56,0)),"Not on Menu Pricing",IF($C230="","Pick ingredient",IF($F230="?","Not in Inventory",IF($F230="","Set stock unit in Inventory",IF(N($D230)&lt;=0,"Enter quantity",IF($E230="","Pick unit",IF(IFERROR(INDEX('Lists'!$C$6:$C$30,MATCH($E230,'Lists'!$B$6:$B$30,0)),"?")&lt;&gt;IFERROR(INDEX('Lists'!$C$6:$C$30,MATCH($F230,'Lists'!$B$6:$B$30,0)),"?"),"Unit mismatch",IF(ISNUMBER(INDEX('Inventory'!$G$7:$G$106,MATCH($C230,'Inventory'!$B$7:$B$106,0))),"OK","Add price in Inventory"))))))))))</f>
        <v/>
      </c>
      <c r="H230" s="87">
        <f>IF($G230&lt;&gt;"OK","",$D230*INDEX('Lists'!$D$6:$D$30,MATCH($E230,'Lists'!$B$6:$B$30,0))/INDEX('Lists'!$D$6:$D$30,MATCH($F230,'Lists'!$B$6:$B$30,0)))</f>
        <v/>
      </c>
      <c r="I230" s="87">
        <f>IF($G230&lt;&gt;"OK","",INDEX('Inventory'!$G$7:$G$106,MATCH($C230,'Inventory'!$B$7:$B$106,0)))</f>
        <v/>
      </c>
      <c r="J230" s="88">
        <f>IF($G230&lt;&gt;"OK","",$H230*$I230)</f>
        <v/>
      </c>
      <c r="K230" s="82">
        <f>IF($G230&lt;&gt;"OK","",SUMIFS('Sales Log'!$D$7:$D$3006,'Sales Log'!$C$7:$C$3006,$B230,'Sales Log'!$B$7:$B$3006,"&gt;="&amp;cfg_CountDate,'Sales Log'!$N$7:$N$3006,"OK"))</f>
        <v/>
      </c>
      <c r="L230" s="89">
        <f>IF($G230&lt;&gt;"OK","",$H230*$K230)</f>
        <v/>
      </c>
    </row>
    <row r="231" ht="17" customHeight="1">
      <c r="B231" s="60" t="n"/>
      <c r="C231" s="60" t="n"/>
      <c r="D231" s="86" t="n"/>
      <c r="E231" s="60" t="n"/>
      <c r="F231" s="13">
        <f>IF($C231="","",IFERROR(INDEX('Inventory'!$D$7:$D$106,MATCH($C231,'Inventory'!$B$7:$B$106,0))&amp;"","?"))</f>
        <v/>
      </c>
      <c r="G231" s="80">
        <f>IF(AND($B231="",$C231=""),"",IF($B231="","Pick menu item",IF(ISNA(MATCH($B231,'Menu Pricing'!$B$7:$B$56,0)),"Not on Menu Pricing",IF($C231="","Pick ingredient",IF($F231="?","Not in Inventory",IF($F231="","Set stock unit in Inventory",IF(N($D231)&lt;=0,"Enter quantity",IF($E231="","Pick unit",IF(IFERROR(INDEX('Lists'!$C$6:$C$30,MATCH($E231,'Lists'!$B$6:$B$30,0)),"?")&lt;&gt;IFERROR(INDEX('Lists'!$C$6:$C$30,MATCH($F231,'Lists'!$B$6:$B$30,0)),"?"),"Unit mismatch",IF(ISNUMBER(INDEX('Inventory'!$G$7:$G$106,MATCH($C231,'Inventory'!$B$7:$B$106,0))),"OK","Add price in Inventory"))))))))))</f>
        <v/>
      </c>
      <c r="H231" s="87">
        <f>IF($G231&lt;&gt;"OK","",$D231*INDEX('Lists'!$D$6:$D$30,MATCH($E231,'Lists'!$B$6:$B$30,0))/INDEX('Lists'!$D$6:$D$30,MATCH($F231,'Lists'!$B$6:$B$30,0)))</f>
        <v/>
      </c>
      <c r="I231" s="87">
        <f>IF($G231&lt;&gt;"OK","",INDEX('Inventory'!$G$7:$G$106,MATCH($C231,'Inventory'!$B$7:$B$106,0)))</f>
        <v/>
      </c>
      <c r="J231" s="88">
        <f>IF($G231&lt;&gt;"OK","",$H231*$I231)</f>
        <v/>
      </c>
      <c r="K231" s="82">
        <f>IF($G231&lt;&gt;"OK","",SUMIFS('Sales Log'!$D$7:$D$3006,'Sales Log'!$C$7:$C$3006,$B231,'Sales Log'!$B$7:$B$3006,"&gt;="&amp;cfg_CountDate,'Sales Log'!$N$7:$N$3006,"OK"))</f>
        <v/>
      </c>
      <c r="L231" s="89">
        <f>IF($G231&lt;&gt;"OK","",$H231*$K231)</f>
        <v/>
      </c>
    </row>
    <row r="232" ht="17" customHeight="1">
      <c r="B232" s="60" t="n"/>
      <c r="C232" s="60" t="n"/>
      <c r="D232" s="86" t="n"/>
      <c r="E232" s="60" t="n"/>
      <c r="F232" s="13">
        <f>IF($C232="","",IFERROR(INDEX('Inventory'!$D$7:$D$106,MATCH($C232,'Inventory'!$B$7:$B$106,0))&amp;"","?"))</f>
        <v/>
      </c>
      <c r="G232" s="80">
        <f>IF(AND($B232="",$C232=""),"",IF($B232="","Pick menu item",IF(ISNA(MATCH($B232,'Menu Pricing'!$B$7:$B$56,0)),"Not on Menu Pricing",IF($C232="","Pick ingredient",IF($F232="?","Not in Inventory",IF($F232="","Set stock unit in Inventory",IF(N($D232)&lt;=0,"Enter quantity",IF($E232="","Pick unit",IF(IFERROR(INDEX('Lists'!$C$6:$C$30,MATCH($E232,'Lists'!$B$6:$B$30,0)),"?")&lt;&gt;IFERROR(INDEX('Lists'!$C$6:$C$30,MATCH($F232,'Lists'!$B$6:$B$30,0)),"?"),"Unit mismatch",IF(ISNUMBER(INDEX('Inventory'!$G$7:$G$106,MATCH($C232,'Inventory'!$B$7:$B$106,0))),"OK","Add price in Inventory"))))))))))</f>
        <v/>
      </c>
      <c r="H232" s="87">
        <f>IF($G232&lt;&gt;"OK","",$D232*INDEX('Lists'!$D$6:$D$30,MATCH($E232,'Lists'!$B$6:$B$30,0))/INDEX('Lists'!$D$6:$D$30,MATCH($F232,'Lists'!$B$6:$B$30,0)))</f>
        <v/>
      </c>
      <c r="I232" s="87">
        <f>IF($G232&lt;&gt;"OK","",INDEX('Inventory'!$G$7:$G$106,MATCH($C232,'Inventory'!$B$7:$B$106,0)))</f>
        <v/>
      </c>
      <c r="J232" s="88">
        <f>IF($G232&lt;&gt;"OK","",$H232*$I232)</f>
        <v/>
      </c>
      <c r="K232" s="82">
        <f>IF($G232&lt;&gt;"OK","",SUMIFS('Sales Log'!$D$7:$D$3006,'Sales Log'!$C$7:$C$3006,$B232,'Sales Log'!$B$7:$B$3006,"&gt;="&amp;cfg_CountDate,'Sales Log'!$N$7:$N$3006,"OK"))</f>
        <v/>
      </c>
      <c r="L232" s="89">
        <f>IF($G232&lt;&gt;"OK","",$H232*$K232)</f>
        <v/>
      </c>
    </row>
    <row r="233" ht="17" customHeight="1">
      <c r="B233" s="60" t="n"/>
      <c r="C233" s="60" t="n"/>
      <c r="D233" s="86" t="n"/>
      <c r="E233" s="60" t="n"/>
      <c r="F233" s="13">
        <f>IF($C233="","",IFERROR(INDEX('Inventory'!$D$7:$D$106,MATCH($C233,'Inventory'!$B$7:$B$106,0))&amp;"","?"))</f>
        <v/>
      </c>
      <c r="G233" s="80">
        <f>IF(AND($B233="",$C233=""),"",IF($B233="","Pick menu item",IF(ISNA(MATCH($B233,'Menu Pricing'!$B$7:$B$56,0)),"Not on Menu Pricing",IF($C233="","Pick ingredient",IF($F233="?","Not in Inventory",IF($F233="","Set stock unit in Inventory",IF(N($D233)&lt;=0,"Enter quantity",IF($E233="","Pick unit",IF(IFERROR(INDEX('Lists'!$C$6:$C$30,MATCH($E233,'Lists'!$B$6:$B$30,0)),"?")&lt;&gt;IFERROR(INDEX('Lists'!$C$6:$C$30,MATCH($F233,'Lists'!$B$6:$B$30,0)),"?"),"Unit mismatch",IF(ISNUMBER(INDEX('Inventory'!$G$7:$G$106,MATCH($C233,'Inventory'!$B$7:$B$106,0))),"OK","Add price in Inventory"))))))))))</f>
        <v/>
      </c>
      <c r="H233" s="87">
        <f>IF($G233&lt;&gt;"OK","",$D233*INDEX('Lists'!$D$6:$D$30,MATCH($E233,'Lists'!$B$6:$B$30,0))/INDEX('Lists'!$D$6:$D$30,MATCH($F233,'Lists'!$B$6:$B$30,0)))</f>
        <v/>
      </c>
      <c r="I233" s="87">
        <f>IF($G233&lt;&gt;"OK","",INDEX('Inventory'!$G$7:$G$106,MATCH($C233,'Inventory'!$B$7:$B$106,0)))</f>
        <v/>
      </c>
      <c r="J233" s="88">
        <f>IF($G233&lt;&gt;"OK","",$H233*$I233)</f>
        <v/>
      </c>
      <c r="K233" s="82">
        <f>IF($G233&lt;&gt;"OK","",SUMIFS('Sales Log'!$D$7:$D$3006,'Sales Log'!$C$7:$C$3006,$B233,'Sales Log'!$B$7:$B$3006,"&gt;="&amp;cfg_CountDate,'Sales Log'!$N$7:$N$3006,"OK"))</f>
        <v/>
      </c>
      <c r="L233" s="89">
        <f>IF($G233&lt;&gt;"OK","",$H233*$K233)</f>
        <v/>
      </c>
    </row>
    <row r="234" ht="17" customHeight="1">
      <c r="B234" s="60" t="n"/>
      <c r="C234" s="60" t="n"/>
      <c r="D234" s="86" t="n"/>
      <c r="E234" s="60" t="n"/>
      <c r="F234" s="13">
        <f>IF($C234="","",IFERROR(INDEX('Inventory'!$D$7:$D$106,MATCH($C234,'Inventory'!$B$7:$B$106,0))&amp;"","?"))</f>
        <v/>
      </c>
      <c r="G234" s="80">
        <f>IF(AND($B234="",$C234=""),"",IF($B234="","Pick menu item",IF(ISNA(MATCH($B234,'Menu Pricing'!$B$7:$B$56,0)),"Not on Menu Pricing",IF($C234="","Pick ingredient",IF($F234="?","Not in Inventory",IF($F234="","Set stock unit in Inventory",IF(N($D234)&lt;=0,"Enter quantity",IF($E234="","Pick unit",IF(IFERROR(INDEX('Lists'!$C$6:$C$30,MATCH($E234,'Lists'!$B$6:$B$30,0)),"?")&lt;&gt;IFERROR(INDEX('Lists'!$C$6:$C$30,MATCH($F234,'Lists'!$B$6:$B$30,0)),"?"),"Unit mismatch",IF(ISNUMBER(INDEX('Inventory'!$G$7:$G$106,MATCH($C234,'Inventory'!$B$7:$B$106,0))),"OK","Add price in Inventory"))))))))))</f>
        <v/>
      </c>
      <c r="H234" s="87">
        <f>IF($G234&lt;&gt;"OK","",$D234*INDEX('Lists'!$D$6:$D$30,MATCH($E234,'Lists'!$B$6:$B$30,0))/INDEX('Lists'!$D$6:$D$30,MATCH($F234,'Lists'!$B$6:$B$30,0)))</f>
        <v/>
      </c>
      <c r="I234" s="87">
        <f>IF($G234&lt;&gt;"OK","",INDEX('Inventory'!$G$7:$G$106,MATCH($C234,'Inventory'!$B$7:$B$106,0)))</f>
        <v/>
      </c>
      <c r="J234" s="88">
        <f>IF($G234&lt;&gt;"OK","",$H234*$I234)</f>
        <v/>
      </c>
      <c r="K234" s="82">
        <f>IF($G234&lt;&gt;"OK","",SUMIFS('Sales Log'!$D$7:$D$3006,'Sales Log'!$C$7:$C$3006,$B234,'Sales Log'!$B$7:$B$3006,"&gt;="&amp;cfg_CountDate,'Sales Log'!$N$7:$N$3006,"OK"))</f>
        <v/>
      </c>
      <c r="L234" s="89">
        <f>IF($G234&lt;&gt;"OK","",$H234*$K234)</f>
        <v/>
      </c>
    </row>
    <row r="235" ht="17" customHeight="1">
      <c r="B235" s="60" t="n"/>
      <c r="C235" s="60" t="n"/>
      <c r="D235" s="86" t="n"/>
      <c r="E235" s="60" t="n"/>
      <c r="F235" s="13">
        <f>IF($C235="","",IFERROR(INDEX('Inventory'!$D$7:$D$106,MATCH($C235,'Inventory'!$B$7:$B$106,0))&amp;"","?"))</f>
        <v/>
      </c>
      <c r="G235" s="80">
        <f>IF(AND($B235="",$C235=""),"",IF($B235="","Pick menu item",IF(ISNA(MATCH($B235,'Menu Pricing'!$B$7:$B$56,0)),"Not on Menu Pricing",IF($C235="","Pick ingredient",IF($F235="?","Not in Inventory",IF($F235="","Set stock unit in Inventory",IF(N($D235)&lt;=0,"Enter quantity",IF($E235="","Pick unit",IF(IFERROR(INDEX('Lists'!$C$6:$C$30,MATCH($E235,'Lists'!$B$6:$B$30,0)),"?")&lt;&gt;IFERROR(INDEX('Lists'!$C$6:$C$30,MATCH($F235,'Lists'!$B$6:$B$30,0)),"?"),"Unit mismatch",IF(ISNUMBER(INDEX('Inventory'!$G$7:$G$106,MATCH($C235,'Inventory'!$B$7:$B$106,0))),"OK","Add price in Inventory"))))))))))</f>
        <v/>
      </c>
      <c r="H235" s="87">
        <f>IF($G235&lt;&gt;"OK","",$D235*INDEX('Lists'!$D$6:$D$30,MATCH($E235,'Lists'!$B$6:$B$30,0))/INDEX('Lists'!$D$6:$D$30,MATCH($F235,'Lists'!$B$6:$B$30,0)))</f>
        <v/>
      </c>
      <c r="I235" s="87">
        <f>IF($G235&lt;&gt;"OK","",INDEX('Inventory'!$G$7:$G$106,MATCH($C235,'Inventory'!$B$7:$B$106,0)))</f>
        <v/>
      </c>
      <c r="J235" s="88">
        <f>IF($G235&lt;&gt;"OK","",$H235*$I235)</f>
        <v/>
      </c>
      <c r="K235" s="82">
        <f>IF($G235&lt;&gt;"OK","",SUMIFS('Sales Log'!$D$7:$D$3006,'Sales Log'!$C$7:$C$3006,$B235,'Sales Log'!$B$7:$B$3006,"&gt;="&amp;cfg_CountDate,'Sales Log'!$N$7:$N$3006,"OK"))</f>
        <v/>
      </c>
      <c r="L235" s="89">
        <f>IF($G235&lt;&gt;"OK","",$H235*$K235)</f>
        <v/>
      </c>
    </row>
    <row r="236" ht="17" customHeight="1">
      <c r="B236" s="60" t="n"/>
      <c r="C236" s="60" t="n"/>
      <c r="D236" s="86" t="n"/>
      <c r="E236" s="60" t="n"/>
      <c r="F236" s="13">
        <f>IF($C236="","",IFERROR(INDEX('Inventory'!$D$7:$D$106,MATCH($C236,'Inventory'!$B$7:$B$106,0))&amp;"","?"))</f>
        <v/>
      </c>
      <c r="G236" s="80">
        <f>IF(AND($B236="",$C236=""),"",IF($B236="","Pick menu item",IF(ISNA(MATCH($B236,'Menu Pricing'!$B$7:$B$56,0)),"Not on Menu Pricing",IF($C236="","Pick ingredient",IF($F236="?","Not in Inventory",IF($F236="","Set stock unit in Inventory",IF(N($D236)&lt;=0,"Enter quantity",IF($E236="","Pick unit",IF(IFERROR(INDEX('Lists'!$C$6:$C$30,MATCH($E236,'Lists'!$B$6:$B$30,0)),"?")&lt;&gt;IFERROR(INDEX('Lists'!$C$6:$C$30,MATCH($F236,'Lists'!$B$6:$B$30,0)),"?"),"Unit mismatch",IF(ISNUMBER(INDEX('Inventory'!$G$7:$G$106,MATCH($C236,'Inventory'!$B$7:$B$106,0))),"OK","Add price in Inventory"))))))))))</f>
        <v/>
      </c>
      <c r="H236" s="87">
        <f>IF($G236&lt;&gt;"OK","",$D236*INDEX('Lists'!$D$6:$D$30,MATCH($E236,'Lists'!$B$6:$B$30,0))/INDEX('Lists'!$D$6:$D$30,MATCH($F236,'Lists'!$B$6:$B$30,0)))</f>
        <v/>
      </c>
      <c r="I236" s="87">
        <f>IF($G236&lt;&gt;"OK","",INDEX('Inventory'!$G$7:$G$106,MATCH($C236,'Inventory'!$B$7:$B$106,0)))</f>
        <v/>
      </c>
      <c r="J236" s="88">
        <f>IF($G236&lt;&gt;"OK","",$H236*$I236)</f>
        <v/>
      </c>
      <c r="K236" s="82">
        <f>IF($G236&lt;&gt;"OK","",SUMIFS('Sales Log'!$D$7:$D$3006,'Sales Log'!$C$7:$C$3006,$B236,'Sales Log'!$B$7:$B$3006,"&gt;="&amp;cfg_CountDate,'Sales Log'!$N$7:$N$3006,"OK"))</f>
        <v/>
      </c>
      <c r="L236" s="89">
        <f>IF($G236&lt;&gt;"OK","",$H236*$K236)</f>
        <v/>
      </c>
    </row>
    <row r="237" ht="17" customHeight="1">
      <c r="B237" s="60" t="n"/>
      <c r="C237" s="60" t="n"/>
      <c r="D237" s="86" t="n"/>
      <c r="E237" s="60" t="n"/>
      <c r="F237" s="13">
        <f>IF($C237="","",IFERROR(INDEX('Inventory'!$D$7:$D$106,MATCH($C237,'Inventory'!$B$7:$B$106,0))&amp;"","?"))</f>
        <v/>
      </c>
      <c r="G237" s="80">
        <f>IF(AND($B237="",$C237=""),"",IF($B237="","Pick menu item",IF(ISNA(MATCH($B237,'Menu Pricing'!$B$7:$B$56,0)),"Not on Menu Pricing",IF($C237="","Pick ingredient",IF($F237="?","Not in Inventory",IF($F237="","Set stock unit in Inventory",IF(N($D237)&lt;=0,"Enter quantity",IF($E237="","Pick unit",IF(IFERROR(INDEX('Lists'!$C$6:$C$30,MATCH($E237,'Lists'!$B$6:$B$30,0)),"?")&lt;&gt;IFERROR(INDEX('Lists'!$C$6:$C$30,MATCH($F237,'Lists'!$B$6:$B$30,0)),"?"),"Unit mismatch",IF(ISNUMBER(INDEX('Inventory'!$G$7:$G$106,MATCH($C237,'Inventory'!$B$7:$B$106,0))),"OK","Add price in Inventory"))))))))))</f>
        <v/>
      </c>
      <c r="H237" s="87">
        <f>IF($G237&lt;&gt;"OK","",$D237*INDEX('Lists'!$D$6:$D$30,MATCH($E237,'Lists'!$B$6:$B$30,0))/INDEX('Lists'!$D$6:$D$30,MATCH($F237,'Lists'!$B$6:$B$30,0)))</f>
        <v/>
      </c>
      <c r="I237" s="87">
        <f>IF($G237&lt;&gt;"OK","",INDEX('Inventory'!$G$7:$G$106,MATCH($C237,'Inventory'!$B$7:$B$106,0)))</f>
        <v/>
      </c>
      <c r="J237" s="88">
        <f>IF($G237&lt;&gt;"OK","",$H237*$I237)</f>
        <v/>
      </c>
      <c r="K237" s="82">
        <f>IF($G237&lt;&gt;"OK","",SUMIFS('Sales Log'!$D$7:$D$3006,'Sales Log'!$C$7:$C$3006,$B237,'Sales Log'!$B$7:$B$3006,"&gt;="&amp;cfg_CountDate,'Sales Log'!$N$7:$N$3006,"OK"))</f>
        <v/>
      </c>
      <c r="L237" s="89">
        <f>IF($G237&lt;&gt;"OK","",$H237*$K237)</f>
        <v/>
      </c>
    </row>
    <row r="238" ht="17" customHeight="1">
      <c r="B238" s="60" t="n"/>
      <c r="C238" s="60" t="n"/>
      <c r="D238" s="86" t="n"/>
      <c r="E238" s="60" t="n"/>
      <c r="F238" s="13">
        <f>IF($C238="","",IFERROR(INDEX('Inventory'!$D$7:$D$106,MATCH($C238,'Inventory'!$B$7:$B$106,0))&amp;"","?"))</f>
        <v/>
      </c>
      <c r="G238" s="80">
        <f>IF(AND($B238="",$C238=""),"",IF($B238="","Pick menu item",IF(ISNA(MATCH($B238,'Menu Pricing'!$B$7:$B$56,0)),"Not on Menu Pricing",IF($C238="","Pick ingredient",IF($F238="?","Not in Inventory",IF($F238="","Set stock unit in Inventory",IF(N($D238)&lt;=0,"Enter quantity",IF($E238="","Pick unit",IF(IFERROR(INDEX('Lists'!$C$6:$C$30,MATCH($E238,'Lists'!$B$6:$B$30,0)),"?")&lt;&gt;IFERROR(INDEX('Lists'!$C$6:$C$30,MATCH($F238,'Lists'!$B$6:$B$30,0)),"?"),"Unit mismatch",IF(ISNUMBER(INDEX('Inventory'!$G$7:$G$106,MATCH($C238,'Inventory'!$B$7:$B$106,0))),"OK","Add price in Inventory"))))))))))</f>
        <v/>
      </c>
      <c r="H238" s="87">
        <f>IF($G238&lt;&gt;"OK","",$D238*INDEX('Lists'!$D$6:$D$30,MATCH($E238,'Lists'!$B$6:$B$30,0))/INDEX('Lists'!$D$6:$D$30,MATCH($F238,'Lists'!$B$6:$B$30,0)))</f>
        <v/>
      </c>
      <c r="I238" s="87">
        <f>IF($G238&lt;&gt;"OK","",INDEX('Inventory'!$G$7:$G$106,MATCH($C238,'Inventory'!$B$7:$B$106,0)))</f>
        <v/>
      </c>
      <c r="J238" s="88">
        <f>IF($G238&lt;&gt;"OK","",$H238*$I238)</f>
        <v/>
      </c>
      <c r="K238" s="82">
        <f>IF($G238&lt;&gt;"OK","",SUMIFS('Sales Log'!$D$7:$D$3006,'Sales Log'!$C$7:$C$3006,$B238,'Sales Log'!$B$7:$B$3006,"&gt;="&amp;cfg_CountDate,'Sales Log'!$N$7:$N$3006,"OK"))</f>
        <v/>
      </c>
      <c r="L238" s="89">
        <f>IF($G238&lt;&gt;"OK","",$H238*$K238)</f>
        <v/>
      </c>
    </row>
    <row r="239" ht="17" customHeight="1">
      <c r="B239" s="60" t="n"/>
      <c r="C239" s="60" t="n"/>
      <c r="D239" s="86" t="n"/>
      <c r="E239" s="60" t="n"/>
      <c r="F239" s="13">
        <f>IF($C239="","",IFERROR(INDEX('Inventory'!$D$7:$D$106,MATCH($C239,'Inventory'!$B$7:$B$106,0))&amp;"","?"))</f>
        <v/>
      </c>
      <c r="G239" s="80">
        <f>IF(AND($B239="",$C239=""),"",IF($B239="","Pick menu item",IF(ISNA(MATCH($B239,'Menu Pricing'!$B$7:$B$56,0)),"Not on Menu Pricing",IF($C239="","Pick ingredient",IF($F239="?","Not in Inventory",IF($F239="","Set stock unit in Inventory",IF(N($D239)&lt;=0,"Enter quantity",IF($E239="","Pick unit",IF(IFERROR(INDEX('Lists'!$C$6:$C$30,MATCH($E239,'Lists'!$B$6:$B$30,0)),"?")&lt;&gt;IFERROR(INDEX('Lists'!$C$6:$C$30,MATCH($F239,'Lists'!$B$6:$B$30,0)),"?"),"Unit mismatch",IF(ISNUMBER(INDEX('Inventory'!$G$7:$G$106,MATCH($C239,'Inventory'!$B$7:$B$106,0))),"OK","Add price in Inventory"))))))))))</f>
        <v/>
      </c>
      <c r="H239" s="87">
        <f>IF($G239&lt;&gt;"OK","",$D239*INDEX('Lists'!$D$6:$D$30,MATCH($E239,'Lists'!$B$6:$B$30,0))/INDEX('Lists'!$D$6:$D$30,MATCH($F239,'Lists'!$B$6:$B$30,0)))</f>
        <v/>
      </c>
      <c r="I239" s="87">
        <f>IF($G239&lt;&gt;"OK","",INDEX('Inventory'!$G$7:$G$106,MATCH($C239,'Inventory'!$B$7:$B$106,0)))</f>
        <v/>
      </c>
      <c r="J239" s="88">
        <f>IF($G239&lt;&gt;"OK","",$H239*$I239)</f>
        <v/>
      </c>
      <c r="K239" s="82">
        <f>IF($G239&lt;&gt;"OK","",SUMIFS('Sales Log'!$D$7:$D$3006,'Sales Log'!$C$7:$C$3006,$B239,'Sales Log'!$B$7:$B$3006,"&gt;="&amp;cfg_CountDate,'Sales Log'!$N$7:$N$3006,"OK"))</f>
        <v/>
      </c>
      <c r="L239" s="89">
        <f>IF($G239&lt;&gt;"OK","",$H239*$K239)</f>
        <v/>
      </c>
    </row>
    <row r="240" ht="17" customHeight="1">
      <c r="B240" s="60" t="n"/>
      <c r="C240" s="60" t="n"/>
      <c r="D240" s="86" t="n"/>
      <c r="E240" s="60" t="n"/>
      <c r="F240" s="13">
        <f>IF($C240="","",IFERROR(INDEX('Inventory'!$D$7:$D$106,MATCH($C240,'Inventory'!$B$7:$B$106,0))&amp;"","?"))</f>
        <v/>
      </c>
      <c r="G240" s="80">
        <f>IF(AND($B240="",$C240=""),"",IF($B240="","Pick menu item",IF(ISNA(MATCH($B240,'Menu Pricing'!$B$7:$B$56,0)),"Not on Menu Pricing",IF($C240="","Pick ingredient",IF($F240="?","Not in Inventory",IF($F240="","Set stock unit in Inventory",IF(N($D240)&lt;=0,"Enter quantity",IF($E240="","Pick unit",IF(IFERROR(INDEX('Lists'!$C$6:$C$30,MATCH($E240,'Lists'!$B$6:$B$30,0)),"?")&lt;&gt;IFERROR(INDEX('Lists'!$C$6:$C$30,MATCH($F240,'Lists'!$B$6:$B$30,0)),"?"),"Unit mismatch",IF(ISNUMBER(INDEX('Inventory'!$G$7:$G$106,MATCH($C240,'Inventory'!$B$7:$B$106,0))),"OK","Add price in Inventory"))))))))))</f>
        <v/>
      </c>
      <c r="H240" s="87">
        <f>IF($G240&lt;&gt;"OK","",$D240*INDEX('Lists'!$D$6:$D$30,MATCH($E240,'Lists'!$B$6:$B$30,0))/INDEX('Lists'!$D$6:$D$30,MATCH($F240,'Lists'!$B$6:$B$30,0)))</f>
        <v/>
      </c>
      <c r="I240" s="87">
        <f>IF($G240&lt;&gt;"OK","",INDEX('Inventory'!$G$7:$G$106,MATCH($C240,'Inventory'!$B$7:$B$106,0)))</f>
        <v/>
      </c>
      <c r="J240" s="88">
        <f>IF($G240&lt;&gt;"OK","",$H240*$I240)</f>
        <v/>
      </c>
      <c r="K240" s="82">
        <f>IF($G240&lt;&gt;"OK","",SUMIFS('Sales Log'!$D$7:$D$3006,'Sales Log'!$C$7:$C$3006,$B240,'Sales Log'!$B$7:$B$3006,"&gt;="&amp;cfg_CountDate,'Sales Log'!$N$7:$N$3006,"OK"))</f>
        <v/>
      </c>
      <c r="L240" s="89">
        <f>IF($G240&lt;&gt;"OK","",$H240*$K240)</f>
        <v/>
      </c>
    </row>
    <row r="241" ht="17" customHeight="1">
      <c r="B241" s="60" t="n"/>
      <c r="C241" s="60" t="n"/>
      <c r="D241" s="86" t="n"/>
      <c r="E241" s="60" t="n"/>
      <c r="F241" s="13">
        <f>IF($C241="","",IFERROR(INDEX('Inventory'!$D$7:$D$106,MATCH($C241,'Inventory'!$B$7:$B$106,0))&amp;"","?"))</f>
        <v/>
      </c>
      <c r="G241" s="80">
        <f>IF(AND($B241="",$C241=""),"",IF($B241="","Pick menu item",IF(ISNA(MATCH($B241,'Menu Pricing'!$B$7:$B$56,0)),"Not on Menu Pricing",IF($C241="","Pick ingredient",IF($F241="?","Not in Inventory",IF($F241="","Set stock unit in Inventory",IF(N($D241)&lt;=0,"Enter quantity",IF($E241="","Pick unit",IF(IFERROR(INDEX('Lists'!$C$6:$C$30,MATCH($E241,'Lists'!$B$6:$B$30,0)),"?")&lt;&gt;IFERROR(INDEX('Lists'!$C$6:$C$30,MATCH($F241,'Lists'!$B$6:$B$30,0)),"?"),"Unit mismatch",IF(ISNUMBER(INDEX('Inventory'!$G$7:$G$106,MATCH($C241,'Inventory'!$B$7:$B$106,0))),"OK","Add price in Inventory"))))))))))</f>
        <v/>
      </c>
      <c r="H241" s="87">
        <f>IF($G241&lt;&gt;"OK","",$D241*INDEX('Lists'!$D$6:$D$30,MATCH($E241,'Lists'!$B$6:$B$30,0))/INDEX('Lists'!$D$6:$D$30,MATCH($F241,'Lists'!$B$6:$B$30,0)))</f>
        <v/>
      </c>
      <c r="I241" s="87">
        <f>IF($G241&lt;&gt;"OK","",INDEX('Inventory'!$G$7:$G$106,MATCH($C241,'Inventory'!$B$7:$B$106,0)))</f>
        <v/>
      </c>
      <c r="J241" s="88">
        <f>IF($G241&lt;&gt;"OK","",$H241*$I241)</f>
        <v/>
      </c>
      <c r="K241" s="82">
        <f>IF($G241&lt;&gt;"OK","",SUMIFS('Sales Log'!$D$7:$D$3006,'Sales Log'!$C$7:$C$3006,$B241,'Sales Log'!$B$7:$B$3006,"&gt;="&amp;cfg_CountDate,'Sales Log'!$N$7:$N$3006,"OK"))</f>
        <v/>
      </c>
      <c r="L241" s="89">
        <f>IF($G241&lt;&gt;"OK","",$H241*$K241)</f>
        <v/>
      </c>
    </row>
    <row r="242" ht="17" customHeight="1">
      <c r="B242" s="60" t="n"/>
      <c r="C242" s="60" t="n"/>
      <c r="D242" s="86" t="n"/>
      <c r="E242" s="60" t="n"/>
      <c r="F242" s="13">
        <f>IF($C242="","",IFERROR(INDEX('Inventory'!$D$7:$D$106,MATCH($C242,'Inventory'!$B$7:$B$106,0))&amp;"","?"))</f>
        <v/>
      </c>
      <c r="G242" s="80">
        <f>IF(AND($B242="",$C242=""),"",IF($B242="","Pick menu item",IF(ISNA(MATCH($B242,'Menu Pricing'!$B$7:$B$56,0)),"Not on Menu Pricing",IF($C242="","Pick ingredient",IF($F242="?","Not in Inventory",IF($F242="","Set stock unit in Inventory",IF(N($D242)&lt;=0,"Enter quantity",IF($E242="","Pick unit",IF(IFERROR(INDEX('Lists'!$C$6:$C$30,MATCH($E242,'Lists'!$B$6:$B$30,0)),"?")&lt;&gt;IFERROR(INDEX('Lists'!$C$6:$C$30,MATCH($F242,'Lists'!$B$6:$B$30,0)),"?"),"Unit mismatch",IF(ISNUMBER(INDEX('Inventory'!$G$7:$G$106,MATCH($C242,'Inventory'!$B$7:$B$106,0))),"OK","Add price in Inventory"))))))))))</f>
        <v/>
      </c>
      <c r="H242" s="87">
        <f>IF($G242&lt;&gt;"OK","",$D242*INDEX('Lists'!$D$6:$D$30,MATCH($E242,'Lists'!$B$6:$B$30,0))/INDEX('Lists'!$D$6:$D$30,MATCH($F242,'Lists'!$B$6:$B$30,0)))</f>
        <v/>
      </c>
      <c r="I242" s="87">
        <f>IF($G242&lt;&gt;"OK","",INDEX('Inventory'!$G$7:$G$106,MATCH($C242,'Inventory'!$B$7:$B$106,0)))</f>
        <v/>
      </c>
      <c r="J242" s="88">
        <f>IF($G242&lt;&gt;"OK","",$H242*$I242)</f>
        <v/>
      </c>
      <c r="K242" s="82">
        <f>IF($G242&lt;&gt;"OK","",SUMIFS('Sales Log'!$D$7:$D$3006,'Sales Log'!$C$7:$C$3006,$B242,'Sales Log'!$B$7:$B$3006,"&gt;="&amp;cfg_CountDate,'Sales Log'!$N$7:$N$3006,"OK"))</f>
        <v/>
      </c>
      <c r="L242" s="89">
        <f>IF($G242&lt;&gt;"OK","",$H242*$K242)</f>
        <v/>
      </c>
    </row>
    <row r="243" ht="17" customHeight="1">
      <c r="B243" s="60" t="n"/>
      <c r="C243" s="60" t="n"/>
      <c r="D243" s="86" t="n"/>
      <c r="E243" s="60" t="n"/>
      <c r="F243" s="13">
        <f>IF($C243="","",IFERROR(INDEX('Inventory'!$D$7:$D$106,MATCH($C243,'Inventory'!$B$7:$B$106,0))&amp;"","?"))</f>
        <v/>
      </c>
      <c r="G243" s="80">
        <f>IF(AND($B243="",$C243=""),"",IF($B243="","Pick menu item",IF(ISNA(MATCH($B243,'Menu Pricing'!$B$7:$B$56,0)),"Not on Menu Pricing",IF($C243="","Pick ingredient",IF($F243="?","Not in Inventory",IF($F243="","Set stock unit in Inventory",IF(N($D243)&lt;=0,"Enter quantity",IF($E243="","Pick unit",IF(IFERROR(INDEX('Lists'!$C$6:$C$30,MATCH($E243,'Lists'!$B$6:$B$30,0)),"?")&lt;&gt;IFERROR(INDEX('Lists'!$C$6:$C$30,MATCH($F243,'Lists'!$B$6:$B$30,0)),"?"),"Unit mismatch",IF(ISNUMBER(INDEX('Inventory'!$G$7:$G$106,MATCH($C243,'Inventory'!$B$7:$B$106,0))),"OK","Add price in Inventory"))))))))))</f>
        <v/>
      </c>
      <c r="H243" s="87">
        <f>IF($G243&lt;&gt;"OK","",$D243*INDEX('Lists'!$D$6:$D$30,MATCH($E243,'Lists'!$B$6:$B$30,0))/INDEX('Lists'!$D$6:$D$30,MATCH($F243,'Lists'!$B$6:$B$30,0)))</f>
        <v/>
      </c>
      <c r="I243" s="87">
        <f>IF($G243&lt;&gt;"OK","",INDEX('Inventory'!$G$7:$G$106,MATCH($C243,'Inventory'!$B$7:$B$106,0)))</f>
        <v/>
      </c>
      <c r="J243" s="88">
        <f>IF($G243&lt;&gt;"OK","",$H243*$I243)</f>
        <v/>
      </c>
      <c r="K243" s="82">
        <f>IF($G243&lt;&gt;"OK","",SUMIFS('Sales Log'!$D$7:$D$3006,'Sales Log'!$C$7:$C$3006,$B243,'Sales Log'!$B$7:$B$3006,"&gt;="&amp;cfg_CountDate,'Sales Log'!$N$7:$N$3006,"OK"))</f>
        <v/>
      </c>
      <c r="L243" s="89">
        <f>IF($G243&lt;&gt;"OK","",$H243*$K243)</f>
        <v/>
      </c>
    </row>
    <row r="244" ht="17" customHeight="1">
      <c r="B244" s="60" t="n"/>
      <c r="C244" s="60" t="n"/>
      <c r="D244" s="86" t="n"/>
      <c r="E244" s="60" t="n"/>
      <c r="F244" s="13">
        <f>IF($C244="","",IFERROR(INDEX('Inventory'!$D$7:$D$106,MATCH($C244,'Inventory'!$B$7:$B$106,0))&amp;"","?"))</f>
        <v/>
      </c>
      <c r="G244" s="80">
        <f>IF(AND($B244="",$C244=""),"",IF($B244="","Pick menu item",IF(ISNA(MATCH($B244,'Menu Pricing'!$B$7:$B$56,0)),"Not on Menu Pricing",IF($C244="","Pick ingredient",IF($F244="?","Not in Inventory",IF($F244="","Set stock unit in Inventory",IF(N($D244)&lt;=0,"Enter quantity",IF($E244="","Pick unit",IF(IFERROR(INDEX('Lists'!$C$6:$C$30,MATCH($E244,'Lists'!$B$6:$B$30,0)),"?")&lt;&gt;IFERROR(INDEX('Lists'!$C$6:$C$30,MATCH($F244,'Lists'!$B$6:$B$30,0)),"?"),"Unit mismatch",IF(ISNUMBER(INDEX('Inventory'!$G$7:$G$106,MATCH($C244,'Inventory'!$B$7:$B$106,0))),"OK","Add price in Inventory"))))))))))</f>
        <v/>
      </c>
      <c r="H244" s="87">
        <f>IF($G244&lt;&gt;"OK","",$D244*INDEX('Lists'!$D$6:$D$30,MATCH($E244,'Lists'!$B$6:$B$30,0))/INDEX('Lists'!$D$6:$D$30,MATCH($F244,'Lists'!$B$6:$B$30,0)))</f>
        <v/>
      </c>
      <c r="I244" s="87">
        <f>IF($G244&lt;&gt;"OK","",INDEX('Inventory'!$G$7:$G$106,MATCH($C244,'Inventory'!$B$7:$B$106,0)))</f>
        <v/>
      </c>
      <c r="J244" s="88">
        <f>IF($G244&lt;&gt;"OK","",$H244*$I244)</f>
        <v/>
      </c>
      <c r="K244" s="82">
        <f>IF($G244&lt;&gt;"OK","",SUMIFS('Sales Log'!$D$7:$D$3006,'Sales Log'!$C$7:$C$3006,$B244,'Sales Log'!$B$7:$B$3006,"&gt;="&amp;cfg_CountDate,'Sales Log'!$N$7:$N$3006,"OK"))</f>
        <v/>
      </c>
      <c r="L244" s="89">
        <f>IF($G244&lt;&gt;"OK","",$H244*$K244)</f>
        <v/>
      </c>
    </row>
    <row r="245" ht="17" customHeight="1">
      <c r="B245" s="60" t="n"/>
      <c r="C245" s="60" t="n"/>
      <c r="D245" s="86" t="n"/>
      <c r="E245" s="60" t="n"/>
      <c r="F245" s="13">
        <f>IF($C245="","",IFERROR(INDEX('Inventory'!$D$7:$D$106,MATCH($C245,'Inventory'!$B$7:$B$106,0))&amp;"","?"))</f>
        <v/>
      </c>
      <c r="G245" s="80">
        <f>IF(AND($B245="",$C245=""),"",IF($B245="","Pick menu item",IF(ISNA(MATCH($B245,'Menu Pricing'!$B$7:$B$56,0)),"Not on Menu Pricing",IF($C245="","Pick ingredient",IF($F245="?","Not in Inventory",IF($F245="","Set stock unit in Inventory",IF(N($D245)&lt;=0,"Enter quantity",IF($E245="","Pick unit",IF(IFERROR(INDEX('Lists'!$C$6:$C$30,MATCH($E245,'Lists'!$B$6:$B$30,0)),"?")&lt;&gt;IFERROR(INDEX('Lists'!$C$6:$C$30,MATCH($F245,'Lists'!$B$6:$B$30,0)),"?"),"Unit mismatch",IF(ISNUMBER(INDEX('Inventory'!$G$7:$G$106,MATCH($C245,'Inventory'!$B$7:$B$106,0))),"OK","Add price in Inventory"))))))))))</f>
        <v/>
      </c>
      <c r="H245" s="87">
        <f>IF($G245&lt;&gt;"OK","",$D245*INDEX('Lists'!$D$6:$D$30,MATCH($E245,'Lists'!$B$6:$B$30,0))/INDEX('Lists'!$D$6:$D$30,MATCH($F245,'Lists'!$B$6:$B$30,0)))</f>
        <v/>
      </c>
      <c r="I245" s="87">
        <f>IF($G245&lt;&gt;"OK","",INDEX('Inventory'!$G$7:$G$106,MATCH($C245,'Inventory'!$B$7:$B$106,0)))</f>
        <v/>
      </c>
      <c r="J245" s="88">
        <f>IF($G245&lt;&gt;"OK","",$H245*$I245)</f>
        <v/>
      </c>
      <c r="K245" s="82">
        <f>IF($G245&lt;&gt;"OK","",SUMIFS('Sales Log'!$D$7:$D$3006,'Sales Log'!$C$7:$C$3006,$B245,'Sales Log'!$B$7:$B$3006,"&gt;="&amp;cfg_CountDate,'Sales Log'!$N$7:$N$3006,"OK"))</f>
        <v/>
      </c>
      <c r="L245" s="89">
        <f>IF($G245&lt;&gt;"OK","",$H245*$K245)</f>
        <v/>
      </c>
    </row>
    <row r="246" ht="17" customHeight="1">
      <c r="B246" s="60" t="n"/>
      <c r="C246" s="60" t="n"/>
      <c r="D246" s="86" t="n"/>
      <c r="E246" s="60" t="n"/>
      <c r="F246" s="13">
        <f>IF($C246="","",IFERROR(INDEX('Inventory'!$D$7:$D$106,MATCH($C246,'Inventory'!$B$7:$B$106,0))&amp;"","?"))</f>
        <v/>
      </c>
      <c r="G246" s="80">
        <f>IF(AND($B246="",$C246=""),"",IF($B246="","Pick menu item",IF(ISNA(MATCH($B246,'Menu Pricing'!$B$7:$B$56,0)),"Not on Menu Pricing",IF($C246="","Pick ingredient",IF($F246="?","Not in Inventory",IF($F246="","Set stock unit in Inventory",IF(N($D246)&lt;=0,"Enter quantity",IF($E246="","Pick unit",IF(IFERROR(INDEX('Lists'!$C$6:$C$30,MATCH($E246,'Lists'!$B$6:$B$30,0)),"?")&lt;&gt;IFERROR(INDEX('Lists'!$C$6:$C$30,MATCH($F246,'Lists'!$B$6:$B$30,0)),"?"),"Unit mismatch",IF(ISNUMBER(INDEX('Inventory'!$G$7:$G$106,MATCH($C246,'Inventory'!$B$7:$B$106,0))),"OK","Add price in Inventory"))))))))))</f>
        <v/>
      </c>
      <c r="H246" s="87">
        <f>IF($G246&lt;&gt;"OK","",$D246*INDEX('Lists'!$D$6:$D$30,MATCH($E246,'Lists'!$B$6:$B$30,0))/INDEX('Lists'!$D$6:$D$30,MATCH($F246,'Lists'!$B$6:$B$30,0)))</f>
        <v/>
      </c>
      <c r="I246" s="87">
        <f>IF($G246&lt;&gt;"OK","",INDEX('Inventory'!$G$7:$G$106,MATCH($C246,'Inventory'!$B$7:$B$106,0)))</f>
        <v/>
      </c>
      <c r="J246" s="88">
        <f>IF($G246&lt;&gt;"OK","",$H246*$I246)</f>
        <v/>
      </c>
      <c r="K246" s="82">
        <f>IF($G246&lt;&gt;"OK","",SUMIFS('Sales Log'!$D$7:$D$3006,'Sales Log'!$C$7:$C$3006,$B246,'Sales Log'!$B$7:$B$3006,"&gt;="&amp;cfg_CountDate,'Sales Log'!$N$7:$N$3006,"OK"))</f>
        <v/>
      </c>
      <c r="L246" s="89">
        <f>IF($G246&lt;&gt;"OK","",$H246*$K246)</f>
        <v/>
      </c>
    </row>
    <row r="247" ht="17" customHeight="1">
      <c r="B247" s="60" t="n"/>
      <c r="C247" s="60" t="n"/>
      <c r="D247" s="86" t="n"/>
      <c r="E247" s="60" t="n"/>
      <c r="F247" s="13">
        <f>IF($C247="","",IFERROR(INDEX('Inventory'!$D$7:$D$106,MATCH($C247,'Inventory'!$B$7:$B$106,0))&amp;"","?"))</f>
        <v/>
      </c>
      <c r="G247" s="80">
        <f>IF(AND($B247="",$C247=""),"",IF($B247="","Pick menu item",IF(ISNA(MATCH($B247,'Menu Pricing'!$B$7:$B$56,0)),"Not on Menu Pricing",IF($C247="","Pick ingredient",IF($F247="?","Not in Inventory",IF($F247="","Set stock unit in Inventory",IF(N($D247)&lt;=0,"Enter quantity",IF($E247="","Pick unit",IF(IFERROR(INDEX('Lists'!$C$6:$C$30,MATCH($E247,'Lists'!$B$6:$B$30,0)),"?")&lt;&gt;IFERROR(INDEX('Lists'!$C$6:$C$30,MATCH($F247,'Lists'!$B$6:$B$30,0)),"?"),"Unit mismatch",IF(ISNUMBER(INDEX('Inventory'!$G$7:$G$106,MATCH($C247,'Inventory'!$B$7:$B$106,0))),"OK","Add price in Inventory"))))))))))</f>
        <v/>
      </c>
      <c r="H247" s="87">
        <f>IF($G247&lt;&gt;"OK","",$D247*INDEX('Lists'!$D$6:$D$30,MATCH($E247,'Lists'!$B$6:$B$30,0))/INDEX('Lists'!$D$6:$D$30,MATCH($F247,'Lists'!$B$6:$B$30,0)))</f>
        <v/>
      </c>
      <c r="I247" s="87">
        <f>IF($G247&lt;&gt;"OK","",INDEX('Inventory'!$G$7:$G$106,MATCH($C247,'Inventory'!$B$7:$B$106,0)))</f>
        <v/>
      </c>
      <c r="J247" s="88">
        <f>IF($G247&lt;&gt;"OK","",$H247*$I247)</f>
        <v/>
      </c>
      <c r="K247" s="82">
        <f>IF($G247&lt;&gt;"OK","",SUMIFS('Sales Log'!$D$7:$D$3006,'Sales Log'!$C$7:$C$3006,$B247,'Sales Log'!$B$7:$B$3006,"&gt;="&amp;cfg_CountDate,'Sales Log'!$N$7:$N$3006,"OK"))</f>
        <v/>
      </c>
      <c r="L247" s="89">
        <f>IF($G247&lt;&gt;"OK","",$H247*$K247)</f>
        <v/>
      </c>
    </row>
    <row r="248" ht="17" customHeight="1">
      <c r="B248" s="60" t="n"/>
      <c r="C248" s="60" t="n"/>
      <c r="D248" s="86" t="n"/>
      <c r="E248" s="60" t="n"/>
      <c r="F248" s="13">
        <f>IF($C248="","",IFERROR(INDEX('Inventory'!$D$7:$D$106,MATCH($C248,'Inventory'!$B$7:$B$106,0))&amp;"","?"))</f>
        <v/>
      </c>
      <c r="G248" s="80">
        <f>IF(AND($B248="",$C248=""),"",IF($B248="","Pick menu item",IF(ISNA(MATCH($B248,'Menu Pricing'!$B$7:$B$56,0)),"Not on Menu Pricing",IF($C248="","Pick ingredient",IF($F248="?","Not in Inventory",IF($F248="","Set stock unit in Inventory",IF(N($D248)&lt;=0,"Enter quantity",IF($E248="","Pick unit",IF(IFERROR(INDEX('Lists'!$C$6:$C$30,MATCH($E248,'Lists'!$B$6:$B$30,0)),"?")&lt;&gt;IFERROR(INDEX('Lists'!$C$6:$C$30,MATCH($F248,'Lists'!$B$6:$B$30,0)),"?"),"Unit mismatch",IF(ISNUMBER(INDEX('Inventory'!$G$7:$G$106,MATCH($C248,'Inventory'!$B$7:$B$106,0))),"OK","Add price in Inventory"))))))))))</f>
        <v/>
      </c>
      <c r="H248" s="87">
        <f>IF($G248&lt;&gt;"OK","",$D248*INDEX('Lists'!$D$6:$D$30,MATCH($E248,'Lists'!$B$6:$B$30,0))/INDEX('Lists'!$D$6:$D$30,MATCH($F248,'Lists'!$B$6:$B$30,0)))</f>
        <v/>
      </c>
      <c r="I248" s="87">
        <f>IF($G248&lt;&gt;"OK","",INDEX('Inventory'!$G$7:$G$106,MATCH($C248,'Inventory'!$B$7:$B$106,0)))</f>
        <v/>
      </c>
      <c r="J248" s="88">
        <f>IF($G248&lt;&gt;"OK","",$H248*$I248)</f>
        <v/>
      </c>
      <c r="K248" s="82">
        <f>IF($G248&lt;&gt;"OK","",SUMIFS('Sales Log'!$D$7:$D$3006,'Sales Log'!$C$7:$C$3006,$B248,'Sales Log'!$B$7:$B$3006,"&gt;="&amp;cfg_CountDate,'Sales Log'!$N$7:$N$3006,"OK"))</f>
        <v/>
      </c>
      <c r="L248" s="89">
        <f>IF($G248&lt;&gt;"OK","",$H248*$K248)</f>
        <v/>
      </c>
    </row>
    <row r="249" ht="17" customHeight="1">
      <c r="B249" s="60" t="n"/>
      <c r="C249" s="60" t="n"/>
      <c r="D249" s="86" t="n"/>
      <c r="E249" s="60" t="n"/>
      <c r="F249" s="13">
        <f>IF($C249="","",IFERROR(INDEX('Inventory'!$D$7:$D$106,MATCH($C249,'Inventory'!$B$7:$B$106,0))&amp;"","?"))</f>
        <v/>
      </c>
      <c r="G249" s="80">
        <f>IF(AND($B249="",$C249=""),"",IF($B249="","Pick menu item",IF(ISNA(MATCH($B249,'Menu Pricing'!$B$7:$B$56,0)),"Not on Menu Pricing",IF($C249="","Pick ingredient",IF($F249="?","Not in Inventory",IF($F249="","Set stock unit in Inventory",IF(N($D249)&lt;=0,"Enter quantity",IF($E249="","Pick unit",IF(IFERROR(INDEX('Lists'!$C$6:$C$30,MATCH($E249,'Lists'!$B$6:$B$30,0)),"?")&lt;&gt;IFERROR(INDEX('Lists'!$C$6:$C$30,MATCH($F249,'Lists'!$B$6:$B$30,0)),"?"),"Unit mismatch",IF(ISNUMBER(INDEX('Inventory'!$G$7:$G$106,MATCH($C249,'Inventory'!$B$7:$B$106,0))),"OK","Add price in Inventory"))))))))))</f>
        <v/>
      </c>
      <c r="H249" s="87">
        <f>IF($G249&lt;&gt;"OK","",$D249*INDEX('Lists'!$D$6:$D$30,MATCH($E249,'Lists'!$B$6:$B$30,0))/INDEX('Lists'!$D$6:$D$30,MATCH($F249,'Lists'!$B$6:$B$30,0)))</f>
        <v/>
      </c>
      <c r="I249" s="87">
        <f>IF($G249&lt;&gt;"OK","",INDEX('Inventory'!$G$7:$G$106,MATCH($C249,'Inventory'!$B$7:$B$106,0)))</f>
        <v/>
      </c>
      <c r="J249" s="88">
        <f>IF($G249&lt;&gt;"OK","",$H249*$I249)</f>
        <v/>
      </c>
      <c r="K249" s="82">
        <f>IF($G249&lt;&gt;"OK","",SUMIFS('Sales Log'!$D$7:$D$3006,'Sales Log'!$C$7:$C$3006,$B249,'Sales Log'!$B$7:$B$3006,"&gt;="&amp;cfg_CountDate,'Sales Log'!$N$7:$N$3006,"OK"))</f>
        <v/>
      </c>
      <c r="L249" s="89">
        <f>IF($G249&lt;&gt;"OK","",$H249*$K249)</f>
        <v/>
      </c>
    </row>
    <row r="250" ht="17" customHeight="1">
      <c r="B250" s="60" t="n"/>
      <c r="C250" s="60" t="n"/>
      <c r="D250" s="86" t="n"/>
      <c r="E250" s="60" t="n"/>
      <c r="F250" s="13">
        <f>IF($C250="","",IFERROR(INDEX('Inventory'!$D$7:$D$106,MATCH($C250,'Inventory'!$B$7:$B$106,0))&amp;"","?"))</f>
        <v/>
      </c>
      <c r="G250" s="80">
        <f>IF(AND($B250="",$C250=""),"",IF($B250="","Pick menu item",IF(ISNA(MATCH($B250,'Menu Pricing'!$B$7:$B$56,0)),"Not on Menu Pricing",IF($C250="","Pick ingredient",IF($F250="?","Not in Inventory",IF($F250="","Set stock unit in Inventory",IF(N($D250)&lt;=0,"Enter quantity",IF($E250="","Pick unit",IF(IFERROR(INDEX('Lists'!$C$6:$C$30,MATCH($E250,'Lists'!$B$6:$B$30,0)),"?")&lt;&gt;IFERROR(INDEX('Lists'!$C$6:$C$30,MATCH($F250,'Lists'!$B$6:$B$30,0)),"?"),"Unit mismatch",IF(ISNUMBER(INDEX('Inventory'!$G$7:$G$106,MATCH($C250,'Inventory'!$B$7:$B$106,0))),"OK","Add price in Inventory"))))))))))</f>
        <v/>
      </c>
      <c r="H250" s="87">
        <f>IF($G250&lt;&gt;"OK","",$D250*INDEX('Lists'!$D$6:$D$30,MATCH($E250,'Lists'!$B$6:$B$30,0))/INDEX('Lists'!$D$6:$D$30,MATCH($F250,'Lists'!$B$6:$B$30,0)))</f>
        <v/>
      </c>
      <c r="I250" s="87">
        <f>IF($G250&lt;&gt;"OK","",INDEX('Inventory'!$G$7:$G$106,MATCH($C250,'Inventory'!$B$7:$B$106,0)))</f>
        <v/>
      </c>
      <c r="J250" s="88">
        <f>IF($G250&lt;&gt;"OK","",$H250*$I250)</f>
        <v/>
      </c>
      <c r="K250" s="82">
        <f>IF($G250&lt;&gt;"OK","",SUMIFS('Sales Log'!$D$7:$D$3006,'Sales Log'!$C$7:$C$3006,$B250,'Sales Log'!$B$7:$B$3006,"&gt;="&amp;cfg_CountDate,'Sales Log'!$N$7:$N$3006,"OK"))</f>
        <v/>
      </c>
      <c r="L250" s="89">
        <f>IF($G250&lt;&gt;"OK","",$H250*$K250)</f>
        <v/>
      </c>
    </row>
    <row r="251" ht="17" customHeight="1">
      <c r="B251" s="60" t="n"/>
      <c r="C251" s="60" t="n"/>
      <c r="D251" s="86" t="n"/>
      <c r="E251" s="60" t="n"/>
      <c r="F251" s="13">
        <f>IF($C251="","",IFERROR(INDEX('Inventory'!$D$7:$D$106,MATCH($C251,'Inventory'!$B$7:$B$106,0))&amp;"","?"))</f>
        <v/>
      </c>
      <c r="G251" s="80">
        <f>IF(AND($B251="",$C251=""),"",IF($B251="","Pick menu item",IF(ISNA(MATCH($B251,'Menu Pricing'!$B$7:$B$56,0)),"Not on Menu Pricing",IF($C251="","Pick ingredient",IF($F251="?","Not in Inventory",IF($F251="","Set stock unit in Inventory",IF(N($D251)&lt;=0,"Enter quantity",IF($E251="","Pick unit",IF(IFERROR(INDEX('Lists'!$C$6:$C$30,MATCH($E251,'Lists'!$B$6:$B$30,0)),"?")&lt;&gt;IFERROR(INDEX('Lists'!$C$6:$C$30,MATCH($F251,'Lists'!$B$6:$B$30,0)),"?"),"Unit mismatch",IF(ISNUMBER(INDEX('Inventory'!$G$7:$G$106,MATCH($C251,'Inventory'!$B$7:$B$106,0))),"OK","Add price in Inventory"))))))))))</f>
        <v/>
      </c>
      <c r="H251" s="87">
        <f>IF($G251&lt;&gt;"OK","",$D251*INDEX('Lists'!$D$6:$D$30,MATCH($E251,'Lists'!$B$6:$B$30,0))/INDEX('Lists'!$D$6:$D$30,MATCH($F251,'Lists'!$B$6:$B$30,0)))</f>
        <v/>
      </c>
      <c r="I251" s="87">
        <f>IF($G251&lt;&gt;"OK","",INDEX('Inventory'!$G$7:$G$106,MATCH($C251,'Inventory'!$B$7:$B$106,0)))</f>
        <v/>
      </c>
      <c r="J251" s="88">
        <f>IF($G251&lt;&gt;"OK","",$H251*$I251)</f>
        <v/>
      </c>
      <c r="K251" s="82">
        <f>IF($G251&lt;&gt;"OK","",SUMIFS('Sales Log'!$D$7:$D$3006,'Sales Log'!$C$7:$C$3006,$B251,'Sales Log'!$B$7:$B$3006,"&gt;="&amp;cfg_CountDate,'Sales Log'!$N$7:$N$3006,"OK"))</f>
        <v/>
      </c>
      <c r="L251" s="89">
        <f>IF($G251&lt;&gt;"OK","",$H251*$K251)</f>
        <v/>
      </c>
    </row>
    <row r="252" ht="17" customHeight="1">
      <c r="B252" s="60" t="n"/>
      <c r="C252" s="60" t="n"/>
      <c r="D252" s="86" t="n"/>
      <c r="E252" s="60" t="n"/>
      <c r="F252" s="13">
        <f>IF($C252="","",IFERROR(INDEX('Inventory'!$D$7:$D$106,MATCH($C252,'Inventory'!$B$7:$B$106,0))&amp;"","?"))</f>
        <v/>
      </c>
      <c r="G252" s="80">
        <f>IF(AND($B252="",$C252=""),"",IF($B252="","Pick menu item",IF(ISNA(MATCH($B252,'Menu Pricing'!$B$7:$B$56,0)),"Not on Menu Pricing",IF($C252="","Pick ingredient",IF($F252="?","Not in Inventory",IF($F252="","Set stock unit in Inventory",IF(N($D252)&lt;=0,"Enter quantity",IF($E252="","Pick unit",IF(IFERROR(INDEX('Lists'!$C$6:$C$30,MATCH($E252,'Lists'!$B$6:$B$30,0)),"?")&lt;&gt;IFERROR(INDEX('Lists'!$C$6:$C$30,MATCH($F252,'Lists'!$B$6:$B$30,0)),"?"),"Unit mismatch",IF(ISNUMBER(INDEX('Inventory'!$G$7:$G$106,MATCH($C252,'Inventory'!$B$7:$B$106,0))),"OK","Add price in Inventory"))))))))))</f>
        <v/>
      </c>
      <c r="H252" s="87">
        <f>IF($G252&lt;&gt;"OK","",$D252*INDEX('Lists'!$D$6:$D$30,MATCH($E252,'Lists'!$B$6:$B$30,0))/INDEX('Lists'!$D$6:$D$30,MATCH($F252,'Lists'!$B$6:$B$30,0)))</f>
        <v/>
      </c>
      <c r="I252" s="87">
        <f>IF($G252&lt;&gt;"OK","",INDEX('Inventory'!$G$7:$G$106,MATCH($C252,'Inventory'!$B$7:$B$106,0)))</f>
        <v/>
      </c>
      <c r="J252" s="88">
        <f>IF($G252&lt;&gt;"OK","",$H252*$I252)</f>
        <v/>
      </c>
      <c r="K252" s="82">
        <f>IF($G252&lt;&gt;"OK","",SUMIFS('Sales Log'!$D$7:$D$3006,'Sales Log'!$C$7:$C$3006,$B252,'Sales Log'!$B$7:$B$3006,"&gt;="&amp;cfg_CountDate,'Sales Log'!$N$7:$N$3006,"OK"))</f>
        <v/>
      </c>
      <c r="L252" s="89">
        <f>IF($G252&lt;&gt;"OK","",$H252*$K252)</f>
        <v/>
      </c>
    </row>
    <row r="253" ht="17" customHeight="1">
      <c r="B253" s="60" t="n"/>
      <c r="C253" s="60" t="n"/>
      <c r="D253" s="86" t="n"/>
      <c r="E253" s="60" t="n"/>
      <c r="F253" s="13">
        <f>IF($C253="","",IFERROR(INDEX('Inventory'!$D$7:$D$106,MATCH($C253,'Inventory'!$B$7:$B$106,0))&amp;"","?"))</f>
        <v/>
      </c>
      <c r="G253" s="80">
        <f>IF(AND($B253="",$C253=""),"",IF($B253="","Pick menu item",IF(ISNA(MATCH($B253,'Menu Pricing'!$B$7:$B$56,0)),"Not on Menu Pricing",IF($C253="","Pick ingredient",IF($F253="?","Not in Inventory",IF($F253="","Set stock unit in Inventory",IF(N($D253)&lt;=0,"Enter quantity",IF($E253="","Pick unit",IF(IFERROR(INDEX('Lists'!$C$6:$C$30,MATCH($E253,'Lists'!$B$6:$B$30,0)),"?")&lt;&gt;IFERROR(INDEX('Lists'!$C$6:$C$30,MATCH($F253,'Lists'!$B$6:$B$30,0)),"?"),"Unit mismatch",IF(ISNUMBER(INDEX('Inventory'!$G$7:$G$106,MATCH($C253,'Inventory'!$B$7:$B$106,0))),"OK","Add price in Inventory"))))))))))</f>
        <v/>
      </c>
      <c r="H253" s="87">
        <f>IF($G253&lt;&gt;"OK","",$D253*INDEX('Lists'!$D$6:$D$30,MATCH($E253,'Lists'!$B$6:$B$30,0))/INDEX('Lists'!$D$6:$D$30,MATCH($F253,'Lists'!$B$6:$B$30,0)))</f>
        <v/>
      </c>
      <c r="I253" s="87">
        <f>IF($G253&lt;&gt;"OK","",INDEX('Inventory'!$G$7:$G$106,MATCH($C253,'Inventory'!$B$7:$B$106,0)))</f>
        <v/>
      </c>
      <c r="J253" s="88">
        <f>IF($G253&lt;&gt;"OK","",$H253*$I253)</f>
        <v/>
      </c>
      <c r="K253" s="82">
        <f>IF($G253&lt;&gt;"OK","",SUMIFS('Sales Log'!$D$7:$D$3006,'Sales Log'!$C$7:$C$3006,$B253,'Sales Log'!$B$7:$B$3006,"&gt;="&amp;cfg_CountDate,'Sales Log'!$N$7:$N$3006,"OK"))</f>
        <v/>
      </c>
      <c r="L253" s="89">
        <f>IF($G253&lt;&gt;"OK","",$H253*$K253)</f>
        <v/>
      </c>
    </row>
    <row r="254" ht="17" customHeight="1">
      <c r="B254" s="60" t="n"/>
      <c r="C254" s="60" t="n"/>
      <c r="D254" s="86" t="n"/>
      <c r="E254" s="60" t="n"/>
      <c r="F254" s="13">
        <f>IF($C254="","",IFERROR(INDEX('Inventory'!$D$7:$D$106,MATCH($C254,'Inventory'!$B$7:$B$106,0))&amp;"","?"))</f>
        <v/>
      </c>
      <c r="G254" s="80">
        <f>IF(AND($B254="",$C254=""),"",IF($B254="","Pick menu item",IF(ISNA(MATCH($B254,'Menu Pricing'!$B$7:$B$56,0)),"Not on Menu Pricing",IF($C254="","Pick ingredient",IF($F254="?","Not in Inventory",IF($F254="","Set stock unit in Inventory",IF(N($D254)&lt;=0,"Enter quantity",IF($E254="","Pick unit",IF(IFERROR(INDEX('Lists'!$C$6:$C$30,MATCH($E254,'Lists'!$B$6:$B$30,0)),"?")&lt;&gt;IFERROR(INDEX('Lists'!$C$6:$C$30,MATCH($F254,'Lists'!$B$6:$B$30,0)),"?"),"Unit mismatch",IF(ISNUMBER(INDEX('Inventory'!$G$7:$G$106,MATCH($C254,'Inventory'!$B$7:$B$106,0))),"OK","Add price in Inventory"))))))))))</f>
        <v/>
      </c>
      <c r="H254" s="87">
        <f>IF($G254&lt;&gt;"OK","",$D254*INDEX('Lists'!$D$6:$D$30,MATCH($E254,'Lists'!$B$6:$B$30,0))/INDEX('Lists'!$D$6:$D$30,MATCH($F254,'Lists'!$B$6:$B$30,0)))</f>
        <v/>
      </c>
      <c r="I254" s="87">
        <f>IF($G254&lt;&gt;"OK","",INDEX('Inventory'!$G$7:$G$106,MATCH($C254,'Inventory'!$B$7:$B$106,0)))</f>
        <v/>
      </c>
      <c r="J254" s="88">
        <f>IF($G254&lt;&gt;"OK","",$H254*$I254)</f>
        <v/>
      </c>
      <c r="K254" s="82">
        <f>IF($G254&lt;&gt;"OK","",SUMIFS('Sales Log'!$D$7:$D$3006,'Sales Log'!$C$7:$C$3006,$B254,'Sales Log'!$B$7:$B$3006,"&gt;="&amp;cfg_CountDate,'Sales Log'!$N$7:$N$3006,"OK"))</f>
        <v/>
      </c>
      <c r="L254" s="89">
        <f>IF($G254&lt;&gt;"OK","",$H254*$K254)</f>
        <v/>
      </c>
    </row>
    <row r="255" ht="17" customHeight="1">
      <c r="B255" s="60" t="n"/>
      <c r="C255" s="60" t="n"/>
      <c r="D255" s="86" t="n"/>
      <c r="E255" s="60" t="n"/>
      <c r="F255" s="13">
        <f>IF($C255="","",IFERROR(INDEX('Inventory'!$D$7:$D$106,MATCH($C255,'Inventory'!$B$7:$B$106,0))&amp;"","?"))</f>
        <v/>
      </c>
      <c r="G255" s="80">
        <f>IF(AND($B255="",$C255=""),"",IF($B255="","Pick menu item",IF(ISNA(MATCH($B255,'Menu Pricing'!$B$7:$B$56,0)),"Not on Menu Pricing",IF($C255="","Pick ingredient",IF($F255="?","Not in Inventory",IF($F255="","Set stock unit in Inventory",IF(N($D255)&lt;=0,"Enter quantity",IF($E255="","Pick unit",IF(IFERROR(INDEX('Lists'!$C$6:$C$30,MATCH($E255,'Lists'!$B$6:$B$30,0)),"?")&lt;&gt;IFERROR(INDEX('Lists'!$C$6:$C$30,MATCH($F255,'Lists'!$B$6:$B$30,0)),"?"),"Unit mismatch",IF(ISNUMBER(INDEX('Inventory'!$G$7:$G$106,MATCH($C255,'Inventory'!$B$7:$B$106,0))),"OK","Add price in Inventory"))))))))))</f>
        <v/>
      </c>
      <c r="H255" s="87">
        <f>IF($G255&lt;&gt;"OK","",$D255*INDEX('Lists'!$D$6:$D$30,MATCH($E255,'Lists'!$B$6:$B$30,0))/INDEX('Lists'!$D$6:$D$30,MATCH($F255,'Lists'!$B$6:$B$30,0)))</f>
        <v/>
      </c>
      <c r="I255" s="87">
        <f>IF($G255&lt;&gt;"OK","",INDEX('Inventory'!$G$7:$G$106,MATCH($C255,'Inventory'!$B$7:$B$106,0)))</f>
        <v/>
      </c>
      <c r="J255" s="88">
        <f>IF($G255&lt;&gt;"OK","",$H255*$I255)</f>
        <v/>
      </c>
      <c r="K255" s="82">
        <f>IF($G255&lt;&gt;"OK","",SUMIFS('Sales Log'!$D$7:$D$3006,'Sales Log'!$C$7:$C$3006,$B255,'Sales Log'!$B$7:$B$3006,"&gt;="&amp;cfg_CountDate,'Sales Log'!$N$7:$N$3006,"OK"))</f>
        <v/>
      </c>
      <c r="L255" s="89">
        <f>IF($G255&lt;&gt;"OK","",$H255*$K255)</f>
        <v/>
      </c>
    </row>
    <row r="256" ht="17" customHeight="1">
      <c r="B256" s="60" t="n"/>
      <c r="C256" s="60" t="n"/>
      <c r="D256" s="86" t="n"/>
      <c r="E256" s="60" t="n"/>
      <c r="F256" s="13">
        <f>IF($C256="","",IFERROR(INDEX('Inventory'!$D$7:$D$106,MATCH($C256,'Inventory'!$B$7:$B$106,0))&amp;"","?"))</f>
        <v/>
      </c>
      <c r="G256" s="80">
        <f>IF(AND($B256="",$C256=""),"",IF($B256="","Pick menu item",IF(ISNA(MATCH($B256,'Menu Pricing'!$B$7:$B$56,0)),"Not on Menu Pricing",IF($C256="","Pick ingredient",IF($F256="?","Not in Inventory",IF($F256="","Set stock unit in Inventory",IF(N($D256)&lt;=0,"Enter quantity",IF($E256="","Pick unit",IF(IFERROR(INDEX('Lists'!$C$6:$C$30,MATCH($E256,'Lists'!$B$6:$B$30,0)),"?")&lt;&gt;IFERROR(INDEX('Lists'!$C$6:$C$30,MATCH($F256,'Lists'!$B$6:$B$30,0)),"?"),"Unit mismatch",IF(ISNUMBER(INDEX('Inventory'!$G$7:$G$106,MATCH($C256,'Inventory'!$B$7:$B$106,0))),"OK","Add price in Inventory"))))))))))</f>
        <v/>
      </c>
      <c r="H256" s="87">
        <f>IF($G256&lt;&gt;"OK","",$D256*INDEX('Lists'!$D$6:$D$30,MATCH($E256,'Lists'!$B$6:$B$30,0))/INDEX('Lists'!$D$6:$D$30,MATCH($F256,'Lists'!$B$6:$B$30,0)))</f>
        <v/>
      </c>
      <c r="I256" s="87">
        <f>IF($G256&lt;&gt;"OK","",INDEX('Inventory'!$G$7:$G$106,MATCH($C256,'Inventory'!$B$7:$B$106,0)))</f>
        <v/>
      </c>
      <c r="J256" s="88">
        <f>IF($G256&lt;&gt;"OK","",$H256*$I256)</f>
        <v/>
      </c>
      <c r="K256" s="82">
        <f>IF($G256&lt;&gt;"OK","",SUMIFS('Sales Log'!$D$7:$D$3006,'Sales Log'!$C$7:$C$3006,$B256,'Sales Log'!$B$7:$B$3006,"&gt;="&amp;cfg_CountDate,'Sales Log'!$N$7:$N$3006,"OK"))</f>
        <v/>
      </c>
      <c r="L256" s="89">
        <f>IF($G256&lt;&gt;"OK","",$H256*$K256)</f>
        <v/>
      </c>
    </row>
    <row r="257" ht="17" customHeight="1">
      <c r="B257" s="60" t="n"/>
      <c r="C257" s="60" t="n"/>
      <c r="D257" s="86" t="n"/>
      <c r="E257" s="60" t="n"/>
      <c r="F257" s="13">
        <f>IF($C257="","",IFERROR(INDEX('Inventory'!$D$7:$D$106,MATCH($C257,'Inventory'!$B$7:$B$106,0))&amp;"","?"))</f>
        <v/>
      </c>
      <c r="G257" s="80">
        <f>IF(AND($B257="",$C257=""),"",IF($B257="","Pick menu item",IF(ISNA(MATCH($B257,'Menu Pricing'!$B$7:$B$56,0)),"Not on Menu Pricing",IF($C257="","Pick ingredient",IF($F257="?","Not in Inventory",IF($F257="","Set stock unit in Inventory",IF(N($D257)&lt;=0,"Enter quantity",IF($E257="","Pick unit",IF(IFERROR(INDEX('Lists'!$C$6:$C$30,MATCH($E257,'Lists'!$B$6:$B$30,0)),"?")&lt;&gt;IFERROR(INDEX('Lists'!$C$6:$C$30,MATCH($F257,'Lists'!$B$6:$B$30,0)),"?"),"Unit mismatch",IF(ISNUMBER(INDEX('Inventory'!$G$7:$G$106,MATCH($C257,'Inventory'!$B$7:$B$106,0))),"OK","Add price in Inventory"))))))))))</f>
        <v/>
      </c>
      <c r="H257" s="87">
        <f>IF($G257&lt;&gt;"OK","",$D257*INDEX('Lists'!$D$6:$D$30,MATCH($E257,'Lists'!$B$6:$B$30,0))/INDEX('Lists'!$D$6:$D$30,MATCH($F257,'Lists'!$B$6:$B$30,0)))</f>
        <v/>
      </c>
      <c r="I257" s="87">
        <f>IF($G257&lt;&gt;"OK","",INDEX('Inventory'!$G$7:$G$106,MATCH($C257,'Inventory'!$B$7:$B$106,0)))</f>
        <v/>
      </c>
      <c r="J257" s="88">
        <f>IF($G257&lt;&gt;"OK","",$H257*$I257)</f>
        <v/>
      </c>
      <c r="K257" s="82">
        <f>IF($G257&lt;&gt;"OK","",SUMIFS('Sales Log'!$D$7:$D$3006,'Sales Log'!$C$7:$C$3006,$B257,'Sales Log'!$B$7:$B$3006,"&gt;="&amp;cfg_CountDate,'Sales Log'!$N$7:$N$3006,"OK"))</f>
        <v/>
      </c>
      <c r="L257" s="89">
        <f>IF($G257&lt;&gt;"OK","",$H257*$K257)</f>
        <v/>
      </c>
    </row>
    <row r="258" ht="17" customHeight="1">
      <c r="B258" s="60" t="n"/>
      <c r="C258" s="60" t="n"/>
      <c r="D258" s="86" t="n"/>
      <c r="E258" s="60" t="n"/>
      <c r="F258" s="13">
        <f>IF($C258="","",IFERROR(INDEX('Inventory'!$D$7:$D$106,MATCH($C258,'Inventory'!$B$7:$B$106,0))&amp;"","?"))</f>
        <v/>
      </c>
      <c r="G258" s="80">
        <f>IF(AND($B258="",$C258=""),"",IF($B258="","Pick menu item",IF(ISNA(MATCH($B258,'Menu Pricing'!$B$7:$B$56,0)),"Not on Menu Pricing",IF($C258="","Pick ingredient",IF($F258="?","Not in Inventory",IF($F258="","Set stock unit in Inventory",IF(N($D258)&lt;=0,"Enter quantity",IF($E258="","Pick unit",IF(IFERROR(INDEX('Lists'!$C$6:$C$30,MATCH($E258,'Lists'!$B$6:$B$30,0)),"?")&lt;&gt;IFERROR(INDEX('Lists'!$C$6:$C$30,MATCH($F258,'Lists'!$B$6:$B$30,0)),"?"),"Unit mismatch",IF(ISNUMBER(INDEX('Inventory'!$G$7:$G$106,MATCH($C258,'Inventory'!$B$7:$B$106,0))),"OK","Add price in Inventory"))))))))))</f>
        <v/>
      </c>
      <c r="H258" s="87">
        <f>IF($G258&lt;&gt;"OK","",$D258*INDEX('Lists'!$D$6:$D$30,MATCH($E258,'Lists'!$B$6:$B$30,0))/INDEX('Lists'!$D$6:$D$30,MATCH($F258,'Lists'!$B$6:$B$30,0)))</f>
        <v/>
      </c>
      <c r="I258" s="87">
        <f>IF($G258&lt;&gt;"OK","",INDEX('Inventory'!$G$7:$G$106,MATCH($C258,'Inventory'!$B$7:$B$106,0)))</f>
        <v/>
      </c>
      <c r="J258" s="88">
        <f>IF($G258&lt;&gt;"OK","",$H258*$I258)</f>
        <v/>
      </c>
      <c r="K258" s="82">
        <f>IF($G258&lt;&gt;"OK","",SUMIFS('Sales Log'!$D$7:$D$3006,'Sales Log'!$C$7:$C$3006,$B258,'Sales Log'!$B$7:$B$3006,"&gt;="&amp;cfg_CountDate,'Sales Log'!$N$7:$N$3006,"OK"))</f>
        <v/>
      </c>
      <c r="L258" s="89">
        <f>IF($G258&lt;&gt;"OK","",$H258*$K258)</f>
        <v/>
      </c>
    </row>
    <row r="259" ht="17" customHeight="1">
      <c r="B259" s="60" t="n"/>
      <c r="C259" s="60" t="n"/>
      <c r="D259" s="86" t="n"/>
      <c r="E259" s="60" t="n"/>
      <c r="F259" s="13">
        <f>IF($C259="","",IFERROR(INDEX('Inventory'!$D$7:$D$106,MATCH($C259,'Inventory'!$B$7:$B$106,0))&amp;"","?"))</f>
        <v/>
      </c>
      <c r="G259" s="80">
        <f>IF(AND($B259="",$C259=""),"",IF($B259="","Pick menu item",IF(ISNA(MATCH($B259,'Menu Pricing'!$B$7:$B$56,0)),"Not on Menu Pricing",IF($C259="","Pick ingredient",IF($F259="?","Not in Inventory",IF($F259="","Set stock unit in Inventory",IF(N($D259)&lt;=0,"Enter quantity",IF($E259="","Pick unit",IF(IFERROR(INDEX('Lists'!$C$6:$C$30,MATCH($E259,'Lists'!$B$6:$B$30,0)),"?")&lt;&gt;IFERROR(INDEX('Lists'!$C$6:$C$30,MATCH($F259,'Lists'!$B$6:$B$30,0)),"?"),"Unit mismatch",IF(ISNUMBER(INDEX('Inventory'!$G$7:$G$106,MATCH($C259,'Inventory'!$B$7:$B$106,0))),"OK","Add price in Inventory"))))))))))</f>
        <v/>
      </c>
      <c r="H259" s="87">
        <f>IF($G259&lt;&gt;"OK","",$D259*INDEX('Lists'!$D$6:$D$30,MATCH($E259,'Lists'!$B$6:$B$30,0))/INDEX('Lists'!$D$6:$D$30,MATCH($F259,'Lists'!$B$6:$B$30,0)))</f>
        <v/>
      </c>
      <c r="I259" s="87">
        <f>IF($G259&lt;&gt;"OK","",INDEX('Inventory'!$G$7:$G$106,MATCH($C259,'Inventory'!$B$7:$B$106,0)))</f>
        <v/>
      </c>
      <c r="J259" s="88">
        <f>IF($G259&lt;&gt;"OK","",$H259*$I259)</f>
        <v/>
      </c>
      <c r="K259" s="82">
        <f>IF($G259&lt;&gt;"OK","",SUMIFS('Sales Log'!$D$7:$D$3006,'Sales Log'!$C$7:$C$3006,$B259,'Sales Log'!$B$7:$B$3006,"&gt;="&amp;cfg_CountDate,'Sales Log'!$N$7:$N$3006,"OK"))</f>
        <v/>
      </c>
      <c r="L259" s="89">
        <f>IF($G259&lt;&gt;"OK","",$H259*$K259)</f>
        <v/>
      </c>
    </row>
    <row r="260" ht="17" customHeight="1">
      <c r="B260" s="60" t="n"/>
      <c r="C260" s="60" t="n"/>
      <c r="D260" s="86" t="n"/>
      <c r="E260" s="60" t="n"/>
      <c r="F260" s="13">
        <f>IF($C260="","",IFERROR(INDEX('Inventory'!$D$7:$D$106,MATCH($C260,'Inventory'!$B$7:$B$106,0))&amp;"","?"))</f>
        <v/>
      </c>
      <c r="G260" s="80">
        <f>IF(AND($B260="",$C260=""),"",IF($B260="","Pick menu item",IF(ISNA(MATCH($B260,'Menu Pricing'!$B$7:$B$56,0)),"Not on Menu Pricing",IF($C260="","Pick ingredient",IF($F260="?","Not in Inventory",IF($F260="","Set stock unit in Inventory",IF(N($D260)&lt;=0,"Enter quantity",IF($E260="","Pick unit",IF(IFERROR(INDEX('Lists'!$C$6:$C$30,MATCH($E260,'Lists'!$B$6:$B$30,0)),"?")&lt;&gt;IFERROR(INDEX('Lists'!$C$6:$C$30,MATCH($F260,'Lists'!$B$6:$B$30,0)),"?"),"Unit mismatch",IF(ISNUMBER(INDEX('Inventory'!$G$7:$G$106,MATCH($C260,'Inventory'!$B$7:$B$106,0))),"OK","Add price in Inventory"))))))))))</f>
        <v/>
      </c>
      <c r="H260" s="87">
        <f>IF($G260&lt;&gt;"OK","",$D260*INDEX('Lists'!$D$6:$D$30,MATCH($E260,'Lists'!$B$6:$B$30,0))/INDEX('Lists'!$D$6:$D$30,MATCH($F260,'Lists'!$B$6:$B$30,0)))</f>
        <v/>
      </c>
      <c r="I260" s="87">
        <f>IF($G260&lt;&gt;"OK","",INDEX('Inventory'!$G$7:$G$106,MATCH($C260,'Inventory'!$B$7:$B$106,0)))</f>
        <v/>
      </c>
      <c r="J260" s="88">
        <f>IF($G260&lt;&gt;"OK","",$H260*$I260)</f>
        <v/>
      </c>
      <c r="K260" s="82">
        <f>IF($G260&lt;&gt;"OK","",SUMIFS('Sales Log'!$D$7:$D$3006,'Sales Log'!$C$7:$C$3006,$B260,'Sales Log'!$B$7:$B$3006,"&gt;="&amp;cfg_CountDate,'Sales Log'!$N$7:$N$3006,"OK"))</f>
        <v/>
      </c>
      <c r="L260" s="89">
        <f>IF($G260&lt;&gt;"OK","",$H260*$K260)</f>
        <v/>
      </c>
    </row>
    <row r="261" ht="17" customHeight="1">
      <c r="B261" s="60" t="n"/>
      <c r="C261" s="60" t="n"/>
      <c r="D261" s="86" t="n"/>
      <c r="E261" s="60" t="n"/>
      <c r="F261" s="13">
        <f>IF($C261="","",IFERROR(INDEX('Inventory'!$D$7:$D$106,MATCH($C261,'Inventory'!$B$7:$B$106,0))&amp;"","?"))</f>
        <v/>
      </c>
      <c r="G261" s="80">
        <f>IF(AND($B261="",$C261=""),"",IF($B261="","Pick menu item",IF(ISNA(MATCH($B261,'Menu Pricing'!$B$7:$B$56,0)),"Not on Menu Pricing",IF($C261="","Pick ingredient",IF($F261="?","Not in Inventory",IF($F261="","Set stock unit in Inventory",IF(N($D261)&lt;=0,"Enter quantity",IF($E261="","Pick unit",IF(IFERROR(INDEX('Lists'!$C$6:$C$30,MATCH($E261,'Lists'!$B$6:$B$30,0)),"?")&lt;&gt;IFERROR(INDEX('Lists'!$C$6:$C$30,MATCH($F261,'Lists'!$B$6:$B$30,0)),"?"),"Unit mismatch",IF(ISNUMBER(INDEX('Inventory'!$G$7:$G$106,MATCH($C261,'Inventory'!$B$7:$B$106,0))),"OK","Add price in Inventory"))))))))))</f>
        <v/>
      </c>
      <c r="H261" s="87">
        <f>IF($G261&lt;&gt;"OK","",$D261*INDEX('Lists'!$D$6:$D$30,MATCH($E261,'Lists'!$B$6:$B$30,0))/INDEX('Lists'!$D$6:$D$30,MATCH($F261,'Lists'!$B$6:$B$30,0)))</f>
        <v/>
      </c>
      <c r="I261" s="87">
        <f>IF($G261&lt;&gt;"OK","",INDEX('Inventory'!$G$7:$G$106,MATCH($C261,'Inventory'!$B$7:$B$106,0)))</f>
        <v/>
      </c>
      <c r="J261" s="88">
        <f>IF($G261&lt;&gt;"OK","",$H261*$I261)</f>
        <v/>
      </c>
      <c r="K261" s="82">
        <f>IF($G261&lt;&gt;"OK","",SUMIFS('Sales Log'!$D$7:$D$3006,'Sales Log'!$C$7:$C$3006,$B261,'Sales Log'!$B$7:$B$3006,"&gt;="&amp;cfg_CountDate,'Sales Log'!$N$7:$N$3006,"OK"))</f>
        <v/>
      </c>
      <c r="L261" s="89">
        <f>IF($G261&lt;&gt;"OK","",$H261*$K261)</f>
        <v/>
      </c>
    </row>
    <row r="262" ht="17" customHeight="1">
      <c r="B262" s="60" t="n"/>
      <c r="C262" s="60" t="n"/>
      <c r="D262" s="86" t="n"/>
      <c r="E262" s="60" t="n"/>
      <c r="F262" s="13">
        <f>IF($C262="","",IFERROR(INDEX('Inventory'!$D$7:$D$106,MATCH($C262,'Inventory'!$B$7:$B$106,0))&amp;"","?"))</f>
        <v/>
      </c>
      <c r="G262" s="80">
        <f>IF(AND($B262="",$C262=""),"",IF($B262="","Pick menu item",IF(ISNA(MATCH($B262,'Menu Pricing'!$B$7:$B$56,0)),"Not on Menu Pricing",IF($C262="","Pick ingredient",IF($F262="?","Not in Inventory",IF($F262="","Set stock unit in Inventory",IF(N($D262)&lt;=0,"Enter quantity",IF($E262="","Pick unit",IF(IFERROR(INDEX('Lists'!$C$6:$C$30,MATCH($E262,'Lists'!$B$6:$B$30,0)),"?")&lt;&gt;IFERROR(INDEX('Lists'!$C$6:$C$30,MATCH($F262,'Lists'!$B$6:$B$30,0)),"?"),"Unit mismatch",IF(ISNUMBER(INDEX('Inventory'!$G$7:$G$106,MATCH($C262,'Inventory'!$B$7:$B$106,0))),"OK","Add price in Inventory"))))))))))</f>
        <v/>
      </c>
      <c r="H262" s="87">
        <f>IF($G262&lt;&gt;"OK","",$D262*INDEX('Lists'!$D$6:$D$30,MATCH($E262,'Lists'!$B$6:$B$30,0))/INDEX('Lists'!$D$6:$D$30,MATCH($F262,'Lists'!$B$6:$B$30,0)))</f>
        <v/>
      </c>
      <c r="I262" s="87">
        <f>IF($G262&lt;&gt;"OK","",INDEX('Inventory'!$G$7:$G$106,MATCH($C262,'Inventory'!$B$7:$B$106,0)))</f>
        <v/>
      </c>
      <c r="J262" s="88">
        <f>IF($G262&lt;&gt;"OK","",$H262*$I262)</f>
        <v/>
      </c>
      <c r="K262" s="82">
        <f>IF($G262&lt;&gt;"OK","",SUMIFS('Sales Log'!$D$7:$D$3006,'Sales Log'!$C$7:$C$3006,$B262,'Sales Log'!$B$7:$B$3006,"&gt;="&amp;cfg_CountDate,'Sales Log'!$N$7:$N$3006,"OK"))</f>
        <v/>
      </c>
      <c r="L262" s="89">
        <f>IF($G262&lt;&gt;"OK","",$H262*$K262)</f>
        <v/>
      </c>
    </row>
    <row r="263" ht="17" customHeight="1">
      <c r="B263" s="60" t="n"/>
      <c r="C263" s="60" t="n"/>
      <c r="D263" s="86" t="n"/>
      <c r="E263" s="60" t="n"/>
      <c r="F263" s="13">
        <f>IF($C263="","",IFERROR(INDEX('Inventory'!$D$7:$D$106,MATCH($C263,'Inventory'!$B$7:$B$106,0))&amp;"","?"))</f>
        <v/>
      </c>
      <c r="G263" s="80">
        <f>IF(AND($B263="",$C263=""),"",IF($B263="","Pick menu item",IF(ISNA(MATCH($B263,'Menu Pricing'!$B$7:$B$56,0)),"Not on Menu Pricing",IF($C263="","Pick ingredient",IF($F263="?","Not in Inventory",IF($F263="","Set stock unit in Inventory",IF(N($D263)&lt;=0,"Enter quantity",IF($E263="","Pick unit",IF(IFERROR(INDEX('Lists'!$C$6:$C$30,MATCH($E263,'Lists'!$B$6:$B$30,0)),"?")&lt;&gt;IFERROR(INDEX('Lists'!$C$6:$C$30,MATCH($F263,'Lists'!$B$6:$B$30,0)),"?"),"Unit mismatch",IF(ISNUMBER(INDEX('Inventory'!$G$7:$G$106,MATCH($C263,'Inventory'!$B$7:$B$106,0))),"OK","Add price in Inventory"))))))))))</f>
        <v/>
      </c>
      <c r="H263" s="87">
        <f>IF($G263&lt;&gt;"OK","",$D263*INDEX('Lists'!$D$6:$D$30,MATCH($E263,'Lists'!$B$6:$B$30,0))/INDEX('Lists'!$D$6:$D$30,MATCH($F263,'Lists'!$B$6:$B$30,0)))</f>
        <v/>
      </c>
      <c r="I263" s="87">
        <f>IF($G263&lt;&gt;"OK","",INDEX('Inventory'!$G$7:$G$106,MATCH($C263,'Inventory'!$B$7:$B$106,0)))</f>
        <v/>
      </c>
      <c r="J263" s="88">
        <f>IF($G263&lt;&gt;"OK","",$H263*$I263)</f>
        <v/>
      </c>
      <c r="K263" s="82">
        <f>IF($G263&lt;&gt;"OK","",SUMIFS('Sales Log'!$D$7:$D$3006,'Sales Log'!$C$7:$C$3006,$B263,'Sales Log'!$B$7:$B$3006,"&gt;="&amp;cfg_CountDate,'Sales Log'!$N$7:$N$3006,"OK"))</f>
        <v/>
      </c>
      <c r="L263" s="89">
        <f>IF($G263&lt;&gt;"OK","",$H263*$K263)</f>
        <v/>
      </c>
    </row>
    <row r="264" ht="17" customHeight="1">
      <c r="B264" s="60" t="n"/>
      <c r="C264" s="60" t="n"/>
      <c r="D264" s="86" t="n"/>
      <c r="E264" s="60" t="n"/>
      <c r="F264" s="13">
        <f>IF($C264="","",IFERROR(INDEX('Inventory'!$D$7:$D$106,MATCH($C264,'Inventory'!$B$7:$B$106,0))&amp;"","?"))</f>
        <v/>
      </c>
      <c r="G264" s="80">
        <f>IF(AND($B264="",$C264=""),"",IF($B264="","Pick menu item",IF(ISNA(MATCH($B264,'Menu Pricing'!$B$7:$B$56,0)),"Not on Menu Pricing",IF($C264="","Pick ingredient",IF($F264="?","Not in Inventory",IF($F264="","Set stock unit in Inventory",IF(N($D264)&lt;=0,"Enter quantity",IF($E264="","Pick unit",IF(IFERROR(INDEX('Lists'!$C$6:$C$30,MATCH($E264,'Lists'!$B$6:$B$30,0)),"?")&lt;&gt;IFERROR(INDEX('Lists'!$C$6:$C$30,MATCH($F264,'Lists'!$B$6:$B$30,0)),"?"),"Unit mismatch",IF(ISNUMBER(INDEX('Inventory'!$G$7:$G$106,MATCH($C264,'Inventory'!$B$7:$B$106,0))),"OK","Add price in Inventory"))))))))))</f>
        <v/>
      </c>
      <c r="H264" s="87">
        <f>IF($G264&lt;&gt;"OK","",$D264*INDEX('Lists'!$D$6:$D$30,MATCH($E264,'Lists'!$B$6:$B$30,0))/INDEX('Lists'!$D$6:$D$30,MATCH($F264,'Lists'!$B$6:$B$30,0)))</f>
        <v/>
      </c>
      <c r="I264" s="87">
        <f>IF($G264&lt;&gt;"OK","",INDEX('Inventory'!$G$7:$G$106,MATCH($C264,'Inventory'!$B$7:$B$106,0)))</f>
        <v/>
      </c>
      <c r="J264" s="88">
        <f>IF($G264&lt;&gt;"OK","",$H264*$I264)</f>
        <v/>
      </c>
      <c r="K264" s="82">
        <f>IF($G264&lt;&gt;"OK","",SUMIFS('Sales Log'!$D$7:$D$3006,'Sales Log'!$C$7:$C$3006,$B264,'Sales Log'!$B$7:$B$3006,"&gt;="&amp;cfg_CountDate,'Sales Log'!$N$7:$N$3006,"OK"))</f>
        <v/>
      </c>
      <c r="L264" s="89">
        <f>IF($G264&lt;&gt;"OK","",$H264*$K264)</f>
        <v/>
      </c>
    </row>
    <row r="265" ht="17" customHeight="1">
      <c r="B265" s="60" t="n"/>
      <c r="C265" s="60" t="n"/>
      <c r="D265" s="86" t="n"/>
      <c r="E265" s="60" t="n"/>
      <c r="F265" s="13">
        <f>IF($C265="","",IFERROR(INDEX('Inventory'!$D$7:$D$106,MATCH($C265,'Inventory'!$B$7:$B$106,0))&amp;"","?"))</f>
        <v/>
      </c>
      <c r="G265" s="80">
        <f>IF(AND($B265="",$C265=""),"",IF($B265="","Pick menu item",IF(ISNA(MATCH($B265,'Menu Pricing'!$B$7:$B$56,0)),"Not on Menu Pricing",IF($C265="","Pick ingredient",IF($F265="?","Not in Inventory",IF($F265="","Set stock unit in Inventory",IF(N($D265)&lt;=0,"Enter quantity",IF($E265="","Pick unit",IF(IFERROR(INDEX('Lists'!$C$6:$C$30,MATCH($E265,'Lists'!$B$6:$B$30,0)),"?")&lt;&gt;IFERROR(INDEX('Lists'!$C$6:$C$30,MATCH($F265,'Lists'!$B$6:$B$30,0)),"?"),"Unit mismatch",IF(ISNUMBER(INDEX('Inventory'!$G$7:$G$106,MATCH($C265,'Inventory'!$B$7:$B$106,0))),"OK","Add price in Inventory"))))))))))</f>
        <v/>
      </c>
      <c r="H265" s="87">
        <f>IF($G265&lt;&gt;"OK","",$D265*INDEX('Lists'!$D$6:$D$30,MATCH($E265,'Lists'!$B$6:$B$30,0))/INDEX('Lists'!$D$6:$D$30,MATCH($F265,'Lists'!$B$6:$B$30,0)))</f>
        <v/>
      </c>
      <c r="I265" s="87">
        <f>IF($G265&lt;&gt;"OK","",INDEX('Inventory'!$G$7:$G$106,MATCH($C265,'Inventory'!$B$7:$B$106,0)))</f>
        <v/>
      </c>
      <c r="J265" s="88">
        <f>IF($G265&lt;&gt;"OK","",$H265*$I265)</f>
        <v/>
      </c>
      <c r="K265" s="82">
        <f>IF($G265&lt;&gt;"OK","",SUMIFS('Sales Log'!$D$7:$D$3006,'Sales Log'!$C$7:$C$3006,$B265,'Sales Log'!$B$7:$B$3006,"&gt;="&amp;cfg_CountDate,'Sales Log'!$N$7:$N$3006,"OK"))</f>
        <v/>
      </c>
      <c r="L265" s="89">
        <f>IF($G265&lt;&gt;"OK","",$H265*$K265)</f>
        <v/>
      </c>
    </row>
    <row r="266" ht="17" customHeight="1">
      <c r="B266" s="60" t="n"/>
      <c r="C266" s="60" t="n"/>
      <c r="D266" s="86" t="n"/>
      <c r="E266" s="60" t="n"/>
      <c r="F266" s="13">
        <f>IF($C266="","",IFERROR(INDEX('Inventory'!$D$7:$D$106,MATCH($C266,'Inventory'!$B$7:$B$106,0))&amp;"","?"))</f>
        <v/>
      </c>
      <c r="G266" s="80">
        <f>IF(AND($B266="",$C266=""),"",IF($B266="","Pick menu item",IF(ISNA(MATCH($B266,'Menu Pricing'!$B$7:$B$56,0)),"Not on Menu Pricing",IF($C266="","Pick ingredient",IF($F266="?","Not in Inventory",IF($F266="","Set stock unit in Inventory",IF(N($D266)&lt;=0,"Enter quantity",IF($E266="","Pick unit",IF(IFERROR(INDEX('Lists'!$C$6:$C$30,MATCH($E266,'Lists'!$B$6:$B$30,0)),"?")&lt;&gt;IFERROR(INDEX('Lists'!$C$6:$C$30,MATCH($F266,'Lists'!$B$6:$B$30,0)),"?"),"Unit mismatch",IF(ISNUMBER(INDEX('Inventory'!$G$7:$G$106,MATCH($C266,'Inventory'!$B$7:$B$106,0))),"OK","Add price in Inventory"))))))))))</f>
        <v/>
      </c>
      <c r="H266" s="87">
        <f>IF($G266&lt;&gt;"OK","",$D266*INDEX('Lists'!$D$6:$D$30,MATCH($E266,'Lists'!$B$6:$B$30,0))/INDEX('Lists'!$D$6:$D$30,MATCH($F266,'Lists'!$B$6:$B$30,0)))</f>
        <v/>
      </c>
      <c r="I266" s="87">
        <f>IF($G266&lt;&gt;"OK","",INDEX('Inventory'!$G$7:$G$106,MATCH($C266,'Inventory'!$B$7:$B$106,0)))</f>
        <v/>
      </c>
      <c r="J266" s="88">
        <f>IF($G266&lt;&gt;"OK","",$H266*$I266)</f>
        <v/>
      </c>
      <c r="K266" s="82">
        <f>IF($G266&lt;&gt;"OK","",SUMIFS('Sales Log'!$D$7:$D$3006,'Sales Log'!$C$7:$C$3006,$B266,'Sales Log'!$B$7:$B$3006,"&gt;="&amp;cfg_CountDate,'Sales Log'!$N$7:$N$3006,"OK"))</f>
        <v/>
      </c>
      <c r="L266" s="89">
        <f>IF($G266&lt;&gt;"OK","",$H266*$K266)</f>
        <v/>
      </c>
    </row>
    <row r="267" ht="17" customHeight="1">
      <c r="B267" s="60" t="n"/>
      <c r="C267" s="60" t="n"/>
      <c r="D267" s="86" t="n"/>
      <c r="E267" s="60" t="n"/>
      <c r="F267" s="13">
        <f>IF($C267="","",IFERROR(INDEX('Inventory'!$D$7:$D$106,MATCH($C267,'Inventory'!$B$7:$B$106,0))&amp;"","?"))</f>
        <v/>
      </c>
      <c r="G267" s="80">
        <f>IF(AND($B267="",$C267=""),"",IF($B267="","Pick menu item",IF(ISNA(MATCH($B267,'Menu Pricing'!$B$7:$B$56,0)),"Not on Menu Pricing",IF($C267="","Pick ingredient",IF($F267="?","Not in Inventory",IF($F267="","Set stock unit in Inventory",IF(N($D267)&lt;=0,"Enter quantity",IF($E267="","Pick unit",IF(IFERROR(INDEX('Lists'!$C$6:$C$30,MATCH($E267,'Lists'!$B$6:$B$30,0)),"?")&lt;&gt;IFERROR(INDEX('Lists'!$C$6:$C$30,MATCH($F267,'Lists'!$B$6:$B$30,0)),"?"),"Unit mismatch",IF(ISNUMBER(INDEX('Inventory'!$G$7:$G$106,MATCH($C267,'Inventory'!$B$7:$B$106,0))),"OK","Add price in Inventory"))))))))))</f>
        <v/>
      </c>
      <c r="H267" s="87">
        <f>IF($G267&lt;&gt;"OK","",$D267*INDEX('Lists'!$D$6:$D$30,MATCH($E267,'Lists'!$B$6:$B$30,0))/INDEX('Lists'!$D$6:$D$30,MATCH($F267,'Lists'!$B$6:$B$30,0)))</f>
        <v/>
      </c>
      <c r="I267" s="87">
        <f>IF($G267&lt;&gt;"OK","",INDEX('Inventory'!$G$7:$G$106,MATCH($C267,'Inventory'!$B$7:$B$106,0)))</f>
        <v/>
      </c>
      <c r="J267" s="88">
        <f>IF($G267&lt;&gt;"OK","",$H267*$I267)</f>
        <v/>
      </c>
      <c r="K267" s="82">
        <f>IF($G267&lt;&gt;"OK","",SUMIFS('Sales Log'!$D$7:$D$3006,'Sales Log'!$C$7:$C$3006,$B267,'Sales Log'!$B$7:$B$3006,"&gt;="&amp;cfg_CountDate,'Sales Log'!$N$7:$N$3006,"OK"))</f>
        <v/>
      </c>
      <c r="L267" s="89">
        <f>IF($G267&lt;&gt;"OK","",$H267*$K267)</f>
        <v/>
      </c>
    </row>
    <row r="268" ht="17" customHeight="1">
      <c r="B268" s="60" t="n"/>
      <c r="C268" s="60" t="n"/>
      <c r="D268" s="86" t="n"/>
      <c r="E268" s="60" t="n"/>
      <c r="F268" s="13">
        <f>IF($C268="","",IFERROR(INDEX('Inventory'!$D$7:$D$106,MATCH($C268,'Inventory'!$B$7:$B$106,0))&amp;"","?"))</f>
        <v/>
      </c>
      <c r="G268" s="80">
        <f>IF(AND($B268="",$C268=""),"",IF($B268="","Pick menu item",IF(ISNA(MATCH($B268,'Menu Pricing'!$B$7:$B$56,0)),"Not on Menu Pricing",IF($C268="","Pick ingredient",IF($F268="?","Not in Inventory",IF($F268="","Set stock unit in Inventory",IF(N($D268)&lt;=0,"Enter quantity",IF($E268="","Pick unit",IF(IFERROR(INDEX('Lists'!$C$6:$C$30,MATCH($E268,'Lists'!$B$6:$B$30,0)),"?")&lt;&gt;IFERROR(INDEX('Lists'!$C$6:$C$30,MATCH($F268,'Lists'!$B$6:$B$30,0)),"?"),"Unit mismatch",IF(ISNUMBER(INDEX('Inventory'!$G$7:$G$106,MATCH($C268,'Inventory'!$B$7:$B$106,0))),"OK","Add price in Inventory"))))))))))</f>
        <v/>
      </c>
      <c r="H268" s="87">
        <f>IF($G268&lt;&gt;"OK","",$D268*INDEX('Lists'!$D$6:$D$30,MATCH($E268,'Lists'!$B$6:$B$30,0))/INDEX('Lists'!$D$6:$D$30,MATCH($F268,'Lists'!$B$6:$B$30,0)))</f>
        <v/>
      </c>
      <c r="I268" s="87">
        <f>IF($G268&lt;&gt;"OK","",INDEX('Inventory'!$G$7:$G$106,MATCH($C268,'Inventory'!$B$7:$B$106,0)))</f>
        <v/>
      </c>
      <c r="J268" s="88">
        <f>IF($G268&lt;&gt;"OK","",$H268*$I268)</f>
        <v/>
      </c>
      <c r="K268" s="82">
        <f>IF($G268&lt;&gt;"OK","",SUMIFS('Sales Log'!$D$7:$D$3006,'Sales Log'!$C$7:$C$3006,$B268,'Sales Log'!$B$7:$B$3006,"&gt;="&amp;cfg_CountDate,'Sales Log'!$N$7:$N$3006,"OK"))</f>
        <v/>
      </c>
      <c r="L268" s="89">
        <f>IF($G268&lt;&gt;"OK","",$H268*$K268)</f>
        <v/>
      </c>
    </row>
    <row r="269" ht="17" customHeight="1">
      <c r="B269" s="60" t="n"/>
      <c r="C269" s="60" t="n"/>
      <c r="D269" s="86" t="n"/>
      <c r="E269" s="60" t="n"/>
      <c r="F269" s="13">
        <f>IF($C269="","",IFERROR(INDEX('Inventory'!$D$7:$D$106,MATCH($C269,'Inventory'!$B$7:$B$106,0))&amp;"","?"))</f>
        <v/>
      </c>
      <c r="G269" s="80">
        <f>IF(AND($B269="",$C269=""),"",IF($B269="","Pick menu item",IF(ISNA(MATCH($B269,'Menu Pricing'!$B$7:$B$56,0)),"Not on Menu Pricing",IF($C269="","Pick ingredient",IF($F269="?","Not in Inventory",IF($F269="","Set stock unit in Inventory",IF(N($D269)&lt;=0,"Enter quantity",IF($E269="","Pick unit",IF(IFERROR(INDEX('Lists'!$C$6:$C$30,MATCH($E269,'Lists'!$B$6:$B$30,0)),"?")&lt;&gt;IFERROR(INDEX('Lists'!$C$6:$C$30,MATCH($F269,'Lists'!$B$6:$B$30,0)),"?"),"Unit mismatch",IF(ISNUMBER(INDEX('Inventory'!$G$7:$G$106,MATCH($C269,'Inventory'!$B$7:$B$106,0))),"OK","Add price in Inventory"))))))))))</f>
        <v/>
      </c>
      <c r="H269" s="87">
        <f>IF($G269&lt;&gt;"OK","",$D269*INDEX('Lists'!$D$6:$D$30,MATCH($E269,'Lists'!$B$6:$B$30,0))/INDEX('Lists'!$D$6:$D$30,MATCH($F269,'Lists'!$B$6:$B$30,0)))</f>
        <v/>
      </c>
      <c r="I269" s="87">
        <f>IF($G269&lt;&gt;"OK","",INDEX('Inventory'!$G$7:$G$106,MATCH($C269,'Inventory'!$B$7:$B$106,0)))</f>
        <v/>
      </c>
      <c r="J269" s="88">
        <f>IF($G269&lt;&gt;"OK","",$H269*$I269)</f>
        <v/>
      </c>
      <c r="K269" s="82">
        <f>IF($G269&lt;&gt;"OK","",SUMIFS('Sales Log'!$D$7:$D$3006,'Sales Log'!$C$7:$C$3006,$B269,'Sales Log'!$B$7:$B$3006,"&gt;="&amp;cfg_CountDate,'Sales Log'!$N$7:$N$3006,"OK"))</f>
        <v/>
      </c>
      <c r="L269" s="89">
        <f>IF($G269&lt;&gt;"OK","",$H269*$K269)</f>
        <v/>
      </c>
    </row>
    <row r="270" ht="17" customHeight="1">
      <c r="B270" s="60" t="n"/>
      <c r="C270" s="60" t="n"/>
      <c r="D270" s="86" t="n"/>
      <c r="E270" s="60" t="n"/>
      <c r="F270" s="13">
        <f>IF($C270="","",IFERROR(INDEX('Inventory'!$D$7:$D$106,MATCH($C270,'Inventory'!$B$7:$B$106,0))&amp;"","?"))</f>
        <v/>
      </c>
      <c r="G270" s="80">
        <f>IF(AND($B270="",$C270=""),"",IF($B270="","Pick menu item",IF(ISNA(MATCH($B270,'Menu Pricing'!$B$7:$B$56,0)),"Not on Menu Pricing",IF($C270="","Pick ingredient",IF($F270="?","Not in Inventory",IF($F270="","Set stock unit in Inventory",IF(N($D270)&lt;=0,"Enter quantity",IF($E270="","Pick unit",IF(IFERROR(INDEX('Lists'!$C$6:$C$30,MATCH($E270,'Lists'!$B$6:$B$30,0)),"?")&lt;&gt;IFERROR(INDEX('Lists'!$C$6:$C$30,MATCH($F270,'Lists'!$B$6:$B$30,0)),"?"),"Unit mismatch",IF(ISNUMBER(INDEX('Inventory'!$G$7:$G$106,MATCH($C270,'Inventory'!$B$7:$B$106,0))),"OK","Add price in Inventory"))))))))))</f>
        <v/>
      </c>
      <c r="H270" s="87">
        <f>IF($G270&lt;&gt;"OK","",$D270*INDEX('Lists'!$D$6:$D$30,MATCH($E270,'Lists'!$B$6:$B$30,0))/INDEX('Lists'!$D$6:$D$30,MATCH($F270,'Lists'!$B$6:$B$30,0)))</f>
        <v/>
      </c>
      <c r="I270" s="87">
        <f>IF($G270&lt;&gt;"OK","",INDEX('Inventory'!$G$7:$G$106,MATCH($C270,'Inventory'!$B$7:$B$106,0)))</f>
        <v/>
      </c>
      <c r="J270" s="88">
        <f>IF($G270&lt;&gt;"OK","",$H270*$I270)</f>
        <v/>
      </c>
      <c r="K270" s="82">
        <f>IF($G270&lt;&gt;"OK","",SUMIFS('Sales Log'!$D$7:$D$3006,'Sales Log'!$C$7:$C$3006,$B270,'Sales Log'!$B$7:$B$3006,"&gt;="&amp;cfg_CountDate,'Sales Log'!$N$7:$N$3006,"OK"))</f>
        <v/>
      </c>
      <c r="L270" s="89">
        <f>IF($G270&lt;&gt;"OK","",$H270*$K270)</f>
        <v/>
      </c>
    </row>
    <row r="271" ht="17" customHeight="1">
      <c r="B271" s="60" t="n"/>
      <c r="C271" s="60" t="n"/>
      <c r="D271" s="86" t="n"/>
      <c r="E271" s="60" t="n"/>
      <c r="F271" s="13">
        <f>IF($C271="","",IFERROR(INDEX('Inventory'!$D$7:$D$106,MATCH($C271,'Inventory'!$B$7:$B$106,0))&amp;"","?"))</f>
        <v/>
      </c>
      <c r="G271" s="80">
        <f>IF(AND($B271="",$C271=""),"",IF($B271="","Pick menu item",IF(ISNA(MATCH($B271,'Menu Pricing'!$B$7:$B$56,0)),"Not on Menu Pricing",IF($C271="","Pick ingredient",IF($F271="?","Not in Inventory",IF($F271="","Set stock unit in Inventory",IF(N($D271)&lt;=0,"Enter quantity",IF($E271="","Pick unit",IF(IFERROR(INDEX('Lists'!$C$6:$C$30,MATCH($E271,'Lists'!$B$6:$B$30,0)),"?")&lt;&gt;IFERROR(INDEX('Lists'!$C$6:$C$30,MATCH($F271,'Lists'!$B$6:$B$30,0)),"?"),"Unit mismatch",IF(ISNUMBER(INDEX('Inventory'!$G$7:$G$106,MATCH($C271,'Inventory'!$B$7:$B$106,0))),"OK","Add price in Inventory"))))))))))</f>
        <v/>
      </c>
      <c r="H271" s="87">
        <f>IF($G271&lt;&gt;"OK","",$D271*INDEX('Lists'!$D$6:$D$30,MATCH($E271,'Lists'!$B$6:$B$30,0))/INDEX('Lists'!$D$6:$D$30,MATCH($F271,'Lists'!$B$6:$B$30,0)))</f>
        <v/>
      </c>
      <c r="I271" s="87">
        <f>IF($G271&lt;&gt;"OK","",INDEX('Inventory'!$G$7:$G$106,MATCH($C271,'Inventory'!$B$7:$B$106,0)))</f>
        <v/>
      </c>
      <c r="J271" s="88">
        <f>IF($G271&lt;&gt;"OK","",$H271*$I271)</f>
        <v/>
      </c>
      <c r="K271" s="82">
        <f>IF($G271&lt;&gt;"OK","",SUMIFS('Sales Log'!$D$7:$D$3006,'Sales Log'!$C$7:$C$3006,$B271,'Sales Log'!$B$7:$B$3006,"&gt;="&amp;cfg_CountDate,'Sales Log'!$N$7:$N$3006,"OK"))</f>
        <v/>
      </c>
      <c r="L271" s="89">
        <f>IF($G271&lt;&gt;"OK","",$H271*$K271)</f>
        <v/>
      </c>
    </row>
    <row r="272" ht="17" customHeight="1">
      <c r="B272" s="60" t="n"/>
      <c r="C272" s="60" t="n"/>
      <c r="D272" s="86" t="n"/>
      <c r="E272" s="60" t="n"/>
      <c r="F272" s="13">
        <f>IF($C272="","",IFERROR(INDEX('Inventory'!$D$7:$D$106,MATCH($C272,'Inventory'!$B$7:$B$106,0))&amp;"","?"))</f>
        <v/>
      </c>
      <c r="G272" s="80">
        <f>IF(AND($B272="",$C272=""),"",IF($B272="","Pick menu item",IF(ISNA(MATCH($B272,'Menu Pricing'!$B$7:$B$56,0)),"Not on Menu Pricing",IF($C272="","Pick ingredient",IF($F272="?","Not in Inventory",IF($F272="","Set stock unit in Inventory",IF(N($D272)&lt;=0,"Enter quantity",IF($E272="","Pick unit",IF(IFERROR(INDEX('Lists'!$C$6:$C$30,MATCH($E272,'Lists'!$B$6:$B$30,0)),"?")&lt;&gt;IFERROR(INDEX('Lists'!$C$6:$C$30,MATCH($F272,'Lists'!$B$6:$B$30,0)),"?"),"Unit mismatch",IF(ISNUMBER(INDEX('Inventory'!$G$7:$G$106,MATCH($C272,'Inventory'!$B$7:$B$106,0))),"OK","Add price in Inventory"))))))))))</f>
        <v/>
      </c>
      <c r="H272" s="87">
        <f>IF($G272&lt;&gt;"OK","",$D272*INDEX('Lists'!$D$6:$D$30,MATCH($E272,'Lists'!$B$6:$B$30,0))/INDEX('Lists'!$D$6:$D$30,MATCH($F272,'Lists'!$B$6:$B$30,0)))</f>
        <v/>
      </c>
      <c r="I272" s="87">
        <f>IF($G272&lt;&gt;"OK","",INDEX('Inventory'!$G$7:$G$106,MATCH($C272,'Inventory'!$B$7:$B$106,0)))</f>
        <v/>
      </c>
      <c r="J272" s="88">
        <f>IF($G272&lt;&gt;"OK","",$H272*$I272)</f>
        <v/>
      </c>
      <c r="K272" s="82">
        <f>IF($G272&lt;&gt;"OK","",SUMIFS('Sales Log'!$D$7:$D$3006,'Sales Log'!$C$7:$C$3006,$B272,'Sales Log'!$B$7:$B$3006,"&gt;="&amp;cfg_CountDate,'Sales Log'!$N$7:$N$3006,"OK"))</f>
        <v/>
      </c>
      <c r="L272" s="89">
        <f>IF($G272&lt;&gt;"OK","",$H272*$K272)</f>
        <v/>
      </c>
    </row>
    <row r="273" ht="17" customHeight="1">
      <c r="B273" s="60" t="n"/>
      <c r="C273" s="60" t="n"/>
      <c r="D273" s="86" t="n"/>
      <c r="E273" s="60" t="n"/>
      <c r="F273" s="13">
        <f>IF($C273="","",IFERROR(INDEX('Inventory'!$D$7:$D$106,MATCH($C273,'Inventory'!$B$7:$B$106,0))&amp;"","?"))</f>
        <v/>
      </c>
      <c r="G273" s="80">
        <f>IF(AND($B273="",$C273=""),"",IF($B273="","Pick menu item",IF(ISNA(MATCH($B273,'Menu Pricing'!$B$7:$B$56,0)),"Not on Menu Pricing",IF($C273="","Pick ingredient",IF($F273="?","Not in Inventory",IF($F273="","Set stock unit in Inventory",IF(N($D273)&lt;=0,"Enter quantity",IF($E273="","Pick unit",IF(IFERROR(INDEX('Lists'!$C$6:$C$30,MATCH($E273,'Lists'!$B$6:$B$30,0)),"?")&lt;&gt;IFERROR(INDEX('Lists'!$C$6:$C$30,MATCH($F273,'Lists'!$B$6:$B$30,0)),"?"),"Unit mismatch",IF(ISNUMBER(INDEX('Inventory'!$G$7:$G$106,MATCH($C273,'Inventory'!$B$7:$B$106,0))),"OK","Add price in Inventory"))))))))))</f>
        <v/>
      </c>
      <c r="H273" s="87">
        <f>IF($G273&lt;&gt;"OK","",$D273*INDEX('Lists'!$D$6:$D$30,MATCH($E273,'Lists'!$B$6:$B$30,0))/INDEX('Lists'!$D$6:$D$30,MATCH($F273,'Lists'!$B$6:$B$30,0)))</f>
        <v/>
      </c>
      <c r="I273" s="87">
        <f>IF($G273&lt;&gt;"OK","",INDEX('Inventory'!$G$7:$G$106,MATCH($C273,'Inventory'!$B$7:$B$106,0)))</f>
        <v/>
      </c>
      <c r="J273" s="88">
        <f>IF($G273&lt;&gt;"OK","",$H273*$I273)</f>
        <v/>
      </c>
      <c r="K273" s="82">
        <f>IF($G273&lt;&gt;"OK","",SUMIFS('Sales Log'!$D$7:$D$3006,'Sales Log'!$C$7:$C$3006,$B273,'Sales Log'!$B$7:$B$3006,"&gt;="&amp;cfg_CountDate,'Sales Log'!$N$7:$N$3006,"OK"))</f>
        <v/>
      </c>
      <c r="L273" s="89">
        <f>IF($G273&lt;&gt;"OK","",$H273*$K273)</f>
        <v/>
      </c>
    </row>
    <row r="274" ht="17" customHeight="1">
      <c r="B274" s="60" t="n"/>
      <c r="C274" s="60" t="n"/>
      <c r="D274" s="86" t="n"/>
      <c r="E274" s="60" t="n"/>
      <c r="F274" s="13">
        <f>IF($C274="","",IFERROR(INDEX('Inventory'!$D$7:$D$106,MATCH($C274,'Inventory'!$B$7:$B$106,0))&amp;"","?"))</f>
        <v/>
      </c>
      <c r="G274" s="80">
        <f>IF(AND($B274="",$C274=""),"",IF($B274="","Pick menu item",IF(ISNA(MATCH($B274,'Menu Pricing'!$B$7:$B$56,0)),"Not on Menu Pricing",IF($C274="","Pick ingredient",IF($F274="?","Not in Inventory",IF($F274="","Set stock unit in Inventory",IF(N($D274)&lt;=0,"Enter quantity",IF($E274="","Pick unit",IF(IFERROR(INDEX('Lists'!$C$6:$C$30,MATCH($E274,'Lists'!$B$6:$B$30,0)),"?")&lt;&gt;IFERROR(INDEX('Lists'!$C$6:$C$30,MATCH($F274,'Lists'!$B$6:$B$30,0)),"?"),"Unit mismatch",IF(ISNUMBER(INDEX('Inventory'!$G$7:$G$106,MATCH($C274,'Inventory'!$B$7:$B$106,0))),"OK","Add price in Inventory"))))))))))</f>
        <v/>
      </c>
      <c r="H274" s="87">
        <f>IF($G274&lt;&gt;"OK","",$D274*INDEX('Lists'!$D$6:$D$30,MATCH($E274,'Lists'!$B$6:$B$30,0))/INDEX('Lists'!$D$6:$D$30,MATCH($F274,'Lists'!$B$6:$B$30,0)))</f>
        <v/>
      </c>
      <c r="I274" s="87">
        <f>IF($G274&lt;&gt;"OK","",INDEX('Inventory'!$G$7:$G$106,MATCH($C274,'Inventory'!$B$7:$B$106,0)))</f>
        <v/>
      </c>
      <c r="J274" s="88">
        <f>IF($G274&lt;&gt;"OK","",$H274*$I274)</f>
        <v/>
      </c>
      <c r="K274" s="82">
        <f>IF($G274&lt;&gt;"OK","",SUMIFS('Sales Log'!$D$7:$D$3006,'Sales Log'!$C$7:$C$3006,$B274,'Sales Log'!$B$7:$B$3006,"&gt;="&amp;cfg_CountDate,'Sales Log'!$N$7:$N$3006,"OK"))</f>
        <v/>
      </c>
      <c r="L274" s="89">
        <f>IF($G274&lt;&gt;"OK","",$H274*$K274)</f>
        <v/>
      </c>
    </row>
    <row r="275" ht="17" customHeight="1">
      <c r="B275" s="60" t="n"/>
      <c r="C275" s="60" t="n"/>
      <c r="D275" s="86" t="n"/>
      <c r="E275" s="60" t="n"/>
      <c r="F275" s="13">
        <f>IF($C275="","",IFERROR(INDEX('Inventory'!$D$7:$D$106,MATCH($C275,'Inventory'!$B$7:$B$106,0))&amp;"","?"))</f>
        <v/>
      </c>
      <c r="G275" s="80">
        <f>IF(AND($B275="",$C275=""),"",IF($B275="","Pick menu item",IF(ISNA(MATCH($B275,'Menu Pricing'!$B$7:$B$56,0)),"Not on Menu Pricing",IF($C275="","Pick ingredient",IF($F275="?","Not in Inventory",IF($F275="","Set stock unit in Inventory",IF(N($D275)&lt;=0,"Enter quantity",IF($E275="","Pick unit",IF(IFERROR(INDEX('Lists'!$C$6:$C$30,MATCH($E275,'Lists'!$B$6:$B$30,0)),"?")&lt;&gt;IFERROR(INDEX('Lists'!$C$6:$C$30,MATCH($F275,'Lists'!$B$6:$B$30,0)),"?"),"Unit mismatch",IF(ISNUMBER(INDEX('Inventory'!$G$7:$G$106,MATCH($C275,'Inventory'!$B$7:$B$106,0))),"OK","Add price in Inventory"))))))))))</f>
        <v/>
      </c>
      <c r="H275" s="87">
        <f>IF($G275&lt;&gt;"OK","",$D275*INDEX('Lists'!$D$6:$D$30,MATCH($E275,'Lists'!$B$6:$B$30,0))/INDEX('Lists'!$D$6:$D$30,MATCH($F275,'Lists'!$B$6:$B$30,0)))</f>
        <v/>
      </c>
      <c r="I275" s="87">
        <f>IF($G275&lt;&gt;"OK","",INDEX('Inventory'!$G$7:$G$106,MATCH($C275,'Inventory'!$B$7:$B$106,0)))</f>
        <v/>
      </c>
      <c r="J275" s="88">
        <f>IF($G275&lt;&gt;"OK","",$H275*$I275)</f>
        <v/>
      </c>
      <c r="K275" s="82">
        <f>IF($G275&lt;&gt;"OK","",SUMIFS('Sales Log'!$D$7:$D$3006,'Sales Log'!$C$7:$C$3006,$B275,'Sales Log'!$B$7:$B$3006,"&gt;="&amp;cfg_CountDate,'Sales Log'!$N$7:$N$3006,"OK"))</f>
        <v/>
      </c>
      <c r="L275" s="89">
        <f>IF($G275&lt;&gt;"OK","",$H275*$K275)</f>
        <v/>
      </c>
    </row>
    <row r="276" ht="17" customHeight="1">
      <c r="B276" s="60" t="n"/>
      <c r="C276" s="60" t="n"/>
      <c r="D276" s="86" t="n"/>
      <c r="E276" s="60" t="n"/>
      <c r="F276" s="13">
        <f>IF($C276="","",IFERROR(INDEX('Inventory'!$D$7:$D$106,MATCH($C276,'Inventory'!$B$7:$B$106,0))&amp;"","?"))</f>
        <v/>
      </c>
      <c r="G276" s="80">
        <f>IF(AND($B276="",$C276=""),"",IF($B276="","Pick menu item",IF(ISNA(MATCH($B276,'Menu Pricing'!$B$7:$B$56,0)),"Not on Menu Pricing",IF($C276="","Pick ingredient",IF($F276="?","Not in Inventory",IF($F276="","Set stock unit in Inventory",IF(N($D276)&lt;=0,"Enter quantity",IF($E276="","Pick unit",IF(IFERROR(INDEX('Lists'!$C$6:$C$30,MATCH($E276,'Lists'!$B$6:$B$30,0)),"?")&lt;&gt;IFERROR(INDEX('Lists'!$C$6:$C$30,MATCH($F276,'Lists'!$B$6:$B$30,0)),"?"),"Unit mismatch",IF(ISNUMBER(INDEX('Inventory'!$G$7:$G$106,MATCH($C276,'Inventory'!$B$7:$B$106,0))),"OK","Add price in Inventory"))))))))))</f>
        <v/>
      </c>
      <c r="H276" s="87">
        <f>IF($G276&lt;&gt;"OK","",$D276*INDEX('Lists'!$D$6:$D$30,MATCH($E276,'Lists'!$B$6:$B$30,0))/INDEX('Lists'!$D$6:$D$30,MATCH($F276,'Lists'!$B$6:$B$30,0)))</f>
        <v/>
      </c>
      <c r="I276" s="87">
        <f>IF($G276&lt;&gt;"OK","",INDEX('Inventory'!$G$7:$G$106,MATCH($C276,'Inventory'!$B$7:$B$106,0)))</f>
        <v/>
      </c>
      <c r="J276" s="88">
        <f>IF($G276&lt;&gt;"OK","",$H276*$I276)</f>
        <v/>
      </c>
      <c r="K276" s="82">
        <f>IF($G276&lt;&gt;"OK","",SUMIFS('Sales Log'!$D$7:$D$3006,'Sales Log'!$C$7:$C$3006,$B276,'Sales Log'!$B$7:$B$3006,"&gt;="&amp;cfg_CountDate,'Sales Log'!$N$7:$N$3006,"OK"))</f>
        <v/>
      </c>
      <c r="L276" s="89">
        <f>IF($G276&lt;&gt;"OK","",$H276*$K276)</f>
        <v/>
      </c>
    </row>
    <row r="277" ht="17" customHeight="1">
      <c r="B277" s="60" t="n"/>
      <c r="C277" s="60" t="n"/>
      <c r="D277" s="86" t="n"/>
      <c r="E277" s="60" t="n"/>
      <c r="F277" s="13">
        <f>IF($C277="","",IFERROR(INDEX('Inventory'!$D$7:$D$106,MATCH($C277,'Inventory'!$B$7:$B$106,0))&amp;"","?"))</f>
        <v/>
      </c>
      <c r="G277" s="80">
        <f>IF(AND($B277="",$C277=""),"",IF($B277="","Pick menu item",IF(ISNA(MATCH($B277,'Menu Pricing'!$B$7:$B$56,0)),"Not on Menu Pricing",IF($C277="","Pick ingredient",IF($F277="?","Not in Inventory",IF($F277="","Set stock unit in Inventory",IF(N($D277)&lt;=0,"Enter quantity",IF($E277="","Pick unit",IF(IFERROR(INDEX('Lists'!$C$6:$C$30,MATCH($E277,'Lists'!$B$6:$B$30,0)),"?")&lt;&gt;IFERROR(INDEX('Lists'!$C$6:$C$30,MATCH($F277,'Lists'!$B$6:$B$30,0)),"?"),"Unit mismatch",IF(ISNUMBER(INDEX('Inventory'!$G$7:$G$106,MATCH($C277,'Inventory'!$B$7:$B$106,0))),"OK","Add price in Inventory"))))))))))</f>
        <v/>
      </c>
      <c r="H277" s="87">
        <f>IF($G277&lt;&gt;"OK","",$D277*INDEX('Lists'!$D$6:$D$30,MATCH($E277,'Lists'!$B$6:$B$30,0))/INDEX('Lists'!$D$6:$D$30,MATCH($F277,'Lists'!$B$6:$B$30,0)))</f>
        <v/>
      </c>
      <c r="I277" s="87">
        <f>IF($G277&lt;&gt;"OK","",INDEX('Inventory'!$G$7:$G$106,MATCH($C277,'Inventory'!$B$7:$B$106,0)))</f>
        <v/>
      </c>
      <c r="J277" s="88">
        <f>IF($G277&lt;&gt;"OK","",$H277*$I277)</f>
        <v/>
      </c>
      <c r="K277" s="82">
        <f>IF($G277&lt;&gt;"OK","",SUMIFS('Sales Log'!$D$7:$D$3006,'Sales Log'!$C$7:$C$3006,$B277,'Sales Log'!$B$7:$B$3006,"&gt;="&amp;cfg_CountDate,'Sales Log'!$N$7:$N$3006,"OK"))</f>
        <v/>
      </c>
      <c r="L277" s="89">
        <f>IF($G277&lt;&gt;"OK","",$H277*$K277)</f>
        <v/>
      </c>
    </row>
    <row r="278" ht="17" customHeight="1">
      <c r="B278" s="60" t="n"/>
      <c r="C278" s="60" t="n"/>
      <c r="D278" s="86" t="n"/>
      <c r="E278" s="60" t="n"/>
      <c r="F278" s="13">
        <f>IF($C278="","",IFERROR(INDEX('Inventory'!$D$7:$D$106,MATCH($C278,'Inventory'!$B$7:$B$106,0))&amp;"","?"))</f>
        <v/>
      </c>
      <c r="G278" s="80">
        <f>IF(AND($B278="",$C278=""),"",IF($B278="","Pick menu item",IF(ISNA(MATCH($B278,'Menu Pricing'!$B$7:$B$56,0)),"Not on Menu Pricing",IF($C278="","Pick ingredient",IF($F278="?","Not in Inventory",IF($F278="","Set stock unit in Inventory",IF(N($D278)&lt;=0,"Enter quantity",IF($E278="","Pick unit",IF(IFERROR(INDEX('Lists'!$C$6:$C$30,MATCH($E278,'Lists'!$B$6:$B$30,0)),"?")&lt;&gt;IFERROR(INDEX('Lists'!$C$6:$C$30,MATCH($F278,'Lists'!$B$6:$B$30,0)),"?"),"Unit mismatch",IF(ISNUMBER(INDEX('Inventory'!$G$7:$G$106,MATCH($C278,'Inventory'!$B$7:$B$106,0))),"OK","Add price in Inventory"))))))))))</f>
        <v/>
      </c>
      <c r="H278" s="87">
        <f>IF($G278&lt;&gt;"OK","",$D278*INDEX('Lists'!$D$6:$D$30,MATCH($E278,'Lists'!$B$6:$B$30,0))/INDEX('Lists'!$D$6:$D$30,MATCH($F278,'Lists'!$B$6:$B$30,0)))</f>
        <v/>
      </c>
      <c r="I278" s="87">
        <f>IF($G278&lt;&gt;"OK","",INDEX('Inventory'!$G$7:$G$106,MATCH($C278,'Inventory'!$B$7:$B$106,0)))</f>
        <v/>
      </c>
      <c r="J278" s="88">
        <f>IF($G278&lt;&gt;"OK","",$H278*$I278)</f>
        <v/>
      </c>
      <c r="K278" s="82">
        <f>IF($G278&lt;&gt;"OK","",SUMIFS('Sales Log'!$D$7:$D$3006,'Sales Log'!$C$7:$C$3006,$B278,'Sales Log'!$B$7:$B$3006,"&gt;="&amp;cfg_CountDate,'Sales Log'!$N$7:$N$3006,"OK"))</f>
        <v/>
      </c>
      <c r="L278" s="89">
        <f>IF($G278&lt;&gt;"OK","",$H278*$K278)</f>
        <v/>
      </c>
    </row>
    <row r="279" ht="17" customHeight="1">
      <c r="B279" s="60" t="n"/>
      <c r="C279" s="60" t="n"/>
      <c r="D279" s="86" t="n"/>
      <c r="E279" s="60" t="n"/>
      <c r="F279" s="13">
        <f>IF($C279="","",IFERROR(INDEX('Inventory'!$D$7:$D$106,MATCH($C279,'Inventory'!$B$7:$B$106,0))&amp;"","?"))</f>
        <v/>
      </c>
      <c r="G279" s="80">
        <f>IF(AND($B279="",$C279=""),"",IF($B279="","Pick menu item",IF(ISNA(MATCH($B279,'Menu Pricing'!$B$7:$B$56,0)),"Not on Menu Pricing",IF($C279="","Pick ingredient",IF($F279="?","Not in Inventory",IF($F279="","Set stock unit in Inventory",IF(N($D279)&lt;=0,"Enter quantity",IF($E279="","Pick unit",IF(IFERROR(INDEX('Lists'!$C$6:$C$30,MATCH($E279,'Lists'!$B$6:$B$30,0)),"?")&lt;&gt;IFERROR(INDEX('Lists'!$C$6:$C$30,MATCH($F279,'Lists'!$B$6:$B$30,0)),"?"),"Unit mismatch",IF(ISNUMBER(INDEX('Inventory'!$G$7:$G$106,MATCH($C279,'Inventory'!$B$7:$B$106,0))),"OK","Add price in Inventory"))))))))))</f>
        <v/>
      </c>
      <c r="H279" s="87">
        <f>IF($G279&lt;&gt;"OK","",$D279*INDEX('Lists'!$D$6:$D$30,MATCH($E279,'Lists'!$B$6:$B$30,0))/INDEX('Lists'!$D$6:$D$30,MATCH($F279,'Lists'!$B$6:$B$30,0)))</f>
        <v/>
      </c>
      <c r="I279" s="87">
        <f>IF($G279&lt;&gt;"OK","",INDEX('Inventory'!$G$7:$G$106,MATCH($C279,'Inventory'!$B$7:$B$106,0)))</f>
        <v/>
      </c>
      <c r="J279" s="88">
        <f>IF($G279&lt;&gt;"OK","",$H279*$I279)</f>
        <v/>
      </c>
      <c r="K279" s="82">
        <f>IF($G279&lt;&gt;"OK","",SUMIFS('Sales Log'!$D$7:$D$3006,'Sales Log'!$C$7:$C$3006,$B279,'Sales Log'!$B$7:$B$3006,"&gt;="&amp;cfg_CountDate,'Sales Log'!$N$7:$N$3006,"OK"))</f>
        <v/>
      </c>
      <c r="L279" s="89">
        <f>IF($G279&lt;&gt;"OK","",$H279*$K279)</f>
        <v/>
      </c>
    </row>
    <row r="280" ht="17" customHeight="1">
      <c r="B280" s="60" t="n"/>
      <c r="C280" s="60" t="n"/>
      <c r="D280" s="86" t="n"/>
      <c r="E280" s="60" t="n"/>
      <c r="F280" s="13">
        <f>IF($C280="","",IFERROR(INDEX('Inventory'!$D$7:$D$106,MATCH($C280,'Inventory'!$B$7:$B$106,0))&amp;"","?"))</f>
        <v/>
      </c>
      <c r="G280" s="80">
        <f>IF(AND($B280="",$C280=""),"",IF($B280="","Pick menu item",IF(ISNA(MATCH($B280,'Menu Pricing'!$B$7:$B$56,0)),"Not on Menu Pricing",IF($C280="","Pick ingredient",IF($F280="?","Not in Inventory",IF($F280="","Set stock unit in Inventory",IF(N($D280)&lt;=0,"Enter quantity",IF($E280="","Pick unit",IF(IFERROR(INDEX('Lists'!$C$6:$C$30,MATCH($E280,'Lists'!$B$6:$B$30,0)),"?")&lt;&gt;IFERROR(INDEX('Lists'!$C$6:$C$30,MATCH($F280,'Lists'!$B$6:$B$30,0)),"?"),"Unit mismatch",IF(ISNUMBER(INDEX('Inventory'!$G$7:$G$106,MATCH($C280,'Inventory'!$B$7:$B$106,0))),"OK","Add price in Inventory"))))))))))</f>
        <v/>
      </c>
      <c r="H280" s="87">
        <f>IF($G280&lt;&gt;"OK","",$D280*INDEX('Lists'!$D$6:$D$30,MATCH($E280,'Lists'!$B$6:$B$30,0))/INDEX('Lists'!$D$6:$D$30,MATCH($F280,'Lists'!$B$6:$B$30,0)))</f>
        <v/>
      </c>
      <c r="I280" s="87">
        <f>IF($G280&lt;&gt;"OK","",INDEX('Inventory'!$G$7:$G$106,MATCH($C280,'Inventory'!$B$7:$B$106,0)))</f>
        <v/>
      </c>
      <c r="J280" s="88">
        <f>IF($G280&lt;&gt;"OK","",$H280*$I280)</f>
        <v/>
      </c>
      <c r="K280" s="82">
        <f>IF($G280&lt;&gt;"OK","",SUMIFS('Sales Log'!$D$7:$D$3006,'Sales Log'!$C$7:$C$3006,$B280,'Sales Log'!$B$7:$B$3006,"&gt;="&amp;cfg_CountDate,'Sales Log'!$N$7:$N$3006,"OK"))</f>
        <v/>
      </c>
      <c r="L280" s="89">
        <f>IF($G280&lt;&gt;"OK","",$H280*$K280)</f>
        <v/>
      </c>
    </row>
    <row r="281" ht="17" customHeight="1">
      <c r="B281" s="60" t="n"/>
      <c r="C281" s="60" t="n"/>
      <c r="D281" s="86" t="n"/>
      <c r="E281" s="60" t="n"/>
      <c r="F281" s="13">
        <f>IF($C281="","",IFERROR(INDEX('Inventory'!$D$7:$D$106,MATCH($C281,'Inventory'!$B$7:$B$106,0))&amp;"","?"))</f>
        <v/>
      </c>
      <c r="G281" s="80">
        <f>IF(AND($B281="",$C281=""),"",IF($B281="","Pick menu item",IF(ISNA(MATCH($B281,'Menu Pricing'!$B$7:$B$56,0)),"Not on Menu Pricing",IF($C281="","Pick ingredient",IF($F281="?","Not in Inventory",IF($F281="","Set stock unit in Inventory",IF(N($D281)&lt;=0,"Enter quantity",IF($E281="","Pick unit",IF(IFERROR(INDEX('Lists'!$C$6:$C$30,MATCH($E281,'Lists'!$B$6:$B$30,0)),"?")&lt;&gt;IFERROR(INDEX('Lists'!$C$6:$C$30,MATCH($F281,'Lists'!$B$6:$B$30,0)),"?"),"Unit mismatch",IF(ISNUMBER(INDEX('Inventory'!$G$7:$G$106,MATCH($C281,'Inventory'!$B$7:$B$106,0))),"OK","Add price in Inventory"))))))))))</f>
        <v/>
      </c>
      <c r="H281" s="87">
        <f>IF($G281&lt;&gt;"OK","",$D281*INDEX('Lists'!$D$6:$D$30,MATCH($E281,'Lists'!$B$6:$B$30,0))/INDEX('Lists'!$D$6:$D$30,MATCH($F281,'Lists'!$B$6:$B$30,0)))</f>
        <v/>
      </c>
      <c r="I281" s="87">
        <f>IF($G281&lt;&gt;"OK","",INDEX('Inventory'!$G$7:$G$106,MATCH($C281,'Inventory'!$B$7:$B$106,0)))</f>
        <v/>
      </c>
      <c r="J281" s="88">
        <f>IF($G281&lt;&gt;"OK","",$H281*$I281)</f>
        <v/>
      </c>
      <c r="K281" s="82">
        <f>IF($G281&lt;&gt;"OK","",SUMIFS('Sales Log'!$D$7:$D$3006,'Sales Log'!$C$7:$C$3006,$B281,'Sales Log'!$B$7:$B$3006,"&gt;="&amp;cfg_CountDate,'Sales Log'!$N$7:$N$3006,"OK"))</f>
        <v/>
      </c>
      <c r="L281" s="89">
        <f>IF($G281&lt;&gt;"OK","",$H281*$K281)</f>
        <v/>
      </c>
    </row>
    <row r="282" ht="17" customHeight="1">
      <c r="B282" s="60" t="n"/>
      <c r="C282" s="60" t="n"/>
      <c r="D282" s="86" t="n"/>
      <c r="E282" s="60" t="n"/>
      <c r="F282" s="13">
        <f>IF($C282="","",IFERROR(INDEX('Inventory'!$D$7:$D$106,MATCH($C282,'Inventory'!$B$7:$B$106,0))&amp;"","?"))</f>
        <v/>
      </c>
      <c r="G282" s="80">
        <f>IF(AND($B282="",$C282=""),"",IF($B282="","Pick menu item",IF(ISNA(MATCH($B282,'Menu Pricing'!$B$7:$B$56,0)),"Not on Menu Pricing",IF($C282="","Pick ingredient",IF($F282="?","Not in Inventory",IF($F282="","Set stock unit in Inventory",IF(N($D282)&lt;=0,"Enter quantity",IF($E282="","Pick unit",IF(IFERROR(INDEX('Lists'!$C$6:$C$30,MATCH($E282,'Lists'!$B$6:$B$30,0)),"?")&lt;&gt;IFERROR(INDEX('Lists'!$C$6:$C$30,MATCH($F282,'Lists'!$B$6:$B$30,0)),"?"),"Unit mismatch",IF(ISNUMBER(INDEX('Inventory'!$G$7:$G$106,MATCH($C282,'Inventory'!$B$7:$B$106,0))),"OK","Add price in Inventory"))))))))))</f>
        <v/>
      </c>
      <c r="H282" s="87">
        <f>IF($G282&lt;&gt;"OK","",$D282*INDEX('Lists'!$D$6:$D$30,MATCH($E282,'Lists'!$B$6:$B$30,0))/INDEX('Lists'!$D$6:$D$30,MATCH($F282,'Lists'!$B$6:$B$30,0)))</f>
        <v/>
      </c>
      <c r="I282" s="87">
        <f>IF($G282&lt;&gt;"OK","",INDEX('Inventory'!$G$7:$G$106,MATCH($C282,'Inventory'!$B$7:$B$106,0)))</f>
        <v/>
      </c>
      <c r="J282" s="88">
        <f>IF($G282&lt;&gt;"OK","",$H282*$I282)</f>
        <v/>
      </c>
      <c r="K282" s="82">
        <f>IF($G282&lt;&gt;"OK","",SUMIFS('Sales Log'!$D$7:$D$3006,'Sales Log'!$C$7:$C$3006,$B282,'Sales Log'!$B$7:$B$3006,"&gt;="&amp;cfg_CountDate,'Sales Log'!$N$7:$N$3006,"OK"))</f>
        <v/>
      </c>
      <c r="L282" s="89">
        <f>IF($G282&lt;&gt;"OK","",$H282*$K282)</f>
        <v/>
      </c>
    </row>
    <row r="283" ht="17" customHeight="1">
      <c r="B283" s="60" t="n"/>
      <c r="C283" s="60" t="n"/>
      <c r="D283" s="86" t="n"/>
      <c r="E283" s="60" t="n"/>
      <c r="F283" s="13">
        <f>IF($C283="","",IFERROR(INDEX('Inventory'!$D$7:$D$106,MATCH($C283,'Inventory'!$B$7:$B$106,0))&amp;"","?"))</f>
        <v/>
      </c>
      <c r="G283" s="80">
        <f>IF(AND($B283="",$C283=""),"",IF($B283="","Pick menu item",IF(ISNA(MATCH($B283,'Menu Pricing'!$B$7:$B$56,0)),"Not on Menu Pricing",IF($C283="","Pick ingredient",IF($F283="?","Not in Inventory",IF($F283="","Set stock unit in Inventory",IF(N($D283)&lt;=0,"Enter quantity",IF($E283="","Pick unit",IF(IFERROR(INDEX('Lists'!$C$6:$C$30,MATCH($E283,'Lists'!$B$6:$B$30,0)),"?")&lt;&gt;IFERROR(INDEX('Lists'!$C$6:$C$30,MATCH($F283,'Lists'!$B$6:$B$30,0)),"?"),"Unit mismatch",IF(ISNUMBER(INDEX('Inventory'!$G$7:$G$106,MATCH($C283,'Inventory'!$B$7:$B$106,0))),"OK","Add price in Inventory"))))))))))</f>
        <v/>
      </c>
      <c r="H283" s="87">
        <f>IF($G283&lt;&gt;"OK","",$D283*INDEX('Lists'!$D$6:$D$30,MATCH($E283,'Lists'!$B$6:$B$30,0))/INDEX('Lists'!$D$6:$D$30,MATCH($F283,'Lists'!$B$6:$B$30,0)))</f>
        <v/>
      </c>
      <c r="I283" s="87">
        <f>IF($G283&lt;&gt;"OK","",INDEX('Inventory'!$G$7:$G$106,MATCH($C283,'Inventory'!$B$7:$B$106,0)))</f>
        <v/>
      </c>
      <c r="J283" s="88">
        <f>IF($G283&lt;&gt;"OK","",$H283*$I283)</f>
        <v/>
      </c>
      <c r="K283" s="82">
        <f>IF($G283&lt;&gt;"OK","",SUMIFS('Sales Log'!$D$7:$D$3006,'Sales Log'!$C$7:$C$3006,$B283,'Sales Log'!$B$7:$B$3006,"&gt;="&amp;cfg_CountDate,'Sales Log'!$N$7:$N$3006,"OK"))</f>
        <v/>
      </c>
      <c r="L283" s="89">
        <f>IF($G283&lt;&gt;"OK","",$H283*$K283)</f>
        <v/>
      </c>
    </row>
    <row r="284" ht="17" customHeight="1">
      <c r="B284" s="60" t="n"/>
      <c r="C284" s="60" t="n"/>
      <c r="D284" s="86" t="n"/>
      <c r="E284" s="60" t="n"/>
      <c r="F284" s="13">
        <f>IF($C284="","",IFERROR(INDEX('Inventory'!$D$7:$D$106,MATCH($C284,'Inventory'!$B$7:$B$106,0))&amp;"","?"))</f>
        <v/>
      </c>
      <c r="G284" s="80">
        <f>IF(AND($B284="",$C284=""),"",IF($B284="","Pick menu item",IF(ISNA(MATCH($B284,'Menu Pricing'!$B$7:$B$56,0)),"Not on Menu Pricing",IF($C284="","Pick ingredient",IF($F284="?","Not in Inventory",IF($F284="","Set stock unit in Inventory",IF(N($D284)&lt;=0,"Enter quantity",IF($E284="","Pick unit",IF(IFERROR(INDEX('Lists'!$C$6:$C$30,MATCH($E284,'Lists'!$B$6:$B$30,0)),"?")&lt;&gt;IFERROR(INDEX('Lists'!$C$6:$C$30,MATCH($F284,'Lists'!$B$6:$B$30,0)),"?"),"Unit mismatch",IF(ISNUMBER(INDEX('Inventory'!$G$7:$G$106,MATCH($C284,'Inventory'!$B$7:$B$106,0))),"OK","Add price in Inventory"))))))))))</f>
        <v/>
      </c>
      <c r="H284" s="87">
        <f>IF($G284&lt;&gt;"OK","",$D284*INDEX('Lists'!$D$6:$D$30,MATCH($E284,'Lists'!$B$6:$B$30,0))/INDEX('Lists'!$D$6:$D$30,MATCH($F284,'Lists'!$B$6:$B$30,0)))</f>
        <v/>
      </c>
      <c r="I284" s="87">
        <f>IF($G284&lt;&gt;"OK","",INDEX('Inventory'!$G$7:$G$106,MATCH($C284,'Inventory'!$B$7:$B$106,0)))</f>
        <v/>
      </c>
      <c r="J284" s="88">
        <f>IF($G284&lt;&gt;"OK","",$H284*$I284)</f>
        <v/>
      </c>
      <c r="K284" s="82">
        <f>IF($G284&lt;&gt;"OK","",SUMIFS('Sales Log'!$D$7:$D$3006,'Sales Log'!$C$7:$C$3006,$B284,'Sales Log'!$B$7:$B$3006,"&gt;="&amp;cfg_CountDate,'Sales Log'!$N$7:$N$3006,"OK"))</f>
        <v/>
      </c>
      <c r="L284" s="89">
        <f>IF($G284&lt;&gt;"OK","",$H284*$K284)</f>
        <v/>
      </c>
    </row>
    <row r="285" ht="17" customHeight="1">
      <c r="B285" s="60" t="n"/>
      <c r="C285" s="60" t="n"/>
      <c r="D285" s="86" t="n"/>
      <c r="E285" s="60" t="n"/>
      <c r="F285" s="13">
        <f>IF($C285="","",IFERROR(INDEX('Inventory'!$D$7:$D$106,MATCH($C285,'Inventory'!$B$7:$B$106,0))&amp;"","?"))</f>
        <v/>
      </c>
      <c r="G285" s="80">
        <f>IF(AND($B285="",$C285=""),"",IF($B285="","Pick menu item",IF(ISNA(MATCH($B285,'Menu Pricing'!$B$7:$B$56,0)),"Not on Menu Pricing",IF($C285="","Pick ingredient",IF($F285="?","Not in Inventory",IF($F285="","Set stock unit in Inventory",IF(N($D285)&lt;=0,"Enter quantity",IF($E285="","Pick unit",IF(IFERROR(INDEX('Lists'!$C$6:$C$30,MATCH($E285,'Lists'!$B$6:$B$30,0)),"?")&lt;&gt;IFERROR(INDEX('Lists'!$C$6:$C$30,MATCH($F285,'Lists'!$B$6:$B$30,0)),"?"),"Unit mismatch",IF(ISNUMBER(INDEX('Inventory'!$G$7:$G$106,MATCH($C285,'Inventory'!$B$7:$B$106,0))),"OK","Add price in Inventory"))))))))))</f>
        <v/>
      </c>
      <c r="H285" s="87">
        <f>IF($G285&lt;&gt;"OK","",$D285*INDEX('Lists'!$D$6:$D$30,MATCH($E285,'Lists'!$B$6:$B$30,0))/INDEX('Lists'!$D$6:$D$30,MATCH($F285,'Lists'!$B$6:$B$30,0)))</f>
        <v/>
      </c>
      <c r="I285" s="87">
        <f>IF($G285&lt;&gt;"OK","",INDEX('Inventory'!$G$7:$G$106,MATCH($C285,'Inventory'!$B$7:$B$106,0)))</f>
        <v/>
      </c>
      <c r="J285" s="88">
        <f>IF($G285&lt;&gt;"OK","",$H285*$I285)</f>
        <v/>
      </c>
      <c r="K285" s="82">
        <f>IF($G285&lt;&gt;"OK","",SUMIFS('Sales Log'!$D$7:$D$3006,'Sales Log'!$C$7:$C$3006,$B285,'Sales Log'!$B$7:$B$3006,"&gt;="&amp;cfg_CountDate,'Sales Log'!$N$7:$N$3006,"OK"))</f>
        <v/>
      </c>
      <c r="L285" s="89">
        <f>IF($G285&lt;&gt;"OK","",$H285*$K285)</f>
        <v/>
      </c>
    </row>
    <row r="286" ht="17" customHeight="1">
      <c r="B286" s="60" t="n"/>
      <c r="C286" s="60" t="n"/>
      <c r="D286" s="86" t="n"/>
      <c r="E286" s="60" t="n"/>
      <c r="F286" s="13">
        <f>IF($C286="","",IFERROR(INDEX('Inventory'!$D$7:$D$106,MATCH($C286,'Inventory'!$B$7:$B$106,0))&amp;"","?"))</f>
        <v/>
      </c>
      <c r="G286" s="80">
        <f>IF(AND($B286="",$C286=""),"",IF($B286="","Pick menu item",IF(ISNA(MATCH($B286,'Menu Pricing'!$B$7:$B$56,0)),"Not on Menu Pricing",IF($C286="","Pick ingredient",IF($F286="?","Not in Inventory",IF($F286="","Set stock unit in Inventory",IF(N($D286)&lt;=0,"Enter quantity",IF($E286="","Pick unit",IF(IFERROR(INDEX('Lists'!$C$6:$C$30,MATCH($E286,'Lists'!$B$6:$B$30,0)),"?")&lt;&gt;IFERROR(INDEX('Lists'!$C$6:$C$30,MATCH($F286,'Lists'!$B$6:$B$30,0)),"?"),"Unit mismatch",IF(ISNUMBER(INDEX('Inventory'!$G$7:$G$106,MATCH($C286,'Inventory'!$B$7:$B$106,0))),"OK","Add price in Inventory"))))))))))</f>
        <v/>
      </c>
      <c r="H286" s="87">
        <f>IF($G286&lt;&gt;"OK","",$D286*INDEX('Lists'!$D$6:$D$30,MATCH($E286,'Lists'!$B$6:$B$30,0))/INDEX('Lists'!$D$6:$D$30,MATCH($F286,'Lists'!$B$6:$B$30,0)))</f>
        <v/>
      </c>
      <c r="I286" s="87">
        <f>IF($G286&lt;&gt;"OK","",INDEX('Inventory'!$G$7:$G$106,MATCH($C286,'Inventory'!$B$7:$B$106,0)))</f>
        <v/>
      </c>
      <c r="J286" s="88">
        <f>IF($G286&lt;&gt;"OK","",$H286*$I286)</f>
        <v/>
      </c>
      <c r="K286" s="82">
        <f>IF($G286&lt;&gt;"OK","",SUMIFS('Sales Log'!$D$7:$D$3006,'Sales Log'!$C$7:$C$3006,$B286,'Sales Log'!$B$7:$B$3006,"&gt;="&amp;cfg_CountDate,'Sales Log'!$N$7:$N$3006,"OK"))</f>
        <v/>
      </c>
      <c r="L286" s="89">
        <f>IF($G286&lt;&gt;"OK","",$H286*$K286)</f>
        <v/>
      </c>
    </row>
    <row r="287" ht="17" customHeight="1">
      <c r="B287" s="60" t="n"/>
      <c r="C287" s="60" t="n"/>
      <c r="D287" s="86" t="n"/>
      <c r="E287" s="60" t="n"/>
      <c r="F287" s="13">
        <f>IF($C287="","",IFERROR(INDEX('Inventory'!$D$7:$D$106,MATCH($C287,'Inventory'!$B$7:$B$106,0))&amp;"","?"))</f>
        <v/>
      </c>
      <c r="G287" s="80">
        <f>IF(AND($B287="",$C287=""),"",IF($B287="","Pick menu item",IF(ISNA(MATCH($B287,'Menu Pricing'!$B$7:$B$56,0)),"Not on Menu Pricing",IF($C287="","Pick ingredient",IF($F287="?","Not in Inventory",IF($F287="","Set stock unit in Inventory",IF(N($D287)&lt;=0,"Enter quantity",IF($E287="","Pick unit",IF(IFERROR(INDEX('Lists'!$C$6:$C$30,MATCH($E287,'Lists'!$B$6:$B$30,0)),"?")&lt;&gt;IFERROR(INDEX('Lists'!$C$6:$C$30,MATCH($F287,'Lists'!$B$6:$B$30,0)),"?"),"Unit mismatch",IF(ISNUMBER(INDEX('Inventory'!$G$7:$G$106,MATCH($C287,'Inventory'!$B$7:$B$106,0))),"OK","Add price in Inventory"))))))))))</f>
        <v/>
      </c>
      <c r="H287" s="87">
        <f>IF($G287&lt;&gt;"OK","",$D287*INDEX('Lists'!$D$6:$D$30,MATCH($E287,'Lists'!$B$6:$B$30,0))/INDEX('Lists'!$D$6:$D$30,MATCH($F287,'Lists'!$B$6:$B$30,0)))</f>
        <v/>
      </c>
      <c r="I287" s="87">
        <f>IF($G287&lt;&gt;"OK","",INDEX('Inventory'!$G$7:$G$106,MATCH($C287,'Inventory'!$B$7:$B$106,0)))</f>
        <v/>
      </c>
      <c r="J287" s="88">
        <f>IF($G287&lt;&gt;"OK","",$H287*$I287)</f>
        <v/>
      </c>
      <c r="K287" s="82">
        <f>IF($G287&lt;&gt;"OK","",SUMIFS('Sales Log'!$D$7:$D$3006,'Sales Log'!$C$7:$C$3006,$B287,'Sales Log'!$B$7:$B$3006,"&gt;="&amp;cfg_CountDate,'Sales Log'!$N$7:$N$3006,"OK"))</f>
        <v/>
      </c>
      <c r="L287" s="89">
        <f>IF($G287&lt;&gt;"OK","",$H287*$K287)</f>
        <v/>
      </c>
    </row>
    <row r="288" ht="17" customHeight="1">
      <c r="B288" s="60" t="n"/>
      <c r="C288" s="60" t="n"/>
      <c r="D288" s="86" t="n"/>
      <c r="E288" s="60" t="n"/>
      <c r="F288" s="13">
        <f>IF($C288="","",IFERROR(INDEX('Inventory'!$D$7:$D$106,MATCH($C288,'Inventory'!$B$7:$B$106,0))&amp;"","?"))</f>
        <v/>
      </c>
      <c r="G288" s="80">
        <f>IF(AND($B288="",$C288=""),"",IF($B288="","Pick menu item",IF(ISNA(MATCH($B288,'Menu Pricing'!$B$7:$B$56,0)),"Not on Menu Pricing",IF($C288="","Pick ingredient",IF($F288="?","Not in Inventory",IF($F288="","Set stock unit in Inventory",IF(N($D288)&lt;=0,"Enter quantity",IF($E288="","Pick unit",IF(IFERROR(INDEX('Lists'!$C$6:$C$30,MATCH($E288,'Lists'!$B$6:$B$30,0)),"?")&lt;&gt;IFERROR(INDEX('Lists'!$C$6:$C$30,MATCH($F288,'Lists'!$B$6:$B$30,0)),"?"),"Unit mismatch",IF(ISNUMBER(INDEX('Inventory'!$G$7:$G$106,MATCH($C288,'Inventory'!$B$7:$B$106,0))),"OK","Add price in Inventory"))))))))))</f>
        <v/>
      </c>
      <c r="H288" s="87">
        <f>IF($G288&lt;&gt;"OK","",$D288*INDEX('Lists'!$D$6:$D$30,MATCH($E288,'Lists'!$B$6:$B$30,0))/INDEX('Lists'!$D$6:$D$30,MATCH($F288,'Lists'!$B$6:$B$30,0)))</f>
        <v/>
      </c>
      <c r="I288" s="87">
        <f>IF($G288&lt;&gt;"OK","",INDEX('Inventory'!$G$7:$G$106,MATCH($C288,'Inventory'!$B$7:$B$106,0)))</f>
        <v/>
      </c>
      <c r="J288" s="88">
        <f>IF($G288&lt;&gt;"OK","",$H288*$I288)</f>
        <v/>
      </c>
      <c r="K288" s="82">
        <f>IF($G288&lt;&gt;"OK","",SUMIFS('Sales Log'!$D$7:$D$3006,'Sales Log'!$C$7:$C$3006,$B288,'Sales Log'!$B$7:$B$3006,"&gt;="&amp;cfg_CountDate,'Sales Log'!$N$7:$N$3006,"OK"))</f>
        <v/>
      </c>
      <c r="L288" s="89">
        <f>IF($G288&lt;&gt;"OK","",$H288*$K288)</f>
        <v/>
      </c>
    </row>
    <row r="289" ht="17" customHeight="1">
      <c r="B289" s="60" t="n"/>
      <c r="C289" s="60" t="n"/>
      <c r="D289" s="86" t="n"/>
      <c r="E289" s="60" t="n"/>
      <c r="F289" s="13">
        <f>IF($C289="","",IFERROR(INDEX('Inventory'!$D$7:$D$106,MATCH($C289,'Inventory'!$B$7:$B$106,0))&amp;"","?"))</f>
        <v/>
      </c>
      <c r="G289" s="80">
        <f>IF(AND($B289="",$C289=""),"",IF($B289="","Pick menu item",IF(ISNA(MATCH($B289,'Menu Pricing'!$B$7:$B$56,0)),"Not on Menu Pricing",IF($C289="","Pick ingredient",IF($F289="?","Not in Inventory",IF($F289="","Set stock unit in Inventory",IF(N($D289)&lt;=0,"Enter quantity",IF($E289="","Pick unit",IF(IFERROR(INDEX('Lists'!$C$6:$C$30,MATCH($E289,'Lists'!$B$6:$B$30,0)),"?")&lt;&gt;IFERROR(INDEX('Lists'!$C$6:$C$30,MATCH($F289,'Lists'!$B$6:$B$30,0)),"?"),"Unit mismatch",IF(ISNUMBER(INDEX('Inventory'!$G$7:$G$106,MATCH($C289,'Inventory'!$B$7:$B$106,0))),"OK","Add price in Inventory"))))))))))</f>
        <v/>
      </c>
      <c r="H289" s="87">
        <f>IF($G289&lt;&gt;"OK","",$D289*INDEX('Lists'!$D$6:$D$30,MATCH($E289,'Lists'!$B$6:$B$30,0))/INDEX('Lists'!$D$6:$D$30,MATCH($F289,'Lists'!$B$6:$B$30,0)))</f>
        <v/>
      </c>
      <c r="I289" s="87">
        <f>IF($G289&lt;&gt;"OK","",INDEX('Inventory'!$G$7:$G$106,MATCH($C289,'Inventory'!$B$7:$B$106,0)))</f>
        <v/>
      </c>
      <c r="J289" s="88">
        <f>IF($G289&lt;&gt;"OK","",$H289*$I289)</f>
        <v/>
      </c>
      <c r="K289" s="82">
        <f>IF($G289&lt;&gt;"OK","",SUMIFS('Sales Log'!$D$7:$D$3006,'Sales Log'!$C$7:$C$3006,$B289,'Sales Log'!$B$7:$B$3006,"&gt;="&amp;cfg_CountDate,'Sales Log'!$N$7:$N$3006,"OK"))</f>
        <v/>
      </c>
      <c r="L289" s="89">
        <f>IF($G289&lt;&gt;"OK","",$H289*$K289)</f>
        <v/>
      </c>
    </row>
    <row r="290" ht="17" customHeight="1">
      <c r="B290" s="60" t="n"/>
      <c r="C290" s="60" t="n"/>
      <c r="D290" s="86" t="n"/>
      <c r="E290" s="60" t="n"/>
      <c r="F290" s="13">
        <f>IF($C290="","",IFERROR(INDEX('Inventory'!$D$7:$D$106,MATCH($C290,'Inventory'!$B$7:$B$106,0))&amp;"","?"))</f>
        <v/>
      </c>
      <c r="G290" s="80">
        <f>IF(AND($B290="",$C290=""),"",IF($B290="","Pick menu item",IF(ISNA(MATCH($B290,'Menu Pricing'!$B$7:$B$56,0)),"Not on Menu Pricing",IF($C290="","Pick ingredient",IF($F290="?","Not in Inventory",IF($F290="","Set stock unit in Inventory",IF(N($D290)&lt;=0,"Enter quantity",IF($E290="","Pick unit",IF(IFERROR(INDEX('Lists'!$C$6:$C$30,MATCH($E290,'Lists'!$B$6:$B$30,0)),"?")&lt;&gt;IFERROR(INDEX('Lists'!$C$6:$C$30,MATCH($F290,'Lists'!$B$6:$B$30,0)),"?"),"Unit mismatch",IF(ISNUMBER(INDEX('Inventory'!$G$7:$G$106,MATCH($C290,'Inventory'!$B$7:$B$106,0))),"OK","Add price in Inventory"))))))))))</f>
        <v/>
      </c>
      <c r="H290" s="87">
        <f>IF($G290&lt;&gt;"OK","",$D290*INDEX('Lists'!$D$6:$D$30,MATCH($E290,'Lists'!$B$6:$B$30,0))/INDEX('Lists'!$D$6:$D$30,MATCH($F290,'Lists'!$B$6:$B$30,0)))</f>
        <v/>
      </c>
      <c r="I290" s="87">
        <f>IF($G290&lt;&gt;"OK","",INDEX('Inventory'!$G$7:$G$106,MATCH($C290,'Inventory'!$B$7:$B$106,0)))</f>
        <v/>
      </c>
      <c r="J290" s="88">
        <f>IF($G290&lt;&gt;"OK","",$H290*$I290)</f>
        <v/>
      </c>
      <c r="K290" s="82">
        <f>IF($G290&lt;&gt;"OK","",SUMIFS('Sales Log'!$D$7:$D$3006,'Sales Log'!$C$7:$C$3006,$B290,'Sales Log'!$B$7:$B$3006,"&gt;="&amp;cfg_CountDate,'Sales Log'!$N$7:$N$3006,"OK"))</f>
        <v/>
      </c>
      <c r="L290" s="89">
        <f>IF($G290&lt;&gt;"OK","",$H290*$K290)</f>
        <v/>
      </c>
    </row>
    <row r="291" ht="17" customHeight="1">
      <c r="B291" s="60" t="n"/>
      <c r="C291" s="60" t="n"/>
      <c r="D291" s="86" t="n"/>
      <c r="E291" s="60" t="n"/>
      <c r="F291" s="13">
        <f>IF($C291="","",IFERROR(INDEX('Inventory'!$D$7:$D$106,MATCH($C291,'Inventory'!$B$7:$B$106,0))&amp;"","?"))</f>
        <v/>
      </c>
      <c r="G291" s="80">
        <f>IF(AND($B291="",$C291=""),"",IF($B291="","Pick menu item",IF(ISNA(MATCH($B291,'Menu Pricing'!$B$7:$B$56,0)),"Not on Menu Pricing",IF($C291="","Pick ingredient",IF($F291="?","Not in Inventory",IF($F291="","Set stock unit in Inventory",IF(N($D291)&lt;=0,"Enter quantity",IF($E291="","Pick unit",IF(IFERROR(INDEX('Lists'!$C$6:$C$30,MATCH($E291,'Lists'!$B$6:$B$30,0)),"?")&lt;&gt;IFERROR(INDEX('Lists'!$C$6:$C$30,MATCH($F291,'Lists'!$B$6:$B$30,0)),"?"),"Unit mismatch",IF(ISNUMBER(INDEX('Inventory'!$G$7:$G$106,MATCH($C291,'Inventory'!$B$7:$B$106,0))),"OK","Add price in Inventory"))))))))))</f>
        <v/>
      </c>
      <c r="H291" s="87">
        <f>IF($G291&lt;&gt;"OK","",$D291*INDEX('Lists'!$D$6:$D$30,MATCH($E291,'Lists'!$B$6:$B$30,0))/INDEX('Lists'!$D$6:$D$30,MATCH($F291,'Lists'!$B$6:$B$30,0)))</f>
        <v/>
      </c>
      <c r="I291" s="87">
        <f>IF($G291&lt;&gt;"OK","",INDEX('Inventory'!$G$7:$G$106,MATCH($C291,'Inventory'!$B$7:$B$106,0)))</f>
        <v/>
      </c>
      <c r="J291" s="88">
        <f>IF($G291&lt;&gt;"OK","",$H291*$I291)</f>
        <v/>
      </c>
      <c r="K291" s="82">
        <f>IF($G291&lt;&gt;"OK","",SUMIFS('Sales Log'!$D$7:$D$3006,'Sales Log'!$C$7:$C$3006,$B291,'Sales Log'!$B$7:$B$3006,"&gt;="&amp;cfg_CountDate,'Sales Log'!$N$7:$N$3006,"OK"))</f>
        <v/>
      </c>
      <c r="L291" s="89">
        <f>IF($G291&lt;&gt;"OK","",$H291*$K291)</f>
        <v/>
      </c>
    </row>
    <row r="292" ht="17" customHeight="1">
      <c r="B292" s="60" t="n"/>
      <c r="C292" s="60" t="n"/>
      <c r="D292" s="86" t="n"/>
      <c r="E292" s="60" t="n"/>
      <c r="F292" s="13">
        <f>IF($C292="","",IFERROR(INDEX('Inventory'!$D$7:$D$106,MATCH($C292,'Inventory'!$B$7:$B$106,0))&amp;"","?"))</f>
        <v/>
      </c>
      <c r="G292" s="80">
        <f>IF(AND($B292="",$C292=""),"",IF($B292="","Pick menu item",IF(ISNA(MATCH($B292,'Menu Pricing'!$B$7:$B$56,0)),"Not on Menu Pricing",IF($C292="","Pick ingredient",IF($F292="?","Not in Inventory",IF($F292="","Set stock unit in Inventory",IF(N($D292)&lt;=0,"Enter quantity",IF($E292="","Pick unit",IF(IFERROR(INDEX('Lists'!$C$6:$C$30,MATCH($E292,'Lists'!$B$6:$B$30,0)),"?")&lt;&gt;IFERROR(INDEX('Lists'!$C$6:$C$30,MATCH($F292,'Lists'!$B$6:$B$30,0)),"?"),"Unit mismatch",IF(ISNUMBER(INDEX('Inventory'!$G$7:$G$106,MATCH($C292,'Inventory'!$B$7:$B$106,0))),"OK","Add price in Inventory"))))))))))</f>
        <v/>
      </c>
      <c r="H292" s="87">
        <f>IF($G292&lt;&gt;"OK","",$D292*INDEX('Lists'!$D$6:$D$30,MATCH($E292,'Lists'!$B$6:$B$30,0))/INDEX('Lists'!$D$6:$D$30,MATCH($F292,'Lists'!$B$6:$B$30,0)))</f>
        <v/>
      </c>
      <c r="I292" s="87">
        <f>IF($G292&lt;&gt;"OK","",INDEX('Inventory'!$G$7:$G$106,MATCH($C292,'Inventory'!$B$7:$B$106,0)))</f>
        <v/>
      </c>
      <c r="J292" s="88">
        <f>IF($G292&lt;&gt;"OK","",$H292*$I292)</f>
        <v/>
      </c>
      <c r="K292" s="82">
        <f>IF($G292&lt;&gt;"OK","",SUMIFS('Sales Log'!$D$7:$D$3006,'Sales Log'!$C$7:$C$3006,$B292,'Sales Log'!$B$7:$B$3006,"&gt;="&amp;cfg_CountDate,'Sales Log'!$N$7:$N$3006,"OK"))</f>
        <v/>
      </c>
      <c r="L292" s="89">
        <f>IF($G292&lt;&gt;"OK","",$H292*$K292)</f>
        <v/>
      </c>
    </row>
    <row r="293" ht="17" customHeight="1">
      <c r="B293" s="60" t="n"/>
      <c r="C293" s="60" t="n"/>
      <c r="D293" s="86" t="n"/>
      <c r="E293" s="60" t="n"/>
      <c r="F293" s="13">
        <f>IF($C293="","",IFERROR(INDEX('Inventory'!$D$7:$D$106,MATCH($C293,'Inventory'!$B$7:$B$106,0))&amp;"","?"))</f>
        <v/>
      </c>
      <c r="G293" s="80">
        <f>IF(AND($B293="",$C293=""),"",IF($B293="","Pick menu item",IF(ISNA(MATCH($B293,'Menu Pricing'!$B$7:$B$56,0)),"Not on Menu Pricing",IF($C293="","Pick ingredient",IF($F293="?","Not in Inventory",IF($F293="","Set stock unit in Inventory",IF(N($D293)&lt;=0,"Enter quantity",IF($E293="","Pick unit",IF(IFERROR(INDEX('Lists'!$C$6:$C$30,MATCH($E293,'Lists'!$B$6:$B$30,0)),"?")&lt;&gt;IFERROR(INDEX('Lists'!$C$6:$C$30,MATCH($F293,'Lists'!$B$6:$B$30,0)),"?"),"Unit mismatch",IF(ISNUMBER(INDEX('Inventory'!$G$7:$G$106,MATCH($C293,'Inventory'!$B$7:$B$106,0))),"OK","Add price in Inventory"))))))))))</f>
        <v/>
      </c>
      <c r="H293" s="87">
        <f>IF($G293&lt;&gt;"OK","",$D293*INDEX('Lists'!$D$6:$D$30,MATCH($E293,'Lists'!$B$6:$B$30,0))/INDEX('Lists'!$D$6:$D$30,MATCH($F293,'Lists'!$B$6:$B$30,0)))</f>
        <v/>
      </c>
      <c r="I293" s="87">
        <f>IF($G293&lt;&gt;"OK","",INDEX('Inventory'!$G$7:$G$106,MATCH($C293,'Inventory'!$B$7:$B$106,0)))</f>
        <v/>
      </c>
      <c r="J293" s="88">
        <f>IF($G293&lt;&gt;"OK","",$H293*$I293)</f>
        <v/>
      </c>
      <c r="K293" s="82">
        <f>IF($G293&lt;&gt;"OK","",SUMIFS('Sales Log'!$D$7:$D$3006,'Sales Log'!$C$7:$C$3006,$B293,'Sales Log'!$B$7:$B$3006,"&gt;="&amp;cfg_CountDate,'Sales Log'!$N$7:$N$3006,"OK"))</f>
        <v/>
      </c>
      <c r="L293" s="89">
        <f>IF($G293&lt;&gt;"OK","",$H293*$K293)</f>
        <v/>
      </c>
    </row>
    <row r="294" ht="17" customHeight="1">
      <c r="B294" s="60" t="n"/>
      <c r="C294" s="60" t="n"/>
      <c r="D294" s="86" t="n"/>
      <c r="E294" s="60" t="n"/>
      <c r="F294" s="13">
        <f>IF($C294="","",IFERROR(INDEX('Inventory'!$D$7:$D$106,MATCH($C294,'Inventory'!$B$7:$B$106,0))&amp;"","?"))</f>
        <v/>
      </c>
      <c r="G294" s="80">
        <f>IF(AND($B294="",$C294=""),"",IF($B294="","Pick menu item",IF(ISNA(MATCH($B294,'Menu Pricing'!$B$7:$B$56,0)),"Not on Menu Pricing",IF($C294="","Pick ingredient",IF($F294="?","Not in Inventory",IF($F294="","Set stock unit in Inventory",IF(N($D294)&lt;=0,"Enter quantity",IF($E294="","Pick unit",IF(IFERROR(INDEX('Lists'!$C$6:$C$30,MATCH($E294,'Lists'!$B$6:$B$30,0)),"?")&lt;&gt;IFERROR(INDEX('Lists'!$C$6:$C$30,MATCH($F294,'Lists'!$B$6:$B$30,0)),"?"),"Unit mismatch",IF(ISNUMBER(INDEX('Inventory'!$G$7:$G$106,MATCH($C294,'Inventory'!$B$7:$B$106,0))),"OK","Add price in Inventory"))))))))))</f>
        <v/>
      </c>
      <c r="H294" s="87">
        <f>IF($G294&lt;&gt;"OK","",$D294*INDEX('Lists'!$D$6:$D$30,MATCH($E294,'Lists'!$B$6:$B$30,0))/INDEX('Lists'!$D$6:$D$30,MATCH($F294,'Lists'!$B$6:$B$30,0)))</f>
        <v/>
      </c>
      <c r="I294" s="87">
        <f>IF($G294&lt;&gt;"OK","",INDEX('Inventory'!$G$7:$G$106,MATCH($C294,'Inventory'!$B$7:$B$106,0)))</f>
        <v/>
      </c>
      <c r="J294" s="88">
        <f>IF($G294&lt;&gt;"OK","",$H294*$I294)</f>
        <v/>
      </c>
      <c r="K294" s="82">
        <f>IF($G294&lt;&gt;"OK","",SUMIFS('Sales Log'!$D$7:$D$3006,'Sales Log'!$C$7:$C$3006,$B294,'Sales Log'!$B$7:$B$3006,"&gt;="&amp;cfg_CountDate,'Sales Log'!$N$7:$N$3006,"OK"))</f>
        <v/>
      </c>
      <c r="L294" s="89">
        <f>IF($G294&lt;&gt;"OK","",$H294*$K294)</f>
        <v/>
      </c>
    </row>
    <row r="295" ht="17" customHeight="1">
      <c r="B295" s="60" t="n"/>
      <c r="C295" s="60" t="n"/>
      <c r="D295" s="86" t="n"/>
      <c r="E295" s="60" t="n"/>
      <c r="F295" s="13">
        <f>IF($C295="","",IFERROR(INDEX('Inventory'!$D$7:$D$106,MATCH($C295,'Inventory'!$B$7:$B$106,0))&amp;"","?"))</f>
        <v/>
      </c>
      <c r="G295" s="80">
        <f>IF(AND($B295="",$C295=""),"",IF($B295="","Pick menu item",IF(ISNA(MATCH($B295,'Menu Pricing'!$B$7:$B$56,0)),"Not on Menu Pricing",IF($C295="","Pick ingredient",IF($F295="?","Not in Inventory",IF($F295="","Set stock unit in Inventory",IF(N($D295)&lt;=0,"Enter quantity",IF($E295="","Pick unit",IF(IFERROR(INDEX('Lists'!$C$6:$C$30,MATCH($E295,'Lists'!$B$6:$B$30,0)),"?")&lt;&gt;IFERROR(INDEX('Lists'!$C$6:$C$30,MATCH($F295,'Lists'!$B$6:$B$30,0)),"?"),"Unit mismatch",IF(ISNUMBER(INDEX('Inventory'!$G$7:$G$106,MATCH($C295,'Inventory'!$B$7:$B$106,0))),"OK","Add price in Inventory"))))))))))</f>
        <v/>
      </c>
      <c r="H295" s="87">
        <f>IF($G295&lt;&gt;"OK","",$D295*INDEX('Lists'!$D$6:$D$30,MATCH($E295,'Lists'!$B$6:$B$30,0))/INDEX('Lists'!$D$6:$D$30,MATCH($F295,'Lists'!$B$6:$B$30,0)))</f>
        <v/>
      </c>
      <c r="I295" s="87">
        <f>IF($G295&lt;&gt;"OK","",INDEX('Inventory'!$G$7:$G$106,MATCH($C295,'Inventory'!$B$7:$B$106,0)))</f>
        <v/>
      </c>
      <c r="J295" s="88">
        <f>IF($G295&lt;&gt;"OK","",$H295*$I295)</f>
        <v/>
      </c>
      <c r="K295" s="82">
        <f>IF($G295&lt;&gt;"OK","",SUMIFS('Sales Log'!$D$7:$D$3006,'Sales Log'!$C$7:$C$3006,$B295,'Sales Log'!$B$7:$B$3006,"&gt;="&amp;cfg_CountDate,'Sales Log'!$N$7:$N$3006,"OK"))</f>
        <v/>
      </c>
      <c r="L295" s="89">
        <f>IF($G295&lt;&gt;"OK","",$H295*$K295)</f>
        <v/>
      </c>
    </row>
    <row r="296" ht="17" customHeight="1">
      <c r="B296" s="60" t="n"/>
      <c r="C296" s="60" t="n"/>
      <c r="D296" s="86" t="n"/>
      <c r="E296" s="60" t="n"/>
      <c r="F296" s="13">
        <f>IF($C296="","",IFERROR(INDEX('Inventory'!$D$7:$D$106,MATCH($C296,'Inventory'!$B$7:$B$106,0))&amp;"","?"))</f>
        <v/>
      </c>
      <c r="G296" s="80">
        <f>IF(AND($B296="",$C296=""),"",IF($B296="","Pick menu item",IF(ISNA(MATCH($B296,'Menu Pricing'!$B$7:$B$56,0)),"Not on Menu Pricing",IF($C296="","Pick ingredient",IF($F296="?","Not in Inventory",IF($F296="","Set stock unit in Inventory",IF(N($D296)&lt;=0,"Enter quantity",IF($E296="","Pick unit",IF(IFERROR(INDEX('Lists'!$C$6:$C$30,MATCH($E296,'Lists'!$B$6:$B$30,0)),"?")&lt;&gt;IFERROR(INDEX('Lists'!$C$6:$C$30,MATCH($F296,'Lists'!$B$6:$B$30,0)),"?"),"Unit mismatch",IF(ISNUMBER(INDEX('Inventory'!$G$7:$G$106,MATCH($C296,'Inventory'!$B$7:$B$106,0))),"OK","Add price in Inventory"))))))))))</f>
        <v/>
      </c>
      <c r="H296" s="87">
        <f>IF($G296&lt;&gt;"OK","",$D296*INDEX('Lists'!$D$6:$D$30,MATCH($E296,'Lists'!$B$6:$B$30,0))/INDEX('Lists'!$D$6:$D$30,MATCH($F296,'Lists'!$B$6:$B$30,0)))</f>
        <v/>
      </c>
      <c r="I296" s="87">
        <f>IF($G296&lt;&gt;"OK","",INDEX('Inventory'!$G$7:$G$106,MATCH($C296,'Inventory'!$B$7:$B$106,0)))</f>
        <v/>
      </c>
      <c r="J296" s="88">
        <f>IF($G296&lt;&gt;"OK","",$H296*$I296)</f>
        <v/>
      </c>
      <c r="K296" s="82">
        <f>IF($G296&lt;&gt;"OK","",SUMIFS('Sales Log'!$D$7:$D$3006,'Sales Log'!$C$7:$C$3006,$B296,'Sales Log'!$B$7:$B$3006,"&gt;="&amp;cfg_CountDate,'Sales Log'!$N$7:$N$3006,"OK"))</f>
        <v/>
      </c>
      <c r="L296" s="89">
        <f>IF($G296&lt;&gt;"OK","",$H296*$K296)</f>
        <v/>
      </c>
    </row>
    <row r="297" ht="17" customHeight="1">
      <c r="B297" s="60" t="n"/>
      <c r="C297" s="60" t="n"/>
      <c r="D297" s="86" t="n"/>
      <c r="E297" s="60" t="n"/>
      <c r="F297" s="13">
        <f>IF($C297="","",IFERROR(INDEX('Inventory'!$D$7:$D$106,MATCH($C297,'Inventory'!$B$7:$B$106,0))&amp;"","?"))</f>
        <v/>
      </c>
      <c r="G297" s="80">
        <f>IF(AND($B297="",$C297=""),"",IF($B297="","Pick menu item",IF(ISNA(MATCH($B297,'Menu Pricing'!$B$7:$B$56,0)),"Not on Menu Pricing",IF($C297="","Pick ingredient",IF($F297="?","Not in Inventory",IF($F297="","Set stock unit in Inventory",IF(N($D297)&lt;=0,"Enter quantity",IF($E297="","Pick unit",IF(IFERROR(INDEX('Lists'!$C$6:$C$30,MATCH($E297,'Lists'!$B$6:$B$30,0)),"?")&lt;&gt;IFERROR(INDEX('Lists'!$C$6:$C$30,MATCH($F297,'Lists'!$B$6:$B$30,0)),"?"),"Unit mismatch",IF(ISNUMBER(INDEX('Inventory'!$G$7:$G$106,MATCH($C297,'Inventory'!$B$7:$B$106,0))),"OK","Add price in Inventory"))))))))))</f>
        <v/>
      </c>
      <c r="H297" s="87">
        <f>IF($G297&lt;&gt;"OK","",$D297*INDEX('Lists'!$D$6:$D$30,MATCH($E297,'Lists'!$B$6:$B$30,0))/INDEX('Lists'!$D$6:$D$30,MATCH($F297,'Lists'!$B$6:$B$30,0)))</f>
        <v/>
      </c>
      <c r="I297" s="87">
        <f>IF($G297&lt;&gt;"OK","",INDEX('Inventory'!$G$7:$G$106,MATCH($C297,'Inventory'!$B$7:$B$106,0)))</f>
        <v/>
      </c>
      <c r="J297" s="88">
        <f>IF($G297&lt;&gt;"OK","",$H297*$I297)</f>
        <v/>
      </c>
      <c r="K297" s="82">
        <f>IF($G297&lt;&gt;"OK","",SUMIFS('Sales Log'!$D$7:$D$3006,'Sales Log'!$C$7:$C$3006,$B297,'Sales Log'!$B$7:$B$3006,"&gt;="&amp;cfg_CountDate,'Sales Log'!$N$7:$N$3006,"OK"))</f>
        <v/>
      </c>
      <c r="L297" s="89">
        <f>IF($G297&lt;&gt;"OK","",$H297*$K297)</f>
        <v/>
      </c>
    </row>
    <row r="298" ht="17" customHeight="1">
      <c r="B298" s="60" t="n"/>
      <c r="C298" s="60" t="n"/>
      <c r="D298" s="86" t="n"/>
      <c r="E298" s="60" t="n"/>
      <c r="F298" s="13">
        <f>IF($C298="","",IFERROR(INDEX('Inventory'!$D$7:$D$106,MATCH($C298,'Inventory'!$B$7:$B$106,0))&amp;"","?"))</f>
        <v/>
      </c>
      <c r="G298" s="80">
        <f>IF(AND($B298="",$C298=""),"",IF($B298="","Pick menu item",IF(ISNA(MATCH($B298,'Menu Pricing'!$B$7:$B$56,0)),"Not on Menu Pricing",IF($C298="","Pick ingredient",IF($F298="?","Not in Inventory",IF($F298="","Set stock unit in Inventory",IF(N($D298)&lt;=0,"Enter quantity",IF($E298="","Pick unit",IF(IFERROR(INDEX('Lists'!$C$6:$C$30,MATCH($E298,'Lists'!$B$6:$B$30,0)),"?")&lt;&gt;IFERROR(INDEX('Lists'!$C$6:$C$30,MATCH($F298,'Lists'!$B$6:$B$30,0)),"?"),"Unit mismatch",IF(ISNUMBER(INDEX('Inventory'!$G$7:$G$106,MATCH($C298,'Inventory'!$B$7:$B$106,0))),"OK","Add price in Inventory"))))))))))</f>
        <v/>
      </c>
      <c r="H298" s="87">
        <f>IF($G298&lt;&gt;"OK","",$D298*INDEX('Lists'!$D$6:$D$30,MATCH($E298,'Lists'!$B$6:$B$30,0))/INDEX('Lists'!$D$6:$D$30,MATCH($F298,'Lists'!$B$6:$B$30,0)))</f>
        <v/>
      </c>
      <c r="I298" s="87">
        <f>IF($G298&lt;&gt;"OK","",INDEX('Inventory'!$G$7:$G$106,MATCH($C298,'Inventory'!$B$7:$B$106,0)))</f>
        <v/>
      </c>
      <c r="J298" s="88">
        <f>IF($G298&lt;&gt;"OK","",$H298*$I298)</f>
        <v/>
      </c>
      <c r="K298" s="82">
        <f>IF($G298&lt;&gt;"OK","",SUMIFS('Sales Log'!$D$7:$D$3006,'Sales Log'!$C$7:$C$3006,$B298,'Sales Log'!$B$7:$B$3006,"&gt;="&amp;cfg_CountDate,'Sales Log'!$N$7:$N$3006,"OK"))</f>
        <v/>
      </c>
      <c r="L298" s="89">
        <f>IF($G298&lt;&gt;"OK","",$H298*$K298)</f>
        <v/>
      </c>
    </row>
    <row r="299" ht="17" customHeight="1">
      <c r="B299" s="60" t="n"/>
      <c r="C299" s="60" t="n"/>
      <c r="D299" s="86" t="n"/>
      <c r="E299" s="60" t="n"/>
      <c r="F299" s="13">
        <f>IF($C299="","",IFERROR(INDEX('Inventory'!$D$7:$D$106,MATCH($C299,'Inventory'!$B$7:$B$106,0))&amp;"","?"))</f>
        <v/>
      </c>
      <c r="G299" s="80">
        <f>IF(AND($B299="",$C299=""),"",IF($B299="","Pick menu item",IF(ISNA(MATCH($B299,'Menu Pricing'!$B$7:$B$56,0)),"Not on Menu Pricing",IF($C299="","Pick ingredient",IF($F299="?","Not in Inventory",IF($F299="","Set stock unit in Inventory",IF(N($D299)&lt;=0,"Enter quantity",IF($E299="","Pick unit",IF(IFERROR(INDEX('Lists'!$C$6:$C$30,MATCH($E299,'Lists'!$B$6:$B$30,0)),"?")&lt;&gt;IFERROR(INDEX('Lists'!$C$6:$C$30,MATCH($F299,'Lists'!$B$6:$B$30,0)),"?"),"Unit mismatch",IF(ISNUMBER(INDEX('Inventory'!$G$7:$G$106,MATCH($C299,'Inventory'!$B$7:$B$106,0))),"OK","Add price in Inventory"))))))))))</f>
        <v/>
      </c>
      <c r="H299" s="87">
        <f>IF($G299&lt;&gt;"OK","",$D299*INDEX('Lists'!$D$6:$D$30,MATCH($E299,'Lists'!$B$6:$B$30,0))/INDEX('Lists'!$D$6:$D$30,MATCH($F299,'Lists'!$B$6:$B$30,0)))</f>
        <v/>
      </c>
      <c r="I299" s="87">
        <f>IF($G299&lt;&gt;"OK","",INDEX('Inventory'!$G$7:$G$106,MATCH($C299,'Inventory'!$B$7:$B$106,0)))</f>
        <v/>
      </c>
      <c r="J299" s="88">
        <f>IF($G299&lt;&gt;"OK","",$H299*$I299)</f>
        <v/>
      </c>
      <c r="K299" s="82">
        <f>IF($G299&lt;&gt;"OK","",SUMIFS('Sales Log'!$D$7:$D$3006,'Sales Log'!$C$7:$C$3006,$B299,'Sales Log'!$B$7:$B$3006,"&gt;="&amp;cfg_CountDate,'Sales Log'!$N$7:$N$3006,"OK"))</f>
        <v/>
      </c>
      <c r="L299" s="89">
        <f>IF($G299&lt;&gt;"OK","",$H299*$K299)</f>
        <v/>
      </c>
    </row>
    <row r="300" ht="17" customHeight="1">
      <c r="B300" s="60" t="n"/>
      <c r="C300" s="60" t="n"/>
      <c r="D300" s="86" t="n"/>
      <c r="E300" s="60" t="n"/>
      <c r="F300" s="13">
        <f>IF($C300="","",IFERROR(INDEX('Inventory'!$D$7:$D$106,MATCH($C300,'Inventory'!$B$7:$B$106,0))&amp;"","?"))</f>
        <v/>
      </c>
      <c r="G300" s="80">
        <f>IF(AND($B300="",$C300=""),"",IF($B300="","Pick menu item",IF(ISNA(MATCH($B300,'Menu Pricing'!$B$7:$B$56,0)),"Not on Menu Pricing",IF($C300="","Pick ingredient",IF($F300="?","Not in Inventory",IF($F300="","Set stock unit in Inventory",IF(N($D300)&lt;=0,"Enter quantity",IF($E300="","Pick unit",IF(IFERROR(INDEX('Lists'!$C$6:$C$30,MATCH($E300,'Lists'!$B$6:$B$30,0)),"?")&lt;&gt;IFERROR(INDEX('Lists'!$C$6:$C$30,MATCH($F300,'Lists'!$B$6:$B$30,0)),"?"),"Unit mismatch",IF(ISNUMBER(INDEX('Inventory'!$G$7:$G$106,MATCH($C300,'Inventory'!$B$7:$B$106,0))),"OK","Add price in Inventory"))))))))))</f>
        <v/>
      </c>
      <c r="H300" s="87">
        <f>IF($G300&lt;&gt;"OK","",$D300*INDEX('Lists'!$D$6:$D$30,MATCH($E300,'Lists'!$B$6:$B$30,0))/INDEX('Lists'!$D$6:$D$30,MATCH($F300,'Lists'!$B$6:$B$30,0)))</f>
        <v/>
      </c>
      <c r="I300" s="87">
        <f>IF($G300&lt;&gt;"OK","",INDEX('Inventory'!$G$7:$G$106,MATCH($C300,'Inventory'!$B$7:$B$106,0)))</f>
        <v/>
      </c>
      <c r="J300" s="88">
        <f>IF($G300&lt;&gt;"OK","",$H300*$I300)</f>
        <v/>
      </c>
      <c r="K300" s="82">
        <f>IF($G300&lt;&gt;"OK","",SUMIFS('Sales Log'!$D$7:$D$3006,'Sales Log'!$C$7:$C$3006,$B300,'Sales Log'!$B$7:$B$3006,"&gt;="&amp;cfg_CountDate,'Sales Log'!$N$7:$N$3006,"OK"))</f>
        <v/>
      </c>
      <c r="L300" s="89">
        <f>IF($G300&lt;&gt;"OK","",$H300*$K300)</f>
        <v/>
      </c>
    </row>
    <row r="301" ht="17" customHeight="1">
      <c r="B301" s="60" t="n"/>
      <c r="C301" s="60" t="n"/>
      <c r="D301" s="86" t="n"/>
      <c r="E301" s="60" t="n"/>
      <c r="F301" s="13">
        <f>IF($C301="","",IFERROR(INDEX('Inventory'!$D$7:$D$106,MATCH($C301,'Inventory'!$B$7:$B$106,0))&amp;"","?"))</f>
        <v/>
      </c>
      <c r="G301" s="80">
        <f>IF(AND($B301="",$C301=""),"",IF($B301="","Pick menu item",IF(ISNA(MATCH($B301,'Menu Pricing'!$B$7:$B$56,0)),"Not on Menu Pricing",IF($C301="","Pick ingredient",IF($F301="?","Not in Inventory",IF($F301="","Set stock unit in Inventory",IF(N($D301)&lt;=0,"Enter quantity",IF($E301="","Pick unit",IF(IFERROR(INDEX('Lists'!$C$6:$C$30,MATCH($E301,'Lists'!$B$6:$B$30,0)),"?")&lt;&gt;IFERROR(INDEX('Lists'!$C$6:$C$30,MATCH($F301,'Lists'!$B$6:$B$30,0)),"?"),"Unit mismatch",IF(ISNUMBER(INDEX('Inventory'!$G$7:$G$106,MATCH($C301,'Inventory'!$B$7:$B$106,0))),"OK","Add price in Inventory"))))))))))</f>
        <v/>
      </c>
      <c r="H301" s="87">
        <f>IF($G301&lt;&gt;"OK","",$D301*INDEX('Lists'!$D$6:$D$30,MATCH($E301,'Lists'!$B$6:$B$30,0))/INDEX('Lists'!$D$6:$D$30,MATCH($F301,'Lists'!$B$6:$B$30,0)))</f>
        <v/>
      </c>
      <c r="I301" s="87">
        <f>IF($G301&lt;&gt;"OK","",INDEX('Inventory'!$G$7:$G$106,MATCH($C301,'Inventory'!$B$7:$B$106,0)))</f>
        <v/>
      </c>
      <c r="J301" s="88">
        <f>IF($G301&lt;&gt;"OK","",$H301*$I301)</f>
        <v/>
      </c>
      <c r="K301" s="82">
        <f>IF($G301&lt;&gt;"OK","",SUMIFS('Sales Log'!$D$7:$D$3006,'Sales Log'!$C$7:$C$3006,$B301,'Sales Log'!$B$7:$B$3006,"&gt;="&amp;cfg_CountDate,'Sales Log'!$N$7:$N$3006,"OK"))</f>
        <v/>
      </c>
      <c r="L301" s="89">
        <f>IF($G301&lt;&gt;"OK","",$H301*$K301)</f>
        <v/>
      </c>
    </row>
    <row r="302" ht="17" customHeight="1">
      <c r="B302" s="60" t="n"/>
      <c r="C302" s="60" t="n"/>
      <c r="D302" s="86" t="n"/>
      <c r="E302" s="60" t="n"/>
      <c r="F302" s="13">
        <f>IF($C302="","",IFERROR(INDEX('Inventory'!$D$7:$D$106,MATCH($C302,'Inventory'!$B$7:$B$106,0))&amp;"","?"))</f>
        <v/>
      </c>
      <c r="G302" s="80">
        <f>IF(AND($B302="",$C302=""),"",IF($B302="","Pick menu item",IF(ISNA(MATCH($B302,'Menu Pricing'!$B$7:$B$56,0)),"Not on Menu Pricing",IF($C302="","Pick ingredient",IF($F302="?","Not in Inventory",IF($F302="","Set stock unit in Inventory",IF(N($D302)&lt;=0,"Enter quantity",IF($E302="","Pick unit",IF(IFERROR(INDEX('Lists'!$C$6:$C$30,MATCH($E302,'Lists'!$B$6:$B$30,0)),"?")&lt;&gt;IFERROR(INDEX('Lists'!$C$6:$C$30,MATCH($F302,'Lists'!$B$6:$B$30,0)),"?"),"Unit mismatch",IF(ISNUMBER(INDEX('Inventory'!$G$7:$G$106,MATCH($C302,'Inventory'!$B$7:$B$106,0))),"OK","Add price in Inventory"))))))))))</f>
        <v/>
      </c>
      <c r="H302" s="87">
        <f>IF($G302&lt;&gt;"OK","",$D302*INDEX('Lists'!$D$6:$D$30,MATCH($E302,'Lists'!$B$6:$B$30,0))/INDEX('Lists'!$D$6:$D$30,MATCH($F302,'Lists'!$B$6:$B$30,0)))</f>
        <v/>
      </c>
      <c r="I302" s="87">
        <f>IF($G302&lt;&gt;"OK","",INDEX('Inventory'!$G$7:$G$106,MATCH($C302,'Inventory'!$B$7:$B$106,0)))</f>
        <v/>
      </c>
      <c r="J302" s="88">
        <f>IF($G302&lt;&gt;"OK","",$H302*$I302)</f>
        <v/>
      </c>
      <c r="K302" s="82">
        <f>IF($G302&lt;&gt;"OK","",SUMIFS('Sales Log'!$D$7:$D$3006,'Sales Log'!$C$7:$C$3006,$B302,'Sales Log'!$B$7:$B$3006,"&gt;="&amp;cfg_CountDate,'Sales Log'!$N$7:$N$3006,"OK"))</f>
        <v/>
      </c>
      <c r="L302" s="89">
        <f>IF($G302&lt;&gt;"OK","",$H302*$K302)</f>
        <v/>
      </c>
    </row>
    <row r="303" ht="17" customHeight="1">
      <c r="B303" s="60" t="n"/>
      <c r="C303" s="60" t="n"/>
      <c r="D303" s="86" t="n"/>
      <c r="E303" s="60" t="n"/>
      <c r="F303" s="13">
        <f>IF($C303="","",IFERROR(INDEX('Inventory'!$D$7:$D$106,MATCH($C303,'Inventory'!$B$7:$B$106,0))&amp;"","?"))</f>
        <v/>
      </c>
      <c r="G303" s="80">
        <f>IF(AND($B303="",$C303=""),"",IF($B303="","Pick menu item",IF(ISNA(MATCH($B303,'Menu Pricing'!$B$7:$B$56,0)),"Not on Menu Pricing",IF($C303="","Pick ingredient",IF($F303="?","Not in Inventory",IF($F303="","Set stock unit in Inventory",IF(N($D303)&lt;=0,"Enter quantity",IF($E303="","Pick unit",IF(IFERROR(INDEX('Lists'!$C$6:$C$30,MATCH($E303,'Lists'!$B$6:$B$30,0)),"?")&lt;&gt;IFERROR(INDEX('Lists'!$C$6:$C$30,MATCH($F303,'Lists'!$B$6:$B$30,0)),"?"),"Unit mismatch",IF(ISNUMBER(INDEX('Inventory'!$G$7:$G$106,MATCH($C303,'Inventory'!$B$7:$B$106,0))),"OK","Add price in Inventory"))))))))))</f>
        <v/>
      </c>
      <c r="H303" s="87">
        <f>IF($G303&lt;&gt;"OK","",$D303*INDEX('Lists'!$D$6:$D$30,MATCH($E303,'Lists'!$B$6:$B$30,0))/INDEX('Lists'!$D$6:$D$30,MATCH($F303,'Lists'!$B$6:$B$30,0)))</f>
        <v/>
      </c>
      <c r="I303" s="87">
        <f>IF($G303&lt;&gt;"OK","",INDEX('Inventory'!$G$7:$G$106,MATCH($C303,'Inventory'!$B$7:$B$106,0)))</f>
        <v/>
      </c>
      <c r="J303" s="88">
        <f>IF($G303&lt;&gt;"OK","",$H303*$I303)</f>
        <v/>
      </c>
      <c r="K303" s="82">
        <f>IF($G303&lt;&gt;"OK","",SUMIFS('Sales Log'!$D$7:$D$3006,'Sales Log'!$C$7:$C$3006,$B303,'Sales Log'!$B$7:$B$3006,"&gt;="&amp;cfg_CountDate,'Sales Log'!$N$7:$N$3006,"OK"))</f>
        <v/>
      </c>
      <c r="L303" s="89">
        <f>IF($G303&lt;&gt;"OK","",$H303*$K303)</f>
        <v/>
      </c>
    </row>
    <row r="304" ht="17" customHeight="1">
      <c r="B304" s="60" t="n"/>
      <c r="C304" s="60" t="n"/>
      <c r="D304" s="86" t="n"/>
      <c r="E304" s="60" t="n"/>
      <c r="F304" s="13">
        <f>IF($C304="","",IFERROR(INDEX('Inventory'!$D$7:$D$106,MATCH($C304,'Inventory'!$B$7:$B$106,0))&amp;"","?"))</f>
        <v/>
      </c>
      <c r="G304" s="80">
        <f>IF(AND($B304="",$C304=""),"",IF($B304="","Pick menu item",IF(ISNA(MATCH($B304,'Menu Pricing'!$B$7:$B$56,0)),"Not on Menu Pricing",IF($C304="","Pick ingredient",IF($F304="?","Not in Inventory",IF($F304="","Set stock unit in Inventory",IF(N($D304)&lt;=0,"Enter quantity",IF($E304="","Pick unit",IF(IFERROR(INDEX('Lists'!$C$6:$C$30,MATCH($E304,'Lists'!$B$6:$B$30,0)),"?")&lt;&gt;IFERROR(INDEX('Lists'!$C$6:$C$30,MATCH($F304,'Lists'!$B$6:$B$30,0)),"?"),"Unit mismatch",IF(ISNUMBER(INDEX('Inventory'!$G$7:$G$106,MATCH($C304,'Inventory'!$B$7:$B$106,0))),"OK","Add price in Inventory"))))))))))</f>
        <v/>
      </c>
      <c r="H304" s="87">
        <f>IF($G304&lt;&gt;"OK","",$D304*INDEX('Lists'!$D$6:$D$30,MATCH($E304,'Lists'!$B$6:$B$30,0))/INDEX('Lists'!$D$6:$D$30,MATCH($F304,'Lists'!$B$6:$B$30,0)))</f>
        <v/>
      </c>
      <c r="I304" s="87">
        <f>IF($G304&lt;&gt;"OK","",INDEX('Inventory'!$G$7:$G$106,MATCH($C304,'Inventory'!$B$7:$B$106,0)))</f>
        <v/>
      </c>
      <c r="J304" s="88">
        <f>IF($G304&lt;&gt;"OK","",$H304*$I304)</f>
        <v/>
      </c>
      <c r="K304" s="82">
        <f>IF($G304&lt;&gt;"OK","",SUMIFS('Sales Log'!$D$7:$D$3006,'Sales Log'!$C$7:$C$3006,$B304,'Sales Log'!$B$7:$B$3006,"&gt;="&amp;cfg_CountDate,'Sales Log'!$N$7:$N$3006,"OK"))</f>
        <v/>
      </c>
      <c r="L304" s="89">
        <f>IF($G304&lt;&gt;"OK","",$H304*$K304)</f>
        <v/>
      </c>
    </row>
    <row r="305" ht="17" customHeight="1">
      <c r="B305" s="60" t="n"/>
      <c r="C305" s="60" t="n"/>
      <c r="D305" s="86" t="n"/>
      <c r="E305" s="60" t="n"/>
      <c r="F305" s="13">
        <f>IF($C305="","",IFERROR(INDEX('Inventory'!$D$7:$D$106,MATCH($C305,'Inventory'!$B$7:$B$106,0))&amp;"","?"))</f>
        <v/>
      </c>
      <c r="G305" s="80">
        <f>IF(AND($B305="",$C305=""),"",IF($B305="","Pick menu item",IF(ISNA(MATCH($B305,'Menu Pricing'!$B$7:$B$56,0)),"Not on Menu Pricing",IF($C305="","Pick ingredient",IF($F305="?","Not in Inventory",IF($F305="","Set stock unit in Inventory",IF(N($D305)&lt;=0,"Enter quantity",IF($E305="","Pick unit",IF(IFERROR(INDEX('Lists'!$C$6:$C$30,MATCH($E305,'Lists'!$B$6:$B$30,0)),"?")&lt;&gt;IFERROR(INDEX('Lists'!$C$6:$C$30,MATCH($F305,'Lists'!$B$6:$B$30,0)),"?"),"Unit mismatch",IF(ISNUMBER(INDEX('Inventory'!$G$7:$G$106,MATCH($C305,'Inventory'!$B$7:$B$106,0))),"OK","Add price in Inventory"))))))))))</f>
        <v/>
      </c>
      <c r="H305" s="87">
        <f>IF($G305&lt;&gt;"OK","",$D305*INDEX('Lists'!$D$6:$D$30,MATCH($E305,'Lists'!$B$6:$B$30,0))/INDEX('Lists'!$D$6:$D$30,MATCH($F305,'Lists'!$B$6:$B$30,0)))</f>
        <v/>
      </c>
      <c r="I305" s="87">
        <f>IF($G305&lt;&gt;"OK","",INDEX('Inventory'!$G$7:$G$106,MATCH($C305,'Inventory'!$B$7:$B$106,0)))</f>
        <v/>
      </c>
      <c r="J305" s="88">
        <f>IF($G305&lt;&gt;"OK","",$H305*$I305)</f>
        <v/>
      </c>
      <c r="K305" s="82">
        <f>IF($G305&lt;&gt;"OK","",SUMIFS('Sales Log'!$D$7:$D$3006,'Sales Log'!$C$7:$C$3006,$B305,'Sales Log'!$B$7:$B$3006,"&gt;="&amp;cfg_CountDate,'Sales Log'!$N$7:$N$3006,"OK"))</f>
        <v/>
      </c>
      <c r="L305" s="89">
        <f>IF($G305&lt;&gt;"OK","",$H305*$K305)</f>
        <v/>
      </c>
    </row>
    <row r="306" ht="17" customHeight="1">
      <c r="B306" s="60" t="n"/>
      <c r="C306" s="60" t="n"/>
      <c r="D306" s="86" t="n"/>
      <c r="E306" s="60" t="n"/>
      <c r="F306" s="13">
        <f>IF($C306="","",IFERROR(INDEX('Inventory'!$D$7:$D$106,MATCH($C306,'Inventory'!$B$7:$B$106,0))&amp;"","?"))</f>
        <v/>
      </c>
      <c r="G306" s="80">
        <f>IF(AND($B306="",$C306=""),"",IF($B306="","Pick menu item",IF(ISNA(MATCH($B306,'Menu Pricing'!$B$7:$B$56,0)),"Not on Menu Pricing",IF($C306="","Pick ingredient",IF($F306="?","Not in Inventory",IF($F306="","Set stock unit in Inventory",IF(N($D306)&lt;=0,"Enter quantity",IF($E306="","Pick unit",IF(IFERROR(INDEX('Lists'!$C$6:$C$30,MATCH($E306,'Lists'!$B$6:$B$30,0)),"?")&lt;&gt;IFERROR(INDEX('Lists'!$C$6:$C$30,MATCH($F306,'Lists'!$B$6:$B$30,0)),"?"),"Unit mismatch",IF(ISNUMBER(INDEX('Inventory'!$G$7:$G$106,MATCH($C306,'Inventory'!$B$7:$B$106,0))),"OK","Add price in Inventory"))))))))))</f>
        <v/>
      </c>
      <c r="H306" s="87">
        <f>IF($G306&lt;&gt;"OK","",$D306*INDEX('Lists'!$D$6:$D$30,MATCH($E306,'Lists'!$B$6:$B$30,0))/INDEX('Lists'!$D$6:$D$30,MATCH($F306,'Lists'!$B$6:$B$30,0)))</f>
        <v/>
      </c>
      <c r="I306" s="87">
        <f>IF($G306&lt;&gt;"OK","",INDEX('Inventory'!$G$7:$G$106,MATCH($C306,'Inventory'!$B$7:$B$106,0)))</f>
        <v/>
      </c>
      <c r="J306" s="88">
        <f>IF($G306&lt;&gt;"OK","",$H306*$I306)</f>
        <v/>
      </c>
      <c r="K306" s="82">
        <f>IF($G306&lt;&gt;"OK","",SUMIFS('Sales Log'!$D$7:$D$3006,'Sales Log'!$C$7:$C$3006,$B306,'Sales Log'!$B$7:$B$3006,"&gt;="&amp;cfg_CountDate,'Sales Log'!$N$7:$N$3006,"OK"))</f>
        <v/>
      </c>
      <c r="L306" s="89">
        <f>IF($G306&lt;&gt;"OK","",$H306*$K306)</f>
        <v/>
      </c>
    </row>
    <row r="307" ht="17" customHeight="1">
      <c r="B307" s="60" t="n"/>
      <c r="C307" s="60" t="n"/>
      <c r="D307" s="86" t="n"/>
      <c r="E307" s="60" t="n"/>
      <c r="F307" s="13">
        <f>IF($C307="","",IFERROR(INDEX('Inventory'!$D$7:$D$106,MATCH($C307,'Inventory'!$B$7:$B$106,0))&amp;"","?"))</f>
        <v/>
      </c>
      <c r="G307" s="80">
        <f>IF(AND($B307="",$C307=""),"",IF($B307="","Pick menu item",IF(ISNA(MATCH($B307,'Menu Pricing'!$B$7:$B$56,0)),"Not on Menu Pricing",IF($C307="","Pick ingredient",IF($F307="?","Not in Inventory",IF($F307="","Set stock unit in Inventory",IF(N($D307)&lt;=0,"Enter quantity",IF($E307="","Pick unit",IF(IFERROR(INDEX('Lists'!$C$6:$C$30,MATCH($E307,'Lists'!$B$6:$B$30,0)),"?")&lt;&gt;IFERROR(INDEX('Lists'!$C$6:$C$30,MATCH($F307,'Lists'!$B$6:$B$30,0)),"?"),"Unit mismatch",IF(ISNUMBER(INDEX('Inventory'!$G$7:$G$106,MATCH($C307,'Inventory'!$B$7:$B$106,0))),"OK","Add price in Inventory"))))))))))</f>
        <v/>
      </c>
      <c r="H307" s="87">
        <f>IF($G307&lt;&gt;"OK","",$D307*INDEX('Lists'!$D$6:$D$30,MATCH($E307,'Lists'!$B$6:$B$30,0))/INDEX('Lists'!$D$6:$D$30,MATCH($F307,'Lists'!$B$6:$B$30,0)))</f>
        <v/>
      </c>
      <c r="I307" s="87">
        <f>IF($G307&lt;&gt;"OK","",INDEX('Inventory'!$G$7:$G$106,MATCH($C307,'Inventory'!$B$7:$B$106,0)))</f>
        <v/>
      </c>
      <c r="J307" s="88">
        <f>IF($G307&lt;&gt;"OK","",$H307*$I307)</f>
        <v/>
      </c>
      <c r="K307" s="82">
        <f>IF($G307&lt;&gt;"OK","",SUMIFS('Sales Log'!$D$7:$D$3006,'Sales Log'!$C$7:$C$3006,$B307,'Sales Log'!$B$7:$B$3006,"&gt;="&amp;cfg_CountDate,'Sales Log'!$N$7:$N$3006,"OK"))</f>
        <v/>
      </c>
      <c r="L307" s="89">
        <f>IF($G307&lt;&gt;"OK","",$H307*$K307)</f>
        <v/>
      </c>
    </row>
    <row r="308" ht="17" customHeight="1">
      <c r="B308" s="60" t="n"/>
      <c r="C308" s="60" t="n"/>
      <c r="D308" s="86" t="n"/>
      <c r="E308" s="60" t="n"/>
      <c r="F308" s="13">
        <f>IF($C308="","",IFERROR(INDEX('Inventory'!$D$7:$D$106,MATCH($C308,'Inventory'!$B$7:$B$106,0))&amp;"","?"))</f>
        <v/>
      </c>
      <c r="G308" s="80">
        <f>IF(AND($B308="",$C308=""),"",IF($B308="","Pick menu item",IF(ISNA(MATCH($B308,'Menu Pricing'!$B$7:$B$56,0)),"Not on Menu Pricing",IF($C308="","Pick ingredient",IF($F308="?","Not in Inventory",IF($F308="","Set stock unit in Inventory",IF(N($D308)&lt;=0,"Enter quantity",IF($E308="","Pick unit",IF(IFERROR(INDEX('Lists'!$C$6:$C$30,MATCH($E308,'Lists'!$B$6:$B$30,0)),"?")&lt;&gt;IFERROR(INDEX('Lists'!$C$6:$C$30,MATCH($F308,'Lists'!$B$6:$B$30,0)),"?"),"Unit mismatch",IF(ISNUMBER(INDEX('Inventory'!$G$7:$G$106,MATCH($C308,'Inventory'!$B$7:$B$106,0))),"OK","Add price in Inventory"))))))))))</f>
        <v/>
      </c>
      <c r="H308" s="87">
        <f>IF($G308&lt;&gt;"OK","",$D308*INDEX('Lists'!$D$6:$D$30,MATCH($E308,'Lists'!$B$6:$B$30,0))/INDEX('Lists'!$D$6:$D$30,MATCH($F308,'Lists'!$B$6:$B$30,0)))</f>
        <v/>
      </c>
      <c r="I308" s="87">
        <f>IF($G308&lt;&gt;"OK","",INDEX('Inventory'!$G$7:$G$106,MATCH($C308,'Inventory'!$B$7:$B$106,0)))</f>
        <v/>
      </c>
      <c r="J308" s="88">
        <f>IF($G308&lt;&gt;"OK","",$H308*$I308)</f>
        <v/>
      </c>
      <c r="K308" s="82">
        <f>IF($G308&lt;&gt;"OK","",SUMIFS('Sales Log'!$D$7:$D$3006,'Sales Log'!$C$7:$C$3006,$B308,'Sales Log'!$B$7:$B$3006,"&gt;="&amp;cfg_CountDate,'Sales Log'!$N$7:$N$3006,"OK"))</f>
        <v/>
      </c>
      <c r="L308" s="89">
        <f>IF($G308&lt;&gt;"OK","",$H308*$K308)</f>
        <v/>
      </c>
    </row>
    <row r="309" ht="17" customHeight="1">
      <c r="B309" s="60" t="n"/>
      <c r="C309" s="60" t="n"/>
      <c r="D309" s="86" t="n"/>
      <c r="E309" s="60" t="n"/>
      <c r="F309" s="13">
        <f>IF($C309="","",IFERROR(INDEX('Inventory'!$D$7:$D$106,MATCH($C309,'Inventory'!$B$7:$B$106,0))&amp;"","?"))</f>
        <v/>
      </c>
      <c r="G309" s="80">
        <f>IF(AND($B309="",$C309=""),"",IF($B309="","Pick menu item",IF(ISNA(MATCH($B309,'Menu Pricing'!$B$7:$B$56,0)),"Not on Menu Pricing",IF($C309="","Pick ingredient",IF($F309="?","Not in Inventory",IF($F309="","Set stock unit in Inventory",IF(N($D309)&lt;=0,"Enter quantity",IF($E309="","Pick unit",IF(IFERROR(INDEX('Lists'!$C$6:$C$30,MATCH($E309,'Lists'!$B$6:$B$30,0)),"?")&lt;&gt;IFERROR(INDEX('Lists'!$C$6:$C$30,MATCH($F309,'Lists'!$B$6:$B$30,0)),"?"),"Unit mismatch",IF(ISNUMBER(INDEX('Inventory'!$G$7:$G$106,MATCH($C309,'Inventory'!$B$7:$B$106,0))),"OK","Add price in Inventory"))))))))))</f>
        <v/>
      </c>
      <c r="H309" s="87">
        <f>IF($G309&lt;&gt;"OK","",$D309*INDEX('Lists'!$D$6:$D$30,MATCH($E309,'Lists'!$B$6:$B$30,0))/INDEX('Lists'!$D$6:$D$30,MATCH($F309,'Lists'!$B$6:$B$30,0)))</f>
        <v/>
      </c>
      <c r="I309" s="87">
        <f>IF($G309&lt;&gt;"OK","",INDEX('Inventory'!$G$7:$G$106,MATCH($C309,'Inventory'!$B$7:$B$106,0)))</f>
        <v/>
      </c>
      <c r="J309" s="88">
        <f>IF($G309&lt;&gt;"OK","",$H309*$I309)</f>
        <v/>
      </c>
      <c r="K309" s="82">
        <f>IF($G309&lt;&gt;"OK","",SUMIFS('Sales Log'!$D$7:$D$3006,'Sales Log'!$C$7:$C$3006,$B309,'Sales Log'!$B$7:$B$3006,"&gt;="&amp;cfg_CountDate,'Sales Log'!$N$7:$N$3006,"OK"))</f>
        <v/>
      </c>
      <c r="L309" s="89">
        <f>IF($G309&lt;&gt;"OK","",$H309*$K309)</f>
        <v/>
      </c>
    </row>
    <row r="310" ht="17" customHeight="1">
      <c r="B310" s="60" t="n"/>
      <c r="C310" s="60" t="n"/>
      <c r="D310" s="86" t="n"/>
      <c r="E310" s="60" t="n"/>
      <c r="F310" s="13">
        <f>IF($C310="","",IFERROR(INDEX('Inventory'!$D$7:$D$106,MATCH($C310,'Inventory'!$B$7:$B$106,0))&amp;"","?"))</f>
        <v/>
      </c>
      <c r="G310" s="80">
        <f>IF(AND($B310="",$C310=""),"",IF($B310="","Pick menu item",IF(ISNA(MATCH($B310,'Menu Pricing'!$B$7:$B$56,0)),"Not on Menu Pricing",IF($C310="","Pick ingredient",IF($F310="?","Not in Inventory",IF($F310="","Set stock unit in Inventory",IF(N($D310)&lt;=0,"Enter quantity",IF($E310="","Pick unit",IF(IFERROR(INDEX('Lists'!$C$6:$C$30,MATCH($E310,'Lists'!$B$6:$B$30,0)),"?")&lt;&gt;IFERROR(INDEX('Lists'!$C$6:$C$30,MATCH($F310,'Lists'!$B$6:$B$30,0)),"?"),"Unit mismatch",IF(ISNUMBER(INDEX('Inventory'!$G$7:$G$106,MATCH($C310,'Inventory'!$B$7:$B$106,0))),"OK","Add price in Inventory"))))))))))</f>
        <v/>
      </c>
      <c r="H310" s="87">
        <f>IF($G310&lt;&gt;"OK","",$D310*INDEX('Lists'!$D$6:$D$30,MATCH($E310,'Lists'!$B$6:$B$30,0))/INDEX('Lists'!$D$6:$D$30,MATCH($F310,'Lists'!$B$6:$B$30,0)))</f>
        <v/>
      </c>
      <c r="I310" s="87">
        <f>IF($G310&lt;&gt;"OK","",INDEX('Inventory'!$G$7:$G$106,MATCH($C310,'Inventory'!$B$7:$B$106,0)))</f>
        <v/>
      </c>
      <c r="J310" s="88">
        <f>IF($G310&lt;&gt;"OK","",$H310*$I310)</f>
        <v/>
      </c>
      <c r="K310" s="82">
        <f>IF($G310&lt;&gt;"OK","",SUMIFS('Sales Log'!$D$7:$D$3006,'Sales Log'!$C$7:$C$3006,$B310,'Sales Log'!$B$7:$B$3006,"&gt;="&amp;cfg_CountDate,'Sales Log'!$N$7:$N$3006,"OK"))</f>
        <v/>
      </c>
      <c r="L310" s="89">
        <f>IF($G310&lt;&gt;"OK","",$H310*$K310)</f>
        <v/>
      </c>
    </row>
    <row r="311" ht="17" customHeight="1">
      <c r="B311" s="60" t="n"/>
      <c r="C311" s="60" t="n"/>
      <c r="D311" s="86" t="n"/>
      <c r="E311" s="60" t="n"/>
      <c r="F311" s="13">
        <f>IF($C311="","",IFERROR(INDEX('Inventory'!$D$7:$D$106,MATCH($C311,'Inventory'!$B$7:$B$106,0))&amp;"","?"))</f>
        <v/>
      </c>
      <c r="G311" s="80">
        <f>IF(AND($B311="",$C311=""),"",IF($B311="","Pick menu item",IF(ISNA(MATCH($B311,'Menu Pricing'!$B$7:$B$56,0)),"Not on Menu Pricing",IF($C311="","Pick ingredient",IF($F311="?","Not in Inventory",IF($F311="","Set stock unit in Inventory",IF(N($D311)&lt;=0,"Enter quantity",IF($E311="","Pick unit",IF(IFERROR(INDEX('Lists'!$C$6:$C$30,MATCH($E311,'Lists'!$B$6:$B$30,0)),"?")&lt;&gt;IFERROR(INDEX('Lists'!$C$6:$C$30,MATCH($F311,'Lists'!$B$6:$B$30,0)),"?"),"Unit mismatch",IF(ISNUMBER(INDEX('Inventory'!$G$7:$G$106,MATCH($C311,'Inventory'!$B$7:$B$106,0))),"OK","Add price in Inventory"))))))))))</f>
        <v/>
      </c>
      <c r="H311" s="87">
        <f>IF($G311&lt;&gt;"OK","",$D311*INDEX('Lists'!$D$6:$D$30,MATCH($E311,'Lists'!$B$6:$B$30,0))/INDEX('Lists'!$D$6:$D$30,MATCH($F311,'Lists'!$B$6:$B$30,0)))</f>
        <v/>
      </c>
      <c r="I311" s="87">
        <f>IF($G311&lt;&gt;"OK","",INDEX('Inventory'!$G$7:$G$106,MATCH($C311,'Inventory'!$B$7:$B$106,0)))</f>
        <v/>
      </c>
      <c r="J311" s="88">
        <f>IF($G311&lt;&gt;"OK","",$H311*$I311)</f>
        <v/>
      </c>
      <c r="K311" s="82">
        <f>IF($G311&lt;&gt;"OK","",SUMIFS('Sales Log'!$D$7:$D$3006,'Sales Log'!$C$7:$C$3006,$B311,'Sales Log'!$B$7:$B$3006,"&gt;="&amp;cfg_CountDate,'Sales Log'!$N$7:$N$3006,"OK"))</f>
        <v/>
      </c>
      <c r="L311" s="89">
        <f>IF($G311&lt;&gt;"OK","",$H311*$K311)</f>
        <v/>
      </c>
    </row>
    <row r="312" ht="17" customHeight="1">
      <c r="B312" s="60" t="n"/>
      <c r="C312" s="60" t="n"/>
      <c r="D312" s="86" t="n"/>
      <c r="E312" s="60" t="n"/>
      <c r="F312" s="13">
        <f>IF($C312="","",IFERROR(INDEX('Inventory'!$D$7:$D$106,MATCH($C312,'Inventory'!$B$7:$B$106,0))&amp;"","?"))</f>
        <v/>
      </c>
      <c r="G312" s="80">
        <f>IF(AND($B312="",$C312=""),"",IF($B312="","Pick menu item",IF(ISNA(MATCH($B312,'Menu Pricing'!$B$7:$B$56,0)),"Not on Menu Pricing",IF($C312="","Pick ingredient",IF($F312="?","Not in Inventory",IF($F312="","Set stock unit in Inventory",IF(N($D312)&lt;=0,"Enter quantity",IF($E312="","Pick unit",IF(IFERROR(INDEX('Lists'!$C$6:$C$30,MATCH($E312,'Lists'!$B$6:$B$30,0)),"?")&lt;&gt;IFERROR(INDEX('Lists'!$C$6:$C$30,MATCH($F312,'Lists'!$B$6:$B$30,0)),"?"),"Unit mismatch",IF(ISNUMBER(INDEX('Inventory'!$G$7:$G$106,MATCH($C312,'Inventory'!$B$7:$B$106,0))),"OK","Add price in Inventory"))))))))))</f>
        <v/>
      </c>
      <c r="H312" s="87">
        <f>IF($G312&lt;&gt;"OK","",$D312*INDEX('Lists'!$D$6:$D$30,MATCH($E312,'Lists'!$B$6:$B$30,0))/INDEX('Lists'!$D$6:$D$30,MATCH($F312,'Lists'!$B$6:$B$30,0)))</f>
        <v/>
      </c>
      <c r="I312" s="87">
        <f>IF($G312&lt;&gt;"OK","",INDEX('Inventory'!$G$7:$G$106,MATCH($C312,'Inventory'!$B$7:$B$106,0)))</f>
        <v/>
      </c>
      <c r="J312" s="88">
        <f>IF($G312&lt;&gt;"OK","",$H312*$I312)</f>
        <v/>
      </c>
      <c r="K312" s="82">
        <f>IF($G312&lt;&gt;"OK","",SUMIFS('Sales Log'!$D$7:$D$3006,'Sales Log'!$C$7:$C$3006,$B312,'Sales Log'!$B$7:$B$3006,"&gt;="&amp;cfg_CountDate,'Sales Log'!$N$7:$N$3006,"OK"))</f>
        <v/>
      </c>
      <c r="L312" s="89">
        <f>IF($G312&lt;&gt;"OK","",$H312*$K312)</f>
        <v/>
      </c>
    </row>
    <row r="313" ht="17" customHeight="1">
      <c r="B313" s="60" t="n"/>
      <c r="C313" s="60" t="n"/>
      <c r="D313" s="86" t="n"/>
      <c r="E313" s="60" t="n"/>
      <c r="F313" s="13">
        <f>IF($C313="","",IFERROR(INDEX('Inventory'!$D$7:$D$106,MATCH($C313,'Inventory'!$B$7:$B$106,0))&amp;"","?"))</f>
        <v/>
      </c>
      <c r="G313" s="80">
        <f>IF(AND($B313="",$C313=""),"",IF($B313="","Pick menu item",IF(ISNA(MATCH($B313,'Menu Pricing'!$B$7:$B$56,0)),"Not on Menu Pricing",IF($C313="","Pick ingredient",IF($F313="?","Not in Inventory",IF($F313="","Set stock unit in Inventory",IF(N($D313)&lt;=0,"Enter quantity",IF($E313="","Pick unit",IF(IFERROR(INDEX('Lists'!$C$6:$C$30,MATCH($E313,'Lists'!$B$6:$B$30,0)),"?")&lt;&gt;IFERROR(INDEX('Lists'!$C$6:$C$30,MATCH($F313,'Lists'!$B$6:$B$30,0)),"?"),"Unit mismatch",IF(ISNUMBER(INDEX('Inventory'!$G$7:$G$106,MATCH($C313,'Inventory'!$B$7:$B$106,0))),"OK","Add price in Inventory"))))))))))</f>
        <v/>
      </c>
      <c r="H313" s="87">
        <f>IF($G313&lt;&gt;"OK","",$D313*INDEX('Lists'!$D$6:$D$30,MATCH($E313,'Lists'!$B$6:$B$30,0))/INDEX('Lists'!$D$6:$D$30,MATCH($F313,'Lists'!$B$6:$B$30,0)))</f>
        <v/>
      </c>
      <c r="I313" s="87">
        <f>IF($G313&lt;&gt;"OK","",INDEX('Inventory'!$G$7:$G$106,MATCH($C313,'Inventory'!$B$7:$B$106,0)))</f>
        <v/>
      </c>
      <c r="J313" s="88">
        <f>IF($G313&lt;&gt;"OK","",$H313*$I313)</f>
        <v/>
      </c>
      <c r="K313" s="82">
        <f>IF($G313&lt;&gt;"OK","",SUMIFS('Sales Log'!$D$7:$D$3006,'Sales Log'!$C$7:$C$3006,$B313,'Sales Log'!$B$7:$B$3006,"&gt;="&amp;cfg_CountDate,'Sales Log'!$N$7:$N$3006,"OK"))</f>
        <v/>
      </c>
      <c r="L313" s="89">
        <f>IF($G313&lt;&gt;"OK","",$H313*$K313)</f>
        <v/>
      </c>
    </row>
    <row r="314" ht="17" customHeight="1">
      <c r="B314" s="60" t="n"/>
      <c r="C314" s="60" t="n"/>
      <c r="D314" s="86" t="n"/>
      <c r="E314" s="60" t="n"/>
      <c r="F314" s="13">
        <f>IF($C314="","",IFERROR(INDEX('Inventory'!$D$7:$D$106,MATCH($C314,'Inventory'!$B$7:$B$106,0))&amp;"","?"))</f>
        <v/>
      </c>
      <c r="G314" s="80">
        <f>IF(AND($B314="",$C314=""),"",IF($B314="","Pick menu item",IF(ISNA(MATCH($B314,'Menu Pricing'!$B$7:$B$56,0)),"Not on Menu Pricing",IF($C314="","Pick ingredient",IF($F314="?","Not in Inventory",IF($F314="","Set stock unit in Inventory",IF(N($D314)&lt;=0,"Enter quantity",IF($E314="","Pick unit",IF(IFERROR(INDEX('Lists'!$C$6:$C$30,MATCH($E314,'Lists'!$B$6:$B$30,0)),"?")&lt;&gt;IFERROR(INDEX('Lists'!$C$6:$C$30,MATCH($F314,'Lists'!$B$6:$B$30,0)),"?"),"Unit mismatch",IF(ISNUMBER(INDEX('Inventory'!$G$7:$G$106,MATCH($C314,'Inventory'!$B$7:$B$106,0))),"OK","Add price in Inventory"))))))))))</f>
        <v/>
      </c>
      <c r="H314" s="87">
        <f>IF($G314&lt;&gt;"OK","",$D314*INDEX('Lists'!$D$6:$D$30,MATCH($E314,'Lists'!$B$6:$B$30,0))/INDEX('Lists'!$D$6:$D$30,MATCH($F314,'Lists'!$B$6:$B$30,0)))</f>
        <v/>
      </c>
      <c r="I314" s="87">
        <f>IF($G314&lt;&gt;"OK","",INDEX('Inventory'!$G$7:$G$106,MATCH($C314,'Inventory'!$B$7:$B$106,0)))</f>
        <v/>
      </c>
      <c r="J314" s="88">
        <f>IF($G314&lt;&gt;"OK","",$H314*$I314)</f>
        <v/>
      </c>
      <c r="K314" s="82">
        <f>IF($G314&lt;&gt;"OK","",SUMIFS('Sales Log'!$D$7:$D$3006,'Sales Log'!$C$7:$C$3006,$B314,'Sales Log'!$B$7:$B$3006,"&gt;="&amp;cfg_CountDate,'Sales Log'!$N$7:$N$3006,"OK"))</f>
        <v/>
      </c>
      <c r="L314" s="89">
        <f>IF($G314&lt;&gt;"OK","",$H314*$K314)</f>
        <v/>
      </c>
    </row>
    <row r="315" ht="17" customHeight="1">
      <c r="B315" s="60" t="n"/>
      <c r="C315" s="60" t="n"/>
      <c r="D315" s="86" t="n"/>
      <c r="E315" s="60" t="n"/>
      <c r="F315" s="13">
        <f>IF($C315="","",IFERROR(INDEX('Inventory'!$D$7:$D$106,MATCH($C315,'Inventory'!$B$7:$B$106,0))&amp;"","?"))</f>
        <v/>
      </c>
      <c r="G315" s="80">
        <f>IF(AND($B315="",$C315=""),"",IF($B315="","Pick menu item",IF(ISNA(MATCH($B315,'Menu Pricing'!$B$7:$B$56,0)),"Not on Menu Pricing",IF($C315="","Pick ingredient",IF($F315="?","Not in Inventory",IF($F315="","Set stock unit in Inventory",IF(N($D315)&lt;=0,"Enter quantity",IF($E315="","Pick unit",IF(IFERROR(INDEX('Lists'!$C$6:$C$30,MATCH($E315,'Lists'!$B$6:$B$30,0)),"?")&lt;&gt;IFERROR(INDEX('Lists'!$C$6:$C$30,MATCH($F315,'Lists'!$B$6:$B$30,0)),"?"),"Unit mismatch",IF(ISNUMBER(INDEX('Inventory'!$G$7:$G$106,MATCH($C315,'Inventory'!$B$7:$B$106,0))),"OK","Add price in Inventory"))))))))))</f>
        <v/>
      </c>
      <c r="H315" s="87">
        <f>IF($G315&lt;&gt;"OK","",$D315*INDEX('Lists'!$D$6:$D$30,MATCH($E315,'Lists'!$B$6:$B$30,0))/INDEX('Lists'!$D$6:$D$30,MATCH($F315,'Lists'!$B$6:$B$30,0)))</f>
        <v/>
      </c>
      <c r="I315" s="87">
        <f>IF($G315&lt;&gt;"OK","",INDEX('Inventory'!$G$7:$G$106,MATCH($C315,'Inventory'!$B$7:$B$106,0)))</f>
        <v/>
      </c>
      <c r="J315" s="88">
        <f>IF($G315&lt;&gt;"OK","",$H315*$I315)</f>
        <v/>
      </c>
      <c r="K315" s="82">
        <f>IF($G315&lt;&gt;"OK","",SUMIFS('Sales Log'!$D$7:$D$3006,'Sales Log'!$C$7:$C$3006,$B315,'Sales Log'!$B$7:$B$3006,"&gt;="&amp;cfg_CountDate,'Sales Log'!$N$7:$N$3006,"OK"))</f>
        <v/>
      </c>
      <c r="L315" s="89">
        <f>IF($G315&lt;&gt;"OK","",$H315*$K315)</f>
        <v/>
      </c>
    </row>
    <row r="316" ht="17" customHeight="1">
      <c r="B316" s="60" t="n"/>
      <c r="C316" s="60" t="n"/>
      <c r="D316" s="86" t="n"/>
      <c r="E316" s="60" t="n"/>
      <c r="F316" s="13">
        <f>IF($C316="","",IFERROR(INDEX('Inventory'!$D$7:$D$106,MATCH($C316,'Inventory'!$B$7:$B$106,0))&amp;"","?"))</f>
        <v/>
      </c>
      <c r="G316" s="80">
        <f>IF(AND($B316="",$C316=""),"",IF($B316="","Pick menu item",IF(ISNA(MATCH($B316,'Menu Pricing'!$B$7:$B$56,0)),"Not on Menu Pricing",IF($C316="","Pick ingredient",IF($F316="?","Not in Inventory",IF($F316="","Set stock unit in Inventory",IF(N($D316)&lt;=0,"Enter quantity",IF($E316="","Pick unit",IF(IFERROR(INDEX('Lists'!$C$6:$C$30,MATCH($E316,'Lists'!$B$6:$B$30,0)),"?")&lt;&gt;IFERROR(INDEX('Lists'!$C$6:$C$30,MATCH($F316,'Lists'!$B$6:$B$30,0)),"?"),"Unit mismatch",IF(ISNUMBER(INDEX('Inventory'!$G$7:$G$106,MATCH($C316,'Inventory'!$B$7:$B$106,0))),"OK","Add price in Inventory"))))))))))</f>
        <v/>
      </c>
      <c r="H316" s="87">
        <f>IF($G316&lt;&gt;"OK","",$D316*INDEX('Lists'!$D$6:$D$30,MATCH($E316,'Lists'!$B$6:$B$30,0))/INDEX('Lists'!$D$6:$D$30,MATCH($F316,'Lists'!$B$6:$B$30,0)))</f>
        <v/>
      </c>
      <c r="I316" s="87">
        <f>IF($G316&lt;&gt;"OK","",INDEX('Inventory'!$G$7:$G$106,MATCH($C316,'Inventory'!$B$7:$B$106,0)))</f>
        <v/>
      </c>
      <c r="J316" s="88">
        <f>IF($G316&lt;&gt;"OK","",$H316*$I316)</f>
        <v/>
      </c>
      <c r="K316" s="82">
        <f>IF($G316&lt;&gt;"OK","",SUMIFS('Sales Log'!$D$7:$D$3006,'Sales Log'!$C$7:$C$3006,$B316,'Sales Log'!$B$7:$B$3006,"&gt;="&amp;cfg_CountDate,'Sales Log'!$N$7:$N$3006,"OK"))</f>
        <v/>
      </c>
      <c r="L316" s="89">
        <f>IF($G316&lt;&gt;"OK","",$H316*$K316)</f>
        <v/>
      </c>
    </row>
    <row r="317" ht="17" customHeight="1">
      <c r="B317" s="60" t="n"/>
      <c r="C317" s="60" t="n"/>
      <c r="D317" s="86" t="n"/>
      <c r="E317" s="60" t="n"/>
      <c r="F317" s="13">
        <f>IF($C317="","",IFERROR(INDEX('Inventory'!$D$7:$D$106,MATCH($C317,'Inventory'!$B$7:$B$106,0))&amp;"","?"))</f>
        <v/>
      </c>
      <c r="G317" s="80">
        <f>IF(AND($B317="",$C317=""),"",IF($B317="","Pick menu item",IF(ISNA(MATCH($B317,'Menu Pricing'!$B$7:$B$56,0)),"Not on Menu Pricing",IF($C317="","Pick ingredient",IF($F317="?","Not in Inventory",IF($F317="","Set stock unit in Inventory",IF(N($D317)&lt;=0,"Enter quantity",IF($E317="","Pick unit",IF(IFERROR(INDEX('Lists'!$C$6:$C$30,MATCH($E317,'Lists'!$B$6:$B$30,0)),"?")&lt;&gt;IFERROR(INDEX('Lists'!$C$6:$C$30,MATCH($F317,'Lists'!$B$6:$B$30,0)),"?"),"Unit mismatch",IF(ISNUMBER(INDEX('Inventory'!$G$7:$G$106,MATCH($C317,'Inventory'!$B$7:$B$106,0))),"OK","Add price in Inventory"))))))))))</f>
        <v/>
      </c>
      <c r="H317" s="87">
        <f>IF($G317&lt;&gt;"OK","",$D317*INDEX('Lists'!$D$6:$D$30,MATCH($E317,'Lists'!$B$6:$B$30,0))/INDEX('Lists'!$D$6:$D$30,MATCH($F317,'Lists'!$B$6:$B$30,0)))</f>
        <v/>
      </c>
      <c r="I317" s="87">
        <f>IF($G317&lt;&gt;"OK","",INDEX('Inventory'!$G$7:$G$106,MATCH($C317,'Inventory'!$B$7:$B$106,0)))</f>
        <v/>
      </c>
      <c r="J317" s="88">
        <f>IF($G317&lt;&gt;"OK","",$H317*$I317)</f>
        <v/>
      </c>
      <c r="K317" s="82">
        <f>IF($G317&lt;&gt;"OK","",SUMIFS('Sales Log'!$D$7:$D$3006,'Sales Log'!$C$7:$C$3006,$B317,'Sales Log'!$B$7:$B$3006,"&gt;="&amp;cfg_CountDate,'Sales Log'!$N$7:$N$3006,"OK"))</f>
        <v/>
      </c>
      <c r="L317" s="89">
        <f>IF($G317&lt;&gt;"OK","",$H317*$K317)</f>
        <v/>
      </c>
    </row>
    <row r="318" ht="17" customHeight="1">
      <c r="B318" s="60" t="n"/>
      <c r="C318" s="60" t="n"/>
      <c r="D318" s="86" t="n"/>
      <c r="E318" s="60" t="n"/>
      <c r="F318" s="13">
        <f>IF($C318="","",IFERROR(INDEX('Inventory'!$D$7:$D$106,MATCH($C318,'Inventory'!$B$7:$B$106,0))&amp;"","?"))</f>
        <v/>
      </c>
      <c r="G318" s="80">
        <f>IF(AND($B318="",$C318=""),"",IF($B318="","Pick menu item",IF(ISNA(MATCH($B318,'Menu Pricing'!$B$7:$B$56,0)),"Not on Menu Pricing",IF($C318="","Pick ingredient",IF($F318="?","Not in Inventory",IF($F318="","Set stock unit in Inventory",IF(N($D318)&lt;=0,"Enter quantity",IF($E318="","Pick unit",IF(IFERROR(INDEX('Lists'!$C$6:$C$30,MATCH($E318,'Lists'!$B$6:$B$30,0)),"?")&lt;&gt;IFERROR(INDEX('Lists'!$C$6:$C$30,MATCH($F318,'Lists'!$B$6:$B$30,0)),"?"),"Unit mismatch",IF(ISNUMBER(INDEX('Inventory'!$G$7:$G$106,MATCH($C318,'Inventory'!$B$7:$B$106,0))),"OK","Add price in Inventory"))))))))))</f>
        <v/>
      </c>
      <c r="H318" s="87">
        <f>IF($G318&lt;&gt;"OK","",$D318*INDEX('Lists'!$D$6:$D$30,MATCH($E318,'Lists'!$B$6:$B$30,0))/INDEX('Lists'!$D$6:$D$30,MATCH($F318,'Lists'!$B$6:$B$30,0)))</f>
        <v/>
      </c>
      <c r="I318" s="87">
        <f>IF($G318&lt;&gt;"OK","",INDEX('Inventory'!$G$7:$G$106,MATCH($C318,'Inventory'!$B$7:$B$106,0)))</f>
        <v/>
      </c>
      <c r="J318" s="88">
        <f>IF($G318&lt;&gt;"OK","",$H318*$I318)</f>
        <v/>
      </c>
      <c r="K318" s="82">
        <f>IF($G318&lt;&gt;"OK","",SUMIFS('Sales Log'!$D$7:$D$3006,'Sales Log'!$C$7:$C$3006,$B318,'Sales Log'!$B$7:$B$3006,"&gt;="&amp;cfg_CountDate,'Sales Log'!$N$7:$N$3006,"OK"))</f>
        <v/>
      </c>
      <c r="L318" s="89">
        <f>IF($G318&lt;&gt;"OK","",$H318*$K318)</f>
        <v/>
      </c>
    </row>
    <row r="319" ht="17" customHeight="1">
      <c r="B319" s="60" t="n"/>
      <c r="C319" s="60" t="n"/>
      <c r="D319" s="86" t="n"/>
      <c r="E319" s="60" t="n"/>
      <c r="F319" s="13">
        <f>IF($C319="","",IFERROR(INDEX('Inventory'!$D$7:$D$106,MATCH($C319,'Inventory'!$B$7:$B$106,0))&amp;"","?"))</f>
        <v/>
      </c>
      <c r="G319" s="80">
        <f>IF(AND($B319="",$C319=""),"",IF($B319="","Pick menu item",IF(ISNA(MATCH($B319,'Menu Pricing'!$B$7:$B$56,0)),"Not on Menu Pricing",IF($C319="","Pick ingredient",IF($F319="?","Not in Inventory",IF($F319="","Set stock unit in Inventory",IF(N($D319)&lt;=0,"Enter quantity",IF($E319="","Pick unit",IF(IFERROR(INDEX('Lists'!$C$6:$C$30,MATCH($E319,'Lists'!$B$6:$B$30,0)),"?")&lt;&gt;IFERROR(INDEX('Lists'!$C$6:$C$30,MATCH($F319,'Lists'!$B$6:$B$30,0)),"?"),"Unit mismatch",IF(ISNUMBER(INDEX('Inventory'!$G$7:$G$106,MATCH($C319,'Inventory'!$B$7:$B$106,0))),"OK","Add price in Inventory"))))))))))</f>
        <v/>
      </c>
      <c r="H319" s="87">
        <f>IF($G319&lt;&gt;"OK","",$D319*INDEX('Lists'!$D$6:$D$30,MATCH($E319,'Lists'!$B$6:$B$30,0))/INDEX('Lists'!$D$6:$D$30,MATCH($F319,'Lists'!$B$6:$B$30,0)))</f>
        <v/>
      </c>
      <c r="I319" s="87">
        <f>IF($G319&lt;&gt;"OK","",INDEX('Inventory'!$G$7:$G$106,MATCH($C319,'Inventory'!$B$7:$B$106,0)))</f>
        <v/>
      </c>
      <c r="J319" s="88">
        <f>IF($G319&lt;&gt;"OK","",$H319*$I319)</f>
        <v/>
      </c>
      <c r="K319" s="82">
        <f>IF($G319&lt;&gt;"OK","",SUMIFS('Sales Log'!$D$7:$D$3006,'Sales Log'!$C$7:$C$3006,$B319,'Sales Log'!$B$7:$B$3006,"&gt;="&amp;cfg_CountDate,'Sales Log'!$N$7:$N$3006,"OK"))</f>
        <v/>
      </c>
      <c r="L319" s="89">
        <f>IF($G319&lt;&gt;"OK","",$H319*$K319)</f>
        <v/>
      </c>
    </row>
    <row r="320" ht="17" customHeight="1">
      <c r="B320" s="60" t="n"/>
      <c r="C320" s="60" t="n"/>
      <c r="D320" s="86" t="n"/>
      <c r="E320" s="60" t="n"/>
      <c r="F320" s="13">
        <f>IF($C320="","",IFERROR(INDEX('Inventory'!$D$7:$D$106,MATCH($C320,'Inventory'!$B$7:$B$106,0))&amp;"","?"))</f>
        <v/>
      </c>
      <c r="G320" s="80">
        <f>IF(AND($B320="",$C320=""),"",IF($B320="","Pick menu item",IF(ISNA(MATCH($B320,'Menu Pricing'!$B$7:$B$56,0)),"Not on Menu Pricing",IF($C320="","Pick ingredient",IF($F320="?","Not in Inventory",IF($F320="","Set stock unit in Inventory",IF(N($D320)&lt;=0,"Enter quantity",IF($E320="","Pick unit",IF(IFERROR(INDEX('Lists'!$C$6:$C$30,MATCH($E320,'Lists'!$B$6:$B$30,0)),"?")&lt;&gt;IFERROR(INDEX('Lists'!$C$6:$C$30,MATCH($F320,'Lists'!$B$6:$B$30,0)),"?"),"Unit mismatch",IF(ISNUMBER(INDEX('Inventory'!$G$7:$G$106,MATCH($C320,'Inventory'!$B$7:$B$106,0))),"OK","Add price in Inventory"))))))))))</f>
        <v/>
      </c>
      <c r="H320" s="87">
        <f>IF($G320&lt;&gt;"OK","",$D320*INDEX('Lists'!$D$6:$D$30,MATCH($E320,'Lists'!$B$6:$B$30,0))/INDEX('Lists'!$D$6:$D$30,MATCH($F320,'Lists'!$B$6:$B$30,0)))</f>
        <v/>
      </c>
      <c r="I320" s="87">
        <f>IF($G320&lt;&gt;"OK","",INDEX('Inventory'!$G$7:$G$106,MATCH($C320,'Inventory'!$B$7:$B$106,0)))</f>
        <v/>
      </c>
      <c r="J320" s="88">
        <f>IF($G320&lt;&gt;"OK","",$H320*$I320)</f>
        <v/>
      </c>
      <c r="K320" s="82">
        <f>IF($G320&lt;&gt;"OK","",SUMIFS('Sales Log'!$D$7:$D$3006,'Sales Log'!$C$7:$C$3006,$B320,'Sales Log'!$B$7:$B$3006,"&gt;="&amp;cfg_CountDate,'Sales Log'!$N$7:$N$3006,"OK"))</f>
        <v/>
      </c>
      <c r="L320" s="89">
        <f>IF($G320&lt;&gt;"OK","",$H320*$K320)</f>
        <v/>
      </c>
    </row>
    <row r="321" ht="17" customHeight="1">
      <c r="B321" s="60" t="n"/>
      <c r="C321" s="60" t="n"/>
      <c r="D321" s="86" t="n"/>
      <c r="E321" s="60" t="n"/>
      <c r="F321" s="13">
        <f>IF($C321="","",IFERROR(INDEX('Inventory'!$D$7:$D$106,MATCH($C321,'Inventory'!$B$7:$B$106,0))&amp;"","?"))</f>
        <v/>
      </c>
      <c r="G321" s="80">
        <f>IF(AND($B321="",$C321=""),"",IF($B321="","Pick menu item",IF(ISNA(MATCH($B321,'Menu Pricing'!$B$7:$B$56,0)),"Not on Menu Pricing",IF($C321="","Pick ingredient",IF($F321="?","Not in Inventory",IF($F321="","Set stock unit in Inventory",IF(N($D321)&lt;=0,"Enter quantity",IF($E321="","Pick unit",IF(IFERROR(INDEX('Lists'!$C$6:$C$30,MATCH($E321,'Lists'!$B$6:$B$30,0)),"?")&lt;&gt;IFERROR(INDEX('Lists'!$C$6:$C$30,MATCH($F321,'Lists'!$B$6:$B$30,0)),"?"),"Unit mismatch",IF(ISNUMBER(INDEX('Inventory'!$G$7:$G$106,MATCH($C321,'Inventory'!$B$7:$B$106,0))),"OK","Add price in Inventory"))))))))))</f>
        <v/>
      </c>
      <c r="H321" s="87">
        <f>IF($G321&lt;&gt;"OK","",$D321*INDEX('Lists'!$D$6:$D$30,MATCH($E321,'Lists'!$B$6:$B$30,0))/INDEX('Lists'!$D$6:$D$30,MATCH($F321,'Lists'!$B$6:$B$30,0)))</f>
        <v/>
      </c>
      <c r="I321" s="87">
        <f>IF($G321&lt;&gt;"OK","",INDEX('Inventory'!$G$7:$G$106,MATCH($C321,'Inventory'!$B$7:$B$106,0)))</f>
        <v/>
      </c>
      <c r="J321" s="88">
        <f>IF($G321&lt;&gt;"OK","",$H321*$I321)</f>
        <v/>
      </c>
      <c r="K321" s="82">
        <f>IF($G321&lt;&gt;"OK","",SUMIFS('Sales Log'!$D$7:$D$3006,'Sales Log'!$C$7:$C$3006,$B321,'Sales Log'!$B$7:$B$3006,"&gt;="&amp;cfg_CountDate,'Sales Log'!$N$7:$N$3006,"OK"))</f>
        <v/>
      </c>
      <c r="L321" s="89">
        <f>IF($G321&lt;&gt;"OK","",$H321*$K321)</f>
        <v/>
      </c>
    </row>
    <row r="322" ht="17" customHeight="1">
      <c r="B322" s="60" t="n"/>
      <c r="C322" s="60" t="n"/>
      <c r="D322" s="86" t="n"/>
      <c r="E322" s="60" t="n"/>
      <c r="F322" s="13">
        <f>IF($C322="","",IFERROR(INDEX('Inventory'!$D$7:$D$106,MATCH($C322,'Inventory'!$B$7:$B$106,0))&amp;"","?"))</f>
        <v/>
      </c>
      <c r="G322" s="80">
        <f>IF(AND($B322="",$C322=""),"",IF($B322="","Pick menu item",IF(ISNA(MATCH($B322,'Menu Pricing'!$B$7:$B$56,0)),"Not on Menu Pricing",IF($C322="","Pick ingredient",IF($F322="?","Not in Inventory",IF($F322="","Set stock unit in Inventory",IF(N($D322)&lt;=0,"Enter quantity",IF($E322="","Pick unit",IF(IFERROR(INDEX('Lists'!$C$6:$C$30,MATCH($E322,'Lists'!$B$6:$B$30,0)),"?")&lt;&gt;IFERROR(INDEX('Lists'!$C$6:$C$30,MATCH($F322,'Lists'!$B$6:$B$30,0)),"?"),"Unit mismatch",IF(ISNUMBER(INDEX('Inventory'!$G$7:$G$106,MATCH($C322,'Inventory'!$B$7:$B$106,0))),"OK","Add price in Inventory"))))))))))</f>
        <v/>
      </c>
      <c r="H322" s="87">
        <f>IF($G322&lt;&gt;"OK","",$D322*INDEX('Lists'!$D$6:$D$30,MATCH($E322,'Lists'!$B$6:$B$30,0))/INDEX('Lists'!$D$6:$D$30,MATCH($F322,'Lists'!$B$6:$B$30,0)))</f>
        <v/>
      </c>
      <c r="I322" s="87">
        <f>IF($G322&lt;&gt;"OK","",INDEX('Inventory'!$G$7:$G$106,MATCH($C322,'Inventory'!$B$7:$B$106,0)))</f>
        <v/>
      </c>
      <c r="J322" s="88">
        <f>IF($G322&lt;&gt;"OK","",$H322*$I322)</f>
        <v/>
      </c>
      <c r="K322" s="82">
        <f>IF($G322&lt;&gt;"OK","",SUMIFS('Sales Log'!$D$7:$D$3006,'Sales Log'!$C$7:$C$3006,$B322,'Sales Log'!$B$7:$B$3006,"&gt;="&amp;cfg_CountDate,'Sales Log'!$N$7:$N$3006,"OK"))</f>
        <v/>
      </c>
      <c r="L322" s="89">
        <f>IF($G322&lt;&gt;"OK","",$H322*$K322)</f>
        <v/>
      </c>
    </row>
    <row r="323" ht="17" customHeight="1">
      <c r="B323" s="60" t="n"/>
      <c r="C323" s="60" t="n"/>
      <c r="D323" s="86" t="n"/>
      <c r="E323" s="60" t="n"/>
      <c r="F323" s="13">
        <f>IF($C323="","",IFERROR(INDEX('Inventory'!$D$7:$D$106,MATCH($C323,'Inventory'!$B$7:$B$106,0))&amp;"","?"))</f>
        <v/>
      </c>
      <c r="G323" s="80">
        <f>IF(AND($B323="",$C323=""),"",IF($B323="","Pick menu item",IF(ISNA(MATCH($B323,'Menu Pricing'!$B$7:$B$56,0)),"Not on Menu Pricing",IF($C323="","Pick ingredient",IF($F323="?","Not in Inventory",IF($F323="","Set stock unit in Inventory",IF(N($D323)&lt;=0,"Enter quantity",IF($E323="","Pick unit",IF(IFERROR(INDEX('Lists'!$C$6:$C$30,MATCH($E323,'Lists'!$B$6:$B$30,0)),"?")&lt;&gt;IFERROR(INDEX('Lists'!$C$6:$C$30,MATCH($F323,'Lists'!$B$6:$B$30,0)),"?"),"Unit mismatch",IF(ISNUMBER(INDEX('Inventory'!$G$7:$G$106,MATCH($C323,'Inventory'!$B$7:$B$106,0))),"OK","Add price in Inventory"))))))))))</f>
        <v/>
      </c>
      <c r="H323" s="87">
        <f>IF($G323&lt;&gt;"OK","",$D323*INDEX('Lists'!$D$6:$D$30,MATCH($E323,'Lists'!$B$6:$B$30,0))/INDEX('Lists'!$D$6:$D$30,MATCH($F323,'Lists'!$B$6:$B$30,0)))</f>
        <v/>
      </c>
      <c r="I323" s="87">
        <f>IF($G323&lt;&gt;"OK","",INDEX('Inventory'!$G$7:$G$106,MATCH($C323,'Inventory'!$B$7:$B$106,0)))</f>
        <v/>
      </c>
      <c r="J323" s="88">
        <f>IF($G323&lt;&gt;"OK","",$H323*$I323)</f>
        <v/>
      </c>
      <c r="K323" s="82">
        <f>IF($G323&lt;&gt;"OK","",SUMIFS('Sales Log'!$D$7:$D$3006,'Sales Log'!$C$7:$C$3006,$B323,'Sales Log'!$B$7:$B$3006,"&gt;="&amp;cfg_CountDate,'Sales Log'!$N$7:$N$3006,"OK"))</f>
        <v/>
      </c>
      <c r="L323" s="89">
        <f>IF($G323&lt;&gt;"OK","",$H323*$K323)</f>
        <v/>
      </c>
    </row>
    <row r="324" ht="17" customHeight="1">
      <c r="B324" s="60" t="n"/>
      <c r="C324" s="60" t="n"/>
      <c r="D324" s="86" t="n"/>
      <c r="E324" s="60" t="n"/>
      <c r="F324" s="13">
        <f>IF($C324="","",IFERROR(INDEX('Inventory'!$D$7:$D$106,MATCH($C324,'Inventory'!$B$7:$B$106,0))&amp;"","?"))</f>
        <v/>
      </c>
      <c r="G324" s="80">
        <f>IF(AND($B324="",$C324=""),"",IF($B324="","Pick menu item",IF(ISNA(MATCH($B324,'Menu Pricing'!$B$7:$B$56,0)),"Not on Menu Pricing",IF($C324="","Pick ingredient",IF($F324="?","Not in Inventory",IF($F324="","Set stock unit in Inventory",IF(N($D324)&lt;=0,"Enter quantity",IF($E324="","Pick unit",IF(IFERROR(INDEX('Lists'!$C$6:$C$30,MATCH($E324,'Lists'!$B$6:$B$30,0)),"?")&lt;&gt;IFERROR(INDEX('Lists'!$C$6:$C$30,MATCH($F324,'Lists'!$B$6:$B$30,0)),"?"),"Unit mismatch",IF(ISNUMBER(INDEX('Inventory'!$G$7:$G$106,MATCH($C324,'Inventory'!$B$7:$B$106,0))),"OK","Add price in Inventory"))))))))))</f>
        <v/>
      </c>
      <c r="H324" s="87">
        <f>IF($G324&lt;&gt;"OK","",$D324*INDEX('Lists'!$D$6:$D$30,MATCH($E324,'Lists'!$B$6:$B$30,0))/INDEX('Lists'!$D$6:$D$30,MATCH($F324,'Lists'!$B$6:$B$30,0)))</f>
        <v/>
      </c>
      <c r="I324" s="87">
        <f>IF($G324&lt;&gt;"OK","",INDEX('Inventory'!$G$7:$G$106,MATCH($C324,'Inventory'!$B$7:$B$106,0)))</f>
        <v/>
      </c>
      <c r="J324" s="88">
        <f>IF($G324&lt;&gt;"OK","",$H324*$I324)</f>
        <v/>
      </c>
      <c r="K324" s="82">
        <f>IF($G324&lt;&gt;"OK","",SUMIFS('Sales Log'!$D$7:$D$3006,'Sales Log'!$C$7:$C$3006,$B324,'Sales Log'!$B$7:$B$3006,"&gt;="&amp;cfg_CountDate,'Sales Log'!$N$7:$N$3006,"OK"))</f>
        <v/>
      </c>
      <c r="L324" s="89">
        <f>IF($G324&lt;&gt;"OK","",$H324*$K324)</f>
        <v/>
      </c>
    </row>
    <row r="325" ht="17" customHeight="1">
      <c r="B325" s="60" t="n"/>
      <c r="C325" s="60" t="n"/>
      <c r="D325" s="86" t="n"/>
      <c r="E325" s="60" t="n"/>
      <c r="F325" s="13">
        <f>IF($C325="","",IFERROR(INDEX('Inventory'!$D$7:$D$106,MATCH($C325,'Inventory'!$B$7:$B$106,0))&amp;"","?"))</f>
        <v/>
      </c>
      <c r="G325" s="80">
        <f>IF(AND($B325="",$C325=""),"",IF($B325="","Pick menu item",IF(ISNA(MATCH($B325,'Menu Pricing'!$B$7:$B$56,0)),"Not on Menu Pricing",IF($C325="","Pick ingredient",IF($F325="?","Not in Inventory",IF($F325="","Set stock unit in Inventory",IF(N($D325)&lt;=0,"Enter quantity",IF($E325="","Pick unit",IF(IFERROR(INDEX('Lists'!$C$6:$C$30,MATCH($E325,'Lists'!$B$6:$B$30,0)),"?")&lt;&gt;IFERROR(INDEX('Lists'!$C$6:$C$30,MATCH($F325,'Lists'!$B$6:$B$30,0)),"?"),"Unit mismatch",IF(ISNUMBER(INDEX('Inventory'!$G$7:$G$106,MATCH($C325,'Inventory'!$B$7:$B$106,0))),"OK","Add price in Inventory"))))))))))</f>
        <v/>
      </c>
      <c r="H325" s="87">
        <f>IF($G325&lt;&gt;"OK","",$D325*INDEX('Lists'!$D$6:$D$30,MATCH($E325,'Lists'!$B$6:$B$30,0))/INDEX('Lists'!$D$6:$D$30,MATCH($F325,'Lists'!$B$6:$B$30,0)))</f>
        <v/>
      </c>
      <c r="I325" s="87">
        <f>IF($G325&lt;&gt;"OK","",INDEX('Inventory'!$G$7:$G$106,MATCH($C325,'Inventory'!$B$7:$B$106,0)))</f>
        <v/>
      </c>
      <c r="J325" s="88">
        <f>IF($G325&lt;&gt;"OK","",$H325*$I325)</f>
        <v/>
      </c>
      <c r="K325" s="82">
        <f>IF($G325&lt;&gt;"OK","",SUMIFS('Sales Log'!$D$7:$D$3006,'Sales Log'!$C$7:$C$3006,$B325,'Sales Log'!$B$7:$B$3006,"&gt;="&amp;cfg_CountDate,'Sales Log'!$N$7:$N$3006,"OK"))</f>
        <v/>
      </c>
      <c r="L325" s="89">
        <f>IF($G325&lt;&gt;"OK","",$H325*$K325)</f>
        <v/>
      </c>
    </row>
    <row r="326" ht="17" customHeight="1">
      <c r="B326" s="60" t="n"/>
      <c r="C326" s="60" t="n"/>
      <c r="D326" s="86" t="n"/>
      <c r="E326" s="60" t="n"/>
      <c r="F326" s="13">
        <f>IF($C326="","",IFERROR(INDEX('Inventory'!$D$7:$D$106,MATCH($C326,'Inventory'!$B$7:$B$106,0))&amp;"","?"))</f>
        <v/>
      </c>
      <c r="G326" s="80">
        <f>IF(AND($B326="",$C326=""),"",IF($B326="","Pick menu item",IF(ISNA(MATCH($B326,'Menu Pricing'!$B$7:$B$56,0)),"Not on Menu Pricing",IF($C326="","Pick ingredient",IF($F326="?","Not in Inventory",IF($F326="","Set stock unit in Inventory",IF(N($D326)&lt;=0,"Enter quantity",IF($E326="","Pick unit",IF(IFERROR(INDEX('Lists'!$C$6:$C$30,MATCH($E326,'Lists'!$B$6:$B$30,0)),"?")&lt;&gt;IFERROR(INDEX('Lists'!$C$6:$C$30,MATCH($F326,'Lists'!$B$6:$B$30,0)),"?"),"Unit mismatch",IF(ISNUMBER(INDEX('Inventory'!$G$7:$G$106,MATCH($C326,'Inventory'!$B$7:$B$106,0))),"OK","Add price in Inventory"))))))))))</f>
        <v/>
      </c>
      <c r="H326" s="87">
        <f>IF($G326&lt;&gt;"OK","",$D326*INDEX('Lists'!$D$6:$D$30,MATCH($E326,'Lists'!$B$6:$B$30,0))/INDEX('Lists'!$D$6:$D$30,MATCH($F326,'Lists'!$B$6:$B$30,0)))</f>
        <v/>
      </c>
      <c r="I326" s="87">
        <f>IF($G326&lt;&gt;"OK","",INDEX('Inventory'!$G$7:$G$106,MATCH($C326,'Inventory'!$B$7:$B$106,0)))</f>
        <v/>
      </c>
      <c r="J326" s="88">
        <f>IF($G326&lt;&gt;"OK","",$H326*$I326)</f>
        <v/>
      </c>
      <c r="K326" s="82">
        <f>IF($G326&lt;&gt;"OK","",SUMIFS('Sales Log'!$D$7:$D$3006,'Sales Log'!$C$7:$C$3006,$B326,'Sales Log'!$B$7:$B$3006,"&gt;="&amp;cfg_CountDate,'Sales Log'!$N$7:$N$3006,"OK"))</f>
        <v/>
      </c>
      <c r="L326" s="89">
        <f>IF($G326&lt;&gt;"OK","",$H326*$K326)</f>
        <v/>
      </c>
    </row>
    <row r="327" ht="17" customHeight="1">
      <c r="B327" s="60" t="n"/>
      <c r="C327" s="60" t="n"/>
      <c r="D327" s="86" t="n"/>
      <c r="E327" s="60" t="n"/>
      <c r="F327" s="13">
        <f>IF($C327="","",IFERROR(INDEX('Inventory'!$D$7:$D$106,MATCH($C327,'Inventory'!$B$7:$B$106,0))&amp;"","?"))</f>
        <v/>
      </c>
      <c r="G327" s="80">
        <f>IF(AND($B327="",$C327=""),"",IF($B327="","Pick menu item",IF(ISNA(MATCH($B327,'Menu Pricing'!$B$7:$B$56,0)),"Not on Menu Pricing",IF($C327="","Pick ingredient",IF($F327="?","Not in Inventory",IF($F327="","Set stock unit in Inventory",IF(N($D327)&lt;=0,"Enter quantity",IF($E327="","Pick unit",IF(IFERROR(INDEX('Lists'!$C$6:$C$30,MATCH($E327,'Lists'!$B$6:$B$30,0)),"?")&lt;&gt;IFERROR(INDEX('Lists'!$C$6:$C$30,MATCH($F327,'Lists'!$B$6:$B$30,0)),"?"),"Unit mismatch",IF(ISNUMBER(INDEX('Inventory'!$G$7:$G$106,MATCH($C327,'Inventory'!$B$7:$B$106,0))),"OK","Add price in Inventory"))))))))))</f>
        <v/>
      </c>
      <c r="H327" s="87">
        <f>IF($G327&lt;&gt;"OK","",$D327*INDEX('Lists'!$D$6:$D$30,MATCH($E327,'Lists'!$B$6:$B$30,0))/INDEX('Lists'!$D$6:$D$30,MATCH($F327,'Lists'!$B$6:$B$30,0)))</f>
        <v/>
      </c>
      <c r="I327" s="87">
        <f>IF($G327&lt;&gt;"OK","",INDEX('Inventory'!$G$7:$G$106,MATCH($C327,'Inventory'!$B$7:$B$106,0)))</f>
        <v/>
      </c>
      <c r="J327" s="88">
        <f>IF($G327&lt;&gt;"OK","",$H327*$I327)</f>
        <v/>
      </c>
      <c r="K327" s="82">
        <f>IF($G327&lt;&gt;"OK","",SUMIFS('Sales Log'!$D$7:$D$3006,'Sales Log'!$C$7:$C$3006,$B327,'Sales Log'!$B$7:$B$3006,"&gt;="&amp;cfg_CountDate,'Sales Log'!$N$7:$N$3006,"OK"))</f>
        <v/>
      </c>
      <c r="L327" s="89">
        <f>IF($G327&lt;&gt;"OK","",$H327*$K327)</f>
        <v/>
      </c>
    </row>
    <row r="328" ht="17" customHeight="1">
      <c r="B328" s="60" t="n"/>
      <c r="C328" s="60" t="n"/>
      <c r="D328" s="86" t="n"/>
      <c r="E328" s="60" t="n"/>
      <c r="F328" s="13">
        <f>IF($C328="","",IFERROR(INDEX('Inventory'!$D$7:$D$106,MATCH($C328,'Inventory'!$B$7:$B$106,0))&amp;"","?"))</f>
        <v/>
      </c>
      <c r="G328" s="80">
        <f>IF(AND($B328="",$C328=""),"",IF($B328="","Pick menu item",IF(ISNA(MATCH($B328,'Menu Pricing'!$B$7:$B$56,0)),"Not on Menu Pricing",IF($C328="","Pick ingredient",IF($F328="?","Not in Inventory",IF($F328="","Set stock unit in Inventory",IF(N($D328)&lt;=0,"Enter quantity",IF($E328="","Pick unit",IF(IFERROR(INDEX('Lists'!$C$6:$C$30,MATCH($E328,'Lists'!$B$6:$B$30,0)),"?")&lt;&gt;IFERROR(INDEX('Lists'!$C$6:$C$30,MATCH($F328,'Lists'!$B$6:$B$30,0)),"?"),"Unit mismatch",IF(ISNUMBER(INDEX('Inventory'!$G$7:$G$106,MATCH($C328,'Inventory'!$B$7:$B$106,0))),"OK","Add price in Inventory"))))))))))</f>
        <v/>
      </c>
      <c r="H328" s="87">
        <f>IF($G328&lt;&gt;"OK","",$D328*INDEX('Lists'!$D$6:$D$30,MATCH($E328,'Lists'!$B$6:$B$30,0))/INDEX('Lists'!$D$6:$D$30,MATCH($F328,'Lists'!$B$6:$B$30,0)))</f>
        <v/>
      </c>
      <c r="I328" s="87">
        <f>IF($G328&lt;&gt;"OK","",INDEX('Inventory'!$G$7:$G$106,MATCH($C328,'Inventory'!$B$7:$B$106,0)))</f>
        <v/>
      </c>
      <c r="J328" s="88">
        <f>IF($G328&lt;&gt;"OK","",$H328*$I328)</f>
        <v/>
      </c>
      <c r="K328" s="82">
        <f>IF($G328&lt;&gt;"OK","",SUMIFS('Sales Log'!$D$7:$D$3006,'Sales Log'!$C$7:$C$3006,$B328,'Sales Log'!$B$7:$B$3006,"&gt;="&amp;cfg_CountDate,'Sales Log'!$N$7:$N$3006,"OK"))</f>
        <v/>
      </c>
      <c r="L328" s="89">
        <f>IF($G328&lt;&gt;"OK","",$H328*$K328)</f>
        <v/>
      </c>
    </row>
    <row r="329" ht="17" customHeight="1">
      <c r="B329" s="60" t="n"/>
      <c r="C329" s="60" t="n"/>
      <c r="D329" s="86" t="n"/>
      <c r="E329" s="60" t="n"/>
      <c r="F329" s="13">
        <f>IF($C329="","",IFERROR(INDEX('Inventory'!$D$7:$D$106,MATCH($C329,'Inventory'!$B$7:$B$106,0))&amp;"","?"))</f>
        <v/>
      </c>
      <c r="G329" s="80">
        <f>IF(AND($B329="",$C329=""),"",IF($B329="","Pick menu item",IF(ISNA(MATCH($B329,'Menu Pricing'!$B$7:$B$56,0)),"Not on Menu Pricing",IF($C329="","Pick ingredient",IF($F329="?","Not in Inventory",IF($F329="","Set stock unit in Inventory",IF(N($D329)&lt;=0,"Enter quantity",IF($E329="","Pick unit",IF(IFERROR(INDEX('Lists'!$C$6:$C$30,MATCH($E329,'Lists'!$B$6:$B$30,0)),"?")&lt;&gt;IFERROR(INDEX('Lists'!$C$6:$C$30,MATCH($F329,'Lists'!$B$6:$B$30,0)),"?"),"Unit mismatch",IF(ISNUMBER(INDEX('Inventory'!$G$7:$G$106,MATCH($C329,'Inventory'!$B$7:$B$106,0))),"OK","Add price in Inventory"))))))))))</f>
        <v/>
      </c>
      <c r="H329" s="87">
        <f>IF($G329&lt;&gt;"OK","",$D329*INDEX('Lists'!$D$6:$D$30,MATCH($E329,'Lists'!$B$6:$B$30,0))/INDEX('Lists'!$D$6:$D$30,MATCH($F329,'Lists'!$B$6:$B$30,0)))</f>
        <v/>
      </c>
      <c r="I329" s="87">
        <f>IF($G329&lt;&gt;"OK","",INDEX('Inventory'!$G$7:$G$106,MATCH($C329,'Inventory'!$B$7:$B$106,0)))</f>
        <v/>
      </c>
      <c r="J329" s="88">
        <f>IF($G329&lt;&gt;"OK","",$H329*$I329)</f>
        <v/>
      </c>
      <c r="K329" s="82">
        <f>IF($G329&lt;&gt;"OK","",SUMIFS('Sales Log'!$D$7:$D$3006,'Sales Log'!$C$7:$C$3006,$B329,'Sales Log'!$B$7:$B$3006,"&gt;="&amp;cfg_CountDate,'Sales Log'!$N$7:$N$3006,"OK"))</f>
        <v/>
      </c>
      <c r="L329" s="89">
        <f>IF($G329&lt;&gt;"OK","",$H329*$K329)</f>
        <v/>
      </c>
    </row>
    <row r="330" ht="17" customHeight="1">
      <c r="B330" s="60" t="n"/>
      <c r="C330" s="60" t="n"/>
      <c r="D330" s="86" t="n"/>
      <c r="E330" s="60" t="n"/>
      <c r="F330" s="13">
        <f>IF($C330="","",IFERROR(INDEX('Inventory'!$D$7:$D$106,MATCH($C330,'Inventory'!$B$7:$B$106,0))&amp;"","?"))</f>
        <v/>
      </c>
      <c r="G330" s="80">
        <f>IF(AND($B330="",$C330=""),"",IF($B330="","Pick menu item",IF(ISNA(MATCH($B330,'Menu Pricing'!$B$7:$B$56,0)),"Not on Menu Pricing",IF($C330="","Pick ingredient",IF($F330="?","Not in Inventory",IF($F330="","Set stock unit in Inventory",IF(N($D330)&lt;=0,"Enter quantity",IF($E330="","Pick unit",IF(IFERROR(INDEX('Lists'!$C$6:$C$30,MATCH($E330,'Lists'!$B$6:$B$30,0)),"?")&lt;&gt;IFERROR(INDEX('Lists'!$C$6:$C$30,MATCH($F330,'Lists'!$B$6:$B$30,0)),"?"),"Unit mismatch",IF(ISNUMBER(INDEX('Inventory'!$G$7:$G$106,MATCH($C330,'Inventory'!$B$7:$B$106,0))),"OK","Add price in Inventory"))))))))))</f>
        <v/>
      </c>
      <c r="H330" s="87">
        <f>IF($G330&lt;&gt;"OK","",$D330*INDEX('Lists'!$D$6:$D$30,MATCH($E330,'Lists'!$B$6:$B$30,0))/INDEX('Lists'!$D$6:$D$30,MATCH($F330,'Lists'!$B$6:$B$30,0)))</f>
        <v/>
      </c>
      <c r="I330" s="87">
        <f>IF($G330&lt;&gt;"OK","",INDEX('Inventory'!$G$7:$G$106,MATCH($C330,'Inventory'!$B$7:$B$106,0)))</f>
        <v/>
      </c>
      <c r="J330" s="88">
        <f>IF($G330&lt;&gt;"OK","",$H330*$I330)</f>
        <v/>
      </c>
      <c r="K330" s="82">
        <f>IF($G330&lt;&gt;"OK","",SUMIFS('Sales Log'!$D$7:$D$3006,'Sales Log'!$C$7:$C$3006,$B330,'Sales Log'!$B$7:$B$3006,"&gt;="&amp;cfg_CountDate,'Sales Log'!$N$7:$N$3006,"OK"))</f>
        <v/>
      </c>
      <c r="L330" s="89">
        <f>IF($G330&lt;&gt;"OK","",$H330*$K330)</f>
        <v/>
      </c>
    </row>
    <row r="331" ht="17" customHeight="1">
      <c r="B331" s="60" t="n"/>
      <c r="C331" s="60" t="n"/>
      <c r="D331" s="86" t="n"/>
      <c r="E331" s="60" t="n"/>
      <c r="F331" s="13">
        <f>IF($C331="","",IFERROR(INDEX('Inventory'!$D$7:$D$106,MATCH($C331,'Inventory'!$B$7:$B$106,0))&amp;"","?"))</f>
        <v/>
      </c>
      <c r="G331" s="80">
        <f>IF(AND($B331="",$C331=""),"",IF($B331="","Pick menu item",IF(ISNA(MATCH($B331,'Menu Pricing'!$B$7:$B$56,0)),"Not on Menu Pricing",IF($C331="","Pick ingredient",IF($F331="?","Not in Inventory",IF($F331="","Set stock unit in Inventory",IF(N($D331)&lt;=0,"Enter quantity",IF($E331="","Pick unit",IF(IFERROR(INDEX('Lists'!$C$6:$C$30,MATCH($E331,'Lists'!$B$6:$B$30,0)),"?")&lt;&gt;IFERROR(INDEX('Lists'!$C$6:$C$30,MATCH($F331,'Lists'!$B$6:$B$30,0)),"?"),"Unit mismatch",IF(ISNUMBER(INDEX('Inventory'!$G$7:$G$106,MATCH($C331,'Inventory'!$B$7:$B$106,0))),"OK","Add price in Inventory"))))))))))</f>
        <v/>
      </c>
      <c r="H331" s="87">
        <f>IF($G331&lt;&gt;"OK","",$D331*INDEX('Lists'!$D$6:$D$30,MATCH($E331,'Lists'!$B$6:$B$30,0))/INDEX('Lists'!$D$6:$D$30,MATCH($F331,'Lists'!$B$6:$B$30,0)))</f>
        <v/>
      </c>
      <c r="I331" s="87">
        <f>IF($G331&lt;&gt;"OK","",INDEX('Inventory'!$G$7:$G$106,MATCH($C331,'Inventory'!$B$7:$B$106,0)))</f>
        <v/>
      </c>
      <c r="J331" s="88">
        <f>IF($G331&lt;&gt;"OK","",$H331*$I331)</f>
        <v/>
      </c>
      <c r="K331" s="82">
        <f>IF($G331&lt;&gt;"OK","",SUMIFS('Sales Log'!$D$7:$D$3006,'Sales Log'!$C$7:$C$3006,$B331,'Sales Log'!$B$7:$B$3006,"&gt;="&amp;cfg_CountDate,'Sales Log'!$N$7:$N$3006,"OK"))</f>
        <v/>
      </c>
      <c r="L331" s="89">
        <f>IF($G331&lt;&gt;"OK","",$H331*$K331)</f>
        <v/>
      </c>
    </row>
    <row r="332" ht="17" customHeight="1">
      <c r="B332" s="60" t="n"/>
      <c r="C332" s="60" t="n"/>
      <c r="D332" s="86" t="n"/>
      <c r="E332" s="60" t="n"/>
      <c r="F332" s="13">
        <f>IF($C332="","",IFERROR(INDEX('Inventory'!$D$7:$D$106,MATCH($C332,'Inventory'!$B$7:$B$106,0))&amp;"","?"))</f>
        <v/>
      </c>
      <c r="G332" s="80">
        <f>IF(AND($B332="",$C332=""),"",IF($B332="","Pick menu item",IF(ISNA(MATCH($B332,'Menu Pricing'!$B$7:$B$56,0)),"Not on Menu Pricing",IF($C332="","Pick ingredient",IF($F332="?","Not in Inventory",IF($F332="","Set stock unit in Inventory",IF(N($D332)&lt;=0,"Enter quantity",IF($E332="","Pick unit",IF(IFERROR(INDEX('Lists'!$C$6:$C$30,MATCH($E332,'Lists'!$B$6:$B$30,0)),"?")&lt;&gt;IFERROR(INDEX('Lists'!$C$6:$C$30,MATCH($F332,'Lists'!$B$6:$B$30,0)),"?"),"Unit mismatch",IF(ISNUMBER(INDEX('Inventory'!$G$7:$G$106,MATCH($C332,'Inventory'!$B$7:$B$106,0))),"OK","Add price in Inventory"))))))))))</f>
        <v/>
      </c>
      <c r="H332" s="87">
        <f>IF($G332&lt;&gt;"OK","",$D332*INDEX('Lists'!$D$6:$D$30,MATCH($E332,'Lists'!$B$6:$B$30,0))/INDEX('Lists'!$D$6:$D$30,MATCH($F332,'Lists'!$B$6:$B$30,0)))</f>
        <v/>
      </c>
      <c r="I332" s="87">
        <f>IF($G332&lt;&gt;"OK","",INDEX('Inventory'!$G$7:$G$106,MATCH($C332,'Inventory'!$B$7:$B$106,0)))</f>
        <v/>
      </c>
      <c r="J332" s="88">
        <f>IF($G332&lt;&gt;"OK","",$H332*$I332)</f>
        <v/>
      </c>
      <c r="K332" s="82">
        <f>IF($G332&lt;&gt;"OK","",SUMIFS('Sales Log'!$D$7:$D$3006,'Sales Log'!$C$7:$C$3006,$B332,'Sales Log'!$B$7:$B$3006,"&gt;="&amp;cfg_CountDate,'Sales Log'!$N$7:$N$3006,"OK"))</f>
        <v/>
      </c>
      <c r="L332" s="89">
        <f>IF($G332&lt;&gt;"OK","",$H332*$K332)</f>
        <v/>
      </c>
    </row>
    <row r="333" ht="17" customHeight="1">
      <c r="B333" s="60" t="n"/>
      <c r="C333" s="60" t="n"/>
      <c r="D333" s="86" t="n"/>
      <c r="E333" s="60" t="n"/>
      <c r="F333" s="13">
        <f>IF($C333="","",IFERROR(INDEX('Inventory'!$D$7:$D$106,MATCH($C333,'Inventory'!$B$7:$B$106,0))&amp;"","?"))</f>
        <v/>
      </c>
      <c r="G333" s="80">
        <f>IF(AND($B333="",$C333=""),"",IF($B333="","Pick menu item",IF(ISNA(MATCH($B333,'Menu Pricing'!$B$7:$B$56,0)),"Not on Menu Pricing",IF($C333="","Pick ingredient",IF($F333="?","Not in Inventory",IF($F333="","Set stock unit in Inventory",IF(N($D333)&lt;=0,"Enter quantity",IF($E333="","Pick unit",IF(IFERROR(INDEX('Lists'!$C$6:$C$30,MATCH($E333,'Lists'!$B$6:$B$30,0)),"?")&lt;&gt;IFERROR(INDEX('Lists'!$C$6:$C$30,MATCH($F333,'Lists'!$B$6:$B$30,0)),"?"),"Unit mismatch",IF(ISNUMBER(INDEX('Inventory'!$G$7:$G$106,MATCH($C333,'Inventory'!$B$7:$B$106,0))),"OK","Add price in Inventory"))))))))))</f>
        <v/>
      </c>
      <c r="H333" s="87">
        <f>IF($G333&lt;&gt;"OK","",$D333*INDEX('Lists'!$D$6:$D$30,MATCH($E333,'Lists'!$B$6:$B$30,0))/INDEX('Lists'!$D$6:$D$30,MATCH($F333,'Lists'!$B$6:$B$30,0)))</f>
        <v/>
      </c>
      <c r="I333" s="87">
        <f>IF($G333&lt;&gt;"OK","",INDEX('Inventory'!$G$7:$G$106,MATCH($C333,'Inventory'!$B$7:$B$106,0)))</f>
        <v/>
      </c>
      <c r="J333" s="88">
        <f>IF($G333&lt;&gt;"OK","",$H333*$I333)</f>
        <v/>
      </c>
      <c r="K333" s="82">
        <f>IF($G333&lt;&gt;"OK","",SUMIFS('Sales Log'!$D$7:$D$3006,'Sales Log'!$C$7:$C$3006,$B333,'Sales Log'!$B$7:$B$3006,"&gt;="&amp;cfg_CountDate,'Sales Log'!$N$7:$N$3006,"OK"))</f>
        <v/>
      </c>
      <c r="L333" s="89">
        <f>IF($G333&lt;&gt;"OK","",$H333*$K333)</f>
        <v/>
      </c>
    </row>
    <row r="334" ht="17" customHeight="1">
      <c r="B334" s="60" t="n"/>
      <c r="C334" s="60" t="n"/>
      <c r="D334" s="86" t="n"/>
      <c r="E334" s="60" t="n"/>
      <c r="F334" s="13">
        <f>IF($C334="","",IFERROR(INDEX('Inventory'!$D$7:$D$106,MATCH($C334,'Inventory'!$B$7:$B$106,0))&amp;"","?"))</f>
        <v/>
      </c>
      <c r="G334" s="80">
        <f>IF(AND($B334="",$C334=""),"",IF($B334="","Pick menu item",IF(ISNA(MATCH($B334,'Menu Pricing'!$B$7:$B$56,0)),"Not on Menu Pricing",IF($C334="","Pick ingredient",IF($F334="?","Not in Inventory",IF($F334="","Set stock unit in Inventory",IF(N($D334)&lt;=0,"Enter quantity",IF($E334="","Pick unit",IF(IFERROR(INDEX('Lists'!$C$6:$C$30,MATCH($E334,'Lists'!$B$6:$B$30,0)),"?")&lt;&gt;IFERROR(INDEX('Lists'!$C$6:$C$30,MATCH($F334,'Lists'!$B$6:$B$30,0)),"?"),"Unit mismatch",IF(ISNUMBER(INDEX('Inventory'!$G$7:$G$106,MATCH($C334,'Inventory'!$B$7:$B$106,0))),"OK","Add price in Inventory"))))))))))</f>
        <v/>
      </c>
      <c r="H334" s="87">
        <f>IF($G334&lt;&gt;"OK","",$D334*INDEX('Lists'!$D$6:$D$30,MATCH($E334,'Lists'!$B$6:$B$30,0))/INDEX('Lists'!$D$6:$D$30,MATCH($F334,'Lists'!$B$6:$B$30,0)))</f>
        <v/>
      </c>
      <c r="I334" s="87">
        <f>IF($G334&lt;&gt;"OK","",INDEX('Inventory'!$G$7:$G$106,MATCH($C334,'Inventory'!$B$7:$B$106,0)))</f>
        <v/>
      </c>
      <c r="J334" s="88">
        <f>IF($G334&lt;&gt;"OK","",$H334*$I334)</f>
        <v/>
      </c>
      <c r="K334" s="82">
        <f>IF($G334&lt;&gt;"OK","",SUMIFS('Sales Log'!$D$7:$D$3006,'Sales Log'!$C$7:$C$3006,$B334,'Sales Log'!$B$7:$B$3006,"&gt;="&amp;cfg_CountDate,'Sales Log'!$N$7:$N$3006,"OK"))</f>
        <v/>
      </c>
      <c r="L334" s="89">
        <f>IF($G334&lt;&gt;"OK","",$H334*$K334)</f>
        <v/>
      </c>
    </row>
    <row r="335" ht="17" customHeight="1">
      <c r="B335" s="60" t="n"/>
      <c r="C335" s="60" t="n"/>
      <c r="D335" s="86" t="n"/>
      <c r="E335" s="60" t="n"/>
      <c r="F335" s="13">
        <f>IF($C335="","",IFERROR(INDEX('Inventory'!$D$7:$D$106,MATCH($C335,'Inventory'!$B$7:$B$106,0))&amp;"","?"))</f>
        <v/>
      </c>
      <c r="G335" s="80">
        <f>IF(AND($B335="",$C335=""),"",IF($B335="","Pick menu item",IF(ISNA(MATCH($B335,'Menu Pricing'!$B$7:$B$56,0)),"Not on Menu Pricing",IF($C335="","Pick ingredient",IF($F335="?","Not in Inventory",IF($F335="","Set stock unit in Inventory",IF(N($D335)&lt;=0,"Enter quantity",IF($E335="","Pick unit",IF(IFERROR(INDEX('Lists'!$C$6:$C$30,MATCH($E335,'Lists'!$B$6:$B$30,0)),"?")&lt;&gt;IFERROR(INDEX('Lists'!$C$6:$C$30,MATCH($F335,'Lists'!$B$6:$B$30,0)),"?"),"Unit mismatch",IF(ISNUMBER(INDEX('Inventory'!$G$7:$G$106,MATCH($C335,'Inventory'!$B$7:$B$106,0))),"OK","Add price in Inventory"))))))))))</f>
        <v/>
      </c>
      <c r="H335" s="87">
        <f>IF($G335&lt;&gt;"OK","",$D335*INDEX('Lists'!$D$6:$D$30,MATCH($E335,'Lists'!$B$6:$B$30,0))/INDEX('Lists'!$D$6:$D$30,MATCH($F335,'Lists'!$B$6:$B$30,0)))</f>
        <v/>
      </c>
      <c r="I335" s="87">
        <f>IF($G335&lt;&gt;"OK","",INDEX('Inventory'!$G$7:$G$106,MATCH($C335,'Inventory'!$B$7:$B$106,0)))</f>
        <v/>
      </c>
      <c r="J335" s="88">
        <f>IF($G335&lt;&gt;"OK","",$H335*$I335)</f>
        <v/>
      </c>
      <c r="K335" s="82">
        <f>IF($G335&lt;&gt;"OK","",SUMIFS('Sales Log'!$D$7:$D$3006,'Sales Log'!$C$7:$C$3006,$B335,'Sales Log'!$B$7:$B$3006,"&gt;="&amp;cfg_CountDate,'Sales Log'!$N$7:$N$3006,"OK"))</f>
        <v/>
      </c>
      <c r="L335" s="89">
        <f>IF($G335&lt;&gt;"OK","",$H335*$K335)</f>
        <v/>
      </c>
    </row>
    <row r="336" ht="17" customHeight="1">
      <c r="B336" s="60" t="n"/>
      <c r="C336" s="60" t="n"/>
      <c r="D336" s="86" t="n"/>
      <c r="E336" s="60" t="n"/>
      <c r="F336" s="13">
        <f>IF($C336="","",IFERROR(INDEX('Inventory'!$D$7:$D$106,MATCH($C336,'Inventory'!$B$7:$B$106,0))&amp;"","?"))</f>
        <v/>
      </c>
      <c r="G336" s="80">
        <f>IF(AND($B336="",$C336=""),"",IF($B336="","Pick menu item",IF(ISNA(MATCH($B336,'Menu Pricing'!$B$7:$B$56,0)),"Not on Menu Pricing",IF($C336="","Pick ingredient",IF($F336="?","Not in Inventory",IF($F336="","Set stock unit in Inventory",IF(N($D336)&lt;=0,"Enter quantity",IF($E336="","Pick unit",IF(IFERROR(INDEX('Lists'!$C$6:$C$30,MATCH($E336,'Lists'!$B$6:$B$30,0)),"?")&lt;&gt;IFERROR(INDEX('Lists'!$C$6:$C$30,MATCH($F336,'Lists'!$B$6:$B$30,0)),"?"),"Unit mismatch",IF(ISNUMBER(INDEX('Inventory'!$G$7:$G$106,MATCH($C336,'Inventory'!$B$7:$B$106,0))),"OK","Add price in Inventory"))))))))))</f>
        <v/>
      </c>
      <c r="H336" s="87">
        <f>IF($G336&lt;&gt;"OK","",$D336*INDEX('Lists'!$D$6:$D$30,MATCH($E336,'Lists'!$B$6:$B$30,0))/INDEX('Lists'!$D$6:$D$30,MATCH($F336,'Lists'!$B$6:$B$30,0)))</f>
        <v/>
      </c>
      <c r="I336" s="87">
        <f>IF($G336&lt;&gt;"OK","",INDEX('Inventory'!$G$7:$G$106,MATCH($C336,'Inventory'!$B$7:$B$106,0)))</f>
        <v/>
      </c>
      <c r="J336" s="88">
        <f>IF($G336&lt;&gt;"OK","",$H336*$I336)</f>
        <v/>
      </c>
      <c r="K336" s="82">
        <f>IF($G336&lt;&gt;"OK","",SUMIFS('Sales Log'!$D$7:$D$3006,'Sales Log'!$C$7:$C$3006,$B336,'Sales Log'!$B$7:$B$3006,"&gt;="&amp;cfg_CountDate,'Sales Log'!$N$7:$N$3006,"OK"))</f>
        <v/>
      </c>
      <c r="L336" s="89">
        <f>IF($G336&lt;&gt;"OK","",$H336*$K336)</f>
        <v/>
      </c>
    </row>
    <row r="337" ht="17" customHeight="1">
      <c r="B337" s="60" t="n"/>
      <c r="C337" s="60" t="n"/>
      <c r="D337" s="86" t="n"/>
      <c r="E337" s="60" t="n"/>
      <c r="F337" s="13">
        <f>IF($C337="","",IFERROR(INDEX('Inventory'!$D$7:$D$106,MATCH($C337,'Inventory'!$B$7:$B$106,0))&amp;"","?"))</f>
        <v/>
      </c>
      <c r="G337" s="80">
        <f>IF(AND($B337="",$C337=""),"",IF($B337="","Pick menu item",IF(ISNA(MATCH($B337,'Menu Pricing'!$B$7:$B$56,0)),"Not on Menu Pricing",IF($C337="","Pick ingredient",IF($F337="?","Not in Inventory",IF($F337="","Set stock unit in Inventory",IF(N($D337)&lt;=0,"Enter quantity",IF($E337="","Pick unit",IF(IFERROR(INDEX('Lists'!$C$6:$C$30,MATCH($E337,'Lists'!$B$6:$B$30,0)),"?")&lt;&gt;IFERROR(INDEX('Lists'!$C$6:$C$30,MATCH($F337,'Lists'!$B$6:$B$30,0)),"?"),"Unit mismatch",IF(ISNUMBER(INDEX('Inventory'!$G$7:$G$106,MATCH($C337,'Inventory'!$B$7:$B$106,0))),"OK","Add price in Inventory"))))))))))</f>
        <v/>
      </c>
      <c r="H337" s="87">
        <f>IF($G337&lt;&gt;"OK","",$D337*INDEX('Lists'!$D$6:$D$30,MATCH($E337,'Lists'!$B$6:$B$30,0))/INDEX('Lists'!$D$6:$D$30,MATCH($F337,'Lists'!$B$6:$B$30,0)))</f>
        <v/>
      </c>
      <c r="I337" s="87">
        <f>IF($G337&lt;&gt;"OK","",INDEX('Inventory'!$G$7:$G$106,MATCH($C337,'Inventory'!$B$7:$B$106,0)))</f>
        <v/>
      </c>
      <c r="J337" s="88">
        <f>IF($G337&lt;&gt;"OK","",$H337*$I337)</f>
        <v/>
      </c>
      <c r="K337" s="82">
        <f>IF($G337&lt;&gt;"OK","",SUMIFS('Sales Log'!$D$7:$D$3006,'Sales Log'!$C$7:$C$3006,$B337,'Sales Log'!$B$7:$B$3006,"&gt;="&amp;cfg_CountDate,'Sales Log'!$N$7:$N$3006,"OK"))</f>
        <v/>
      </c>
      <c r="L337" s="89">
        <f>IF($G337&lt;&gt;"OK","",$H337*$K337)</f>
        <v/>
      </c>
    </row>
    <row r="338" ht="17" customHeight="1">
      <c r="B338" s="60" t="n"/>
      <c r="C338" s="60" t="n"/>
      <c r="D338" s="86" t="n"/>
      <c r="E338" s="60" t="n"/>
      <c r="F338" s="13">
        <f>IF($C338="","",IFERROR(INDEX('Inventory'!$D$7:$D$106,MATCH($C338,'Inventory'!$B$7:$B$106,0))&amp;"","?"))</f>
        <v/>
      </c>
      <c r="G338" s="80">
        <f>IF(AND($B338="",$C338=""),"",IF($B338="","Pick menu item",IF(ISNA(MATCH($B338,'Menu Pricing'!$B$7:$B$56,0)),"Not on Menu Pricing",IF($C338="","Pick ingredient",IF($F338="?","Not in Inventory",IF($F338="","Set stock unit in Inventory",IF(N($D338)&lt;=0,"Enter quantity",IF($E338="","Pick unit",IF(IFERROR(INDEX('Lists'!$C$6:$C$30,MATCH($E338,'Lists'!$B$6:$B$30,0)),"?")&lt;&gt;IFERROR(INDEX('Lists'!$C$6:$C$30,MATCH($F338,'Lists'!$B$6:$B$30,0)),"?"),"Unit mismatch",IF(ISNUMBER(INDEX('Inventory'!$G$7:$G$106,MATCH($C338,'Inventory'!$B$7:$B$106,0))),"OK","Add price in Inventory"))))))))))</f>
        <v/>
      </c>
      <c r="H338" s="87">
        <f>IF($G338&lt;&gt;"OK","",$D338*INDEX('Lists'!$D$6:$D$30,MATCH($E338,'Lists'!$B$6:$B$30,0))/INDEX('Lists'!$D$6:$D$30,MATCH($F338,'Lists'!$B$6:$B$30,0)))</f>
        <v/>
      </c>
      <c r="I338" s="87">
        <f>IF($G338&lt;&gt;"OK","",INDEX('Inventory'!$G$7:$G$106,MATCH($C338,'Inventory'!$B$7:$B$106,0)))</f>
        <v/>
      </c>
      <c r="J338" s="88">
        <f>IF($G338&lt;&gt;"OK","",$H338*$I338)</f>
        <v/>
      </c>
      <c r="K338" s="82">
        <f>IF($G338&lt;&gt;"OK","",SUMIFS('Sales Log'!$D$7:$D$3006,'Sales Log'!$C$7:$C$3006,$B338,'Sales Log'!$B$7:$B$3006,"&gt;="&amp;cfg_CountDate,'Sales Log'!$N$7:$N$3006,"OK"))</f>
        <v/>
      </c>
      <c r="L338" s="89">
        <f>IF($G338&lt;&gt;"OK","",$H338*$K338)</f>
        <v/>
      </c>
    </row>
    <row r="339" ht="17" customHeight="1">
      <c r="B339" s="60" t="n"/>
      <c r="C339" s="60" t="n"/>
      <c r="D339" s="86" t="n"/>
      <c r="E339" s="60" t="n"/>
      <c r="F339" s="13">
        <f>IF($C339="","",IFERROR(INDEX('Inventory'!$D$7:$D$106,MATCH($C339,'Inventory'!$B$7:$B$106,0))&amp;"","?"))</f>
        <v/>
      </c>
      <c r="G339" s="80">
        <f>IF(AND($B339="",$C339=""),"",IF($B339="","Pick menu item",IF(ISNA(MATCH($B339,'Menu Pricing'!$B$7:$B$56,0)),"Not on Menu Pricing",IF($C339="","Pick ingredient",IF($F339="?","Not in Inventory",IF($F339="","Set stock unit in Inventory",IF(N($D339)&lt;=0,"Enter quantity",IF($E339="","Pick unit",IF(IFERROR(INDEX('Lists'!$C$6:$C$30,MATCH($E339,'Lists'!$B$6:$B$30,0)),"?")&lt;&gt;IFERROR(INDEX('Lists'!$C$6:$C$30,MATCH($F339,'Lists'!$B$6:$B$30,0)),"?"),"Unit mismatch",IF(ISNUMBER(INDEX('Inventory'!$G$7:$G$106,MATCH($C339,'Inventory'!$B$7:$B$106,0))),"OK","Add price in Inventory"))))))))))</f>
        <v/>
      </c>
      <c r="H339" s="87">
        <f>IF($G339&lt;&gt;"OK","",$D339*INDEX('Lists'!$D$6:$D$30,MATCH($E339,'Lists'!$B$6:$B$30,0))/INDEX('Lists'!$D$6:$D$30,MATCH($F339,'Lists'!$B$6:$B$30,0)))</f>
        <v/>
      </c>
      <c r="I339" s="87">
        <f>IF($G339&lt;&gt;"OK","",INDEX('Inventory'!$G$7:$G$106,MATCH($C339,'Inventory'!$B$7:$B$106,0)))</f>
        <v/>
      </c>
      <c r="J339" s="88">
        <f>IF($G339&lt;&gt;"OK","",$H339*$I339)</f>
        <v/>
      </c>
      <c r="K339" s="82">
        <f>IF($G339&lt;&gt;"OK","",SUMIFS('Sales Log'!$D$7:$D$3006,'Sales Log'!$C$7:$C$3006,$B339,'Sales Log'!$B$7:$B$3006,"&gt;="&amp;cfg_CountDate,'Sales Log'!$N$7:$N$3006,"OK"))</f>
        <v/>
      </c>
      <c r="L339" s="89">
        <f>IF($G339&lt;&gt;"OK","",$H339*$K339)</f>
        <v/>
      </c>
    </row>
    <row r="340" ht="17" customHeight="1">
      <c r="B340" s="60" t="n"/>
      <c r="C340" s="60" t="n"/>
      <c r="D340" s="86" t="n"/>
      <c r="E340" s="60" t="n"/>
      <c r="F340" s="13">
        <f>IF($C340="","",IFERROR(INDEX('Inventory'!$D$7:$D$106,MATCH($C340,'Inventory'!$B$7:$B$106,0))&amp;"","?"))</f>
        <v/>
      </c>
      <c r="G340" s="80">
        <f>IF(AND($B340="",$C340=""),"",IF($B340="","Pick menu item",IF(ISNA(MATCH($B340,'Menu Pricing'!$B$7:$B$56,0)),"Not on Menu Pricing",IF($C340="","Pick ingredient",IF($F340="?","Not in Inventory",IF($F340="","Set stock unit in Inventory",IF(N($D340)&lt;=0,"Enter quantity",IF($E340="","Pick unit",IF(IFERROR(INDEX('Lists'!$C$6:$C$30,MATCH($E340,'Lists'!$B$6:$B$30,0)),"?")&lt;&gt;IFERROR(INDEX('Lists'!$C$6:$C$30,MATCH($F340,'Lists'!$B$6:$B$30,0)),"?"),"Unit mismatch",IF(ISNUMBER(INDEX('Inventory'!$G$7:$G$106,MATCH($C340,'Inventory'!$B$7:$B$106,0))),"OK","Add price in Inventory"))))))))))</f>
        <v/>
      </c>
      <c r="H340" s="87">
        <f>IF($G340&lt;&gt;"OK","",$D340*INDEX('Lists'!$D$6:$D$30,MATCH($E340,'Lists'!$B$6:$B$30,0))/INDEX('Lists'!$D$6:$D$30,MATCH($F340,'Lists'!$B$6:$B$30,0)))</f>
        <v/>
      </c>
      <c r="I340" s="87">
        <f>IF($G340&lt;&gt;"OK","",INDEX('Inventory'!$G$7:$G$106,MATCH($C340,'Inventory'!$B$7:$B$106,0)))</f>
        <v/>
      </c>
      <c r="J340" s="88">
        <f>IF($G340&lt;&gt;"OK","",$H340*$I340)</f>
        <v/>
      </c>
      <c r="K340" s="82">
        <f>IF($G340&lt;&gt;"OK","",SUMIFS('Sales Log'!$D$7:$D$3006,'Sales Log'!$C$7:$C$3006,$B340,'Sales Log'!$B$7:$B$3006,"&gt;="&amp;cfg_CountDate,'Sales Log'!$N$7:$N$3006,"OK"))</f>
        <v/>
      </c>
      <c r="L340" s="89">
        <f>IF($G340&lt;&gt;"OK","",$H340*$K340)</f>
        <v/>
      </c>
    </row>
    <row r="341" ht="17" customHeight="1">
      <c r="B341" s="60" t="n"/>
      <c r="C341" s="60" t="n"/>
      <c r="D341" s="86" t="n"/>
      <c r="E341" s="60" t="n"/>
      <c r="F341" s="13">
        <f>IF($C341="","",IFERROR(INDEX('Inventory'!$D$7:$D$106,MATCH($C341,'Inventory'!$B$7:$B$106,0))&amp;"","?"))</f>
        <v/>
      </c>
      <c r="G341" s="80">
        <f>IF(AND($B341="",$C341=""),"",IF($B341="","Pick menu item",IF(ISNA(MATCH($B341,'Menu Pricing'!$B$7:$B$56,0)),"Not on Menu Pricing",IF($C341="","Pick ingredient",IF($F341="?","Not in Inventory",IF($F341="","Set stock unit in Inventory",IF(N($D341)&lt;=0,"Enter quantity",IF($E341="","Pick unit",IF(IFERROR(INDEX('Lists'!$C$6:$C$30,MATCH($E341,'Lists'!$B$6:$B$30,0)),"?")&lt;&gt;IFERROR(INDEX('Lists'!$C$6:$C$30,MATCH($F341,'Lists'!$B$6:$B$30,0)),"?"),"Unit mismatch",IF(ISNUMBER(INDEX('Inventory'!$G$7:$G$106,MATCH($C341,'Inventory'!$B$7:$B$106,0))),"OK","Add price in Inventory"))))))))))</f>
        <v/>
      </c>
      <c r="H341" s="87">
        <f>IF($G341&lt;&gt;"OK","",$D341*INDEX('Lists'!$D$6:$D$30,MATCH($E341,'Lists'!$B$6:$B$30,0))/INDEX('Lists'!$D$6:$D$30,MATCH($F341,'Lists'!$B$6:$B$30,0)))</f>
        <v/>
      </c>
      <c r="I341" s="87">
        <f>IF($G341&lt;&gt;"OK","",INDEX('Inventory'!$G$7:$G$106,MATCH($C341,'Inventory'!$B$7:$B$106,0)))</f>
        <v/>
      </c>
      <c r="J341" s="88">
        <f>IF($G341&lt;&gt;"OK","",$H341*$I341)</f>
        <v/>
      </c>
      <c r="K341" s="82">
        <f>IF($G341&lt;&gt;"OK","",SUMIFS('Sales Log'!$D$7:$D$3006,'Sales Log'!$C$7:$C$3006,$B341,'Sales Log'!$B$7:$B$3006,"&gt;="&amp;cfg_CountDate,'Sales Log'!$N$7:$N$3006,"OK"))</f>
        <v/>
      </c>
      <c r="L341" s="89">
        <f>IF($G341&lt;&gt;"OK","",$H341*$K341)</f>
        <v/>
      </c>
    </row>
    <row r="342" ht="17" customHeight="1">
      <c r="B342" s="60" t="n"/>
      <c r="C342" s="60" t="n"/>
      <c r="D342" s="86" t="n"/>
      <c r="E342" s="60" t="n"/>
      <c r="F342" s="13">
        <f>IF($C342="","",IFERROR(INDEX('Inventory'!$D$7:$D$106,MATCH($C342,'Inventory'!$B$7:$B$106,0))&amp;"","?"))</f>
        <v/>
      </c>
      <c r="G342" s="80">
        <f>IF(AND($B342="",$C342=""),"",IF($B342="","Pick menu item",IF(ISNA(MATCH($B342,'Menu Pricing'!$B$7:$B$56,0)),"Not on Menu Pricing",IF($C342="","Pick ingredient",IF($F342="?","Not in Inventory",IF($F342="","Set stock unit in Inventory",IF(N($D342)&lt;=0,"Enter quantity",IF($E342="","Pick unit",IF(IFERROR(INDEX('Lists'!$C$6:$C$30,MATCH($E342,'Lists'!$B$6:$B$30,0)),"?")&lt;&gt;IFERROR(INDEX('Lists'!$C$6:$C$30,MATCH($F342,'Lists'!$B$6:$B$30,0)),"?"),"Unit mismatch",IF(ISNUMBER(INDEX('Inventory'!$G$7:$G$106,MATCH($C342,'Inventory'!$B$7:$B$106,0))),"OK","Add price in Inventory"))))))))))</f>
        <v/>
      </c>
      <c r="H342" s="87">
        <f>IF($G342&lt;&gt;"OK","",$D342*INDEX('Lists'!$D$6:$D$30,MATCH($E342,'Lists'!$B$6:$B$30,0))/INDEX('Lists'!$D$6:$D$30,MATCH($F342,'Lists'!$B$6:$B$30,0)))</f>
        <v/>
      </c>
      <c r="I342" s="87">
        <f>IF($G342&lt;&gt;"OK","",INDEX('Inventory'!$G$7:$G$106,MATCH($C342,'Inventory'!$B$7:$B$106,0)))</f>
        <v/>
      </c>
      <c r="J342" s="88">
        <f>IF($G342&lt;&gt;"OK","",$H342*$I342)</f>
        <v/>
      </c>
      <c r="K342" s="82">
        <f>IF($G342&lt;&gt;"OK","",SUMIFS('Sales Log'!$D$7:$D$3006,'Sales Log'!$C$7:$C$3006,$B342,'Sales Log'!$B$7:$B$3006,"&gt;="&amp;cfg_CountDate,'Sales Log'!$N$7:$N$3006,"OK"))</f>
        <v/>
      </c>
      <c r="L342" s="89">
        <f>IF($G342&lt;&gt;"OK","",$H342*$K342)</f>
        <v/>
      </c>
    </row>
    <row r="343" ht="17" customHeight="1">
      <c r="B343" s="60" t="n"/>
      <c r="C343" s="60" t="n"/>
      <c r="D343" s="86" t="n"/>
      <c r="E343" s="60" t="n"/>
      <c r="F343" s="13">
        <f>IF($C343="","",IFERROR(INDEX('Inventory'!$D$7:$D$106,MATCH($C343,'Inventory'!$B$7:$B$106,0))&amp;"","?"))</f>
        <v/>
      </c>
      <c r="G343" s="80">
        <f>IF(AND($B343="",$C343=""),"",IF($B343="","Pick menu item",IF(ISNA(MATCH($B343,'Menu Pricing'!$B$7:$B$56,0)),"Not on Menu Pricing",IF($C343="","Pick ingredient",IF($F343="?","Not in Inventory",IF($F343="","Set stock unit in Inventory",IF(N($D343)&lt;=0,"Enter quantity",IF($E343="","Pick unit",IF(IFERROR(INDEX('Lists'!$C$6:$C$30,MATCH($E343,'Lists'!$B$6:$B$30,0)),"?")&lt;&gt;IFERROR(INDEX('Lists'!$C$6:$C$30,MATCH($F343,'Lists'!$B$6:$B$30,0)),"?"),"Unit mismatch",IF(ISNUMBER(INDEX('Inventory'!$G$7:$G$106,MATCH($C343,'Inventory'!$B$7:$B$106,0))),"OK","Add price in Inventory"))))))))))</f>
        <v/>
      </c>
      <c r="H343" s="87">
        <f>IF($G343&lt;&gt;"OK","",$D343*INDEX('Lists'!$D$6:$D$30,MATCH($E343,'Lists'!$B$6:$B$30,0))/INDEX('Lists'!$D$6:$D$30,MATCH($F343,'Lists'!$B$6:$B$30,0)))</f>
        <v/>
      </c>
      <c r="I343" s="87">
        <f>IF($G343&lt;&gt;"OK","",INDEX('Inventory'!$G$7:$G$106,MATCH($C343,'Inventory'!$B$7:$B$106,0)))</f>
        <v/>
      </c>
      <c r="J343" s="88">
        <f>IF($G343&lt;&gt;"OK","",$H343*$I343)</f>
        <v/>
      </c>
      <c r="K343" s="82">
        <f>IF($G343&lt;&gt;"OK","",SUMIFS('Sales Log'!$D$7:$D$3006,'Sales Log'!$C$7:$C$3006,$B343,'Sales Log'!$B$7:$B$3006,"&gt;="&amp;cfg_CountDate,'Sales Log'!$N$7:$N$3006,"OK"))</f>
        <v/>
      </c>
      <c r="L343" s="89">
        <f>IF($G343&lt;&gt;"OK","",$H343*$K343)</f>
        <v/>
      </c>
    </row>
    <row r="344" ht="17" customHeight="1">
      <c r="B344" s="60" t="n"/>
      <c r="C344" s="60" t="n"/>
      <c r="D344" s="86" t="n"/>
      <c r="E344" s="60" t="n"/>
      <c r="F344" s="13">
        <f>IF($C344="","",IFERROR(INDEX('Inventory'!$D$7:$D$106,MATCH($C344,'Inventory'!$B$7:$B$106,0))&amp;"","?"))</f>
        <v/>
      </c>
      <c r="G344" s="80">
        <f>IF(AND($B344="",$C344=""),"",IF($B344="","Pick menu item",IF(ISNA(MATCH($B344,'Menu Pricing'!$B$7:$B$56,0)),"Not on Menu Pricing",IF($C344="","Pick ingredient",IF($F344="?","Not in Inventory",IF($F344="","Set stock unit in Inventory",IF(N($D344)&lt;=0,"Enter quantity",IF($E344="","Pick unit",IF(IFERROR(INDEX('Lists'!$C$6:$C$30,MATCH($E344,'Lists'!$B$6:$B$30,0)),"?")&lt;&gt;IFERROR(INDEX('Lists'!$C$6:$C$30,MATCH($F344,'Lists'!$B$6:$B$30,0)),"?"),"Unit mismatch",IF(ISNUMBER(INDEX('Inventory'!$G$7:$G$106,MATCH($C344,'Inventory'!$B$7:$B$106,0))),"OK","Add price in Inventory"))))))))))</f>
        <v/>
      </c>
      <c r="H344" s="87">
        <f>IF($G344&lt;&gt;"OK","",$D344*INDEX('Lists'!$D$6:$D$30,MATCH($E344,'Lists'!$B$6:$B$30,0))/INDEX('Lists'!$D$6:$D$30,MATCH($F344,'Lists'!$B$6:$B$30,0)))</f>
        <v/>
      </c>
      <c r="I344" s="87">
        <f>IF($G344&lt;&gt;"OK","",INDEX('Inventory'!$G$7:$G$106,MATCH($C344,'Inventory'!$B$7:$B$106,0)))</f>
        <v/>
      </c>
      <c r="J344" s="88">
        <f>IF($G344&lt;&gt;"OK","",$H344*$I344)</f>
        <v/>
      </c>
      <c r="K344" s="82">
        <f>IF($G344&lt;&gt;"OK","",SUMIFS('Sales Log'!$D$7:$D$3006,'Sales Log'!$C$7:$C$3006,$B344,'Sales Log'!$B$7:$B$3006,"&gt;="&amp;cfg_CountDate,'Sales Log'!$N$7:$N$3006,"OK"))</f>
        <v/>
      </c>
      <c r="L344" s="89">
        <f>IF($G344&lt;&gt;"OK","",$H344*$K344)</f>
        <v/>
      </c>
    </row>
    <row r="345" ht="17" customHeight="1">
      <c r="B345" s="60" t="n"/>
      <c r="C345" s="60" t="n"/>
      <c r="D345" s="86" t="n"/>
      <c r="E345" s="60" t="n"/>
      <c r="F345" s="13">
        <f>IF($C345="","",IFERROR(INDEX('Inventory'!$D$7:$D$106,MATCH($C345,'Inventory'!$B$7:$B$106,0))&amp;"","?"))</f>
        <v/>
      </c>
      <c r="G345" s="80">
        <f>IF(AND($B345="",$C345=""),"",IF($B345="","Pick menu item",IF(ISNA(MATCH($B345,'Menu Pricing'!$B$7:$B$56,0)),"Not on Menu Pricing",IF($C345="","Pick ingredient",IF($F345="?","Not in Inventory",IF($F345="","Set stock unit in Inventory",IF(N($D345)&lt;=0,"Enter quantity",IF($E345="","Pick unit",IF(IFERROR(INDEX('Lists'!$C$6:$C$30,MATCH($E345,'Lists'!$B$6:$B$30,0)),"?")&lt;&gt;IFERROR(INDEX('Lists'!$C$6:$C$30,MATCH($F345,'Lists'!$B$6:$B$30,0)),"?"),"Unit mismatch",IF(ISNUMBER(INDEX('Inventory'!$G$7:$G$106,MATCH($C345,'Inventory'!$B$7:$B$106,0))),"OK","Add price in Inventory"))))))))))</f>
        <v/>
      </c>
      <c r="H345" s="87">
        <f>IF($G345&lt;&gt;"OK","",$D345*INDEX('Lists'!$D$6:$D$30,MATCH($E345,'Lists'!$B$6:$B$30,0))/INDEX('Lists'!$D$6:$D$30,MATCH($F345,'Lists'!$B$6:$B$30,0)))</f>
        <v/>
      </c>
      <c r="I345" s="87">
        <f>IF($G345&lt;&gt;"OK","",INDEX('Inventory'!$G$7:$G$106,MATCH($C345,'Inventory'!$B$7:$B$106,0)))</f>
        <v/>
      </c>
      <c r="J345" s="88">
        <f>IF($G345&lt;&gt;"OK","",$H345*$I345)</f>
        <v/>
      </c>
      <c r="K345" s="82">
        <f>IF($G345&lt;&gt;"OK","",SUMIFS('Sales Log'!$D$7:$D$3006,'Sales Log'!$C$7:$C$3006,$B345,'Sales Log'!$B$7:$B$3006,"&gt;="&amp;cfg_CountDate,'Sales Log'!$N$7:$N$3006,"OK"))</f>
        <v/>
      </c>
      <c r="L345" s="89">
        <f>IF($G345&lt;&gt;"OK","",$H345*$K345)</f>
        <v/>
      </c>
    </row>
    <row r="346" ht="17" customHeight="1">
      <c r="B346" s="60" t="n"/>
      <c r="C346" s="60" t="n"/>
      <c r="D346" s="86" t="n"/>
      <c r="E346" s="60" t="n"/>
      <c r="F346" s="13">
        <f>IF($C346="","",IFERROR(INDEX('Inventory'!$D$7:$D$106,MATCH($C346,'Inventory'!$B$7:$B$106,0))&amp;"","?"))</f>
        <v/>
      </c>
      <c r="G346" s="80">
        <f>IF(AND($B346="",$C346=""),"",IF($B346="","Pick menu item",IF(ISNA(MATCH($B346,'Menu Pricing'!$B$7:$B$56,0)),"Not on Menu Pricing",IF($C346="","Pick ingredient",IF($F346="?","Not in Inventory",IF($F346="","Set stock unit in Inventory",IF(N($D346)&lt;=0,"Enter quantity",IF($E346="","Pick unit",IF(IFERROR(INDEX('Lists'!$C$6:$C$30,MATCH($E346,'Lists'!$B$6:$B$30,0)),"?")&lt;&gt;IFERROR(INDEX('Lists'!$C$6:$C$30,MATCH($F346,'Lists'!$B$6:$B$30,0)),"?"),"Unit mismatch",IF(ISNUMBER(INDEX('Inventory'!$G$7:$G$106,MATCH($C346,'Inventory'!$B$7:$B$106,0))),"OK","Add price in Inventory"))))))))))</f>
        <v/>
      </c>
      <c r="H346" s="87">
        <f>IF($G346&lt;&gt;"OK","",$D346*INDEX('Lists'!$D$6:$D$30,MATCH($E346,'Lists'!$B$6:$B$30,0))/INDEX('Lists'!$D$6:$D$30,MATCH($F346,'Lists'!$B$6:$B$30,0)))</f>
        <v/>
      </c>
      <c r="I346" s="87">
        <f>IF($G346&lt;&gt;"OK","",INDEX('Inventory'!$G$7:$G$106,MATCH($C346,'Inventory'!$B$7:$B$106,0)))</f>
        <v/>
      </c>
      <c r="J346" s="88">
        <f>IF($G346&lt;&gt;"OK","",$H346*$I346)</f>
        <v/>
      </c>
      <c r="K346" s="82">
        <f>IF($G346&lt;&gt;"OK","",SUMIFS('Sales Log'!$D$7:$D$3006,'Sales Log'!$C$7:$C$3006,$B346,'Sales Log'!$B$7:$B$3006,"&gt;="&amp;cfg_CountDate,'Sales Log'!$N$7:$N$3006,"OK"))</f>
        <v/>
      </c>
      <c r="L346" s="89">
        <f>IF($G346&lt;&gt;"OK","",$H346*$K346)</f>
        <v/>
      </c>
    </row>
    <row r="347" ht="17" customHeight="1">
      <c r="B347" s="60" t="n"/>
      <c r="C347" s="60" t="n"/>
      <c r="D347" s="86" t="n"/>
      <c r="E347" s="60" t="n"/>
      <c r="F347" s="13">
        <f>IF($C347="","",IFERROR(INDEX('Inventory'!$D$7:$D$106,MATCH($C347,'Inventory'!$B$7:$B$106,0))&amp;"","?"))</f>
        <v/>
      </c>
      <c r="G347" s="80">
        <f>IF(AND($B347="",$C347=""),"",IF($B347="","Pick menu item",IF(ISNA(MATCH($B347,'Menu Pricing'!$B$7:$B$56,0)),"Not on Menu Pricing",IF($C347="","Pick ingredient",IF($F347="?","Not in Inventory",IF($F347="","Set stock unit in Inventory",IF(N($D347)&lt;=0,"Enter quantity",IF($E347="","Pick unit",IF(IFERROR(INDEX('Lists'!$C$6:$C$30,MATCH($E347,'Lists'!$B$6:$B$30,0)),"?")&lt;&gt;IFERROR(INDEX('Lists'!$C$6:$C$30,MATCH($F347,'Lists'!$B$6:$B$30,0)),"?"),"Unit mismatch",IF(ISNUMBER(INDEX('Inventory'!$G$7:$G$106,MATCH($C347,'Inventory'!$B$7:$B$106,0))),"OK","Add price in Inventory"))))))))))</f>
        <v/>
      </c>
      <c r="H347" s="87">
        <f>IF($G347&lt;&gt;"OK","",$D347*INDEX('Lists'!$D$6:$D$30,MATCH($E347,'Lists'!$B$6:$B$30,0))/INDEX('Lists'!$D$6:$D$30,MATCH($F347,'Lists'!$B$6:$B$30,0)))</f>
        <v/>
      </c>
      <c r="I347" s="87">
        <f>IF($G347&lt;&gt;"OK","",INDEX('Inventory'!$G$7:$G$106,MATCH($C347,'Inventory'!$B$7:$B$106,0)))</f>
        <v/>
      </c>
      <c r="J347" s="88">
        <f>IF($G347&lt;&gt;"OK","",$H347*$I347)</f>
        <v/>
      </c>
      <c r="K347" s="82">
        <f>IF($G347&lt;&gt;"OK","",SUMIFS('Sales Log'!$D$7:$D$3006,'Sales Log'!$C$7:$C$3006,$B347,'Sales Log'!$B$7:$B$3006,"&gt;="&amp;cfg_CountDate,'Sales Log'!$N$7:$N$3006,"OK"))</f>
        <v/>
      </c>
      <c r="L347" s="89">
        <f>IF($G347&lt;&gt;"OK","",$H347*$K347)</f>
        <v/>
      </c>
    </row>
    <row r="348" ht="17" customHeight="1">
      <c r="B348" s="60" t="n"/>
      <c r="C348" s="60" t="n"/>
      <c r="D348" s="86" t="n"/>
      <c r="E348" s="60" t="n"/>
      <c r="F348" s="13">
        <f>IF($C348="","",IFERROR(INDEX('Inventory'!$D$7:$D$106,MATCH($C348,'Inventory'!$B$7:$B$106,0))&amp;"","?"))</f>
        <v/>
      </c>
      <c r="G348" s="80">
        <f>IF(AND($B348="",$C348=""),"",IF($B348="","Pick menu item",IF(ISNA(MATCH($B348,'Menu Pricing'!$B$7:$B$56,0)),"Not on Menu Pricing",IF($C348="","Pick ingredient",IF($F348="?","Not in Inventory",IF($F348="","Set stock unit in Inventory",IF(N($D348)&lt;=0,"Enter quantity",IF($E348="","Pick unit",IF(IFERROR(INDEX('Lists'!$C$6:$C$30,MATCH($E348,'Lists'!$B$6:$B$30,0)),"?")&lt;&gt;IFERROR(INDEX('Lists'!$C$6:$C$30,MATCH($F348,'Lists'!$B$6:$B$30,0)),"?"),"Unit mismatch",IF(ISNUMBER(INDEX('Inventory'!$G$7:$G$106,MATCH($C348,'Inventory'!$B$7:$B$106,0))),"OK","Add price in Inventory"))))))))))</f>
        <v/>
      </c>
      <c r="H348" s="87">
        <f>IF($G348&lt;&gt;"OK","",$D348*INDEX('Lists'!$D$6:$D$30,MATCH($E348,'Lists'!$B$6:$B$30,0))/INDEX('Lists'!$D$6:$D$30,MATCH($F348,'Lists'!$B$6:$B$30,0)))</f>
        <v/>
      </c>
      <c r="I348" s="87">
        <f>IF($G348&lt;&gt;"OK","",INDEX('Inventory'!$G$7:$G$106,MATCH($C348,'Inventory'!$B$7:$B$106,0)))</f>
        <v/>
      </c>
      <c r="J348" s="88">
        <f>IF($G348&lt;&gt;"OK","",$H348*$I348)</f>
        <v/>
      </c>
      <c r="K348" s="82">
        <f>IF($G348&lt;&gt;"OK","",SUMIFS('Sales Log'!$D$7:$D$3006,'Sales Log'!$C$7:$C$3006,$B348,'Sales Log'!$B$7:$B$3006,"&gt;="&amp;cfg_CountDate,'Sales Log'!$N$7:$N$3006,"OK"))</f>
        <v/>
      </c>
      <c r="L348" s="89">
        <f>IF($G348&lt;&gt;"OK","",$H348*$K348)</f>
        <v/>
      </c>
    </row>
    <row r="349" ht="17" customHeight="1">
      <c r="B349" s="60" t="n"/>
      <c r="C349" s="60" t="n"/>
      <c r="D349" s="86" t="n"/>
      <c r="E349" s="60" t="n"/>
      <c r="F349" s="13">
        <f>IF($C349="","",IFERROR(INDEX('Inventory'!$D$7:$D$106,MATCH($C349,'Inventory'!$B$7:$B$106,0))&amp;"","?"))</f>
        <v/>
      </c>
      <c r="G349" s="80">
        <f>IF(AND($B349="",$C349=""),"",IF($B349="","Pick menu item",IF(ISNA(MATCH($B349,'Menu Pricing'!$B$7:$B$56,0)),"Not on Menu Pricing",IF($C349="","Pick ingredient",IF($F349="?","Not in Inventory",IF($F349="","Set stock unit in Inventory",IF(N($D349)&lt;=0,"Enter quantity",IF($E349="","Pick unit",IF(IFERROR(INDEX('Lists'!$C$6:$C$30,MATCH($E349,'Lists'!$B$6:$B$30,0)),"?")&lt;&gt;IFERROR(INDEX('Lists'!$C$6:$C$30,MATCH($F349,'Lists'!$B$6:$B$30,0)),"?"),"Unit mismatch",IF(ISNUMBER(INDEX('Inventory'!$G$7:$G$106,MATCH($C349,'Inventory'!$B$7:$B$106,0))),"OK","Add price in Inventory"))))))))))</f>
        <v/>
      </c>
      <c r="H349" s="87">
        <f>IF($G349&lt;&gt;"OK","",$D349*INDEX('Lists'!$D$6:$D$30,MATCH($E349,'Lists'!$B$6:$B$30,0))/INDEX('Lists'!$D$6:$D$30,MATCH($F349,'Lists'!$B$6:$B$30,0)))</f>
        <v/>
      </c>
      <c r="I349" s="87">
        <f>IF($G349&lt;&gt;"OK","",INDEX('Inventory'!$G$7:$G$106,MATCH($C349,'Inventory'!$B$7:$B$106,0)))</f>
        <v/>
      </c>
      <c r="J349" s="88">
        <f>IF($G349&lt;&gt;"OK","",$H349*$I349)</f>
        <v/>
      </c>
      <c r="K349" s="82">
        <f>IF($G349&lt;&gt;"OK","",SUMIFS('Sales Log'!$D$7:$D$3006,'Sales Log'!$C$7:$C$3006,$B349,'Sales Log'!$B$7:$B$3006,"&gt;="&amp;cfg_CountDate,'Sales Log'!$N$7:$N$3006,"OK"))</f>
        <v/>
      </c>
      <c r="L349" s="89">
        <f>IF($G349&lt;&gt;"OK","",$H349*$K349)</f>
        <v/>
      </c>
    </row>
    <row r="350" ht="17" customHeight="1">
      <c r="B350" s="60" t="n"/>
      <c r="C350" s="60" t="n"/>
      <c r="D350" s="86" t="n"/>
      <c r="E350" s="60" t="n"/>
      <c r="F350" s="13">
        <f>IF($C350="","",IFERROR(INDEX('Inventory'!$D$7:$D$106,MATCH($C350,'Inventory'!$B$7:$B$106,0))&amp;"","?"))</f>
        <v/>
      </c>
      <c r="G350" s="80">
        <f>IF(AND($B350="",$C350=""),"",IF($B350="","Pick menu item",IF(ISNA(MATCH($B350,'Menu Pricing'!$B$7:$B$56,0)),"Not on Menu Pricing",IF($C350="","Pick ingredient",IF($F350="?","Not in Inventory",IF($F350="","Set stock unit in Inventory",IF(N($D350)&lt;=0,"Enter quantity",IF($E350="","Pick unit",IF(IFERROR(INDEX('Lists'!$C$6:$C$30,MATCH($E350,'Lists'!$B$6:$B$30,0)),"?")&lt;&gt;IFERROR(INDEX('Lists'!$C$6:$C$30,MATCH($F350,'Lists'!$B$6:$B$30,0)),"?"),"Unit mismatch",IF(ISNUMBER(INDEX('Inventory'!$G$7:$G$106,MATCH($C350,'Inventory'!$B$7:$B$106,0))),"OK","Add price in Inventory"))))))))))</f>
        <v/>
      </c>
      <c r="H350" s="87">
        <f>IF($G350&lt;&gt;"OK","",$D350*INDEX('Lists'!$D$6:$D$30,MATCH($E350,'Lists'!$B$6:$B$30,0))/INDEX('Lists'!$D$6:$D$30,MATCH($F350,'Lists'!$B$6:$B$30,0)))</f>
        <v/>
      </c>
      <c r="I350" s="87">
        <f>IF($G350&lt;&gt;"OK","",INDEX('Inventory'!$G$7:$G$106,MATCH($C350,'Inventory'!$B$7:$B$106,0)))</f>
        <v/>
      </c>
      <c r="J350" s="88">
        <f>IF($G350&lt;&gt;"OK","",$H350*$I350)</f>
        <v/>
      </c>
      <c r="K350" s="82">
        <f>IF($G350&lt;&gt;"OK","",SUMIFS('Sales Log'!$D$7:$D$3006,'Sales Log'!$C$7:$C$3006,$B350,'Sales Log'!$B$7:$B$3006,"&gt;="&amp;cfg_CountDate,'Sales Log'!$N$7:$N$3006,"OK"))</f>
        <v/>
      </c>
      <c r="L350" s="89">
        <f>IF($G350&lt;&gt;"OK","",$H350*$K350)</f>
        <v/>
      </c>
    </row>
    <row r="351" ht="17" customHeight="1">
      <c r="B351" s="60" t="n"/>
      <c r="C351" s="60" t="n"/>
      <c r="D351" s="86" t="n"/>
      <c r="E351" s="60" t="n"/>
      <c r="F351" s="13">
        <f>IF($C351="","",IFERROR(INDEX('Inventory'!$D$7:$D$106,MATCH($C351,'Inventory'!$B$7:$B$106,0))&amp;"","?"))</f>
        <v/>
      </c>
      <c r="G351" s="80">
        <f>IF(AND($B351="",$C351=""),"",IF($B351="","Pick menu item",IF(ISNA(MATCH($B351,'Menu Pricing'!$B$7:$B$56,0)),"Not on Menu Pricing",IF($C351="","Pick ingredient",IF($F351="?","Not in Inventory",IF($F351="","Set stock unit in Inventory",IF(N($D351)&lt;=0,"Enter quantity",IF($E351="","Pick unit",IF(IFERROR(INDEX('Lists'!$C$6:$C$30,MATCH($E351,'Lists'!$B$6:$B$30,0)),"?")&lt;&gt;IFERROR(INDEX('Lists'!$C$6:$C$30,MATCH($F351,'Lists'!$B$6:$B$30,0)),"?"),"Unit mismatch",IF(ISNUMBER(INDEX('Inventory'!$G$7:$G$106,MATCH($C351,'Inventory'!$B$7:$B$106,0))),"OK","Add price in Inventory"))))))))))</f>
        <v/>
      </c>
      <c r="H351" s="87">
        <f>IF($G351&lt;&gt;"OK","",$D351*INDEX('Lists'!$D$6:$D$30,MATCH($E351,'Lists'!$B$6:$B$30,0))/INDEX('Lists'!$D$6:$D$30,MATCH($F351,'Lists'!$B$6:$B$30,0)))</f>
        <v/>
      </c>
      <c r="I351" s="87">
        <f>IF($G351&lt;&gt;"OK","",INDEX('Inventory'!$G$7:$G$106,MATCH($C351,'Inventory'!$B$7:$B$106,0)))</f>
        <v/>
      </c>
      <c r="J351" s="88">
        <f>IF($G351&lt;&gt;"OK","",$H351*$I351)</f>
        <v/>
      </c>
      <c r="K351" s="82">
        <f>IF($G351&lt;&gt;"OK","",SUMIFS('Sales Log'!$D$7:$D$3006,'Sales Log'!$C$7:$C$3006,$B351,'Sales Log'!$B$7:$B$3006,"&gt;="&amp;cfg_CountDate,'Sales Log'!$N$7:$N$3006,"OK"))</f>
        <v/>
      </c>
      <c r="L351" s="89">
        <f>IF($G351&lt;&gt;"OK","",$H351*$K351)</f>
        <v/>
      </c>
    </row>
    <row r="352" ht="17" customHeight="1">
      <c r="B352" s="60" t="n"/>
      <c r="C352" s="60" t="n"/>
      <c r="D352" s="86" t="n"/>
      <c r="E352" s="60" t="n"/>
      <c r="F352" s="13">
        <f>IF($C352="","",IFERROR(INDEX('Inventory'!$D$7:$D$106,MATCH($C352,'Inventory'!$B$7:$B$106,0))&amp;"","?"))</f>
        <v/>
      </c>
      <c r="G352" s="80">
        <f>IF(AND($B352="",$C352=""),"",IF($B352="","Pick menu item",IF(ISNA(MATCH($B352,'Menu Pricing'!$B$7:$B$56,0)),"Not on Menu Pricing",IF($C352="","Pick ingredient",IF($F352="?","Not in Inventory",IF($F352="","Set stock unit in Inventory",IF(N($D352)&lt;=0,"Enter quantity",IF($E352="","Pick unit",IF(IFERROR(INDEX('Lists'!$C$6:$C$30,MATCH($E352,'Lists'!$B$6:$B$30,0)),"?")&lt;&gt;IFERROR(INDEX('Lists'!$C$6:$C$30,MATCH($F352,'Lists'!$B$6:$B$30,0)),"?"),"Unit mismatch",IF(ISNUMBER(INDEX('Inventory'!$G$7:$G$106,MATCH($C352,'Inventory'!$B$7:$B$106,0))),"OK","Add price in Inventory"))))))))))</f>
        <v/>
      </c>
      <c r="H352" s="87">
        <f>IF($G352&lt;&gt;"OK","",$D352*INDEX('Lists'!$D$6:$D$30,MATCH($E352,'Lists'!$B$6:$B$30,0))/INDEX('Lists'!$D$6:$D$30,MATCH($F352,'Lists'!$B$6:$B$30,0)))</f>
        <v/>
      </c>
      <c r="I352" s="87">
        <f>IF($G352&lt;&gt;"OK","",INDEX('Inventory'!$G$7:$G$106,MATCH($C352,'Inventory'!$B$7:$B$106,0)))</f>
        <v/>
      </c>
      <c r="J352" s="88">
        <f>IF($G352&lt;&gt;"OK","",$H352*$I352)</f>
        <v/>
      </c>
      <c r="K352" s="82">
        <f>IF($G352&lt;&gt;"OK","",SUMIFS('Sales Log'!$D$7:$D$3006,'Sales Log'!$C$7:$C$3006,$B352,'Sales Log'!$B$7:$B$3006,"&gt;="&amp;cfg_CountDate,'Sales Log'!$N$7:$N$3006,"OK"))</f>
        <v/>
      </c>
      <c r="L352" s="89">
        <f>IF($G352&lt;&gt;"OK","",$H352*$K352)</f>
        <v/>
      </c>
    </row>
    <row r="353" ht="17" customHeight="1">
      <c r="B353" s="60" t="n"/>
      <c r="C353" s="60" t="n"/>
      <c r="D353" s="86" t="n"/>
      <c r="E353" s="60" t="n"/>
      <c r="F353" s="13">
        <f>IF($C353="","",IFERROR(INDEX('Inventory'!$D$7:$D$106,MATCH($C353,'Inventory'!$B$7:$B$106,0))&amp;"","?"))</f>
        <v/>
      </c>
      <c r="G353" s="80">
        <f>IF(AND($B353="",$C353=""),"",IF($B353="","Pick menu item",IF(ISNA(MATCH($B353,'Menu Pricing'!$B$7:$B$56,0)),"Not on Menu Pricing",IF($C353="","Pick ingredient",IF($F353="?","Not in Inventory",IF($F353="","Set stock unit in Inventory",IF(N($D353)&lt;=0,"Enter quantity",IF($E353="","Pick unit",IF(IFERROR(INDEX('Lists'!$C$6:$C$30,MATCH($E353,'Lists'!$B$6:$B$30,0)),"?")&lt;&gt;IFERROR(INDEX('Lists'!$C$6:$C$30,MATCH($F353,'Lists'!$B$6:$B$30,0)),"?"),"Unit mismatch",IF(ISNUMBER(INDEX('Inventory'!$G$7:$G$106,MATCH($C353,'Inventory'!$B$7:$B$106,0))),"OK","Add price in Inventory"))))))))))</f>
        <v/>
      </c>
      <c r="H353" s="87">
        <f>IF($G353&lt;&gt;"OK","",$D353*INDEX('Lists'!$D$6:$D$30,MATCH($E353,'Lists'!$B$6:$B$30,0))/INDEX('Lists'!$D$6:$D$30,MATCH($F353,'Lists'!$B$6:$B$30,0)))</f>
        <v/>
      </c>
      <c r="I353" s="87">
        <f>IF($G353&lt;&gt;"OK","",INDEX('Inventory'!$G$7:$G$106,MATCH($C353,'Inventory'!$B$7:$B$106,0)))</f>
        <v/>
      </c>
      <c r="J353" s="88">
        <f>IF($G353&lt;&gt;"OK","",$H353*$I353)</f>
        <v/>
      </c>
      <c r="K353" s="82">
        <f>IF($G353&lt;&gt;"OK","",SUMIFS('Sales Log'!$D$7:$D$3006,'Sales Log'!$C$7:$C$3006,$B353,'Sales Log'!$B$7:$B$3006,"&gt;="&amp;cfg_CountDate,'Sales Log'!$N$7:$N$3006,"OK"))</f>
        <v/>
      </c>
      <c r="L353" s="89">
        <f>IF($G353&lt;&gt;"OK","",$H353*$K353)</f>
        <v/>
      </c>
    </row>
    <row r="354" ht="17" customHeight="1">
      <c r="B354" s="60" t="n"/>
      <c r="C354" s="60" t="n"/>
      <c r="D354" s="86" t="n"/>
      <c r="E354" s="60" t="n"/>
      <c r="F354" s="13">
        <f>IF($C354="","",IFERROR(INDEX('Inventory'!$D$7:$D$106,MATCH($C354,'Inventory'!$B$7:$B$106,0))&amp;"","?"))</f>
        <v/>
      </c>
      <c r="G354" s="80">
        <f>IF(AND($B354="",$C354=""),"",IF($B354="","Pick menu item",IF(ISNA(MATCH($B354,'Menu Pricing'!$B$7:$B$56,0)),"Not on Menu Pricing",IF($C354="","Pick ingredient",IF($F354="?","Not in Inventory",IF($F354="","Set stock unit in Inventory",IF(N($D354)&lt;=0,"Enter quantity",IF($E354="","Pick unit",IF(IFERROR(INDEX('Lists'!$C$6:$C$30,MATCH($E354,'Lists'!$B$6:$B$30,0)),"?")&lt;&gt;IFERROR(INDEX('Lists'!$C$6:$C$30,MATCH($F354,'Lists'!$B$6:$B$30,0)),"?"),"Unit mismatch",IF(ISNUMBER(INDEX('Inventory'!$G$7:$G$106,MATCH($C354,'Inventory'!$B$7:$B$106,0))),"OK","Add price in Inventory"))))))))))</f>
        <v/>
      </c>
      <c r="H354" s="87">
        <f>IF($G354&lt;&gt;"OK","",$D354*INDEX('Lists'!$D$6:$D$30,MATCH($E354,'Lists'!$B$6:$B$30,0))/INDEX('Lists'!$D$6:$D$30,MATCH($F354,'Lists'!$B$6:$B$30,0)))</f>
        <v/>
      </c>
      <c r="I354" s="87">
        <f>IF($G354&lt;&gt;"OK","",INDEX('Inventory'!$G$7:$G$106,MATCH($C354,'Inventory'!$B$7:$B$106,0)))</f>
        <v/>
      </c>
      <c r="J354" s="88">
        <f>IF($G354&lt;&gt;"OK","",$H354*$I354)</f>
        <v/>
      </c>
      <c r="K354" s="82">
        <f>IF($G354&lt;&gt;"OK","",SUMIFS('Sales Log'!$D$7:$D$3006,'Sales Log'!$C$7:$C$3006,$B354,'Sales Log'!$B$7:$B$3006,"&gt;="&amp;cfg_CountDate,'Sales Log'!$N$7:$N$3006,"OK"))</f>
        <v/>
      </c>
      <c r="L354" s="89">
        <f>IF($G354&lt;&gt;"OK","",$H354*$K354)</f>
        <v/>
      </c>
    </row>
    <row r="355" ht="17" customHeight="1">
      <c r="B355" s="60" t="n"/>
      <c r="C355" s="60" t="n"/>
      <c r="D355" s="86" t="n"/>
      <c r="E355" s="60" t="n"/>
      <c r="F355" s="13">
        <f>IF($C355="","",IFERROR(INDEX('Inventory'!$D$7:$D$106,MATCH($C355,'Inventory'!$B$7:$B$106,0))&amp;"","?"))</f>
        <v/>
      </c>
      <c r="G355" s="80">
        <f>IF(AND($B355="",$C355=""),"",IF($B355="","Pick menu item",IF(ISNA(MATCH($B355,'Menu Pricing'!$B$7:$B$56,0)),"Not on Menu Pricing",IF($C355="","Pick ingredient",IF($F355="?","Not in Inventory",IF($F355="","Set stock unit in Inventory",IF(N($D355)&lt;=0,"Enter quantity",IF($E355="","Pick unit",IF(IFERROR(INDEX('Lists'!$C$6:$C$30,MATCH($E355,'Lists'!$B$6:$B$30,0)),"?")&lt;&gt;IFERROR(INDEX('Lists'!$C$6:$C$30,MATCH($F355,'Lists'!$B$6:$B$30,0)),"?"),"Unit mismatch",IF(ISNUMBER(INDEX('Inventory'!$G$7:$G$106,MATCH($C355,'Inventory'!$B$7:$B$106,0))),"OK","Add price in Inventory"))))))))))</f>
        <v/>
      </c>
      <c r="H355" s="87">
        <f>IF($G355&lt;&gt;"OK","",$D355*INDEX('Lists'!$D$6:$D$30,MATCH($E355,'Lists'!$B$6:$B$30,0))/INDEX('Lists'!$D$6:$D$30,MATCH($F355,'Lists'!$B$6:$B$30,0)))</f>
        <v/>
      </c>
      <c r="I355" s="87">
        <f>IF($G355&lt;&gt;"OK","",INDEX('Inventory'!$G$7:$G$106,MATCH($C355,'Inventory'!$B$7:$B$106,0)))</f>
        <v/>
      </c>
      <c r="J355" s="88">
        <f>IF($G355&lt;&gt;"OK","",$H355*$I355)</f>
        <v/>
      </c>
      <c r="K355" s="82">
        <f>IF($G355&lt;&gt;"OK","",SUMIFS('Sales Log'!$D$7:$D$3006,'Sales Log'!$C$7:$C$3006,$B355,'Sales Log'!$B$7:$B$3006,"&gt;="&amp;cfg_CountDate,'Sales Log'!$N$7:$N$3006,"OK"))</f>
        <v/>
      </c>
      <c r="L355" s="89">
        <f>IF($G355&lt;&gt;"OK","",$H355*$K355)</f>
        <v/>
      </c>
    </row>
    <row r="356" ht="17" customHeight="1">
      <c r="B356" s="60" t="n"/>
      <c r="C356" s="60" t="n"/>
      <c r="D356" s="86" t="n"/>
      <c r="E356" s="60" t="n"/>
      <c r="F356" s="13">
        <f>IF($C356="","",IFERROR(INDEX('Inventory'!$D$7:$D$106,MATCH($C356,'Inventory'!$B$7:$B$106,0))&amp;"","?"))</f>
        <v/>
      </c>
      <c r="G356" s="80">
        <f>IF(AND($B356="",$C356=""),"",IF($B356="","Pick menu item",IF(ISNA(MATCH($B356,'Menu Pricing'!$B$7:$B$56,0)),"Not on Menu Pricing",IF($C356="","Pick ingredient",IF($F356="?","Not in Inventory",IF($F356="","Set stock unit in Inventory",IF(N($D356)&lt;=0,"Enter quantity",IF($E356="","Pick unit",IF(IFERROR(INDEX('Lists'!$C$6:$C$30,MATCH($E356,'Lists'!$B$6:$B$30,0)),"?")&lt;&gt;IFERROR(INDEX('Lists'!$C$6:$C$30,MATCH($F356,'Lists'!$B$6:$B$30,0)),"?"),"Unit mismatch",IF(ISNUMBER(INDEX('Inventory'!$G$7:$G$106,MATCH($C356,'Inventory'!$B$7:$B$106,0))),"OK","Add price in Inventory"))))))))))</f>
        <v/>
      </c>
      <c r="H356" s="87">
        <f>IF($G356&lt;&gt;"OK","",$D356*INDEX('Lists'!$D$6:$D$30,MATCH($E356,'Lists'!$B$6:$B$30,0))/INDEX('Lists'!$D$6:$D$30,MATCH($F356,'Lists'!$B$6:$B$30,0)))</f>
        <v/>
      </c>
      <c r="I356" s="87">
        <f>IF($G356&lt;&gt;"OK","",INDEX('Inventory'!$G$7:$G$106,MATCH($C356,'Inventory'!$B$7:$B$106,0)))</f>
        <v/>
      </c>
      <c r="J356" s="88">
        <f>IF($G356&lt;&gt;"OK","",$H356*$I356)</f>
        <v/>
      </c>
      <c r="K356" s="82">
        <f>IF($G356&lt;&gt;"OK","",SUMIFS('Sales Log'!$D$7:$D$3006,'Sales Log'!$C$7:$C$3006,$B356,'Sales Log'!$B$7:$B$3006,"&gt;="&amp;cfg_CountDate,'Sales Log'!$N$7:$N$3006,"OK"))</f>
        <v/>
      </c>
      <c r="L356" s="89">
        <f>IF($G356&lt;&gt;"OK","",$H356*$K356)</f>
        <v/>
      </c>
    </row>
    <row r="357" ht="17" customHeight="1">
      <c r="B357" s="60" t="n"/>
      <c r="C357" s="60" t="n"/>
      <c r="D357" s="86" t="n"/>
      <c r="E357" s="60" t="n"/>
      <c r="F357" s="13">
        <f>IF($C357="","",IFERROR(INDEX('Inventory'!$D$7:$D$106,MATCH($C357,'Inventory'!$B$7:$B$106,0))&amp;"","?"))</f>
        <v/>
      </c>
      <c r="G357" s="80">
        <f>IF(AND($B357="",$C357=""),"",IF($B357="","Pick menu item",IF(ISNA(MATCH($B357,'Menu Pricing'!$B$7:$B$56,0)),"Not on Menu Pricing",IF($C357="","Pick ingredient",IF($F357="?","Not in Inventory",IF($F357="","Set stock unit in Inventory",IF(N($D357)&lt;=0,"Enter quantity",IF($E357="","Pick unit",IF(IFERROR(INDEX('Lists'!$C$6:$C$30,MATCH($E357,'Lists'!$B$6:$B$30,0)),"?")&lt;&gt;IFERROR(INDEX('Lists'!$C$6:$C$30,MATCH($F357,'Lists'!$B$6:$B$30,0)),"?"),"Unit mismatch",IF(ISNUMBER(INDEX('Inventory'!$G$7:$G$106,MATCH($C357,'Inventory'!$B$7:$B$106,0))),"OK","Add price in Inventory"))))))))))</f>
        <v/>
      </c>
      <c r="H357" s="87">
        <f>IF($G357&lt;&gt;"OK","",$D357*INDEX('Lists'!$D$6:$D$30,MATCH($E357,'Lists'!$B$6:$B$30,0))/INDEX('Lists'!$D$6:$D$30,MATCH($F357,'Lists'!$B$6:$B$30,0)))</f>
        <v/>
      </c>
      <c r="I357" s="87">
        <f>IF($G357&lt;&gt;"OK","",INDEX('Inventory'!$G$7:$G$106,MATCH($C357,'Inventory'!$B$7:$B$106,0)))</f>
        <v/>
      </c>
      <c r="J357" s="88">
        <f>IF($G357&lt;&gt;"OK","",$H357*$I357)</f>
        <v/>
      </c>
      <c r="K357" s="82">
        <f>IF($G357&lt;&gt;"OK","",SUMIFS('Sales Log'!$D$7:$D$3006,'Sales Log'!$C$7:$C$3006,$B357,'Sales Log'!$B$7:$B$3006,"&gt;="&amp;cfg_CountDate,'Sales Log'!$N$7:$N$3006,"OK"))</f>
        <v/>
      </c>
      <c r="L357" s="89">
        <f>IF($G357&lt;&gt;"OK","",$H357*$K357)</f>
        <v/>
      </c>
    </row>
    <row r="358" ht="17" customHeight="1">
      <c r="B358" s="60" t="n"/>
      <c r="C358" s="60" t="n"/>
      <c r="D358" s="86" t="n"/>
      <c r="E358" s="60" t="n"/>
      <c r="F358" s="13">
        <f>IF($C358="","",IFERROR(INDEX('Inventory'!$D$7:$D$106,MATCH($C358,'Inventory'!$B$7:$B$106,0))&amp;"","?"))</f>
        <v/>
      </c>
      <c r="G358" s="80">
        <f>IF(AND($B358="",$C358=""),"",IF($B358="","Pick menu item",IF(ISNA(MATCH($B358,'Menu Pricing'!$B$7:$B$56,0)),"Not on Menu Pricing",IF($C358="","Pick ingredient",IF($F358="?","Not in Inventory",IF($F358="","Set stock unit in Inventory",IF(N($D358)&lt;=0,"Enter quantity",IF($E358="","Pick unit",IF(IFERROR(INDEX('Lists'!$C$6:$C$30,MATCH($E358,'Lists'!$B$6:$B$30,0)),"?")&lt;&gt;IFERROR(INDEX('Lists'!$C$6:$C$30,MATCH($F358,'Lists'!$B$6:$B$30,0)),"?"),"Unit mismatch",IF(ISNUMBER(INDEX('Inventory'!$G$7:$G$106,MATCH($C358,'Inventory'!$B$7:$B$106,0))),"OK","Add price in Inventory"))))))))))</f>
        <v/>
      </c>
      <c r="H358" s="87">
        <f>IF($G358&lt;&gt;"OK","",$D358*INDEX('Lists'!$D$6:$D$30,MATCH($E358,'Lists'!$B$6:$B$30,0))/INDEX('Lists'!$D$6:$D$30,MATCH($F358,'Lists'!$B$6:$B$30,0)))</f>
        <v/>
      </c>
      <c r="I358" s="87">
        <f>IF($G358&lt;&gt;"OK","",INDEX('Inventory'!$G$7:$G$106,MATCH($C358,'Inventory'!$B$7:$B$106,0)))</f>
        <v/>
      </c>
      <c r="J358" s="88">
        <f>IF($G358&lt;&gt;"OK","",$H358*$I358)</f>
        <v/>
      </c>
      <c r="K358" s="82">
        <f>IF($G358&lt;&gt;"OK","",SUMIFS('Sales Log'!$D$7:$D$3006,'Sales Log'!$C$7:$C$3006,$B358,'Sales Log'!$B$7:$B$3006,"&gt;="&amp;cfg_CountDate,'Sales Log'!$N$7:$N$3006,"OK"))</f>
        <v/>
      </c>
      <c r="L358" s="89">
        <f>IF($G358&lt;&gt;"OK","",$H358*$K358)</f>
        <v/>
      </c>
    </row>
    <row r="359" ht="17" customHeight="1">
      <c r="B359" s="60" t="n"/>
      <c r="C359" s="60" t="n"/>
      <c r="D359" s="86" t="n"/>
      <c r="E359" s="60" t="n"/>
      <c r="F359" s="13">
        <f>IF($C359="","",IFERROR(INDEX('Inventory'!$D$7:$D$106,MATCH($C359,'Inventory'!$B$7:$B$106,0))&amp;"","?"))</f>
        <v/>
      </c>
      <c r="G359" s="80">
        <f>IF(AND($B359="",$C359=""),"",IF($B359="","Pick menu item",IF(ISNA(MATCH($B359,'Menu Pricing'!$B$7:$B$56,0)),"Not on Menu Pricing",IF($C359="","Pick ingredient",IF($F359="?","Not in Inventory",IF($F359="","Set stock unit in Inventory",IF(N($D359)&lt;=0,"Enter quantity",IF($E359="","Pick unit",IF(IFERROR(INDEX('Lists'!$C$6:$C$30,MATCH($E359,'Lists'!$B$6:$B$30,0)),"?")&lt;&gt;IFERROR(INDEX('Lists'!$C$6:$C$30,MATCH($F359,'Lists'!$B$6:$B$30,0)),"?"),"Unit mismatch",IF(ISNUMBER(INDEX('Inventory'!$G$7:$G$106,MATCH($C359,'Inventory'!$B$7:$B$106,0))),"OK","Add price in Inventory"))))))))))</f>
        <v/>
      </c>
      <c r="H359" s="87">
        <f>IF($G359&lt;&gt;"OK","",$D359*INDEX('Lists'!$D$6:$D$30,MATCH($E359,'Lists'!$B$6:$B$30,0))/INDEX('Lists'!$D$6:$D$30,MATCH($F359,'Lists'!$B$6:$B$30,0)))</f>
        <v/>
      </c>
      <c r="I359" s="87">
        <f>IF($G359&lt;&gt;"OK","",INDEX('Inventory'!$G$7:$G$106,MATCH($C359,'Inventory'!$B$7:$B$106,0)))</f>
        <v/>
      </c>
      <c r="J359" s="88">
        <f>IF($G359&lt;&gt;"OK","",$H359*$I359)</f>
        <v/>
      </c>
      <c r="K359" s="82">
        <f>IF($G359&lt;&gt;"OK","",SUMIFS('Sales Log'!$D$7:$D$3006,'Sales Log'!$C$7:$C$3006,$B359,'Sales Log'!$B$7:$B$3006,"&gt;="&amp;cfg_CountDate,'Sales Log'!$N$7:$N$3006,"OK"))</f>
        <v/>
      </c>
      <c r="L359" s="89">
        <f>IF($G359&lt;&gt;"OK","",$H359*$K359)</f>
        <v/>
      </c>
    </row>
    <row r="360" ht="17" customHeight="1">
      <c r="B360" s="60" t="n"/>
      <c r="C360" s="60" t="n"/>
      <c r="D360" s="86" t="n"/>
      <c r="E360" s="60" t="n"/>
      <c r="F360" s="13">
        <f>IF($C360="","",IFERROR(INDEX('Inventory'!$D$7:$D$106,MATCH($C360,'Inventory'!$B$7:$B$106,0))&amp;"","?"))</f>
        <v/>
      </c>
      <c r="G360" s="80">
        <f>IF(AND($B360="",$C360=""),"",IF($B360="","Pick menu item",IF(ISNA(MATCH($B360,'Menu Pricing'!$B$7:$B$56,0)),"Not on Menu Pricing",IF($C360="","Pick ingredient",IF($F360="?","Not in Inventory",IF($F360="","Set stock unit in Inventory",IF(N($D360)&lt;=0,"Enter quantity",IF($E360="","Pick unit",IF(IFERROR(INDEX('Lists'!$C$6:$C$30,MATCH($E360,'Lists'!$B$6:$B$30,0)),"?")&lt;&gt;IFERROR(INDEX('Lists'!$C$6:$C$30,MATCH($F360,'Lists'!$B$6:$B$30,0)),"?"),"Unit mismatch",IF(ISNUMBER(INDEX('Inventory'!$G$7:$G$106,MATCH($C360,'Inventory'!$B$7:$B$106,0))),"OK","Add price in Inventory"))))))))))</f>
        <v/>
      </c>
      <c r="H360" s="87">
        <f>IF($G360&lt;&gt;"OK","",$D360*INDEX('Lists'!$D$6:$D$30,MATCH($E360,'Lists'!$B$6:$B$30,0))/INDEX('Lists'!$D$6:$D$30,MATCH($F360,'Lists'!$B$6:$B$30,0)))</f>
        <v/>
      </c>
      <c r="I360" s="87">
        <f>IF($G360&lt;&gt;"OK","",INDEX('Inventory'!$G$7:$G$106,MATCH($C360,'Inventory'!$B$7:$B$106,0)))</f>
        <v/>
      </c>
      <c r="J360" s="88">
        <f>IF($G360&lt;&gt;"OK","",$H360*$I360)</f>
        <v/>
      </c>
      <c r="K360" s="82">
        <f>IF($G360&lt;&gt;"OK","",SUMIFS('Sales Log'!$D$7:$D$3006,'Sales Log'!$C$7:$C$3006,$B360,'Sales Log'!$B$7:$B$3006,"&gt;="&amp;cfg_CountDate,'Sales Log'!$N$7:$N$3006,"OK"))</f>
        <v/>
      </c>
      <c r="L360" s="89">
        <f>IF($G360&lt;&gt;"OK","",$H360*$K360)</f>
        <v/>
      </c>
    </row>
    <row r="361" ht="17" customHeight="1">
      <c r="B361" s="60" t="n"/>
      <c r="C361" s="60" t="n"/>
      <c r="D361" s="86" t="n"/>
      <c r="E361" s="60" t="n"/>
      <c r="F361" s="13">
        <f>IF($C361="","",IFERROR(INDEX('Inventory'!$D$7:$D$106,MATCH($C361,'Inventory'!$B$7:$B$106,0))&amp;"","?"))</f>
        <v/>
      </c>
      <c r="G361" s="80">
        <f>IF(AND($B361="",$C361=""),"",IF($B361="","Pick menu item",IF(ISNA(MATCH($B361,'Menu Pricing'!$B$7:$B$56,0)),"Not on Menu Pricing",IF($C361="","Pick ingredient",IF($F361="?","Not in Inventory",IF($F361="","Set stock unit in Inventory",IF(N($D361)&lt;=0,"Enter quantity",IF($E361="","Pick unit",IF(IFERROR(INDEX('Lists'!$C$6:$C$30,MATCH($E361,'Lists'!$B$6:$B$30,0)),"?")&lt;&gt;IFERROR(INDEX('Lists'!$C$6:$C$30,MATCH($F361,'Lists'!$B$6:$B$30,0)),"?"),"Unit mismatch",IF(ISNUMBER(INDEX('Inventory'!$G$7:$G$106,MATCH($C361,'Inventory'!$B$7:$B$106,0))),"OK","Add price in Inventory"))))))))))</f>
        <v/>
      </c>
      <c r="H361" s="87">
        <f>IF($G361&lt;&gt;"OK","",$D361*INDEX('Lists'!$D$6:$D$30,MATCH($E361,'Lists'!$B$6:$B$30,0))/INDEX('Lists'!$D$6:$D$30,MATCH($F361,'Lists'!$B$6:$B$30,0)))</f>
        <v/>
      </c>
      <c r="I361" s="87">
        <f>IF($G361&lt;&gt;"OK","",INDEX('Inventory'!$G$7:$G$106,MATCH($C361,'Inventory'!$B$7:$B$106,0)))</f>
        <v/>
      </c>
      <c r="J361" s="88">
        <f>IF($G361&lt;&gt;"OK","",$H361*$I361)</f>
        <v/>
      </c>
      <c r="K361" s="82">
        <f>IF($G361&lt;&gt;"OK","",SUMIFS('Sales Log'!$D$7:$D$3006,'Sales Log'!$C$7:$C$3006,$B361,'Sales Log'!$B$7:$B$3006,"&gt;="&amp;cfg_CountDate,'Sales Log'!$N$7:$N$3006,"OK"))</f>
        <v/>
      </c>
      <c r="L361" s="89">
        <f>IF($G361&lt;&gt;"OK","",$H361*$K361)</f>
        <v/>
      </c>
    </row>
    <row r="362" ht="17" customHeight="1">
      <c r="B362" s="60" t="n"/>
      <c r="C362" s="60" t="n"/>
      <c r="D362" s="86" t="n"/>
      <c r="E362" s="60" t="n"/>
      <c r="F362" s="13">
        <f>IF($C362="","",IFERROR(INDEX('Inventory'!$D$7:$D$106,MATCH($C362,'Inventory'!$B$7:$B$106,0))&amp;"","?"))</f>
        <v/>
      </c>
      <c r="G362" s="80">
        <f>IF(AND($B362="",$C362=""),"",IF($B362="","Pick menu item",IF(ISNA(MATCH($B362,'Menu Pricing'!$B$7:$B$56,0)),"Not on Menu Pricing",IF($C362="","Pick ingredient",IF($F362="?","Not in Inventory",IF($F362="","Set stock unit in Inventory",IF(N($D362)&lt;=0,"Enter quantity",IF($E362="","Pick unit",IF(IFERROR(INDEX('Lists'!$C$6:$C$30,MATCH($E362,'Lists'!$B$6:$B$30,0)),"?")&lt;&gt;IFERROR(INDEX('Lists'!$C$6:$C$30,MATCH($F362,'Lists'!$B$6:$B$30,0)),"?"),"Unit mismatch",IF(ISNUMBER(INDEX('Inventory'!$G$7:$G$106,MATCH($C362,'Inventory'!$B$7:$B$106,0))),"OK","Add price in Inventory"))))))))))</f>
        <v/>
      </c>
      <c r="H362" s="87">
        <f>IF($G362&lt;&gt;"OK","",$D362*INDEX('Lists'!$D$6:$D$30,MATCH($E362,'Lists'!$B$6:$B$30,0))/INDEX('Lists'!$D$6:$D$30,MATCH($F362,'Lists'!$B$6:$B$30,0)))</f>
        <v/>
      </c>
      <c r="I362" s="87">
        <f>IF($G362&lt;&gt;"OK","",INDEX('Inventory'!$G$7:$G$106,MATCH($C362,'Inventory'!$B$7:$B$106,0)))</f>
        <v/>
      </c>
      <c r="J362" s="88">
        <f>IF($G362&lt;&gt;"OK","",$H362*$I362)</f>
        <v/>
      </c>
      <c r="K362" s="82">
        <f>IF($G362&lt;&gt;"OK","",SUMIFS('Sales Log'!$D$7:$D$3006,'Sales Log'!$C$7:$C$3006,$B362,'Sales Log'!$B$7:$B$3006,"&gt;="&amp;cfg_CountDate,'Sales Log'!$N$7:$N$3006,"OK"))</f>
        <v/>
      </c>
      <c r="L362" s="89">
        <f>IF($G362&lt;&gt;"OK","",$H362*$K362)</f>
        <v/>
      </c>
    </row>
    <row r="363" ht="17" customHeight="1">
      <c r="B363" s="60" t="n"/>
      <c r="C363" s="60" t="n"/>
      <c r="D363" s="86" t="n"/>
      <c r="E363" s="60" t="n"/>
      <c r="F363" s="13">
        <f>IF($C363="","",IFERROR(INDEX('Inventory'!$D$7:$D$106,MATCH($C363,'Inventory'!$B$7:$B$106,0))&amp;"","?"))</f>
        <v/>
      </c>
      <c r="G363" s="80">
        <f>IF(AND($B363="",$C363=""),"",IF($B363="","Pick menu item",IF(ISNA(MATCH($B363,'Menu Pricing'!$B$7:$B$56,0)),"Not on Menu Pricing",IF($C363="","Pick ingredient",IF($F363="?","Not in Inventory",IF($F363="","Set stock unit in Inventory",IF(N($D363)&lt;=0,"Enter quantity",IF($E363="","Pick unit",IF(IFERROR(INDEX('Lists'!$C$6:$C$30,MATCH($E363,'Lists'!$B$6:$B$30,0)),"?")&lt;&gt;IFERROR(INDEX('Lists'!$C$6:$C$30,MATCH($F363,'Lists'!$B$6:$B$30,0)),"?"),"Unit mismatch",IF(ISNUMBER(INDEX('Inventory'!$G$7:$G$106,MATCH($C363,'Inventory'!$B$7:$B$106,0))),"OK","Add price in Inventory"))))))))))</f>
        <v/>
      </c>
      <c r="H363" s="87">
        <f>IF($G363&lt;&gt;"OK","",$D363*INDEX('Lists'!$D$6:$D$30,MATCH($E363,'Lists'!$B$6:$B$30,0))/INDEX('Lists'!$D$6:$D$30,MATCH($F363,'Lists'!$B$6:$B$30,0)))</f>
        <v/>
      </c>
      <c r="I363" s="87">
        <f>IF($G363&lt;&gt;"OK","",INDEX('Inventory'!$G$7:$G$106,MATCH($C363,'Inventory'!$B$7:$B$106,0)))</f>
        <v/>
      </c>
      <c r="J363" s="88">
        <f>IF($G363&lt;&gt;"OK","",$H363*$I363)</f>
        <v/>
      </c>
      <c r="K363" s="82">
        <f>IF($G363&lt;&gt;"OK","",SUMIFS('Sales Log'!$D$7:$D$3006,'Sales Log'!$C$7:$C$3006,$B363,'Sales Log'!$B$7:$B$3006,"&gt;="&amp;cfg_CountDate,'Sales Log'!$N$7:$N$3006,"OK"))</f>
        <v/>
      </c>
      <c r="L363" s="89">
        <f>IF($G363&lt;&gt;"OK","",$H363*$K363)</f>
        <v/>
      </c>
    </row>
    <row r="364" ht="17" customHeight="1">
      <c r="B364" s="60" t="n"/>
      <c r="C364" s="60" t="n"/>
      <c r="D364" s="86" t="n"/>
      <c r="E364" s="60" t="n"/>
      <c r="F364" s="13">
        <f>IF($C364="","",IFERROR(INDEX('Inventory'!$D$7:$D$106,MATCH($C364,'Inventory'!$B$7:$B$106,0))&amp;"","?"))</f>
        <v/>
      </c>
      <c r="G364" s="80">
        <f>IF(AND($B364="",$C364=""),"",IF($B364="","Pick menu item",IF(ISNA(MATCH($B364,'Menu Pricing'!$B$7:$B$56,0)),"Not on Menu Pricing",IF($C364="","Pick ingredient",IF($F364="?","Not in Inventory",IF($F364="","Set stock unit in Inventory",IF(N($D364)&lt;=0,"Enter quantity",IF($E364="","Pick unit",IF(IFERROR(INDEX('Lists'!$C$6:$C$30,MATCH($E364,'Lists'!$B$6:$B$30,0)),"?")&lt;&gt;IFERROR(INDEX('Lists'!$C$6:$C$30,MATCH($F364,'Lists'!$B$6:$B$30,0)),"?"),"Unit mismatch",IF(ISNUMBER(INDEX('Inventory'!$G$7:$G$106,MATCH($C364,'Inventory'!$B$7:$B$106,0))),"OK","Add price in Inventory"))))))))))</f>
        <v/>
      </c>
      <c r="H364" s="87">
        <f>IF($G364&lt;&gt;"OK","",$D364*INDEX('Lists'!$D$6:$D$30,MATCH($E364,'Lists'!$B$6:$B$30,0))/INDEX('Lists'!$D$6:$D$30,MATCH($F364,'Lists'!$B$6:$B$30,0)))</f>
        <v/>
      </c>
      <c r="I364" s="87">
        <f>IF($G364&lt;&gt;"OK","",INDEX('Inventory'!$G$7:$G$106,MATCH($C364,'Inventory'!$B$7:$B$106,0)))</f>
        <v/>
      </c>
      <c r="J364" s="88">
        <f>IF($G364&lt;&gt;"OK","",$H364*$I364)</f>
        <v/>
      </c>
      <c r="K364" s="82">
        <f>IF($G364&lt;&gt;"OK","",SUMIFS('Sales Log'!$D$7:$D$3006,'Sales Log'!$C$7:$C$3006,$B364,'Sales Log'!$B$7:$B$3006,"&gt;="&amp;cfg_CountDate,'Sales Log'!$N$7:$N$3006,"OK"))</f>
        <v/>
      </c>
      <c r="L364" s="89">
        <f>IF($G364&lt;&gt;"OK","",$H364*$K364)</f>
        <v/>
      </c>
    </row>
    <row r="365" ht="17" customHeight="1">
      <c r="B365" s="60" t="n"/>
      <c r="C365" s="60" t="n"/>
      <c r="D365" s="86" t="n"/>
      <c r="E365" s="60" t="n"/>
      <c r="F365" s="13">
        <f>IF($C365="","",IFERROR(INDEX('Inventory'!$D$7:$D$106,MATCH($C365,'Inventory'!$B$7:$B$106,0))&amp;"","?"))</f>
        <v/>
      </c>
      <c r="G365" s="80">
        <f>IF(AND($B365="",$C365=""),"",IF($B365="","Pick menu item",IF(ISNA(MATCH($B365,'Menu Pricing'!$B$7:$B$56,0)),"Not on Menu Pricing",IF($C365="","Pick ingredient",IF($F365="?","Not in Inventory",IF($F365="","Set stock unit in Inventory",IF(N($D365)&lt;=0,"Enter quantity",IF($E365="","Pick unit",IF(IFERROR(INDEX('Lists'!$C$6:$C$30,MATCH($E365,'Lists'!$B$6:$B$30,0)),"?")&lt;&gt;IFERROR(INDEX('Lists'!$C$6:$C$30,MATCH($F365,'Lists'!$B$6:$B$30,0)),"?"),"Unit mismatch",IF(ISNUMBER(INDEX('Inventory'!$G$7:$G$106,MATCH($C365,'Inventory'!$B$7:$B$106,0))),"OK","Add price in Inventory"))))))))))</f>
        <v/>
      </c>
      <c r="H365" s="87">
        <f>IF($G365&lt;&gt;"OK","",$D365*INDEX('Lists'!$D$6:$D$30,MATCH($E365,'Lists'!$B$6:$B$30,0))/INDEX('Lists'!$D$6:$D$30,MATCH($F365,'Lists'!$B$6:$B$30,0)))</f>
        <v/>
      </c>
      <c r="I365" s="87">
        <f>IF($G365&lt;&gt;"OK","",INDEX('Inventory'!$G$7:$G$106,MATCH($C365,'Inventory'!$B$7:$B$106,0)))</f>
        <v/>
      </c>
      <c r="J365" s="88">
        <f>IF($G365&lt;&gt;"OK","",$H365*$I365)</f>
        <v/>
      </c>
      <c r="K365" s="82">
        <f>IF($G365&lt;&gt;"OK","",SUMIFS('Sales Log'!$D$7:$D$3006,'Sales Log'!$C$7:$C$3006,$B365,'Sales Log'!$B$7:$B$3006,"&gt;="&amp;cfg_CountDate,'Sales Log'!$N$7:$N$3006,"OK"))</f>
        <v/>
      </c>
      <c r="L365" s="89">
        <f>IF($G365&lt;&gt;"OK","",$H365*$K365)</f>
        <v/>
      </c>
    </row>
    <row r="366" ht="17" customHeight="1">
      <c r="B366" s="60" t="n"/>
      <c r="C366" s="60" t="n"/>
      <c r="D366" s="86" t="n"/>
      <c r="E366" s="60" t="n"/>
      <c r="F366" s="13">
        <f>IF($C366="","",IFERROR(INDEX('Inventory'!$D$7:$D$106,MATCH($C366,'Inventory'!$B$7:$B$106,0))&amp;"","?"))</f>
        <v/>
      </c>
      <c r="G366" s="80">
        <f>IF(AND($B366="",$C366=""),"",IF($B366="","Pick menu item",IF(ISNA(MATCH($B366,'Menu Pricing'!$B$7:$B$56,0)),"Not on Menu Pricing",IF($C366="","Pick ingredient",IF($F366="?","Not in Inventory",IF($F366="","Set stock unit in Inventory",IF(N($D366)&lt;=0,"Enter quantity",IF($E366="","Pick unit",IF(IFERROR(INDEX('Lists'!$C$6:$C$30,MATCH($E366,'Lists'!$B$6:$B$30,0)),"?")&lt;&gt;IFERROR(INDEX('Lists'!$C$6:$C$30,MATCH($F366,'Lists'!$B$6:$B$30,0)),"?"),"Unit mismatch",IF(ISNUMBER(INDEX('Inventory'!$G$7:$G$106,MATCH($C366,'Inventory'!$B$7:$B$106,0))),"OK","Add price in Inventory"))))))))))</f>
        <v/>
      </c>
      <c r="H366" s="87">
        <f>IF($G366&lt;&gt;"OK","",$D366*INDEX('Lists'!$D$6:$D$30,MATCH($E366,'Lists'!$B$6:$B$30,0))/INDEX('Lists'!$D$6:$D$30,MATCH($F366,'Lists'!$B$6:$B$30,0)))</f>
        <v/>
      </c>
      <c r="I366" s="87">
        <f>IF($G366&lt;&gt;"OK","",INDEX('Inventory'!$G$7:$G$106,MATCH($C366,'Inventory'!$B$7:$B$106,0)))</f>
        <v/>
      </c>
      <c r="J366" s="88">
        <f>IF($G366&lt;&gt;"OK","",$H366*$I366)</f>
        <v/>
      </c>
      <c r="K366" s="82">
        <f>IF($G366&lt;&gt;"OK","",SUMIFS('Sales Log'!$D$7:$D$3006,'Sales Log'!$C$7:$C$3006,$B366,'Sales Log'!$B$7:$B$3006,"&gt;="&amp;cfg_CountDate,'Sales Log'!$N$7:$N$3006,"OK"))</f>
        <v/>
      </c>
      <c r="L366" s="89">
        <f>IF($G366&lt;&gt;"OK","",$H366*$K366)</f>
        <v/>
      </c>
    </row>
    <row r="367" ht="17" customHeight="1">
      <c r="B367" s="60" t="n"/>
      <c r="C367" s="60" t="n"/>
      <c r="D367" s="86" t="n"/>
      <c r="E367" s="60" t="n"/>
      <c r="F367" s="13">
        <f>IF($C367="","",IFERROR(INDEX('Inventory'!$D$7:$D$106,MATCH($C367,'Inventory'!$B$7:$B$106,0))&amp;"","?"))</f>
        <v/>
      </c>
      <c r="G367" s="80">
        <f>IF(AND($B367="",$C367=""),"",IF($B367="","Pick menu item",IF(ISNA(MATCH($B367,'Menu Pricing'!$B$7:$B$56,0)),"Not on Menu Pricing",IF($C367="","Pick ingredient",IF($F367="?","Not in Inventory",IF($F367="","Set stock unit in Inventory",IF(N($D367)&lt;=0,"Enter quantity",IF($E367="","Pick unit",IF(IFERROR(INDEX('Lists'!$C$6:$C$30,MATCH($E367,'Lists'!$B$6:$B$30,0)),"?")&lt;&gt;IFERROR(INDEX('Lists'!$C$6:$C$30,MATCH($F367,'Lists'!$B$6:$B$30,0)),"?"),"Unit mismatch",IF(ISNUMBER(INDEX('Inventory'!$G$7:$G$106,MATCH($C367,'Inventory'!$B$7:$B$106,0))),"OK","Add price in Inventory"))))))))))</f>
        <v/>
      </c>
      <c r="H367" s="87">
        <f>IF($G367&lt;&gt;"OK","",$D367*INDEX('Lists'!$D$6:$D$30,MATCH($E367,'Lists'!$B$6:$B$30,0))/INDEX('Lists'!$D$6:$D$30,MATCH($F367,'Lists'!$B$6:$B$30,0)))</f>
        <v/>
      </c>
      <c r="I367" s="87">
        <f>IF($G367&lt;&gt;"OK","",INDEX('Inventory'!$G$7:$G$106,MATCH($C367,'Inventory'!$B$7:$B$106,0)))</f>
        <v/>
      </c>
      <c r="J367" s="88">
        <f>IF($G367&lt;&gt;"OK","",$H367*$I367)</f>
        <v/>
      </c>
      <c r="K367" s="82">
        <f>IF($G367&lt;&gt;"OK","",SUMIFS('Sales Log'!$D$7:$D$3006,'Sales Log'!$C$7:$C$3006,$B367,'Sales Log'!$B$7:$B$3006,"&gt;="&amp;cfg_CountDate,'Sales Log'!$N$7:$N$3006,"OK"))</f>
        <v/>
      </c>
      <c r="L367" s="89">
        <f>IF($G367&lt;&gt;"OK","",$H367*$K367)</f>
        <v/>
      </c>
    </row>
    <row r="368" ht="17" customHeight="1">
      <c r="B368" s="60" t="n"/>
      <c r="C368" s="60" t="n"/>
      <c r="D368" s="86" t="n"/>
      <c r="E368" s="60" t="n"/>
      <c r="F368" s="13">
        <f>IF($C368="","",IFERROR(INDEX('Inventory'!$D$7:$D$106,MATCH($C368,'Inventory'!$B$7:$B$106,0))&amp;"","?"))</f>
        <v/>
      </c>
      <c r="G368" s="80">
        <f>IF(AND($B368="",$C368=""),"",IF($B368="","Pick menu item",IF(ISNA(MATCH($B368,'Menu Pricing'!$B$7:$B$56,0)),"Not on Menu Pricing",IF($C368="","Pick ingredient",IF($F368="?","Not in Inventory",IF($F368="","Set stock unit in Inventory",IF(N($D368)&lt;=0,"Enter quantity",IF($E368="","Pick unit",IF(IFERROR(INDEX('Lists'!$C$6:$C$30,MATCH($E368,'Lists'!$B$6:$B$30,0)),"?")&lt;&gt;IFERROR(INDEX('Lists'!$C$6:$C$30,MATCH($F368,'Lists'!$B$6:$B$30,0)),"?"),"Unit mismatch",IF(ISNUMBER(INDEX('Inventory'!$G$7:$G$106,MATCH($C368,'Inventory'!$B$7:$B$106,0))),"OK","Add price in Inventory"))))))))))</f>
        <v/>
      </c>
      <c r="H368" s="87">
        <f>IF($G368&lt;&gt;"OK","",$D368*INDEX('Lists'!$D$6:$D$30,MATCH($E368,'Lists'!$B$6:$B$30,0))/INDEX('Lists'!$D$6:$D$30,MATCH($F368,'Lists'!$B$6:$B$30,0)))</f>
        <v/>
      </c>
      <c r="I368" s="87">
        <f>IF($G368&lt;&gt;"OK","",INDEX('Inventory'!$G$7:$G$106,MATCH($C368,'Inventory'!$B$7:$B$106,0)))</f>
        <v/>
      </c>
      <c r="J368" s="88">
        <f>IF($G368&lt;&gt;"OK","",$H368*$I368)</f>
        <v/>
      </c>
      <c r="K368" s="82">
        <f>IF($G368&lt;&gt;"OK","",SUMIFS('Sales Log'!$D$7:$D$3006,'Sales Log'!$C$7:$C$3006,$B368,'Sales Log'!$B$7:$B$3006,"&gt;="&amp;cfg_CountDate,'Sales Log'!$N$7:$N$3006,"OK"))</f>
        <v/>
      </c>
      <c r="L368" s="89">
        <f>IF($G368&lt;&gt;"OK","",$H368*$K368)</f>
        <v/>
      </c>
    </row>
    <row r="369" ht="17" customHeight="1">
      <c r="B369" s="60" t="n"/>
      <c r="C369" s="60" t="n"/>
      <c r="D369" s="86" t="n"/>
      <c r="E369" s="60" t="n"/>
      <c r="F369" s="13">
        <f>IF($C369="","",IFERROR(INDEX('Inventory'!$D$7:$D$106,MATCH($C369,'Inventory'!$B$7:$B$106,0))&amp;"","?"))</f>
        <v/>
      </c>
      <c r="G369" s="80">
        <f>IF(AND($B369="",$C369=""),"",IF($B369="","Pick menu item",IF(ISNA(MATCH($B369,'Menu Pricing'!$B$7:$B$56,0)),"Not on Menu Pricing",IF($C369="","Pick ingredient",IF($F369="?","Not in Inventory",IF($F369="","Set stock unit in Inventory",IF(N($D369)&lt;=0,"Enter quantity",IF($E369="","Pick unit",IF(IFERROR(INDEX('Lists'!$C$6:$C$30,MATCH($E369,'Lists'!$B$6:$B$30,0)),"?")&lt;&gt;IFERROR(INDEX('Lists'!$C$6:$C$30,MATCH($F369,'Lists'!$B$6:$B$30,0)),"?"),"Unit mismatch",IF(ISNUMBER(INDEX('Inventory'!$G$7:$G$106,MATCH($C369,'Inventory'!$B$7:$B$106,0))),"OK","Add price in Inventory"))))))))))</f>
        <v/>
      </c>
      <c r="H369" s="87">
        <f>IF($G369&lt;&gt;"OK","",$D369*INDEX('Lists'!$D$6:$D$30,MATCH($E369,'Lists'!$B$6:$B$30,0))/INDEX('Lists'!$D$6:$D$30,MATCH($F369,'Lists'!$B$6:$B$30,0)))</f>
        <v/>
      </c>
      <c r="I369" s="87">
        <f>IF($G369&lt;&gt;"OK","",INDEX('Inventory'!$G$7:$G$106,MATCH($C369,'Inventory'!$B$7:$B$106,0)))</f>
        <v/>
      </c>
      <c r="J369" s="88">
        <f>IF($G369&lt;&gt;"OK","",$H369*$I369)</f>
        <v/>
      </c>
      <c r="K369" s="82">
        <f>IF($G369&lt;&gt;"OK","",SUMIFS('Sales Log'!$D$7:$D$3006,'Sales Log'!$C$7:$C$3006,$B369,'Sales Log'!$B$7:$B$3006,"&gt;="&amp;cfg_CountDate,'Sales Log'!$N$7:$N$3006,"OK"))</f>
        <v/>
      </c>
      <c r="L369" s="89">
        <f>IF($G369&lt;&gt;"OK","",$H369*$K369)</f>
        <v/>
      </c>
    </row>
    <row r="370" ht="17" customHeight="1">
      <c r="B370" s="60" t="n"/>
      <c r="C370" s="60" t="n"/>
      <c r="D370" s="86" t="n"/>
      <c r="E370" s="60" t="n"/>
      <c r="F370" s="13">
        <f>IF($C370="","",IFERROR(INDEX('Inventory'!$D$7:$D$106,MATCH($C370,'Inventory'!$B$7:$B$106,0))&amp;"","?"))</f>
        <v/>
      </c>
      <c r="G370" s="80">
        <f>IF(AND($B370="",$C370=""),"",IF($B370="","Pick menu item",IF(ISNA(MATCH($B370,'Menu Pricing'!$B$7:$B$56,0)),"Not on Menu Pricing",IF($C370="","Pick ingredient",IF($F370="?","Not in Inventory",IF($F370="","Set stock unit in Inventory",IF(N($D370)&lt;=0,"Enter quantity",IF($E370="","Pick unit",IF(IFERROR(INDEX('Lists'!$C$6:$C$30,MATCH($E370,'Lists'!$B$6:$B$30,0)),"?")&lt;&gt;IFERROR(INDEX('Lists'!$C$6:$C$30,MATCH($F370,'Lists'!$B$6:$B$30,0)),"?"),"Unit mismatch",IF(ISNUMBER(INDEX('Inventory'!$G$7:$G$106,MATCH($C370,'Inventory'!$B$7:$B$106,0))),"OK","Add price in Inventory"))))))))))</f>
        <v/>
      </c>
      <c r="H370" s="87">
        <f>IF($G370&lt;&gt;"OK","",$D370*INDEX('Lists'!$D$6:$D$30,MATCH($E370,'Lists'!$B$6:$B$30,0))/INDEX('Lists'!$D$6:$D$30,MATCH($F370,'Lists'!$B$6:$B$30,0)))</f>
        <v/>
      </c>
      <c r="I370" s="87">
        <f>IF($G370&lt;&gt;"OK","",INDEX('Inventory'!$G$7:$G$106,MATCH($C370,'Inventory'!$B$7:$B$106,0)))</f>
        <v/>
      </c>
      <c r="J370" s="88">
        <f>IF($G370&lt;&gt;"OK","",$H370*$I370)</f>
        <v/>
      </c>
      <c r="K370" s="82">
        <f>IF($G370&lt;&gt;"OK","",SUMIFS('Sales Log'!$D$7:$D$3006,'Sales Log'!$C$7:$C$3006,$B370,'Sales Log'!$B$7:$B$3006,"&gt;="&amp;cfg_CountDate,'Sales Log'!$N$7:$N$3006,"OK"))</f>
        <v/>
      </c>
      <c r="L370" s="89">
        <f>IF($G370&lt;&gt;"OK","",$H370*$K370)</f>
        <v/>
      </c>
    </row>
    <row r="371" ht="17" customHeight="1">
      <c r="B371" s="60" t="n"/>
      <c r="C371" s="60" t="n"/>
      <c r="D371" s="86" t="n"/>
      <c r="E371" s="60" t="n"/>
      <c r="F371" s="13">
        <f>IF($C371="","",IFERROR(INDEX('Inventory'!$D$7:$D$106,MATCH($C371,'Inventory'!$B$7:$B$106,0))&amp;"","?"))</f>
        <v/>
      </c>
      <c r="G371" s="80">
        <f>IF(AND($B371="",$C371=""),"",IF($B371="","Pick menu item",IF(ISNA(MATCH($B371,'Menu Pricing'!$B$7:$B$56,0)),"Not on Menu Pricing",IF($C371="","Pick ingredient",IF($F371="?","Not in Inventory",IF($F371="","Set stock unit in Inventory",IF(N($D371)&lt;=0,"Enter quantity",IF($E371="","Pick unit",IF(IFERROR(INDEX('Lists'!$C$6:$C$30,MATCH($E371,'Lists'!$B$6:$B$30,0)),"?")&lt;&gt;IFERROR(INDEX('Lists'!$C$6:$C$30,MATCH($F371,'Lists'!$B$6:$B$30,0)),"?"),"Unit mismatch",IF(ISNUMBER(INDEX('Inventory'!$G$7:$G$106,MATCH($C371,'Inventory'!$B$7:$B$106,0))),"OK","Add price in Inventory"))))))))))</f>
        <v/>
      </c>
      <c r="H371" s="87">
        <f>IF($G371&lt;&gt;"OK","",$D371*INDEX('Lists'!$D$6:$D$30,MATCH($E371,'Lists'!$B$6:$B$30,0))/INDEX('Lists'!$D$6:$D$30,MATCH($F371,'Lists'!$B$6:$B$30,0)))</f>
        <v/>
      </c>
      <c r="I371" s="87">
        <f>IF($G371&lt;&gt;"OK","",INDEX('Inventory'!$G$7:$G$106,MATCH($C371,'Inventory'!$B$7:$B$106,0)))</f>
        <v/>
      </c>
      <c r="J371" s="88">
        <f>IF($G371&lt;&gt;"OK","",$H371*$I371)</f>
        <v/>
      </c>
      <c r="K371" s="82">
        <f>IF($G371&lt;&gt;"OK","",SUMIFS('Sales Log'!$D$7:$D$3006,'Sales Log'!$C$7:$C$3006,$B371,'Sales Log'!$B$7:$B$3006,"&gt;="&amp;cfg_CountDate,'Sales Log'!$N$7:$N$3006,"OK"))</f>
        <v/>
      </c>
      <c r="L371" s="89">
        <f>IF($G371&lt;&gt;"OK","",$H371*$K371)</f>
        <v/>
      </c>
    </row>
    <row r="372" ht="17" customHeight="1">
      <c r="B372" s="60" t="n"/>
      <c r="C372" s="60" t="n"/>
      <c r="D372" s="86" t="n"/>
      <c r="E372" s="60" t="n"/>
      <c r="F372" s="13">
        <f>IF($C372="","",IFERROR(INDEX('Inventory'!$D$7:$D$106,MATCH($C372,'Inventory'!$B$7:$B$106,0))&amp;"","?"))</f>
        <v/>
      </c>
      <c r="G372" s="80">
        <f>IF(AND($B372="",$C372=""),"",IF($B372="","Pick menu item",IF(ISNA(MATCH($B372,'Menu Pricing'!$B$7:$B$56,0)),"Not on Menu Pricing",IF($C372="","Pick ingredient",IF($F372="?","Not in Inventory",IF($F372="","Set stock unit in Inventory",IF(N($D372)&lt;=0,"Enter quantity",IF($E372="","Pick unit",IF(IFERROR(INDEX('Lists'!$C$6:$C$30,MATCH($E372,'Lists'!$B$6:$B$30,0)),"?")&lt;&gt;IFERROR(INDEX('Lists'!$C$6:$C$30,MATCH($F372,'Lists'!$B$6:$B$30,0)),"?"),"Unit mismatch",IF(ISNUMBER(INDEX('Inventory'!$G$7:$G$106,MATCH($C372,'Inventory'!$B$7:$B$106,0))),"OK","Add price in Inventory"))))))))))</f>
        <v/>
      </c>
      <c r="H372" s="87">
        <f>IF($G372&lt;&gt;"OK","",$D372*INDEX('Lists'!$D$6:$D$30,MATCH($E372,'Lists'!$B$6:$B$30,0))/INDEX('Lists'!$D$6:$D$30,MATCH($F372,'Lists'!$B$6:$B$30,0)))</f>
        <v/>
      </c>
      <c r="I372" s="87">
        <f>IF($G372&lt;&gt;"OK","",INDEX('Inventory'!$G$7:$G$106,MATCH($C372,'Inventory'!$B$7:$B$106,0)))</f>
        <v/>
      </c>
      <c r="J372" s="88">
        <f>IF($G372&lt;&gt;"OK","",$H372*$I372)</f>
        <v/>
      </c>
      <c r="K372" s="82">
        <f>IF($G372&lt;&gt;"OK","",SUMIFS('Sales Log'!$D$7:$D$3006,'Sales Log'!$C$7:$C$3006,$B372,'Sales Log'!$B$7:$B$3006,"&gt;="&amp;cfg_CountDate,'Sales Log'!$N$7:$N$3006,"OK"))</f>
        <v/>
      </c>
      <c r="L372" s="89">
        <f>IF($G372&lt;&gt;"OK","",$H372*$K372)</f>
        <v/>
      </c>
    </row>
    <row r="373" ht="17" customHeight="1">
      <c r="B373" s="60" t="n"/>
      <c r="C373" s="60" t="n"/>
      <c r="D373" s="86" t="n"/>
      <c r="E373" s="60" t="n"/>
      <c r="F373" s="13">
        <f>IF($C373="","",IFERROR(INDEX('Inventory'!$D$7:$D$106,MATCH($C373,'Inventory'!$B$7:$B$106,0))&amp;"","?"))</f>
        <v/>
      </c>
      <c r="G373" s="80">
        <f>IF(AND($B373="",$C373=""),"",IF($B373="","Pick menu item",IF(ISNA(MATCH($B373,'Menu Pricing'!$B$7:$B$56,0)),"Not on Menu Pricing",IF($C373="","Pick ingredient",IF($F373="?","Not in Inventory",IF($F373="","Set stock unit in Inventory",IF(N($D373)&lt;=0,"Enter quantity",IF($E373="","Pick unit",IF(IFERROR(INDEX('Lists'!$C$6:$C$30,MATCH($E373,'Lists'!$B$6:$B$30,0)),"?")&lt;&gt;IFERROR(INDEX('Lists'!$C$6:$C$30,MATCH($F373,'Lists'!$B$6:$B$30,0)),"?"),"Unit mismatch",IF(ISNUMBER(INDEX('Inventory'!$G$7:$G$106,MATCH($C373,'Inventory'!$B$7:$B$106,0))),"OK","Add price in Inventory"))))))))))</f>
        <v/>
      </c>
      <c r="H373" s="87">
        <f>IF($G373&lt;&gt;"OK","",$D373*INDEX('Lists'!$D$6:$D$30,MATCH($E373,'Lists'!$B$6:$B$30,0))/INDEX('Lists'!$D$6:$D$30,MATCH($F373,'Lists'!$B$6:$B$30,0)))</f>
        <v/>
      </c>
      <c r="I373" s="87">
        <f>IF($G373&lt;&gt;"OK","",INDEX('Inventory'!$G$7:$G$106,MATCH($C373,'Inventory'!$B$7:$B$106,0)))</f>
        <v/>
      </c>
      <c r="J373" s="88">
        <f>IF($G373&lt;&gt;"OK","",$H373*$I373)</f>
        <v/>
      </c>
      <c r="K373" s="82">
        <f>IF($G373&lt;&gt;"OK","",SUMIFS('Sales Log'!$D$7:$D$3006,'Sales Log'!$C$7:$C$3006,$B373,'Sales Log'!$B$7:$B$3006,"&gt;="&amp;cfg_CountDate,'Sales Log'!$N$7:$N$3006,"OK"))</f>
        <v/>
      </c>
      <c r="L373" s="89">
        <f>IF($G373&lt;&gt;"OK","",$H373*$K373)</f>
        <v/>
      </c>
    </row>
    <row r="374" ht="17" customHeight="1">
      <c r="B374" s="60" t="n"/>
      <c r="C374" s="60" t="n"/>
      <c r="D374" s="86" t="n"/>
      <c r="E374" s="60" t="n"/>
      <c r="F374" s="13">
        <f>IF($C374="","",IFERROR(INDEX('Inventory'!$D$7:$D$106,MATCH($C374,'Inventory'!$B$7:$B$106,0))&amp;"","?"))</f>
        <v/>
      </c>
      <c r="G374" s="80">
        <f>IF(AND($B374="",$C374=""),"",IF($B374="","Pick menu item",IF(ISNA(MATCH($B374,'Menu Pricing'!$B$7:$B$56,0)),"Not on Menu Pricing",IF($C374="","Pick ingredient",IF($F374="?","Not in Inventory",IF($F374="","Set stock unit in Inventory",IF(N($D374)&lt;=0,"Enter quantity",IF($E374="","Pick unit",IF(IFERROR(INDEX('Lists'!$C$6:$C$30,MATCH($E374,'Lists'!$B$6:$B$30,0)),"?")&lt;&gt;IFERROR(INDEX('Lists'!$C$6:$C$30,MATCH($F374,'Lists'!$B$6:$B$30,0)),"?"),"Unit mismatch",IF(ISNUMBER(INDEX('Inventory'!$G$7:$G$106,MATCH($C374,'Inventory'!$B$7:$B$106,0))),"OK","Add price in Inventory"))))))))))</f>
        <v/>
      </c>
      <c r="H374" s="87">
        <f>IF($G374&lt;&gt;"OK","",$D374*INDEX('Lists'!$D$6:$D$30,MATCH($E374,'Lists'!$B$6:$B$30,0))/INDEX('Lists'!$D$6:$D$30,MATCH($F374,'Lists'!$B$6:$B$30,0)))</f>
        <v/>
      </c>
      <c r="I374" s="87">
        <f>IF($G374&lt;&gt;"OK","",INDEX('Inventory'!$G$7:$G$106,MATCH($C374,'Inventory'!$B$7:$B$106,0)))</f>
        <v/>
      </c>
      <c r="J374" s="88">
        <f>IF($G374&lt;&gt;"OK","",$H374*$I374)</f>
        <v/>
      </c>
      <c r="K374" s="82">
        <f>IF($G374&lt;&gt;"OK","",SUMIFS('Sales Log'!$D$7:$D$3006,'Sales Log'!$C$7:$C$3006,$B374,'Sales Log'!$B$7:$B$3006,"&gt;="&amp;cfg_CountDate,'Sales Log'!$N$7:$N$3006,"OK"))</f>
        <v/>
      </c>
      <c r="L374" s="89">
        <f>IF($G374&lt;&gt;"OK","",$H374*$K374)</f>
        <v/>
      </c>
    </row>
    <row r="375" ht="17" customHeight="1">
      <c r="B375" s="60" t="n"/>
      <c r="C375" s="60" t="n"/>
      <c r="D375" s="86" t="n"/>
      <c r="E375" s="60" t="n"/>
      <c r="F375" s="13">
        <f>IF($C375="","",IFERROR(INDEX('Inventory'!$D$7:$D$106,MATCH($C375,'Inventory'!$B$7:$B$106,0))&amp;"","?"))</f>
        <v/>
      </c>
      <c r="G375" s="80">
        <f>IF(AND($B375="",$C375=""),"",IF($B375="","Pick menu item",IF(ISNA(MATCH($B375,'Menu Pricing'!$B$7:$B$56,0)),"Not on Menu Pricing",IF($C375="","Pick ingredient",IF($F375="?","Not in Inventory",IF($F375="","Set stock unit in Inventory",IF(N($D375)&lt;=0,"Enter quantity",IF($E375="","Pick unit",IF(IFERROR(INDEX('Lists'!$C$6:$C$30,MATCH($E375,'Lists'!$B$6:$B$30,0)),"?")&lt;&gt;IFERROR(INDEX('Lists'!$C$6:$C$30,MATCH($F375,'Lists'!$B$6:$B$30,0)),"?"),"Unit mismatch",IF(ISNUMBER(INDEX('Inventory'!$G$7:$G$106,MATCH($C375,'Inventory'!$B$7:$B$106,0))),"OK","Add price in Inventory"))))))))))</f>
        <v/>
      </c>
      <c r="H375" s="87">
        <f>IF($G375&lt;&gt;"OK","",$D375*INDEX('Lists'!$D$6:$D$30,MATCH($E375,'Lists'!$B$6:$B$30,0))/INDEX('Lists'!$D$6:$D$30,MATCH($F375,'Lists'!$B$6:$B$30,0)))</f>
        <v/>
      </c>
      <c r="I375" s="87">
        <f>IF($G375&lt;&gt;"OK","",INDEX('Inventory'!$G$7:$G$106,MATCH($C375,'Inventory'!$B$7:$B$106,0)))</f>
        <v/>
      </c>
      <c r="J375" s="88">
        <f>IF($G375&lt;&gt;"OK","",$H375*$I375)</f>
        <v/>
      </c>
      <c r="K375" s="82">
        <f>IF($G375&lt;&gt;"OK","",SUMIFS('Sales Log'!$D$7:$D$3006,'Sales Log'!$C$7:$C$3006,$B375,'Sales Log'!$B$7:$B$3006,"&gt;="&amp;cfg_CountDate,'Sales Log'!$N$7:$N$3006,"OK"))</f>
        <v/>
      </c>
      <c r="L375" s="89">
        <f>IF($G375&lt;&gt;"OK","",$H375*$K375)</f>
        <v/>
      </c>
    </row>
    <row r="376" ht="17" customHeight="1">
      <c r="B376" s="60" t="n"/>
      <c r="C376" s="60" t="n"/>
      <c r="D376" s="86" t="n"/>
      <c r="E376" s="60" t="n"/>
      <c r="F376" s="13">
        <f>IF($C376="","",IFERROR(INDEX('Inventory'!$D$7:$D$106,MATCH($C376,'Inventory'!$B$7:$B$106,0))&amp;"","?"))</f>
        <v/>
      </c>
      <c r="G376" s="80">
        <f>IF(AND($B376="",$C376=""),"",IF($B376="","Pick menu item",IF(ISNA(MATCH($B376,'Menu Pricing'!$B$7:$B$56,0)),"Not on Menu Pricing",IF($C376="","Pick ingredient",IF($F376="?","Not in Inventory",IF($F376="","Set stock unit in Inventory",IF(N($D376)&lt;=0,"Enter quantity",IF($E376="","Pick unit",IF(IFERROR(INDEX('Lists'!$C$6:$C$30,MATCH($E376,'Lists'!$B$6:$B$30,0)),"?")&lt;&gt;IFERROR(INDEX('Lists'!$C$6:$C$30,MATCH($F376,'Lists'!$B$6:$B$30,0)),"?"),"Unit mismatch",IF(ISNUMBER(INDEX('Inventory'!$G$7:$G$106,MATCH($C376,'Inventory'!$B$7:$B$106,0))),"OK","Add price in Inventory"))))))))))</f>
        <v/>
      </c>
      <c r="H376" s="87">
        <f>IF($G376&lt;&gt;"OK","",$D376*INDEX('Lists'!$D$6:$D$30,MATCH($E376,'Lists'!$B$6:$B$30,0))/INDEX('Lists'!$D$6:$D$30,MATCH($F376,'Lists'!$B$6:$B$30,0)))</f>
        <v/>
      </c>
      <c r="I376" s="87">
        <f>IF($G376&lt;&gt;"OK","",INDEX('Inventory'!$G$7:$G$106,MATCH($C376,'Inventory'!$B$7:$B$106,0)))</f>
        <v/>
      </c>
      <c r="J376" s="88">
        <f>IF($G376&lt;&gt;"OK","",$H376*$I376)</f>
        <v/>
      </c>
      <c r="K376" s="82">
        <f>IF($G376&lt;&gt;"OK","",SUMIFS('Sales Log'!$D$7:$D$3006,'Sales Log'!$C$7:$C$3006,$B376,'Sales Log'!$B$7:$B$3006,"&gt;="&amp;cfg_CountDate,'Sales Log'!$N$7:$N$3006,"OK"))</f>
        <v/>
      </c>
      <c r="L376" s="89">
        <f>IF($G376&lt;&gt;"OK","",$H376*$K376)</f>
        <v/>
      </c>
    </row>
    <row r="377" ht="17" customHeight="1">
      <c r="B377" s="60" t="n"/>
      <c r="C377" s="60" t="n"/>
      <c r="D377" s="86" t="n"/>
      <c r="E377" s="60" t="n"/>
      <c r="F377" s="13">
        <f>IF($C377="","",IFERROR(INDEX('Inventory'!$D$7:$D$106,MATCH($C377,'Inventory'!$B$7:$B$106,0))&amp;"","?"))</f>
        <v/>
      </c>
      <c r="G377" s="80">
        <f>IF(AND($B377="",$C377=""),"",IF($B377="","Pick menu item",IF(ISNA(MATCH($B377,'Menu Pricing'!$B$7:$B$56,0)),"Not on Menu Pricing",IF($C377="","Pick ingredient",IF($F377="?","Not in Inventory",IF($F377="","Set stock unit in Inventory",IF(N($D377)&lt;=0,"Enter quantity",IF($E377="","Pick unit",IF(IFERROR(INDEX('Lists'!$C$6:$C$30,MATCH($E377,'Lists'!$B$6:$B$30,0)),"?")&lt;&gt;IFERROR(INDEX('Lists'!$C$6:$C$30,MATCH($F377,'Lists'!$B$6:$B$30,0)),"?"),"Unit mismatch",IF(ISNUMBER(INDEX('Inventory'!$G$7:$G$106,MATCH($C377,'Inventory'!$B$7:$B$106,0))),"OK","Add price in Inventory"))))))))))</f>
        <v/>
      </c>
      <c r="H377" s="87">
        <f>IF($G377&lt;&gt;"OK","",$D377*INDEX('Lists'!$D$6:$D$30,MATCH($E377,'Lists'!$B$6:$B$30,0))/INDEX('Lists'!$D$6:$D$30,MATCH($F377,'Lists'!$B$6:$B$30,0)))</f>
        <v/>
      </c>
      <c r="I377" s="87">
        <f>IF($G377&lt;&gt;"OK","",INDEX('Inventory'!$G$7:$G$106,MATCH($C377,'Inventory'!$B$7:$B$106,0)))</f>
        <v/>
      </c>
      <c r="J377" s="88">
        <f>IF($G377&lt;&gt;"OK","",$H377*$I377)</f>
        <v/>
      </c>
      <c r="K377" s="82">
        <f>IF($G377&lt;&gt;"OK","",SUMIFS('Sales Log'!$D$7:$D$3006,'Sales Log'!$C$7:$C$3006,$B377,'Sales Log'!$B$7:$B$3006,"&gt;="&amp;cfg_CountDate,'Sales Log'!$N$7:$N$3006,"OK"))</f>
        <v/>
      </c>
      <c r="L377" s="89">
        <f>IF($G377&lt;&gt;"OK","",$H377*$K377)</f>
        <v/>
      </c>
    </row>
    <row r="378" ht="17" customHeight="1">
      <c r="B378" s="60" t="n"/>
      <c r="C378" s="60" t="n"/>
      <c r="D378" s="86" t="n"/>
      <c r="E378" s="60" t="n"/>
      <c r="F378" s="13">
        <f>IF($C378="","",IFERROR(INDEX('Inventory'!$D$7:$D$106,MATCH($C378,'Inventory'!$B$7:$B$106,0))&amp;"","?"))</f>
        <v/>
      </c>
      <c r="G378" s="80">
        <f>IF(AND($B378="",$C378=""),"",IF($B378="","Pick menu item",IF(ISNA(MATCH($B378,'Menu Pricing'!$B$7:$B$56,0)),"Not on Menu Pricing",IF($C378="","Pick ingredient",IF($F378="?","Not in Inventory",IF($F378="","Set stock unit in Inventory",IF(N($D378)&lt;=0,"Enter quantity",IF($E378="","Pick unit",IF(IFERROR(INDEX('Lists'!$C$6:$C$30,MATCH($E378,'Lists'!$B$6:$B$30,0)),"?")&lt;&gt;IFERROR(INDEX('Lists'!$C$6:$C$30,MATCH($F378,'Lists'!$B$6:$B$30,0)),"?"),"Unit mismatch",IF(ISNUMBER(INDEX('Inventory'!$G$7:$G$106,MATCH($C378,'Inventory'!$B$7:$B$106,0))),"OK","Add price in Inventory"))))))))))</f>
        <v/>
      </c>
      <c r="H378" s="87">
        <f>IF($G378&lt;&gt;"OK","",$D378*INDEX('Lists'!$D$6:$D$30,MATCH($E378,'Lists'!$B$6:$B$30,0))/INDEX('Lists'!$D$6:$D$30,MATCH($F378,'Lists'!$B$6:$B$30,0)))</f>
        <v/>
      </c>
      <c r="I378" s="87">
        <f>IF($G378&lt;&gt;"OK","",INDEX('Inventory'!$G$7:$G$106,MATCH($C378,'Inventory'!$B$7:$B$106,0)))</f>
        <v/>
      </c>
      <c r="J378" s="88">
        <f>IF($G378&lt;&gt;"OK","",$H378*$I378)</f>
        <v/>
      </c>
      <c r="K378" s="82">
        <f>IF($G378&lt;&gt;"OK","",SUMIFS('Sales Log'!$D$7:$D$3006,'Sales Log'!$C$7:$C$3006,$B378,'Sales Log'!$B$7:$B$3006,"&gt;="&amp;cfg_CountDate,'Sales Log'!$N$7:$N$3006,"OK"))</f>
        <v/>
      </c>
      <c r="L378" s="89">
        <f>IF($G378&lt;&gt;"OK","",$H378*$K378)</f>
        <v/>
      </c>
    </row>
    <row r="379" ht="17" customHeight="1">
      <c r="B379" s="60" t="n"/>
      <c r="C379" s="60" t="n"/>
      <c r="D379" s="86" t="n"/>
      <c r="E379" s="60" t="n"/>
      <c r="F379" s="13">
        <f>IF($C379="","",IFERROR(INDEX('Inventory'!$D$7:$D$106,MATCH($C379,'Inventory'!$B$7:$B$106,0))&amp;"","?"))</f>
        <v/>
      </c>
      <c r="G379" s="80">
        <f>IF(AND($B379="",$C379=""),"",IF($B379="","Pick menu item",IF(ISNA(MATCH($B379,'Menu Pricing'!$B$7:$B$56,0)),"Not on Menu Pricing",IF($C379="","Pick ingredient",IF($F379="?","Not in Inventory",IF($F379="","Set stock unit in Inventory",IF(N($D379)&lt;=0,"Enter quantity",IF($E379="","Pick unit",IF(IFERROR(INDEX('Lists'!$C$6:$C$30,MATCH($E379,'Lists'!$B$6:$B$30,0)),"?")&lt;&gt;IFERROR(INDEX('Lists'!$C$6:$C$30,MATCH($F379,'Lists'!$B$6:$B$30,0)),"?"),"Unit mismatch",IF(ISNUMBER(INDEX('Inventory'!$G$7:$G$106,MATCH($C379,'Inventory'!$B$7:$B$106,0))),"OK","Add price in Inventory"))))))))))</f>
        <v/>
      </c>
      <c r="H379" s="87">
        <f>IF($G379&lt;&gt;"OK","",$D379*INDEX('Lists'!$D$6:$D$30,MATCH($E379,'Lists'!$B$6:$B$30,0))/INDEX('Lists'!$D$6:$D$30,MATCH($F379,'Lists'!$B$6:$B$30,0)))</f>
        <v/>
      </c>
      <c r="I379" s="87">
        <f>IF($G379&lt;&gt;"OK","",INDEX('Inventory'!$G$7:$G$106,MATCH($C379,'Inventory'!$B$7:$B$106,0)))</f>
        <v/>
      </c>
      <c r="J379" s="88">
        <f>IF($G379&lt;&gt;"OK","",$H379*$I379)</f>
        <v/>
      </c>
      <c r="K379" s="82">
        <f>IF($G379&lt;&gt;"OK","",SUMIFS('Sales Log'!$D$7:$D$3006,'Sales Log'!$C$7:$C$3006,$B379,'Sales Log'!$B$7:$B$3006,"&gt;="&amp;cfg_CountDate,'Sales Log'!$N$7:$N$3006,"OK"))</f>
        <v/>
      </c>
      <c r="L379" s="89">
        <f>IF($G379&lt;&gt;"OK","",$H379*$K379)</f>
        <v/>
      </c>
    </row>
    <row r="380" ht="17" customHeight="1">
      <c r="B380" s="60" t="n"/>
      <c r="C380" s="60" t="n"/>
      <c r="D380" s="86" t="n"/>
      <c r="E380" s="60" t="n"/>
      <c r="F380" s="13">
        <f>IF($C380="","",IFERROR(INDEX('Inventory'!$D$7:$D$106,MATCH($C380,'Inventory'!$B$7:$B$106,0))&amp;"","?"))</f>
        <v/>
      </c>
      <c r="G380" s="80">
        <f>IF(AND($B380="",$C380=""),"",IF($B380="","Pick menu item",IF(ISNA(MATCH($B380,'Menu Pricing'!$B$7:$B$56,0)),"Not on Menu Pricing",IF($C380="","Pick ingredient",IF($F380="?","Not in Inventory",IF($F380="","Set stock unit in Inventory",IF(N($D380)&lt;=0,"Enter quantity",IF($E380="","Pick unit",IF(IFERROR(INDEX('Lists'!$C$6:$C$30,MATCH($E380,'Lists'!$B$6:$B$30,0)),"?")&lt;&gt;IFERROR(INDEX('Lists'!$C$6:$C$30,MATCH($F380,'Lists'!$B$6:$B$30,0)),"?"),"Unit mismatch",IF(ISNUMBER(INDEX('Inventory'!$G$7:$G$106,MATCH($C380,'Inventory'!$B$7:$B$106,0))),"OK","Add price in Inventory"))))))))))</f>
        <v/>
      </c>
      <c r="H380" s="87">
        <f>IF($G380&lt;&gt;"OK","",$D380*INDEX('Lists'!$D$6:$D$30,MATCH($E380,'Lists'!$B$6:$B$30,0))/INDEX('Lists'!$D$6:$D$30,MATCH($F380,'Lists'!$B$6:$B$30,0)))</f>
        <v/>
      </c>
      <c r="I380" s="87">
        <f>IF($G380&lt;&gt;"OK","",INDEX('Inventory'!$G$7:$G$106,MATCH($C380,'Inventory'!$B$7:$B$106,0)))</f>
        <v/>
      </c>
      <c r="J380" s="88">
        <f>IF($G380&lt;&gt;"OK","",$H380*$I380)</f>
        <v/>
      </c>
      <c r="K380" s="82">
        <f>IF($G380&lt;&gt;"OK","",SUMIFS('Sales Log'!$D$7:$D$3006,'Sales Log'!$C$7:$C$3006,$B380,'Sales Log'!$B$7:$B$3006,"&gt;="&amp;cfg_CountDate,'Sales Log'!$N$7:$N$3006,"OK"))</f>
        <v/>
      </c>
      <c r="L380" s="89">
        <f>IF($G380&lt;&gt;"OK","",$H380*$K380)</f>
        <v/>
      </c>
    </row>
    <row r="381" ht="17" customHeight="1">
      <c r="B381" s="60" t="n"/>
      <c r="C381" s="60" t="n"/>
      <c r="D381" s="86" t="n"/>
      <c r="E381" s="60" t="n"/>
      <c r="F381" s="13">
        <f>IF($C381="","",IFERROR(INDEX('Inventory'!$D$7:$D$106,MATCH($C381,'Inventory'!$B$7:$B$106,0))&amp;"","?"))</f>
        <v/>
      </c>
      <c r="G381" s="80">
        <f>IF(AND($B381="",$C381=""),"",IF($B381="","Pick menu item",IF(ISNA(MATCH($B381,'Menu Pricing'!$B$7:$B$56,0)),"Not on Menu Pricing",IF($C381="","Pick ingredient",IF($F381="?","Not in Inventory",IF($F381="","Set stock unit in Inventory",IF(N($D381)&lt;=0,"Enter quantity",IF($E381="","Pick unit",IF(IFERROR(INDEX('Lists'!$C$6:$C$30,MATCH($E381,'Lists'!$B$6:$B$30,0)),"?")&lt;&gt;IFERROR(INDEX('Lists'!$C$6:$C$30,MATCH($F381,'Lists'!$B$6:$B$30,0)),"?"),"Unit mismatch",IF(ISNUMBER(INDEX('Inventory'!$G$7:$G$106,MATCH($C381,'Inventory'!$B$7:$B$106,0))),"OK","Add price in Inventory"))))))))))</f>
        <v/>
      </c>
      <c r="H381" s="87">
        <f>IF($G381&lt;&gt;"OK","",$D381*INDEX('Lists'!$D$6:$D$30,MATCH($E381,'Lists'!$B$6:$B$30,0))/INDEX('Lists'!$D$6:$D$30,MATCH($F381,'Lists'!$B$6:$B$30,0)))</f>
        <v/>
      </c>
      <c r="I381" s="87">
        <f>IF($G381&lt;&gt;"OK","",INDEX('Inventory'!$G$7:$G$106,MATCH($C381,'Inventory'!$B$7:$B$106,0)))</f>
        <v/>
      </c>
      <c r="J381" s="88">
        <f>IF($G381&lt;&gt;"OK","",$H381*$I381)</f>
        <v/>
      </c>
      <c r="K381" s="82">
        <f>IF($G381&lt;&gt;"OK","",SUMIFS('Sales Log'!$D$7:$D$3006,'Sales Log'!$C$7:$C$3006,$B381,'Sales Log'!$B$7:$B$3006,"&gt;="&amp;cfg_CountDate,'Sales Log'!$N$7:$N$3006,"OK"))</f>
        <v/>
      </c>
      <c r="L381" s="89">
        <f>IF($G381&lt;&gt;"OK","",$H381*$K381)</f>
        <v/>
      </c>
    </row>
    <row r="382" ht="17" customHeight="1">
      <c r="B382" s="60" t="n"/>
      <c r="C382" s="60" t="n"/>
      <c r="D382" s="86" t="n"/>
      <c r="E382" s="60" t="n"/>
      <c r="F382" s="13">
        <f>IF($C382="","",IFERROR(INDEX('Inventory'!$D$7:$D$106,MATCH($C382,'Inventory'!$B$7:$B$106,0))&amp;"","?"))</f>
        <v/>
      </c>
      <c r="G382" s="80">
        <f>IF(AND($B382="",$C382=""),"",IF($B382="","Pick menu item",IF(ISNA(MATCH($B382,'Menu Pricing'!$B$7:$B$56,0)),"Not on Menu Pricing",IF($C382="","Pick ingredient",IF($F382="?","Not in Inventory",IF($F382="","Set stock unit in Inventory",IF(N($D382)&lt;=0,"Enter quantity",IF($E382="","Pick unit",IF(IFERROR(INDEX('Lists'!$C$6:$C$30,MATCH($E382,'Lists'!$B$6:$B$30,0)),"?")&lt;&gt;IFERROR(INDEX('Lists'!$C$6:$C$30,MATCH($F382,'Lists'!$B$6:$B$30,0)),"?"),"Unit mismatch",IF(ISNUMBER(INDEX('Inventory'!$G$7:$G$106,MATCH($C382,'Inventory'!$B$7:$B$106,0))),"OK","Add price in Inventory"))))))))))</f>
        <v/>
      </c>
      <c r="H382" s="87">
        <f>IF($G382&lt;&gt;"OK","",$D382*INDEX('Lists'!$D$6:$D$30,MATCH($E382,'Lists'!$B$6:$B$30,0))/INDEX('Lists'!$D$6:$D$30,MATCH($F382,'Lists'!$B$6:$B$30,0)))</f>
        <v/>
      </c>
      <c r="I382" s="87">
        <f>IF($G382&lt;&gt;"OK","",INDEX('Inventory'!$G$7:$G$106,MATCH($C382,'Inventory'!$B$7:$B$106,0)))</f>
        <v/>
      </c>
      <c r="J382" s="88">
        <f>IF($G382&lt;&gt;"OK","",$H382*$I382)</f>
        <v/>
      </c>
      <c r="K382" s="82">
        <f>IF($G382&lt;&gt;"OK","",SUMIFS('Sales Log'!$D$7:$D$3006,'Sales Log'!$C$7:$C$3006,$B382,'Sales Log'!$B$7:$B$3006,"&gt;="&amp;cfg_CountDate,'Sales Log'!$N$7:$N$3006,"OK"))</f>
        <v/>
      </c>
      <c r="L382" s="89">
        <f>IF($G382&lt;&gt;"OK","",$H382*$K382)</f>
        <v/>
      </c>
    </row>
    <row r="383" ht="17" customHeight="1">
      <c r="B383" s="60" t="n"/>
      <c r="C383" s="60" t="n"/>
      <c r="D383" s="86" t="n"/>
      <c r="E383" s="60" t="n"/>
      <c r="F383" s="13">
        <f>IF($C383="","",IFERROR(INDEX('Inventory'!$D$7:$D$106,MATCH($C383,'Inventory'!$B$7:$B$106,0))&amp;"","?"))</f>
        <v/>
      </c>
      <c r="G383" s="80">
        <f>IF(AND($B383="",$C383=""),"",IF($B383="","Pick menu item",IF(ISNA(MATCH($B383,'Menu Pricing'!$B$7:$B$56,0)),"Not on Menu Pricing",IF($C383="","Pick ingredient",IF($F383="?","Not in Inventory",IF($F383="","Set stock unit in Inventory",IF(N($D383)&lt;=0,"Enter quantity",IF($E383="","Pick unit",IF(IFERROR(INDEX('Lists'!$C$6:$C$30,MATCH($E383,'Lists'!$B$6:$B$30,0)),"?")&lt;&gt;IFERROR(INDEX('Lists'!$C$6:$C$30,MATCH($F383,'Lists'!$B$6:$B$30,0)),"?"),"Unit mismatch",IF(ISNUMBER(INDEX('Inventory'!$G$7:$G$106,MATCH($C383,'Inventory'!$B$7:$B$106,0))),"OK","Add price in Inventory"))))))))))</f>
        <v/>
      </c>
      <c r="H383" s="87">
        <f>IF($G383&lt;&gt;"OK","",$D383*INDEX('Lists'!$D$6:$D$30,MATCH($E383,'Lists'!$B$6:$B$30,0))/INDEX('Lists'!$D$6:$D$30,MATCH($F383,'Lists'!$B$6:$B$30,0)))</f>
        <v/>
      </c>
      <c r="I383" s="87">
        <f>IF($G383&lt;&gt;"OK","",INDEX('Inventory'!$G$7:$G$106,MATCH($C383,'Inventory'!$B$7:$B$106,0)))</f>
        <v/>
      </c>
      <c r="J383" s="88">
        <f>IF($G383&lt;&gt;"OK","",$H383*$I383)</f>
        <v/>
      </c>
      <c r="K383" s="82">
        <f>IF($G383&lt;&gt;"OK","",SUMIFS('Sales Log'!$D$7:$D$3006,'Sales Log'!$C$7:$C$3006,$B383,'Sales Log'!$B$7:$B$3006,"&gt;="&amp;cfg_CountDate,'Sales Log'!$N$7:$N$3006,"OK"))</f>
        <v/>
      </c>
      <c r="L383" s="89">
        <f>IF($G383&lt;&gt;"OK","",$H383*$K383)</f>
        <v/>
      </c>
    </row>
    <row r="384" ht="17" customHeight="1">
      <c r="B384" s="60" t="n"/>
      <c r="C384" s="60" t="n"/>
      <c r="D384" s="86" t="n"/>
      <c r="E384" s="60" t="n"/>
      <c r="F384" s="13">
        <f>IF($C384="","",IFERROR(INDEX('Inventory'!$D$7:$D$106,MATCH($C384,'Inventory'!$B$7:$B$106,0))&amp;"","?"))</f>
        <v/>
      </c>
      <c r="G384" s="80">
        <f>IF(AND($B384="",$C384=""),"",IF($B384="","Pick menu item",IF(ISNA(MATCH($B384,'Menu Pricing'!$B$7:$B$56,0)),"Not on Menu Pricing",IF($C384="","Pick ingredient",IF($F384="?","Not in Inventory",IF($F384="","Set stock unit in Inventory",IF(N($D384)&lt;=0,"Enter quantity",IF($E384="","Pick unit",IF(IFERROR(INDEX('Lists'!$C$6:$C$30,MATCH($E384,'Lists'!$B$6:$B$30,0)),"?")&lt;&gt;IFERROR(INDEX('Lists'!$C$6:$C$30,MATCH($F384,'Lists'!$B$6:$B$30,0)),"?"),"Unit mismatch",IF(ISNUMBER(INDEX('Inventory'!$G$7:$G$106,MATCH($C384,'Inventory'!$B$7:$B$106,0))),"OK","Add price in Inventory"))))))))))</f>
        <v/>
      </c>
      <c r="H384" s="87">
        <f>IF($G384&lt;&gt;"OK","",$D384*INDEX('Lists'!$D$6:$D$30,MATCH($E384,'Lists'!$B$6:$B$30,0))/INDEX('Lists'!$D$6:$D$30,MATCH($F384,'Lists'!$B$6:$B$30,0)))</f>
        <v/>
      </c>
      <c r="I384" s="87">
        <f>IF($G384&lt;&gt;"OK","",INDEX('Inventory'!$G$7:$G$106,MATCH($C384,'Inventory'!$B$7:$B$106,0)))</f>
        <v/>
      </c>
      <c r="J384" s="88">
        <f>IF($G384&lt;&gt;"OK","",$H384*$I384)</f>
        <v/>
      </c>
      <c r="K384" s="82">
        <f>IF($G384&lt;&gt;"OK","",SUMIFS('Sales Log'!$D$7:$D$3006,'Sales Log'!$C$7:$C$3006,$B384,'Sales Log'!$B$7:$B$3006,"&gt;="&amp;cfg_CountDate,'Sales Log'!$N$7:$N$3006,"OK"))</f>
        <v/>
      </c>
      <c r="L384" s="89">
        <f>IF($G384&lt;&gt;"OK","",$H384*$K384)</f>
        <v/>
      </c>
    </row>
    <row r="385" ht="17" customHeight="1">
      <c r="B385" s="60" t="n"/>
      <c r="C385" s="60" t="n"/>
      <c r="D385" s="86" t="n"/>
      <c r="E385" s="60" t="n"/>
      <c r="F385" s="13">
        <f>IF($C385="","",IFERROR(INDEX('Inventory'!$D$7:$D$106,MATCH($C385,'Inventory'!$B$7:$B$106,0))&amp;"","?"))</f>
        <v/>
      </c>
      <c r="G385" s="80">
        <f>IF(AND($B385="",$C385=""),"",IF($B385="","Pick menu item",IF(ISNA(MATCH($B385,'Menu Pricing'!$B$7:$B$56,0)),"Not on Menu Pricing",IF($C385="","Pick ingredient",IF($F385="?","Not in Inventory",IF($F385="","Set stock unit in Inventory",IF(N($D385)&lt;=0,"Enter quantity",IF($E385="","Pick unit",IF(IFERROR(INDEX('Lists'!$C$6:$C$30,MATCH($E385,'Lists'!$B$6:$B$30,0)),"?")&lt;&gt;IFERROR(INDEX('Lists'!$C$6:$C$30,MATCH($F385,'Lists'!$B$6:$B$30,0)),"?"),"Unit mismatch",IF(ISNUMBER(INDEX('Inventory'!$G$7:$G$106,MATCH($C385,'Inventory'!$B$7:$B$106,0))),"OK","Add price in Inventory"))))))))))</f>
        <v/>
      </c>
      <c r="H385" s="87">
        <f>IF($G385&lt;&gt;"OK","",$D385*INDEX('Lists'!$D$6:$D$30,MATCH($E385,'Lists'!$B$6:$B$30,0))/INDEX('Lists'!$D$6:$D$30,MATCH($F385,'Lists'!$B$6:$B$30,0)))</f>
        <v/>
      </c>
      <c r="I385" s="87">
        <f>IF($G385&lt;&gt;"OK","",INDEX('Inventory'!$G$7:$G$106,MATCH($C385,'Inventory'!$B$7:$B$106,0)))</f>
        <v/>
      </c>
      <c r="J385" s="88">
        <f>IF($G385&lt;&gt;"OK","",$H385*$I385)</f>
        <v/>
      </c>
      <c r="K385" s="82">
        <f>IF($G385&lt;&gt;"OK","",SUMIFS('Sales Log'!$D$7:$D$3006,'Sales Log'!$C$7:$C$3006,$B385,'Sales Log'!$B$7:$B$3006,"&gt;="&amp;cfg_CountDate,'Sales Log'!$N$7:$N$3006,"OK"))</f>
        <v/>
      </c>
      <c r="L385" s="89">
        <f>IF($G385&lt;&gt;"OK","",$H385*$K385)</f>
        <v/>
      </c>
    </row>
    <row r="386" ht="17" customHeight="1">
      <c r="B386" s="60" t="n"/>
      <c r="C386" s="60" t="n"/>
      <c r="D386" s="86" t="n"/>
      <c r="E386" s="60" t="n"/>
      <c r="F386" s="13">
        <f>IF($C386="","",IFERROR(INDEX('Inventory'!$D$7:$D$106,MATCH($C386,'Inventory'!$B$7:$B$106,0))&amp;"","?"))</f>
        <v/>
      </c>
      <c r="G386" s="80">
        <f>IF(AND($B386="",$C386=""),"",IF($B386="","Pick menu item",IF(ISNA(MATCH($B386,'Menu Pricing'!$B$7:$B$56,0)),"Not on Menu Pricing",IF($C386="","Pick ingredient",IF($F386="?","Not in Inventory",IF($F386="","Set stock unit in Inventory",IF(N($D386)&lt;=0,"Enter quantity",IF($E386="","Pick unit",IF(IFERROR(INDEX('Lists'!$C$6:$C$30,MATCH($E386,'Lists'!$B$6:$B$30,0)),"?")&lt;&gt;IFERROR(INDEX('Lists'!$C$6:$C$30,MATCH($F386,'Lists'!$B$6:$B$30,0)),"?"),"Unit mismatch",IF(ISNUMBER(INDEX('Inventory'!$G$7:$G$106,MATCH($C386,'Inventory'!$B$7:$B$106,0))),"OK","Add price in Inventory"))))))))))</f>
        <v/>
      </c>
      <c r="H386" s="87">
        <f>IF($G386&lt;&gt;"OK","",$D386*INDEX('Lists'!$D$6:$D$30,MATCH($E386,'Lists'!$B$6:$B$30,0))/INDEX('Lists'!$D$6:$D$30,MATCH($F386,'Lists'!$B$6:$B$30,0)))</f>
        <v/>
      </c>
      <c r="I386" s="87">
        <f>IF($G386&lt;&gt;"OK","",INDEX('Inventory'!$G$7:$G$106,MATCH($C386,'Inventory'!$B$7:$B$106,0)))</f>
        <v/>
      </c>
      <c r="J386" s="88">
        <f>IF($G386&lt;&gt;"OK","",$H386*$I386)</f>
        <v/>
      </c>
      <c r="K386" s="82">
        <f>IF($G386&lt;&gt;"OK","",SUMIFS('Sales Log'!$D$7:$D$3006,'Sales Log'!$C$7:$C$3006,$B386,'Sales Log'!$B$7:$B$3006,"&gt;="&amp;cfg_CountDate,'Sales Log'!$N$7:$N$3006,"OK"))</f>
        <v/>
      </c>
      <c r="L386" s="89">
        <f>IF($G386&lt;&gt;"OK","",$H386*$K386)</f>
        <v/>
      </c>
    </row>
    <row r="387" ht="17" customHeight="1">
      <c r="B387" s="60" t="n"/>
      <c r="C387" s="60" t="n"/>
      <c r="D387" s="86" t="n"/>
      <c r="E387" s="60" t="n"/>
      <c r="F387" s="13">
        <f>IF($C387="","",IFERROR(INDEX('Inventory'!$D$7:$D$106,MATCH($C387,'Inventory'!$B$7:$B$106,0))&amp;"","?"))</f>
        <v/>
      </c>
      <c r="G387" s="80">
        <f>IF(AND($B387="",$C387=""),"",IF($B387="","Pick menu item",IF(ISNA(MATCH($B387,'Menu Pricing'!$B$7:$B$56,0)),"Not on Menu Pricing",IF($C387="","Pick ingredient",IF($F387="?","Not in Inventory",IF($F387="","Set stock unit in Inventory",IF(N($D387)&lt;=0,"Enter quantity",IF($E387="","Pick unit",IF(IFERROR(INDEX('Lists'!$C$6:$C$30,MATCH($E387,'Lists'!$B$6:$B$30,0)),"?")&lt;&gt;IFERROR(INDEX('Lists'!$C$6:$C$30,MATCH($F387,'Lists'!$B$6:$B$30,0)),"?"),"Unit mismatch",IF(ISNUMBER(INDEX('Inventory'!$G$7:$G$106,MATCH($C387,'Inventory'!$B$7:$B$106,0))),"OK","Add price in Inventory"))))))))))</f>
        <v/>
      </c>
      <c r="H387" s="87">
        <f>IF($G387&lt;&gt;"OK","",$D387*INDEX('Lists'!$D$6:$D$30,MATCH($E387,'Lists'!$B$6:$B$30,0))/INDEX('Lists'!$D$6:$D$30,MATCH($F387,'Lists'!$B$6:$B$30,0)))</f>
        <v/>
      </c>
      <c r="I387" s="87">
        <f>IF($G387&lt;&gt;"OK","",INDEX('Inventory'!$G$7:$G$106,MATCH($C387,'Inventory'!$B$7:$B$106,0)))</f>
        <v/>
      </c>
      <c r="J387" s="88">
        <f>IF($G387&lt;&gt;"OK","",$H387*$I387)</f>
        <v/>
      </c>
      <c r="K387" s="82">
        <f>IF($G387&lt;&gt;"OK","",SUMIFS('Sales Log'!$D$7:$D$3006,'Sales Log'!$C$7:$C$3006,$B387,'Sales Log'!$B$7:$B$3006,"&gt;="&amp;cfg_CountDate,'Sales Log'!$N$7:$N$3006,"OK"))</f>
        <v/>
      </c>
      <c r="L387" s="89">
        <f>IF($G387&lt;&gt;"OK","",$H387*$K387)</f>
        <v/>
      </c>
    </row>
    <row r="388" ht="17" customHeight="1">
      <c r="B388" s="60" t="n"/>
      <c r="C388" s="60" t="n"/>
      <c r="D388" s="86" t="n"/>
      <c r="E388" s="60" t="n"/>
      <c r="F388" s="13">
        <f>IF($C388="","",IFERROR(INDEX('Inventory'!$D$7:$D$106,MATCH($C388,'Inventory'!$B$7:$B$106,0))&amp;"","?"))</f>
        <v/>
      </c>
      <c r="G388" s="80">
        <f>IF(AND($B388="",$C388=""),"",IF($B388="","Pick menu item",IF(ISNA(MATCH($B388,'Menu Pricing'!$B$7:$B$56,0)),"Not on Menu Pricing",IF($C388="","Pick ingredient",IF($F388="?","Not in Inventory",IF($F388="","Set stock unit in Inventory",IF(N($D388)&lt;=0,"Enter quantity",IF($E388="","Pick unit",IF(IFERROR(INDEX('Lists'!$C$6:$C$30,MATCH($E388,'Lists'!$B$6:$B$30,0)),"?")&lt;&gt;IFERROR(INDEX('Lists'!$C$6:$C$30,MATCH($F388,'Lists'!$B$6:$B$30,0)),"?"),"Unit mismatch",IF(ISNUMBER(INDEX('Inventory'!$G$7:$G$106,MATCH($C388,'Inventory'!$B$7:$B$106,0))),"OK","Add price in Inventory"))))))))))</f>
        <v/>
      </c>
      <c r="H388" s="87">
        <f>IF($G388&lt;&gt;"OK","",$D388*INDEX('Lists'!$D$6:$D$30,MATCH($E388,'Lists'!$B$6:$B$30,0))/INDEX('Lists'!$D$6:$D$30,MATCH($F388,'Lists'!$B$6:$B$30,0)))</f>
        <v/>
      </c>
      <c r="I388" s="87">
        <f>IF($G388&lt;&gt;"OK","",INDEX('Inventory'!$G$7:$G$106,MATCH($C388,'Inventory'!$B$7:$B$106,0)))</f>
        <v/>
      </c>
      <c r="J388" s="88">
        <f>IF($G388&lt;&gt;"OK","",$H388*$I388)</f>
        <v/>
      </c>
      <c r="K388" s="82">
        <f>IF($G388&lt;&gt;"OK","",SUMIFS('Sales Log'!$D$7:$D$3006,'Sales Log'!$C$7:$C$3006,$B388,'Sales Log'!$B$7:$B$3006,"&gt;="&amp;cfg_CountDate,'Sales Log'!$N$7:$N$3006,"OK"))</f>
        <v/>
      </c>
      <c r="L388" s="89">
        <f>IF($G388&lt;&gt;"OK","",$H388*$K388)</f>
        <v/>
      </c>
    </row>
    <row r="389" ht="17" customHeight="1">
      <c r="B389" s="60" t="n"/>
      <c r="C389" s="60" t="n"/>
      <c r="D389" s="86" t="n"/>
      <c r="E389" s="60" t="n"/>
      <c r="F389" s="13">
        <f>IF($C389="","",IFERROR(INDEX('Inventory'!$D$7:$D$106,MATCH($C389,'Inventory'!$B$7:$B$106,0))&amp;"","?"))</f>
        <v/>
      </c>
      <c r="G389" s="80">
        <f>IF(AND($B389="",$C389=""),"",IF($B389="","Pick menu item",IF(ISNA(MATCH($B389,'Menu Pricing'!$B$7:$B$56,0)),"Not on Menu Pricing",IF($C389="","Pick ingredient",IF($F389="?","Not in Inventory",IF($F389="","Set stock unit in Inventory",IF(N($D389)&lt;=0,"Enter quantity",IF($E389="","Pick unit",IF(IFERROR(INDEX('Lists'!$C$6:$C$30,MATCH($E389,'Lists'!$B$6:$B$30,0)),"?")&lt;&gt;IFERROR(INDEX('Lists'!$C$6:$C$30,MATCH($F389,'Lists'!$B$6:$B$30,0)),"?"),"Unit mismatch",IF(ISNUMBER(INDEX('Inventory'!$G$7:$G$106,MATCH($C389,'Inventory'!$B$7:$B$106,0))),"OK","Add price in Inventory"))))))))))</f>
        <v/>
      </c>
      <c r="H389" s="87">
        <f>IF($G389&lt;&gt;"OK","",$D389*INDEX('Lists'!$D$6:$D$30,MATCH($E389,'Lists'!$B$6:$B$30,0))/INDEX('Lists'!$D$6:$D$30,MATCH($F389,'Lists'!$B$6:$B$30,0)))</f>
        <v/>
      </c>
      <c r="I389" s="87">
        <f>IF($G389&lt;&gt;"OK","",INDEX('Inventory'!$G$7:$G$106,MATCH($C389,'Inventory'!$B$7:$B$106,0)))</f>
        <v/>
      </c>
      <c r="J389" s="88">
        <f>IF($G389&lt;&gt;"OK","",$H389*$I389)</f>
        <v/>
      </c>
      <c r="K389" s="82">
        <f>IF($G389&lt;&gt;"OK","",SUMIFS('Sales Log'!$D$7:$D$3006,'Sales Log'!$C$7:$C$3006,$B389,'Sales Log'!$B$7:$B$3006,"&gt;="&amp;cfg_CountDate,'Sales Log'!$N$7:$N$3006,"OK"))</f>
        <v/>
      </c>
      <c r="L389" s="89">
        <f>IF($G389&lt;&gt;"OK","",$H389*$K389)</f>
        <v/>
      </c>
    </row>
    <row r="390" ht="17" customHeight="1">
      <c r="B390" s="60" t="n"/>
      <c r="C390" s="60" t="n"/>
      <c r="D390" s="86" t="n"/>
      <c r="E390" s="60" t="n"/>
      <c r="F390" s="13">
        <f>IF($C390="","",IFERROR(INDEX('Inventory'!$D$7:$D$106,MATCH($C390,'Inventory'!$B$7:$B$106,0))&amp;"","?"))</f>
        <v/>
      </c>
      <c r="G390" s="80">
        <f>IF(AND($B390="",$C390=""),"",IF($B390="","Pick menu item",IF(ISNA(MATCH($B390,'Menu Pricing'!$B$7:$B$56,0)),"Not on Menu Pricing",IF($C390="","Pick ingredient",IF($F390="?","Not in Inventory",IF($F390="","Set stock unit in Inventory",IF(N($D390)&lt;=0,"Enter quantity",IF($E390="","Pick unit",IF(IFERROR(INDEX('Lists'!$C$6:$C$30,MATCH($E390,'Lists'!$B$6:$B$30,0)),"?")&lt;&gt;IFERROR(INDEX('Lists'!$C$6:$C$30,MATCH($F390,'Lists'!$B$6:$B$30,0)),"?"),"Unit mismatch",IF(ISNUMBER(INDEX('Inventory'!$G$7:$G$106,MATCH($C390,'Inventory'!$B$7:$B$106,0))),"OK","Add price in Inventory"))))))))))</f>
        <v/>
      </c>
      <c r="H390" s="87">
        <f>IF($G390&lt;&gt;"OK","",$D390*INDEX('Lists'!$D$6:$D$30,MATCH($E390,'Lists'!$B$6:$B$30,0))/INDEX('Lists'!$D$6:$D$30,MATCH($F390,'Lists'!$B$6:$B$30,0)))</f>
        <v/>
      </c>
      <c r="I390" s="87">
        <f>IF($G390&lt;&gt;"OK","",INDEX('Inventory'!$G$7:$G$106,MATCH($C390,'Inventory'!$B$7:$B$106,0)))</f>
        <v/>
      </c>
      <c r="J390" s="88">
        <f>IF($G390&lt;&gt;"OK","",$H390*$I390)</f>
        <v/>
      </c>
      <c r="K390" s="82">
        <f>IF($G390&lt;&gt;"OK","",SUMIFS('Sales Log'!$D$7:$D$3006,'Sales Log'!$C$7:$C$3006,$B390,'Sales Log'!$B$7:$B$3006,"&gt;="&amp;cfg_CountDate,'Sales Log'!$N$7:$N$3006,"OK"))</f>
        <v/>
      </c>
      <c r="L390" s="89">
        <f>IF($G390&lt;&gt;"OK","",$H390*$K390)</f>
        <v/>
      </c>
    </row>
    <row r="391" ht="17" customHeight="1">
      <c r="B391" s="60" t="n"/>
      <c r="C391" s="60" t="n"/>
      <c r="D391" s="86" t="n"/>
      <c r="E391" s="60" t="n"/>
      <c r="F391" s="13">
        <f>IF($C391="","",IFERROR(INDEX('Inventory'!$D$7:$D$106,MATCH($C391,'Inventory'!$B$7:$B$106,0))&amp;"","?"))</f>
        <v/>
      </c>
      <c r="G391" s="80">
        <f>IF(AND($B391="",$C391=""),"",IF($B391="","Pick menu item",IF(ISNA(MATCH($B391,'Menu Pricing'!$B$7:$B$56,0)),"Not on Menu Pricing",IF($C391="","Pick ingredient",IF($F391="?","Not in Inventory",IF($F391="","Set stock unit in Inventory",IF(N($D391)&lt;=0,"Enter quantity",IF($E391="","Pick unit",IF(IFERROR(INDEX('Lists'!$C$6:$C$30,MATCH($E391,'Lists'!$B$6:$B$30,0)),"?")&lt;&gt;IFERROR(INDEX('Lists'!$C$6:$C$30,MATCH($F391,'Lists'!$B$6:$B$30,0)),"?"),"Unit mismatch",IF(ISNUMBER(INDEX('Inventory'!$G$7:$G$106,MATCH($C391,'Inventory'!$B$7:$B$106,0))),"OK","Add price in Inventory"))))))))))</f>
        <v/>
      </c>
      <c r="H391" s="87">
        <f>IF($G391&lt;&gt;"OK","",$D391*INDEX('Lists'!$D$6:$D$30,MATCH($E391,'Lists'!$B$6:$B$30,0))/INDEX('Lists'!$D$6:$D$30,MATCH($F391,'Lists'!$B$6:$B$30,0)))</f>
        <v/>
      </c>
      <c r="I391" s="87">
        <f>IF($G391&lt;&gt;"OK","",INDEX('Inventory'!$G$7:$G$106,MATCH($C391,'Inventory'!$B$7:$B$106,0)))</f>
        <v/>
      </c>
      <c r="J391" s="88">
        <f>IF($G391&lt;&gt;"OK","",$H391*$I391)</f>
        <v/>
      </c>
      <c r="K391" s="82">
        <f>IF($G391&lt;&gt;"OK","",SUMIFS('Sales Log'!$D$7:$D$3006,'Sales Log'!$C$7:$C$3006,$B391,'Sales Log'!$B$7:$B$3006,"&gt;="&amp;cfg_CountDate,'Sales Log'!$N$7:$N$3006,"OK"))</f>
        <v/>
      </c>
      <c r="L391" s="89">
        <f>IF($G391&lt;&gt;"OK","",$H391*$K391)</f>
        <v/>
      </c>
    </row>
    <row r="392" ht="17" customHeight="1">
      <c r="B392" s="60" t="n"/>
      <c r="C392" s="60" t="n"/>
      <c r="D392" s="86" t="n"/>
      <c r="E392" s="60" t="n"/>
      <c r="F392" s="13">
        <f>IF($C392="","",IFERROR(INDEX('Inventory'!$D$7:$D$106,MATCH($C392,'Inventory'!$B$7:$B$106,0))&amp;"","?"))</f>
        <v/>
      </c>
      <c r="G392" s="80">
        <f>IF(AND($B392="",$C392=""),"",IF($B392="","Pick menu item",IF(ISNA(MATCH($B392,'Menu Pricing'!$B$7:$B$56,0)),"Not on Menu Pricing",IF($C392="","Pick ingredient",IF($F392="?","Not in Inventory",IF($F392="","Set stock unit in Inventory",IF(N($D392)&lt;=0,"Enter quantity",IF($E392="","Pick unit",IF(IFERROR(INDEX('Lists'!$C$6:$C$30,MATCH($E392,'Lists'!$B$6:$B$30,0)),"?")&lt;&gt;IFERROR(INDEX('Lists'!$C$6:$C$30,MATCH($F392,'Lists'!$B$6:$B$30,0)),"?"),"Unit mismatch",IF(ISNUMBER(INDEX('Inventory'!$G$7:$G$106,MATCH($C392,'Inventory'!$B$7:$B$106,0))),"OK","Add price in Inventory"))))))))))</f>
        <v/>
      </c>
      <c r="H392" s="87">
        <f>IF($G392&lt;&gt;"OK","",$D392*INDEX('Lists'!$D$6:$D$30,MATCH($E392,'Lists'!$B$6:$B$30,0))/INDEX('Lists'!$D$6:$D$30,MATCH($F392,'Lists'!$B$6:$B$30,0)))</f>
        <v/>
      </c>
      <c r="I392" s="87">
        <f>IF($G392&lt;&gt;"OK","",INDEX('Inventory'!$G$7:$G$106,MATCH($C392,'Inventory'!$B$7:$B$106,0)))</f>
        <v/>
      </c>
      <c r="J392" s="88">
        <f>IF($G392&lt;&gt;"OK","",$H392*$I392)</f>
        <v/>
      </c>
      <c r="K392" s="82">
        <f>IF($G392&lt;&gt;"OK","",SUMIFS('Sales Log'!$D$7:$D$3006,'Sales Log'!$C$7:$C$3006,$B392,'Sales Log'!$B$7:$B$3006,"&gt;="&amp;cfg_CountDate,'Sales Log'!$N$7:$N$3006,"OK"))</f>
        <v/>
      </c>
      <c r="L392" s="89">
        <f>IF($G392&lt;&gt;"OK","",$H392*$K392)</f>
        <v/>
      </c>
    </row>
    <row r="393" ht="17" customHeight="1">
      <c r="B393" s="60" t="n"/>
      <c r="C393" s="60" t="n"/>
      <c r="D393" s="86" t="n"/>
      <c r="E393" s="60" t="n"/>
      <c r="F393" s="13">
        <f>IF($C393="","",IFERROR(INDEX('Inventory'!$D$7:$D$106,MATCH($C393,'Inventory'!$B$7:$B$106,0))&amp;"","?"))</f>
        <v/>
      </c>
      <c r="G393" s="80">
        <f>IF(AND($B393="",$C393=""),"",IF($B393="","Pick menu item",IF(ISNA(MATCH($B393,'Menu Pricing'!$B$7:$B$56,0)),"Not on Menu Pricing",IF($C393="","Pick ingredient",IF($F393="?","Not in Inventory",IF($F393="","Set stock unit in Inventory",IF(N($D393)&lt;=0,"Enter quantity",IF($E393="","Pick unit",IF(IFERROR(INDEX('Lists'!$C$6:$C$30,MATCH($E393,'Lists'!$B$6:$B$30,0)),"?")&lt;&gt;IFERROR(INDEX('Lists'!$C$6:$C$30,MATCH($F393,'Lists'!$B$6:$B$30,0)),"?"),"Unit mismatch",IF(ISNUMBER(INDEX('Inventory'!$G$7:$G$106,MATCH($C393,'Inventory'!$B$7:$B$106,0))),"OK","Add price in Inventory"))))))))))</f>
        <v/>
      </c>
      <c r="H393" s="87">
        <f>IF($G393&lt;&gt;"OK","",$D393*INDEX('Lists'!$D$6:$D$30,MATCH($E393,'Lists'!$B$6:$B$30,0))/INDEX('Lists'!$D$6:$D$30,MATCH($F393,'Lists'!$B$6:$B$30,0)))</f>
        <v/>
      </c>
      <c r="I393" s="87">
        <f>IF($G393&lt;&gt;"OK","",INDEX('Inventory'!$G$7:$G$106,MATCH($C393,'Inventory'!$B$7:$B$106,0)))</f>
        <v/>
      </c>
      <c r="J393" s="88">
        <f>IF($G393&lt;&gt;"OK","",$H393*$I393)</f>
        <v/>
      </c>
      <c r="K393" s="82">
        <f>IF($G393&lt;&gt;"OK","",SUMIFS('Sales Log'!$D$7:$D$3006,'Sales Log'!$C$7:$C$3006,$B393,'Sales Log'!$B$7:$B$3006,"&gt;="&amp;cfg_CountDate,'Sales Log'!$N$7:$N$3006,"OK"))</f>
        <v/>
      </c>
      <c r="L393" s="89">
        <f>IF($G393&lt;&gt;"OK","",$H393*$K393)</f>
        <v/>
      </c>
    </row>
    <row r="394" ht="17" customHeight="1">
      <c r="B394" s="60" t="n"/>
      <c r="C394" s="60" t="n"/>
      <c r="D394" s="86" t="n"/>
      <c r="E394" s="60" t="n"/>
      <c r="F394" s="13">
        <f>IF($C394="","",IFERROR(INDEX('Inventory'!$D$7:$D$106,MATCH($C394,'Inventory'!$B$7:$B$106,0))&amp;"","?"))</f>
        <v/>
      </c>
      <c r="G394" s="80">
        <f>IF(AND($B394="",$C394=""),"",IF($B394="","Pick menu item",IF(ISNA(MATCH($B394,'Menu Pricing'!$B$7:$B$56,0)),"Not on Menu Pricing",IF($C394="","Pick ingredient",IF($F394="?","Not in Inventory",IF($F394="","Set stock unit in Inventory",IF(N($D394)&lt;=0,"Enter quantity",IF($E394="","Pick unit",IF(IFERROR(INDEX('Lists'!$C$6:$C$30,MATCH($E394,'Lists'!$B$6:$B$30,0)),"?")&lt;&gt;IFERROR(INDEX('Lists'!$C$6:$C$30,MATCH($F394,'Lists'!$B$6:$B$30,0)),"?"),"Unit mismatch",IF(ISNUMBER(INDEX('Inventory'!$G$7:$G$106,MATCH($C394,'Inventory'!$B$7:$B$106,0))),"OK","Add price in Inventory"))))))))))</f>
        <v/>
      </c>
      <c r="H394" s="87">
        <f>IF($G394&lt;&gt;"OK","",$D394*INDEX('Lists'!$D$6:$D$30,MATCH($E394,'Lists'!$B$6:$B$30,0))/INDEX('Lists'!$D$6:$D$30,MATCH($F394,'Lists'!$B$6:$B$30,0)))</f>
        <v/>
      </c>
      <c r="I394" s="87">
        <f>IF($G394&lt;&gt;"OK","",INDEX('Inventory'!$G$7:$G$106,MATCH($C394,'Inventory'!$B$7:$B$106,0)))</f>
        <v/>
      </c>
      <c r="J394" s="88">
        <f>IF($G394&lt;&gt;"OK","",$H394*$I394)</f>
        <v/>
      </c>
      <c r="K394" s="82">
        <f>IF($G394&lt;&gt;"OK","",SUMIFS('Sales Log'!$D$7:$D$3006,'Sales Log'!$C$7:$C$3006,$B394,'Sales Log'!$B$7:$B$3006,"&gt;="&amp;cfg_CountDate,'Sales Log'!$N$7:$N$3006,"OK"))</f>
        <v/>
      </c>
      <c r="L394" s="89">
        <f>IF($G394&lt;&gt;"OK","",$H394*$K394)</f>
        <v/>
      </c>
    </row>
    <row r="395" ht="17" customHeight="1">
      <c r="B395" s="60" t="n"/>
      <c r="C395" s="60" t="n"/>
      <c r="D395" s="86" t="n"/>
      <c r="E395" s="60" t="n"/>
      <c r="F395" s="13">
        <f>IF($C395="","",IFERROR(INDEX('Inventory'!$D$7:$D$106,MATCH($C395,'Inventory'!$B$7:$B$106,0))&amp;"","?"))</f>
        <v/>
      </c>
      <c r="G395" s="80">
        <f>IF(AND($B395="",$C395=""),"",IF($B395="","Pick menu item",IF(ISNA(MATCH($B395,'Menu Pricing'!$B$7:$B$56,0)),"Not on Menu Pricing",IF($C395="","Pick ingredient",IF($F395="?","Not in Inventory",IF($F395="","Set stock unit in Inventory",IF(N($D395)&lt;=0,"Enter quantity",IF($E395="","Pick unit",IF(IFERROR(INDEX('Lists'!$C$6:$C$30,MATCH($E395,'Lists'!$B$6:$B$30,0)),"?")&lt;&gt;IFERROR(INDEX('Lists'!$C$6:$C$30,MATCH($F395,'Lists'!$B$6:$B$30,0)),"?"),"Unit mismatch",IF(ISNUMBER(INDEX('Inventory'!$G$7:$G$106,MATCH($C395,'Inventory'!$B$7:$B$106,0))),"OK","Add price in Inventory"))))))))))</f>
        <v/>
      </c>
      <c r="H395" s="87">
        <f>IF($G395&lt;&gt;"OK","",$D395*INDEX('Lists'!$D$6:$D$30,MATCH($E395,'Lists'!$B$6:$B$30,0))/INDEX('Lists'!$D$6:$D$30,MATCH($F395,'Lists'!$B$6:$B$30,0)))</f>
        <v/>
      </c>
      <c r="I395" s="87">
        <f>IF($G395&lt;&gt;"OK","",INDEX('Inventory'!$G$7:$G$106,MATCH($C395,'Inventory'!$B$7:$B$106,0)))</f>
        <v/>
      </c>
      <c r="J395" s="88">
        <f>IF($G395&lt;&gt;"OK","",$H395*$I395)</f>
        <v/>
      </c>
      <c r="K395" s="82">
        <f>IF($G395&lt;&gt;"OK","",SUMIFS('Sales Log'!$D$7:$D$3006,'Sales Log'!$C$7:$C$3006,$B395,'Sales Log'!$B$7:$B$3006,"&gt;="&amp;cfg_CountDate,'Sales Log'!$N$7:$N$3006,"OK"))</f>
        <v/>
      </c>
      <c r="L395" s="89">
        <f>IF($G395&lt;&gt;"OK","",$H395*$K395)</f>
        <v/>
      </c>
    </row>
    <row r="396" ht="17" customHeight="1">
      <c r="B396" s="60" t="n"/>
      <c r="C396" s="60" t="n"/>
      <c r="D396" s="86" t="n"/>
      <c r="E396" s="60" t="n"/>
      <c r="F396" s="13">
        <f>IF($C396="","",IFERROR(INDEX('Inventory'!$D$7:$D$106,MATCH($C396,'Inventory'!$B$7:$B$106,0))&amp;"","?"))</f>
        <v/>
      </c>
      <c r="G396" s="80">
        <f>IF(AND($B396="",$C396=""),"",IF($B396="","Pick menu item",IF(ISNA(MATCH($B396,'Menu Pricing'!$B$7:$B$56,0)),"Not on Menu Pricing",IF($C396="","Pick ingredient",IF($F396="?","Not in Inventory",IF($F396="","Set stock unit in Inventory",IF(N($D396)&lt;=0,"Enter quantity",IF($E396="","Pick unit",IF(IFERROR(INDEX('Lists'!$C$6:$C$30,MATCH($E396,'Lists'!$B$6:$B$30,0)),"?")&lt;&gt;IFERROR(INDEX('Lists'!$C$6:$C$30,MATCH($F396,'Lists'!$B$6:$B$30,0)),"?"),"Unit mismatch",IF(ISNUMBER(INDEX('Inventory'!$G$7:$G$106,MATCH($C396,'Inventory'!$B$7:$B$106,0))),"OK","Add price in Inventory"))))))))))</f>
        <v/>
      </c>
      <c r="H396" s="87">
        <f>IF($G396&lt;&gt;"OK","",$D396*INDEX('Lists'!$D$6:$D$30,MATCH($E396,'Lists'!$B$6:$B$30,0))/INDEX('Lists'!$D$6:$D$30,MATCH($F396,'Lists'!$B$6:$B$30,0)))</f>
        <v/>
      </c>
      <c r="I396" s="87">
        <f>IF($G396&lt;&gt;"OK","",INDEX('Inventory'!$G$7:$G$106,MATCH($C396,'Inventory'!$B$7:$B$106,0)))</f>
        <v/>
      </c>
      <c r="J396" s="88">
        <f>IF($G396&lt;&gt;"OK","",$H396*$I396)</f>
        <v/>
      </c>
      <c r="K396" s="82">
        <f>IF($G396&lt;&gt;"OK","",SUMIFS('Sales Log'!$D$7:$D$3006,'Sales Log'!$C$7:$C$3006,$B396,'Sales Log'!$B$7:$B$3006,"&gt;="&amp;cfg_CountDate,'Sales Log'!$N$7:$N$3006,"OK"))</f>
        <v/>
      </c>
      <c r="L396" s="89">
        <f>IF($G396&lt;&gt;"OK","",$H396*$K396)</f>
        <v/>
      </c>
    </row>
    <row r="397" ht="17" customHeight="1">
      <c r="B397" s="60" t="n"/>
      <c r="C397" s="60" t="n"/>
      <c r="D397" s="86" t="n"/>
      <c r="E397" s="60" t="n"/>
      <c r="F397" s="13">
        <f>IF($C397="","",IFERROR(INDEX('Inventory'!$D$7:$D$106,MATCH($C397,'Inventory'!$B$7:$B$106,0))&amp;"","?"))</f>
        <v/>
      </c>
      <c r="G397" s="80">
        <f>IF(AND($B397="",$C397=""),"",IF($B397="","Pick menu item",IF(ISNA(MATCH($B397,'Menu Pricing'!$B$7:$B$56,0)),"Not on Menu Pricing",IF($C397="","Pick ingredient",IF($F397="?","Not in Inventory",IF($F397="","Set stock unit in Inventory",IF(N($D397)&lt;=0,"Enter quantity",IF($E397="","Pick unit",IF(IFERROR(INDEX('Lists'!$C$6:$C$30,MATCH($E397,'Lists'!$B$6:$B$30,0)),"?")&lt;&gt;IFERROR(INDEX('Lists'!$C$6:$C$30,MATCH($F397,'Lists'!$B$6:$B$30,0)),"?"),"Unit mismatch",IF(ISNUMBER(INDEX('Inventory'!$G$7:$G$106,MATCH($C397,'Inventory'!$B$7:$B$106,0))),"OK","Add price in Inventory"))))))))))</f>
        <v/>
      </c>
      <c r="H397" s="87">
        <f>IF($G397&lt;&gt;"OK","",$D397*INDEX('Lists'!$D$6:$D$30,MATCH($E397,'Lists'!$B$6:$B$30,0))/INDEX('Lists'!$D$6:$D$30,MATCH($F397,'Lists'!$B$6:$B$30,0)))</f>
        <v/>
      </c>
      <c r="I397" s="87">
        <f>IF($G397&lt;&gt;"OK","",INDEX('Inventory'!$G$7:$G$106,MATCH($C397,'Inventory'!$B$7:$B$106,0)))</f>
        <v/>
      </c>
      <c r="J397" s="88">
        <f>IF($G397&lt;&gt;"OK","",$H397*$I397)</f>
        <v/>
      </c>
      <c r="K397" s="82">
        <f>IF($G397&lt;&gt;"OK","",SUMIFS('Sales Log'!$D$7:$D$3006,'Sales Log'!$C$7:$C$3006,$B397,'Sales Log'!$B$7:$B$3006,"&gt;="&amp;cfg_CountDate,'Sales Log'!$N$7:$N$3006,"OK"))</f>
        <v/>
      </c>
      <c r="L397" s="89">
        <f>IF($G397&lt;&gt;"OK","",$H397*$K397)</f>
        <v/>
      </c>
    </row>
    <row r="398" ht="17" customHeight="1">
      <c r="B398" s="60" t="n"/>
      <c r="C398" s="60" t="n"/>
      <c r="D398" s="86" t="n"/>
      <c r="E398" s="60" t="n"/>
      <c r="F398" s="13">
        <f>IF($C398="","",IFERROR(INDEX('Inventory'!$D$7:$D$106,MATCH($C398,'Inventory'!$B$7:$B$106,0))&amp;"","?"))</f>
        <v/>
      </c>
      <c r="G398" s="80">
        <f>IF(AND($B398="",$C398=""),"",IF($B398="","Pick menu item",IF(ISNA(MATCH($B398,'Menu Pricing'!$B$7:$B$56,0)),"Not on Menu Pricing",IF($C398="","Pick ingredient",IF($F398="?","Not in Inventory",IF($F398="","Set stock unit in Inventory",IF(N($D398)&lt;=0,"Enter quantity",IF($E398="","Pick unit",IF(IFERROR(INDEX('Lists'!$C$6:$C$30,MATCH($E398,'Lists'!$B$6:$B$30,0)),"?")&lt;&gt;IFERROR(INDEX('Lists'!$C$6:$C$30,MATCH($F398,'Lists'!$B$6:$B$30,0)),"?"),"Unit mismatch",IF(ISNUMBER(INDEX('Inventory'!$G$7:$G$106,MATCH($C398,'Inventory'!$B$7:$B$106,0))),"OK","Add price in Inventory"))))))))))</f>
        <v/>
      </c>
      <c r="H398" s="87">
        <f>IF($G398&lt;&gt;"OK","",$D398*INDEX('Lists'!$D$6:$D$30,MATCH($E398,'Lists'!$B$6:$B$30,0))/INDEX('Lists'!$D$6:$D$30,MATCH($F398,'Lists'!$B$6:$B$30,0)))</f>
        <v/>
      </c>
      <c r="I398" s="87">
        <f>IF($G398&lt;&gt;"OK","",INDEX('Inventory'!$G$7:$G$106,MATCH($C398,'Inventory'!$B$7:$B$106,0)))</f>
        <v/>
      </c>
      <c r="J398" s="88">
        <f>IF($G398&lt;&gt;"OK","",$H398*$I398)</f>
        <v/>
      </c>
      <c r="K398" s="82">
        <f>IF($G398&lt;&gt;"OK","",SUMIFS('Sales Log'!$D$7:$D$3006,'Sales Log'!$C$7:$C$3006,$B398,'Sales Log'!$B$7:$B$3006,"&gt;="&amp;cfg_CountDate,'Sales Log'!$N$7:$N$3006,"OK"))</f>
        <v/>
      </c>
      <c r="L398" s="89">
        <f>IF($G398&lt;&gt;"OK","",$H398*$K398)</f>
        <v/>
      </c>
    </row>
    <row r="399" ht="17" customHeight="1">
      <c r="B399" s="60" t="n"/>
      <c r="C399" s="60" t="n"/>
      <c r="D399" s="86" t="n"/>
      <c r="E399" s="60" t="n"/>
      <c r="F399" s="13">
        <f>IF($C399="","",IFERROR(INDEX('Inventory'!$D$7:$D$106,MATCH($C399,'Inventory'!$B$7:$B$106,0))&amp;"","?"))</f>
        <v/>
      </c>
      <c r="G399" s="80">
        <f>IF(AND($B399="",$C399=""),"",IF($B399="","Pick menu item",IF(ISNA(MATCH($B399,'Menu Pricing'!$B$7:$B$56,0)),"Not on Menu Pricing",IF($C399="","Pick ingredient",IF($F399="?","Not in Inventory",IF($F399="","Set stock unit in Inventory",IF(N($D399)&lt;=0,"Enter quantity",IF($E399="","Pick unit",IF(IFERROR(INDEX('Lists'!$C$6:$C$30,MATCH($E399,'Lists'!$B$6:$B$30,0)),"?")&lt;&gt;IFERROR(INDEX('Lists'!$C$6:$C$30,MATCH($F399,'Lists'!$B$6:$B$30,0)),"?"),"Unit mismatch",IF(ISNUMBER(INDEX('Inventory'!$G$7:$G$106,MATCH($C399,'Inventory'!$B$7:$B$106,0))),"OK","Add price in Inventory"))))))))))</f>
        <v/>
      </c>
      <c r="H399" s="87">
        <f>IF($G399&lt;&gt;"OK","",$D399*INDEX('Lists'!$D$6:$D$30,MATCH($E399,'Lists'!$B$6:$B$30,0))/INDEX('Lists'!$D$6:$D$30,MATCH($F399,'Lists'!$B$6:$B$30,0)))</f>
        <v/>
      </c>
      <c r="I399" s="87">
        <f>IF($G399&lt;&gt;"OK","",INDEX('Inventory'!$G$7:$G$106,MATCH($C399,'Inventory'!$B$7:$B$106,0)))</f>
        <v/>
      </c>
      <c r="J399" s="88">
        <f>IF($G399&lt;&gt;"OK","",$H399*$I399)</f>
        <v/>
      </c>
      <c r="K399" s="82">
        <f>IF($G399&lt;&gt;"OK","",SUMIFS('Sales Log'!$D$7:$D$3006,'Sales Log'!$C$7:$C$3006,$B399,'Sales Log'!$B$7:$B$3006,"&gt;="&amp;cfg_CountDate,'Sales Log'!$N$7:$N$3006,"OK"))</f>
        <v/>
      </c>
      <c r="L399" s="89">
        <f>IF($G399&lt;&gt;"OK","",$H399*$K399)</f>
        <v/>
      </c>
    </row>
    <row r="400" ht="17" customHeight="1">
      <c r="B400" s="60" t="n"/>
      <c r="C400" s="60" t="n"/>
      <c r="D400" s="86" t="n"/>
      <c r="E400" s="60" t="n"/>
      <c r="F400" s="13">
        <f>IF($C400="","",IFERROR(INDEX('Inventory'!$D$7:$D$106,MATCH($C400,'Inventory'!$B$7:$B$106,0))&amp;"","?"))</f>
        <v/>
      </c>
      <c r="G400" s="80">
        <f>IF(AND($B400="",$C400=""),"",IF($B400="","Pick menu item",IF(ISNA(MATCH($B400,'Menu Pricing'!$B$7:$B$56,0)),"Not on Menu Pricing",IF($C400="","Pick ingredient",IF($F400="?","Not in Inventory",IF($F400="","Set stock unit in Inventory",IF(N($D400)&lt;=0,"Enter quantity",IF($E400="","Pick unit",IF(IFERROR(INDEX('Lists'!$C$6:$C$30,MATCH($E400,'Lists'!$B$6:$B$30,0)),"?")&lt;&gt;IFERROR(INDEX('Lists'!$C$6:$C$30,MATCH($F400,'Lists'!$B$6:$B$30,0)),"?"),"Unit mismatch",IF(ISNUMBER(INDEX('Inventory'!$G$7:$G$106,MATCH($C400,'Inventory'!$B$7:$B$106,0))),"OK","Add price in Inventory"))))))))))</f>
        <v/>
      </c>
      <c r="H400" s="87">
        <f>IF($G400&lt;&gt;"OK","",$D400*INDEX('Lists'!$D$6:$D$30,MATCH($E400,'Lists'!$B$6:$B$30,0))/INDEX('Lists'!$D$6:$D$30,MATCH($F400,'Lists'!$B$6:$B$30,0)))</f>
        <v/>
      </c>
      <c r="I400" s="87">
        <f>IF($G400&lt;&gt;"OK","",INDEX('Inventory'!$G$7:$G$106,MATCH($C400,'Inventory'!$B$7:$B$106,0)))</f>
        <v/>
      </c>
      <c r="J400" s="88">
        <f>IF($G400&lt;&gt;"OK","",$H400*$I400)</f>
        <v/>
      </c>
      <c r="K400" s="82">
        <f>IF($G400&lt;&gt;"OK","",SUMIFS('Sales Log'!$D$7:$D$3006,'Sales Log'!$C$7:$C$3006,$B400,'Sales Log'!$B$7:$B$3006,"&gt;="&amp;cfg_CountDate,'Sales Log'!$N$7:$N$3006,"OK"))</f>
        <v/>
      </c>
      <c r="L400" s="89">
        <f>IF($G400&lt;&gt;"OK","",$H400*$K400)</f>
        <v/>
      </c>
    </row>
    <row r="401" ht="17" customHeight="1">
      <c r="B401" s="60" t="n"/>
      <c r="C401" s="60" t="n"/>
      <c r="D401" s="86" t="n"/>
      <c r="E401" s="60" t="n"/>
      <c r="F401" s="13">
        <f>IF($C401="","",IFERROR(INDEX('Inventory'!$D$7:$D$106,MATCH($C401,'Inventory'!$B$7:$B$106,0))&amp;"","?"))</f>
        <v/>
      </c>
      <c r="G401" s="80">
        <f>IF(AND($B401="",$C401=""),"",IF($B401="","Pick menu item",IF(ISNA(MATCH($B401,'Menu Pricing'!$B$7:$B$56,0)),"Not on Menu Pricing",IF($C401="","Pick ingredient",IF($F401="?","Not in Inventory",IF($F401="","Set stock unit in Inventory",IF(N($D401)&lt;=0,"Enter quantity",IF($E401="","Pick unit",IF(IFERROR(INDEX('Lists'!$C$6:$C$30,MATCH($E401,'Lists'!$B$6:$B$30,0)),"?")&lt;&gt;IFERROR(INDEX('Lists'!$C$6:$C$30,MATCH($F401,'Lists'!$B$6:$B$30,0)),"?"),"Unit mismatch",IF(ISNUMBER(INDEX('Inventory'!$G$7:$G$106,MATCH($C401,'Inventory'!$B$7:$B$106,0))),"OK","Add price in Inventory"))))))))))</f>
        <v/>
      </c>
      <c r="H401" s="87">
        <f>IF($G401&lt;&gt;"OK","",$D401*INDEX('Lists'!$D$6:$D$30,MATCH($E401,'Lists'!$B$6:$B$30,0))/INDEX('Lists'!$D$6:$D$30,MATCH($F401,'Lists'!$B$6:$B$30,0)))</f>
        <v/>
      </c>
      <c r="I401" s="87">
        <f>IF($G401&lt;&gt;"OK","",INDEX('Inventory'!$G$7:$G$106,MATCH($C401,'Inventory'!$B$7:$B$106,0)))</f>
        <v/>
      </c>
      <c r="J401" s="88">
        <f>IF($G401&lt;&gt;"OK","",$H401*$I401)</f>
        <v/>
      </c>
      <c r="K401" s="82">
        <f>IF($G401&lt;&gt;"OK","",SUMIFS('Sales Log'!$D$7:$D$3006,'Sales Log'!$C$7:$C$3006,$B401,'Sales Log'!$B$7:$B$3006,"&gt;="&amp;cfg_CountDate,'Sales Log'!$N$7:$N$3006,"OK"))</f>
        <v/>
      </c>
      <c r="L401" s="89">
        <f>IF($G401&lt;&gt;"OK","",$H401*$K401)</f>
        <v/>
      </c>
    </row>
    <row r="402" ht="17" customHeight="1">
      <c r="B402" s="60" t="n"/>
      <c r="C402" s="60" t="n"/>
      <c r="D402" s="86" t="n"/>
      <c r="E402" s="60" t="n"/>
      <c r="F402" s="13">
        <f>IF($C402="","",IFERROR(INDEX('Inventory'!$D$7:$D$106,MATCH($C402,'Inventory'!$B$7:$B$106,0))&amp;"","?"))</f>
        <v/>
      </c>
      <c r="G402" s="80">
        <f>IF(AND($B402="",$C402=""),"",IF($B402="","Pick menu item",IF(ISNA(MATCH($B402,'Menu Pricing'!$B$7:$B$56,0)),"Not on Menu Pricing",IF($C402="","Pick ingredient",IF($F402="?","Not in Inventory",IF($F402="","Set stock unit in Inventory",IF(N($D402)&lt;=0,"Enter quantity",IF($E402="","Pick unit",IF(IFERROR(INDEX('Lists'!$C$6:$C$30,MATCH($E402,'Lists'!$B$6:$B$30,0)),"?")&lt;&gt;IFERROR(INDEX('Lists'!$C$6:$C$30,MATCH($F402,'Lists'!$B$6:$B$30,0)),"?"),"Unit mismatch",IF(ISNUMBER(INDEX('Inventory'!$G$7:$G$106,MATCH($C402,'Inventory'!$B$7:$B$106,0))),"OK","Add price in Inventory"))))))))))</f>
        <v/>
      </c>
      <c r="H402" s="87">
        <f>IF($G402&lt;&gt;"OK","",$D402*INDEX('Lists'!$D$6:$D$30,MATCH($E402,'Lists'!$B$6:$B$30,0))/INDEX('Lists'!$D$6:$D$30,MATCH($F402,'Lists'!$B$6:$B$30,0)))</f>
        <v/>
      </c>
      <c r="I402" s="87">
        <f>IF($G402&lt;&gt;"OK","",INDEX('Inventory'!$G$7:$G$106,MATCH($C402,'Inventory'!$B$7:$B$106,0)))</f>
        <v/>
      </c>
      <c r="J402" s="88">
        <f>IF($G402&lt;&gt;"OK","",$H402*$I402)</f>
        <v/>
      </c>
      <c r="K402" s="82">
        <f>IF($G402&lt;&gt;"OK","",SUMIFS('Sales Log'!$D$7:$D$3006,'Sales Log'!$C$7:$C$3006,$B402,'Sales Log'!$B$7:$B$3006,"&gt;="&amp;cfg_CountDate,'Sales Log'!$N$7:$N$3006,"OK"))</f>
        <v/>
      </c>
      <c r="L402" s="89">
        <f>IF($G402&lt;&gt;"OK","",$H402*$K402)</f>
        <v/>
      </c>
    </row>
    <row r="403" ht="17" customHeight="1">
      <c r="B403" s="60" t="n"/>
      <c r="C403" s="60" t="n"/>
      <c r="D403" s="86" t="n"/>
      <c r="E403" s="60" t="n"/>
      <c r="F403" s="13">
        <f>IF($C403="","",IFERROR(INDEX('Inventory'!$D$7:$D$106,MATCH($C403,'Inventory'!$B$7:$B$106,0))&amp;"","?"))</f>
        <v/>
      </c>
      <c r="G403" s="80">
        <f>IF(AND($B403="",$C403=""),"",IF($B403="","Pick menu item",IF(ISNA(MATCH($B403,'Menu Pricing'!$B$7:$B$56,0)),"Not on Menu Pricing",IF($C403="","Pick ingredient",IF($F403="?","Not in Inventory",IF($F403="","Set stock unit in Inventory",IF(N($D403)&lt;=0,"Enter quantity",IF($E403="","Pick unit",IF(IFERROR(INDEX('Lists'!$C$6:$C$30,MATCH($E403,'Lists'!$B$6:$B$30,0)),"?")&lt;&gt;IFERROR(INDEX('Lists'!$C$6:$C$30,MATCH($F403,'Lists'!$B$6:$B$30,0)),"?"),"Unit mismatch",IF(ISNUMBER(INDEX('Inventory'!$G$7:$G$106,MATCH($C403,'Inventory'!$B$7:$B$106,0))),"OK","Add price in Inventory"))))))))))</f>
        <v/>
      </c>
      <c r="H403" s="87">
        <f>IF($G403&lt;&gt;"OK","",$D403*INDEX('Lists'!$D$6:$D$30,MATCH($E403,'Lists'!$B$6:$B$30,0))/INDEX('Lists'!$D$6:$D$30,MATCH($F403,'Lists'!$B$6:$B$30,0)))</f>
        <v/>
      </c>
      <c r="I403" s="87">
        <f>IF($G403&lt;&gt;"OK","",INDEX('Inventory'!$G$7:$G$106,MATCH($C403,'Inventory'!$B$7:$B$106,0)))</f>
        <v/>
      </c>
      <c r="J403" s="88">
        <f>IF($G403&lt;&gt;"OK","",$H403*$I403)</f>
        <v/>
      </c>
      <c r="K403" s="82">
        <f>IF($G403&lt;&gt;"OK","",SUMIFS('Sales Log'!$D$7:$D$3006,'Sales Log'!$C$7:$C$3006,$B403,'Sales Log'!$B$7:$B$3006,"&gt;="&amp;cfg_CountDate,'Sales Log'!$N$7:$N$3006,"OK"))</f>
        <v/>
      </c>
      <c r="L403" s="89">
        <f>IF($G403&lt;&gt;"OK","",$H403*$K403)</f>
        <v/>
      </c>
    </row>
    <row r="404" ht="17" customHeight="1">
      <c r="B404" s="60" t="n"/>
      <c r="C404" s="60" t="n"/>
      <c r="D404" s="86" t="n"/>
      <c r="E404" s="60" t="n"/>
      <c r="F404" s="13">
        <f>IF($C404="","",IFERROR(INDEX('Inventory'!$D$7:$D$106,MATCH($C404,'Inventory'!$B$7:$B$106,0))&amp;"","?"))</f>
        <v/>
      </c>
      <c r="G404" s="80">
        <f>IF(AND($B404="",$C404=""),"",IF($B404="","Pick menu item",IF(ISNA(MATCH($B404,'Menu Pricing'!$B$7:$B$56,0)),"Not on Menu Pricing",IF($C404="","Pick ingredient",IF($F404="?","Not in Inventory",IF($F404="","Set stock unit in Inventory",IF(N($D404)&lt;=0,"Enter quantity",IF($E404="","Pick unit",IF(IFERROR(INDEX('Lists'!$C$6:$C$30,MATCH($E404,'Lists'!$B$6:$B$30,0)),"?")&lt;&gt;IFERROR(INDEX('Lists'!$C$6:$C$30,MATCH($F404,'Lists'!$B$6:$B$30,0)),"?"),"Unit mismatch",IF(ISNUMBER(INDEX('Inventory'!$G$7:$G$106,MATCH($C404,'Inventory'!$B$7:$B$106,0))),"OK","Add price in Inventory"))))))))))</f>
        <v/>
      </c>
      <c r="H404" s="87">
        <f>IF($G404&lt;&gt;"OK","",$D404*INDEX('Lists'!$D$6:$D$30,MATCH($E404,'Lists'!$B$6:$B$30,0))/INDEX('Lists'!$D$6:$D$30,MATCH($F404,'Lists'!$B$6:$B$30,0)))</f>
        <v/>
      </c>
      <c r="I404" s="87">
        <f>IF($G404&lt;&gt;"OK","",INDEX('Inventory'!$G$7:$G$106,MATCH($C404,'Inventory'!$B$7:$B$106,0)))</f>
        <v/>
      </c>
      <c r="J404" s="88">
        <f>IF($G404&lt;&gt;"OK","",$H404*$I404)</f>
        <v/>
      </c>
      <c r="K404" s="82">
        <f>IF($G404&lt;&gt;"OK","",SUMIFS('Sales Log'!$D$7:$D$3006,'Sales Log'!$C$7:$C$3006,$B404,'Sales Log'!$B$7:$B$3006,"&gt;="&amp;cfg_CountDate,'Sales Log'!$N$7:$N$3006,"OK"))</f>
        <v/>
      </c>
      <c r="L404" s="89">
        <f>IF($G404&lt;&gt;"OK","",$H404*$K404)</f>
        <v/>
      </c>
    </row>
    <row r="405" ht="17" customHeight="1">
      <c r="B405" s="60" t="n"/>
      <c r="C405" s="60" t="n"/>
      <c r="D405" s="86" t="n"/>
      <c r="E405" s="60" t="n"/>
      <c r="F405" s="13">
        <f>IF($C405="","",IFERROR(INDEX('Inventory'!$D$7:$D$106,MATCH($C405,'Inventory'!$B$7:$B$106,0))&amp;"","?"))</f>
        <v/>
      </c>
      <c r="G405" s="80">
        <f>IF(AND($B405="",$C405=""),"",IF($B405="","Pick menu item",IF(ISNA(MATCH($B405,'Menu Pricing'!$B$7:$B$56,0)),"Not on Menu Pricing",IF($C405="","Pick ingredient",IF($F405="?","Not in Inventory",IF($F405="","Set stock unit in Inventory",IF(N($D405)&lt;=0,"Enter quantity",IF($E405="","Pick unit",IF(IFERROR(INDEX('Lists'!$C$6:$C$30,MATCH($E405,'Lists'!$B$6:$B$30,0)),"?")&lt;&gt;IFERROR(INDEX('Lists'!$C$6:$C$30,MATCH($F405,'Lists'!$B$6:$B$30,0)),"?"),"Unit mismatch",IF(ISNUMBER(INDEX('Inventory'!$G$7:$G$106,MATCH($C405,'Inventory'!$B$7:$B$106,0))),"OK","Add price in Inventory"))))))))))</f>
        <v/>
      </c>
      <c r="H405" s="87">
        <f>IF($G405&lt;&gt;"OK","",$D405*INDEX('Lists'!$D$6:$D$30,MATCH($E405,'Lists'!$B$6:$B$30,0))/INDEX('Lists'!$D$6:$D$30,MATCH($F405,'Lists'!$B$6:$B$30,0)))</f>
        <v/>
      </c>
      <c r="I405" s="87">
        <f>IF($G405&lt;&gt;"OK","",INDEX('Inventory'!$G$7:$G$106,MATCH($C405,'Inventory'!$B$7:$B$106,0)))</f>
        <v/>
      </c>
      <c r="J405" s="88">
        <f>IF($G405&lt;&gt;"OK","",$H405*$I405)</f>
        <v/>
      </c>
      <c r="K405" s="82">
        <f>IF($G405&lt;&gt;"OK","",SUMIFS('Sales Log'!$D$7:$D$3006,'Sales Log'!$C$7:$C$3006,$B405,'Sales Log'!$B$7:$B$3006,"&gt;="&amp;cfg_CountDate,'Sales Log'!$N$7:$N$3006,"OK"))</f>
        <v/>
      </c>
      <c r="L405" s="89">
        <f>IF($G405&lt;&gt;"OK","",$H405*$K405)</f>
        <v/>
      </c>
    </row>
    <row r="406" ht="17" customHeight="1">
      <c r="B406" s="60" t="n"/>
      <c r="C406" s="60" t="n"/>
      <c r="D406" s="86" t="n"/>
      <c r="E406" s="60" t="n"/>
      <c r="F406" s="13">
        <f>IF($C406="","",IFERROR(INDEX('Inventory'!$D$7:$D$106,MATCH($C406,'Inventory'!$B$7:$B$106,0))&amp;"","?"))</f>
        <v/>
      </c>
      <c r="G406" s="80">
        <f>IF(AND($B406="",$C406=""),"",IF($B406="","Pick menu item",IF(ISNA(MATCH($B406,'Menu Pricing'!$B$7:$B$56,0)),"Not on Menu Pricing",IF($C406="","Pick ingredient",IF($F406="?","Not in Inventory",IF($F406="","Set stock unit in Inventory",IF(N($D406)&lt;=0,"Enter quantity",IF($E406="","Pick unit",IF(IFERROR(INDEX('Lists'!$C$6:$C$30,MATCH($E406,'Lists'!$B$6:$B$30,0)),"?")&lt;&gt;IFERROR(INDEX('Lists'!$C$6:$C$30,MATCH($F406,'Lists'!$B$6:$B$30,0)),"?"),"Unit mismatch",IF(ISNUMBER(INDEX('Inventory'!$G$7:$G$106,MATCH($C406,'Inventory'!$B$7:$B$106,0))),"OK","Add price in Inventory"))))))))))</f>
        <v/>
      </c>
      <c r="H406" s="87">
        <f>IF($G406&lt;&gt;"OK","",$D406*INDEX('Lists'!$D$6:$D$30,MATCH($E406,'Lists'!$B$6:$B$30,0))/INDEX('Lists'!$D$6:$D$30,MATCH($F406,'Lists'!$B$6:$B$30,0)))</f>
        <v/>
      </c>
      <c r="I406" s="87">
        <f>IF($G406&lt;&gt;"OK","",INDEX('Inventory'!$G$7:$G$106,MATCH($C406,'Inventory'!$B$7:$B$106,0)))</f>
        <v/>
      </c>
      <c r="J406" s="88">
        <f>IF($G406&lt;&gt;"OK","",$H406*$I406)</f>
        <v/>
      </c>
      <c r="K406" s="82">
        <f>IF($G406&lt;&gt;"OK","",SUMIFS('Sales Log'!$D$7:$D$3006,'Sales Log'!$C$7:$C$3006,$B406,'Sales Log'!$B$7:$B$3006,"&gt;="&amp;cfg_CountDate,'Sales Log'!$N$7:$N$3006,"OK"))</f>
        <v/>
      </c>
      <c r="L406" s="89">
        <f>IF($G406&lt;&gt;"OK","",$H406*$K406)</f>
        <v/>
      </c>
    </row>
  </sheetData>
  <autoFilter ref="B6:L406"/>
  <mergeCells count="2">
    <mergeCell ref="F5:L5"/>
    <mergeCell ref="B5:E5"/>
  </mergeCells>
  <conditionalFormatting sqref="G7:G406">
    <cfRule type="expression" priority="1" dxfId="8">
      <formula>G7="OK"</formula>
    </cfRule>
    <cfRule type="expression" priority="2" dxfId="6">
      <formula>AND($G7&lt;&gt;"",$G7&lt;&gt;"OK")</formula>
    </cfRule>
  </conditionalFormatting>
  <conditionalFormatting sqref="J7:J406">
    <cfRule type="expression" priority="3" dxfId="10">
      <formula>cfg_Currency="USD"</formula>
    </cfRule>
    <cfRule type="expression" priority="4" dxfId="11">
      <formula>cfg_Currency="GBP"</formula>
    </cfRule>
  </conditionalFormatting>
  <dataValidations count="4">
    <dataValidation sqref="B7:B406" showDropDown="0" showInputMessage="1" showErrorMessage="1" allowBlank="1" errorTitle="Not in list" error="Please pick a value from the dropdown list." promptTitle="Menu item" prompt="Pick a menu item (add items on Menu Pricing first)." type="list" errorStyle="stop">
      <formula1>'Menu Pricing'!$B$7:$B$56</formula1>
    </dataValidation>
    <dataValidation sqref="C7:C406" showDropDown="0" showInputMessage="1" showErrorMessage="1" allowBlank="1" errorTitle="Not in list" error="Please pick a value from the dropdown list." promptTitle="Ingredient" prompt="Pick an ingredient (add them on Inventory first)." type="list" errorStyle="stop">
      <formula1>'Inventory'!$B$7:$B$106</formula1>
    </dataValidation>
    <dataValidation sqref="E7:E406" showDropDown="0" showInputMessage="1" showErrorMessage="1" allowBlank="1" errorTitle="Not in list" error="Please pick a value from the dropdown list." promptTitle="Unit" prompt="Any unit of the same type as the stock unit (mass, volume or count)." type="list" errorStyle="stop">
      <formula1>lst_Units</formula1>
    </dataValidation>
    <dataValidation sqref="D7:D406" showDropDown="0" showInputMessage="1" showErrorMessage="1" allowBlank="1" errorTitle="Invalid number" error="Enter a number greater than 0." promptTitle="Quantity" prompt="Quantity used in ONE serving." type="decimal" operator="greaterThan">
      <formula1>0</formula1>
    </dataValidation>
  </dataValidations>
  <hyperlinks>
    <hyperlink ref="B4" location="'Start Here'!A1" display="› Start Here"/>
    <hyperlink ref="C4" location="'Dashboard'!A1" display="› Dashboard"/>
    <hyperlink ref="D4" location="'Menu Pricing'!A1" display="› Menu Pricing"/>
    <hyperlink ref="F4" location="'Inventory'!A1" display="› Inventory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R109"/>
  <sheetViews>
    <sheetView showGridLines="0" zoomScale="100" workbookViewId="0">
      <pane xSplit="2" ySplit="6" topLeftCell="C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26" customWidth="1" min="2" max="2"/>
    <col width="18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12" customWidth="1" min="14" max="14"/>
    <col width="10" customWidth="1" min="15" max="15"/>
    <col width="17" customWidth="1" min="16" max="16"/>
    <col width="12" customWidth="1" min="17" max="17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0" customHeight="1">
      <c r="B2" s="54" t="inlineStr">
        <is>
          <t>Inventory</t>
        </is>
      </c>
      <c r="Q2" s="55" t="inlineStr">
        <is>
          <t>NoviraNest</t>
        </is>
      </c>
    </row>
    <row r="3" ht="18" customHeight="1">
      <c r="B3" s="56" t="inlineStr">
        <is>
          <t>Ingredient prices, estimated stock on hand and reorder alerts. Stock falls automatically as items sell (via Recipe Builder) and as waste is logged.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D4" s="57" t="inlineStr">
        <is>
          <t>› Recipe Builder</t>
        </is>
      </c>
      <c r="F4" s="57" t="inlineStr">
        <is>
          <t>› Waste Log</t>
        </is>
      </c>
    </row>
    <row r="5" ht="16" customHeight="1">
      <c r="B5" s="75" t="inlineStr">
        <is>
          <t>INGREDIENT &amp; PRICE</t>
        </is>
      </c>
      <c r="H5" s="67" t="inlineStr">
        <is>
          <t>STOCK SINCE LAST COUNT (in stock units)</t>
        </is>
      </c>
      <c r="N5" s="75" t="inlineStr">
        <is>
          <t>VALUE &amp; ALERTS</t>
        </is>
      </c>
    </row>
    <row r="6" ht="40" customHeight="1">
      <c r="B6" s="58" t="inlineStr">
        <is>
          <t>Ingredient</t>
        </is>
      </c>
      <c r="C6" s="58" t="inlineStr">
        <is>
          <t>Supplier</t>
        </is>
      </c>
      <c r="D6" s="58" t="inlineStr">
        <is>
          <t>Stock unit</t>
        </is>
      </c>
      <c r="E6" s="58" t="inlineStr">
        <is>
          <t>Pack size
(stock units)</t>
        </is>
      </c>
      <c r="F6" s="58">
        <f>"Pack price ("&amp;cfg_Symbol&amp;")"</f>
        <v/>
      </c>
      <c r="G6" s="58">
        <f>"Cost per unit ("&amp;cfg_Symbol&amp;")"</f>
        <v/>
      </c>
      <c r="H6" s="58" t="inlineStr">
        <is>
          <t>Opening stock
at count</t>
        </is>
      </c>
      <c r="I6" s="58" t="inlineStr">
        <is>
          <t>Purchased
since count</t>
        </is>
      </c>
      <c r="J6" s="58" t="inlineStr">
        <is>
          <t>Used by sales
(auto)</t>
        </is>
      </c>
      <c r="K6" s="58" t="inlineStr">
        <is>
          <t>Other usage
(staff meals...)</t>
        </is>
      </c>
      <c r="L6" s="58" t="inlineStr">
        <is>
          <t>Wasted
(auto)</t>
        </is>
      </c>
      <c r="M6" s="58" t="inlineStr">
        <is>
          <t>Est. on hand</t>
        </is>
      </c>
      <c r="N6" s="58">
        <f>"Stock value ("&amp;cfg_Symbol&amp;")"</f>
        <v/>
      </c>
      <c r="O6" s="58" t="inlineStr">
        <is>
          <t>Reorder
level</t>
        </is>
      </c>
      <c r="P6" s="58" t="inlineStr">
        <is>
          <t>Status</t>
        </is>
      </c>
      <c r="Q6" s="58">
        <f>"Waste value ("&amp;cfg_Symbol&amp;")"</f>
        <v/>
      </c>
    </row>
    <row r="7" ht="17" customHeight="1">
      <c r="B7" s="60" t="n"/>
      <c r="C7" s="60" t="n"/>
      <c r="D7" s="60" t="n"/>
      <c r="E7" s="86" t="n"/>
      <c r="F7" s="63" t="n"/>
      <c r="G7" s="87">
        <f>IF($B7="","",IF(N($E7)&lt;=0,"",N($F7)/$E7))</f>
        <v/>
      </c>
      <c r="H7" s="86" t="n"/>
      <c r="I7" s="86" t="n"/>
      <c r="J7" s="89">
        <f>IF($B7="","",SUMIFS('Recipe Builder'!$L$7:$L$406,'Recipe Builder'!$C$7:$C$406,$B7))</f>
        <v/>
      </c>
      <c r="K7" s="86" t="n"/>
      <c r="L7" s="89">
        <f>IF($B7="","",SUMIFS('Waste Log'!$I$7:$I$506,'Waste Log'!$C$7:$C$506,$B7,'Waste Log'!$B$7:$B$506,"&gt;="&amp;cfg_CountDate))</f>
        <v/>
      </c>
      <c r="M7" s="89">
        <f>IF($B7="","",N($H7)+N($I7)-N($J7)-N($K7)-N($L7))</f>
        <v/>
      </c>
      <c r="N7" s="71">
        <f>IF($B7="","",IF($G7="",0,MAX(0,$M7)*$G7))</f>
        <v/>
      </c>
      <c r="O7" s="86" t="n"/>
      <c r="P7" s="80">
        <f>IF($B7="","",IF($D7="","Set stock unit",IF($G7="","Add pack size &amp; price",IF($M7&lt;0,"Recount (negative)",IF(AND(ISNUMBER($O7),$M7&lt;=$O7),"Reorder","OK")))))</f>
        <v/>
      </c>
      <c r="Q7" s="71">
        <f>IF(OR($B7="",$G7=""),"",N($L7)*$G7)</f>
        <v/>
      </c>
    </row>
    <row r="8" ht="17" customHeight="1">
      <c r="B8" s="60" t="n"/>
      <c r="C8" s="60" t="n"/>
      <c r="D8" s="60" t="n"/>
      <c r="E8" s="86" t="n"/>
      <c r="F8" s="63" t="n"/>
      <c r="G8" s="87">
        <f>IF($B8="","",IF(N($E8)&lt;=0,"",N($F8)/$E8))</f>
        <v/>
      </c>
      <c r="H8" s="86" t="n"/>
      <c r="I8" s="86" t="n"/>
      <c r="J8" s="89">
        <f>IF($B8="","",SUMIFS('Recipe Builder'!$L$7:$L$406,'Recipe Builder'!$C$7:$C$406,$B8))</f>
        <v/>
      </c>
      <c r="K8" s="86" t="n"/>
      <c r="L8" s="89">
        <f>IF($B8="","",SUMIFS('Waste Log'!$I$7:$I$506,'Waste Log'!$C$7:$C$506,$B8,'Waste Log'!$B$7:$B$506,"&gt;="&amp;cfg_CountDate))</f>
        <v/>
      </c>
      <c r="M8" s="89">
        <f>IF($B8="","",N($H8)+N($I8)-N($J8)-N($K8)-N($L8))</f>
        <v/>
      </c>
      <c r="N8" s="71">
        <f>IF($B8="","",IF($G8="",0,MAX(0,$M8)*$G8))</f>
        <v/>
      </c>
      <c r="O8" s="86" t="n"/>
      <c r="P8" s="80">
        <f>IF($B8="","",IF($D8="","Set stock unit",IF($G8="","Add pack size &amp; price",IF($M8&lt;0,"Recount (negative)",IF(AND(ISNUMBER($O8),$M8&lt;=$O8),"Reorder","OK")))))</f>
        <v/>
      </c>
      <c r="Q8" s="71">
        <f>IF(OR($B8="",$G8=""),"",N($L8)*$G8)</f>
        <v/>
      </c>
    </row>
    <row r="9" ht="17" customHeight="1">
      <c r="B9" s="60" t="n"/>
      <c r="C9" s="60" t="n"/>
      <c r="D9" s="60" t="n"/>
      <c r="E9" s="86" t="n"/>
      <c r="F9" s="63" t="n"/>
      <c r="G9" s="87">
        <f>IF($B9="","",IF(N($E9)&lt;=0,"",N($F9)/$E9))</f>
        <v/>
      </c>
      <c r="H9" s="86" t="n"/>
      <c r="I9" s="86" t="n"/>
      <c r="J9" s="89">
        <f>IF($B9="","",SUMIFS('Recipe Builder'!$L$7:$L$406,'Recipe Builder'!$C$7:$C$406,$B9))</f>
        <v/>
      </c>
      <c r="K9" s="86" t="n"/>
      <c r="L9" s="89">
        <f>IF($B9="","",SUMIFS('Waste Log'!$I$7:$I$506,'Waste Log'!$C$7:$C$506,$B9,'Waste Log'!$B$7:$B$506,"&gt;="&amp;cfg_CountDate))</f>
        <v/>
      </c>
      <c r="M9" s="89">
        <f>IF($B9="","",N($H9)+N($I9)-N($J9)-N($K9)-N($L9))</f>
        <v/>
      </c>
      <c r="N9" s="71">
        <f>IF($B9="","",IF($G9="",0,MAX(0,$M9)*$G9))</f>
        <v/>
      </c>
      <c r="O9" s="86" t="n"/>
      <c r="P9" s="80">
        <f>IF($B9="","",IF($D9="","Set stock unit",IF($G9="","Add pack size &amp; price",IF($M9&lt;0,"Recount (negative)",IF(AND(ISNUMBER($O9),$M9&lt;=$O9),"Reorder","OK")))))</f>
        <v/>
      </c>
      <c r="Q9" s="71">
        <f>IF(OR($B9="",$G9=""),"",N($L9)*$G9)</f>
        <v/>
      </c>
    </row>
    <row r="10" ht="17" customHeight="1">
      <c r="B10" s="60" t="n"/>
      <c r="C10" s="60" t="n"/>
      <c r="D10" s="60" t="n"/>
      <c r="E10" s="86" t="n"/>
      <c r="F10" s="63" t="n"/>
      <c r="G10" s="87">
        <f>IF($B10="","",IF(N($E10)&lt;=0,"",N($F10)/$E10))</f>
        <v/>
      </c>
      <c r="H10" s="86" t="n"/>
      <c r="I10" s="86" t="n"/>
      <c r="J10" s="89">
        <f>IF($B10="","",SUMIFS('Recipe Builder'!$L$7:$L$406,'Recipe Builder'!$C$7:$C$406,$B10))</f>
        <v/>
      </c>
      <c r="K10" s="86" t="n"/>
      <c r="L10" s="89">
        <f>IF($B10="","",SUMIFS('Waste Log'!$I$7:$I$506,'Waste Log'!$C$7:$C$506,$B10,'Waste Log'!$B$7:$B$506,"&gt;="&amp;cfg_CountDate))</f>
        <v/>
      </c>
      <c r="M10" s="89">
        <f>IF($B10="","",N($H10)+N($I10)-N($J10)-N($K10)-N($L10))</f>
        <v/>
      </c>
      <c r="N10" s="71">
        <f>IF($B10="","",IF($G10="",0,MAX(0,$M10)*$G10))</f>
        <v/>
      </c>
      <c r="O10" s="86" t="n"/>
      <c r="P10" s="80">
        <f>IF($B10="","",IF($D10="","Set stock unit",IF($G10="","Add pack size &amp; price",IF($M10&lt;0,"Recount (negative)",IF(AND(ISNUMBER($O10),$M10&lt;=$O10),"Reorder","OK")))))</f>
        <v/>
      </c>
      <c r="Q10" s="71">
        <f>IF(OR($B10="",$G10=""),"",N($L10)*$G10)</f>
        <v/>
      </c>
    </row>
    <row r="11" ht="17" customHeight="1">
      <c r="B11" s="60" t="n"/>
      <c r="C11" s="60" t="n"/>
      <c r="D11" s="60" t="n"/>
      <c r="E11" s="86" t="n"/>
      <c r="F11" s="63" t="n"/>
      <c r="G11" s="87">
        <f>IF($B11="","",IF(N($E11)&lt;=0,"",N($F11)/$E11))</f>
        <v/>
      </c>
      <c r="H11" s="86" t="n"/>
      <c r="I11" s="86" t="n"/>
      <c r="J11" s="89">
        <f>IF($B11="","",SUMIFS('Recipe Builder'!$L$7:$L$406,'Recipe Builder'!$C$7:$C$406,$B11))</f>
        <v/>
      </c>
      <c r="K11" s="86" t="n"/>
      <c r="L11" s="89">
        <f>IF($B11="","",SUMIFS('Waste Log'!$I$7:$I$506,'Waste Log'!$C$7:$C$506,$B11,'Waste Log'!$B$7:$B$506,"&gt;="&amp;cfg_CountDate))</f>
        <v/>
      </c>
      <c r="M11" s="89">
        <f>IF($B11="","",N($H11)+N($I11)-N($J11)-N($K11)-N($L11))</f>
        <v/>
      </c>
      <c r="N11" s="71">
        <f>IF($B11="","",IF($G11="",0,MAX(0,$M11)*$G11))</f>
        <v/>
      </c>
      <c r="O11" s="86" t="n"/>
      <c r="P11" s="80">
        <f>IF($B11="","",IF($D11="","Set stock unit",IF($G11="","Add pack size &amp; price",IF($M11&lt;0,"Recount (negative)",IF(AND(ISNUMBER($O11),$M11&lt;=$O11),"Reorder","OK")))))</f>
        <v/>
      </c>
      <c r="Q11" s="71">
        <f>IF(OR($B11="",$G11=""),"",N($L11)*$G11)</f>
        <v/>
      </c>
    </row>
    <row r="12" ht="17" customHeight="1">
      <c r="B12" s="60" t="n"/>
      <c r="C12" s="60" t="n"/>
      <c r="D12" s="60" t="n"/>
      <c r="E12" s="86" t="n"/>
      <c r="F12" s="63" t="n"/>
      <c r="G12" s="87">
        <f>IF($B12="","",IF(N($E12)&lt;=0,"",N($F12)/$E12))</f>
        <v/>
      </c>
      <c r="H12" s="86" t="n"/>
      <c r="I12" s="86" t="n"/>
      <c r="J12" s="89">
        <f>IF($B12="","",SUMIFS('Recipe Builder'!$L$7:$L$406,'Recipe Builder'!$C$7:$C$406,$B12))</f>
        <v/>
      </c>
      <c r="K12" s="86" t="n"/>
      <c r="L12" s="89">
        <f>IF($B12="","",SUMIFS('Waste Log'!$I$7:$I$506,'Waste Log'!$C$7:$C$506,$B12,'Waste Log'!$B$7:$B$506,"&gt;="&amp;cfg_CountDate))</f>
        <v/>
      </c>
      <c r="M12" s="89">
        <f>IF($B12="","",N($H12)+N($I12)-N($J12)-N($K12)-N($L12))</f>
        <v/>
      </c>
      <c r="N12" s="71">
        <f>IF($B12="","",IF($G12="",0,MAX(0,$M12)*$G12))</f>
        <v/>
      </c>
      <c r="O12" s="86" t="n"/>
      <c r="P12" s="80">
        <f>IF($B12="","",IF($D12="","Set stock unit",IF($G12="","Add pack size &amp; price",IF($M12&lt;0,"Recount (negative)",IF(AND(ISNUMBER($O12),$M12&lt;=$O12),"Reorder","OK")))))</f>
        <v/>
      </c>
      <c r="Q12" s="71">
        <f>IF(OR($B12="",$G12=""),"",N($L12)*$G12)</f>
        <v/>
      </c>
    </row>
    <row r="13" ht="17" customHeight="1">
      <c r="B13" s="60" t="n"/>
      <c r="C13" s="60" t="n"/>
      <c r="D13" s="60" t="n"/>
      <c r="E13" s="86" t="n"/>
      <c r="F13" s="63" t="n"/>
      <c r="G13" s="87">
        <f>IF($B13="","",IF(N($E13)&lt;=0,"",N($F13)/$E13))</f>
        <v/>
      </c>
      <c r="H13" s="86" t="n"/>
      <c r="I13" s="86" t="n"/>
      <c r="J13" s="89">
        <f>IF($B13="","",SUMIFS('Recipe Builder'!$L$7:$L$406,'Recipe Builder'!$C$7:$C$406,$B13))</f>
        <v/>
      </c>
      <c r="K13" s="86" t="n"/>
      <c r="L13" s="89">
        <f>IF($B13="","",SUMIFS('Waste Log'!$I$7:$I$506,'Waste Log'!$C$7:$C$506,$B13,'Waste Log'!$B$7:$B$506,"&gt;="&amp;cfg_CountDate))</f>
        <v/>
      </c>
      <c r="M13" s="89">
        <f>IF($B13="","",N($H13)+N($I13)-N($J13)-N($K13)-N($L13))</f>
        <v/>
      </c>
      <c r="N13" s="71">
        <f>IF($B13="","",IF($G13="",0,MAX(0,$M13)*$G13))</f>
        <v/>
      </c>
      <c r="O13" s="86" t="n"/>
      <c r="P13" s="80">
        <f>IF($B13="","",IF($D13="","Set stock unit",IF($G13="","Add pack size &amp; price",IF($M13&lt;0,"Recount (negative)",IF(AND(ISNUMBER($O13),$M13&lt;=$O13),"Reorder","OK")))))</f>
        <v/>
      </c>
      <c r="Q13" s="71">
        <f>IF(OR($B13="",$G13=""),"",N($L13)*$G13)</f>
        <v/>
      </c>
    </row>
    <row r="14" ht="17" customHeight="1">
      <c r="B14" s="60" t="n"/>
      <c r="C14" s="60" t="n"/>
      <c r="D14" s="60" t="n"/>
      <c r="E14" s="86" t="n"/>
      <c r="F14" s="63" t="n"/>
      <c r="G14" s="87">
        <f>IF($B14="","",IF(N($E14)&lt;=0,"",N($F14)/$E14))</f>
        <v/>
      </c>
      <c r="H14" s="86" t="n"/>
      <c r="I14" s="86" t="n"/>
      <c r="J14" s="89">
        <f>IF($B14="","",SUMIFS('Recipe Builder'!$L$7:$L$406,'Recipe Builder'!$C$7:$C$406,$B14))</f>
        <v/>
      </c>
      <c r="K14" s="86" t="n"/>
      <c r="L14" s="89">
        <f>IF($B14="","",SUMIFS('Waste Log'!$I$7:$I$506,'Waste Log'!$C$7:$C$506,$B14,'Waste Log'!$B$7:$B$506,"&gt;="&amp;cfg_CountDate))</f>
        <v/>
      </c>
      <c r="M14" s="89">
        <f>IF($B14="","",N($H14)+N($I14)-N($J14)-N($K14)-N($L14))</f>
        <v/>
      </c>
      <c r="N14" s="71">
        <f>IF($B14="","",IF($G14="",0,MAX(0,$M14)*$G14))</f>
        <v/>
      </c>
      <c r="O14" s="86" t="n"/>
      <c r="P14" s="80">
        <f>IF($B14="","",IF($D14="","Set stock unit",IF($G14="","Add pack size &amp; price",IF($M14&lt;0,"Recount (negative)",IF(AND(ISNUMBER($O14),$M14&lt;=$O14),"Reorder","OK")))))</f>
        <v/>
      </c>
      <c r="Q14" s="71">
        <f>IF(OR($B14="",$G14=""),"",N($L14)*$G14)</f>
        <v/>
      </c>
    </row>
    <row r="15" ht="17" customHeight="1">
      <c r="B15" s="60" t="n"/>
      <c r="C15" s="60" t="n"/>
      <c r="D15" s="60" t="n"/>
      <c r="E15" s="86" t="n"/>
      <c r="F15" s="63" t="n"/>
      <c r="G15" s="87">
        <f>IF($B15="","",IF(N($E15)&lt;=0,"",N($F15)/$E15))</f>
        <v/>
      </c>
      <c r="H15" s="86" t="n"/>
      <c r="I15" s="86" t="n"/>
      <c r="J15" s="89">
        <f>IF($B15="","",SUMIFS('Recipe Builder'!$L$7:$L$406,'Recipe Builder'!$C$7:$C$406,$B15))</f>
        <v/>
      </c>
      <c r="K15" s="86" t="n"/>
      <c r="L15" s="89">
        <f>IF($B15="","",SUMIFS('Waste Log'!$I$7:$I$506,'Waste Log'!$C$7:$C$506,$B15,'Waste Log'!$B$7:$B$506,"&gt;="&amp;cfg_CountDate))</f>
        <v/>
      </c>
      <c r="M15" s="89">
        <f>IF($B15="","",N($H15)+N($I15)-N($J15)-N($K15)-N($L15))</f>
        <v/>
      </c>
      <c r="N15" s="71">
        <f>IF($B15="","",IF($G15="",0,MAX(0,$M15)*$G15))</f>
        <v/>
      </c>
      <c r="O15" s="86" t="n"/>
      <c r="P15" s="80">
        <f>IF($B15="","",IF($D15="","Set stock unit",IF($G15="","Add pack size &amp; price",IF($M15&lt;0,"Recount (negative)",IF(AND(ISNUMBER($O15),$M15&lt;=$O15),"Reorder","OK")))))</f>
        <v/>
      </c>
      <c r="Q15" s="71">
        <f>IF(OR($B15="",$G15=""),"",N($L15)*$G15)</f>
        <v/>
      </c>
    </row>
    <row r="16" ht="17" customHeight="1">
      <c r="B16" s="60" t="n"/>
      <c r="C16" s="60" t="n"/>
      <c r="D16" s="60" t="n"/>
      <c r="E16" s="86" t="n"/>
      <c r="F16" s="63" t="n"/>
      <c r="G16" s="87">
        <f>IF($B16="","",IF(N($E16)&lt;=0,"",N($F16)/$E16))</f>
        <v/>
      </c>
      <c r="H16" s="86" t="n"/>
      <c r="I16" s="86" t="n"/>
      <c r="J16" s="89">
        <f>IF($B16="","",SUMIFS('Recipe Builder'!$L$7:$L$406,'Recipe Builder'!$C$7:$C$406,$B16))</f>
        <v/>
      </c>
      <c r="K16" s="86" t="n"/>
      <c r="L16" s="89">
        <f>IF($B16="","",SUMIFS('Waste Log'!$I$7:$I$506,'Waste Log'!$C$7:$C$506,$B16,'Waste Log'!$B$7:$B$506,"&gt;="&amp;cfg_CountDate))</f>
        <v/>
      </c>
      <c r="M16" s="89">
        <f>IF($B16="","",N($H16)+N($I16)-N($J16)-N($K16)-N($L16))</f>
        <v/>
      </c>
      <c r="N16" s="71">
        <f>IF($B16="","",IF($G16="",0,MAX(0,$M16)*$G16))</f>
        <v/>
      </c>
      <c r="O16" s="86" t="n"/>
      <c r="P16" s="80">
        <f>IF($B16="","",IF($D16="","Set stock unit",IF($G16="","Add pack size &amp; price",IF($M16&lt;0,"Recount (negative)",IF(AND(ISNUMBER($O16),$M16&lt;=$O16),"Reorder","OK")))))</f>
        <v/>
      </c>
      <c r="Q16" s="71">
        <f>IF(OR($B16="",$G16=""),"",N($L16)*$G16)</f>
        <v/>
      </c>
    </row>
    <row r="17" ht="17" customHeight="1">
      <c r="B17" s="60" t="n"/>
      <c r="C17" s="60" t="n"/>
      <c r="D17" s="60" t="n"/>
      <c r="E17" s="86" t="n"/>
      <c r="F17" s="63" t="n"/>
      <c r="G17" s="87">
        <f>IF($B17="","",IF(N($E17)&lt;=0,"",N($F17)/$E17))</f>
        <v/>
      </c>
      <c r="H17" s="86" t="n"/>
      <c r="I17" s="86" t="n"/>
      <c r="J17" s="89">
        <f>IF($B17="","",SUMIFS('Recipe Builder'!$L$7:$L$406,'Recipe Builder'!$C$7:$C$406,$B17))</f>
        <v/>
      </c>
      <c r="K17" s="86" t="n"/>
      <c r="L17" s="89">
        <f>IF($B17="","",SUMIFS('Waste Log'!$I$7:$I$506,'Waste Log'!$C$7:$C$506,$B17,'Waste Log'!$B$7:$B$506,"&gt;="&amp;cfg_CountDate))</f>
        <v/>
      </c>
      <c r="M17" s="89">
        <f>IF($B17="","",N($H17)+N($I17)-N($J17)-N($K17)-N($L17))</f>
        <v/>
      </c>
      <c r="N17" s="71">
        <f>IF($B17="","",IF($G17="",0,MAX(0,$M17)*$G17))</f>
        <v/>
      </c>
      <c r="O17" s="86" t="n"/>
      <c r="P17" s="80">
        <f>IF($B17="","",IF($D17="","Set stock unit",IF($G17="","Add pack size &amp; price",IF($M17&lt;0,"Recount (negative)",IF(AND(ISNUMBER($O17),$M17&lt;=$O17),"Reorder","OK")))))</f>
        <v/>
      </c>
      <c r="Q17" s="71">
        <f>IF(OR($B17="",$G17=""),"",N($L17)*$G17)</f>
        <v/>
      </c>
    </row>
    <row r="18" ht="17" customHeight="1">
      <c r="B18" s="60" t="n"/>
      <c r="C18" s="60" t="n"/>
      <c r="D18" s="60" t="n"/>
      <c r="E18" s="86" t="n"/>
      <c r="F18" s="63" t="n"/>
      <c r="G18" s="87">
        <f>IF($B18="","",IF(N($E18)&lt;=0,"",N($F18)/$E18))</f>
        <v/>
      </c>
      <c r="H18" s="86" t="n"/>
      <c r="I18" s="86" t="n"/>
      <c r="J18" s="89">
        <f>IF($B18="","",SUMIFS('Recipe Builder'!$L$7:$L$406,'Recipe Builder'!$C$7:$C$406,$B18))</f>
        <v/>
      </c>
      <c r="K18" s="86" t="n"/>
      <c r="L18" s="89">
        <f>IF($B18="","",SUMIFS('Waste Log'!$I$7:$I$506,'Waste Log'!$C$7:$C$506,$B18,'Waste Log'!$B$7:$B$506,"&gt;="&amp;cfg_CountDate))</f>
        <v/>
      </c>
      <c r="M18" s="89">
        <f>IF($B18="","",N($H18)+N($I18)-N($J18)-N($K18)-N($L18))</f>
        <v/>
      </c>
      <c r="N18" s="71">
        <f>IF($B18="","",IF($G18="",0,MAX(0,$M18)*$G18))</f>
        <v/>
      </c>
      <c r="O18" s="86" t="n"/>
      <c r="P18" s="80">
        <f>IF($B18="","",IF($D18="","Set stock unit",IF($G18="","Add pack size &amp; price",IF($M18&lt;0,"Recount (negative)",IF(AND(ISNUMBER($O18),$M18&lt;=$O18),"Reorder","OK")))))</f>
        <v/>
      </c>
      <c r="Q18" s="71">
        <f>IF(OR($B18="",$G18=""),"",N($L18)*$G18)</f>
        <v/>
      </c>
    </row>
    <row r="19" ht="17" customHeight="1">
      <c r="B19" s="60" t="n"/>
      <c r="C19" s="60" t="n"/>
      <c r="D19" s="60" t="n"/>
      <c r="E19" s="86" t="n"/>
      <c r="F19" s="63" t="n"/>
      <c r="G19" s="87">
        <f>IF($B19="","",IF(N($E19)&lt;=0,"",N($F19)/$E19))</f>
        <v/>
      </c>
      <c r="H19" s="86" t="n"/>
      <c r="I19" s="86" t="n"/>
      <c r="J19" s="89">
        <f>IF($B19="","",SUMIFS('Recipe Builder'!$L$7:$L$406,'Recipe Builder'!$C$7:$C$406,$B19))</f>
        <v/>
      </c>
      <c r="K19" s="86" t="n"/>
      <c r="L19" s="89">
        <f>IF($B19="","",SUMIFS('Waste Log'!$I$7:$I$506,'Waste Log'!$C$7:$C$506,$B19,'Waste Log'!$B$7:$B$506,"&gt;="&amp;cfg_CountDate))</f>
        <v/>
      </c>
      <c r="M19" s="89">
        <f>IF($B19="","",N($H19)+N($I19)-N($J19)-N($K19)-N($L19))</f>
        <v/>
      </c>
      <c r="N19" s="71">
        <f>IF($B19="","",IF($G19="",0,MAX(0,$M19)*$G19))</f>
        <v/>
      </c>
      <c r="O19" s="86" t="n"/>
      <c r="P19" s="80">
        <f>IF($B19="","",IF($D19="","Set stock unit",IF($G19="","Add pack size &amp; price",IF($M19&lt;0,"Recount (negative)",IF(AND(ISNUMBER($O19),$M19&lt;=$O19),"Reorder","OK")))))</f>
        <v/>
      </c>
      <c r="Q19" s="71">
        <f>IF(OR($B19="",$G19=""),"",N($L19)*$G19)</f>
        <v/>
      </c>
    </row>
    <row r="20" ht="17" customHeight="1">
      <c r="B20" s="60" t="n"/>
      <c r="C20" s="60" t="n"/>
      <c r="D20" s="60" t="n"/>
      <c r="E20" s="86" t="n"/>
      <c r="F20" s="63" t="n"/>
      <c r="G20" s="87">
        <f>IF($B20="","",IF(N($E20)&lt;=0,"",N($F20)/$E20))</f>
        <v/>
      </c>
      <c r="H20" s="86" t="n"/>
      <c r="I20" s="86" t="n"/>
      <c r="J20" s="89">
        <f>IF($B20="","",SUMIFS('Recipe Builder'!$L$7:$L$406,'Recipe Builder'!$C$7:$C$406,$B20))</f>
        <v/>
      </c>
      <c r="K20" s="86" t="n"/>
      <c r="L20" s="89">
        <f>IF($B20="","",SUMIFS('Waste Log'!$I$7:$I$506,'Waste Log'!$C$7:$C$506,$B20,'Waste Log'!$B$7:$B$506,"&gt;="&amp;cfg_CountDate))</f>
        <v/>
      </c>
      <c r="M20" s="89">
        <f>IF($B20="","",N($H20)+N($I20)-N($J20)-N($K20)-N($L20))</f>
        <v/>
      </c>
      <c r="N20" s="71">
        <f>IF($B20="","",IF($G20="",0,MAX(0,$M20)*$G20))</f>
        <v/>
      </c>
      <c r="O20" s="86" t="n"/>
      <c r="P20" s="80">
        <f>IF($B20="","",IF($D20="","Set stock unit",IF($G20="","Add pack size &amp; price",IF($M20&lt;0,"Recount (negative)",IF(AND(ISNUMBER($O20),$M20&lt;=$O20),"Reorder","OK")))))</f>
        <v/>
      </c>
      <c r="Q20" s="71">
        <f>IF(OR($B20="",$G20=""),"",N($L20)*$G20)</f>
        <v/>
      </c>
    </row>
    <row r="21" ht="17" customHeight="1">
      <c r="B21" s="60" t="n"/>
      <c r="C21" s="60" t="n"/>
      <c r="D21" s="60" t="n"/>
      <c r="E21" s="86" t="n"/>
      <c r="F21" s="63" t="n"/>
      <c r="G21" s="87">
        <f>IF($B21="","",IF(N($E21)&lt;=0,"",N($F21)/$E21))</f>
        <v/>
      </c>
      <c r="H21" s="86" t="n"/>
      <c r="I21" s="86" t="n"/>
      <c r="J21" s="89">
        <f>IF($B21="","",SUMIFS('Recipe Builder'!$L$7:$L$406,'Recipe Builder'!$C$7:$C$406,$B21))</f>
        <v/>
      </c>
      <c r="K21" s="86" t="n"/>
      <c r="L21" s="89">
        <f>IF($B21="","",SUMIFS('Waste Log'!$I$7:$I$506,'Waste Log'!$C$7:$C$506,$B21,'Waste Log'!$B$7:$B$506,"&gt;="&amp;cfg_CountDate))</f>
        <v/>
      </c>
      <c r="M21" s="89">
        <f>IF($B21="","",N($H21)+N($I21)-N($J21)-N($K21)-N($L21))</f>
        <v/>
      </c>
      <c r="N21" s="71">
        <f>IF($B21="","",IF($G21="",0,MAX(0,$M21)*$G21))</f>
        <v/>
      </c>
      <c r="O21" s="86" t="n"/>
      <c r="P21" s="80">
        <f>IF($B21="","",IF($D21="","Set stock unit",IF($G21="","Add pack size &amp; price",IF($M21&lt;0,"Recount (negative)",IF(AND(ISNUMBER($O21),$M21&lt;=$O21),"Reorder","OK")))))</f>
        <v/>
      </c>
      <c r="Q21" s="71">
        <f>IF(OR($B21="",$G21=""),"",N($L21)*$G21)</f>
        <v/>
      </c>
    </row>
    <row r="22" ht="17" customHeight="1">
      <c r="B22" s="60" t="n"/>
      <c r="C22" s="60" t="n"/>
      <c r="D22" s="60" t="n"/>
      <c r="E22" s="86" t="n"/>
      <c r="F22" s="63" t="n"/>
      <c r="G22" s="87">
        <f>IF($B22="","",IF(N($E22)&lt;=0,"",N($F22)/$E22))</f>
        <v/>
      </c>
      <c r="H22" s="86" t="n"/>
      <c r="I22" s="86" t="n"/>
      <c r="J22" s="89">
        <f>IF($B22="","",SUMIFS('Recipe Builder'!$L$7:$L$406,'Recipe Builder'!$C$7:$C$406,$B22))</f>
        <v/>
      </c>
      <c r="K22" s="86" t="n"/>
      <c r="L22" s="89">
        <f>IF($B22="","",SUMIFS('Waste Log'!$I$7:$I$506,'Waste Log'!$C$7:$C$506,$B22,'Waste Log'!$B$7:$B$506,"&gt;="&amp;cfg_CountDate))</f>
        <v/>
      </c>
      <c r="M22" s="89">
        <f>IF($B22="","",N($H22)+N($I22)-N($J22)-N($K22)-N($L22))</f>
        <v/>
      </c>
      <c r="N22" s="71">
        <f>IF($B22="","",IF($G22="",0,MAX(0,$M22)*$G22))</f>
        <v/>
      </c>
      <c r="O22" s="86" t="n"/>
      <c r="P22" s="80">
        <f>IF($B22="","",IF($D22="","Set stock unit",IF($G22="","Add pack size &amp; price",IF($M22&lt;0,"Recount (negative)",IF(AND(ISNUMBER($O22),$M22&lt;=$O22),"Reorder","OK")))))</f>
        <v/>
      </c>
      <c r="Q22" s="71">
        <f>IF(OR($B22="",$G22=""),"",N($L22)*$G22)</f>
        <v/>
      </c>
    </row>
    <row r="23" ht="17" customHeight="1">
      <c r="B23" s="60" t="n"/>
      <c r="C23" s="60" t="n"/>
      <c r="D23" s="60" t="n"/>
      <c r="E23" s="86" t="n"/>
      <c r="F23" s="63" t="n"/>
      <c r="G23" s="87">
        <f>IF($B23="","",IF(N($E23)&lt;=0,"",N($F23)/$E23))</f>
        <v/>
      </c>
      <c r="H23" s="86" t="n"/>
      <c r="I23" s="86" t="n"/>
      <c r="J23" s="89">
        <f>IF($B23="","",SUMIFS('Recipe Builder'!$L$7:$L$406,'Recipe Builder'!$C$7:$C$406,$B23))</f>
        <v/>
      </c>
      <c r="K23" s="86" t="n"/>
      <c r="L23" s="89">
        <f>IF($B23="","",SUMIFS('Waste Log'!$I$7:$I$506,'Waste Log'!$C$7:$C$506,$B23,'Waste Log'!$B$7:$B$506,"&gt;="&amp;cfg_CountDate))</f>
        <v/>
      </c>
      <c r="M23" s="89">
        <f>IF($B23="","",N($H23)+N($I23)-N($J23)-N($K23)-N($L23))</f>
        <v/>
      </c>
      <c r="N23" s="71">
        <f>IF($B23="","",IF($G23="",0,MAX(0,$M23)*$G23))</f>
        <v/>
      </c>
      <c r="O23" s="86" t="n"/>
      <c r="P23" s="80">
        <f>IF($B23="","",IF($D23="","Set stock unit",IF($G23="","Add pack size &amp; price",IF($M23&lt;0,"Recount (negative)",IF(AND(ISNUMBER($O23),$M23&lt;=$O23),"Reorder","OK")))))</f>
        <v/>
      </c>
      <c r="Q23" s="71">
        <f>IF(OR($B23="",$G23=""),"",N($L23)*$G23)</f>
        <v/>
      </c>
    </row>
    <row r="24" ht="17" customHeight="1">
      <c r="B24" s="60" t="n"/>
      <c r="C24" s="60" t="n"/>
      <c r="D24" s="60" t="n"/>
      <c r="E24" s="86" t="n"/>
      <c r="F24" s="63" t="n"/>
      <c r="G24" s="87">
        <f>IF($B24="","",IF(N($E24)&lt;=0,"",N($F24)/$E24))</f>
        <v/>
      </c>
      <c r="H24" s="86" t="n"/>
      <c r="I24" s="86" t="n"/>
      <c r="J24" s="89">
        <f>IF($B24="","",SUMIFS('Recipe Builder'!$L$7:$L$406,'Recipe Builder'!$C$7:$C$406,$B24))</f>
        <v/>
      </c>
      <c r="K24" s="86" t="n"/>
      <c r="L24" s="89">
        <f>IF($B24="","",SUMIFS('Waste Log'!$I$7:$I$506,'Waste Log'!$C$7:$C$506,$B24,'Waste Log'!$B$7:$B$506,"&gt;="&amp;cfg_CountDate))</f>
        <v/>
      </c>
      <c r="M24" s="89">
        <f>IF($B24="","",N($H24)+N($I24)-N($J24)-N($K24)-N($L24))</f>
        <v/>
      </c>
      <c r="N24" s="71">
        <f>IF($B24="","",IF($G24="",0,MAX(0,$M24)*$G24))</f>
        <v/>
      </c>
      <c r="O24" s="86" t="n"/>
      <c r="P24" s="80">
        <f>IF($B24="","",IF($D24="","Set stock unit",IF($G24="","Add pack size &amp; price",IF($M24&lt;0,"Recount (negative)",IF(AND(ISNUMBER($O24),$M24&lt;=$O24),"Reorder","OK")))))</f>
        <v/>
      </c>
      <c r="Q24" s="71">
        <f>IF(OR($B24="",$G24=""),"",N($L24)*$G24)</f>
        <v/>
      </c>
    </row>
    <row r="25" ht="17" customHeight="1">
      <c r="B25" s="60" t="n"/>
      <c r="C25" s="60" t="n"/>
      <c r="D25" s="60" t="n"/>
      <c r="E25" s="86" t="n"/>
      <c r="F25" s="63" t="n"/>
      <c r="G25" s="87">
        <f>IF($B25="","",IF(N($E25)&lt;=0,"",N($F25)/$E25))</f>
        <v/>
      </c>
      <c r="H25" s="86" t="n"/>
      <c r="I25" s="86" t="n"/>
      <c r="J25" s="89">
        <f>IF($B25="","",SUMIFS('Recipe Builder'!$L$7:$L$406,'Recipe Builder'!$C$7:$C$406,$B25))</f>
        <v/>
      </c>
      <c r="K25" s="86" t="n"/>
      <c r="L25" s="89">
        <f>IF($B25="","",SUMIFS('Waste Log'!$I$7:$I$506,'Waste Log'!$C$7:$C$506,$B25,'Waste Log'!$B$7:$B$506,"&gt;="&amp;cfg_CountDate))</f>
        <v/>
      </c>
      <c r="M25" s="89">
        <f>IF($B25="","",N($H25)+N($I25)-N($J25)-N($K25)-N($L25))</f>
        <v/>
      </c>
      <c r="N25" s="71">
        <f>IF($B25="","",IF($G25="",0,MAX(0,$M25)*$G25))</f>
        <v/>
      </c>
      <c r="O25" s="86" t="n"/>
      <c r="P25" s="80">
        <f>IF($B25="","",IF($D25="","Set stock unit",IF($G25="","Add pack size &amp; price",IF($M25&lt;0,"Recount (negative)",IF(AND(ISNUMBER($O25),$M25&lt;=$O25),"Reorder","OK")))))</f>
        <v/>
      </c>
      <c r="Q25" s="71">
        <f>IF(OR($B25="",$G25=""),"",N($L25)*$G25)</f>
        <v/>
      </c>
    </row>
    <row r="26" ht="17" customHeight="1">
      <c r="B26" s="60" t="n"/>
      <c r="C26" s="60" t="n"/>
      <c r="D26" s="60" t="n"/>
      <c r="E26" s="86" t="n"/>
      <c r="F26" s="63" t="n"/>
      <c r="G26" s="87">
        <f>IF($B26="","",IF(N($E26)&lt;=0,"",N($F26)/$E26))</f>
        <v/>
      </c>
      <c r="H26" s="86" t="n"/>
      <c r="I26" s="86" t="n"/>
      <c r="J26" s="89">
        <f>IF($B26="","",SUMIFS('Recipe Builder'!$L$7:$L$406,'Recipe Builder'!$C$7:$C$406,$B26))</f>
        <v/>
      </c>
      <c r="K26" s="86" t="n"/>
      <c r="L26" s="89">
        <f>IF($B26="","",SUMIFS('Waste Log'!$I$7:$I$506,'Waste Log'!$C$7:$C$506,$B26,'Waste Log'!$B$7:$B$506,"&gt;="&amp;cfg_CountDate))</f>
        <v/>
      </c>
      <c r="M26" s="89">
        <f>IF($B26="","",N($H26)+N($I26)-N($J26)-N($K26)-N($L26))</f>
        <v/>
      </c>
      <c r="N26" s="71">
        <f>IF($B26="","",IF($G26="",0,MAX(0,$M26)*$G26))</f>
        <v/>
      </c>
      <c r="O26" s="86" t="n"/>
      <c r="P26" s="80">
        <f>IF($B26="","",IF($D26="","Set stock unit",IF($G26="","Add pack size &amp; price",IF($M26&lt;0,"Recount (negative)",IF(AND(ISNUMBER($O26),$M26&lt;=$O26),"Reorder","OK")))))</f>
        <v/>
      </c>
      <c r="Q26" s="71">
        <f>IF(OR($B26="",$G26=""),"",N($L26)*$G26)</f>
        <v/>
      </c>
    </row>
    <row r="27" ht="17" customHeight="1">
      <c r="B27" s="60" t="n"/>
      <c r="C27" s="60" t="n"/>
      <c r="D27" s="60" t="n"/>
      <c r="E27" s="86" t="n"/>
      <c r="F27" s="63" t="n"/>
      <c r="G27" s="87">
        <f>IF($B27="","",IF(N($E27)&lt;=0,"",N($F27)/$E27))</f>
        <v/>
      </c>
      <c r="H27" s="86" t="n"/>
      <c r="I27" s="86" t="n"/>
      <c r="J27" s="89">
        <f>IF($B27="","",SUMIFS('Recipe Builder'!$L$7:$L$406,'Recipe Builder'!$C$7:$C$406,$B27))</f>
        <v/>
      </c>
      <c r="K27" s="86" t="n"/>
      <c r="L27" s="89">
        <f>IF($B27="","",SUMIFS('Waste Log'!$I$7:$I$506,'Waste Log'!$C$7:$C$506,$B27,'Waste Log'!$B$7:$B$506,"&gt;="&amp;cfg_CountDate))</f>
        <v/>
      </c>
      <c r="M27" s="89">
        <f>IF($B27="","",N($H27)+N($I27)-N($J27)-N($K27)-N($L27))</f>
        <v/>
      </c>
      <c r="N27" s="71">
        <f>IF($B27="","",IF($G27="",0,MAX(0,$M27)*$G27))</f>
        <v/>
      </c>
      <c r="O27" s="86" t="n"/>
      <c r="P27" s="80">
        <f>IF($B27="","",IF($D27="","Set stock unit",IF($G27="","Add pack size &amp; price",IF($M27&lt;0,"Recount (negative)",IF(AND(ISNUMBER($O27),$M27&lt;=$O27),"Reorder","OK")))))</f>
        <v/>
      </c>
      <c r="Q27" s="71">
        <f>IF(OR($B27="",$G27=""),"",N($L27)*$G27)</f>
        <v/>
      </c>
    </row>
    <row r="28" ht="17" customHeight="1">
      <c r="B28" s="60" t="n"/>
      <c r="C28" s="60" t="n"/>
      <c r="D28" s="60" t="n"/>
      <c r="E28" s="86" t="n"/>
      <c r="F28" s="63" t="n"/>
      <c r="G28" s="87">
        <f>IF($B28="","",IF(N($E28)&lt;=0,"",N($F28)/$E28))</f>
        <v/>
      </c>
      <c r="H28" s="86" t="n"/>
      <c r="I28" s="86" t="n"/>
      <c r="J28" s="89">
        <f>IF($B28="","",SUMIFS('Recipe Builder'!$L$7:$L$406,'Recipe Builder'!$C$7:$C$406,$B28))</f>
        <v/>
      </c>
      <c r="K28" s="86" t="n"/>
      <c r="L28" s="89">
        <f>IF($B28="","",SUMIFS('Waste Log'!$I$7:$I$506,'Waste Log'!$C$7:$C$506,$B28,'Waste Log'!$B$7:$B$506,"&gt;="&amp;cfg_CountDate))</f>
        <v/>
      </c>
      <c r="M28" s="89">
        <f>IF($B28="","",N($H28)+N($I28)-N($J28)-N($K28)-N($L28))</f>
        <v/>
      </c>
      <c r="N28" s="71">
        <f>IF($B28="","",IF($G28="",0,MAX(0,$M28)*$G28))</f>
        <v/>
      </c>
      <c r="O28" s="86" t="n"/>
      <c r="P28" s="80">
        <f>IF($B28="","",IF($D28="","Set stock unit",IF($G28="","Add pack size &amp; price",IF($M28&lt;0,"Recount (negative)",IF(AND(ISNUMBER($O28),$M28&lt;=$O28),"Reorder","OK")))))</f>
        <v/>
      </c>
      <c r="Q28" s="71">
        <f>IF(OR($B28="",$G28=""),"",N($L28)*$G28)</f>
        <v/>
      </c>
    </row>
    <row r="29" ht="17" customHeight="1">
      <c r="B29" s="60" t="n"/>
      <c r="C29" s="60" t="n"/>
      <c r="D29" s="60" t="n"/>
      <c r="E29" s="86" t="n"/>
      <c r="F29" s="63" t="n"/>
      <c r="G29" s="87">
        <f>IF($B29="","",IF(N($E29)&lt;=0,"",N($F29)/$E29))</f>
        <v/>
      </c>
      <c r="H29" s="86" t="n"/>
      <c r="I29" s="86" t="n"/>
      <c r="J29" s="89">
        <f>IF($B29="","",SUMIFS('Recipe Builder'!$L$7:$L$406,'Recipe Builder'!$C$7:$C$406,$B29))</f>
        <v/>
      </c>
      <c r="K29" s="86" t="n"/>
      <c r="L29" s="89">
        <f>IF($B29="","",SUMIFS('Waste Log'!$I$7:$I$506,'Waste Log'!$C$7:$C$506,$B29,'Waste Log'!$B$7:$B$506,"&gt;="&amp;cfg_CountDate))</f>
        <v/>
      </c>
      <c r="M29" s="89">
        <f>IF($B29="","",N($H29)+N($I29)-N($J29)-N($K29)-N($L29))</f>
        <v/>
      </c>
      <c r="N29" s="71">
        <f>IF($B29="","",IF($G29="",0,MAX(0,$M29)*$G29))</f>
        <v/>
      </c>
      <c r="O29" s="86" t="n"/>
      <c r="P29" s="80">
        <f>IF($B29="","",IF($D29="","Set stock unit",IF($G29="","Add pack size &amp; price",IF($M29&lt;0,"Recount (negative)",IF(AND(ISNUMBER($O29),$M29&lt;=$O29),"Reorder","OK")))))</f>
        <v/>
      </c>
      <c r="Q29" s="71">
        <f>IF(OR($B29="",$G29=""),"",N($L29)*$G29)</f>
        <v/>
      </c>
    </row>
    <row r="30" ht="17" customHeight="1">
      <c r="B30" s="60" t="n"/>
      <c r="C30" s="60" t="n"/>
      <c r="D30" s="60" t="n"/>
      <c r="E30" s="86" t="n"/>
      <c r="F30" s="63" t="n"/>
      <c r="G30" s="87">
        <f>IF($B30="","",IF(N($E30)&lt;=0,"",N($F30)/$E30))</f>
        <v/>
      </c>
      <c r="H30" s="86" t="n"/>
      <c r="I30" s="86" t="n"/>
      <c r="J30" s="89">
        <f>IF($B30="","",SUMIFS('Recipe Builder'!$L$7:$L$406,'Recipe Builder'!$C$7:$C$406,$B30))</f>
        <v/>
      </c>
      <c r="K30" s="86" t="n"/>
      <c r="L30" s="89">
        <f>IF($B30="","",SUMIFS('Waste Log'!$I$7:$I$506,'Waste Log'!$C$7:$C$506,$B30,'Waste Log'!$B$7:$B$506,"&gt;="&amp;cfg_CountDate))</f>
        <v/>
      </c>
      <c r="M30" s="89">
        <f>IF($B30="","",N($H30)+N($I30)-N($J30)-N($K30)-N($L30))</f>
        <v/>
      </c>
      <c r="N30" s="71">
        <f>IF($B30="","",IF($G30="",0,MAX(0,$M30)*$G30))</f>
        <v/>
      </c>
      <c r="O30" s="86" t="n"/>
      <c r="P30" s="80">
        <f>IF($B30="","",IF($D30="","Set stock unit",IF($G30="","Add pack size &amp; price",IF($M30&lt;0,"Recount (negative)",IF(AND(ISNUMBER($O30),$M30&lt;=$O30),"Reorder","OK")))))</f>
        <v/>
      </c>
      <c r="Q30" s="71">
        <f>IF(OR($B30="",$G30=""),"",N($L30)*$G30)</f>
        <v/>
      </c>
    </row>
    <row r="31" ht="17" customHeight="1">
      <c r="B31" s="60" t="n"/>
      <c r="C31" s="60" t="n"/>
      <c r="D31" s="60" t="n"/>
      <c r="E31" s="86" t="n"/>
      <c r="F31" s="63" t="n"/>
      <c r="G31" s="87">
        <f>IF($B31="","",IF(N($E31)&lt;=0,"",N($F31)/$E31))</f>
        <v/>
      </c>
      <c r="H31" s="86" t="n"/>
      <c r="I31" s="86" t="n"/>
      <c r="J31" s="89">
        <f>IF($B31="","",SUMIFS('Recipe Builder'!$L$7:$L$406,'Recipe Builder'!$C$7:$C$406,$B31))</f>
        <v/>
      </c>
      <c r="K31" s="86" t="n"/>
      <c r="L31" s="89">
        <f>IF($B31="","",SUMIFS('Waste Log'!$I$7:$I$506,'Waste Log'!$C$7:$C$506,$B31,'Waste Log'!$B$7:$B$506,"&gt;="&amp;cfg_CountDate))</f>
        <v/>
      </c>
      <c r="M31" s="89">
        <f>IF($B31="","",N($H31)+N($I31)-N($J31)-N($K31)-N($L31))</f>
        <v/>
      </c>
      <c r="N31" s="71">
        <f>IF($B31="","",IF($G31="",0,MAX(0,$M31)*$G31))</f>
        <v/>
      </c>
      <c r="O31" s="86" t="n"/>
      <c r="P31" s="80">
        <f>IF($B31="","",IF($D31="","Set stock unit",IF($G31="","Add pack size &amp; price",IF($M31&lt;0,"Recount (negative)",IF(AND(ISNUMBER($O31),$M31&lt;=$O31),"Reorder","OK")))))</f>
        <v/>
      </c>
      <c r="Q31" s="71">
        <f>IF(OR($B31="",$G31=""),"",N($L31)*$G31)</f>
        <v/>
      </c>
    </row>
    <row r="32" ht="17" customHeight="1">
      <c r="B32" s="60" t="n"/>
      <c r="C32" s="60" t="n"/>
      <c r="D32" s="60" t="n"/>
      <c r="E32" s="86" t="n"/>
      <c r="F32" s="63" t="n"/>
      <c r="G32" s="87">
        <f>IF($B32="","",IF(N($E32)&lt;=0,"",N($F32)/$E32))</f>
        <v/>
      </c>
      <c r="H32" s="86" t="n"/>
      <c r="I32" s="86" t="n"/>
      <c r="J32" s="89">
        <f>IF($B32="","",SUMIFS('Recipe Builder'!$L$7:$L$406,'Recipe Builder'!$C$7:$C$406,$B32))</f>
        <v/>
      </c>
      <c r="K32" s="86" t="n"/>
      <c r="L32" s="89">
        <f>IF($B32="","",SUMIFS('Waste Log'!$I$7:$I$506,'Waste Log'!$C$7:$C$506,$B32,'Waste Log'!$B$7:$B$506,"&gt;="&amp;cfg_CountDate))</f>
        <v/>
      </c>
      <c r="M32" s="89">
        <f>IF($B32="","",N($H32)+N($I32)-N($J32)-N($K32)-N($L32))</f>
        <v/>
      </c>
      <c r="N32" s="71">
        <f>IF($B32="","",IF($G32="",0,MAX(0,$M32)*$G32))</f>
        <v/>
      </c>
      <c r="O32" s="86" t="n"/>
      <c r="P32" s="80">
        <f>IF($B32="","",IF($D32="","Set stock unit",IF($G32="","Add pack size &amp; price",IF($M32&lt;0,"Recount (negative)",IF(AND(ISNUMBER($O32),$M32&lt;=$O32),"Reorder","OK")))))</f>
        <v/>
      </c>
      <c r="Q32" s="71">
        <f>IF(OR($B32="",$G32=""),"",N($L32)*$G32)</f>
        <v/>
      </c>
    </row>
    <row r="33" ht="17" customHeight="1">
      <c r="B33" s="60" t="n"/>
      <c r="C33" s="60" t="n"/>
      <c r="D33" s="60" t="n"/>
      <c r="E33" s="86" t="n"/>
      <c r="F33" s="63" t="n"/>
      <c r="G33" s="87">
        <f>IF($B33="","",IF(N($E33)&lt;=0,"",N($F33)/$E33))</f>
        <v/>
      </c>
      <c r="H33" s="86" t="n"/>
      <c r="I33" s="86" t="n"/>
      <c r="J33" s="89">
        <f>IF($B33="","",SUMIFS('Recipe Builder'!$L$7:$L$406,'Recipe Builder'!$C$7:$C$406,$B33))</f>
        <v/>
      </c>
      <c r="K33" s="86" t="n"/>
      <c r="L33" s="89">
        <f>IF($B33="","",SUMIFS('Waste Log'!$I$7:$I$506,'Waste Log'!$C$7:$C$506,$B33,'Waste Log'!$B$7:$B$506,"&gt;="&amp;cfg_CountDate))</f>
        <v/>
      </c>
      <c r="M33" s="89">
        <f>IF($B33="","",N($H33)+N($I33)-N($J33)-N($K33)-N($L33))</f>
        <v/>
      </c>
      <c r="N33" s="71">
        <f>IF($B33="","",IF($G33="",0,MAX(0,$M33)*$G33))</f>
        <v/>
      </c>
      <c r="O33" s="86" t="n"/>
      <c r="P33" s="80">
        <f>IF($B33="","",IF($D33="","Set stock unit",IF($G33="","Add pack size &amp; price",IF($M33&lt;0,"Recount (negative)",IF(AND(ISNUMBER($O33),$M33&lt;=$O33),"Reorder","OK")))))</f>
        <v/>
      </c>
      <c r="Q33" s="71">
        <f>IF(OR($B33="",$G33=""),"",N($L33)*$G33)</f>
        <v/>
      </c>
    </row>
    <row r="34" ht="17" customHeight="1">
      <c r="B34" s="60" t="n"/>
      <c r="C34" s="60" t="n"/>
      <c r="D34" s="60" t="n"/>
      <c r="E34" s="86" t="n"/>
      <c r="F34" s="63" t="n"/>
      <c r="G34" s="87">
        <f>IF($B34="","",IF(N($E34)&lt;=0,"",N($F34)/$E34))</f>
        <v/>
      </c>
      <c r="H34" s="86" t="n"/>
      <c r="I34" s="86" t="n"/>
      <c r="J34" s="89">
        <f>IF($B34="","",SUMIFS('Recipe Builder'!$L$7:$L$406,'Recipe Builder'!$C$7:$C$406,$B34))</f>
        <v/>
      </c>
      <c r="K34" s="86" t="n"/>
      <c r="L34" s="89">
        <f>IF($B34="","",SUMIFS('Waste Log'!$I$7:$I$506,'Waste Log'!$C$7:$C$506,$B34,'Waste Log'!$B$7:$B$506,"&gt;="&amp;cfg_CountDate))</f>
        <v/>
      </c>
      <c r="M34" s="89">
        <f>IF($B34="","",N($H34)+N($I34)-N($J34)-N($K34)-N($L34))</f>
        <v/>
      </c>
      <c r="N34" s="71">
        <f>IF($B34="","",IF($G34="",0,MAX(0,$M34)*$G34))</f>
        <v/>
      </c>
      <c r="O34" s="86" t="n"/>
      <c r="P34" s="80">
        <f>IF($B34="","",IF($D34="","Set stock unit",IF($G34="","Add pack size &amp; price",IF($M34&lt;0,"Recount (negative)",IF(AND(ISNUMBER($O34),$M34&lt;=$O34),"Reorder","OK")))))</f>
        <v/>
      </c>
      <c r="Q34" s="71">
        <f>IF(OR($B34="",$G34=""),"",N($L34)*$G34)</f>
        <v/>
      </c>
    </row>
    <row r="35" ht="17" customHeight="1">
      <c r="B35" s="60" t="n"/>
      <c r="C35" s="60" t="n"/>
      <c r="D35" s="60" t="n"/>
      <c r="E35" s="86" t="n"/>
      <c r="F35" s="63" t="n"/>
      <c r="G35" s="87">
        <f>IF($B35="","",IF(N($E35)&lt;=0,"",N($F35)/$E35))</f>
        <v/>
      </c>
      <c r="H35" s="86" t="n"/>
      <c r="I35" s="86" t="n"/>
      <c r="J35" s="89">
        <f>IF($B35="","",SUMIFS('Recipe Builder'!$L$7:$L$406,'Recipe Builder'!$C$7:$C$406,$B35))</f>
        <v/>
      </c>
      <c r="K35" s="86" t="n"/>
      <c r="L35" s="89">
        <f>IF($B35="","",SUMIFS('Waste Log'!$I$7:$I$506,'Waste Log'!$C$7:$C$506,$B35,'Waste Log'!$B$7:$B$506,"&gt;="&amp;cfg_CountDate))</f>
        <v/>
      </c>
      <c r="M35" s="89">
        <f>IF($B35="","",N($H35)+N($I35)-N($J35)-N($K35)-N($L35))</f>
        <v/>
      </c>
      <c r="N35" s="71">
        <f>IF($B35="","",IF($G35="",0,MAX(0,$M35)*$G35))</f>
        <v/>
      </c>
      <c r="O35" s="86" t="n"/>
      <c r="P35" s="80">
        <f>IF($B35="","",IF($D35="","Set stock unit",IF($G35="","Add pack size &amp; price",IF($M35&lt;0,"Recount (negative)",IF(AND(ISNUMBER($O35),$M35&lt;=$O35),"Reorder","OK")))))</f>
        <v/>
      </c>
      <c r="Q35" s="71">
        <f>IF(OR($B35="",$G35=""),"",N($L35)*$G35)</f>
        <v/>
      </c>
    </row>
    <row r="36" ht="17" customHeight="1">
      <c r="B36" s="60" t="n"/>
      <c r="C36" s="60" t="n"/>
      <c r="D36" s="60" t="n"/>
      <c r="E36" s="86" t="n"/>
      <c r="F36" s="63" t="n"/>
      <c r="G36" s="87">
        <f>IF($B36="","",IF(N($E36)&lt;=0,"",N($F36)/$E36))</f>
        <v/>
      </c>
      <c r="H36" s="86" t="n"/>
      <c r="I36" s="86" t="n"/>
      <c r="J36" s="89">
        <f>IF($B36="","",SUMIFS('Recipe Builder'!$L$7:$L$406,'Recipe Builder'!$C$7:$C$406,$B36))</f>
        <v/>
      </c>
      <c r="K36" s="86" t="n"/>
      <c r="L36" s="89">
        <f>IF($B36="","",SUMIFS('Waste Log'!$I$7:$I$506,'Waste Log'!$C$7:$C$506,$B36,'Waste Log'!$B$7:$B$506,"&gt;="&amp;cfg_CountDate))</f>
        <v/>
      </c>
      <c r="M36" s="89">
        <f>IF($B36="","",N($H36)+N($I36)-N($J36)-N($K36)-N($L36))</f>
        <v/>
      </c>
      <c r="N36" s="71">
        <f>IF($B36="","",IF($G36="",0,MAX(0,$M36)*$G36))</f>
        <v/>
      </c>
      <c r="O36" s="86" t="n"/>
      <c r="P36" s="80">
        <f>IF($B36="","",IF($D36="","Set stock unit",IF($G36="","Add pack size &amp; price",IF($M36&lt;0,"Recount (negative)",IF(AND(ISNUMBER($O36),$M36&lt;=$O36),"Reorder","OK")))))</f>
        <v/>
      </c>
      <c r="Q36" s="71">
        <f>IF(OR($B36="",$G36=""),"",N($L36)*$G36)</f>
        <v/>
      </c>
    </row>
    <row r="37" ht="17" customHeight="1">
      <c r="B37" s="60" t="n"/>
      <c r="C37" s="60" t="n"/>
      <c r="D37" s="60" t="n"/>
      <c r="E37" s="86" t="n"/>
      <c r="F37" s="63" t="n"/>
      <c r="G37" s="87">
        <f>IF($B37="","",IF(N($E37)&lt;=0,"",N($F37)/$E37))</f>
        <v/>
      </c>
      <c r="H37" s="86" t="n"/>
      <c r="I37" s="86" t="n"/>
      <c r="J37" s="89">
        <f>IF($B37="","",SUMIFS('Recipe Builder'!$L$7:$L$406,'Recipe Builder'!$C$7:$C$406,$B37))</f>
        <v/>
      </c>
      <c r="K37" s="86" t="n"/>
      <c r="L37" s="89">
        <f>IF($B37="","",SUMIFS('Waste Log'!$I$7:$I$506,'Waste Log'!$C$7:$C$506,$B37,'Waste Log'!$B$7:$B$506,"&gt;="&amp;cfg_CountDate))</f>
        <v/>
      </c>
      <c r="M37" s="89">
        <f>IF($B37="","",N($H37)+N($I37)-N($J37)-N($K37)-N($L37))</f>
        <v/>
      </c>
      <c r="N37" s="71">
        <f>IF($B37="","",IF($G37="",0,MAX(0,$M37)*$G37))</f>
        <v/>
      </c>
      <c r="O37" s="86" t="n"/>
      <c r="P37" s="80">
        <f>IF($B37="","",IF($D37="","Set stock unit",IF($G37="","Add pack size &amp; price",IF($M37&lt;0,"Recount (negative)",IF(AND(ISNUMBER($O37),$M37&lt;=$O37),"Reorder","OK")))))</f>
        <v/>
      </c>
      <c r="Q37" s="71">
        <f>IF(OR($B37="",$G37=""),"",N($L37)*$G37)</f>
        <v/>
      </c>
    </row>
    <row r="38" ht="17" customHeight="1">
      <c r="B38" s="60" t="n"/>
      <c r="C38" s="60" t="n"/>
      <c r="D38" s="60" t="n"/>
      <c r="E38" s="86" t="n"/>
      <c r="F38" s="63" t="n"/>
      <c r="G38" s="87">
        <f>IF($B38="","",IF(N($E38)&lt;=0,"",N($F38)/$E38))</f>
        <v/>
      </c>
      <c r="H38" s="86" t="n"/>
      <c r="I38" s="86" t="n"/>
      <c r="J38" s="89">
        <f>IF($B38="","",SUMIFS('Recipe Builder'!$L$7:$L$406,'Recipe Builder'!$C$7:$C$406,$B38))</f>
        <v/>
      </c>
      <c r="K38" s="86" t="n"/>
      <c r="L38" s="89">
        <f>IF($B38="","",SUMIFS('Waste Log'!$I$7:$I$506,'Waste Log'!$C$7:$C$506,$B38,'Waste Log'!$B$7:$B$506,"&gt;="&amp;cfg_CountDate))</f>
        <v/>
      </c>
      <c r="M38" s="89">
        <f>IF($B38="","",N($H38)+N($I38)-N($J38)-N($K38)-N($L38))</f>
        <v/>
      </c>
      <c r="N38" s="71">
        <f>IF($B38="","",IF($G38="",0,MAX(0,$M38)*$G38))</f>
        <v/>
      </c>
      <c r="O38" s="86" t="n"/>
      <c r="P38" s="80">
        <f>IF($B38="","",IF($D38="","Set stock unit",IF($G38="","Add pack size &amp; price",IF($M38&lt;0,"Recount (negative)",IF(AND(ISNUMBER($O38),$M38&lt;=$O38),"Reorder","OK")))))</f>
        <v/>
      </c>
      <c r="Q38" s="71">
        <f>IF(OR($B38="",$G38=""),"",N($L38)*$G38)</f>
        <v/>
      </c>
    </row>
    <row r="39" ht="17" customHeight="1">
      <c r="B39" s="60" t="n"/>
      <c r="C39" s="60" t="n"/>
      <c r="D39" s="60" t="n"/>
      <c r="E39" s="86" t="n"/>
      <c r="F39" s="63" t="n"/>
      <c r="G39" s="87">
        <f>IF($B39="","",IF(N($E39)&lt;=0,"",N($F39)/$E39))</f>
        <v/>
      </c>
      <c r="H39" s="86" t="n"/>
      <c r="I39" s="86" t="n"/>
      <c r="J39" s="89">
        <f>IF($B39="","",SUMIFS('Recipe Builder'!$L$7:$L$406,'Recipe Builder'!$C$7:$C$406,$B39))</f>
        <v/>
      </c>
      <c r="K39" s="86" t="n"/>
      <c r="L39" s="89">
        <f>IF($B39="","",SUMIFS('Waste Log'!$I$7:$I$506,'Waste Log'!$C$7:$C$506,$B39,'Waste Log'!$B$7:$B$506,"&gt;="&amp;cfg_CountDate))</f>
        <v/>
      </c>
      <c r="M39" s="89">
        <f>IF($B39="","",N($H39)+N($I39)-N($J39)-N($K39)-N($L39))</f>
        <v/>
      </c>
      <c r="N39" s="71">
        <f>IF($B39="","",IF($G39="",0,MAX(0,$M39)*$G39))</f>
        <v/>
      </c>
      <c r="O39" s="86" t="n"/>
      <c r="P39" s="80">
        <f>IF($B39="","",IF($D39="","Set stock unit",IF($G39="","Add pack size &amp; price",IF($M39&lt;0,"Recount (negative)",IF(AND(ISNUMBER($O39),$M39&lt;=$O39),"Reorder","OK")))))</f>
        <v/>
      </c>
      <c r="Q39" s="71">
        <f>IF(OR($B39="",$G39=""),"",N($L39)*$G39)</f>
        <v/>
      </c>
    </row>
    <row r="40" ht="17" customHeight="1">
      <c r="B40" s="60" t="n"/>
      <c r="C40" s="60" t="n"/>
      <c r="D40" s="60" t="n"/>
      <c r="E40" s="86" t="n"/>
      <c r="F40" s="63" t="n"/>
      <c r="G40" s="87">
        <f>IF($B40="","",IF(N($E40)&lt;=0,"",N($F40)/$E40))</f>
        <v/>
      </c>
      <c r="H40" s="86" t="n"/>
      <c r="I40" s="86" t="n"/>
      <c r="J40" s="89">
        <f>IF($B40="","",SUMIFS('Recipe Builder'!$L$7:$L$406,'Recipe Builder'!$C$7:$C$406,$B40))</f>
        <v/>
      </c>
      <c r="K40" s="86" t="n"/>
      <c r="L40" s="89">
        <f>IF($B40="","",SUMIFS('Waste Log'!$I$7:$I$506,'Waste Log'!$C$7:$C$506,$B40,'Waste Log'!$B$7:$B$506,"&gt;="&amp;cfg_CountDate))</f>
        <v/>
      </c>
      <c r="M40" s="89">
        <f>IF($B40="","",N($H40)+N($I40)-N($J40)-N($K40)-N($L40))</f>
        <v/>
      </c>
      <c r="N40" s="71">
        <f>IF($B40="","",IF($G40="",0,MAX(0,$M40)*$G40))</f>
        <v/>
      </c>
      <c r="O40" s="86" t="n"/>
      <c r="P40" s="80">
        <f>IF($B40="","",IF($D40="","Set stock unit",IF($G40="","Add pack size &amp; price",IF($M40&lt;0,"Recount (negative)",IF(AND(ISNUMBER($O40),$M40&lt;=$O40),"Reorder","OK")))))</f>
        <v/>
      </c>
      <c r="Q40" s="71">
        <f>IF(OR($B40="",$G40=""),"",N($L40)*$G40)</f>
        <v/>
      </c>
    </row>
    <row r="41" ht="17" customHeight="1">
      <c r="B41" s="60" t="n"/>
      <c r="C41" s="60" t="n"/>
      <c r="D41" s="60" t="n"/>
      <c r="E41" s="86" t="n"/>
      <c r="F41" s="63" t="n"/>
      <c r="G41" s="87">
        <f>IF($B41="","",IF(N($E41)&lt;=0,"",N($F41)/$E41))</f>
        <v/>
      </c>
      <c r="H41" s="86" t="n"/>
      <c r="I41" s="86" t="n"/>
      <c r="J41" s="89">
        <f>IF($B41="","",SUMIFS('Recipe Builder'!$L$7:$L$406,'Recipe Builder'!$C$7:$C$406,$B41))</f>
        <v/>
      </c>
      <c r="K41" s="86" t="n"/>
      <c r="L41" s="89">
        <f>IF($B41="","",SUMIFS('Waste Log'!$I$7:$I$506,'Waste Log'!$C$7:$C$506,$B41,'Waste Log'!$B$7:$B$506,"&gt;="&amp;cfg_CountDate))</f>
        <v/>
      </c>
      <c r="M41" s="89">
        <f>IF($B41="","",N($H41)+N($I41)-N($J41)-N($K41)-N($L41))</f>
        <v/>
      </c>
      <c r="N41" s="71">
        <f>IF($B41="","",IF($G41="",0,MAX(0,$M41)*$G41))</f>
        <v/>
      </c>
      <c r="O41" s="86" t="n"/>
      <c r="P41" s="80">
        <f>IF($B41="","",IF($D41="","Set stock unit",IF($G41="","Add pack size &amp; price",IF($M41&lt;0,"Recount (negative)",IF(AND(ISNUMBER($O41),$M41&lt;=$O41),"Reorder","OK")))))</f>
        <v/>
      </c>
      <c r="Q41" s="71">
        <f>IF(OR($B41="",$G41=""),"",N($L41)*$G41)</f>
        <v/>
      </c>
    </row>
    <row r="42" ht="17" customHeight="1">
      <c r="B42" s="60" t="n"/>
      <c r="C42" s="60" t="n"/>
      <c r="D42" s="60" t="n"/>
      <c r="E42" s="86" t="n"/>
      <c r="F42" s="63" t="n"/>
      <c r="G42" s="87">
        <f>IF($B42="","",IF(N($E42)&lt;=0,"",N($F42)/$E42))</f>
        <v/>
      </c>
      <c r="H42" s="86" t="n"/>
      <c r="I42" s="86" t="n"/>
      <c r="J42" s="89">
        <f>IF($B42="","",SUMIFS('Recipe Builder'!$L$7:$L$406,'Recipe Builder'!$C$7:$C$406,$B42))</f>
        <v/>
      </c>
      <c r="K42" s="86" t="n"/>
      <c r="L42" s="89">
        <f>IF($B42="","",SUMIFS('Waste Log'!$I$7:$I$506,'Waste Log'!$C$7:$C$506,$B42,'Waste Log'!$B$7:$B$506,"&gt;="&amp;cfg_CountDate))</f>
        <v/>
      </c>
      <c r="M42" s="89">
        <f>IF($B42="","",N($H42)+N($I42)-N($J42)-N($K42)-N($L42))</f>
        <v/>
      </c>
      <c r="N42" s="71">
        <f>IF($B42="","",IF($G42="",0,MAX(0,$M42)*$G42))</f>
        <v/>
      </c>
      <c r="O42" s="86" t="n"/>
      <c r="P42" s="80">
        <f>IF($B42="","",IF($D42="","Set stock unit",IF($G42="","Add pack size &amp; price",IF($M42&lt;0,"Recount (negative)",IF(AND(ISNUMBER($O42),$M42&lt;=$O42),"Reorder","OK")))))</f>
        <v/>
      </c>
      <c r="Q42" s="71">
        <f>IF(OR($B42="",$G42=""),"",N($L42)*$G42)</f>
        <v/>
      </c>
    </row>
    <row r="43" ht="17" customHeight="1">
      <c r="B43" s="60" t="n"/>
      <c r="C43" s="60" t="n"/>
      <c r="D43" s="60" t="n"/>
      <c r="E43" s="86" t="n"/>
      <c r="F43" s="63" t="n"/>
      <c r="G43" s="87">
        <f>IF($B43="","",IF(N($E43)&lt;=0,"",N($F43)/$E43))</f>
        <v/>
      </c>
      <c r="H43" s="86" t="n"/>
      <c r="I43" s="86" t="n"/>
      <c r="J43" s="89">
        <f>IF($B43="","",SUMIFS('Recipe Builder'!$L$7:$L$406,'Recipe Builder'!$C$7:$C$406,$B43))</f>
        <v/>
      </c>
      <c r="K43" s="86" t="n"/>
      <c r="L43" s="89">
        <f>IF($B43="","",SUMIFS('Waste Log'!$I$7:$I$506,'Waste Log'!$C$7:$C$506,$B43,'Waste Log'!$B$7:$B$506,"&gt;="&amp;cfg_CountDate))</f>
        <v/>
      </c>
      <c r="M43" s="89">
        <f>IF($B43="","",N($H43)+N($I43)-N($J43)-N($K43)-N($L43))</f>
        <v/>
      </c>
      <c r="N43" s="71">
        <f>IF($B43="","",IF($G43="",0,MAX(0,$M43)*$G43))</f>
        <v/>
      </c>
      <c r="O43" s="86" t="n"/>
      <c r="P43" s="80">
        <f>IF($B43="","",IF($D43="","Set stock unit",IF($G43="","Add pack size &amp; price",IF($M43&lt;0,"Recount (negative)",IF(AND(ISNUMBER($O43),$M43&lt;=$O43),"Reorder","OK")))))</f>
        <v/>
      </c>
      <c r="Q43" s="71">
        <f>IF(OR($B43="",$G43=""),"",N($L43)*$G43)</f>
        <v/>
      </c>
    </row>
    <row r="44" ht="17" customHeight="1">
      <c r="B44" s="60" t="n"/>
      <c r="C44" s="60" t="n"/>
      <c r="D44" s="60" t="n"/>
      <c r="E44" s="86" t="n"/>
      <c r="F44" s="63" t="n"/>
      <c r="G44" s="87">
        <f>IF($B44="","",IF(N($E44)&lt;=0,"",N($F44)/$E44))</f>
        <v/>
      </c>
      <c r="H44" s="86" t="n"/>
      <c r="I44" s="86" t="n"/>
      <c r="J44" s="89">
        <f>IF($B44="","",SUMIFS('Recipe Builder'!$L$7:$L$406,'Recipe Builder'!$C$7:$C$406,$B44))</f>
        <v/>
      </c>
      <c r="K44" s="86" t="n"/>
      <c r="L44" s="89">
        <f>IF($B44="","",SUMIFS('Waste Log'!$I$7:$I$506,'Waste Log'!$C$7:$C$506,$B44,'Waste Log'!$B$7:$B$506,"&gt;="&amp;cfg_CountDate))</f>
        <v/>
      </c>
      <c r="M44" s="89">
        <f>IF($B44="","",N($H44)+N($I44)-N($J44)-N($K44)-N($L44))</f>
        <v/>
      </c>
      <c r="N44" s="71">
        <f>IF($B44="","",IF($G44="",0,MAX(0,$M44)*$G44))</f>
        <v/>
      </c>
      <c r="O44" s="86" t="n"/>
      <c r="P44" s="80">
        <f>IF($B44="","",IF($D44="","Set stock unit",IF($G44="","Add pack size &amp; price",IF($M44&lt;0,"Recount (negative)",IF(AND(ISNUMBER($O44),$M44&lt;=$O44),"Reorder","OK")))))</f>
        <v/>
      </c>
      <c r="Q44" s="71">
        <f>IF(OR($B44="",$G44=""),"",N($L44)*$G44)</f>
        <v/>
      </c>
    </row>
    <row r="45" ht="17" customHeight="1">
      <c r="B45" s="60" t="n"/>
      <c r="C45" s="60" t="n"/>
      <c r="D45" s="60" t="n"/>
      <c r="E45" s="86" t="n"/>
      <c r="F45" s="63" t="n"/>
      <c r="G45" s="87">
        <f>IF($B45="","",IF(N($E45)&lt;=0,"",N($F45)/$E45))</f>
        <v/>
      </c>
      <c r="H45" s="86" t="n"/>
      <c r="I45" s="86" t="n"/>
      <c r="J45" s="89">
        <f>IF($B45="","",SUMIFS('Recipe Builder'!$L$7:$L$406,'Recipe Builder'!$C$7:$C$406,$B45))</f>
        <v/>
      </c>
      <c r="K45" s="86" t="n"/>
      <c r="L45" s="89">
        <f>IF($B45="","",SUMIFS('Waste Log'!$I$7:$I$506,'Waste Log'!$C$7:$C$506,$B45,'Waste Log'!$B$7:$B$506,"&gt;="&amp;cfg_CountDate))</f>
        <v/>
      </c>
      <c r="M45" s="89">
        <f>IF($B45="","",N($H45)+N($I45)-N($J45)-N($K45)-N($L45))</f>
        <v/>
      </c>
      <c r="N45" s="71">
        <f>IF($B45="","",IF($G45="",0,MAX(0,$M45)*$G45))</f>
        <v/>
      </c>
      <c r="O45" s="86" t="n"/>
      <c r="P45" s="80">
        <f>IF($B45="","",IF($D45="","Set stock unit",IF($G45="","Add pack size &amp; price",IF($M45&lt;0,"Recount (negative)",IF(AND(ISNUMBER($O45),$M45&lt;=$O45),"Reorder","OK")))))</f>
        <v/>
      </c>
      <c r="Q45" s="71">
        <f>IF(OR($B45="",$G45=""),"",N($L45)*$G45)</f>
        <v/>
      </c>
    </row>
    <row r="46" ht="17" customHeight="1">
      <c r="B46" s="60" t="n"/>
      <c r="C46" s="60" t="n"/>
      <c r="D46" s="60" t="n"/>
      <c r="E46" s="86" t="n"/>
      <c r="F46" s="63" t="n"/>
      <c r="G46" s="87">
        <f>IF($B46="","",IF(N($E46)&lt;=0,"",N($F46)/$E46))</f>
        <v/>
      </c>
      <c r="H46" s="86" t="n"/>
      <c r="I46" s="86" t="n"/>
      <c r="J46" s="89">
        <f>IF($B46="","",SUMIFS('Recipe Builder'!$L$7:$L$406,'Recipe Builder'!$C$7:$C$406,$B46))</f>
        <v/>
      </c>
      <c r="K46" s="86" t="n"/>
      <c r="L46" s="89">
        <f>IF($B46="","",SUMIFS('Waste Log'!$I$7:$I$506,'Waste Log'!$C$7:$C$506,$B46,'Waste Log'!$B$7:$B$506,"&gt;="&amp;cfg_CountDate))</f>
        <v/>
      </c>
      <c r="M46" s="89">
        <f>IF($B46="","",N($H46)+N($I46)-N($J46)-N($K46)-N($L46))</f>
        <v/>
      </c>
      <c r="N46" s="71">
        <f>IF($B46="","",IF($G46="",0,MAX(0,$M46)*$G46))</f>
        <v/>
      </c>
      <c r="O46" s="86" t="n"/>
      <c r="P46" s="80">
        <f>IF($B46="","",IF($D46="","Set stock unit",IF($G46="","Add pack size &amp; price",IF($M46&lt;0,"Recount (negative)",IF(AND(ISNUMBER($O46),$M46&lt;=$O46),"Reorder","OK")))))</f>
        <v/>
      </c>
      <c r="Q46" s="71">
        <f>IF(OR($B46="",$G46=""),"",N($L46)*$G46)</f>
        <v/>
      </c>
    </row>
    <row r="47" ht="17" customHeight="1">
      <c r="B47" s="60" t="n"/>
      <c r="C47" s="60" t="n"/>
      <c r="D47" s="60" t="n"/>
      <c r="E47" s="86" t="n"/>
      <c r="F47" s="63" t="n"/>
      <c r="G47" s="87">
        <f>IF($B47="","",IF(N($E47)&lt;=0,"",N($F47)/$E47))</f>
        <v/>
      </c>
      <c r="H47" s="86" t="n"/>
      <c r="I47" s="86" t="n"/>
      <c r="J47" s="89">
        <f>IF($B47="","",SUMIFS('Recipe Builder'!$L$7:$L$406,'Recipe Builder'!$C$7:$C$406,$B47))</f>
        <v/>
      </c>
      <c r="K47" s="86" t="n"/>
      <c r="L47" s="89">
        <f>IF($B47="","",SUMIFS('Waste Log'!$I$7:$I$506,'Waste Log'!$C$7:$C$506,$B47,'Waste Log'!$B$7:$B$506,"&gt;="&amp;cfg_CountDate))</f>
        <v/>
      </c>
      <c r="M47" s="89">
        <f>IF($B47="","",N($H47)+N($I47)-N($J47)-N($K47)-N($L47))</f>
        <v/>
      </c>
      <c r="N47" s="71">
        <f>IF($B47="","",IF($G47="",0,MAX(0,$M47)*$G47))</f>
        <v/>
      </c>
      <c r="O47" s="86" t="n"/>
      <c r="P47" s="80">
        <f>IF($B47="","",IF($D47="","Set stock unit",IF($G47="","Add pack size &amp; price",IF($M47&lt;0,"Recount (negative)",IF(AND(ISNUMBER($O47),$M47&lt;=$O47),"Reorder","OK")))))</f>
        <v/>
      </c>
      <c r="Q47" s="71">
        <f>IF(OR($B47="",$G47=""),"",N($L47)*$G47)</f>
        <v/>
      </c>
    </row>
    <row r="48" ht="17" customHeight="1">
      <c r="B48" s="60" t="n"/>
      <c r="C48" s="60" t="n"/>
      <c r="D48" s="60" t="n"/>
      <c r="E48" s="86" t="n"/>
      <c r="F48" s="63" t="n"/>
      <c r="G48" s="87">
        <f>IF($B48="","",IF(N($E48)&lt;=0,"",N($F48)/$E48))</f>
        <v/>
      </c>
      <c r="H48" s="86" t="n"/>
      <c r="I48" s="86" t="n"/>
      <c r="J48" s="89">
        <f>IF($B48="","",SUMIFS('Recipe Builder'!$L$7:$L$406,'Recipe Builder'!$C$7:$C$406,$B48))</f>
        <v/>
      </c>
      <c r="K48" s="86" t="n"/>
      <c r="L48" s="89">
        <f>IF($B48="","",SUMIFS('Waste Log'!$I$7:$I$506,'Waste Log'!$C$7:$C$506,$B48,'Waste Log'!$B$7:$B$506,"&gt;="&amp;cfg_CountDate))</f>
        <v/>
      </c>
      <c r="M48" s="89">
        <f>IF($B48="","",N($H48)+N($I48)-N($J48)-N($K48)-N($L48))</f>
        <v/>
      </c>
      <c r="N48" s="71">
        <f>IF($B48="","",IF($G48="",0,MAX(0,$M48)*$G48))</f>
        <v/>
      </c>
      <c r="O48" s="86" t="n"/>
      <c r="P48" s="80">
        <f>IF($B48="","",IF($D48="","Set stock unit",IF($G48="","Add pack size &amp; price",IF($M48&lt;0,"Recount (negative)",IF(AND(ISNUMBER($O48),$M48&lt;=$O48),"Reorder","OK")))))</f>
        <v/>
      </c>
      <c r="Q48" s="71">
        <f>IF(OR($B48="",$G48=""),"",N($L48)*$G48)</f>
        <v/>
      </c>
    </row>
    <row r="49" ht="17" customHeight="1">
      <c r="B49" s="60" t="n"/>
      <c r="C49" s="60" t="n"/>
      <c r="D49" s="60" t="n"/>
      <c r="E49" s="86" t="n"/>
      <c r="F49" s="63" t="n"/>
      <c r="G49" s="87">
        <f>IF($B49="","",IF(N($E49)&lt;=0,"",N($F49)/$E49))</f>
        <v/>
      </c>
      <c r="H49" s="86" t="n"/>
      <c r="I49" s="86" t="n"/>
      <c r="J49" s="89">
        <f>IF($B49="","",SUMIFS('Recipe Builder'!$L$7:$L$406,'Recipe Builder'!$C$7:$C$406,$B49))</f>
        <v/>
      </c>
      <c r="K49" s="86" t="n"/>
      <c r="L49" s="89">
        <f>IF($B49="","",SUMIFS('Waste Log'!$I$7:$I$506,'Waste Log'!$C$7:$C$506,$B49,'Waste Log'!$B$7:$B$506,"&gt;="&amp;cfg_CountDate))</f>
        <v/>
      </c>
      <c r="M49" s="89">
        <f>IF($B49="","",N($H49)+N($I49)-N($J49)-N($K49)-N($L49))</f>
        <v/>
      </c>
      <c r="N49" s="71">
        <f>IF($B49="","",IF($G49="",0,MAX(0,$M49)*$G49))</f>
        <v/>
      </c>
      <c r="O49" s="86" t="n"/>
      <c r="P49" s="80">
        <f>IF($B49="","",IF($D49="","Set stock unit",IF($G49="","Add pack size &amp; price",IF($M49&lt;0,"Recount (negative)",IF(AND(ISNUMBER($O49),$M49&lt;=$O49),"Reorder","OK")))))</f>
        <v/>
      </c>
      <c r="Q49" s="71">
        <f>IF(OR($B49="",$G49=""),"",N($L49)*$G49)</f>
        <v/>
      </c>
    </row>
    <row r="50" ht="17" customHeight="1">
      <c r="B50" s="60" t="n"/>
      <c r="C50" s="60" t="n"/>
      <c r="D50" s="60" t="n"/>
      <c r="E50" s="86" t="n"/>
      <c r="F50" s="63" t="n"/>
      <c r="G50" s="87">
        <f>IF($B50="","",IF(N($E50)&lt;=0,"",N($F50)/$E50))</f>
        <v/>
      </c>
      <c r="H50" s="86" t="n"/>
      <c r="I50" s="86" t="n"/>
      <c r="J50" s="89">
        <f>IF($B50="","",SUMIFS('Recipe Builder'!$L$7:$L$406,'Recipe Builder'!$C$7:$C$406,$B50))</f>
        <v/>
      </c>
      <c r="K50" s="86" t="n"/>
      <c r="L50" s="89">
        <f>IF($B50="","",SUMIFS('Waste Log'!$I$7:$I$506,'Waste Log'!$C$7:$C$506,$B50,'Waste Log'!$B$7:$B$506,"&gt;="&amp;cfg_CountDate))</f>
        <v/>
      </c>
      <c r="M50" s="89">
        <f>IF($B50="","",N($H50)+N($I50)-N($J50)-N($K50)-N($L50))</f>
        <v/>
      </c>
      <c r="N50" s="71">
        <f>IF($B50="","",IF($G50="",0,MAX(0,$M50)*$G50))</f>
        <v/>
      </c>
      <c r="O50" s="86" t="n"/>
      <c r="P50" s="80">
        <f>IF($B50="","",IF($D50="","Set stock unit",IF($G50="","Add pack size &amp; price",IF($M50&lt;0,"Recount (negative)",IF(AND(ISNUMBER($O50),$M50&lt;=$O50),"Reorder","OK")))))</f>
        <v/>
      </c>
      <c r="Q50" s="71">
        <f>IF(OR($B50="",$G50=""),"",N($L50)*$G50)</f>
        <v/>
      </c>
    </row>
    <row r="51" ht="17" customHeight="1">
      <c r="B51" s="60" t="n"/>
      <c r="C51" s="60" t="n"/>
      <c r="D51" s="60" t="n"/>
      <c r="E51" s="86" t="n"/>
      <c r="F51" s="63" t="n"/>
      <c r="G51" s="87">
        <f>IF($B51="","",IF(N($E51)&lt;=0,"",N($F51)/$E51))</f>
        <v/>
      </c>
      <c r="H51" s="86" t="n"/>
      <c r="I51" s="86" t="n"/>
      <c r="J51" s="89">
        <f>IF($B51="","",SUMIFS('Recipe Builder'!$L$7:$L$406,'Recipe Builder'!$C$7:$C$406,$B51))</f>
        <v/>
      </c>
      <c r="K51" s="86" t="n"/>
      <c r="L51" s="89">
        <f>IF($B51="","",SUMIFS('Waste Log'!$I$7:$I$506,'Waste Log'!$C$7:$C$506,$B51,'Waste Log'!$B$7:$B$506,"&gt;="&amp;cfg_CountDate))</f>
        <v/>
      </c>
      <c r="M51" s="89">
        <f>IF($B51="","",N($H51)+N($I51)-N($J51)-N($K51)-N($L51))</f>
        <v/>
      </c>
      <c r="N51" s="71">
        <f>IF($B51="","",IF($G51="",0,MAX(0,$M51)*$G51))</f>
        <v/>
      </c>
      <c r="O51" s="86" t="n"/>
      <c r="P51" s="80">
        <f>IF($B51="","",IF($D51="","Set stock unit",IF($G51="","Add pack size &amp; price",IF($M51&lt;0,"Recount (negative)",IF(AND(ISNUMBER($O51),$M51&lt;=$O51),"Reorder","OK")))))</f>
        <v/>
      </c>
      <c r="Q51" s="71">
        <f>IF(OR($B51="",$G51=""),"",N($L51)*$G51)</f>
        <v/>
      </c>
    </row>
    <row r="52" ht="17" customHeight="1">
      <c r="B52" s="60" t="n"/>
      <c r="C52" s="60" t="n"/>
      <c r="D52" s="60" t="n"/>
      <c r="E52" s="86" t="n"/>
      <c r="F52" s="63" t="n"/>
      <c r="G52" s="87">
        <f>IF($B52="","",IF(N($E52)&lt;=0,"",N($F52)/$E52))</f>
        <v/>
      </c>
      <c r="H52" s="86" t="n"/>
      <c r="I52" s="86" t="n"/>
      <c r="J52" s="89">
        <f>IF($B52="","",SUMIFS('Recipe Builder'!$L$7:$L$406,'Recipe Builder'!$C$7:$C$406,$B52))</f>
        <v/>
      </c>
      <c r="K52" s="86" t="n"/>
      <c r="L52" s="89">
        <f>IF($B52="","",SUMIFS('Waste Log'!$I$7:$I$506,'Waste Log'!$C$7:$C$506,$B52,'Waste Log'!$B$7:$B$506,"&gt;="&amp;cfg_CountDate))</f>
        <v/>
      </c>
      <c r="M52" s="89">
        <f>IF($B52="","",N($H52)+N($I52)-N($J52)-N($K52)-N($L52))</f>
        <v/>
      </c>
      <c r="N52" s="71">
        <f>IF($B52="","",IF($G52="",0,MAX(0,$M52)*$G52))</f>
        <v/>
      </c>
      <c r="O52" s="86" t="n"/>
      <c r="P52" s="80">
        <f>IF($B52="","",IF($D52="","Set stock unit",IF($G52="","Add pack size &amp; price",IF($M52&lt;0,"Recount (negative)",IF(AND(ISNUMBER($O52),$M52&lt;=$O52),"Reorder","OK")))))</f>
        <v/>
      </c>
      <c r="Q52" s="71">
        <f>IF(OR($B52="",$G52=""),"",N($L52)*$G52)</f>
        <v/>
      </c>
    </row>
    <row r="53" ht="17" customHeight="1">
      <c r="B53" s="60" t="n"/>
      <c r="C53" s="60" t="n"/>
      <c r="D53" s="60" t="n"/>
      <c r="E53" s="86" t="n"/>
      <c r="F53" s="63" t="n"/>
      <c r="G53" s="87">
        <f>IF($B53="","",IF(N($E53)&lt;=0,"",N($F53)/$E53))</f>
        <v/>
      </c>
      <c r="H53" s="86" t="n"/>
      <c r="I53" s="86" t="n"/>
      <c r="J53" s="89">
        <f>IF($B53="","",SUMIFS('Recipe Builder'!$L$7:$L$406,'Recipe Builder'!$C$7:$C$406,$B53))</f>
        <v/>
      </c>
      <c r="K53" s="86" t="n"/>
      <c r="L53" s="89">
        <f>IF($B53="","",SUMIFS('Waste Log'!$I$7:$I$506,'Waste Log'!$C$7:$C$506,$B53,'Waste Log'!$B$7:$B$506,"&gt;="&amp;cfg_CountDate))</f>
        <v/>
      </c>
      <c r="M53" s="89">
        <f>IF($B53="","",N($H53)+N($I53)-N($J53)-N($K53)-N($L53))</f>
        <v/>
      </c>
      <c r="N53" s="71">
        <f>IF($B53="","",IF($G53="",0,MAX(0,$M53)*$G53))</f>
        <v/>
      </c>
      <c r="O53" s="86" t="n"/>
      <c r="P53" s="80">
        <f>IF($B53="","",IF($D53="","Set stock unit",IF($G53="","Add pack size &amp; price",IF($M53&lt;0,"Recount (negative)",IF(AND(ISNUMBER($O53),$M53&lt;=$O53),"Reorder","OK")))))</f>
        <v/>
      </c>
      <c r="Q53" s="71">
        <f>IF(OR($B53="",$G53=""),"",N($L53)*$G53)</f>
        <v/>
      </c>
    </row>
    <row r="54" ht="17" customHeight="1">
      <c r="B54" s="60" t="n"/>
      <c r="C54" s="60" t="n"/>
      <c r="D54" s="60" t="n"/>
      <c r="E54" s="86" t="n"/>
      <c r="F54" s="63" t="n"/>
      <c r="G54" s="87">
        <f>IF($B54="","",IF(N($E54)&lt;=0,"",N($F54)/$E54))</f>
        <v/>
      </c>
      <c r="H54" s="86" t="n"/>
      <c r="I54" s="86" t="n"/>
      <c r="J54" s="89">
        <f>IF($B54="","",SUMIFS('Recipe Builder'!$L$7:$L$406,'Recipe Builder'!$C$7:$C$406,$B54))</f>
        <v/>
      </c>
      <c r="K54" s="86" t="n"/>
      <c r="L54" s="89">
        <f>IF($B54="","",SUMIFS('Waste Log'!$I$7:$I$506,'Waste Log'!$C$7:$C$506,$B54,'Waste Log'!$B$7:$B$506,"&gt;="&amp;cfg_CountDate))</f>
        <v/>
      </c>
      <c r="M54" s="89">
        <f>IF($B54="","",N($H54)+N($I54)-N($J54)-N($K54)-N($L54))</f>
        <v/>
      </c>
      <c r="N54" s="71">
        <f>IF($B54="","",IF($G54="",0,MAX(0,$M54)*$G54))</f>
        <v/>
      </c>
      <c r="O54" s="86" t="n"/>
      <c r="P54" s="80">
        <f>IF($B54="","",IF($D54="","Set stock unit",IF($G54="","Add pack size &amp; price",IF($M54&lt;0,"Recount (negative)",IF(AND(ISNUMBER($O54),$M54&lt;=$O54),"Reorder","OK")))))</f>
        <v/>
      </c>
      <c r="Q54" s="71">
        <f>IF(OR($B54="",$G54=""),"",N($L54)*$G54)</f>
        <v/>
      </c>
    </row>
    <row r="55" ht="17" customHeight="1">
      <c r="B55" s="60" t="n"/>
      <c r="C55" s="60" t="n"/>
      <c r="D55" s="60" t="n"/>
      <c r="E55" s="86" t="n"/>
      <c r="F55" s="63" t="n"/>
      <c r="G55" s="87">
        <f>IF($B55="","",IF(N($E55)&lt;=0,"",N($F55)/$E55))</f>
        <v/>
      </c>
      <c r="H55" s="86" t="n"/>
      <c r="I55" s="86" t="n"/>
      <c r="J55" s="89">
        <f>IF($B55="","",SUMIFS('Recipe Builder'!$L$7:$L$406,'Recipe Builder'!$C$7:$C$406,$B55))</f>
        <v/>
      </c>
      <c r="K55" s="86" t="n"/>
      <c r="L55" s="89">
        <f>IF($B55="","",SUMIFS('Waste Log'!$I$7:$I$506,'Waste Log'!$C$7:$C$506,$B55,'Waste Log'!$B$7:$B$506,"&gt;="&amp;cfg_CountDate))</f>
        <v/>
      </c>
      <c r="M55" s="89">
        <f>IF($B55="","",N($H55)+N($I55)-N($J55)-N($K55)-N($L55))</f>
        <v/>
      </c>
      <c r="N55" s="71">
        <f>IF($B55="","",IF($G55="",0,MAX(0,$M55)*$G55))</f>
        <v/>
      </c>
      <c r="O55" s="86" t="n"/>
      <c r="P55" s="80">
        <f>IF($B55="","",IF($D55="","Set stock unit",IF($G55="","Add pack size &amp; price",IF($M55&lt;0,"Recount (negative)",IF(AND(ISNUMBER($O55),$M55&lt;=$O55),"Reorder","OK")))))</f>
        <v/>
      </c>
      <c r="Q55" s="71">
        <f>IF(OR($B55="",$G55=""),"",N($L55)*$G55)</f>
        <v/>
      </c>
    </row>
    <row r="56" ht="17" customHeight="1">
      <c r="B56" s="60" t="n"/>
      <c r="C56" s="60" t="n"/>
      <c r="D56" s="60" t="n"/>
      <c r="E56" s="86" t="n"/>
      <c r="F56" s="63" t="n"/>
      <c r="G56" s="87">
        <f>IF($B56="","",IF(N($E56)&lt;=0,"",N($F56)/$E56))</f>
        <v/>
      </c>
      <c r="H56" s="86" t="n"/>
      <c r="I56" s="86" t="n"/>
      <c r="J56" s="89">
        <f>IF($B56="","",SUMIFS('Recipe Builder'!$L$7:$L$406,'Recipe Builder'!$C$7:$C$406,$B56))</f>
        <v/>
      </c>
      <c r="K56" s="86" t="n"/>
      <c r="L56" s="89">
        <f>IF($B56="","",SUMIFS('Waste Log'!$I$7:$I$506,'Waste Log'!$C$7:$C$506,$B56,'Waste Log'!$B$7:$B$506,"&gt;="&amp;cfg_CountDate))</f>
        <v/>
      </c>
      <c r="M56" s="89">
        <f>IF($B56="","",N($H56)+N($I56)-N($J56)-N($K56)-N($L56))</f>
        <v/>
      </c>
      <c r="N56" s="71">
        <f>IF($B56="","",IF($G56="",0,MAX(0,$M56)*$G56))</f>
        <v/>
      </c>
      <c r="O56" s="86" t="n"/>
      <c r="P56" s="80">
        <f>IF($B56="","",IF($D56="","Set stock unit",IF($G56="","Add pack size &amp; price",IF($M56&lt;0,"Recount (negative)",IF(AND(ISNUMBER($O56),$M56&lt;=$O56),"Reorder","OK")))))</f>
        <v/>
      </c>
      <c r="Q56" s="71">
        <f>IF(OR($B56="",$G56=""),"",N($L56)*$G56)</f>
        <v/>
      </c>
    </row>
    <row r="57" ht="17" customHeight="1">
      <c r="B57" s="60" t="n"/>
      <c r="C57" s="60" t="n"/>
      <c r="D57" s="60" t="n"/>
      <c r="E57" s="86" t="n"/>
      <c r="F57" s="63" t="n"/>
      <c r="G57" s="87">
        <f>IF($B57="","",IF(N($E57)&lt;=0,"",N($F57)/$E57))</f>
        <v/>
      </c>
      <c r="H57" s="86" t="n"/>
      <c r="I57" s="86" t="n"/>
      <c r="J57" s="89">
        <f>IF($B57="","",SUMIFS('Recipe Builder'!$L$7:$L$406,'Recipe Builder'!$C$7:$C$406,$B57))</f>
        <v/>
      </c>
      <c r="K57" s="86" t="n"/>
      <c r="L57" s="89">
        <f>IF($B57="","",SUMIFS('Waste Log'!$I$7:$I$506,'Waste Log'!$C$7:$C$506,$B57,'Waste Log'!$B$7:$B$506,"&gt;="&amp;cfg_CountDate))</f>
        <v/>
      </c>
      <c r="M57" s="89">
        <f>IF($B57="","",N($H57)+N($I57)-N($J57)-N($K57)-N($L57))</f>
        <v/>
      </c>
      <c r="N57" s="71">
        <f>IF($B57="","",IF($G57="",0,MAX(0,$M57)*$G57))</f>
        <v/>
      </c>
      <c r="O57" s="86" t="n"/>
      <c r="P57" s="80">
        <f>IF($B57="","",IF($D57="","Set stock unit",IF($G57="","Add pack size &amp; price",IF($M57&lt;0,"Recount (negative)",IF(AND(ISNUMBER($O57),$M57&lt;=$O57),"Reorder","OK")))))</f>
        <v/>
      </c>
      <c r="Q57" s="71">
        <f>IF(OR($B57="",$G57=""),"",N($L57)*$G57)</f>
        <v/>
      </c>
    </row>
    <row r="58" ht="17" customHeight="1">
      <c r="B58" s="60" t="n"/>
      <c r="C58" s="60" t="n"/>
      <c r="D58" s="60" t="n"/>
      <c r="E58" s="86" t="n"/>
      <c r="F58" s="63" t="n"/>
      <c r="G58" s="87">
        <f>IF($B58="","",IF(N($E58)&lt;=0,"",N($F58)/$E58))</f>
        <v/>
      </c>
      <c r="H58" s="86" t="n"/>
      <c r="I58" s="86" t="n"/>
      <c r="J58" s="89">
        <f>IF($B58="","",SUMIFS('Recipe Builder'!$L$7:$L$406,'Recipe Builder'!$C$7:$C$406,$B58))</f>
        <v/>
      </c>
      <c r="K58" s="86" t="n"/>
      <c r="L58" s="89">
        <f>IF($B58="","",SUMIFS('Waste Log'!$I$7:$I$506,'Waste Log'!$C$7:$C$506,$B58,'Waste Log'!$B$7:$B$506,"&gt;="&amp;cfg_CountDate))</f>
        <v/>
      </c>
      <c r="M58" s="89">
        <f>IF($B58="","",N($H58)+N($I58)-N($J58)-N($K58)-N($L58))</f>
        <v/>
      </c>
      <c r="N58" s="71">
        <f>IF($B58="","",IF($G58="",0,MAX(0,$M58)*$G58))</f>
        <v/>
      </c>
      <c r="O58" s="86" t="n"/>
      <c r="P58" s="80">
        <f>IF($B58="","",IF($D58="","Set stock unit",IF($G58="","Add pack size &amp; price",IF($M58&lt;0,"Recount (negative)",IF(AND(ISNUMBER($O58),$M58&lt;=$O58),"Reorder","OK")))))</f>
        <v/>
      </c>
      <c r="Q58" s="71">
        <f>IF(OR($B58="",$G58=""),"",N($L58)*$G58)</f>
        <v/>
      </c>
    </row>
    <row r="59" ht="17" customHeight="1">
      <c r="B59" s="60" t="n"/>
      <c r="C59" s="60" t="n"/>
      <c r="D59" s="60" t="n"/>
      <c r="E59" s="86" t="n"/>
      <c r="F59" s="63" t="n"/>
      <c r="G59" s="87">
        <f>IF($B59="","",IF(N($E59)&lt;=0,"",N($F59)/$E59))</f>
        <v/>
      </c>
      <c r="H59" s="86" t="n"/>
      <c r="I59" s="86" t="n"/>
      <c r="J59" s="89">
        <f>IF($B59="","",SUMIFS('Recipe Builder'!$L$7:$L$406,'Recipe Builder'!$C$7:$C$406,$B59))</f>
        <v/>
      </c>
      <c r="K59" s="86" t="n"/>
      <c r="L59" s="89">
        <f>IF($B59="","",SUMIFS('Waste Log'!$I$7:$I$506,'Waste Log'!$C$7:$C$506,$B59,'Waste Log'!$B$7:$B$506,"&gt;="&amp;cfg_CountDate))</f>
        <v/>
      </c>
      <c r="M59" s="89">
        <f>IF($B59="","",N($H59)+N($I59)-N($J59)-N($K59)-N($L59))</f>
        <v/>
      </c>
      <c r="N59" s="71">
        <f>IF($B59="","",IF($G59="",0,MAX(0,$M59)*$G59))</f>
        <v/>
      </c>
      <c r="O59" s="86" t="n"/>
      <c r="P59" s="80">
        <f>IF($B59="","",IF($D59="","Set stock unit",IF($G59="","Add pack size &amp; price",IF($M59&lt;0,"Recount (negative)",IF(AND(ISNUMBER($O59),$M59&lt;=$O59),"Reorder","OK")))))</f>
        <v/>
      </c>
      <c r="Q59" s="71">
        <f>IF(OR($B59="",$G59=""),"",N($L59)*$G59)</f>
        <v/>
      </c>
    </row>
    <row r="60" ht="17" customHeight="1">
      <c r="B60" s="60" t="n"/>
      <c r="C60" s="60" t="n"/>
      <c r="D60" s="60" t="n"/>
      <c r="E60" s="86" t="n"/>
      <c r="F60" s="63" t="n"/>
      <c r="G60" s="87">
        <f>IF($B60="","",IF(N($E60)&lt;=0,"",N($F60)/$E60))</f>
        <v/>
      </c>
      <c r="H60" s="86" t="n"/>
      <c r="I60" s="86" t="n"/>
      <c r="J60" s="89">
        <f>IF($B60="","",SUMIFS('Recipe Builder'!$L$7:$L$406,'Recipe Builder'!$C$7:$C$406,$B60))</f>
        <v/>
      </c>
      <c r="K60" s="86" t="n"/>
      <c r="L60" s="89">
        <f>IF($B60="","",SUMIFS('Waste Log'!$I$7:$I$506,'Waste Log'!$C$7:$C$506,$B60,'Waste Log'!$B$7:$B$506,"&gt;="&amp;cfg_CountDate))</f>
        <v/>
      </c>
      <c r="M60" s="89">
        <f>IF($B60="","",N($H60)+N($I60)-N($J60)-N($K60)-N($L60))</f>
        <v/>
      </c>
      <c r="N60" s="71">
        <f>IF($B60="","",IF($G60="",0,MAX(0,$M60)*$G60))</f>
        <v/>
      </c>
      <c r="O60" s="86" t="n"/>
      <c r="P60" s="80">
        <f>IF($B60="","",IF($D60="","Set stock unit",IF($G60="","Add pack size &amp; price",IF($M60&lt;0,"Recount (negative)",IF(AND(ISNUMBER($O60),$M60&lt;=$O60),"Reorder","OK")))))</f>
        <v/>
      </c>
      <c r="Q60" s="71">
        <f>IF(OR($B60="",$G60=""),"",N($L60)*$G60)</f>
        <v/>
      </c>
    </row>
    <row r="61" ht="17" customHeight="1">
      <c r="B61" s="60" t="n"/>
      <c r="C61" s="60" t="n"/>
      <c r="D61" s="60" t="n"/>
      <c r="E61" s="86" t="n"/>
      <c r="F61" s="63" t="n"/>
      <c r="G61" s="87">
        <f>IF($B61="","",IF(N($E61)&lt;=0,"",N($F61)/$E61))</f>
        <v/>
      </c>
      <c r="H61" s="86" t="n"/>
      <c r="I61" s="86" t="n"/>
      <c r="J61" s="89">
        <f>IF($B61="","",SUMIFS('Recipe Builder'!$L$7:$L$406,'Recipe Builder'!$C$7:$C$406,$B61))</f>
        <v/>
      </c>
      <c r="K61" s="86" t="n"/>
      <c r="L61" s="89">
        <f>IF($B61="","",SUMIFS('Waste Log'!$I$7:$I$506,'Waste Log'!$C$7:$C$506,$B61,'Waste Log'!$B$7:$B$506,"&gt;="&amp;cfg_CountDate))</f>
        <v/>
      </c>
      <c r="M61" s="89">
        <f>IF($B61="","",N($H61)+N($I61)-N($J61)-N($K61)-N($L61))</f>
        <v/>
      </c>
      <c r="N61" s="71">
        <f>IF($B61="","",IF($G61="",0,MAX(0,$M61)*$G61))</f>
        <v/>
      </c>
      <c r="O61" s="86" t="n"/>
      <c r="P61" s="80">
        <f>IF($B61="","",IF($D61="","Set stock unit",IF($G61="","Add pack size &amp; price",IF($M61&lt;0,"Recount (negative)",IF(AND(ISNUMBER($O61),$M61&lt;=$O61),"Reorder","OK")))))</f>
        <v/>
      </c>
      <c r="Q61" s="71">
        <f>IF(OR($B61="",$G61=""),"",N($L61)*$G61)</f>
        <v/>
      </c>
    </row>
    <row r="62" ht="17" customHeight="1">
      <c r="B62" s="60" t="n"/>
      <c r="C62" s="60" t="n"/>
      <c r="D62" s="60" t="n"/>
      <c r="E62" s="86" t="n"/>
      <c r="F62" s="63" t="n"/>
      <c r="G62" s="87">
        <f>IF($B62="","",IF(N($E62)&lt;=0,"",N($F62)/$E62))</f>
        <v/>
      </c>
      <c r="H62" s="86" t="n"/>
      <c r="I62" s="86" t="n"/>
      <c r="J62" s="89">
        <f>IF($B62="","",SUMIFS('Recipe Builder'!$L$7:$L$406,'Recipe Builder'!$C$7:$C$406,$B62))</f>
        <v/>
      </c>
      <c r="K62" s="86" t="n"/>
      <c r="L62" s="89">
        <f>IF($B62="","",SUMIFS('Waste Log'!$I$7:$I$506,'Waste Log'!$C$7:$C$506,$B62,'Waste Log'!$B$7:$B$506,"&gt;="&amp;cfg_CountDate))</f>
        <v/>
      </c>
      <c r="M62" s="89">
        <f>IF($B62="","",N($H62)+N($I62)-N($J62)-N($K62)-N($L62))</f>
        <v/>
      </c>
      <c r="N62" s="71">
        <f>IF($B62="","",IF($G62="",0,MAX(0,$M62)*$G62))</f>
        <v/>
      </c>
      <c r="O62" s="86" t="n"/>
      <c r="P62" s="80">
        <f>IF($B62="","",IF($D62="","Set stock unit",IF($G62="","Add pack size &amp; price",IF($M62&lt;0,"Recount (negative)",IF(AND(ISNUMBER($O62),$M62&lt;=$O62),"Reorder","OK")))))</f>
        <v/>
      </c>
      <c r="Q62" s="71">
        <f>IF(OR($B62="",$G62=""),"",N($L62)*$G62)</f>
        <v/>
      </c>
    </row>
    <row r="63" ht="17" customHeight="1">
      <c r="B63" s="60" t="n"/>
      <c r="C63" s="60" t="n"/>
      <c r="D63" s="60" t="n"/>
      <c r="E63" s="86" t="n"/>
      <c r="F63" s="63" t="n"/>
      <c r="G63" s="87">
        <f>IF($B63="","",IF(N($E63)&lt;=0,"",N($F63)/$E63))</f>
        <v/>
      </c>
      <c r="H63" s="86" t="n"/>
      <c r="I63" s="86" t="n"/>
      <c r="J63" s="89">
        <f>IF($B63="","",SUMIFS('Recipe Builder'!$L$7:$L$406,'Recipe Builder'!$C$7:$C$406,$B63))</f>
        <v/>
      </c>
      <c r="K63" s="86" t="n"/>
      <c r="L63" s="89">
        <f>IF($B63="","",SUMIFS('Waste Log'!$I$7:$I$506,'Waste Log'!$C$7:$C$506,$B63,'Waste Log'!$B$7:$B$506,"&gt;="&amp;cfg_CountDate))</f>
        <v/>
      </c>
      <c r="M63" s="89">
        <f>IF($B63="","",N($H63)+N($I63)-N($J63)-N($K63)-N($L63))</f>
        <v/>
      </c>
      <c r="N63" s="71">
        <f>IF($B63="","",IF($G63="",0,MAX(0,$M63)*$G63))</f>
        <v/>
      </c>
      <c r="O63" s="86" t="n"/>
      <c r="P63" s="80">
        <f>IF($B63="","",IF($D63="","Set stock unit",IF($G63="","Add pack size &amp; price",IF($M63&lt;0,"Recount (negative)",IF(AND(ISNUMBER($O63),$M63&lt;=$O63),"Reorder","OK")))))</f>
        <v/>
      </c>
      <c r="Q63" s="71">
        <f>IF(OR($B63="",$G63=""),"",N($L63)*$G63)</f>
        <v/>
      </c>
    </row>
    <row r="64" ht="17" customHeight="1">
      <c r="B64" s="60" t="n"/>
      <c r="C64" s="60" t="n"/>
      <c r="D64" s="60" t="n"/>
      <c r="E64" s="86" t="n"/>
      <c r="F64" s="63" t="n"/>
      <c r="G64" s="87">
        <f>IF($B64="","",IF(N($E64)&lt;=0,"",N($F64)/$E64))</f>
        <v/>
      </c>
      <c r="H64" s="86" t="n"/>
      <c r="I64" s="86" t="n"/>
      <c r="J64" s="89">
        <f>IF($B64="","",SUMIFS('Recipe Builder'!$L$7:$L$406,'Recipe Builder'!$C$7:$C$406,$B64))</f>
        <v/>
      </c>
      <c r="K64" s="86" t="n"/>
      <c r="L64" s="89">
        <f>IF($B64="","",SUMIFS('Waste Log'!$I$7:$I$506,'Waste Log'!$C$7:$C$506,$B64,'Waste Log'!$B$7:$B$506,"&gt;="&amp;cfg_CountDate))</f>
        <v/>
      </c>
      <c r="M64" s="89">
        <f>IF($B64="","",N($H64)+N($I64)-N($J64)-N($K64)-N($L64))</f>
        <v/>
      </c>
      <c r="N64" s="71">
        <f>IF($B64="","",IF($G64="",0,MAX(0,$M64)*$G64))</f>
        <v/>
      </c>
      <c r="O64" s="86" t="n"/>
      <c r="P64" s="80">
        <f>IF($B64="","",IF($D64="","Set stock unit",IF($G64="","Add pack size &amp; price",IF($M64&lt;0,"Recount (negative)",IF(AND(ISNUMBER($O64),$M64&lt;=$O64),"Reorder","OK")))))</f>
        <v/>
      </c>
      <c r="Q64" s="71">
        <f>IF(OR($B64="",$G64=""),"",N($L64)*$G64)</f>
        <v/>
      </c>
    </row>
    <row r="65" ht="17" customHeight="1">
      <c r="B65" s="60" t="n"/>
      <c r="C65" s="60" t="n"/>
      <c r="D65" s="60" t="n"/>
      <c r="E65" s="86" t="n"/>
      <c r="F65" s="63" t="n"/>
      <c r="G65" s="87">
        <f>IF($B65="","",IF(N($E65)&lt;=0,"",N($F65)/$E65))</f>
        <v/>
      </c>
      <c r="H65" s="86" t="n"/>
      <c r="I65" s="86" t="n"/>
      <c r="J65" s="89">
        <f>IF($B65="","",SUMIFS('Recipe Builder'!$L$7:$L$406,'Recipe Builder'!$C$7:$C$406,$B65))</f>
        <v/>
      </c>
      <c r="K65" s="86" t="n"/>
      <c r="L65" s="89">
        <f>IF($B65="","",SUMIFS('Waste Log'!$I$7:$I$506,'Waste Log'!$C$7:$C$506,$B65,'Waste Log'!$B$7:$B$506,"&gt;="&amp;cfg_CountDate))</f>
        <v/>
      </c>
      <c r="M65" s="89">
        <f>IF($B65="","",N($H65)+N($I65)-N($J65)-N($K65)-N($L65))</f>
        <v/>
      </c>
      <c r="N65" s="71">
        <f>IF($B65="","",IF($G65="",0,MAX(0,$M65)*$G65))</f>
        <v/>
      </c>
      <c r="O65" s="86" t="n"/>
      <c r="P65" s="80">
        <f>IF($B65="","",IF($D65="","Set stock unit",IF($G65="","Add pack size &amp; price",IF($M65&lt;0,"Recount (negative)",IF(AND(ISNUMBER($O65),$M65&lt;=$O65),"Reorder","OK")))))</f>
        <v/>
      </c>
      <c r="Q65" s="71">
        <f>IF(OR($B65="",$G65=""),"",N($L65)*$G65)</f>
        <v/>
      </c>
    </row>
    <row r="66" ht="17" customHeight="1">
      <c r="B66" s="60" t="n"/>
      <c r="C66" s="60" t="n"/>
      <c r="D66" s="60" t="n"/>
      <c r="E66" s="86" t="n"/>
      <c r="F66" s="63" t="n"/>
      <c r="G66" s="87">
        <f>IF($B66="","",IF(N($E66)&lt;=0,"",N($F66)/$E66))</f>
        <v/>
      </c>
      <c r="H66" s="86" t="n"/>
      <c r="I66" s="86" t="n"/>
      <c r="J66" s="89">
        <f>IF($B66="","",SUMIFS('Recipe Builder'!$L$7:$L$406,'Recipe Builder'!$C$7:$C$406,$B66))</f>
        <v/>
      </c>
      <c r="K66" s="86" t="n"/>
      <c r="L66" s="89">
        <f>IF($B66="","",SUMIFS('Waste Log'!$I$7:$I$506,'Waste Log'!$C$7:$C$506,$B66,'Waste Log'!$B$7:$B$506,"&gt;="&amp;cfg_CountDate))</f>
        <v/>
      </c>
      <c r="M66" s="89">
        <f>IF($B66="","",N($H66)+N($I66)-N($J66)-N($K66)-N($L66))</f>
        <v/>
      </c>
      <c r="N66" s="71">
        <f>IF($B66="","",IF($G66="",0,MAX(0,$M66)*$G66))</f>
        <v/>
      </c>
      <c r="O66" s="86" t="n"/>
      <c r="P66" s="80">
        <f>IF($B66="","",IF($D66="","Set stock unit",IF($G66="","Add pack size &amp; price",IF($M66&lt;0,"Recount (negative)",IF(AND(ISNUMBER($O66),$M66&lt;=$O66),"Reorder","OK")))))</f>
        <v/>
      </c>
      <c r="Q66" s="71">
        <f>IF(OR($B66="",$G66=""),"",N($L66)*$G66)</f>
        <v/>
      </c>
    </row>
    <row r="67" ht="17" customHeight="1">
      <c r="B67" s="60" t="n"/>
      <c r="C67" s="60" t="n"/>
      <c r="D67" s="60" t="n"/>
      <c r="E67" s="86" t="n"/>
      <c r="F67" s="63" t="n"/>
      <c r="G67" s="87">
        <f>IF($B67="","",IF(N($E67)&lt;=0,"",N($F67)/$E67))</f>
        <v/>
      </c>
      <c r="H67" s="86" t="n"/>
      <c r="I67" s="86" t="n"/>
      <c r="J67" s="89">
        <f>IF($B67="","",SUMIFS('Recipe Builder'!$L$7:$L$406,'Recipe Builder'!$C$7:$C$406,$B67))</f>
        <v/>
      </c>
      <c r="K67" s="86" t="n"/>
      <c r="L67" s="89">
        <f>IF($B67="","",SUMIFS('Waste Log'!$I$7:$I$506,'Waste Log'!$C$7:$C$506,$B67,'Waste Log'!$B$7:$B$506,"&gt;="&amp;cfg_CountDate))</f>
        <v/>
      </c>
      <c r="M67" s="89">
        <f>IF($B67="","",N($H67)+N($I67)-N($J67)-N($K67)-N($L67))</f>
        <v/>
      </c>
      <c r="N67" s="71">
        <f>IF($B67="","",IF($G67="",0,MAX(0,$M67)*$G67))</f>
        <v/>
      </c>
      <c r="O67" s="86" t="n"/>
      <c r="P67" s="80">
        <f>IF($B67="","",IF($D67="","Set stock unit",IF($G67="","Add pack size &amp; price",IF($M67&lt;0,"Recount (negative)",IF(AND(ISNUMBER($O67),$M67&lt;=$O67),"Reorder","OK")))))</f>
        <v/>
      </c>
      <c r="Q67" s="71">
        <f>IF(OR($B67="",$G67=""),"",N($L67)*$G67)</f>
        <v/>
      </c>
    </row>
    <row r="68" ht="17" customHeight="1">
      <c r="B68" s="60" t="n"/>
      <c r="C68" s="60" t="n"/>
      <c r="D68" s="60" t="n"/>
      <c r="E68" s="86" t="n"/>
      <c r="F68" s="63" t="n"/>
      <c r="G68" s="87">
        <f>IF($B68="","",IF(N($E68)&lt;=0,"",N($F68)/$E68))</f>
        <v/>
      </c>
      <c r="H68" s="86" t="n"/>
      <c r="I68" s="86" t="n"/>
      <c r="J68" s="89">
        <f>IF($B68="","",SUMIFS('Recipe Builder'!$L$7:$L$406,'Recipe Builder'!$C$7:$C$406,$B68))</f>
        <v/>
      </c>
      <c r="K68" s="86" t="n"/>
      <c r="L68" s="89">
        <f>IF($B68="","",SUMIFS('Waste Log'!$I$7:$I$506,'Waste Log'!$C$7:$C$506,$B68,'Waste Log'!$B$7:$B$506,"&gt;="&amp;cfg_CountDate))</f>
        <v/>
      </c>
      <c r="M68" s="89">
        <f>IF($B68="","",N($H68)+N($I68)-N($J68)-N($K68)-N($L68))</f>
        <v/>
      </c>
      <c r="N68" s="71">
        <f>IF($B68="","",IF($G68="",0,MAX(0,$M68)*$G68))</f>
        <v/>
      </c>
      <c r="O68" s="86" t="n"/>
      <c r="P68" s="80">
        <f>IF($B68="","",IF($D68="","Set stock unit",IF($G68="","Add pack size &amp; price",IF($M68&lt;0,"Recount (negative)",IF(AND(ISNUMBER($O68),$M68&lt;=$O68),"Reorder","OK")))))</f>
        <v/>
      </c>
      <c r="Q68" s="71">
        <f>IF(OR($B68="",$G68=""),"",N($L68)*$G68)</f>
        <v/>
      </c>
    </row>
    <row r="69" ht="17" customHeight="1">
      <c r="B69" s="60" t="n"/>
      <c r="C69" s="60" t="n"/>
      <c r="D69" s="60" t="n"/>
      <c r="E69" s="86" t="n"/>
      <c r="F69" s="63" t="n"/>
      <c r="G69" s="87">
        <f>IF($B69="","",IF(N($E69)&lt;=0,"",N($F69)/$E69))</f>
        <v/>
      </c>
      <c r="H69" s="86" t="n"/>
      <c r="I69" s="86" t="n"/>
      <c r="J69" s="89">
        <f>IF($B69="","",SUMIFS('Recipe Builder'!$L$7:$L$406,'Recipe Builder'!$C$7:$C$406,$B69))</f>
        <v/>
      </c>
      <c r="K69" s="86" t="n"/>
      <c r="L69" s="89">
        <f>IF($B69="","",SUMIFS('Waste Log'!$I$7:$I$506,'Waste Log'!$C$7:$C$506,$B69,'Waste Log'!$B$7:$B$506,"&gt;="&amp;cfg_CountDate))</f>
        <v/>
      </c>
      <c r="M69" s="89">
        <f>IF($B69="","",N($H69)+N($I69)-N($J69)-N($K69)-N($L69))</f>
        <v/>
      </c>
      <c r="N69" s="71">
        <f>IF($B69="","",IF($G69="",0,MAX(0,$M69)*$G69))</f>
        <v/>
      </c>
      <c r="O69" s="86" t="n"/>
      <c r="P69" s="80">
        <f>IF($B69="","",IF($D69="","Set stock unit",IF($G69="","Add pack size &amp; price",IF($M69&lt;0,"Recount (negative)",IF(AND(ISNUMBER($O69),$M69&lt;=$O69),"Reorder","OK")))))</f>
        <v/>
      </c>
      <c r="Q69" s="71">
        <f>IF(OR($B69="",$G69=""),"",N($L69)*$G69)</f>
        <v/>
      </c>
    </row>
    <row r="70" ht="17" customHeight="1">
      <c r="B70" s="60" t="n"/>
      <c r="C70" s="60" t="n"/>
      <c r="D70" s="60" t="n"/>
      <c r="E70" s="86" t="n"/>
      <c r="F70" s="63" t="n"/>
      <c r="G70" s="87">
        <f>IF($B70="","",IF(N($E70)&lt;=0,"",N($F70)/$E70))</f>
        <v/>
      </c>
      <c r="H70" s="86" t="n"/>
      <c r="I70" s="86" t="n"/>
      <c r="J70" s="89">
        <f>IF($B70="","",SUMIFS('Recipe Builder'!$L$7:$L$406,'Recipe Builder'!$C$7:$C$406,$B70))</f>
        <v/>
      </c>
      <c r="K70" s="86" t="n"/>
      <c r="L70" s="89">
        <f>IF($B70="","",SUMIFS('Waste Log'!$I$7:$I$506,'Waste Log'!$C$7:$C$506,$B70,'Waste Log'!$B$7:$B$506,"&gt;="&amp;cfg_CountDate))</f>
        <v/>
      </c>
      <c r="M70" s="89">
        <f>IF($B70="","",N($H70)+N($I70)-N($J70)-N($K70)-N($L70))</f>
        <v/>
      </c>
      <c r="N70" s="71">
        <f>IF($B70="","",IF($G70="",0,MAX(0,$M70)*$G70))</f>
        <v/>
      </c>
      <c r="O70" s="86" t="n"/>
      <c r="P70" s="80">
        <f>IF($B70="","",IF($D70="","Set stock unit",IF($G70="","Add pack size &amp; price",IF($M70&lt;0,"Recount (negative)",IF(AND(ISNUMBER($O70),$M70&lt;=$O70),"Reorder","OK")))))</f>
        <v/>
      </c>
      <c r="Q70" s="71">
        <f>IF(OR($B70="",$G70=""),"",N($L70)*$G70)</f>
        <v/>
      </c>
    </row>
    <row r="71" ht="17" customHeight="1">
      <c r="B71" s="60" t="n"/>
      <c r="C71" s="60" t="n"/>
      <c r="D71" s="60" t="n"/>
      <c r="E71" s="86" t="n"/>
      <c r="F71" s="63" t="n"/>
      <c r="G71" s="87">
        <f>IF($B71="","",IF(N($E71)&lt;=0,"",N($F71)/$E71))</f>
        <v/>
      </c>
      <c r="H71" s="86" t="n"/>
      <c r="I71" s="86" t="n"/>
      <c r="J71" s="89">
        <f>IF($B71="","",SUMIFS('Recipe Builder'!$L$7:$L$406,'Recipe Builder'!$C$7:$C$406,$B71))</f>
        <v/>
      </c>
      <c r="K71" s="86" t="n"/>
      <c r="L71" s="89">
        <f>IF($B71="","",SUMIFS('Waste Log'!$I$7:$I$506,'Waste Log'!$C$7:$C$506,$B71,'Waste Log'!$B$7:$B$506,"&gt;="&amp;cfg_CountDate))</f>
        <v/>
      </c>
      <c r="M71" s="89">
        <f>IF($B71="","",N($H71)+N($I71)-N($J71)-N($K71)-N($L71))</f>
        <v/>
      </c>
      <c r="N71" s="71">
        <f>IF($B71="","",IF($G71="",0,MAX(0,$M71)*$G71))</f>
        <v/>
      </c>
      <c r="O71" s="86" t="n"/>
      <c r="P71" s="80">
        <f>IF($B71="","",IF($D71="","Set stock unit",IF($G71="","Add pack size &amp; price",IF($M71&lt;0,"Recount (negative)",IF(AND(ISNUMBER($O71),$M71&lt;=$O71),"Reorder","OK")))))</f>
        <v/>
      </c>
      <c r="Q71" s="71">
        <f>IF(OR($B71="",$G71=""),"",N($L71)*$G71)</f>
        <v/>
      </c>
    </row>
    <row r="72" ht="17" customHeight="1">
      <c r="B72" s="60" t="n"/>
      <c r="C72" s="60" t="n"/>
      <c r="D72" s="60" t="n"/>
      <c r="E72" s="86" t="n"/>
      <c r="F72" s="63" t="n"/>
      <c r="G72" s="87">
        <f>IF($B72="","",IF(N($E72)&lt;=0,"",N($F72)/$E72))</f>
        <v/>
      </c>
      <c r="H72" s="86" t="n"/>
      <c r="I72" s="86" t="n"/>
      <c r="J72" s="89">
        <f>IF($B72="","",SUMIFS('Recipe Builder'!$L$7:$L$406,'Recipe Builder'!$C$7:$C$406,$B72))</f>
        <v/>
      </c>
      <c r="K72" s="86" t="n"/>
      <c r="L72" s="89">
        <f>IF($B72="","",SUMIFS('Waste Log'!$I$7:$I$506,'Waste Log'!$C$7:$C$506,$B72,'Waste Log'!$B$7:$B$506,"&gt;="&amp;cfg_CountDate))</f>
        <v/>
      </c>
      <c r="M72" s="89">
        <f>IF($B72="","",N($H72)+N($I72)-N($J72)-N($K72)-N($L72))</f>
        <v/>
      </c>
      <c r="N72" s="71">
        <f>IF($B72="","",IF($G72="",0,MAX(0,$M72)*$G72))</f>
        <v/>
      </c>
      <c r="O72" s="86" t="n"/>
      <c r="P72" s="80">
        <f>IF($B72="","",IF($D72="","Set stock unit",IF($G72="","Add pack size &amp; price",IF($M72&lt;0,"Recount (negative)",IF(AND(ISNUMBER($O72),$M72&lt;=$O72),"Reorder","OK")))))</f>
        <v/>
      </c>
      <c r="Q72" s="71">
        <f>IF(OR($B72="",$G72=""),"",N($L72)*$G72)</f>
        <v/>
      </c>
    </row>
    <row r="73" ht="17" customHeight="1">
      <c r="B73" s="60" t="n"/>
      <c r="C73" s="60" t="n"/>
      <c r="D73" s="60" t="n"/>
      <c r="E73" s="86" t="n"/>
      <c r="F73" s="63" t="n"/>
      <c r="G73" s="87">
        <f>IF($B73="","",IF(N($E73)&lt;=0,"",N($F73)/$E73))</f>
        <v/>
      </c>
      <c r="H73" s="86" t="n"/>
      <c r="I73" s="86" t="n"/>
      <c r="J73" s="89">
        <f>IF($B73="","",SUMIFS('Recipe Builder'!$L$7:$L$406,'Recipe Builder'!$C$7:$C$406,$B73))</f>
        <v/>
      </c>
      <c r="K73" s="86" t="n"/>
      <c r="L73" s="89">
        <f>IF($B73="","",SUMIFS('Waste Log'!$I$7:$I$506,'Waste Log'!$C$7:$C$506,$B73,'Waste Log'!$B$7:$B$506,"&gt;="&amp;cfg_CountDate))</f>
        <v/>
      </c>
      <c r="M73" s="89">
        <f>IF($B73="","",N($H73)+N($I73)-N($J73)-N($K73)-N($L73))</f>
        <v/>
      </c>
      <c r="N73" s="71">
        <f>IF($B73="","",IF($G73="",0,MAX(0,$M73)*$G73))</f>
        <v/>
      </c>
      <c r="O73" s="86" t="n"/>
      <c r="P73" s="80">
        <f>IF($B73="","",IF($D73="","Set stock unit",IF($G73="","Add pack size &amp; price",IF($M73&lt;0,"Recount (negative)",IF(AND(ISNUMBER($O73),$M73&lt;=$O73),"Reorder","OK")))))</f>
        <v/>
      </c>
      <c r="Q73" s="71">
        <f>IF(OR($B73="",$G73=""),"",N($L73)*$G73)</f>
        <v/>
      </c>
    </row>
    <row r="74" ht="17" customHeight="1">
      <c r="B74" s="60" t="n"/>
      <c r="C74" s="60" t="n"/>
      <c r="D74" s="60" t="n"/>
      <c r="E74" s="86" t="n"/>
      <c r="F74" s="63" t="n"/>
      <c r="G74" s="87">
        <f>IF($B74="","",IF(N($E74)&lt;=0,"",N($F74)/$E74))</f>
        <v/>
      </c>
      <c r="H74" s="86" t="n"/>
      <c r="I74" s="86" t="n"/>
      <c r="J74" s="89">
        <f>IF($B74="","",SUMIFS('Recipe Builder'!$L$7:$L$406,'Recipe Builder'!$C$7:$C$406,$B74))</f>
        <v/>
      </c>
      <c r="K74" s="86" t="n"/>
      <c r="L74" s="89">
        <f>IF($B74="","",SUMIFS('Waste Log'!$I$7:$I$506,'Waste Log'!$C$7:$C$506,$B74,'Waste Log'!$B$7:$B$506,"&gt;="&amp;cfg_CountDate))</f>
        <v/>
      </c>
      <c r="M74" s="89">
        <f>IF($B74="","",N($H74)+N($I74)-N($J74)-N($K74)-N($L74))</f>
        <v/>
      </c>
      <c r="N74" s="71">
        <f>IF($B74="","",IF($G74="",0,MAX(0,$M74)*$G74))</f>
        <v/>
      </c>
      <c r="O74" s="86" t="n"/>
      <c r="P74" s="80">
        <f>IF($B74="","",IF($D74="","Set stock unit",IF($G74="","Add pack size &amp; price",IF($M74&lt;0,"Recount (negative)",IF(AND(ISNUMBER($O74),$M74&lt;=$O74),"Reorder","OK")))))</f>
        <v/>
      </c>
      <c r="Q74" s="71">
        <f>IF(OR($B74="",$G74=""),"",N($L74)*$G74)</f>
        <v/>
      </c>
    </row>
    <row r="75" ht="17" customHeight="1">
      <c r="B75" s="60" t="n"/>
      <c r="C75" s="60" t="n"/>
      <c r="D75" s="60" t="n"/>
      <c r="E75" s="86" t="n"/>
      <c r="F75" s="63" t="n"/>
      <c r="G75" s="87">
        <f>IF($B75="","",IF(N($E75)&lt;=0,"",N($F75)/$E75))</f>
        <v/>
      </c>
      <c r="H75" s="86" t="n"/>
      <c r="I75" s="86" t="n"/>
      <c r="J75" s="89">
        <f>IF($B75="","",SUMIFS('Recipe Builder'!$L$7:$L$406,'Recipe Builder'!$C$7:$C$406,$B75))</f>
        <v/>
      </c>
      <c r="K75" s="86" t="n"/>
      <c r="L75" s="89">
        <f>IF($B75="","",SUMIFS('Waste Log'!$I$7:$I$506,'Waste Log'!$C$7:$C$506,$B75,'Waste Log'!$B$7:$B$506,"&gt;="&amp;cfg_CountDate))</f>
        <v/>
      </c>
      <c r="M75" s="89">
        <f>IF($B75="","",N($H75)+N($I75)-N($J75)-N($K75)-N($L75))</f>
        <v/>
      </c>
      <c r="N75" s="71">
        <f>IF($B75="","",IF($G75="",0,MAX(0,$M75)*$G75))</f>
        <v/>
      </c>
      <c r="O75" s="86" t="n"/>
      <c r="P75" s="80">
        <f>IF($B75="","",IF($D75="","Set stock unit",IF($G75="","Add pack size &amp; price",IF($M75&lt;0,"Recount (negative)",IF(AND(ISNUMBER($O75),$M75&lt;=$O75),"Reorder","OK")))))</f>
        <v/>
      </c>
      <c r="Q75" s="71">
        <f>IF(OR($B75="",$G75=""),"",N($L75)*$G75)</f>
        <v/>
      </c>
    </row>
    <row r="76" ht="17" customHeight="1">
      <c r="B76" s="60" t="n"/>
      <c r="C76" s="60" t="n"/>
      <c r="D76" s="60" t="n"/>
      <c r="E76" s="86" t="n"/>
      <c r="F76" s="63" t="n"/>
      <c r="G76" s="87">
        <f>IF($B76="","",IF(N($E76)&lt;=0,"",N($F76)/$E76))</f>
        <v/>
      </c>
      <c r="H76" s="86" t="n"/>
      <c r="I76" s="86" t="n"/>
      <c r="J76" s="89">
        <f>IF($B76="","",SUMIFS('Recipe Builder'!$L$7:$L$406,'Recipe Builder'!$C$7:$C$406,$B76))</f>
        <v/>
      </c>
      <c r="K76" s="86" t="n"/>
      <c r="L76" s="89">
        <f>IF($B76="","",SUMIFS('Waste Log'!$I$7:$I$506,'Waste Log'!$C$7:$C$506,$B76,'Waste Log'!$B$7:$B$506,"&gt;="&amp;cfg_CountDate))</f>
        <v/>
      </c>
      <c r="M76" s="89">
        <f>IF($B76="","",N($H76)+N($I76)-N($J76)-N($K76)-N($L76))</f>
        <v/>
      </c>
      <c r="N76" s="71">
        <f>IF($B76="","",IF($G76="",0,MAX(0,$M76)*$G76))</f>
        <v/>
      </c>
      <c r="O76" s="86" t="n"/>
      <c r="P76" s="80">
        <f>IF($B76="","",IF($D76="","Set stock unit",IF($G76="","Add pack size &amp; price",IF($M76&lt;0,"Recount (negative)",IF(AND(ISNUMBER($O76),$M76&lt;=$O76),"Reorder","OK")))))</f>
        <v/>
      </c>
      <c r="Q76" s="71">
        <f>IF(OR($B76="",$G76=""),"",N($L76)*$G76)</f>
        <v/>
      </c>
    </row>
    <row r="77" ht="17" customHeight="1">
      <c r="B77" s="60" t="n"/>
      <c r="C77" s="60" t="n"/>
      <c r="D77" s="60" t="n"/>
      <c r="E77" s="86" t="n"/>
      <c r="F77" s="63" t="n"/>
      <c r="G77" s="87">
        <f>IF($B77="","",IF(N($E77)&lt;=0,"",N($F77)/$E77))</f>
        <v/>
      </c>
      <c r="H77" s="86" t="n"/>
      <c r="I77" s="86" t="n"/>
      <c r="J77" s="89">
        <f>IF($B77="","",SUMIFS('Recipe Builder'!$L$7:$L$406,'Recipe Builder'!$C$7:$C$406,$B77))</f>
        <v/>
      </c>
      <c r="K77" s="86" t="n"/>
      <c r="L77" s="89">
        <f>IF($B77="","",SUMIFS('Waste Log'!$I$7:$I$506,'Waste Log'!$C$7:$C$506,$B77,'Waste Log'!$B$7:$B$506,"&gt;="&amp;cfg_CountDate))</f>
        <v/>
      </c>
      <c r="M77" s="89">
        <f>IF($B77="","",N($H77)+N($I77)-N($J77)-N($K77)-N($L77))</f>
        <v/>
      </c>
      <c r="N77" s="71">
        <f>IF($B77="","",IF($G77="",0,MAX(0,$M77)*$G77))</f>
        <v/>
      </c>
      <c r="O77" s="86" t="n"/>
      <c r="P77" s="80">
        <f>IF($B77="","",IF($D77="","Set stock unit",IF($G77="","Add pack size &amp; price",IF($M77&lt;0,"Recount (negative)",IF(AND(ISNUMBER($O77),$M77&lt;=$O77),"Reorder","OK")))))</f>
        <v/>
      </c>
      <c r="Q77" s="71">
        <f>IF(OR($B77="",$G77=""),"",N($L77)*$G77)</f>
        <v/>
      </c>
    </row>
    <row r="78" ht="17" customHeight="1">
      <c r="B78" s="60" t="n"/>
      <c r="C78" s="60" t="n"/>
      <c r="D78" s="60" t="n"/>
      <c r="E78" s="86" t="n"/>
      <c r="F78" s="63" t="n"/>
      <c r="G78" s="87">
        <f>IF($B78="","",IF(N($E78)&lt;=0,"",N($F78)/$E78))</f>
        <v/>
      </c>
      <c r="H78" s="86" t="n"/>
      <c r="I78" s="86" t="n"/>
      <c r="J78" s="89">
        <f>IF($B78="","",SUMIFS('Recipe Builder'!$L$7:$L$406,'Recipe Builder'!$C$7:$C$406,$B78))</f>
        <v/>
      </c>
      <c r="K78" s="86" t="n"/>
      <c r="L78" s="89">
        <f>IF($B78="","",SUMIFS('Waste Log'!$I$7:$I$506,'Waste Log'!$C$7:$C$506,$B78,'Waste Log'!$B$7:$B$506,"&gt;="&amp;cfg_CountDate))</f>
        <v/>
      </c>
      <c r="M78" s="89">
        <f>IF($B78="","",N($H78)+N($I78)-N($J78)-N($K78)-N($L78))</f>
        <v/>
      </c>
      <c r="N78" s="71">
        <f>IF($B78="","",IF($G78="",0,MAX(0,$M78)*$G78))</f>
        <v/>
      </c>
      <c r="O78" s="86" t="n"/>
      <c r="P78" s="80">
        <f>IF($B78="","",IF($D78="","Set stock unit",IF($G78="","Add pack size &amp; price",IF($M78&lt;0,"Recount (negative)",IF(AND(ISNUMBER($O78),$M78&lt;=$O78),"Reorder","OK")))))</f>
        <v/>
      </c>
      <c r="Q78" s="71">
        <f>IF(OR($B78="",$G78=""),"",N($L78)*$G78)</f>
        <v/>
      </c>
    </row>
    <row r="79" ht="17" customHeight="1">
      <c r="B79" s="60" t="n"/>
      <c r="C79" s="60" t="n"/>
      <c r="D79" s="60" t="n"/>
      <c r="E79" s="86" t="n"/>
      <c r="F79" s="63" t="n"/>
      <c r="G79" s="87">
        <f>IF($B79="","",IF(N($E79)&lt;=0,"",N($F79)/$E79))</f>
        <v/>
      </c>
      <c r="H79" s="86" t="n"/>
      <c r="I79" s="86" t="n"/>
      <c r="J79" s="89">
        <f>IF($B79="","",SUMIFS('Recipe Builder'!$L$7:$L$406,'Recipe Builder'!$C$7:$C$406,$B79))</f>
        <v/>
      </c>
      <c r="K79" s="86" t="n"/>
      <c r="L79" s="89">
        <f>IF($B79="","",SUMIFS('Waste Log'!$I$7:$I$506,'Waste Log'!$C$7:$C$506,$B79,'Waste Log'!$B$7:$B$506,"&gt;="&amp;cfg_CountDate))</f>
        <v/>
      </c>
      <c r="M79" s="89">
        <f>IF($B79="","",N($H79)+N($I79)-N($J79)-N($K79)-N($L79))</f>
        <v/>
      </c>
      <c r="N79" s="71">
        <f>IF($B79="","",IF($G79="",0,MAX(0,$M79)*$G79))</f>
        <v/>
      </c>
      <c r="O79" s="86" t="n"/>
      <c r="P79" s="80">
        <f>IF($B79="","",IF($D79="","Set stock unit",IF($G79="","Add pack size &amp; price",IF($M79&lt;0,"Recount (negative)",IF(AND(ISNUMBER($O79),$M79&lt;=$O79),"Reorder","OK")))))</f>
        <v/>
      </c>
      <c r="Q79" s="71">
        <f>IF(OR($B79="",$G79=""),"",N($L79)*$G79)</f>
        <v/>
      </c>
    </row>
    <row r="80" ht="17" customHeight="1">
      <c r="B80" s="60" t="n"/>
      <c r="C80" s="60" t="n"/>
      <c r="D80" s="60" t="n"/>
      <c r="E80" s="86" t="n"/>
      <c r="F80" s="63" t="n"/>
      <c r="G80" s="87">
        <f>IF($B80="","",IF(N($E80)&lt;=0,"",N($F80)/$E80))</f>
        <v/>
      </c>
      <c r="H80" s="86" t="n"/>
      <c r="I80" s="86" t="n"/>
      <c r="J80" s="89">
        <f>IF($B80="","",SUMIFS('Recipe Builder'!$L$7:$L$406,'Recipe Builder'!$C$7:$C$406,$B80))</f>
        <v/>
      </c>
      <c r="K80" s="86" t="n"/>
      <c r="L80" s="89">
        <f>IF($B80="","",SUMIFS('Waste Log'!$I$7:$I$506,'Waste Log'!$C$7:$C$506,$B80,'Waste Log'!$B$7:$B$506,"&gt;="&amp;cfg_CountDate))</f>
        <v/>
      </c>
      <c r="M80" s="89">
        <f>IF($B80="","",N($H80)+N($I80)-N($J80)-N($K80)-N($L80))</f>
        <v/>
      </c>
      <c r="N80" s="71">
        <f>IF($B80="","",IF($G80="",0,MAX(0,$M80)*$G80))</f>
        <v/>
      </c>
      <c r="O80" s="86" t="n"/>
      <c r="P80" s="80">
        <f>IF($B80="","",IF($D80="","Set stock unit",IF($G80="","Add pack size &amp; price",IF($M80&lt;0,"Recount (negative)",IF(AND(ISNUMBER($O80),$M80&lt;=$O80),"Reorder","OK")))))</f>
        <v/>
      </c>
      <c r="Q80" s="71">
        <f>IF(OR($B80="",$G80=""),"",N($L80)*$G80)</f>
        <v/>
      </c>
    </row>
    <row r="81" ht="17" customHeight="1">
      <c r="B81" s="60" t="n"/>
      <c r="C81" s="60" t="n"/>
      <c r="D81" s="60" t="n"/>
      <c r="E81" s="86" t="n"/>
      <c r="F81" s="63" t="n"/>
      <c r="G81" s="87">
        <f>IF($B81="","",IF(N($E81)&lt;=0,"",N($F81)/$E81))</f>
        <v/>
      </c>
      <c r="H81" s="86" t="n"/>
      <c r="I81" s="86" t="n"/>
      <c r="J81" s="89">
        <f>IF($B81="","",SUMIFS('Recipe Builder'!$L$7:$L$406,'Recipe Builder'!$C$7:$C$406,$B81))</f>
        <v/>
      </c>
      <c r="K81" s="86" t="n"/>
      <c r="L81" s="89">
        <f>IF($B81="","",SUMIFS('Waste Log'!$I$7:$I$506,'Waste Log'!$C$7:$C$506,$B81,'Waste Log'!$B$7:$B$506,"&gt;="&amp;cfg_CountDate))</f>
        <v/>
      </c>
      <c r="M81" s="89">
        <f>IF($B81="","",N($H81)+N($I81)-N($J81)-N($K81)-N($L81))</f>
        <v/>
      </c>
      <c r="N81" s="71">
        <f>IF($B81="","",IF($G81="",0,MAX(0,$M81)*$G81))</f>
        <v/>
      </c>
      <c r="O81" s="86" t="n"/>
      <c r="P81" s="80">
        <f>IF($B81="","",IF($D81="","Set stock unit",IF($G81="","Add pack size &amp; price",IF($M81&lt;0,"Recount (negative)",IF(AND(ISNUMBER($O81),$M81&lt;=$O81),"Reorder","OK")))))</f>
        <v/>
      </c>
      <c r="Q81" s="71">
        <f>IF(OR($B81="",$G81=""),"",N($L81)*$G81)</f>
        <v/>
      </c>
    </row>
    <row r="82" ht="17" customHeight="1">
      <c r="B82" s="60" t="n"/>
      <c r="C82" s="60" t="n"/>
      <c r="D82" s="60" t="n"/>
      <c r="E82" s="86" t="n"/>
      <c r="F82" s="63" t="n"/>
      <c r="G82" s="87">
        <f>IF($B82="","",IF(N($E82)&lt;=0,"",N($F82)/$E82))</f>
        <v/>
      </c>
      <c r="H82" s="86" t="n"/>
      <c r="I82" s="86" t="n"/>
      <c r="J82" s="89">
        <f>IF($B82="","",SUMIFS('Recipe Builder'!$L$7:$L$406,'Recipe Builder'!$C$7:$C$406,$B82))</f>
        <v/>
      </c>
      <c r="K82" s="86" t="n"/>
      <c r="L82" s="89">
        <f>IF($B82="","",SUMIFS('Waste Log'!$I$7:$I$506,'Waste Log'!$C$7:$C$506,$B82,'Waste Log'!$B$7:$B$506,"&gt;="&amp;cfg_CountDate))</f>
        <v/>
      </c>
      <c r="M82" s="89">
        <f>IF($B82="","",N($H82)+N($I82)-N($J82)-N($K82)-N($L82))</f>
        <v/>
      </c>
      <c r="N82" s="71">
        <f>IF($B82="","",IF($G82="",0,MAX(0,$M82)*$G82))</f>
        <v/>
      </c>
      <c r="O82" s="86" t="n"/>
      <c r="P82" s="80">
        <f>IF($B82="","",IF($D82="","Set stock unit",IF($G82="","Add pack size &amp; price",IF($M82&lt;0,"Recount (negative)",IF(AND(ISNUMBER($O82),$M82&lt;=$O82),"Reorder","OK")))))</f>
        <v/>
      </c>
      <c r="Q82" s="71">
        <f>IF(OR($B82="",$G82=""),"",N($L82)*$G82)</f>
        <v/>
      </c>
    </row>
    <row r="83" ht="17" customHeight="1">
      <c r="B83" s="60" t="n"/>
      <c r="C83" s="60" t="n"/>
      <c r="D83" s="60" t="n"/>
      <c r="E83" s="86" t="n"/>
      <c r="F83" s="63" t="n"/>
      <c r="G83" s="87">
        <f>IF($B83="","",IF(N($E83)&lt;=0,"",N($F83)/$E83))</f>
        <v/>
      </c>
      <c r="H83" s="86" t="n"/>
      <c r="I83" s="86" t="n"/>
      <c r="J83" s="89">
        <f>IF($B83="","",SUMIFS('Recipe Builder'!$L$7:$L$406,'Recipe Builder'!$C$7:$C$406,$B83))</f>
        <v/>
      </c>
      <c r="K83" s="86" t="n"/>
      <c r="L83" s="89">
        <f>IF($B83="","",SUMIFS('Waste Log'!$I$7:$I$506,'Waste Log'!$C$7:$C$506,$B83,'Waste Log'!$B$7:$B$506,"&gt;="&amp;cfg_CountDate))</f>
        <v/>
      </c>
      <c r="M83" s="89">
        <f>IF($B83="","",N($H83)+N($I83)-N($J83)-N($K83)-N($L83))</f>
        <v/>
      </c>
      <c r="N83" s="71">
        <f>IF($B83="","",IF($G83="",0,MAX(0,$M83)*$G83))</f>
        <v/>
      </c>
      <c r="O83" s="86" t="n"/>
      <c r="P83" s="80">
        <f>IF($B83="","",IF($D83="","Set stock unit",IF($G83="","Add pack size &amp; price",IF($M83&lt;0,"Recount (negative)",IF(AND(ISNUMBER($O83),$M83&lt;=$O83),"Reorder","OK")))))</f>
        <v/>
      </c>
      <c r="Q83" s="71">
        <f>IF(OR($B83="",$G83=""),"",N($L83)*$G83)</f>
        <v/>
      </c>
    </row>
    <row r="84" ht="17" customHeight="1">
      <c r="B84" s="60" t="n"/>
      <c r="C84" s="60" t="n"/>
      <c r="D84" s="60" t="n"/>
      <c r="E84" s="86" t="n"/>
      <c r="F84" s="63" t="n"/>
      <c r="G84" s="87">
        <f>IF($B84="","",IF(N($E84)&lt;=0,"",N($F84)/$E84))</f>
        <v/>
      </c>
      <c r="H84" s="86" t="n"/>
      <c r="I84" s="86" t="n"/>
      <c r="J84" s="89">
        <f>IF($B84="","",SUMIFS('Recipe Builder'!$L$7:$L$406,'Recipe Builder'!$C$7:$C$406,$B84))</f>
        <v/>
      </c>
      <c r="K84" s="86" t="n"/>
      <c r="L84" s="89">
        <f>IF($B84="","",SUMIFS('Waste Log'!$I$7:$I$506,'Waste Log'!$C$7:$C$506,$B84,'Waste Log'!$B$7:$B$506,"&gt;="&amp;cfg_CountDate))</f>
        <v/>
      </c>
      <c r="M84" s="89">
        <f>IF($B84="","",N($H84)+N($I84)-N($J84)-N($K84)-N($L84))</f>
        <v/>
      </c>
      <c r="N84" s="71">
        <f>IF($B84="","",IF($G84="",0,MAX(0,$M84)*$G84))</f>
        <v/>
      </c>
      <c r="O84" s="86" t="n"/>
      <c r="P84" s="80">
        <f>IF($B84="","",IF($D84="","Set stock unit",IF($G84="","Add pack size &amp; price",IF($M84&lt;0,"Recount (negative)",IF(AND(ISNUMBER($O84),$M84&lt;=$O84),"Reorder","OK")))))</f>
        <v/>
      </c>
      <c r="Q84" s="71">
        <f>IF(OR($B84="",$G84=""),"",N($L84)*$G84)</f>
        <v/>
      </c>
    </row>
    <row r="85" ht="17" customHeight="1">
      <c r="B85" s="60" t="n"/>
      <c r="C85" s="60" t="n"/>
      <c r="D85" s="60" t="n"/>
      <c r="E85" s="86" t="n"/>
      <c r="F85" s="63" t="n"/>
      <c r="G85" s="87">
        <f>IF($B85="","",IF(N($E85)&lt;=0,"",N($F85)/$E85))</f>
        <v/>
      </c>
      <c r="H85" s="86" t="n"/>
      <c r="I85" s="86" t="n"/>
      <c r="J85" s="89">
        <f>IF($B85="","",SUMIFS('Recipe Builder'!$L$7:$L$406,'Recipe Builder'!$C$7:$C$406,$B85))</f>
        <v/>
      </c>
      <c r="K85" s="86" t="n"/>
      <c r="L85" s="89">
        <f>IF($B85="","",SUMIFS('Waste Log'!$I$7:$I$506,'Waste Log'!$C$7:$C$506,$B85,'Waste Log'!$B$7:$B$506,"&gt;="&amp;cfg_CountDate))</f>
        <v/>
      </c>
      <c r="M85" s="89">
        <f>IF($B85="","",N($H85)+N($I85)-N($J85)-N($K85)-N($L85))</f>
        <v/>
      </c>
      <c r="N85" s="71">
        <f>IF($B85="","",IF($G85="",0,MAX(0,$M85)*$G85))</f>
        <v/>
      </c>
      <c r="O85" s="86" t="n"/>
      <c r="P85" s="80">
        <f>IF($B85="","",IF($D85="","Set stock unit",IF($G85="","Add pack size &amp; price",IF($M85&lt;0,"Recount (negative)",IF(AND(ISNUMBER($O85),$M85&lt;=$O85),"Reorder","OK")))))</f>
        <v/>
      </c>
      <c r="Q85" s="71">
        <f>IF(OR($B85="",$G85=""),"",N($L85)*$G85)</f>
        <v/>
      </c>
    </row>
    <row r="86" ht="17" customHeight="1">
      <c r="B86" s="60" t="n"/>
      <c r="C86" s="60" t="n"/>
      <c r="D86" s="60" t="n"/>
      <c r="E86" s="86" t="n"/>
      <c r="F86" s="63" t="n"/>
      <c r="G86" s="87">
        <f>IF($B86="","",IF(N($E86)&lt;=0,"",N($F86)/$E86))</f>
        <v/>
      </c>
      <c r="H86" s="86" t="n"/>
      <c r="I86" s="86" t="n"/>
      <c r="J86" s="89">
        <f>IF($B86="","",SUMIFS('Recipe Builder'!$L$7:$L$406,'Recipe Builder'!$C$7:$C$406,$B86))</f>
        <v/>
      </c>
      <c r="K86" s="86" t="n"/>
      <c r="L86" s="89">
        <f>IF($B86="","",SUMIFS('Waste Log'!$I$7:$I$506,'Waste Log'!$C$7:$C$506,$B86,'Waste Log'!$B$7:$B$506,"&gt;="&amp;cfg_CountDate))</f>
        <v/>
      </c>
      <c r="M86" s="89">
        <f>IF($B86="","",N($H86)+N($I86)-N($J86)-N($K86)-N($L86))</f>
        <v/>
      </c>
      <c r="N86" s="71">
        <f>IF($B86="","",IF($G86="",0,MAX(0,$M86)*$G86))</f>
        <v/>
      </c>
      <c r="O86" s="86" t="n"/>
      <c r="P86" s="80">
        <f>IF($B86="","",IF($D86="","Set stock unit",IF($G86="","Add pack size &amp; price",IF($M86&lt;0,"Recount (negative)",IF(AND(ISNUMBER($O86),$M86&lt;=$O86),"Reorder","OK")))))</f>
        <v/>
      </c>
      <c r="Q86" s="71">
        <f>IF(OR($B86="",$G86=""),"",N($L86)*$G86)</f>
        <v/>
      </c>
    </row>
    <row r="87" ht="17" customHeight="1">
      <c r="B87" s="60" t="n"/>
      <c r="C87" s="60" t="n"/>
      <c r="D87" s="60" t="n"/>
      <c r="E87" s="86" t="n"/>
      <c r="F87" s="63" t="n"/>
      <c r="G87" s="87">
        <f>IF($B87="","",IF(N($E87)&lt;=0,"",N($F87)/$E87))</f>
        <v/>
      </c>
      <c r="H87" s="86" t="n"/>
      <c r="I87" s="86" t="n"/>
      <c r="J87" s="89">
        <f>IF($B87="","",SUMIFS('Recipe Builder'!$L$7:$L$406,'Recipe Builder'!$C$7:$C$406,$B87))</f>
        <v/>
      </c>
      <c r="K87" s="86" t="n"/>
      <c r="L87" s="89">
        <f>IF($B87="","",SUMIFS('Waste Log'!$I$7:$I$506,'Waste Log'!$C$7:$C$506,$B87,'Waste Log'!$B$7:$B$506,"&gt;="&amp;cfg_CountDate))</f>
        <v/>
      </c>
      <c r="M87" s="89">
        <f>IF($B87="","",N($H87)+N($I87)-N($J87)-N($K87)-N($L87))</f>
        <v/>
      </c>
      <c r="N87" s="71">
        <f>IF($B87="","",IF($G87="",0,MAX(0,$M87)*$G87))</f>
        <v/>
      </c>
      <c r="O87" s="86" t="n"/>
      <c r="P87" s="80">
        <f>IF($B87="","",IF($D87="","Set stock unit",IF($G87="","Add pack size &amp; price",IF($M87&lt;0,"Recount (negative)",IF(AND(ISNUMBER($O87),$M87&lt;=$O87),"Reorder","OK")))))</f>
        <v/>
      </c>
      <c r="Q87" s="71">
        <f>IF(OR($B87="",$G87=""),"",N($L87)*$G87)</f>
        <v/>
      </c>
    </row>
    <row r="88" ht="17" customHeight="1">
      <c r="B88" s="60" t="n"/>
      <c r="C88" s="60" t="n"/>
      <c r="D88" s="60" t="n"/>
      <c r="E88" s="86" t="n"/>
      <c r="F88" s="63" t="n"/>
      <c r="G88" s="87">
        <f>IF($B88="","",IF(N($E88)&lt;=0,"",N($F88)/$E88))</f>
        <v/>
      </c>
      <c r="H88" s="86" t="n"/>
      <c r="I88" s="86" t="n"/>
      <c r="J88" s="89">
        <f>IF($B88="","",SUMIFS('Recipe Builder'!$L$7:$L$406,'Recipe Builder'!$C$7:$C$406,$B88))</f>
        <v/>
      </c>
      <c r="K88" s="86" t="n"/>
      <c r="L88" s="89">
        <f>IF($B88="","",SUMIFS('Waste Log'!$I$7:$I$506,'Waste Log'!$C$7:$C$506,$B88,'Waste Log'!$B$7:$B$506,"&gt;="&amp;cfg_CountDate))</f>
        <v/>
      </c>
      <c r="M88" s="89">
        <f>IF($B88="","",N($H88)+N($I88)-N($J88)-N($K88)-N($L88))</f>
        <v/>
      </c>
      <c r="N88" s="71">
        <f>IF($B88="","",IF($G88="",0,MAX(0,$M88)*$G88))</f>
        <v/>
      </c>
      <c r="O88" s="86" t="n"/>
      <c r="P88" s="80">
        <f>IF($B88="","",IF($D88="","Set stock unit",IF($G88="","Add pack size &amp; price",IF($M88&lt;0,"Recount (negative)",IF(AND(ISNUMBER($O88),$M88&lt;=$O88),"Reorder","OK")))))</f>
        <v/>
      </c>
      <c r="Q88" s="71">
        <f>IF(OR($B88="",$G88=""),"",N($L88)*$G88)</f>
        <v/>
      </c>
    </row>
    <row r="89" ht="17" customHeight="1">
      <c r="B89" s="60" t="n"/>
      <c r="C89" s="60" t="n"/>
      <c r="D89" s="60" t="n"/>
      <c r="E89" s="86" t="n"/>
      <c r="F89" s="63" t="n"/>
      <c r="G89" s="87">
        <f>IF($B89="","",IF(N($E89)&lt;=0,"",N($F89)/$E89))</f>
        <v/>
      </c>
      <c r="H89" s="86" t="n"/>
      <c r="I89" s="86" t="n"/>
      <c r="J89" s="89">
        <f>IF($B89="","",SUMIFS('Recipe Builder'!$L$7:$L$406,'Recipe Builder'!$C$7:$C$406,$B89))</f>
        <v/>
      </c>
      <c r="K89" s="86" t="n"/>
      <c r="L89" s="89">
        <f>IF($B89="","",SUMIFS('Waste Log'!$I$7:$I$506,'Waste Log'!$C$7:$C$506,$B89,'Waste Log'!$B$7:$B$506,"&gt;="&amp;cfg_CountDate))</f>
        <v/>
      </c>
      <c r="M89" s="89">
        <f>IF($B89="","",N($H89)+N($I89)-N($J89)-N($K89)-N($L89))</f>
        <v/>
      </c>
      <c r="N89" s="71">
        <f>IF($B89="","",IF($G89="",0,MAX(0,$M89)*$G89))</f>
        <v/>
      </c>
      <c r="O89" s="86" t="n"/>
      <c r="P89" s="80">
        <f>IF($B89="","",IF($D89="","Set stock unit",IF($G89="","Add pack size &amp; price",IF($M89&lt;0,"Recount (negative)",IF(AND(ISNUMBER($O89),$M89&lt;=$O89),"Reorder","OK")))))</f>
        <v/>
      </c>
      <c r="Q89" s="71">
        <f>IF(OR($B89="",$G89=""),"",N($L89)*$G89)</f>
        <v/>
      </c>
    </row>
    <row r="90" ht="17" customHeight="1">
      <c r="B90" s="60" t="n"/>
      <c r="C90" s="60" t="n"/>
      <c r="D90" s="60" t="n"/>
      <c r="E90" s="86" t="n"/>
      <c r="F90" s="63" t="n"/>
      <c r="G90" s="87">
        <f>IF($B90="","",IF(N($E90)&lt;=0,"",N($F90)/$E90))</f>
        <v/>
      </c>
      <c r="H90" s="86" t="n"/>
      <c r="I90" s="86" t="n"/>
      <c r="J90" s="89">
        <f>IF($B90="","",SUMIFS('Recipe Builder'!$L$7:$L$406,'Recipe Builder'!$C$7:$C$406,$B90))</f>
        <v/>
      </c>
      <c r="K90" s="86" t="n"/>
      <c r="L90" s="89">
        <f>IF($B90="","",SUMIFS('Waste Log'!$I$7:$I$506,'Waste Log'!$C$7:$C$506,$B90,'Waste Log'!$B$7:$B$506,"&gt;="&amp;cfg_CountDate))</f>
        <v/>
      </c>
      <c r="M90" s="89">
        <f>IF($B90="","",N($H90)+N($I90)-N($J90)-N($K90)-N($L90))</f>
        <v/>
      </c>
      <c r="N90" s="71">
        <f>IF($B90="","",IF($G90="",0,MAX(0,$M90)*$G90))</f>
        <v/>
      </c>
      <c r="O90" s="86" t="n"/>
      <c r="P90" s="80">
        <f>IF($B90="","",IF($D90="","Set stock unit",IF($G90="","Add pack size &amp; price",IF($M90&lt;0,"Recount (negative)",IF(AND(ISNUMBER($O90),$M90&lt;=$O90),"Reorder","OK")))))</f>
        <v/>
      </c>
      <c r="Q90" s="71">
        <f>IF(OR($B90="",$G90=""),"",N($L90)*$G90)</f>
        <v/>
      </c>
    </row>
    <row r="91" ht="17" customHeight="1">
      <c r="B91" s="60" t="n"/>
      <c r="C91" s="60" t="n"/>
      <c r="D91" s="60" t="n"/>
      <c r="E91" s="86" t="n"/>
      <c r="F91" s="63" t="n"/>
      <c r="G91" s="87">
        <f>IF($B91="","",IF(N($E91)&lt;=0,"",N($F91)/$E91))</f>
        <v/>
      </c>
      <c r="H91" s="86" t="n"/>
      <c r="I91" s="86" t="n"/>
      <c r="J91" s="89">
        <f>IF($B91="","",SUMIFS('Recipe Builder'!$L$7:$L$406,'Recipe Builder'!$C$7:$C$406,$B91))</f>
        <v/>
      </c>
      <c r="K91" s="86" t="n"/>
      <c r="L91" s="89">
        <f>IF($B91="","",SUMIFS('Waste Log'!$I$7:$I$506,'Waste Log'!$C$7:$C$506,$B91,'Waste Log'!$B$7:$B$506,"&gt;="&amp;cfg_CountDate))</f>
        <v/>
      </c>
      <c r="M91" s="89">
        <f>IF($B91="","",N($H91)+N($I91)-N($J91)-N($K91)-N($L91))</f>
        <v/>
      </c>
      <c r="N91" s="71">
        <f>IF($B91="","",IF($G91="",0,MAX(0,$M91)*$G91))</f>
        <v/>
      </c>
      <c r="O91" s="86" t="n"/>
      <c r="P91" s="80">
        <f>IF($B91="","",IF($D91="","Set stock unit",IF($G91="","Add pack size &amp; price",IF($M91&lt;0,"Recount (negative)",IF(AND(ISNUMBER($O91),$M91&lt;=$O91),"Reorder","OK")))))</f>
        <v/>
      </c>
      <c r="Q91" s="71">
        <f>IF(OR($B91="",$G91=""),"",N($L91)*$G91)</f>
        <v/>
      </c>
    </row>
    <row r="92" ht="17" customHeight="1">
      <c r="B92" s="60" t="n"/>
      <c r="C92" s="60" t="n"/>
      <c r="D92" s="60" t="n"/>
      <c r="E92" s="86" t="n"/>
      <c r="F92" s="63" t="n"/>
      <c r="G92" s="87">
        <f>IF($B92="","",IF(N($E92)&lt;=0,"",N($F92)/$E92))</f>
        <v/>
      </c>
      <c r="H92" s="86" t="n"/>
      <c r="I92" s="86" t="n"/>
      <c r="J92" s="89">
        <f>IF($B92="","",SUMIFS('Recipe Builder'!$L$7:$L$406,'Recipe Builder'!$C$7:$C$406,$B92))</f>
        <v/>
      </c>
      <c r="K92" s="86" t="n"/>
      <c r="L92" s="89">
        <f>IF($B92="","",SUMIFS('Waste Log'!$I$7:$I$506,'Waste Log'!$C$7:$C$506,$B92,'Waste Log'!$B$7:$B$506,"&gt;="&amp;cfg_CountDate))</f>
        <v/>
      </c>
      <c r="M92" s="89">
        <f>IF($B92="","",N($H92)+N($I92)-N($J92)-N($K92)-N($L92))</f>
        <v/>
      </c>
      <c r="N92" s="71">
        <f>IF($B92="","",IF($G92="",0,MAX(0,$M92)*$G92))</f>
        <v/>
      </c>
      <c r="O92" s="86" t="n"/>
      <c r="P92" s="80">
        <f>IF($B92="","",IF($D92="","Set stock unit",IF($G92="","Add pack size &amp; price",IF($M92&lt;0,"Recount (negative)",IF(AND(ISNUMBER($O92),$M92&lt;=$O92),"Reorder","OK")))))</f>
        <v/>
      </c>
      <c r="Q92" s="71">
        <f>IF(OR($B92="",$G92=""),"",N($L92)*$G92)</f>
        <v/>
      </c>
    </row>
    <row r="93" ht="17" customHeight="1">
      <c r="B93" s="60" t="n"/>
      <c r="C93" s="60" t="n"/>
      <c r="D93" s="60" t="n"/>
      <c r="E93" s="86" t="n"/>
      <c r="F93" s="63" t="n"/>
      <c r="G93" s="87">
        <f>IF($B93="","",IF(N($E93)&lt;=0,"",N($F93)/$E93))</f>
        <v/>
      </c>
      <c r="H93" s="86" t="n"/>
      <c r="I93" s="86" t="n"/>
      <c r="J93" s="89">
        <f>IF($B93="","",SUMIFS('Recipe Builder'!$L$7:$L$406,'Recipe Builder'!$C$7:$C$406,$B93))</f>
        <v/>
      </c>
      <c r="K93" s="86" t="n"/>
      <c r="L93" s="89">
        <f>IF($B93="","",SUMIFS('Waste Log'!$I$7:$I$506,'Waste Log'!$C$7:$C$506,$B93,'Waste Log'!$B$7:$B$506,"&gt;="&amp;cfg_CountDate))</f>
        <v/>
      </c>
      <c r="M93" s="89">
        <f>IF($B93="","",N($H93)+N($I93)-N($J93)-N($K93)-N($L93))</f>
        <v/>
      </c>
      <c r="N93" s="71">
        <f>IF($B93="","",IF($G93="",0,MAX(0,$M93)*$G93))</f>
        <v/>
      </c>
      <c r="O93" s="86" t="n"/>
      <c r="P93" s="80">
        <f>IF($B93="","",IF($D93="","Set stock unit",IF($G93="","Add pack size &amp; price",IF($M93&lt;0,"Recount (negative)",IF(AND(ISNUMBER($O93),$M93&lt;=$O93),"Reorder","OK")))))</f>
        <v/>
      </c>
      <c r="Q93" s="71">
        <f>IF(OR($B93="",$G93=""),"",N($L93)*$G93)</f>
        <v/>
      </c>
    </row>
    <row r="94" ht="17" customHeight="1">
      <c r="B94" s="60" t="n"/>
      <c r="C94" s="60" t="n"/>
      <c r="D94" s="60" t="n"/>
      <c r="E94" s="86" t="n"/>
      <c r="F94" s="63" t="n"/>
      <c r="G94" s="87">
        <f>IF($B94="","",IF(N($E94)&lt;=0,"",N($F94)/$E94))</f>
        <v/>
      </c>
      <c r="H94" s="86" t="n"/>
      <c r="I94" s="86" t="n"/>
      <c r="J94" s="89">
        <f>IF($B94="","",SUMIFS('Recipe Builder'!$L$7:$L$406,'Recipe Builder'!$C$7:$C$406,$B94))</f>
        <v/>
      </c>
      <c r="K94" s="86" t="n"/>
      <c r="L94" s="89">
        <f>IF($B94="","",SUMIFS('Waste Log'!$I$7:$I$506,'Waste Log'!$C$7:$C$506,$B94,'Waste Log'!$B$7:$B$506,"&gt;="&amp;cfg_CountDate))</f>
        <v/>
      </c>
      <c r="M94" s="89">
        <f>IF($B94="","",N($H94)+N($I94)-N($J94)-N($K94)-N($L94))</f>
        <v/>
      </c>
      <c r="N94" s="71">
        <f>IF($B94="","",IF($G94="",0,MAX(0,$M94)*$G94))</f>
        <v/>
      </c>
      <c r="O94" s="86" t="n"/>
      <c r="P94" s="80">
        <f>IF($B94="","",IF($D94="","Set stock unit",IF($G94="","Add pack size &amp; price",IF($M94&lt;0,"Recount (negative)",IF(AND(ISNUMBER($O94),$M94&lt;=$O94),"Reorder","OK")))))</f>
        <v/>
      </c>
      <c r="Q94" s="71">
        <f>IF(OR($B94="",$G94=""),"",N($L94)*$G94)</f>
        <v/>
      </c>
    </row>
    <row r="95" ht="17" customHeight="1">
      <c r="B95" s="60" t="n"/>
      <c r="C95" s="60" t="n"/>
      <c r="D95" s="60" t="n"/>
      <c r="E95" s="86" t="n"/>
      <c r="F95" s="63" t="n"/>
      <c r="G95" s="87">
        <f>IF($B95="","",IF(N($E95)&lt;=0,"",N($F95)/$E95))</f>
        <v/>
      </c>
      <c r="H95" s="86" t="n"/>
      <c r="I95" s="86" t="n"/>
      <c r="J95" s="89">
        <f>IF($B95="","",SUMIFS('Recipe Builder'!$L$7:$L$406,'Recipe Builder'!$C$7:$C$406,$B95))</f>
        <v/>
      </c>
      <c r="K95" s="86" t="n"/>
      <c r="L95" s="89">
        <f>IF($B95="","",SUMIFS('Waste Log'!$I$7:$I$506,'Waste Log'!$C$7:$C$506,$B95,'Waste Log'!$B$7:$B$506,"&gt;="&amp;cfg_CountDate))</f>
        <v/>
      </c>
      <c r="M95" s="89">
        <f>IF($B95="","",N($H95)+N($I95)-N($J95)-N($K95)-N($L95))</f>
        <v/>
      </c>
      <c r="N95" s="71">
        <f>IF($B95="","",IF($G95="",0,MAX(0,$M95)*$G95))</f>
        <v/>
      </c>
      <c r="O95" s="86" t="n"/>
      <c r="P95" s="80">
        <f>IF($B95="","",IF($D95="","Set stock unit",IF($G95="","Add pack size &amp; price",IF($M95&lt;0,"Recount (negative)",IF(AND(ISNUMBER($O95),$M95&lt;=$O95),"Reorder","OK")))))</f>
        <v/>
      </c>
      <c r="Q95" s="71">
        <f>IF(OR($B95="",$G95=""),"",N($L95)*$G95)</f>
        <v/>
      </c>
    </row>
    <row r="96" ht="17" customHeight="1">
      <c r="B96" s="60" t="n"/>
      <c r="C96" s="60" t="n"/>
      <c r="D96" s="60" t="n"/>
      <c r="E96" s="86" t="n"/>
      <c r="F96" s="63" t="n"/>
      <c r="G96" s="87">
        <f>IF($B96="","",IF(N($E96)&lt;=0,"",N($F96)/$E96))</f>
        <v/>
      </c>
      <c r="H96" s="86" t="n"/>
      <c r="I96" s="86" t="n"/>
      <c r="J96" s="89">
        <f>IF($B96="","",SUMIFS('Recipe Builder'!$L$7:$L$406,'Recipe Builder'!$C$7:$C$406,$B96))</f>
        <v/>
      </c>
      <c r="K96" s="86" t="n"/>
      <c r="L96" s="89">
        <f>IF($B96="","",SUMIFS('Waste Log'!$I$7:$I$506,'Waste Log'!$C$7:$C$506,$B96,'Waste Log'!$B$7:$B$506,"&gt;="&amp;cfg_CountDate))</f>
        <v/>
      </c>
      <c r="M96" s="89">
        <f>IF($B96="","",N($H96)+N($I96)-N($J96)-N($K96)-N($L96))</f>
        <v/>
      </c>
      <c r="N96" s="71">
        <f>IF($B96="","",IF($G96="",0,MAX(0,$M96)*$G96))</f>
        <v/>
      </c>
      <c r="O96" s="86" t="n"/>
      <c r="P96" s="80">
        <f>IF($B96="","",IF($D96="","Set stock unit",IF($G96="","Add pack size &amp; price",IF($M96&lt;0,"Recount (negative)",IF(AND(ISNUMBER($O96),$M96&lt;=$O96),"Reorder","OK")))))</f>
        <v/>
      </c>
      <c r="Q96" s="71">
        <f>IF(OR($B96="",$G96=""),"",N($L96)*$G96)</f>
        <v/>
      </c>
    </row>
    <row r="97" ht="17" customHeight="1">
      <c r="B97" s="60" t="n"/>
      <c r="C97" s="60" t="n"/>
      <c r="D97" s="60" t="n"/>
      <c r="E97" s="86" t="n"/>
      <c r="F97" s="63" t="n"/>
      <c r="G97" s="87">
        <f>IF($B97="","",IF(N($E97)&lt;=0,"",N($F97)/$E97))</f>
        <v/>
      </c>
      <c r="H97" s="86" t="n"/>
      <c r="I97" s="86" t="n"/>
      <c r="J97" s="89">
        <f>IF($B97="","",SUMIFS('Recipe Builder'!$L$7:$L$406,'Recipe Builder'!$C$7:$C$406,$B97))</f>
        <v/>
      </c>
      <c r="K97" s="86" t="n"/>
      <c r="L97" s="89">
        <f>IF($B97="","",SUMIFS('Waste Log'!$I$7:$I$506,'Waste Log'!$C$7:$C$506,$B97,'Waste Log'!$B$7:$B$506,"&gt;="&amp;cfg_CountDate))</f>
        <v/>
      </c>
      <c r="M97" s="89">
        <f>IF($B97="","",N($H97)+N($I97)-N($J97)-N($K97)-N($L97))</f>
        <v/>
      </c>
      <c r="N97" s="71">
        <f>IF($B97="","",IF($G97="",0,MAX(0,$M97)*$G97))</f>
        <v/>
      </c>
      <c r="O97" s="86" t="n"/>
      <c r="P97" s="80">
        <f>IF($B97="","",IF($D97="","Set stock unit",IF($G97="","Add pack size &amp; price",IF($M97&lt;0,"Recount (negative)",IF(AND(ISNUMBER($O97),$M97&lt;=$O97),"Reorder","OK")))))</f>
        <v/>
      </c>
      <c r="Q97" s="71">
        <f>IF(OR($B97="",$G97=""),"",N($L97)*$G97)</f>
        <v/>
      </c>
    </row>
    <row r="98" ht="17" customHeight="1">
      <c r="B98" s="60" t="n"/>
      <c r="C98" s="60" t="n"/>
      <c r="D98" s="60" t="n"/>
      <c r="E98" s="86" t="n"/>
      <c r="F98" s="63" t="n"/>
      <c r="G98" s="87">
        <f>IF($B98="","",IF(N($E98)&lt;=0,"",N($F98)/$E98))</f>
        <v/>
      </c>
      <c r="H98" s="86" t="n"/>
      <c r="I98" s="86" t="n"/>
      <c r="J98" s="89">
        <f>IF($B98="","",SUMIFS('Recipe Builder'!$L$7:$L$406,'Recipe Builder'!$C$7:$C$406,$B98))</f>
        <v/>
      </c>
      <c r="K98" s="86" t="n"/>
      <c r="L98" s="89">
        <f>IF($B98="","",SUMIFS('Waste Log'!$I$7:$I$506,'Waste Log'!$C$7:$C$506,$B98,'Waste Log'!$B$7:$B$506,"&gt;="&amp;cfg_CountDate))</f>
        <v/>
      </c>
      <c r="M98" s="89">
        <f>IF($B98="","",N($H98)+N($I98)-N($J98)-N($K98)-N($L98))</f>
        <v/>
      </c>
      <c r="N98" s="71">
        <f>IF($B98="","",IF($G98="",0,MAX(0,$M98)*$G98))</f>
        <v/>
      </c>
      <c r="O98" s="86" t="n"/>
      <c r="P98" s="80">
        <f>IF($B98="","",IF($D98="","Set stock unit",IF($G98="","Add pack size &amp; price",IF($M98&lt;0,"Recount (negative)",IF(AND(ISNUMBER($O98),$M98&lt;=$O98),"Reorder","OK")))))</f>
        <v/>
      </c>
      <c r="Q98" s="71">
        <f>IF(OR($B98="",$G98=""),"",N($L98)*$G98)</f>
        <v/>
      </c>
    </row>
    <row r="99" ht="17" customHeight="1">
      <c r="B99" s="60" t="n"/>
      <c r="C99" s="60" t="n"/>
      <c r="D99" s="60" t="n"/>
      <c r="E99" s="86" t="n"/>
      <c r="F99" s="63" t="n"/>
      <c r="G99" s="87">
        <f>IF($B99="","",IF(N($E99)&lt;=0,"",N($F99)/$E99))</f>
        <v/>
      </c>
      <c r="H99" s="86" t="n"/>
      <c r="I99" s="86" t="n"/>
      <c r="J99" s="89">
        <f>IF($B99="","",SUMIFS('Recipe Builder'!$L$7:$L$406,'Recipe Builder'!$C$7:$C$406,$B99))</f>
        <v/>
      </c>
      <c r="K99" s="86" t="n"/>
      <c r="L99" s="89">
        <f>IF($B99="","",SUMIFS('Waste Log'!$I$7:$I$506,'Waste Log'!$C$7:$C$506,$B99,'Waste Log'!$B$7:$B$506,"&gt;="&amp;cfg_CountDate))</f>
        <v/>
      </c>
      <c r="M99" s="89">
        <f>IF($B99="","",N($H99)+N($I99)-N($J99)-N($K99)-N($L99))</f>
        <v/>
      </c>
      <c r="N99" s="71">
        <f>IF($B99="","",IF($G99="",0,MAX(0,$M99)*$G99))</f>
        <v/>
      </c>
      <c r="O99" s="86" t="n"/>
      <c r="P99" s="80">
        <f>IF($B99="","",IF($D99="","Set stock unit",IF($G99="","Add pack size &amp; price",IF($M99&lt;0,"Recount (negative)",IF(AND(ISNUMBER($O99),$M99&lt;=$O99),"Reorder","OK")))))</f>
        <v/>
      </c>
      <c r="Q99" s="71">
        <f>IF(OR($B99="",$G99=""),"",N($L99)*$G99)</f>
        <v/>
      </c>
    </row>
    <row r="100" ht="17" customHeight="1">
      <c r="B100" s="60" t="n"/>
      <c r="C100" s="60" t="n"/>
      <c r="D100" s="60" t="n"/>
      <c r="E100" s="86" t="n"/>
      <c r="F100" s="63" t="n"/>
      <c r="G100" s="87">
        <f>IF($B100="","",IF(N($E100)&lt;=0,"",N($F100)/$E100))</f>
        <v/>
      </c>
      <c r="H100" s="86" t="n"/>
      <c r="I100" s="86" t="n"/>
      <c r="J100" s="89">
        <f>IF($B100="","",SUMIFS('Recipe Builder'!$L$7:$L$406,'Recipe Builder'!$C$7:$C$406,$B100))</f>
        <v/>
      </c>
      <c r="K100" s="86" t="n"/>
      <c r="L100" s="89">
        <f>IF($B100="","",SUMIFS('Waste Log'!$I$7:$I$506,'Waste Log'!$C$7:$C$506,$B100,'Waste Log'!$B$7:$B$506,"&gt;="&amp;cfg_CountDate))</f>
        <v/>
      </c>
      <c r="M100" s="89">
        <f>IF($B100="","",N($H100)+N($I100)-N($J100)-N($K100)-N($L100))</f>
        <v/>
      </c>
      <c r="N100" s="71">
        <f>IF($B100="","",IF($G100="",0,MAX(0,$M100)*$G100))</f>
        <v/>
      </c>
      <c r="O100" s="86" t="n"/>
      <c r="P100" s="80">
        <f>IF($B100="","",IF($D100="","Set stock unit",IF($G100="","Add pack size &amp; price",IF($M100&lt;0,"Recount (negative)",IF(AND(ISNUMBER($O100),$M100&lt;=$O100),"Reorder","OK")))))</f>
        <v/>
      </c>
      <c r="Q100" s="71">
        <f>IF(OR($B100="",$G100=""),"",N($L100)*$G100)</f>
        <v/>
      </c>
    </row>
    <row r="101" ht="17" customHeight="1">
      <c r="B101" s="60" t="n"/>
      <c r="C101" s="60" t="n"/>
      <c r="D101" s="60" t="n"/>
      <c r="E101" s="86" t="n"/>
      <c r="F101" s="63" t="n"/>
      <c r="G101" s="87">
        <f>IF($B101="","",IF(N($E101)&lt;=0,"",N($F101)/$E101))</f>
        <v/>
      </c>
      <c r="H101" s="86" t="n"/>
      <c r="I101" s="86" t="n"/>
      <c r="J101" s="89">
        <f>IF($B101="","",SUMIFS('Recipe Builder'!$L$7:$L$406,'Recipe Builder'!$C$7:$C$406,$B101))</f>
        <v/>
      </c>
      <c r="K101" s="86" t="n"/>
      <c r="L101" s="89">
        <f>IF($B101="","",SUMIFS('Waste Log'!$I$7:$I$506,'Waste Log'!$C$7:$C$506,$B101,'Waste Log'!$B$7:$B$506,"&gt;="&amp;cfg_CountDate))</f>
        <v/>
      </c>
      <c r="M101" s="89">
        <f>IF($B101="","",N($H101)+N($I101)-N($J101)-N($K101)-N($L101))</f>
        <v/>
      </c>
      <c r="N101" s="71">
        <f>IF($B101="","",IF($G101="",0,MAX(0,$M101)*$G101))</f>
        <v/>
      </c>
      <c r="O101" s="86" t="n"/>
      <c r="P101" s="80">
        <f>IF($B101="","",IF($D101="","Set stock unit",IF($G101="","Add pack size &amp; price",IF($M101&lt;0,"Recount (negative)",IF(AND(ISNUMBER($O101),$M101&lt;=$O101),"Reorder","OK")))))</f>
        <v/>
      </c>
      <c r="Q101" s="71">
        <f>IF(OR($B101="",$G101=""),"",N($L101)*$G101)</f>
        <v/>
      </c>
    </row>
    <row r="102" ht="17" customHeight="1">
      <c r="B102" s="60" t="n"/>
      <c r="C102" s="60" t="n"/>
      <c r="D102" s="60" t="n"/>
      <c r="E102" s="86" t="n"/>
      <c r="F102" s="63" t="n"/>
      <c r="G102" s="87">
        <f>IF($B102="","",IF(N($E102)&lt;=0,"",N($F102)/$E102))</f>
        <v/>
      </c>
      <c r="H102" s="86" t="n"/>
      <c r="I102" s="86" t="n"/>
      <c r="J102" s="89">
        <f>IF($B102="","",SUMIFS('Recipe Builder'!$L$7:$L$406,'Recipe Builder'!$C$7:$C$406,$B102))</f>
        <v/>
      </c>
      <c r="K102" s="86" t="n"/>
      <c r="L102" s="89">
        <f>IF($B102="","",SUMIFS('Waste Log'!$I$7:$I$506,'Waste Log'!$C$7:$C$506,$B102,'Waste Log'!$B$7:$B$506,"&gt;="&amp;cfg_CountDate))</f>
        <v/>
      </c>
      <c r="M102" s="89">
        <f>IF($B102="","",N($H102)+N($I102)-N($J102)-N($K102)-N($L102))</f>
        <v/>
      </c>
      <c r="N102" s="71">
        <f>IF($B102="","",IF($G102="",0,MAX(0,$M102)*$G102))</f>
        <v/>
      </c>
      <c r="O102" s="86" t="n"/>
      <c r="P102" s="80">
        <f>IF($B102="","",IF($D102="","Set stock unit",IF($G102="","Add pack size &amp; price",IF($M102&lt;0,"Recount (negative)",IF(AND(ISNUMBER($O102),$M102&lt;=$O102),"Reorder","OK")))))</f>
        <v/>
      </c>
      <c r="Q102" s="71">
        <f>IF(OR($B102="",$G102=""),"",N($L102)*$G102)</f>
        <v/>
      </c>
    </row>
    <row r="103" ht="17" customHeight="1">
      <c r="B103" s="60" t="n"/>
      <c r="C103" s="60" t="n"/>
      <c r="D103" s="60" t="n"/>
      <c r="E103" s="86" t="n"/>
      <c r="F103" s="63" t="n"/>
      <c r="G103" s="87">
        <f>IF($B103="","",IF(N($E103)&lt;=0,"",N($F103)/$E103))</f>
        <v/>
      </c>
      <c r="H103" s="86" t="n"/>
      <c r="I103" s="86" t="n"/>
      <c r="J103" s="89">
        <f>IF($B103="","",SUMIFS('Recipe Builder'!$L$7:$L$406,'Recipe Builder'!$C$7:$C$406,$B103))</f>
        <v/>
      </c>
      <c r="K103" s="86" t="n"/>
      <c r="L103" s="89">
        <f>IF($B103="","",SUMIFS('Waste Log'!$I$7:$I$506,'Waste Log'!$C$7:$C$506,$B103,'Waste Log'!$B$7:$B$506,"&gt;="&amp;cfg_CountDate))</f>
        <v/>
      </c>
      <c r="M103" s="89">
        <f>IF($B103="","",N($H103)+N($I103)-N($J103)-N($K103)-N($L103))</f>
        <v/>
      </c>
      <c r="N103" s="71">
        <f>IF($B103="","",IF($G103="",0,MAX(0,$M103)*$G103))</f>
        <v/>
      </c>
      <c r="O103" s="86" t="n"/>
      <c r="P103" s="80">
        <f>IF($B103="","",IF($D103="","Set stock unit",IF($G103="","Add pack size &amp; price",IF($M103&lt;0,"Recount (negative)",IF(AND(ISNUMBER($O103),$M103&lt;=$O103),"Reorder","OK")))))</f>
        <v/>
      </c>
      <c r="Q103" s="71">
        <f>IF(OR($B103="",$G103=""),"",N($L103)*$G103)</f>
        <v/>
      </c>
    </row>
    <row r="104" ht="17" customHeight="1">
      <c r="B104" s="60" t="n"/>
      <c r="C104" s="60" t="n"/>
      <c r="D104" s="60" t="n"/>
      <c r="E104" s="86" t="n"/>
      <c r="F104" s="63" t="n"/>
      <c r="G104" s="87">
        <f>IF($B104="","",IF(N($E104)&lt;=0,"",N($F104)/$E104))</f>
        <v/>
      </c>
      <c r="H104" s="86" t="n"/>
      <c r="I104" s="86" t="n"/>
      <c r="J104" s="89">
        <f>IF($B104="","",SUMIFS('Recipe Builder'!$L$7:$L$406,'Recipe Builder'!$C$7:$C$406,$B104))</f>
        <v/>
      </c>
      <c r="K104" s="86" t="n"/>
      <c r="L104" s="89">
        <f>IF($B104="","",SUMIFS('Waste Log'!$I$7:$I$506,'Waste Log'!$C$7:$C$506,$B104,'Waste Log'!$B$7:$B$506,"&gt;="&amp;cfg_CountDate))</f>
        <v/>
      </c>
      <c r="M104" s="89">
        <f>IF($B104="","",N($H104)+N($I104)-N($J104)-N($K104)-N($L104))</f>
        <v/>
      </c>
      <c r="N104" s="71">
        <f>IF($B104="","",IF($G104="",0,MAX(0,$M104)*$G104))</f>
        <v/>
      </c>
      <c r="O104" s="86" t="n"/>
      <c r="P104" s="80">
        <f>IF($B104="","",IF($D104="","Set stock unit",IF($G104="","Add pack size &amp; price",IF($M104&lt;0,"Recount (negative)",IF(AND(ISNUMBER($O104),$M104&lt;=$O104),"Reorder","OK")))))</f>
        <v/>
      </c>
      <c r="Q104" s="71">
        <f>IF(OR($B104="",$G104=""),"",N($L104)*$G104)</f>
        <v/>
      </c>
    </row>
    <row r="105" ht="17" customHeight="1">
      <c r="B105" s="60" t="n"/>
      <c r="C105" s="60" t="n"/>
      <c r="D105" s="60" t="n"/>
      <c r="E105" s="86" t="n"/>
      <c r="F105" s="63" t="n"/>
      <c r="G105" s="87">
        <f>IF($B105="","",IF(N($E105)&lt;=0,"",N($F105)/$E105))</f>
        <v/>
      </c>
      <c r="H105" s="86" t="n"/>
      <c r="I105" s="86" t="n"/>
      <c r="J105" s="89">
        <f>IF($B105="","",SUMIFS('Recipe Builder'!$L$7:$L$406,'Recipe Builder'!$C$7:$C$406,$B105))</f>
        <v/>
      </c>
      <c r="K105" s="86" t="n"/>
      <c r="L105" s="89">
        <f>IF($B105="","",SUMIFS('Waste Log'!$I$7:$I$506,'Waste Log'!$C$7:$C$506,$B105,'Waste Log'!$B$7:$B$506,"&gt;="&amp;cfg_CountDate))</f>
        <v/>
      </c>
      <c r="M105" s="89">
        <f>IF($B105="","",N($H105)+N($I105)-N($J105)-N($K105)-N($L105))</f>
        <v/>
      </c>
      <c r="N105" s="71">
        <f>IF($B105="","",IF($G105="",0,MAX(0,$M105)*$G105))</f>
        <v/>
      </c>
      <c r="O105" s="86" t="n"/>
      <c r="P105" s="80">
        <f>IF($B105="","",IF($D105="","Set stock unit",IF($G105="","Add pack size &amp; price",IF($M105&lt;0,"Recount (negative)",IF(AND(ISNUMBER($O105),$M105&lt;=$O105),"Reorder","OK")))))</f>
        <v/>
      </c>
      <c r="Q105" s="71">
        <f>IF(OR($B105="",$G105=""),"",N($L105)*$G105)</f>
        <v/>
      </c>
    </row>
    <row r="106" ht="17" customHeight="1">
      <c r="B106" s="60" t="n"/>
      <c r="C106" s="60" t="n"/>
      <c r="D106" s="60" t="n"/>
      <c r="E106" s="86" t="n"/>
      <c r="F106" s="63" t="n"/>
      <c r="G106" s="87">
        <f>IF($B106="","",IF(N($E106)&lt;=0,"",N($F106)/$E106))</f>
        <v/>
      </c>
      <c r="H106" s="86" t="n"/>
      <c r="I106" s="86" t="n"/>
      <c r="J106" s="89">
        <f>IF($B106="","",SUMIFS('Recipe Builder'!$L$7:$L$406,'Recipe Builder'!$C$7:$C$406,$B106))</f>
        <v/>
      </c>
      <c r="K106" s="86" t="n"/>
      <c r="L106" s="89">
        <f>IF($B106="","",SUMIFS('Waste Log'!$I$7:$I$506,'Waste Log'!$C$7:$C$506,$B106,'Waste Log'!$B$7:$B$506,"&gt;="&amp;cfg_CountDate))</f>
        <v/>
      </c>
      <c r="M106" s="89">
        <f>IF($B106="","",N($H106)+N($I106)-N($J106)-N($K106)-N($L106))</f>
        <v/>
      </c>
      <c r="N106" s="71">
        <f>IF($B106="","",IF($G106="",0,MAX(0,$M106)*$G106))</f>
        <v/>
      </c>
      <c r="O106" s="86" t="n"/>
      <c r="P106" s="80">
        <f>IF($B106="","",IF($D106="","Set stock unit",IF($G106="","Add pack size &amp; price",IF($M106&lt;0,"Recount (negative)",IF(AND(ISNUMBER($O106),$M106&lt;=$O106),"Reorder","OK")))))</f>
        <v/>
      </c>
      <c r="Q106" s="71">
        <f>IF(OR($B106="",$G106=""),"",N($L106)*$G106)</f>
        <v/>
      </c>
    </row>
    <row r="107">
      <c r="B107" s="59" t="inlineStr">
        <is>
          <t>TOTAL STOCK VALUE</t>
        </is>
      </c>
      <c r="N107" s="78">
        <f>SUM(N7:N106)</f>
        <v/>
      </c>
      <c r="P107" s="84">
        <f>COUNTIF(P7:P106,"Reorder")&amp;" to reorder"</f>
        <v/>
      </c>
      <c r="Q107" s="78">
        <f>SUM(Q7:Q106)</f>
        <v/>
      </c>
    </row>
    <row r="109">
      <c r="B109" s="68" t="inlineStr">
        <is>
          <t>Duplicate ingredient names turn red - each name must be unique. 'Used by sales' = recipe quantity x items sold since the stock count date.</t>
        </is>
      </c>
    </row>
  </sheetData>
  <autoFilter ref="B6:Q106"/>
  <mergeCells count="3">
    <mergeCell ref="B5:G5"/>
    <mergeCell ref="H5:M5"/>
    <mergeCell ref="N5:Q5"/>
  </mergeCells>
  <conditionalFormatting sqref="P7:P106">
    <cfRule type="expression" priority="1" dxfId="0">
      <formula>P7="Reorder"</formula>
    </cfRule>
    <cfRule type="expression" priority="2" dxfId="8">
      <formula>P7="OK"</formula>
    </cfRule>
    <cfRule type="expression" priority="3" dxfId="6">
      <formula>AND($P7&lt;&gt;"",$P7&lt;&gt;"OK",$P7&lt;&gt;"Reorder")</formula>
    </cfRule>
  </conditionalFormatting>
  <conditionalFormatting sqref="B7:B106">
    <cfRule type="expression" priority="4" dxfId="6">
      <formula>AND($B7&lt;&gt;"",COUNTIF($B$7:$B$106,$B7)&gt;1)</formula>
    </cfRule>
  </conditionalFormatting>
  <conditionalFormatting sqref="M7:M106">
    <cfRule type="expression" priority="5" dxfId="12">
      <formula>AND(ISNUMBER($M7),$M7&lt;0)</formula>
    </cfRule>
  </conditionalFormatting>
  <conditionalFormatting sqref="F7:F106">
    <cfRule type="expression" priority="6" dxfId="10">
      <formula>cfg_Currency="USD"</formula>
    </cfRule>
    <cfRule type="expression" priority="9" dxfId="11">
      <formula>cfg_Currency="GBP"</formula>
    </cfRule>
  </conditionalFormatting>
  <conditionalFormatting sqref="N7:N107">
    <cfRule type="expression" priority="6" dxfId="10">
      <formula>cfg_Currency="USD"</formula>
    </cfRule>
    <cfRule type="expression" priority="9" dxfId="11">
      <formula>cfg_Currency="GBP"</formula>
    </cfRule>
  </conditionalFormatting>
  <conditionalFormatting sqref="Q7:Q107">
    <cfRule type="expression" priority="6" dxfId="10">
      <formula>cfg_Currency="USD"</formula>
    </cfRule>
    <cfRule type="expression" priority="9" dxfId="11">
      <formula>cfg_Currency="GBP"</formula>
    </cfRule>
  </conditionalFormatting>
  <dataValidations count="6">
    <dataValidation sqref="D7:D106" showDropDown="0" showInputMessage="1" showErrorMessage="1" allowBlank="1" errorTitle="Not in list" error="Please pick a value from the dropdown list." promptTitle="Stock unit" prompt="The unit you COUNT this ingredient in (kg, lb, each...)." type="list" errorStyle="stop">
      <formula1>lst_Units</formula1>
    </dataValidation>
    <dataValidation sqref="E7:E106" showDropDown="0" showInputMessage="1" showErrorMessage="1" allowBlank="1" errorTitle="Invalid number" error="Enter a number greater than 0." promptTitle="Pack size" prompt="How many stock units are in one pack (e.g. 10 for a 10 lb case)." type="decimal" operator="greaterThan">
      <formula1>0</formula1>
    </dataValidation>
    <dataValidation sqref="F7:F106" showDropDown="0" showInputMessage="1" showErrorMessage="1" allowBlank="1" errorTitle="Invalid number" error="Enter a number of at least 0." promptTitle="Pack price" prompt="What you pay for one pack." type="decimal" operator="greaterThanOrEqual">
      <formula1>0</formula1>
    </dataValidation>
    <dataValidation sqref="H7:I106" showDropDown="0" showInputMessage="0" showErrorMessage="1" allowBlank="1" errorTitle="Invalid number" error="Enter a number of at least 0." type="decimal" operator="greaterThanOrEqual">
      <formula1>0</formula1>
    </dataValidation>
    <dataValidation sqref="K7:K106" showDropDown="0" showInputMessage="0" showErrorMessage="1" allowBlank="1" errorTitle="Invalid number" error="Enter a number of at least 0." type="decimal" operator="greaterThanOrEqual">
      <formula1>0</formula1>
    </dataValidation>
    <dataValidation sqref="O7:O106" showDropDown="0" showInputMessage="1" showErrorMessage="1" allowBlank="1" errorTitle="Invalid number" error="Enter a number of at least 0." promptTitle="Reorder level" prompt="Alert when on-hand falls to this level." type="decimal" operator="greaterThanOrEqual">
      <formula1>0</formula1>
    </dataValidation>
  </dataValidations>
  <hyperlinks>
    <hyperlink ref="B4" location="'Start Here'!A1" display="› Start Here"/>
    <hyperlink ref="C4" location="'Dashboard'!A1" display="› Dashboard"/>
    <hyperlink ref="D4" location="'Recipe Builder'!A1" display="› Recipe Builder"/>
    <hyperlink ref="F4" location="'Waste Log'!A1" display="› Waste Log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L506"/>
  <sheetViews>
    <sheetView showGridLines="0" zoomScale="100" workbookViewId="0">
      <pane xSplit="2" ySplit="6" topLeftCell="C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13" customWidth="1" min="2" max="2"/>
    <col width="26" customWidth="1" min="3" max="3"/>
    <col width="9" customWidth="1" min="4" max="4"/>
    <col width="11" customWidth="1" min="5" max="5"/>
    <col width="18" customWidth="1" min="6" max="6"/>
    <col width="11" customWidth="1" min="7" max="7"/>
    <col width="22" customWidth="1" min="8" max="8"/>
    <col width="13" customWidth="1" min="9" max="9"/>
    <col width="12" customWidth="1" min="10" max="1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B2" s="54" t="inlineStr">
        <is>
          <t>Waste Log</t>
        </is>
      </c>
      <c r="K2" s="55" t="inlineStr">
        <is>
          <t>NoviraNest</t>
        </is>
      </c>
    </row>
    <row r="3" ht="18" customHeight="1">
      <c r="B3" s="56" t="inlineStr">
        <is>
          <t>Record food you throw away. Any unit of the same type as the stock unit works (e.g. stock in kg, waste in g).</t>
        </is>
      </c>
    </row>
    <row r="4" ht="18" customHeight="1">
      <c r="B4" s="57" t="inlineStr">
        <is>
          <t>› Start Here</t>
        </is>
      </c>
      <c r="D4" s="57" t="inlineStr">
        <is>
          <t>› Dashboard</t>
        </is>
      </c>
      <c r="F4" s="57" t="inlineStr">
        <is>
          <t>› Inventory</t>
        </is>
      </c>
    </row>
    <row r="5" ht="16" customHeight="1">
      <c r="B5" s="75" t="inlineStr">
        <is>
          <t>YOU TYPE</t>
        </is>
      </c>
      <c r="G5" s="67" t="inlineStr">
        <is>
          <t>AUTOMATIC</t>
        </is>
      </c>
    </row>
    <row r="6" ht="34" customHeight="1">
      <c r="B6" s="58" t="inlineStr">
        <is>
          <t>Date</t>
        </is>
      </c>
      <c r="C6" s="58" t="inlineStr">
        <is>
          <t>Ingredient</t>
        </is>
      </c>
      <c r="D6" s="58" t="inlineStr">
        <is>
          <t>Qty</t>
        </is>
      </c>
      <c r="E6" s="58" t="inlineStr">
        <is>
          <t>Unit</t>
        </is>
      </c>
      <c r="F6" s="58" t="inlineStr">
        <is>
          <t>Reason</t>
        </is>
      </c>
      <c r="G6" s="58" t="inlineStr">
        <is>
          <t>Stock unit</t>
        </is>
      </c>
      <c r="H6" s="58" t="inlineStr">
        <is>
          <t>Check</t>
        </is>
      </c>
      <c r="I6" s="58" t="inlineStr">
        <is>
          <t>Qty in
stock units</t>
        </is>
      </c>
      <c r="J6" s="58">
        <f>"Waste value ("&amp;cfg_Symbol&amp;")"</f>
        <v/>
      </c>
    </row>
    <row r="7" ht="17" customHeight="1">
      <c r="B7" s="66" t="n"/>
      <c r="C7" s="60" t="n"/>
      <c r="D7" s="86" t="n"/>
      <c r="E7" s="60" t="n"/>
      <c r="F7" s="60" t="n"/>
      <c r="G7" s="13">
        <f>IF($C7="","",IFERROR(INDEX('Inventory'!$D$7:$D$106,MATCH($C7,'Inventory'!$B$7:$B$106,0))&amp;"","?"))</f>
        <v/>
      </c>
      <c r="H7" s="80">
        <f>IF(AND($B7="",$C7="",$D7=""),"",IF(NOT(ISNUMBER($B7)),"Enter a valid date",IF($C7="","Pick ingredient",IF($G7="?","Not in Inventory",IF($G7="","Set stock unit in Inventory",IF(N($D7)&lt;=0,"Enter quantity",IF($E7="","Pick unit",IF(IFERROR(INDEX('Lists'!$C$6:$C$30,MATCH($E7,'Lists'!$B$6:$B$30,0)),"?")&lt;&gt;IFERROR(INDEX('Lists'!$C$6:$C$30,MATCH($G7,'Lists'!$B$6:$B$30,0)),"?"),"Unit mismatch",IF(ISNUMBER(INDEX('Inventory'!$G$7:$G$106,MATCH($C7,'Inventory'!$B$7:$B$106,0))),"OK","Add price in Inventory")))))))))</f>
        <v/>
      </c>
      <c r="I7" s="88">
        <f>IF($H7&lt;&gt;"OK","",$D7*INDEX('Lists'!$D$6:$D$30,MATCH($E7,'Lists'!$B$6:$B$30,0))/INDEX('Lists'!$D$6:$D$30,MATCH($G7,'Lists'!$B$6:$B$30,0)))</f>
        <v/>
      </c>
      <c r="J7" s="71">
        <f>IF($H7&lt;&gt;"OK","",$I7*INDEX('Inventory'!$G$7:$G$106,MATCH($C7,'Inventory'!$B$7:$B$106,0)))</f>
        <v/>
      </c>
    </row>
    <row r="8" ht="17" customHeight="1">
      <c r="B8" s="66" t="n"/>
      <c r="C8" s="60" t="n"/>
      <c r="D8" s="86" t="n"/>
      <c r="E8" s="60" t="n"/>
      <c r="F8" s="60" t="n"/>
      <c r="G8" s="13">
        <f>IF($C8="","",IFERROR(INDEX('Inventory'!$D$7:$D$106,MATCH($C8,'Inventory'!$B$7:$B$106,0))&amp;"","?"))</f>
        <v/>
      </c>
      <c r="H8" s="80">
        <f>IF(AND($B8="",$C8="",$D8=""),"",IF(NOT(ISNUMBER($B8)),"Enter a valid date",IF($C8="","Pick ingredient",IF($G8="?","Not in Inventory",IF($G8="","Set stock unit in Inventory",IF(N($D8)&lt;=0,"Enter quantity",IF($E8="","Pick unit",IF(IFERROR(INDEX('Lists'!$C$6:$C$30,MATCH($E8,'Lists'!$B$6:$B$30,0)),"?")&lt;&gt;IFERROR(INDEX('Lists'!$C$6:$C$30,MATCH($G8,'Lists'!$B$6:$B$30,0)),"?"),"Unit mismatch",IF(ISNUMBER(INDEX('Inventory'!$G$7:$G$106,MATCH($C8,'Inventory'!$B$7:$B$106,0))),"OK","Add price in Inventory")))))))))</f>
        <v/>
      </c>
      <c r="I8" s="88">
        <f>IF($H8&lt;&gt;"OK","",$D8*INDEX('Lists'!$D$6:$D$30,MATCH($E8,'Lists'!$B$6:$B$30,0))/INDEX('Lists'!$D$6:$D$30,MATCH($G8,'Lists'!$B$6:$B$30,0)))</f>
        <v/>
      </c>
      <c r="J8" s="71">
        <f>IF($H8&lt;&gt;"OK","",$I8*INDEX('Inventory'!$G$7:$G$106,MATCH($C8,'Inventory'!$B$7:$B$106,0)))</f>
        <v/>
      </c>
    </row>
    <row r="9" ht="17" customHeight="1">
      <c r="B9" s="66" t="n"/>
      <c r="C9" s="60" t="n"/>
      <c r="D9" s="86" t="n"/>
      <c r="E9" s="60" t="n"/>
      <c r="F9" s="60" t="n"/>
      <c r="G9" s="13">
        <f>IF($C9="","",IFERROR(INDEX('Inventory'!$D$7:$D$106,MATCH($C9,'Inventory'!$B$7:$B$106,0))&amp;"","?"))</f>
        <v/>
      </c>
      <c r="H9" s="80">
        <f>IF(AND($B9="",$C9="",$D9=""),"",IF(NOT(ISNUMBER($B9)),"Enter a valid date",IF($C9="","Pick ingredient",IF($G9="?","Not in Inventory",IF($G9="","Set stock unit in Inventory",IF(N($D9)&lt;=0,"Enter quantity",IF($E9="","Pick unit",IF(IFERROR(INDEX('Lists'!$C$6:$C$30,MATCH($E9,'Lists'!$B$6:$B$30,0)),"?")&lt;&gt;IFERROR(INDEX('Lists'!$C$6:$C$30,MATCH($G9,'Lists'!$B$6:$B$30,0)),"?"),"Unit mismatch",IF(ISNUMBER(INDEX('Inventory'!$G$7:$G$106,MATCH($C9,'Inventory'!$B$7:$B$106,0))),"OK","Add price in Inventory")))))))))</f>
        <v/>
      </c>
      <c r="I9" s="88">
        <f>IF($H9&lt;&gt;"OK","",$D9*INDEX('Lists'!$D$6:$D$30,MATCH($E9,'Lists'!$B$6:$B$30,0))/INDEX('Lists'!$D$6:$D$30,MATCH($G9,'Lists'!$B$6:$B$30,0)))</f>
        <v/>
      </c>
      <c r="J9" s="71">
        <f>IF($H9&lt;&gt;"OK","",$I9*INDEX('Inventory'!$G$7:$G$106,MATCH($C9,'Inventory'!$B$7:$B$106,0)))</f>
        <v/>
      </c>
    </row>
    <row r="10" ht="17" customHeight="1">
      <c r="B10" s="66" t="n"/>
      <c r="C10" s="60" t="n"/>
      <c r="D10" s="86" t="n"/>
      <c r="E10" s="60" t="n"/>
      <c r="F10" s="60" t="n"/>
      <c r="G10" s="13">
        <f>IF($C10="","",IFERROR(INDEX('Inventory'!$D$7:$D$106,MATCH($C10,'Inventory'!$B$7:$B$106,0))&amp;"","?"))</f>
        <v/>
      </c>
      <c r="H10" s="80">
        <f>IF(AND($B10="",$C10="",$D10=""),"",IF(NOT(ISNUMBER($B10)),"Enter a valid date",IF($C10="","Pick ingredient",IF($G10="?","Not in Inventory",IF($G10="","Set stock unit in Inventory",IF(N($D10)&lt;=0,"Enter quantity",IF($E10="","Pick unit",IF(IFERROR(INDEX('Lists'!$C$6:$C$30,MATCH($E10,'Lists'!$B$6:$B$30,0)),"?")&lt;&gt;IFERROR(INDEX('Lists'!$C$6:$C$30,MATCH($G10,'Lists'!$B$6:$B$30,0)),"?"),"Unit mismatch",IF(ISNUMBER(INDEX('Inventory'!$G$7:$G$106,MATCH($C10,'Inventory'!$B$7:$B$106,0))),"OK","Add price in Inventory")))))))))</f>
        <v/>
      </c>
      <c r="I10" s="88">
        <f>IF($H10&lt;&gt;"OK","",$D10*INDEX('Lists'!$D$6:$D$30,MATCH($E10,'Lists'!$B$6:$B$30,0))/INDEX('Lists'!$D$6:$D$30,MATCH($G10,'Lists'!$B$6:$B$30,0)))</f>
        <v/>
      </c>
      <c r="J10" s="71">
        <f>IF($H10&lt;&gt;"OK","",$I10*INDEX('Inventory'!$G$7:$G$106,MATCH($C10,'Inventory'!$B$7:$B$106,0)))</f>
        <v/>
      </c>
    </row>
    <row r="11" ht="17" customHeight="1">
      <c r="B11" s="66" t="n"/>
      <c r="C11" s="60" t="n"/>
      <c r="D11" s="86" t="n"/>
      <c r="E11" s="60" t="n"/>
      <c r="F11" s="60" t="n"/>
      <c r="G11" s="13">
        <f>IF($C11="","",IFERROR(INDEX('Inventory'!$D$7:$D$106,MATCH($C11,'Inventory'!$B$7:$B$106,0))&amp;"","?"))</f>
        <v/>
      </c>
      <c r="H11" s="80">
        <f>IF(AND($B11="",$C11="",$D11=""),"",IF(NOT(ISNUMBER($B11)),"Enter a valid date",IF($C11="","Pick ingredient",IF($G11="?","Not in Inventory",IF($G11="","Set stock unit in Inventory",IF(N($D11)&lt;=0,"Enter quantity",IF($E11="","Pick unit",IF(IFERROR(INDEX('Lists'!$C$6:$C$30,MATCH($E11,'Lists'!$B$6:$B$30,0)),"?")&lt;&gt;IFERROR(INDEX('Lists'!$C$6:$C$30,MATCH($G11,'Lists'!$B$6:$B$30,0)),"?"),"Unit mismatch",IF(ISNUMBER(INDEX('Inventory'!$G$7:$G$106,MATCH($C11,'Inventory'!$B$7:$B$106,0))),"OK","Add price in Inventory")))))))))</f>
        <v/>
      </c>
      <c r="I11" s="88">
        <f>IF($H11&lt;&gt;"OK","",$D11*INDEX('Lists'!$D$6:$D$30,MATCH($E11,'Lists'!$B$6:$B$30,0))/INDEX('Lists'!$D$6:$D$30,MATCH($G11,'Lists'!$B$6:$B$30,0)))</f>
        <v/>
      </c>
      <c r="J11" s="71">
        <f>IF($H11&lt;&gt;"OK","",$I11*INDEX('Inventory'!$G$7:$G$106,MATCH($C11,'Inventory'!$B$7:$B$106,0)))</f>
        <v/>
      </c>
    </row>
    <row r="12" ht="17" customHeight="1">
      <c r="B12" s="66" t="n"/>
      <c r="C12" s="60" t="n"/>
      <c r="D12" s="86" t="n"/>
      <c r="E12" s="60" t="n"/>
      <c r="F12" s="60" t="n"/>
      <c r="G12" s="13">
        <f>IF($C12="","",IFERROR(INDEX('Inventory'!$D$7:$D$106,MATCH($C12,'Inventory'!$B$7:$B$106,0))&amp;"","?"))</f>
        <v/>
      </c>
      <c r="H12" s="80">
        <f>IF(AND($B12="",$C12="",$D12=""),"",IF(NOT(ISNUMBER($B12)),"Enter a valid date",IF($C12="","Pick ingredient",IF($G12="?","Not in Inventory",IF($G12="","Set stock unit in Inventory",IF(N($D12)&lt;=0,"Enter quantity",IF($E12="","Pick unit",IF(IFERROR(INDEX('Lists'!$C$6:$C$30,MATCH($E12,'Lists'!$B$6:$B$30,0)),"?")&lt;&gt;IFERROR(INDEX('Lists'!$C$6:$C$30,MATCH($G12,'Lists'!$B$6:$B$30,0)),"?"),"Unit mismatch",IF(ISNUMBER(INDEX('Inventory'!$G$7:$G$106,MATCH($C12,'Inventory'!$B$7:$B$106,0))),"OK","Add price in Inventory")))))))))</f>
        <v/>
      </c>
      <c r="I12" s="88">
        <f>IF($H12&lt;&gt;"OK","",$D12*INDEX('Lists'!$D$6:$D$30,MATCH($E12,'Lists'!$B$6:$B$30,0))/INDEX('Lists'!$D$6:$D$30,MATCH($G12,'Lists'!$B$6:$B$30,0)))</f>
        <v/>
      </c>
      <c r="J12" s="71">
        <f>IF($H12&lt;&gt;"OK","",$I12*INDEX('Inventory'!$G$7:$G$106,MATCH($C12,'Inventory'!$B$7:$B$106,0)))</f>
        <v/>
      </c>
    </row>
    <row r="13" ht="17" customHeight="1">
      <c r="B13" s="66" t="n"/>
      <c r="C13" s="60" t="n"/>
      <c r="D13" s="86" t="n"/>
      <c r="E13" s="60" t="n"/>
      <c r="F13" s="60" t="n"/>
      <c r="G13" s="13">
        <f>IF($C13="","",IFERROR(INDEX('Inventory'!$D$7:$D$106,MATCH($C13,'Inventory'!$B$7:$B$106,0))&amp;"","?"))</f>
        <v/>
      </c>
      <c r="H13" s="80">
        <f>IF(AND($B13="",$C13="",$D13=""),"",IF(NOT(ISNUMBER($B13)),"Enter a valid date",IF($C13="","Pick ingredient",IF($G13="?","Not in Inventory",IF($G13="","Set stock unit in Inventory",IF(N($D13)&lt;=0,"Enter quantity",IF($E13="","Pick unit",IF(IFERROR(INDEX('Lists'!$C$6:$C$30,MATCH($E13,'Lists'!$B$6:$B$30,0)),"?")&lt;&gt;IFERROR(INDEX('Lists'!$C$6:$C$30,MATCH($G13,'Lists'!$B$6:$B$30,0)),"?"),"Unit mismatch",IF(ISNUMBER(INDEX('Inventory'!$G$7:$G$106,MATCH($C13,'Inventory'!$B$7:$B$106,0))),"OK","Add price in Inventory")))))))))</f>
        <v/>
      </c>
      <c r="I13" s="88">
        <f>IF($H13&lt;&gt;"OK","",$D13*INDEX('Lists'!$D$6:$D$30,MATCH($E13,'Lists'!$B$6:$B$30,0))/INDEX('Lists'!$D$6:$D$30,MATCH($G13,'Lists'!$B$6:$B$30,0)))</f>
        <v/>
      </c>
      <c r="J13" s="71">
        <f>IF($H13&lt;&gt;"OK","",$I13*INDEX('Inventory'!$G$7:$G$106,MATCH($C13,'Inventory'!$B$7:$B$106,0)))</f>
        <v/>
      </c>
    </row>
    <row r="14" ht="17" customHeight="1">
      <c r="B14" s="66" t="n"/>
      <c r="C14" s="60" t="n"/>
      <c r="D14" s="86" t="n"/>
      <c r="E14" s="60" t="n"/>
      <c r="F14" s="60" t="n"/>
      <c r="G14" s="13">
        <f>IF($C14="","",IFERROR(INDEX('Inventory'!$D$7:$D$106,MATCH($C14,'Inventory'!$B$7:$B$106,0))&amp;"","?"))</f>
        <v/>
      </c>
      <c r="H14" s="80">
        <f>IF(AND($B14="",$C14="",$D14=""),"",IF(NOT(ISNUMBER($B14)),"Enter a valid date",IF($C14="","Pick ingredient",IF($G14="?","Not in Inventory",IF($G14="","Set stock unit in Inventory",IF(N($D14)&lt;=0,"Enter quantity",IF($E14="","Pick unit",IF(IFERROR(INDEX('Lists'!$C$6:$C$30,MATCH($E14,'Lists'!$B$6:$B$30,0)),"?")&lt;&gt;IFERROR(INDEX('Lists'!$C$6:$C$30,MATCH($G14,'Lists'!$B$6:$B$30,0)),"?"),"Unit mismatch",IF(ISNUMBER(INDEX('Inventory'!$G$7:$G$106,MATCH($C14,'Inventory'!$B$7:$B$106,0))),"OK","Add price in Inventory")))))))))</f>
        <v/>
      </c>
      <c r="I14" s="88">
        <f>IF($H14&lt;&gt;"OK","",$D14*INDEX('Lists'!$D$6:$D$30,MATCH($E14,'Lists'!$B$6:$B$30,0))/INDEX('Lists'!$D$6:$D$30,MATCH($G14,'Lists'!$B$6:$B$30,0)))</f>
        <v/>
      </c>
      <c r="J14" s="71">
        <f>IF($H14&lt;&gt;"OK","",$I14*INDEX('Inventory'!$G$7:$G$106,MATCH($C14,'Inventory'!$B$7:$B$106,0)))</f>
        <v/>
      </c>
    </row>
    <row r="15" ht="17" customHeight="1">
      <c r="B15" s="66" t="n"/>
      <c r="C15" s="60" t="n"/>
      <c r="D15" s="86" t="n"/>
      <c r="E15" s="60" t="n"/>
      <c r="F15" s="60" t="n"/>
      <c r="G15" s="13">
        <f>IF($C15="","",IFERROR(INDEX('Inventory'!$D$7:$D$106,MATCH($C15,'Inventory'!$B$7:$B$106,0))&amp;"","?"))</f>
        <v/>
      </c>
      <c r="H15" s="80">
        <f>IF(AND($B15="",$C15="",$D15=""),"",IF(NOT(ISNUMBER($B15)),"Enter a valid date",IF($C15="","Pick ingredient",IF($G15="?","Not in Inventory",IF($G15="","Set stock unit in Inventory",IF(N($D15)&lt;=0,"Enter quantity",IF($E15="","Pick unit",IF(IFERROR(INDEX('Lists'!$C$6:$C$30,MATCH($E15,'Lists'!$B$6:$B$30,0)),"?")&lt;&gt;IFERROR(INDEX('Lists'!$C$6:$C$30,MATCH($G15,'Lists'!$B$6:$B$30,0)),"?"),"Unit mismatch",IF(ISNUMBER(INDEX('Inventory'!$G$7:$G$106,MATCH($C15,'Inventory'!$B$7:$B$106,0))),"OK","Add price in Inventory")))))))))</f>
        <v/>
      </c>
      <c r="I15" s="88">
        <f>IF($H15&lt;&gt;"OK","",$D15*INDEX('Lists'!$D$6:$D$30,MATCH($E15,'Lists'!$B$6:$B$30,0))/INDEX('Lists'!$D$6:$D$30,MATCH($G15,'Lists'!$B$6:$B$30,0)))</f>
        <v/>
      </c>
      <c r="J15" s="71">
        <f>IF($H15&lt;&gt;"OK","",$I15*INDEX('Inventory'!$G$7:$G$106,MATCH($C15,'Inventory'!$B$7:$B$106,0)))</f>
        <v/>
      </c>
    </row>
    <row r="16" ht="17" customHeight="1">
      <c r="B16" s="66" t="n"/>
      <c r="C16" s="60" t="n"/>
      <c r="D16" s="86" t="n"/>
      <c r="E16" s="60" t="n"/>
      <c r="F16" s="60" t="n"/>
      <c r="G16" s="13">
        <f>IF($C16="","",IFERROR(INDEX('Inventory'!$D$7:$D$106,MATCH($C16,'Inventory'!$B$7:$B$106,0))&amp;"","?"))</f>
        <v/>
      </c>
      <c r="H16" s="80">
        <f>IF(AND($B16="",$C16="",$D16=""),"",IF(NOT(ISNUMBER($B16)),"Enter a valid date",IF($C16="","Pick ingredient",IF($G16="?","Not in Inventory",IF($G16="","Set stock unit in Inventory",IF(N($D16)&lt;=0,"Enter quantity",IF($E16="","Pick unit",IF(IFERROR(INDEX('Lists'!$C$6:$C$30,MATCH($E16,'Lists'!$B$6:$B$30,0)),"?")&lt;&gt;IFERROR(INDEX('Lists'!$C$6:$C$30,MATCH($G16,'Lists'!$B$6:$B$30,0)),"?"),"Unit mismatch",IF(ISNUMBER(INDEX('Inventory'!$G$7:$G$106,MATCH($C16,'Inventory'!$B$7:$B$106,0))),"OK","Add price in Inventory")))))))))</f>
        <v/>
      </c>
      <c r="I16" s="88">
        <f>IF($H16&lt;&gt;"OK","",$D16*INDEX('Lists'!$D$6:$D$30,MATCH($E16,'Lists'!$B$6:$B$30,0))/INDEX('Lists'!$D$6:$D$30,MATCH($G16,'Lists'!$B$6:$B$30,0)))</f>
        <v/>
      </c>
      <c r="J16" s="71">
        <f>IF($H16&lt;&gt;"OK","",$I16*INDEX('Inventory'!$G$7:$G$106,MATCH($C16,'Inventory'!$B$7:$B$106,0)))</f>
        <v/>
      </c>
    </row>
    <row r="17" ht="17" customHeight="1">
      <c r="B17" s="66" t="n"/>
      <c r="C17" s="60" t="n"/>
      <c r="D17" s="86" t="n"/>
      <c r="E17" s="60" t="n"/>
      <c r="F17" s="60" t="n"/>
      <c r="G17" s="13">
        <f>IF($C17="","",IFERROR(INDEX('Inventory'!$D$7:$D$106,MATCH($C17,'Inventory'!$B$7:$B$106,0))&amp;"","?"))</f>
        <v/>
      </c>
      <c r="H17" s="80">
        <f>IF(AND($B17="",$C17="",$D17=""),"",IF(NOT(ISNUMBER($B17)),"Enter a valid date",IF($C17="","Pick ingredient",IF($G17="?","Not in Inventory",IF($G17="","Set stock unit in Inventory",IF(N($D17)&lt;=0,"Enter quantity",IF($E17="","Pick unit",IF(IFERROR(INDEX('Lists'!$C$6:$C$30,MATCH($E17,'Lists'!$B$6:$B$30,0)),"?")&lt;&gt;IFERROR(INDEX('Lists'!$C$6:$C$30,MATCH($G17,'Lists'!$B$6:$B$30,0)),"?"),"Unit mismatch",IF(ISNUMBER(INDEX('Inventory'!$G$7:$G$106,MATCH($C17,'Inventory'!$B$7:$B$106,0))),"OK","Add price in Inventory")))))))))</f>
        <v/>
      </c>
      <c r="I17" s="88">
        <f>IF($H17&lt;&gt;"OK","",$D17*INDEX('Lists'!$D$6:$D$30,MATCH($E17,'Lists'!$B$6:$B$30,0))/INDEX('Lists'!$D$6:$D$30,MATCH($G17,'Lists'!$B$6:$B$30,0)))</f>
        <v/>
      </c>
      <c r="J17" s="71">
        <f>IF($H17&lt;&gt;"OK","",$I17*INDEX('Inventory'!$G$7:$G$106,MATCH($C17,'Inventory'!$B$7:$B$106,0)))</f>
        <v/>
      </c>
    </row>
    <row r="18" ht="17" customHeight="1">
      <c r="B18" s="66" t="n"/>
      <c r="C18" s="60" t="n"/>
      <c r="D18" s="86" t="n"/>
      <c r="E18" s="60" t="n"/>
      <c r="F18" s="60" t="n"/>
      <c r="G18" s="13">
        <f>IF($C18="","",IFERROR(INDEX('Inventory'!$D$7:$D$106,MATCH($C18,'Inventory'!$B$7:$B$106,0))&amp;"","?"))</f>
        <v/>
      </c>
      <c r="H18" s="80">
        <f>IF(AND($B18="",$C18="",$D18=""),"",IF(NOT(ISNUMBER($B18)),"Enter a valid date",IF($C18="","Pick ingredient",IF($G18="?","Not in Inventory",IF($G18="","Set stock unit in Inventory",IF(N($D18)&lt;=0,"Enter quantity",IF($E18="","Pick unit",IF(IFERROR(INDEX('Lists'!$C$6:$C$30,MATCH($E18,'Lists'!$B$6:$B$30,0)),"?")&lt;&gt;IFERROR(INDEX('Lists'!$C$6:$C$30,MATCH($G18,'Lists'!$B$6:$B$30,0)),"?"),"Unit mismatch",IF(ISNUMBER(INDEX('Inventory'!$G$7:$G$106,MATCH($C18,'Inventory'!$B$7:$B$106,0))),"OK","Add price in Inventory")))))))))</f>
        <v/>
      </c>
      <c r="I18" s="88">
        <f>IF($H18&lt;&gt;"OK","",$D18*INDEX('Lists'!$D$6:$D$30,MATCH($E18,'Lists'!$B$6:$B$30,0))/INDEX('Lists'!$D$6:$D$30,MATCH($G18,'Lists'!$B$6:$B$30,0)))</f>
        <v/>
      </c>
      <c r="J18" s="71">
        <f>IF($H18&lt;&gt;"OK","",$I18*INDEX('Inventory'!$G$7:$G$106,MATCH($C18,'Inventory'!$B$7:$B$106,0)))</f>
        <v/>
      </c>
    </row>
    <row r="19" ht="17" customHeight="1">
      <c r="B19" s="66" t="n"/>
      <c r="C19" s="60" t="n"/>
      <c r="D19" s="86" t="n"/>
      <c r="E19" s="60" t="n"/>
      <c r="F19" s="60" t="n"/>
      <c r="G19" s="13">
        <f>IF($C19="","",IFERROR(INDEX('Inventory'!$D$7:$D$106,MATCH($C19,'Inventory'!$B$7:$B$106,0))&amp;"","?"))</f>
        <v/>
      </c>
      <c r="H19" s="80">
        <f>IF(AND($B19="",$C19="",$D19=""),"",IF(NOT(ISNUMBER($B19)),"Enter a valid date",IF($C19="","Pick ingredient",IF($G19="?","Not in Inventory",IF($G19="","Set stock unit in Inventory",IF(N($D19)&lt;=0,"Enter quantity",IF($E19="","Pick unit",IF(IFERROR(INDEX('Lists'!$C$6:$C$30,MATCH($E19,'Lists'!$B$6:$B$30,0)),"?")&lt;&gt;IFERROR(INDEX('Lists'!$C$6:$C$30,MATCH($G19,'Lists'!$B$6:$B$30,0)),"?"),"Unit mismatch",IF(ISNUMBER(INDEX('Inventory'!$G$7:$G$106,MATCH($C19,'Inventory'!$B$7:$B$106,0))),"OK","Add price in Inventory")))))))))</f>
        <v/>
      </c>
      <c r="I19" s="88">
        <f>IF($H19&lt;&gt;"OK","",$D19*INDEX('Lists'!$D$6:$D$30,MATCH($E19,'Lists'!$B$6:$B$30,0))/INDEX('Lists'!$D$6:$D$30,MATCH($G19,'Lists'!$B$6:$B$30,0)))</f>
        <v/>
      </c>
      <c r="J19" s="71">
        <f>IF($H19&lt;&gt;"OK","",$I19*INDEX('Inventory'!$G$7:$G$106,MATCH($C19,'Inventory'!$B$7:$B$106,0)))</f>
        <v/>
      </c>
    </row>
    <row r="20" ht="17" customHeight="1">
      <c r="B20" s="66" t="n"/>
      <c r="C20" s="60" t="n"/>
      <c r="D20" s="86" t="n"/>
      <c r="E20" s="60" t="n"/>
      <c r="F20" s="60" t="n"/>
      <c r="G20" s="13">
        <f>IF($C20="","",IFERROR(INDEX('Inventory'!$D$7:$D$106,MATCH($C20,'Inventory'!$B$7:$B$106,0))&amp;"","?"))</f>
        <v/>
      </c>
      <c r="H20" s="80">
        <f>IF(AND($B20="",$C20="",$D20=""),"",IF(NOT(ISNUMBER($B20)),"Enter a valid date",IF($C20="","Pick ingredient",IF($G20="?","Not in Inventory",IF($G20="","Set stock unit in Inventory",IF(N($D20)&lt;=0,"Enter quantity",IF($E20="","Pick unit",IF(IFERROR(INDEX('Lists'!$C$6:$C$30,MATCH($E20,'Lists'!$B$6:$B$30,0)),"?")&lt;&gt;IFERROR(INDEX('Lists'!$C$6:$C$30,MATCH($G20,'Lists'!$B$6:$B$30,0)),"?"),"Unit mismatch",IF(ISNUMBER(INDEX('Inventory'!$G$7:$G$106,MATCH($C20,'Inventory'!$B$7:$B$106,0))),"OK","Add price in Inventory")))))))))</f>
        <v/>
      </c>
      <c r="I20" s="88">
        <f>IF($H20&lt;&gt;"OK","",$D20*INDEX('Lists'!$D$6:$D$30,MATCH($E20,'Lists'!$B$6:$B$30,0))/INDEX('Lists'!$D$6:$D$30,MATCH($G20,'Lists'!$B$6:$B$30,0)))</f>
        <v/>
      </c>
      <c r="J20" s="71">
        <f>IF($H20&lt;&gt;"OK","",$I20*INDEX('Inventory'!$G$7:$G$106,MATCH($C20,'Inventory'!$B$7:$B$106,0)))</f>
        <v/>
      </c>
    </row>
    <row r="21" ht="17" customHeight="1">
      <c r="B21" s="66" t="n"/>
      <c r="C21" s="60" t="n"/>
      <c r="D21" s="86" t="n"/>
      <c r="E21" s="60" t="n"/>
      <c r="F21" s="60" t="n"/>
      <c r="G21" s="13">
        <f>IF($C21="","",IFERROR(INDEX('Inventory'!$D$7:$D$106,MATCH($C21,'Inventory'!$B$7:$B$106,0))&amp;"","?"))</f>
        <v/>
      </c>
      <c r="H21" s="80">
        <f>IF(AND($B21="",$C21="",$D21=""),"",IF(NOT(ISNUMBER($B21)),"Enter a valid date",IF($C21="","Pick ingredient",IF($G21="?","Not in Inventory",IF($G21="","Set stock unit in Inventory",IF(N($D21)&lt;=0,"Enter quantity",IF($E21="","Pick unit",IF(IFERROR(INDEX('Lists'!$C$6:$C$30,MATCH($E21,'Lists'!$B$6:$B$30,0)),"?")&lt;&gt;IFERROR(INDEX('Lists'!$C$6:$C$30,MATCH($G21,'Lists'!$B$6:$B$30,0)),"?"),"Unit mismatch",IF(ISNUMBER(INDEX('Inventory'!$G$7:$G$106,MATCH($C21,'Inventory'!$B$7:$B$106,0))),"OK","Add price in Inventory")))))))))</f>
        <v/>
      </c>
      <c r="I21" s="88">
        <f>IF($H21&lt;&gt;"OK","",$D21*INDEX('Lists'!$D$6:$D$30,MATCH($E21,'Lists'!$B$6:$B$30,0))/INDEX('Lists'!$D$6:$D$30,MATCH($G21,'Lists'!$B$6:$B$30,0)))</f>
        <v/>
      </c>
      <c r="J21" s="71">
        <f>IF($H21&lt;&gt;"OK","",$I21*INDEX('Inventory'!$G$7:$G$106,MATCH($C21,'Inventory'!$B$7:$B$106,0)))</f>
        <v/>
      </c>
    </row>
    <row r="22" ht="17" customHeight="1">
      <c r="B22" s="66" t="n"/>
      <c r="C22" s="60" t="n"/>
      <c r="D22" s="86" t="n"/>
      <c r="E22" s="60" t="n"/>
      <c r="F22" s="60" t="n"/>
      <c r="G22" s="13">
        <f>IF($C22="","",IFERROR(INDEX('Inventory'!$D$7:$D$106,MATCH($C22,'Inventory'!$B$7:$B$106,0))&amp;"","?"))</f>
        <v/>
      </c>
      <c r="H22" s="80">
        <f>IF(AND($B22="",$C22="",$D22=""),"",IF(NOT(ISNUMBER($B22)),"Enter a valid date",IF($C22="","Pick ingredient",IF($G22="?","Not in Inventory",IF($G22="","Set stock unit in Inventory",IF(N($D22)&lt;=0,"Enter quantity",IF($E22="","Pick unit",IF(IFERROR(INDEX('Lists'!$C$6:$C$30,MATCH($E22,'Lists'!$B$6:$B$30,0)),"?")&lt;&gt;IFERROR(INDEX('Lists'!$C$6:$C$30,MATCH($G22,'Lists'!$B$6:$B$30,0)),"?"),"Unit mismatch",IF(ISNUMBER(INDEX('Inventory'!$G$7:$G$106,MATCH($C22,'Inventory'!$B$7:$B$106,0))),"OK","Add price in Inventory")))))))))</f>
        <v/>
      </c>
      <c r="I22" s="88">
        <f>IF($H22&lt;&gt;"OK","",$D22*INDEX('Lists'!$D$6:$D$30,MATCH($E22,'Lists'!$B$6:$B$30,0))/INDEX('Lists'!$D$6:$D$30,MATCH($G22,'Lists'!$B$6:$B$30,0)))</f>
        <v/>
      </c>
      <c r="J22" s="71">
        <f>IF($H22&lt;&gt;"OK","",$I22*INDEX('Inventory'!$G$7:$G$106,MATCH($C22,'Inventory'!$B$7:$B$106,0)))</f>
        <v/>
      </c>
    </row>
    <row r="23" ht="17" customHeight="1">
      <c r="B23" s="66" t="n"/>
      <c r="C23" s="60" t="n"/>
      <c r="D23" s="86" t="n"/>
      <c r="E23" s="60" t="n"/>
      <c r="F23" s="60" t="n"/>
      <c r="G23" s="13">
        <f>IF($C23="","",IFERROR(INDEX('Inventory'!$D$7:$D$106,MATCH($C23,'Inventory'!$B$7:$B$106,0))&amp;"","?"))</f>
        <v/>
      </c>
      <c r="H23" s="80">
        <f>IF(AND($B23="",$C23="",$D23=""),"",IF(NOT(ISNUMBER($B23)),"Enter a valid date",IF($C23="","Pick ingredient",IF($G23="?","Not in Inventory",IF($G23="","Set stock unit in Inventory",IF(N($D23)&lt;=0,"Enter quantity",IF($E23="","Pick unit",IF(IFERROR(INDEX('Lists'!$C$6:$C$30,MATCH($E23,'Lists'!$B$6:$B$30,0)),"?")&lt;&gt;IFERROR(INDEX('Lists'!$C$6:$C$30,MATCH($G23,'Lists'!$B$6:$B$30,0)),"?"),"Unit mismatch",IF(ISNUMBER(INDEX('Inventory'!$G$7:$G$106,MATCH($C23,'Inventory'!$B$7:$B$106,0))),"OK","Add price in Inventory")))))))))</f>
        <v/>
      </c>
      <c r="I23" s="88">
        <f>IF($H23&lt;&gt;"OK","",$D23*INDEX('Lists'!$D$6:$D$30,MATCH($E23,'Lists'!$B$6:$B$30,0))/INDEX('Lists'!$D$6:$D$30,MATCH($G23,'Lists'!$B$6:$B$30,0)))</f>
        <v/>
      </c>
      <c r="J23" s="71">
        <f>IF($H23&lt;&gt;"OK","",$I23*INDEX('Inventory'!$G$7:$G$106,MATCH($C23,'Inventory'!$B$7:$B$106,0)))</f>
        <v/>
      </c>
    </row>
    <row r="24" ht="17" customHeight="1">
      <c r="B24" s="66" t="n"/>
      <c r="C24" s="60" t="n"/>
      <c r="D24" s="86" t="n"/>
      <c r="E24" s="60" t="n"/>
      <c r="F24" s="60" t="n"/>
      <c r="G24" s="13">
        <f>IF($C24="","",IFERROR(INDEX('Inventory'!$D$7:$D$106,MATCH($C24,'Inventory'!$B$7:$B$106,0))&amp;"","?"))</f>
        <v/>
      </c>
      <c r="H24" s="80">
        <f>IF(AND($B24="",$C24="",$D24=""),"",IF(NOT(ISNUMBER($B24)),"Enter a valid date",IF($C24="","Pick ingredient",IF($G24="?","Not in Inventory",IF($G24="","Set stock unit in Inventory",IF(N($D24)&lt;=0,"Enter quantity",IF($E24="","Pick unit",IF(IFERROR(INDEX('Lists'!$C$6:$C$30,MATCH($E24,'Lists'!$B$6:$B$30,0)),"?")&lt;&gt;IFERROR(INDEX('Lists'!$C$6:$C$30,MATCH($G24,'Lists'!$B$6:$B$30,0)),"?"),"Unit mismatch",IF(ISNUMBER(INDEX('Inventory'!$G$7:$G$106,MATCH($C24,'Inventory'!$B$7:$B$106,0))),"OK","Add price in Inventory")))))))))</f>
        <v/>
      </c>
      <c r="I24" s="88">
        <f>IF($H24&lt;&gt;"OK","",$D24*INDEX('Lists'!$D$6:$D$30,MATCH($E24,'Lists'!$B$6:$B$30,0))/INDEX('Lists'!$D$6:$D$30,MATCH($G24,'Lists'!$B$6:$B$30,0)))</f>
        <v/>
      </c>
      <c r="J24" s="71">
        <f>IF($H24&lt;&gt;"OK","",$I24*INDEX('Inventory'!$G$7:$G$106,MATCH($C24,'Inventory'!$B$7:$B$106,0)))</f>
        <v/>
      </c>
    </row>
    <row r="25" ht="17" customHeight="1">
      <c r="B25" s="66" t="n"/>
      <c r="C25" s="60" t="n"/>
      <c r="D25" s="86" t="n"/>
      <c r="E25" s="60" t="n"/>
      <c r="F25" s="60" t="n"/>
      <c r="G25" s="13">
        <f>IF($C25="","",IFERROR(INDEX('Inventory'!$D$7:$D$106,MATCH($C25,'Inventory'!$B$7:$B$106,0))&amp;"","?"))</f>
        <v/>
      </c>
      <c r="H25" s="80">
        <f>IF(AND($B25="",$C25="",$D25=""),"",IF(NOT(ISNUMBER($B25)),"Enter a valid date",IF($C25="","Pick ingredient",IF($G25="?","Not in Inventory",IF($G25="","Set stock unit in Inventory",IF(N($D25)&lt;=0,"Enter quantity",IF($E25="","Pick unit",IF(IFERROR(INDEX('Lists'!$C$6:$C$30,MATCH($E25,'Lists'!$B$6:$B$30,0)),"?")&lt;&gt;IFERROR(INDEX('Lists'!$C$6:$C$30,MATCH($G25,'Lists'!$B$6:$B$30,0)),"?"),"Unit mismatch",IF(ISNUMBER(INDEX('Inventory'!$G$7:$G$106,MATCH($C25,'Inventory'!$B$7:$B$106,0))),"OK","Add price in Inventory")))))))))</f>
        <v/>
      </c>
      <c r="I25" s="88">
        <f>IF($H25&lt;&gt;"OK","",$D25*INDEX('Lists'!$D$6:$D$30,MATCH($E25,'Lists'!$B$6:$B$30,0))/INDEX('Lists'!$D$6:$D$30,MATCH($G25,'Lists'!$B$6:$B$30,0)))</f>
        <v/>
      </c>
      <c r="J25" s="71">
        <f>IF($H25&lt;&gt;"OK","",$I25*INDEX('Inventory'!$G$7:$G$106,MATCH($C25,'Inventory'!$B$7:$B$106,0)))</f>
        <v/>
      </c>
    </row>
    <row r="26" ht="17" customHeight="1">
      <c r="B26" s="66" t="n"/>
      <c r="C26" s="60" t="n"/>
      <c r="D26" s="86" t="n"/>
      <c r="E26" s="60" t="n"/>
      <c r="F26" s="60" t="n"/>
      <c r="G26" s="13">
        <f>IF($C26="","",IFERROR(INDEX('Inventory'!$D$7:$D$106,MATCH($C26,'Inventory'!$B$7:$B$106,0))&amp;"","?"))</f>
        <v/>
      </c>
      <c r="H26" s="80">
        <f>IF(AND($B26="",$C26="",$D26=""),"",IF(NOT(ISNUMBER($B26)),"Enter a valid date",IF($C26="","Pick ingredient",IF($G26="?","Not in Inventory",IF($G26="","Set stock unit in Inventory",IF(N($D26)&lt;=0,"Enter quantity",IF($E26="","Pick unit",IF(IFERROR(INDEX('Lists'!$C$6:$C$30,MATCH($E26,'Lists'!$B$6:$B$30,0)),"?")&lt;&gt;IFERROR(INDEX('Lists'!$C$6:$C$30,MATCH($G26,'Lists'!$B$6:$B$30,0)),"?"),"Unit mismatch",IF(ISNUMBER(INDEX('Inventory'!$G$7:$G$106,MATCH($C26,'Inventory'!$B$7:$B$106,0))),"OK","Add price in Inventory")))))))))</f>
        <v/>
      </c>
      <c r="I26" s="88">
        <f>IF($H26&lt;&gt;"OK","",$D26*INDEX('Lists'!$D$6:$D$30,MATCH($E26,'Lists'!$B$6:$B$30,0))/INDEX('Lists'!$D$6:$D$30,MATCH($G26,'Lists'!$B$6:$B$30,0)))</f>
        <v/>
      </c>
      <c r="J26" s="71">
        <f>IF($H26&lt;&gt;"OK","",$I26*INDEX('Inventory'!$G$7:$G$106,MATCH($C26,'Inventory'!$B$7:$B$106,0)))</f>
        <v/>
      </c>
    </row>
    <row r="27" ht="17" customHeight="1">
      <c r="B27" s="66" t="n"/>
      <c r="C27" s="60" t="n"/>
      <c r="D27" s="86" t="n"/>
      <c r="E27" s="60" t="n"/>
      <c r="F27" s="60" t="n"/>
      <c r="G27" s="13">
        <f>IF($C27="","",IFERROR(INDEX('Inventory'!$D$7:$D$106,MATCH($C27,'Inventory'!$B$7:$B$106,0))&amp;"","?"))</f>
        <v/>
      </c>
      <c r="H27" s="80">
        <f>IF(AND($B27="",$C27="",$D27=""),"",IF(NOT(ISNUMBER($B27)),"Enter a valid date",IF($C27="","Pick ingredient",IF($G27="?","Not in Inventory",IF($G27="","Set stock unit in Inventory",IF(N($D27)&lt;=0,"Enter quantity",IF($E27="","Pick unit",IF(IFERROR(INDEX('Lists'!$C$6:$C$30,MATCH($E27,'Lists'!$B$6:$B$30,0)),"?")&lt;&gt;IFERROR(INDEX('Lists'!$C$6:$C$30,MATCH($G27,'Lists'!$B$6:$B$30,0)),"?"),"Unit mismatch",IF(ISNUMBER(INDEX('Inventory'!$G$7:$G$106,MATCH($C27,'Inventory'!$B$7:$B$106,0))),"OK","Add price in Inventory")))))))))</f>
        <v/>
      </c>
      <c r="I27" s="88">
        <f>IF($H27&lt;&gt;"OK","",$D27*INDEX('Lists'!$D$6:$D$30,MATCH($E27,'Lists'!$B$6:$B$30,0))/INDEX('Lists'!$D$6:$D$30,MATCH($G27,'Lists'!$B$6:$B$30,0)))</f>
        <v/>
      </c>
      <c r="J27" s="71">
        <f>IF($H27&lt;&gt;"OK","",$I27*INDEX('Inventory'!$G$7:$G$106,MATCH($C27,'Inventory'!$B$7:$B$106,0)))</f>
        <v/>
      </c>
    </row>
    <row r="28" ht="17" customHeight="1">
      <c r="B28" s="66" t="n"/>
      <c r="C28" s="60" t="n"/>
      <c r="D28" s="86" t="n"/>
      <c r="E28" s="60" t="n"/>
      <c r="F28" s="60" t="n"/>
      <c r="G28" s="13">
        <f>IF($C28="","",IFERROR(INDEX('Inventory'!$D$7:$D$106,MATCH($C28,'Inventory'!$B$7:$B$106,0))&amp;"","?"))</f>
        <v/>
      </c>
      <c r="H28" s="80">
        <f>IF(AND($B28="",$C28="",$D28=""),"",IF(NOT(ISNUMBER($B28)),"Enter a valid date",IF($C28="","Pick ingredient",IF($G28="?","Not in Inventory",IF($G28="","Set stock unit in Inventory",IF(N($D28)&lt;=0,"Enter quantity",IF($E28="","Pick unit",IF(IFERROR(INDEX('Lists'!$C$6:$C$30,MATCH($E28,'Lists'!$B$6:$B$30,0)),"?")&lt;&gt;IFERROR(INDEX('Lists'!$C$6:$C$30,MATCH($G28,'Lists'!$B$6:$B$30,0)),"?"),"Unit mismatch",IF(ISNUMBER(INDEX('Inventory'!$G$7:$G$106,MATCH($C28,'Inventory'!$B$7:$B$106,0))),"OK","Add price in Inventory")))))))))</f>
        <v/>
      </c>
      <c r="I28" s="88">
        <f>IF($H28&lt;&gt;"OK","",$D28*INDEX('Lists'!$D$6:$D$30,MATCH($E28,'Lists'!$B$6:$B$30,0))/INDEX('Lists'!$D$6:$D$30,MATCH($G28,'Lists'!$B$6:$B$30,0)))</f>
        <v/>
      </c>
      <c r="J28" s="71">
        <f>IF($H28&lt;&gt;"OK","",$I28*INDEX('Inventory'!$G$7:$G$106,MATCH($C28,'Inventory'!$B$7:$B$106,0)))</f>
        <v/>
      </c>
    </row>
    <row r="29" ht="17" customHeight="1">
      <c r="B29" s="66" t="n"/>
      <c r="C29" s="60" t="n"/>
      <c r="D29" s="86" t="n"/>
      <c r="E29" s="60" t="n"/>
      <c r="F29" s="60" t="n"/>
      <c r="G29" s="13">
        <f>IF($C29="","",IFERROR(INDEX('Inventory'!$D$7:$D$106,MATCH($C29,'Inventory'!$B$7:$B$106,0))&amp;"","?"))</f>
        <v/>
      </c>
      <c r="H29" s="80">
        <f>IF(AND($B29="",$C29="",$D29=""),"",IF(NOT(ISNUMBER($B29)),"Enter a valid date",IF($C29="","Pick ingredient",IF($G29="?","Not in Inventory",IF($G29="","Set stock unit in Inventory",IF(N($D29)&lt;=0,"Enter quantity",IF($E29="","Pick unit",IF(IFERROR(INDEX('Lists'!$C$6:$C$30,MATCH($E29,'Lists'!$B$6:$B$30,0)),"?")&lt;&gt;IFERROR(INDEX('Lists'!$C$6:$C$30,MATCH($G29,'Lists'!$B$6:$B$30,0)),"?"),"Unit mismatch",IF(ISNUMBER(INDEX('Inventory'!$G$7:$G$106,MATCH($C29,'Inventory'!$B$7:$B$106,0))),"OK","Add price in Inventory")))))))))</f>
        <v/>
      </c>
      <c r="I29" s="88">
        <f>IF($H29&lt;&gt;"OK","",$D29*INDEX('Lists'!$D$6:$D$30,MATCH($E29,'Lists'!$B$6:$B$30,0))/INDEX('Lists'!$D$6:$D$30,MATCH($G29,'Lists'!$B$6:$B$30,0)))</f>
        <v/>
      </c>
      <c r="J29" s="71">
        <f>IF($H29&lt;&gt;"OK","",$I29*INDEX('Inventory'!$G$7:$G$106,MATCH($C29,'Inventory'!$B$7:$B$106,0)))</f>
        <v/>
      </c>
    </row>
    <row r="30" ht="17" customHeight="1">
      <c r="B30" s="66" t="n"/>
      <c r="C30" s="60" t="n"/>
      <c r="D30" s="86" t="n"/>
      <c r="E30" s="60" t="n"/>
      <c r="F30" s="60" t="n"/>
      <c r="G30" s="13">
        <f>IF($C30="","",IFERROR(INDEX('Inventory'!$D$7:$D$106,MATCH($C30,'Inventory'!$B$7:$B$106,0))&amp;"","?"))</f>
        <v/>
      </c>
      <c r="H30" s="80">
        <f>IF(AND($B30="",$C30="",$D30=""),"",IF(NOT(ISNUMBER($B30)),"Enter a valid date",IF($C30="","Pick ingredient",IF($G30="?","Not in Inventory",IF($G30="","Set stock unit in Inventory",IF(N($D30)&lt;=0,"Enter quantity",IF($E30="","Pick unit",IF(IFERROR(INDEX('Lists'!$C$6:$C$30,MATCH($E30,'Lists'!$B$6:$B$30,0)),"?")&lt;&gt;IFERROR(INDEX('Lists'!$C$6:$C$30,MATCH($G30,'Lists'!$B$6:$B$30,0)),"?"),"Unit mismatch",IF(ISNUMBER(INDEX('Inventory'!$G$7:$G$106,MATCH($C30,'Inventory'!$B$7:$B$106,0))),"OK","Add price in Inventory")))))))))</f>
        <v/>
      </c>
      <c r="I30" s="88">
        <f>IF($H30&lt;&gt;"OK","",$D30*INDEX('Lists'!$D$6:$D$30,MATCH($E30,'Lists'!$B$6:$B$30,0))/INDEX('Lists'!$D$6:$D$30,MATCH($G30,'Lists'!$B$6:$B$30,0)))</f>
        <v/>
      </c>
      <c r="J30" s="71">
        <f>IF($H30&lt;&gt;"OK","",$I30*INDEX('Inventory'!$G$7:$G$106,MATCH($C30,'Inventory'!$B$7:$B$106,0)))</f>
        <v/>
      </c>
    </row>
    <row r="31" ht="17" customHeight="1">
      <c r="B31" s="66" t="n"/>
      <c r="C31" s="60" t="n"/>
      <c r="D31" s="86" t="n"/>
      <c r="E31" s="60" t="n"/>
      <c r="F31" s="60" t="n"/>
      <c r="G31" s="13">
        <f>IF($C31="","",IFERROR(INDEX('Inventory'!$D$7:$D$106,MATCH($C31,'Inventory'!$B$7:$B$106,0))&amp;"","?"))</f>
        <v/>
      </c>
      <c r="H31" s="80">
        <f>IF(AND($B31="",$C31="",$D31=""),"",IF(NOT(ISNUMBER($B31)),"Enter a valid date",IF($C31="","Pick ingredient",IF($G31="?","Not in Inventory",IF($G31="","Set stock unit in Inventory",IF(N($D31)&lt;=0,"Enter quantity",IF($E31="","Pick unit",IF(IFERROR(INDEX('Lists'!$C$6:$C$30,MATCH($E31,'Lists'!$B$6:$B$30,0)),"?")&lt;&gt;IFERROR(INDEX('Lists'!$C$6:$C$30,MATCH($G31,'Lists'!$B$6:$B$30,0)),"?"),"Unit mismatch",IF(ISNUMBER(INDEX('Inventory'!$G$7:$G$106,MATCH($C31,'Inventory'!$B$7:$B$106,0))),"OK","Add price in Inventory")))))))))</f>
        <v/>
      </c>
      <c r="I31" s="88">
        <f>IF($H31&lt;&gt;"OK","",$D31*INDEX('Lists'!$D$6:$D$30,MATCH($E31,'Lists'!$B$6:$B$30,0))/INDEX('Lists'!$D$6:$D$30,MATCH($G31,'Lists'!$B$6:$B$30,0)))</f>
        <v/>
      </c>
      <c r="J31" s="71">
        <f>IF($H31&lt;&gt;"OK","",$I31*INDEX('Inventory'!$G$7:$G$106,MATCH($C31,'Inventory'!$B$7:$B$106,0)))</f>
        <v/>
      </c>
    </row>
    <row r="32" ht="17" customHeight="1">
      <c r="B32" s="66" t="n"/>
      <c r="C32" s="60" t="n"/>
      <c r="D32" s="86" t="n"/>
      <c r="E32" s="60" t="n"/>
      <c r="F32" s="60" t="n"/>
      <c r="G32" s="13">
        <f>IF($C32="","",IFERROR(INDEX('Inventory'!$D$7:$D$106,MATCH($C32,'Inventory'!$B$7:$B$106,0))&amp;"","?"))</f>
        <v/>
      </c>
      <c r="H32" s="80">
        <f>IF(AND($B32="",$C32="",$D32=""),"",IF(NOT(ISNUMBER($B32)),"Enter a valid date",IF($C32="","Pick ingredient",IF($G32="?","Not in Inventory",IF($G32="","Set stock unit in Inventory",IF(N($D32)&lt;=0,"Enter quantity",IF($E32="","Pick unit",IF(IFERROR(INDEX('Lists'!$C$6:$C$30,MATCH($E32,'Lists'!$B$6:$B$30,0)),"?")&lt;&gt;IFERROR(INDEX('Lists'!$C$6:$C$30,MATCH($G32,'Lists'!$B$6:$B$30,0)),"?"),"Unit mismatch",IF(ISNUMBER(INDEX('Inventory'!$G$7:$G$106,MATCH($C32,'Inventory'!$B$7:$B$106,0))),"OK","Add price in Inventory")))))))))</f>
        <v/>
      </c>
      <c r="I32" s="88">
        <f>IF($H32&lt;&gt;"OK","",$D32*INDEX('Lists'!$D$6:$D$30,MATCH($E32,'Lists'!$B$6:$B$30,0))/INDEX('Lists'!$D$6:$D$30,MATCH($G32,'Lists'!$B$6:$B$30,0)))</f>
        <v/>
      </c>
      <c r="J32" s="71">
        <f>IF($H32&lt;&gt;"OK","",$I32*INDEX('Inventory'!$G$7:$G$106,MATCH($C32,'Inventory'!$B$7:$B$106,0)))</f>
        <v/>
      </c>
    </row>
    <row r="33" ht="17" customHeight="1">
      <c r="B33" s="66" t="n"/>
      <c r="C33" s="60" t="n"/>
      <c r="D33" s="86" t="n"/>
      <c r="E33" s="60" t="n"/>
      <c r="F33" s="60" t="n"/>
      <c r="G33" s="13">
        <f>IF($C33="","",IFERROR(INDEX('Inventory'!$D$7:$D$106,MATCH($C33,'Inventory'!$B$7:$B$106,0))&amp;"","?"))</f>
        <v/>
      </c>
      <c r="H33" s="80">
        <f>IF(AND($B33="",$C33="",$D33=""),"",IF(NOT(ISNUMBER($B33)),"Enter a valid date",IF($C33="","Pick ingredient",IF($G33="?","Not in Inventory",IF($G33="","Set stock unit in Inventory",IF(N($D33)&lt;=0,"Enter quantity",IF($E33="","Pick unit",IF(IFERROR(INDEX('Lists'!$C$6:$C$30,MATCH($E33,'Lists'!$B$6:$B$30,0)),"?")&lt;&gt;IFERROR(INDEX('Lists'!$C$6:$C$30,MATCH($G33,'Lists'!$B$6:$B$30,0)),"?"),"Unit mismatch",IF(ISNUMBER(INDEX('Inventory'!$G$7:$G$106,MATCH($C33,'Inventory'!$B$7:$B$106,0))),"OK","Add price in Inventory")))))))))</f>
        <v/>
      </c>
      <c r="I33" s="88">
        <f>IF($H33&lt;&gt;"OK","",$D33*INDEX('Lists'!$D$6:$D$30,MATCH($E33,'Lists'!$B$6:$B$30,0))/INDEX('Lists'!$D$6:$D$30,MATCH($G33,'Lists'!$B$6:$B$30,0)))</f>
        <v/>
      </c>
      <c r="J33" s="71">
        <f>IF($H33&lt;&gt;"OK","",$I33*INDEX('Inventory'!$G$7:$G$106,MATCH($C33,'Inventory'!$B$7:$B$106,0)))</f>
        <v/>
      </c>
    </row>
    <row r="34" ht="17" customHeight="1">
      <c r="B34" s="66" t="n"/>
      <c r="C34" s="60" t="n"/>
      <c r="D34" s="86" t="n"/>
      <c r="E34" s="60" t="n"/>
      <c r="F34" s="60" t="n"/>
      <c r="G34" s="13">
        <f>IF($C34="","",IFERROR(INDEX('Inventory'!$D$7:$D$106,MATCH($C34,'Inventory'!$B$7:$B$106,0))&amp;"","?"))</f>
        <v/>
      </c>
      <c r="H34" s="80">
        <f>IF(AND($B34="",$C34="",$D34=""),"",IF(NOT(ISNUMBER($B34)),"Enter a valid date",IF($C34="","Pick ingredient",IF($G34="?","Not in Inventory",IF($G34="","Set stock unit in Inventory",IF(N($D34)&lt;=0,"Enter quantity",IF($E34="","Pick unit",IF(IFERROR(INDEX('Lists'!$C$6:$C$30,MATCH($E34,'Lists'!$B$6:$B$30,0)),"?")&lt;&gt;IFERROR(INDEX('Lists'!$C$6:$C$30,MATCH($G34,'Lists'!$B$6:$B$30,0)),"?"),"Unit mismatch",IF(ISNUMBER(INDEX('Inventory'!$G$7:$G$106,MATCH($C34,'Inventory'!$B$7:$B$106,0))),"OK","Add price in Inventory")))))))))</f>
        <v/>
      </c>
      <c r="I34" s="88">
        <f>IF($H34&lt;&gt;"OK","",$D34*INDEX('Lists'!$D$6:$D$30,MATCH($E34,'Lists'!$B$6:$B$30,0))/INDEX('Lists'!$D$6:$D$30,MATCH($G34,'Lists'!$B$6:$B$30,0)))</f>
        <v/>
      </c>
      <c r="J34" s="71">
        <f>IF($H34&lt;&gt;"OK","",$I34*INDEX('Inventory'!$G$7:$G$106,MATCH($C34,'Inventory'!$B$7:$B$106,0)))</f>
        <v/>
      </c>
    </row>
    <row r="35" ht="17" customHeight="1">
      <c r="B35" s="66" t="n"/>
      <c r="C35" s="60" t="n"/>
      <c r="D35" s="86" t="n"/>
      <c r="E35" s="60" t="n"/>
      <c r="F35" s="60" t="n"/>
      <c r="G35" s="13">
        <f>IF($C35="","",IFERROR(INDEX('Inventory'!$D$7:$D$106,MATCH($C35,'Inventory'!$B$7:$B$106,0))&amp;"","?"))</f>
        <v/>
      </c>
      <c r="H35" s="80">
        <f>IF(AND($B35="",$C35="",$D35=""),"",IF(NOT(ISNUMBER($B35)),"Enter a valid date",IF($C35="","Pick ingredient",IF($G35="?","Not in Inventory",IF($G35="","Set stock unit in Inventory",IF(N($D35)&lt;=0,"Enter quantity",IF($E35="","Pick unit",IF(IFERROR(INDEX('Lists'!$C$6:$C$30,MATCH($E35,'Lists'!$B$6:$B$30,0)),"?")&lt;&gt;IFERROR(INDEX('Lists'!$C$6:$C$30,MATCH($G35,'Lists'!$B$6:$B$30,0)),"?"),"Unit mismatch",IF(ISNUMBER(INDEX('Inventory'!$G$7:$G$106,MATCH($C35,'Inventory'!$B$7:$B$106,0))),"OK","Add price in Inventory")))))))))</f>
        <v/>
      </c>
      <c r="I35" s="88">
        <f>IF($H35&lt;&gt;"OK","",$D35*INDEX('Lists'!$D$6:$D$30,MATCH($E35,'Lists'!$B$6:$B$30,0))/INDEX('Lists'!$D$6:$D$30,MATCH($G35,'Lists'!$B$6:$B$30,0)))</f>
        <v/>
      </c>
      <c r="J35" s="71">
        <f>IF($H35&lt;&gt;"OK","",$I35*INDEX('Inventory'!$G$7:$G$106,MATCH($C35,'Inventory'!$B$7:$B$106,0)))</f>
        <v/>
      </c>
    </row>
    <row r="36" ht="17" customHeight="1">
      <c r="B36" s="66" t="n"/>
      <c r="C36" s="60" t="n"/>
      <c r="D36" s="86" t="n"/>
      <c r="E36" s="60" t="n"/>
      <c r="F36" s="60" t="n"/>
      <c r="G36" s="13">
        <f>IF($C36="","",IFERROR(INDEX('Inventory'!$D$7:$D$106,MATCH($C36,'Inventory'!$B$7:$B$106,0))&amp;"","?"))</f>
        <v/>
      </c>
      <c r="H36" s="80">
        <f>IF(AND($B36="",$C36="",$D36=""),"",IF(NOT(ISNUMBER($B36)),"Enter a valid date",IF($C36="","Pick ingredient",IF($G36="?","Not in Inventory",IF($G36="","Set stock unit in Inventory",IF(N($D36)&lt;=0,"Enter quantity",IF($E36="","Pick unit",IF(IFERROR(INDEX('Lists'!$C$6:$C$30,MATCH($E36,'Lists'!$B$6:$B$30,0)),"?")&lt;&gt;IFERROR(INDEX('Lists'!$C$6:$C$30,MATCH($G36,'Lists'!$B$6:$B$30,0)),"?"),"Unit mismatch",IF(ISNUMBER(INDEX('Inventory'!$G$7:$G$106,MATCH($C36,'Inventory'!$B$7:$B$106,0))),"OK","Add price in Inventory")))))))))</f>
        <v/>
      </c>
      <c r="I36" s="88">
        <f>IF($H36&lt;&gt;"OK","",$D36*INDEX('Lists'!$D$6:$D$30,MATCH($E36,'Lists'!$B$6:$B$30,0))/INDEX('Lists'!$D$6:$D$30,MATCH($G36,'Lists'!$B$6:$B$30,0)))</f>
        <v/>
      </c>
      <c r="J36" s="71">
        <f>IF($H36&lt;&gt;"OK","",$I36*INDEX('Inventory'!$G$7:$G$106,MATCH($C36,'Inventory'!$B$7:$B$106,0)))</f>
        <v/>
      </c>
    </row>
    <row r="37" ht="17" customHeight="1">
      <c r="B37" s="66" t="n"/>
      <c r="C37" s="60" t="n"/>
      <c r="D37" s="86" t="n"/>
      <c r="E37" s="60" t="n"/>
      <c r="F37" s="60" t="n"/>
      <c r="G37" s="13">
        <f>IF($C37="","",IFERROR(INDEX('Inventory'!$D$7:$D$106,MATCH($C37,'Inventory'!$B$7:$B$106,0))&amp;"","?"))</f>
        <v/>
      </c>
      <c r="H37" s="80">
        <f>IF(AND($B37="",$C37="",$D37=""),"",IF(NOT(ISNUMBER($B37)),"Enter a valid date",IF($C37="","Pick ingredient",IF($G37="?","Not in Inventory",IF($G37="","Set stock unit in Inventory",IF(N($D37)&lt;=0,"Enter quantity",IF($E37="","Pick unit",IF(IFERROR(INDEX('Lists'!$C$6:$C$30,MATCH($E37,'Lists'!$B$6:$B$30,0)),"?")&lt;&gt;IFERROR(INDEX('Lists'!$C$6:$C$30,MATCH($G37,'Lists'!$B$6:$B$30,0)),"?"),"Unit mismatch",IF(ISNUMBER(INDEX('Inventory'!$G$7:$G$106,MATCH($C37,'Inventory'!$B$7:$B$106,0))),"OK","Add price in Inventory")))))))))</f>
        <v/>
      </c>
      <c r="I37" s="88">
        <f>IF($H37&lt;&gt;"OK","",$D37*INDEX('Lists'!$D$6:$D$30,MATCH($E37,'Lists'!$B$6:$B$30,0))/INDEX('Lists'!$D$6:$D$30,MATCH($G37,'Lists'!$B$6:$B$30,0)))</f>
        <v/>
      </c>
      <c r="J37" s="71">
        <f>IF($H37&lt;&gt;"OK","",$I37*INDEX('Inventory'!$G$7:$G$106,MATCH($C37,'Inventory'!$B$7:$B$106,0)))</f>
        <v/>
      </c>
    </row>
    <row r="38" ht="17" customHeight="1">
      <c r="B38" s="66" t="n"/>
      <c r="C38" s="60" t="n"/>
      <c r="D38" s="86" t="n"/>
      <c r="E38" s="60" t="n"/>
      <c r="F38" s="60" t="n"/>
      <c r="G38" s="13">
        <f>IF($C38="","",IFERROR(INDEX('Inventory'!$D$7:$D$106,MATCH($C38,'Inventory'!$B$7:$B$106,0))&amp;"","?"))</f>
        <v/>
      </c>
      <c r="H38" s="80">
        <f>IF(AND($B38="",$C38="",$D38=""),"",IF(NOT(ISNUMBER($B38)),"Enter a valid date",IF($C38="","Pick ingredient",IF($G38="?","Not in Inventory",IF($G38="","Set stock unit in Inventory",IF(N($D38)&lt;=0,"Enter quantity",IF($E38="","Pick unit",IF(IFERROR(INDEX('Lists'!$C$6:$C$30,MATCH($E38,'Lists'!$B$6:$B$30,0)),"?")&lt;&gt;IFERROR(INDEX('Lists'!$C$6:$C$30,MATCH($G38,'Lists'!$B$6:$B$30,0)),"?"),"Unit mismatch",IF(ISNUMBER(INDEX('Inventory'!$G$7:$G$106,MATCH($C38,'Inventory'!$B$7:$B$106,0))),"OK","Add price in Inventory")))))))))</f>
        <v/>
      </c>
      <c r="I38" s="88">
        <f>IF($H38&lt;&gt;"OK","",$D38*INDEX('Lists'!$D$6:$D$30,MATCH($E38,'Lists'!$B$6:$B$30,0))/INDEX('Lists'!$D$6:$D$30,MATCH($G38,'Lists'!$B$6:$B$30,0)))</f>
        <v/>
      </c>
      <c r="J38" s="71">
        <f>IF($H38&lt;&gt;"OK","",$I38*INDEX('Inventory'!$G$7:$G$106,MATCH($C38,'Inventory'!$B$7:$B$106,0)))</f>
        <v/>
      </c>
    </row>
    <row r="39" ht="17" customHeight="1">
      <c r="B39" s="66" t="n"/>
      <c r="C39" s="60" t="n"/>
      <c r="D39" s="86" t="n"/>
      <c r="E39" s="60" t="n"/>
      <c r="F39" s="60" t="n"/>
      <c r="G39" s="13">
        <f>IF($C39="","",IFERROR(INDEX('Inventory'!$D$7:$D$106,MATCH($C39,'Inventory'!$B$7:$B$106,0))&amp;"","?"))</f>
        <v/>
      </c>
      <c r="H39" s="80">
        <f>IF(AND($B39="",$C39="",$D39=""),"",IF(NOT(ISNUMBER($B39)),"Enter a valid date",IF($C39="","Pick ingredient",IF($G39="?","Not in Inventory",IF($G39="","Set stock unit in Inventory",IF(N($D39)&lt;=0,"Enter quantity",IF($E39="","Pick unit",IF(IFERROR(INDEX('Lists'!$C$6:$C$30,MATCH($E39,'Lists'!$B$6:$B$30,0)),"?")&lt;&gt;IFERROR(INDEX('Lists'!$C$6:$C$30,MATCH($G39,'Lists'!$B$6:$B$30,0)),"?"),"Unit mismatch",IF(ISNUMBER(INDEX('Inventory'!$G$7:$G$106,MATCH($C39,'Inventory'!$B$7:$B$106,0))),"OK","Add price in Inventory")))))))))</f>
        <v/>
      </c>
      <c r="I39" s="88">
        <f>IF($H39&lt;&gt;"OK","",$D39*INDEX('Lists'!$D$6:$D$30,MATCH($E39,'Lists'!$B$6:$B$30,0))/INDEX('Lists'!$D$6:$D$30,MATCH($G39,'Lists'!$B$6:$B$30,0)))</f>
        <v/>
      </c>
      <c r="J39" s="71">
        <f>IF($H39&lt;&gt;"OK","",$I39*INDEX('Inventory'!$G$7:$G$106,MATCH($C39,'Inventory'!$B$7:$B$106,0)))</f>
        <v/>
      </c>
    </row>
    <row r="40" ht="17" customHeight="1">
      <c r="B40" s="66" t="n"/>
      <c r="C40" s="60" t="n"/>
      <c r="D40" s="86" t="n"/>
      <c r="E40" s="60" t="n"/>
      <c r="F40" s="60" t="n"/>
      <c r="G40" s="13">
        <f>IF($C40="","",IFERROR(INDEX('Inventory'!$D$7:$D$106,MATCH($C40,'Inventory'!$B$7:$B$106,0))&amp;"","?"))</f>
        <v/>
      </c>
      <c r="H40" s="80">
        <f>IF(AND($B40="",$C40="",$D40=""),"",IF(NOT(ISNUMBER($B40)),"Enter a valid date",IF($C40="","Pick ingredient",IF($G40="?","Not in Inventory",IF($G40="","Set stock unit in Inventory",IF(N($D40)&lt;=0,"Enter quantity",IF($E40="","Pick unit",IF(IFERROR(INDEX('Lists'!$C$6:$C$30,MATCH($E40,'Lists'!$B$6:$B$30,0)),"?")&lt;&gt;IFERROR(INDEX('Lists'!$C$6:$C$30,MATCH($G40,'Lists'!$B$6:$B$30,0)),"?"),"Unit mismatch",IF(ISNUMBER(INDEX('Inventory'!$G$7:$G$106,MATCH($C40,'Inventory'!$B$7:$B$106,0))),"OK","Add price in Inventory")))))))))</f>
        <v/>
      </c>
      <c r="I40" s="88">
        <f>IF($H40&lt;&gt;"OK","",$D40*INDEX('Lists'!$D$6:$D$30,MATCH($E40,'Lists'!$B$6:$B$30,0))/INDEX('Lists'!$D$6:$D$30,MATCH($G40,'Lists'!$B$6:$B$30,0)))</f>
        <v/>
      </c>
      <c r="J40" s="71">
        <f>IF($H40&lt;&gt;"OK","",$I40*INDEX('Inventory'!$G$7:$G$106,MATCH($C40,'Inventory'!$B$7:$B$106,0)))</f>
        <v/>
      </c>
    </row>
    <row r="41" ht="17" customHeight="1">
      <c r="B41" s="66" t="n"/>
      <c r="C41" s="60" t="n"/>
      <c r="D41" s="86" t="n"/>
      <c r="E41" s="60" t="n"/>
      <c r="F41" s="60" t="n"/>
      <c r="G41" s="13">
        <f>IF($C41="","",IFERROR(INDEX('Inventory'!$D$7:$D$106,MATCH($C41,'Inventory'!$B$7:$B$106,0))&amp;"","?"))</f>
        <v/>
      </c>
      <c r="H41" s="80">
        <f>IF(AND($B41="",$C41="",$D41=""),"",IF(NOT(ISNUMBER($B41)),"Enter a valid date",IF($C41="","Pick ingredient",IF($G41="?","Not in Inventory",IF($G41="","Set stock unit in Inventory",IF(N($D41)&lt;=0,"Enter quantity",IF($E41="","Pick unit",IF(IFERROR(INDEX('Lists'!$C$6:$C$30,MATCH($E41,'Lists'!$B$6:$B$30,0)),"?")&lt;&gt;IFERROR(INDEX('Lists'!$C$6:$C$30,MATCH($G41,'Lists'!$B$6:$B$30,0)),"?"),"Unit mismatch",IF(ISNUMBER(INDEX('Inventory'!$G$7:$G$106,MATCH($C41,'Inventory'!$B$7:$B$106,0))),"OK","Add price in Inventory")))))))))</f>
        <v/>
      </c>
      <c r="I41" s="88">
        <f>IF($H41&lt;&gt;"OK","",$D41*INDEX('Lists'!$D$6:$D$30,MATCH($E41,'Lists'!$B$6:$B$30,0))/INDEX('Lists'!$D$6:$D$30,MATCH($G41,'Lists'!$B$6:$B$30,0)))</f>
        <v/>
      </c>
      <c r="J41" s="71">
        <f>IF($H41&lt;&gt;"OK","",$I41*INDEX('Inventory'!$G$7:$G$106,MATCH($C41,'Inventory'!$B$7:$B$106,0)))</f>
        <v/>
      </c>
    </row>
    <row r="42" ht="17" customHeight="1">
      <c r="B42" s="66" t="n"/>
      <c r="C42" s="60" t="n"/>
      <c r="D42" s="86" t="n"/>
      <c r="E42" s="60" t="n"/>
      <c r="F42" s="60" t="n"/>
      <c r="G42" s="13">
        <f>IF($C42="","",IFERROR(INDEX('Inventory'!$D$7:$D$106,MATCH($C42,'Inventory'!$B$7:$B$106,0))&amp;"","?"))</f>
        <v/>
      </c>
      <c r="H42" s="80">
        <f>IF(AND($B42="",$C42="",$D42=""),"",IF(NOT(ISNUMBER($B42)),"Enter a valid date",IF($C42="","Pick ingredient",IF($G42="?","Not in Inventory",IF($G42="","Set stock unit in Inventory",IF(N($D42)&lt;=0,"Enter quantity",IF($E42="","Pick unit",IF(IFERROR(INDEX('Lists'!$C$6:$C$30,MATCH($E42,'Lists'!$B$6:$B$30,0)),"?")&lt;&gt;IFERROR(INDEX('Lists'!$C$6:$C$30,MATCH($G42,'Lists'!$B$6:$B$30,0)),"?"),"Unit mismatch",IF(ISNUMBER(INDEX('Inventory'!$G$7:$G$106,MATCH($C42,'Inventory'!$B$7:$B$106,0))),"OK","Add price in Inventory")))))))))</f>
        <v/>
      </c>
      <c r="I42" s="88">
        <f>IF($H42&lt;&gt;"OK","",$D42*INDEX('Lists'!$D$6:$D$30,MATCH($E42,'Lists'!$B$6:$B$30,0))/INDEX('Lists'!$D$6:$D$30,MATCH($G42,'Lists'!$B$6:$B$30,0)))</f>
        <v/>
      </c>
      <c r="J42" s="71">
        <f>IF($H42&lt;&gt;"OK","",$I42*INDEX('Inventory'!$G$7:$G$106,MATCH($C42,'Inventory'!$B$7:$B$106,0)))</f>
        <v/>
      </c>
    </row>
    <row r="43" ht="17" customHeight="1">
      <c r="B43" s="66" t="n"/>
      <c r="C43" s="60" t="n"/>
      <c r="D43" s="86" t="n"/>
      <c r="E43" s="60" t="n"/>
      <c r="F43" s="60" t="n"/>
      <c r="G43" s="13">
        <f>IF($C43="","",IFERROR(INDEX('Inventory'!$D$7:$D$106,MATCH($C43,'Inventory'!$B$7:$B$106,0))&amp;"","?"))</f>
        <v/>
      </c>
      <c r="H43" s="80">
        <f>IF(AND($B43="",$C43="",$D43=""),"",IF(NOT(ISNUMBER($B43)),"Enter a valid date",IF($C43="","Pick ingredient",IF($G43="?","Not in Inventory",IF($G43="","Set stock unit in Inventory",IF(N($D43)&lt;=0,"Enter quantity",IF($E43="","Pick unit",IF(IFERROR(INDEX('Lists'!$C$6:$C$30,MATCH($E43,'Lists'!$B$6:$B$30,0)),"?")&lt;&gt;IFERROR(INDEX('Lists'!$C$6:$C$30,MATCH($G43,'Lists'!$B$6:$B$30,0)),"?"),"Unit mismatch",IF(ISNUMBER(INDEX('Inventory'!$G$7:$G$106,MATCH($C43,'Inventory'!$B$7:$B$106,0))),"OK","Add price in Inventory")))))))))</f>
        <v/>
      </c>
      <c r="I43" s="88">
        <f>IF($H43&lt;&gt;"OK","",$D43*INDEX('Lists'!$D$6:$D$30,MATCH($E43,'Lists'!$B$6:$B$30,0))/INDEX('Lists'!$D$6:$D$30,MATCH($G43,'Lists'!$B$6:$B$30,0)))</f>
        <v/>
      </c>
      <c r="J43" s="71">
        <f>IF($H43&lt;&gt;"OK","",$I43*INDEX('Inventory'!$G$7:$G$106,MATCH($C43,'Inventory'!$B$7:$B$106,0)))</f>
        <v/>
      </c>
    </row>
    <row r="44" ht="17" customHeight="1">
      <c r="B44" s="66" t="n"/>
      <c r="C44" s="60" t="n"/>
      <c r="D44" s="86" t="n"/>
      <c r="E44" s="60" t="n"/>
      <c r="F44" s="60" t="n"/>
      <c r="G44" s="13">
        <f>IF($C44="","",IFERROR(INDEX('Inventory'!$D$7:$D$106,MATCH($C44,'Inventory'!$B$7:$B$106,0))&amp;"","?"))</f>
        <v/>
      </c>
      <c r="H44" s="80">
        <f>IF(AND($B44="",$C44="",$D44=""),"",IF(NOT(ISNUMBER($B44)),"Enter a valid date",IF($C44="","Pick ingredient",IF($G44="?","Not in Inventory",IF($G44="","Set stock unit in Inventory",IF(N($D44)&lt;=0,"Enter quantity",IF($E44="","Pick unit",IF(IFERROR(INDEX('Lists'!$C$6:$C$30,MATCH($E44,'Lists'!$B$6:$B$30,0)),"?")&lt;&gt;IFERROR(INDEX('Lists'!$C$6:$C$30,MATCH($G44,'Lists'!$B$6:$B$30,0)),"?"),"Unit mismatch",IF(ISNUMBER(INDEX('Inventory'!$G$7:$G$106,MATCH($C44,'Inventory'!$B$7:$B$106,0))),"OK","Add price in Inventory")))))))))</f>
        <v/>
      </c>
      <c r="I44" s="88">
        <f>IF($H44&lt;&gt;"OK","",$D44*INDEX('Lists'!$D$6:$D$30,MATCH($E44,'Lists'!$B$6:$B$30,0))/INDEX('Lists'!$D$6:$D$30,MATCH($G44,'Lists'!$B$6:$B$30,0)))</f>
        <v/>
      </c>
      <c r="J44" s="71">
        <f>IF($H44&lt;&gt;"OK","",$I44*INDEX('Inventory'!$G$7:$G$106,MATCH($C44,'Inventory'!$B$7:$B$106,0)))</f>
        <v/>
      </c>
    </row>
    <row r="45" ht="17" customHeight="1">
      <c r="B45" s="66" t="n"/>
      <c r="C45" s="60" t="n"/>
      <c r="D45" s="86" t="n"/>
      <c r="E45" s="60" t="n"/>
      <c r="F45" s="60" t="n"/>
      <c r="G45" s="13">
        <f>IF($C45="","",IFERROR(INDEX('Inventory'!$D$7:$D$106,MATCH($C45,'Inventory'!$B$7:$B$106,0))&amp;"","?"))</f>
        <v/>
      </c>
      <c r="H45" s="80">
        <f>IF(AND($B45="",$C45="",$D45=""),"",IF(NOT(ISNUMBER($B45)),"Enter a valid date",IF($C45="","Pick ingredient",IF($G45="?","Not in Inventory",IF($G45="","Set stock unit in Inventory",IF(N($D45)&lt;=0,"Enter quantity",IF($E45="","Pick unit",IF(IFERROR(INDEX('Lists'!$C$6:$C$30,MATCH($E45,'Lists'!$B$6:$B$30,0)),"?")&lt;&gt;IFERROR(INDEX('Lists'!$C$6:$C$30,MATCH($G45,'Lists'!$B$6:$B$30,0)),"?"),"Unit mismatch",IF(ISNUMBER(INDEX('Inventory'!$G$7:$G$106,MATCH($C45,'Inventory'!$B$7:$B$106,0))),"OK","Add price in Inventory")))))))))</f>
        <v/>
      </c>
      <c r="I45" s="88">
        <f>IF($H45&lt;&gt;"OK","",$D45*INDEX('Lists'!$D$6:$D$30,MATCH($E45,'Lists'!$B$6:$B$30,0))/INDEX('Lists'!$D$6:$D$30,MATCH($G45,'Lists'!$B$6:$B$30,0)))</f>
        <v/>
      </c>
      <c r="J45" s="71">
        <f>IF($H45&lt;&gt;"OK","",$I45*INDEX('Inventory'!$G$7:$G$106,MATCH($C45,'Inventory'!$B$7:$B$106,0)))</f>
        <v/>
      </c>
    </row>
    <row r="46" ht="17" customHeight="1">
      <c r="B46" s="66" t="n"/>
      <c r="C46" s="60" t="n"/>
      <c r="D46" s="86" t="n"/>
      <c r="E46" s="60" t="n"/>
      <c r="F46" s="60" t="n"/>
      <c r="G46" s="13">
        <f>IF($C46="","",IFERROR(INDEX('Inventory'!$D$7:$D$106,MATCH($C46,'Inventory'!$B$7:$B$106,0))&amp;"","?"))</f>
        <v/>
      </c>
      <c r="H46" s="80">
        <f>IF(AND($B46="",$C46="",$D46=""),"",IF(NOT(ISNUMBER($B46)),"Enter a valid date",IF($C46="","Pick ingredient",IF($G46="?","Not in Inventory",IF($G46="","Set stock unit in Inventory",IF(N($D46)&lt;=0,"Enter quantity",IF($E46="","Pick unit",IF(IFERROR(INDEX('Lists'!$C$6:$C$30,MATCH($E46,'Lists'!$B$6:$B$30,0)),"?")&lt;&gt;IFERROR(INDEX('Lists'!$C$6:$C$30,MATCH($G46,'Lists'!$B$6:$B$30,0)),"?"),"Unit mismatch",IF(ISNUMBER(INDEX('Inventory'!$G$7:$G$106,MATCH($C46,'Inventory'!$B$7:$B$106,0))),"OK","Add price in Inventory")))))))))</f>
        <v/>
      </c>
      <c r="I46" s="88">
        <f>IF($H46&lt;&gt;"OK","",$D46*INDEX('Lists'!$D$6:$D$30,MATCH($E46,'Lists'!$B$6:$B$30,0))/INDEX('Lists'!$D$6:$D$30,MATCH($G46,'Lists'!$B$6:$B$30,0)))</f>
        <v/>
      </c>
      <c r="J46" s="71">
        <f>IF($H46&lt;&gt;"OK","",$I46*INDEX('Inventory'!$G$7:$G$106,MATCH($C46,'Inventory'!$B$7:$B$106,0)))</f>
        <v/>
      </c>
    </row>
    <row r="47" ht="17" customHeight="1">
      <c r="B47" s="66" t="n"/>
      <c r="C47" s="60" t="n"/>
      <c r="D47" s="86" t="n"/>
      <c r="E47" s="60" t="n"/>
      <c r="F47" s="60" t="n"/>
      <c r="G47" s="13">
        <f>IF($C47="","",IFERROR(INDEX('Inventory'!$D$7:$D$106,MATCH($C47,'Inventory'!$B$7:$B$106,0))&amp;"","?"))</f>
        <v/>
      </c>
      <c r="H47" s="80">
        <f>IF(AND($B47="",$C47="",$D47=""),"",IF(NOT(ISNUMBER($B47)),"Enter a valid date",IF($C47="","Pick ingredient",IF($G47="?","Not in Inventory",IF($G47="","Set stock unit in Inventory",IF(N($D47)&lt;=0,"Enter quantity",IF($E47="","Pick unit",IF(IFERROR(INDEX('Lists'!$C$6:$C$30,MATCH($E47,'Lists'!$B$6:$B$30,0)),"?")&lt;&gt;IFERROR(INDEX('Lists'!$C$6:$C$30,MATCH($G47,'Lists'!$B$6:$B$30,0)),"?"),"Unit mismatch",IF(ISNUMBER(INDEX('Inventory'!$G$7:$G$106,MATCH($C47,'Inventory'!$B$7:$B$106,0))),"OK","Add price in Inventory")))))))))</f>
        <v/>
      </c>
      <c r="I47" s="88">
        <f>IF($H47&lt;&gt;"OK","",$D47*INDEX('Lists'!$D$6:$D$30,MATCH($E47,'Lists'!$B$6:$B$30,0))/INDEX('Lists'!$D$6:$D$30,MATCH($G47,'Lists'!$B$6:$B$30,0)))</f>
        <v/>
      </c>
      <c r="J47" s="71">
        <f>IF($H47&lt;&gt;"OK","",$I47*INDEX('Inventory'!$G$7:$G$106,MATCH($C47,'Inventory'!$B$7:$B$106,0)))</f>
        <v/>
      </c>
    </row>
    <row r="48" ht="17" customHeight="1">
      <c r="B48" s="66" t="n"/>
      <c r="C48" s="60" t="n"/>
      <c r="D48" s="86" t="n"/>
      <c r="E48" s="60" t="n"/>
      <c r="F48" s="60" t="n"/>
      <c r="G48" s="13">
        <f>IF($C48="","",IFERROR(INDEX('Inventory'!$D$7:$D$106,MATCH($C48,'Inventory'!$B$7:$B$106,0))&amp;"","?"))</f>
        <v/>
      </c>
      <c r="H48" s="80">
        <f>IF(AND($B48="",$C48="",$D48=""),"",IF(NOT(ISNUMBER($B48)),"Enter a valid date",IF($C48="","Pick ingredient",IF($G48="?","Not in Inventory",IF($G48="","Set stock unit in Inventory",IF(N($D48)&lt;=0,"Enter quantity",IF($E48="","Pick unit",IF(IFERROR(INDEX('Lists'!$C$6:$C$30,MATCH($E48,'Lists'!$B$6:$B$30,0)),"?")&lt;&gt;IFERROR(INDEX('Lists'!$C$6:$C$30,MATCH($G48,'Lists'!$B$6:$B$30,0)),"?"),"Unit mismatch",IF(ISNUMBER(INDEX('Inventory'!$G$7:$G$106,MATCH($C48,'Inventory'!$B$7:$B$106,0))),"OK","Add price in Inventory")))))))))</f>
        <v/>
      </c>
      <c r="I48" s="88">
        <f>IF($H48&lt;&gt;"OK","",$D48*INDEX('Lists'!$D$6:$D$30,MATCH($E48,'Lists'!$B$6:$B$30,0))/INDEX('Lists'!$D$6:$D$30,MATCH($G48,'Lists'!$B$6:$B$30,0)))</f>
        <v/>
      </c>
      <c r="J48" s="71">
        <f>IF($H48&lt;&gt;"OK","",$I48*INDEX('Inventory'!$G$7:$G$106,MATCH($C48,'Inventory'!$B$7:$B$106,0)))</f>
        <v/>
      </c>
    </row>
    <row r="49" ht="17" customHeight="1">
      <c r="B49" s="66" t="n"/>
      <c r="C49" s="60" t="n"/>
      <c r="D49" s="86" t="n"/>
      <c r="E49" s="60" t="n"/>
      <c r="F49" s="60" t="n"/>
      <c r="G49" s="13">
        <f>IF($C49="","",IFERROR(INDEX('Inventory'!$D$7:$D$106,MATCH($C49,'Inventory'!$B$7:$B$106,0))&amp;"","?"))</f>
        <v/>
      </c>
      <c r="H49" s="80">
        <f>IF(AND($B49="",$C49="",$D49=""),"",IF(NOT(ISNUMBER($B49)),"Enter a valid date",IF($C49="","Pick ingredient",IF($G49="?","Not in Inventory",IF($G49="","Set stock unit in Inventory",IF(N($D49)&lt;=0,"Enter quantity",IF($E49="","Pick unit",IF(IFERROR(INDEX('Lists'!$C$6:$C$30,MATCH($E49,'Lists'!$B$6:$B$30,0)),"?")&lt;&gt;IFERROR(INDEX('Lists'!$C$6:$C$30,MATCH($G49,'Lists'!$B$6:$B$30,0)),"?"),"Unit mismatch",IF(ISNUMBER(INDEX('Inventory'!$G$7:$G$106,MATCH($C49,'Inventory'!$B$7:$B$106,0))),"OK","Add price in Inventory")))))))))</f>
        <v/>
      </c>
      <c r="I49" s="88">
        <f>IF($H49&lt;&gt;"OK","",$D49*INDEX('Lists'!$D$6:$D$30,MATCH($E49,'Lists'!$B$6:$B$30,0))/INDEX('Lists'!$D$6:$D$30,MATCH($G49,'Lists'!$B$6:$B$30,0)))</f>
        <v/>
      </c>
      <c r="J49" s="71">
        <f>IF($H49&lt;&gt;"OK","",$I49*INDEX('Inventory'!$G$7:$G$106,MATCH($C49,'Inventory'!$B$7:$B$106,0)))</f>
        <v/>
      </c>
    </row>
    <row r="50" ht="17" customHeight="1">
      <c r="B50" s="66" t="n"/>
      <c r="C50" s="60" t="n"/>
      <c r="D50" s="86" t="n"/>
      <c r="E50" s="60" t="n"/>
      <c r="F50" s="60" t="n"/>
      <c r="G50" s="13">
        <f>IF($C50="","",IFERROR(INDEX('Inventory'!$D$7:$D$106,MATCH($C50,'Inventory'!$B$7:$B$106,0))&amp;"","?"))</f>
        <v/>
      </c>
      <c r="H50" s="80">
        <f>IF(AND($B50="",$C50="",$D50=""),"",IF(NOT(ISNUMBER($B50)),"Enter a valid date",IF($C50="","Pick ingredient",IF($G50="?","Not in Inventory",IF($G50="","Set stock unit in Inventory",IF(N($D50)&lt;=0,"Enter quantity",IF($E50="","Pick unit",IF(IFERROR(INDEX('Lists'!$C$6:$C$30,MATCH($E50,'Lists'!$B$6:$B$30,0)),"?")&lt;&gt;IFERROR(INDEX('Lists'!$C$6:$C$30,MATCH($G50,'Lists'!$B$6:$B$30,0)),"?"),"Unit mismatch",IF(ISNUMBER(INDEX('Inventory'!$G$7:$G$106,MATCH($C50,'Inventory'!$B$7:$B$106,0))),"OK","Add price in Inventory")))))))))</f>
        <v/>
      </c>
      <c r="I50" s="88">
        <f>IF($H50&lt;&gt;"OK","",$D50*INDEX('Lists'!$D$6:$D$30,MATCH($E50,'Lists'!$B$6:$B$30,0))/INDEX('Lists'!$D$6:$D$30,MATCH($G50,'Lists'!$B$6:$B$30,0)))</f>
        <v/>
      </c>
      <c r="J50" s="71">
        <f>IF($H50&lt;&gt;"OK","",$I50*INDEX('Inventory'!$G$7:$G$106,MATCH($C50,'Inventory'!$B$7:$B$106,0)))</f>
        <v/>
      </c>
    </row>
    <row r="51" ht="17" customHeight="1">
      <c r="B51" s="66" t="n"/>
      <c r="C51" s="60" t="n"/>
      <c r="D51" s="86" t="n"/>
      <c r="E51" s="60" t="n"/>
      <c r="F51" s="60" t="n"/>
      <c r="G51" s="13">
        <f>IF($C51="","",IFERROR(INDEX('Inventory'!$D$7:$D$106,MATCH($C51,'Inventory'!$B$7:$B$106,0))&amp;"","?"))</f>
        <v/>
      </c>
      <c r="H51" s="80">
        <f>IF(AND($B51="",$C51="",$D51=""),"",IF(NOT(ISNUMBER($B51)),"Enter a valid date",IF($C51="","Pick ingredient",IF($G51="?","Not in Inventory",IF($G51="","Set stock unit in Inventory",IF(N($D51)&lt;=0,"Enter quantity",IF($E51="","Pick unit",IF(IFERROR(INDEX('Lists'!$C$6:$C$30,MATCH($E51,'Lists'!$B$6:$B$30,0)),"?")&lt;&gt;IFERROR(INDEX('Lists'!$C$6:$C$30,MATCH($G51,'Lists'!$B$6:$B$30,0)),"?"),"Unit mismatch",IF(ISNUMBER(INDEX('Inventory'!$G$7:$G$106,MATCH($C51,'Inventory'!$B$7:$B$106,0))),"OK","Add price in Inventory")))))))))</f>
        <v/>
      </c>
      <c r="I51" s="88">
        <f>IF($H51&lt;&gt;"OK","",$D51*INDEX('Lists'!$D$6:$D$30,MATCH($E51,'Lists'!$B$6:$B$30,0))/INDEX('Lists'!$D$6:$D$30,MATCH($G51,'Lists'!$B$6:$B$30,0)))</f>
        <v/>
      </c>
      <c r="J51" s="71">
        <f>IF($H51&lt;&gt;"OK","",$I51*INDEX('Inventory'!$G$7:$G$106,MATCH($C51,'Inventory'!$B$7:$B$106,0)))</f>
        <v/>
      </c>
    </row>
    <row r="52" ht="17" customHeight="1">
      <c r="B52" s="66" t="n"/>
      <c r="C52" s="60" t="n"/>
      <c r="D52" s="86" t="n"/>
      <c r="E52" s="60" t="n"/>
      <c r="F52" s="60" t="n"/>
      <c r="G52" s="13">
        <f>IF($C52="","",IFERROR(INDEX('Inventory'!$D$7:$D$106,MATCH($C52,'Inventory'!$B$7:$B$106,0))&amp;"","?"))</f>
        <v/>
      </c>
      <c r="H52" s="80">
        <f>IF(AND($B52="",$C52="",$D52=""),"",IF(NOT(ISNUMBER($B52)),"Enter a valid date",IF($C52="","Pick ingredient",IF($G52="?","Not in Inventory",IF($G52="","Set stock unit in Inventory",IF(N($D52)&lt;=0,"Enter quantity",IF($E52="","Pick unit",IF(IFERROR(INDEX('Lists'!$C$6:$C$30,MATCH($E52,'Lists'!$B$6:$B$30,0)),"?")&lt;&gt;IFERROR(INDEX('Lists'!$C$6:$C$30,MATCH($G52,'Lists'!$B$6:$B$30,0)),"?"),"Unit mismatch",IF(ISNUMBER(INDEX('Inventory'!$G$7:$G$106,MATCH($C52,'Inventory'!$B$7:$B$106,0))),"OK","Add price in Inventory")))))))))</f>
        <v/>
      </c>
      <c r="I52" s="88">
        <f>IF($H52&lt;&gt;"OK","",$D52*INDEX('Lists'!$D$6:$D$30,MATCH($E52,'Lists'!$B$6:$B$30,0))/INDEX('Lists'!$D$6:$D$30,MATCH($G52,'Lists'!$B$6:$B$30,0)))</f>
        <v/>
      </c>
      <c r="J52" s="71">
        <f>IF($H52&lt;&gt;"OK","",$I52*INDEX('Inventory'!$G$7:$G$106,MATCH($C52,'Inventory'!$B$7:$B$106,0)))</f>
        <v/>
      </c>
    </row>
    <row r="53" ht="17" customHeight="1">
      <c r="B53" s="66" t="n"/>
      <c r="C53" s="60" t="n"/>
      <c r="D53" s="86" t="n"/>
      <c r="E53" s="60" t="n"/>
      <c r="F53" s="60" t="n"/>
      <c r="G53" s="13">
        <f>IF($C53="","",IFERROR(INDEX('Inventory'!$D$7:$D$106,MATCH($C53,'Inventory'!$B$7:$B$106,0))&amp;"","?"))</f>
        <v/>
      </c>
      <c r="H53" s="80">
        <f>IF(AND($B53="",$C53="",$D53=""),"",IF(NOT(ISNUMBER($B53)),"Enter a valid date",IF($C53="","Pick ingredient",IF($G53="?","Not in Inventory",IF($G53="","Set stock unit in Inventory",IF(N($D53)&lt;=0,"Enter quantity",IF($E53="","Pick unit",IF(IFERROR(INDEX('Lists'!$C$6:$C$30,MATCH($E53,'Lists'!$B$6:$B$30,0)),"?")&lt;&gt;IFERROR(INDEX('Lists'!$C$6:$C$30,MATCH($G53,'Lists'!$B$6:$B$30,0)),"?"),"Unit mismatch",IF(ISNUMBER(INDEX('Inventory'!$G$7:$G$106,MATCH($C53,'Inventory'!$B$7:$B$106,0))),"OK","Add price in Inventory")))))))))</f>
        <v/>
      </c>
      <c r="I53" s="88">
        <f>IF($H53&lt;&gt;"OK","",$D53*INDEX('Lists'!$D$6:$D$30,MATCH($E53,'Lists'!$B$6:$B$30,0))/INDEX('Lists'!$D$6:$D$30,MATCH($G53,'Lists'!$B$6:$B$30,0)))</f>
        <v/>
      </c>
      <c r="J53" s="71">
        <f>IF($H53&lt;&gt;"OK","",$I53*INDEX('Inventory'!$G$7:$G$106,MATCH($C53,'Inventory'!$B$7:$B$106,0)))</f>
        <v/>
      </c>
    </row>
    <row r="54" ht="17" customHeight="1">
      <c r="B54" s="66" t="n"/>
      <c r="C54" s="60" t="n"/>
      <c r="D54" s="86" t="n"/>
      <c r="E54" s="60" t="n"/>
      <c r="F54" s="60" t="n"/>
      <c r="G54" s="13">
        <f>IF($C54="","",IFERROR(INDEX('Inventory'!$D$7:$D$106,MATCH($C54,'Inventory'!$B$7:$B$106,0))&amp;"","?"))</f>
        <v/>
      </c>
      <c r="H54" s="80">
        <f>IF(AND($B54="",$C54="",$D54=""),"",IF(NOT(ISNUMBER($B54)),"Enter a valid date",IF($C54="","Pick ingredient",IF($G54="?","Not in Inventory",IF($G54="","Set stock unit in Inventory",IF(N($D54)&lt;=0,"Enter quantity",IF($E54="","Pick unit",IF(IFERROR(INDEX('Lists'!$C$6:$C$30,MATCH($E54,'Lists'!$B$6:$B$30,0)),"?")&lt;&gt;IFERROR(INDEX('Lists'!$C$6:$C$30,MATCH($G54,'Lists'!$B$6:$B$30,0)),"?"),"Unit mismatch",IF(ISNUMBER(INDEX('Inventory'!$G$7:$G$106,MATCH($C54,'Inventory'!$B$7:$B$106,0))),"OK","Add price in Inventory")))))))))</f>
        <v/>
      </c>
      <c r="I54" s="88">
        <f>IF($H54&lt;&gt;"OK","",$D54*INDEX('Lists'!$D$6:$D$30,MATCH($E54,'Lists'!$B$6:$B$30,0))/INDEX('Lists'!$D$6:$D$30,MATCH($G54,'Lists'!$B$6:$B$30,0)))</f>
        <v/>
      </c>
      <c r="J54" s="71">
        <f>IF($H54&lt;&gt;"OK","",$I54*INDEX('Inventory'!$G$7:$G$106,MATCH($C54,'Inventory'!$B$7:$B$106,0)))</f>
        <v/>
      </c>
    </row>
    <row r="55" ht="17" customHeight="1">
      <c r="B55" s="66" t="n"/>
      <c r="C55" s="60" t="n"/>
      <c r="D55" s="86" t="n"/>
      <c r="E55" s="60" t="n"/>
      <c r="F55" s="60" t="n"/>
      <c r="G55" s="13">
        <f>IF($C55="","",IFERROR(INDEX('Inventory'!$D$7:$D$106,MATCH($C55,'Inventory'!$B$7:$B$106,0))&amp;"","?"))</f>
        <v/>
      </c>
      <c r="H55" s="80">
        <f>IF(AND($B55="",$C55="",$D55=""),"",IF(NOT(ISNUMBER($B55)),"Enter a valid date",IF($C55="","Pick ingredient",IF($G55="?","Not in Inventory",IF($G55="","Set stock unit in Inventory",IF(N($D55)&lt;=0,"Enter quantity",IF($E55="","Pick unit",IF(IFERROR(INDEX('Lists'!$C$6:$C$30,MATCH($E55,'Lists'!$B$6:$B$30,0)),"?")&lt;&gt;IFERROR(INDEX('Lists'!$C$6:$C$30,MATCH($G55,'Lists'!$B$6:$B$30,0)),"?"),"Unit mismatch",IF(ISNUMBER(INDEX('Inventory'!$G$7:$G$106,MATCH($C55,'Inventory'!$B$7:$B$106,0))),"OK","Add price in Inventory")))))))))</f>
        <v/>
      </c>
      <c r="I55" s="88">
        <f>IF($H55&lt;&gt;"OK","",$D55*INDEX('Lists'!$D$6:$D$30,MATCH($E55,'Lists'!$B$6:$B$30,0))/INDEX('Lists'!$D$6:$D$30,MATCH($G55,'Lists'!$B$6:$B$30,0)))</f>
        <v/>
      </c>
      <c r="J55" s="71">
        <f>IF($H55&lt;&gt;"OK","",$I55*INDEX('Inventory'!$G$7:$G$106,MATCH($C55,'Inventory'!$B$7:$B$106,0)))</f>
        <v/>
      </c>
    </row>
    <row r="56" ht="17" customHeight="1">
      <c r="B56" s="66" t="n"/>
      <c r="C56" s="60" t="n"/>
      <c r="D56" s="86" t="n"/>
      <c r="E56" s="60" t="n"/>
      <c r="F56" s="60" t="n"/>
      <c r="G56" s="13">
        <f>IF($C56="","",IFERROR(INDEX('Inventory'!$D$7:$D$106,MATCH($C56,'Inventory'!$B$7:$B$106,0))&amp;"","?"))</f>
        <v/>
      </c>
      <c r="H56" s="80">
        <f>IF(AND($B56="",$C56="",$D56=""),"",IF(NOT(ISNUMBER($B56)),"Enter a valid date",IF($C56="","Pick ingredient",IF($G56="?","Not in Inventory",IF($G56="","Set stock unit in Inventory",IF(N($D56)&lt;=0,"Enter quantity",IF($E56="","Pick unit",IF(IFERROR(INDEX('Lists'!$C$6:$C$30,MATCH($E56,'Lists'!$B$6:$B$30,0)),"?")&lt;&gt;IFERROR(INDEX('Lists'!$C$6:$C$30,MATCH($G56,'Lists'!$B$6:$B$30,0)),"?"),"Unit mismatch",IF(ISNUMBER(INDEX('Inventory'!$G$7:$G$106,MATCH($C56,'Inventory'!$B$7:$B$106,0))),"OK","Add price in Inventory")))))))))</f>
        <v/>
      </c>
      <c r="I56" s="88">
        <f>IF($H56&lt;&gt;"OK","",$D56*INDEX('Lists'!$D$6:$D$30,MATCH($E56,'Lists'!$B$6:$B$30,0))/INDEX('Lists'!$D$6:$D$30,MATCH($G56,'Lists'!$B$6:$B$30,0)))</f>
        <v/>
      </c>
      <c r="J56" s="71">
        <f>IF($H56&lt;&gt;"OK","",$I56*INDEX('Inventory'!$G$7:$G$106,MATCH($C56,'Inventory'!$B$7:$B$106,0)))</f>
        <v/>
      </c>
    </row>
    <row r="57" ht="17" customHeight="1">
      <c r="B57" s="66" t="n"/>
      <c r="C57" s="60" t="n"/>
      <c r="D57" s="86" t="n"/>
      <c r="E57" s="60" t="n"/>
      <c r="F57" s="60" t="n"/>
      <c r="G57" s="13">
        <f>IF($C57="","",IFERROR(INDEX('Inventory'!$D$7:$D$106,MATCH($C57,'Inventory'!$B$7:$B$106,0))&amp;"","?"))</f>
        <v/>
      </c>
      <c r="H57" s="80">
        <f>IF(AND($B57="",$C57="",$D57=""),"",IF(NOT(ISNUMBER($B57)),"Enter a valid date",IF($C57="","Pick ingredient",IF($G57="?","Not in Inventory",IF($G57="","Set stock unit in Inventory",IF(N($D57)&lt;=0,"Enter quantity",IF($E57="","Pick unit",IF(IFERROR(INDEX('Lists'!$C$6:$C$30,MATCH($E57,'Lists'!$B$6:$B$30,0)),"?")&lt;&gt;IFERROR(INDEX('Lists'!$C$6:$C$30,MATCH($G57,'Lists'!$B$6:$B$30,0)),"?"),"Unit mismatch",IF(ISNUMBER(INDEX('Inventory'!$G$7:$G$106,MATCH($C57,'Inventory'!$B$7:$B$106,0))),"OK","Add price in Inventory")))))))))</f>
        <v/>
      </c>
      <c r="I57" s="88">
        <f>IF($H57&lt;&gt;"OK","",$D57*INDEX('Lists'!$D$6:$D$30,MATCH($E57,'Lists'!$B$6:$B$30,0))/INDEX('Lists'!$D$6:$D$30,MATCH($G57,'Lists'!$B$6:$B$30,0)))</f>
        <v/>
      </c>
      <c r="J57" s="71">
        <f>IF($H57&lt;&gt;"OK","",$I57*INDEX('Inventory'!$G$7:$G$106,MATCH($C57,'Inventory'!$B$7:$B$106,0)))</f>
        <v/>
      </c>
    </row>
    <row r="58" ht="17" customHeight="1">
      <c r="B58" s="66" t="n"/>
      <c r="C58" s="60" t="n"/>
      <c r="D58" s="86" t="n"/>
      <c r="E58" s="60" t="n"/>
      <c r="F58" s="60" t="n"/>
      <c r="G58" s="13">
        <f>IF($C58="","",IFERROR(INDEX('Inventory'!$D$7:$D$106,MATCH($C58,'Inventory'!$B$7:$B$106,0))&amp;"","?"))</f>
        <v/>
      </c>
      <c r="H58" s="80">
        <f>IF(AND($B58="",$C58="",$D58=""),"",IF(NOT(ISNUMBER($B58)),"Enter a valid date",IF($C58="","Pick ingredient",IF($G58="?","Not in Inventory",IF($G58="","Set stock unit in Inventory",IF(N($D58)&lt;=0,"Enter quantity",IF($E58="","Pick unit",IF(IFERROR(INDEX('Lists'!$C$6:$C$30,MATCH($E58,'Lists'!$B$6:$B$30,0)),"?")&lt;&gt;IFERROR(INDEX('Lists'!$C$6:$C$30,MATCH($G58,'Lists'!$B$6:$B$30,0)),"?"),"Unit mismatch",IF(ISNUMBER(INDEX('Inventory'!$G$7:$G$106,MATCH($C58,'Inventory'!$B$7:$B$106,0))),"OK","Add price in Inventory")))))))))</f>
        <v/>
      </c>
      <c r="I58" s="88">
        <f>IF($H58&lt;&gt;"OK","",$D58*INDEX('Lists'!$D$6:$D$30,MATCH($E58,'Lists'!$B$6:$B$30,0))/INDEX('Lists'!$D$6:$D$30,MATCH($G58,'Lists'!$B$6:$B$30,0)))</f>
        <v/>
      </c>
      <c r="J58" s="71">
        <f>IF($H58&lt;&gt;"OK","",$I58*INDEX('Inventory'!$G$7:$G$106,MATCH($C58,'Inventory'!$B$7:$B$106,0)))</f>
        <v/>
      </c>
    </row>
    <row r="59" ht="17" customHeight="1">
      <c r="B59" s="66" t="n"/>
      <c r="C59" s="60" t="n"/>
      <c r="D59" s="86" t="n"/>
      <c r="E59" s="60" t="n"/>
      <c r="F59" s="60" t="n"/>
      <c r="G59" s="13">
        <f>IF($C59="","",IFERROR(INDEX('Inventory'!$D$7:$D$106,MATCH($C59,'Inventory'!$B$7:$B$106,0))&amp;"","?"))</f>
        <v/>
      </c>
      <c r="H59" s="80">
        <f>IF(AND($B59="",$C59="",$D59=""),"",IF(NOT(ISNUMBER($B59)),"Enter a valid date",IF($C59="","Pick ingredient",IF($G59="?","Not in Inventory",IF($G59="","Set stock unit in Inventory",IF(N($D59)&lt;=0,"Enter quantity",IF($E59="","Pick unit",IF(IFERROR(INDEX('Lists'!$C$6:$C$30,MATCH($E59,'Lists'!$B$6:$B$30,0)),"?")&lt;&gt;IFERROR(INDEX('Lists'!$C$6:$C$30,MATCH($G59,'Lists'!$B$6:$B$30,0)),"?"),"Unit mismatch",IF(ISNUMBER(INDEX('Inventory'!$G$7:$G$106,MATCH($C59,'Inventory'!$B$7:$B$106,0))),"OK","Add price in Inventory")))))))))</f>
        <v/>
      </c>
      <c r="I59" s="88">
        <f>IF($H59&lt;&gt;"OK","",$D59*INDEX('Lists'!$D$6:$D$30,MATCH($E59,'Lists'!$B$6:$B$30,0))/INDEX('Lists'!$D$6:$D$30,MATCH($G59,'Lists'!$B$6:$B$30,0)))</f>
        <v/>
      </c>
      <c r="J59" s="71">
        <f>IF($H59&lt;&gt;"OK","",$I59*INDEX('Inventory'!$G$7:$G$106,MATCH($C59,'Inventory'!$B$7:$B$106,0)))</f>
        <v/>
      </c>
    </row>
    <row r="60" ht="17" customHeight="1">
      <c r="B60" s="66" t="n"/>
      <c r="C60" s="60" t="n"/>
      <c r="D60" s="86" t="n"/>
      <c r="E60" s="60" t="n"/>
      <c r="F60" s="60" t="n"/>
      <c r="G60" s="13">
        <f>IF($C60="","",IFERROR(INDEX('Inventory'!$D$7:$D$106,MATCH($C60,'Inventory'!$B$7:$B$106,0))&amp;"","?"))</f>
        <v/>
      </c>
      <c r="H60" s="80">
        <f>IF(AND($B60="",$C60="",$D60=""),"",IF(NOT(ISNUMBER($B60)),"Enter a valid date",IF($C60="","Pick ingredient",IF($G60="?","Not in Inventory",IF($G60="","Set stock unit in Inventory",IF(N($D60)&lt;=0,"Enter quantity",IF($E60="","Pick unit",IF(IFERROR(INDEX('Lists'!$C$6:$C$30,MATCH($E60,'Lists'!$B$6:$B$30,0)),"?")&lt;&gt;IFERROR(INDEX('Lists'!$C$6:$C$30,MATCH($G60,'Lists'!$B$6:$B$30,0)),"?"),"Unit mismatch",IF(ISNUMBER(INDEX('Inventory'!$G$7:$G$106,MATCH($C60,'Inventory'!$B$7:$B$106,0))),"OK","Add price in Inventory")))))))))</f>
        <v/>
      </c>
      <c r="I60" s="88">
        <f>IF($H60&lt;&gt;"OK","",$D60*INDEX('Lists'!$D$6:$D$30,MATCH($E60,'Lists'!$B$6:$B$30,0))/INDEX('Lists'!$D$6:$D$30,MATCH($G60,'Lists'!$B$6:$B$30,0)))</f>
        <v/>
      </c>
      <c r="J60" s="71">
        <f>IF($H60&lt;&gt;"OK","",$I60*INDEX('Inventory'!$G$7:$G$106,MATCH($C60,'Inventory'!$B$7:$B$106,0)))</f>
        <v/>
      </c>
    </row>
    <row r="61" ht="17" customHeight="1">
      <c r="B61" s="66" t="n"/>
      <c r="C61" s="60" t="n"/>
      <c r="D61" s="86" t="n"/>
      <c r="E61" s="60" t="n"/>
      <c r="F61" s="60" t="n"/>
      <c r="G61" s="13">
        <f>IF($C61="","",IFERROR(INDEX('Inventory'!$D$7:$D$106,MATCH($C61,'Inventory'!$B$7:$B$106,0))&amp;"","?"))</f>
        <v/>
      </c>
      <c r="H61" s="80">
        <f>IF(AND($B61="",$C61="",$D61=""),"",IF(NOT(ISNUMBER($B61)),"Enter a valid date",IF($C61="","Pick ingredient",IF($G61="?","Not in Inventory",IF($G61="","Set stock unit in Inventory",IF(N($D61)&lt;=0,"Enter quantity",IF($E61="","Pick unit",IF(IFERROR(INDEX('Lists'!$C$6:$C$30,MATCH($E61,'Lists'!$B$6:$B$30,0)),"?")&lt;&gt;IFERROR(INDEX('Lists'!$C$6:$C$30,MATCH($G61,'Lists'!$B$6:$B$30,0)),"?"),"Unit mismatch",IF(ISNUMBER(INDEX('Inventory'!$G$7:$G$106,MATCH($C61,'Inventory'!$B$7:$B$106,0))),"OK","Add price in Inventory")))))))))</f>
        <v/>
      </c>
      <c r="I61" s="88">
        <f>IF($H61&lt;&gt;"OK","",$D61*INDEX('Lists'!$D$6:$D$30,MATCH($E61,'Lists'!$B$6:$B$30,0))/INDEX('Lists'!$D$6:$D$30,MATCH($G61,'Lists'!$B$6:$B$30,0)))</f>
        <v/>
      </c>
      <c r="J61" s="71">
        <f>IF($H61&lt;&gt;"OK","",$I61*INDEX('Inventory'!$G$7:$G$106,MATCH($C61,'Inventory'!$B$7:$B$106,0)))</f>
        <v/>
      </c>
    </row>
    <row r="62" ht="17" customHeight="1">
      <c r="B62" s="66" t="n"/>
      <c r="C62" s="60" t="n"/>
      <c r="D62" s="86" t="n"/>
      <c r="E62" s="60" t="n"/>
      <c r="F62" s="60" t="n"/>
      <c r="G62" s="13">
        <f>IF($C62="","",IFERROR(INDEX('Inventory'!$D$7:$D$106,MATCH($C62,'Inventory'!$B$7:$B$106,0))&amp;"","?"))</f>
        <v/>
      </c>
      <c r="H62" s="80">
        <f>IF(AND($B62="",$C62="",$D62=""),"",IF(NOT(ISNUMBER($B62)),"Enter a valid date",IF($C62="","Pick ingredient",IF($G62="?","Not in Inventory",IF($G62="","Set stock unit in Inventory",IF(N($D62)&lt;=0,"Enter quantity",IF($E62="","Pick unit",IF(IFERROR(INDEX('Lists'!$C$6:$C$30,MATCH($E62,'Lists'!$B$6:$B$30,0)),"?")&lt;&gt;IFERROR(INDEX('Lists'!$C$6:$C$30,MATCH($G62,'Lists'!$B$6:$B$30,0)),"?"),"Unit mismatch",IF(ISNUMBER(INDEX('Inventory'!$G$7:$G$106,MATCH($C62,'Inventory'!$B$7:$B$106,0))),"OK","Add price in Inventory")))))))))</f>
        <v/>
      </c>
      <c r="I62" s="88">
        <f>IF($H62&lt;&gt;"OK","",$D62*INDEX('Lists'!$D$6:$D$30,MATCH($E62,'Lists'!$B$6:$B$30,0))/INDEX('Lists'!$D$6:$D$30,MATCH($G62,'Lists'!$B$6:$B$30,0)))</f>
        <v/>
      </c>
      <c r="J62" s="71">
        <f>IF($H62&lt;&gt;"OK","",$I62*INDEX('Inventory'!$G$7:$G$106,MATCH($C62,'Inventory'!$B$7:$B$106,0)))</f>
        <v/>
      </c>
    </row>
    <row r="63" ht="17" customHeight="1">
      <c r="B63" s="66" t="n"/>
      <c r="C63" s="60" t="n"/>
      <c r="D63" s="86" t="n"/>
      <c r="E63" s="60" t="n"/>
      <c r="F63" s="60" t="n"/>
      <c r="G63" s="13">
        <f>IF($C63="","",IFERROR(INDEX('Inventory'!$D$7:$D$106,MATCH($C63,'Inventory'!$B$7:$B$106,0))&amp;"","?"))</f>
        <v/>
      </c>
      <c r="H63" s="80">
        <f>IF(AND($B63="",$C63="",$D63=""),"",IF(NOT(ISNUMBER($B63)),"Enter a valid date",IF($C63="","Pick ingredient",IF($G63="?","Not in Inventory",IF($G63="","Set stock unit in Inventory",IF(N($D63)&lt;=0,"Enter quantity",IF($E63="","Pick unit",IF(IFERROR(INDEX('Lists'!$C$6:$C$30,MATCH($E63,'Lists'!$B$6:$B$30,0)),"?")&lt;&gt;IFERROR(INDEX('Lists'!$C$6:$C$30,MATCH($G63,'Lists'!$B$6:$B$30,0)),"?"),"Unit mismatch",IF(ISNUMBER(INDEX('Inventory'!$G$7:$G$106,MATCH($C63,'Inventory'!$B$7:$B$106,0))),"OK","Add price in Inventory")))))))))</f>
        <v/>
      </c>
      <c r="I63" s="88">
        <f>IF($H63&lt;&gt;"OK","",$D63*INDEX('Lists'!$D$6:$D$30,MATCH($E63,'Lists'!$B$6:$B$30,0))/INDEX('Lists'!$D$6:$D$30,MATCH($G63,'Lists'!$B$6:$B$30,0)))</f>
        <v/>
      </c>
      <c r="J63" s="71">
        <f>IF($H63&lt;&gt;"OK","",$I63*INDEX('Inventory'!$G$7:$G$106,MATCH($C63,'Inventory'!$B$7:$B$106,0)))</f>
        <v/>
      </c>
    </row>
    <row r="64" ht="17" customHeight="1">
      <c r="B64" s="66" t="n"/>
      <c r="C64" s="60" t="n"/>
      <c r="D64" s="86" t="n"/>
      <c r="E64" s="60" t="n"/>
      <c r="F64" s="60" t="n"/>
      <c r="G64" s="13">
        <f>IF($C64="","",IFERROR(INDEX('Inventory'!$D$7:$D$106,MATCH($C64,'Inventory'!$B$7:$B$106,0))&amp;"","?"))</f>
        <v/>
      </c>
      <c r="H64" s="80">
        <f>IF(AND($B64="",$C64="",$D64=""),"",IF(NOT(ISNUMBER($B64)),"Enter a valid date",IF($C64="","Pick ingredient",IF($G64="?","Not in Inventory",IF($G64="","Set stock unit in Inventory",IF(N($D64)&lt;=0,"Enter quantity",IF($E64="","Pick unit",IF(IFERROR(INDEX('Lists'!$C$6:$C$30,MATCH($E64,'Lists'!$B$6:$B$30,0)),"?")&lt;&gt;IFERROR(INDEX('Lists'!$C$6:$C$30,MATCH($G64,'Lists'!$B$6:$B$30,0)),"?"),"Unit mismatch",IF(ISNUMBER(INDEX('Inventory'!$G$7:$G$106,MATCH($C64,'Inventory'!$B$7:$B$106,0))),"OK","Add price in Inventory")))))))))</f>
        <v/>
      </c>
      <c r="I64" s="88">
        <f>IF($H64&lt;&gt;"OK","",$D64*INDEX('Lists'!$D$6:$D$30,MATCH($E64,'Lists'!$B$6:$B$30,0))/INDEX('Lists'!$D$6:$D$30,MATCH($G64,'Lists'!$B$6:$B$30,0)))</f>
        <v/>
      </c>
      <c r="J64" s="71">
        <f>IF($H64&lt;&gt;"OK","",$I64*INDEX('Inventory'!$G$7:$G$106,MATCH($C64,'Inventory'!$B$7:$B$106,0)))</f>
        <v/>
      </c>
    </row>
    <row r="65" ht="17" customHeight="1">
      <c r="B65" s="66" t="n"/>
      <c r="C65" s="60" t="n"/>
      <c r="D65" s="86" t="n"/>
      <c r="E65" s="60" t="n"/>
      <c r="F65" s="60" t="n"/>
      <c r="G65" s="13">
        <f>IF($C65="","",IFERROR(INDEX('Inventory'!$D$7:$D$106,MATCH($C65,'Inventory'!$B$7:$B$106,0))&amp;"","?"))</f>
        <v/>
      </c>
      <c r="H65" s="80">
        <f>IF(AND($B65="",$C65="",$D65=""),"",IF(NOT(ISNUMBER($B65)),"Enter a valid date",IF($C65="","Pick ingredient",IF($G65="?","Not in Inventory",IF($G65="","Set stock unit in Inventory",IF(N($D65)&lt;=0,"Enter quantity",IF($E65="","Pick unit",IF(IFERROR(INDEX('Lists'!$C$6:$C$30,MATCH($E65,'Lists'!$B$6:$B$30,0)),"?")&lt;&gt;IFERROR(INDEX('Lists'!$C$6:$C$30,MATCH($G65,'Lists'!$B$6:$B$30,0)),"?"),"Unit mismatch",IF(ISNUMBER(INDEX('Inventory'!$G$7:$G$106,MATCH($C65,'Inventory'!$B$7:$B$106,0))),"OK","Add price in Inventory")))))))))</f>
        <v/>
      </c>
      <c r="I65" s="88">
        <f>IF($H65&lt;&gt;"OK","",$D65*INDEX('Lists'!$D$6:$D$30,MATCH($E65,'Lists'!$B$6:$B$30,0))/INDEX('Lists'!$D$6:$D$30,MATCH($G65,'Lists'!$B$6:$B$30,0)))</f>
        <v/>
      </c>
      <c r="J65" s="71">
        <f>IF($H65&lt;&gt;"OK","",$I65*INDEX('Inventory'!$G$7:$G$106,MATCH($C65,'Inventory'!$B$7:$B$106,0)))</f>
        <v/>
      </c>
    </row>
    <row r="66" ht="17" customHeight="1">
      <c r="B66" s="66" t="n"/>
      <c r="C66" s="60" t="n"/>
      <c r="D66" s="86" t="n"/>
      <c r="E66" s="60" t="n"/>
      <c r="F66" s="60" t="n"/>
      <c r="G66" s="13">
        <f>IF($C66="","",IFERROR(INDEX('Inventory'!$D$7:$D$106,MATCH($C66,'Inventory'!$B$7:$B$106,0))&amp;"","?"))</f>
        <v/>
      </c>
      <c r="H66" s="80">
        <f>IF(AND($B66="",$C66="",$D66=""),"",IF(NOT(ISNUMBER($B66)),"Enter a valid date",IF($C66="","Pick ingredient",IF($G66="?","Not in Inventory",IF($G66="","Set stock unit in Inventory",IF(N($D66)&lt;=0,"Enter quantity",IF($E66="","Pick unit",IF(IFERROR(INDEX('Lists'!$C$6:$C$30,MATCH($E66,'Lists'!$B$6:$B$30,0)),"?")&lt;&gt;IFERROR(INDEX('Lists'!$C$6:$C$30,MATCH($G66,'Lists'!$B$6:$B$30,0)),"?"),"Unit mismatch",IF(ISNUMBER(INDEX('Inventory'!$G$7:$G$106,MATCH($C66,'Inventory'!$B$7:$B$106,0))),"OK","Add price in Inventory")))))))))</f>
        <v/>
      </c>
      <c r="I66" s="88">
        <f>IF($H66&lt;&gt;"OK","",$D66*INDEX('Lists'!$D$6:$D$30,MATCH($E66,'Lists'!$B$6:$B$30,0))/INDEX('Lists'!$D$6:$D$30,MATCH($G66,'Lists'!$B$6:$B$30,0)))</f>
        <v/>
      </c>
      <c r="J66" s="71">
        <f>IF($H66&lt;&gt;"OK","",$I66*INDEX('Inventory'!$G$7:$G$106,MATCH($C66,'Inventory'!$B$7:$B$106,0)))</f>
        <v/>
      </c>
    </row>
    <row r="67" ht="17" customHeight="1">
      <c r="B67" s="66" t="n"/>
      <c r="C67" s="60" t="n"/>
      <c r="D67" s="86" t="n"/>
      <c r="E67" s="60" t="n"/>
      <c r="F67" s="60" t="n"/>
      <c r="G67" s="13">
        <f>IF($C67="","",IFERROR(INDEX('Inventory'!$D$7:$D$106,MATCH($C67,'Inventory'!$B$7:$B$106,0))&amp;"","?"))</f>
        <v/>
      </c>
      <c r="H67" s="80">
        <f>IF(AND($B67="",$C67="",$D67=""),"",IF(NOT(ISNUMBER($B67)),"Enter a valid date",IF($C67="","Pick ingredient",IF($G67="?","Not in Inventory",IF($G67="","Set stock unit in Inventory",IF(N($D67)&lt;=0,"Enter quantity",IF($E67="","Pick unit",IF(IFERROR(INDEX('Lists'!$C$6:$C$30,MATCH($E67,'Lists'!$B$6:$B$30,0)),"?")&lt;&gt;IFERROR(INDEX('Lists'!$C$6:$C$30,MATCH($G67,'Lists'!$B$6:$B$30,0)),"?"),"Unit mismatch",IF(ISNUMBER(INDEX('Inventory'!$G$7:$G$106,MATCH($C67,'Inventory'!$B$7:$B$106,0))),"OK","Add price in Inventory")))))))))</f>
        <v/>
      </c>
      <c r="I67" s="88">
        <f>IF($H67&lt;&gt;"OK","",$D67*INDEX('Lists'!$D$6:$D$30,MATCH($E67,'Lists'!$B$6:$B$30,0))/INDEX('Lists'!$D$6:$D$30,MATCH($G67,'Lists'!$B$6:$B$30,0)))</f>
        <v/>
      </c>
      <c r="J67" s="71">
        <f>IF($H67&lt;&gt;"OK","",$I67*INDEX('Inventory'!$G$7:$G$106,MATCH($C67,'Inventory'!$B$7:$B$106,0)))</f>
        <v/>
      </c>
    </row>
    <row r="68" ht="17" customHeight="1">
      <c r="B68" s="66" t="n"/>
      <c r="C68" s="60" t="n"/>
      <c r="D68" s="86" t="n"/>
      <c r="E68" s="60" t="n"/>
      <c r="F68" s="60" t="n"/>
      <c r="G68" s="13">
        <f>IF($C68="","",IFERROR(INDEX('Inventory'!$D$7:$D$106,MATCH($C68,'Inventory'!$B$7:$B$106,0))&amp;"","?"))</f>
        <v/>
      </c>
      <c r="H68" s="80">
        <f>IF(AND($B68="",$C68="",$D68=""),"",IF(NOT(ISNUMBER($B68)),"Enter a valid date",IF($C68="","Pick ingredient",IF($G68="?","Not in Inventory",IF($G68="","Set stock unit in Inventory",IF(N($D68)&lt;=0,"Enter quantity",IF($E68="","Pick unit",IF(IFERROR(INDEX('Lists'!$C$6:$C$30,MATCH($E68,'Lists'!$B$6:$B$30,0)),"?")&lt;&gt;IFERROR(INDEX('Lists'!$C$6:$C$30,MATCH($G68,'Lists'!$B$6:$B$30,0)),"?"),"Unit mismatch",IF(ISNUMBER(INDEX('Inventory'!$G$7:$G$106,MATCH($C68,'Inventory'!$B$7:$B$106,0))),"OK","Add price in Inventory")))))))))</f>
        <v/>
      </c>
      <c r="I68" s="88">
        <f>IF($H68&lt;&gt;"OK","",$D68*INDEX('Lists'!$D$6:$D$30,MATCH($E68,'Lists'!$B$6:$B$30,0))/INDEX('Lists'!$D$6:$D$30,MATCH($G68,'Lists'!$B$6:$B$30,0)))</f>
        <v/>
      </c>
      <c r="J68" s="71">
        <f>IF($H68&lt;&gt;"OK","",$I68*INDEX('Inventory'!$G$7:$G$106,MATCH($C68,'Inventory'!$B$7:$B$106,0)))</f>
        <v/>
      </c>
    </row>
    <row r="69" ht="17" customHeight="1">
      <c r="B69" s="66" t="n"/>
      <c r="C69" s="60" t="n"/>
      <c r="D69" s="86" t="n"/>
      <c r="E69" s="60" t="n"/>
      <c r="F69" s="60" t="n"/>
      <c r="G69" s="13">
        <f>IF($C69="","",IFERROR(INDEX('Inventory'!$D$7:$D$106,MATCH($C69,'Inventory'!$B$7:$B$106,0))&amp;"","?"))</f>
        <v/>
      </c>
      <c r="H69" s="80">
        <f>IF(AND($B69="",$C69="",$D69=""),"",IF(NOT(ISNUMBER($B69)),"Enter a valid date",IF($C69="","Pick ingredient",IF($G69="?","Not in Inventory",IF($G69="","Set stock unit in Inventory",IF(N($D69)&lt;=0,"Enter quantity",IF($E69="","Pick unit",IF(IFERROR(INDEX('Lists'!$C$6:$C$30,MATCH($E69,'Lists'!$B$6:$B$30,0)),"?")&lt;&gt;IFERROR(INDEX('Lists'!$C$6:$C$30,MATCH($G69,'Lists'!$B$6:$B$30,0)),"?"),"Unit mismatch",IF(ISNUMBER(INDEX('Inventory'!$G$7:$G$106,MATCH($C69,'Inventory'!$B$7:$B$106,0))),"OK","Add price in Inventory")))))))))</f>
        <v/>
      </c>
      <c r="I69" s="88">
        <f>IF($H69&lt;&gt;"OK","",$D69*INDEX('Lists'!$D$6:$D$30,MATCH($E69,'Lists'!$B$6:$B$30,0))/INDEX('Lists'!$D$6:$D$30,MATCH($G69,'Lists'!$B$6:$B$30,0)))</f>
        <v/>
      </c>
      <c r="J69" s="71">
        <f>IF($H69&lt;&gt;"OK","",$I69*INDEX('Inventory'!$G$7:$G$106,MATCH($C69,'Inventory'!$B$7:$B$106,0)))</f>
        <v/>
      </c>
    </row>
    <row r="70" ht="17" customHeight="1">
      <c r="B70" s="66" t="n"/>
      <c r="C70" s="60" t="n"/>
      <c r="D70" s="86" t="n"/>
      <c r="E70" s="60" t="n"/>
      <c r="F70" s="60" t="n"/>
      <c r="G70" s="13">
        <f>IF($C70="","",IFERROR(INDEX('Inventory'!$D$7:$D$106,MATCH($C70,'Inventory'!$B$7:$B$106,0))&amp;"","?"))</f>
        <v/>
      </c>
      <c r="H70" s="80">
        <f>IF(AND($B70="",$C70="",$D70=""),"",IF(NOT(ISNUMBER($B70)),"Enter a valid date",IF($C70="","Pick ingredient",IF($G70="?","Not in Inventory",IF($G70="","Set stock unit in Inventory",IF(N($D70)&lt;=0,"Enter quantity",IF($E70="","Pick unit",IF(IFERROR(INDEX('Lists'!$C$6:$C$30,MATCH($E70,'Lists'!$B$6:$B$30,0)),"?")&lt;&gt;IFERROR(INDEX('Lists'!$C$6:$C$30,MATCH($G70,'Lists'!$B$6:$B$30,0)),"?"),"Unit mismatch",IF(ISNUMBER(INDEX('Inventory'!$G$7:$G$106,MATCH($C70,'Inventory'!$B$7:$B$106,0))),"OK","Add price in Inventory")))))))))</f>
        <v/>
      </c>
      <c r="I70" s="88">
        <f>IF($H70&lt;&gt;"OK","",$D70*INDEX('Lists'!$D$6:$D$30,MATCH($E70,'Lists'!$B$6:$B$30,0))/INDEX('Lists'!$D$6:$D$30,MATCH($G70,'Lists'!$B$6:$B$30,0)))</f>
        <v/>
      </c>
      <c r="J70" s="71">
        <f>IF($H70&lt;&gt;"OK","",$I70*INDEX('Inventory'!$G$7:$G$106,MATCH($C70,'Inventory'!$B$7:$B$106,0)))</f>
        <v/>
      </c>
    </row>
    <row r="71" ht="17" customHeight="1">
      <c r="B71" s="66" t="n"/>
      <c r="C71" s="60" t="n"/>
      <c r="D71" s="86" t="n"/>
      <c r="E71" s="60" t="n"/>
      <c r="F71" s="60" t="n"/>
      <c r="G71" s="13">
        <f>IF($C71="","",IFERROR(INDEX('Inventory'!$D$7:$D$106,MATCH($C71,'Inventory'!$B$7:$B$106,0))&amp;"","?"))</f>
        <v/>
      </c>
      <c r="H71" s="80">
        <f>IF(AND($B71="",$C71="",$D71=""),"",IF(NOT(ISNUMBER($B71)),"Enter a valid date",IF($C71="","Pick ingredient",IF($G71="?","Not in Inventory",IF($G71="","Set stock unit in Inventory",IF(N($D71)&lt;=0,"Enter quantity",IF($E71="","Pick unit",IF(IFERROR(INDEX('Lists'!$C$6:$C$30,MATCH($E71,'Lists'!$B$6:$B$30,0)),"?")&lt;&gt;IFERROR(INDEX('Lists'!$C$6:$C$30,MATCH($G71,'Lists'!$B$6:$B$30,0)),"?"),"Unit mismatch",IF(ISNUMBER(INDEX('Inventory'!$G$7:$G$106,MATCH($C71,'Inventory'!$B$7:$B$106,0))),"OK","Add price in Inventory")))))))))</f>
        <v/>
      </c>
      <c r="I71" s="88">
        <f>IF($H71&lt;&gt;"OK","",$D71*INDEX('Lists'!$D$6:$D$30,MATCH($E71,'Lists'!$B$6:$B$30,0))/INDEX('Lists'!$D$6:$D$30,MATCH($G71,'Lists'!$B$6:$B$30,0)))</f>
        <v/>
      </c>
      <c r="J71" s="71">
        <f>IF($H71&lt;&gt;"OK","",$I71*INDEX('Inventory'!$G$7:$G$106,MATCH($C71,'Inventory'!$B$7:$B$106,0)))</f>
        <v/>
      </c>
    </row>
    <row r="72" ht="17" customHeight="1">
      <c r="B72" s="66" t="n"/>
      <c r="C72" s="60" t="n"/>
      <c r="D72" s="86" t="n"/>
      <c r="E72" s="60" t="n"/>
      <c r="F72" s="60" t="n"/>
      <c r="G72" s="13">
        <f>IF($C72="","",IFERROR(INDEX('Inventory'!$D$7:$D$106,MATCH($C72,'Inventory'!$B$7:$B$106,0))&amp;"","?"))</f>
        <v/>
      </c>
      <c r="H72" s="80">
        <f>IF(AND($B72="",$C72="",$D72=""),"",IF(NOT(ISNUMBER($B72)),"Enter a valid date",IF($C72="","Pick ingredient",IF($G72="?","Not in Inventory",IF($G72="","Set stock unit in Inventory",IF(N($D72)&lt;=0,"Enter quantity",IF($E72="","Pick unit",IF(IFERROR(INDEX('Lists'!$C$6:$C$30,MATCH($E72,'Lists'!$B$6:$B$30,0)),"?")&lt;&gt;IFERROR(INDEX('Lists'!$C$6:$C$30,MATCH($G72,'Lists'!$B$6:$B$30,0)),"?"),"Unit mismatch",IF(ISNUMBER(INDEX('Inventory'!$G$7:$G$106,MATCH($C72,'Inventory'!$B$7:$B$106,0))),"OK","Add price in Inventory")))))))))</f>
        <v/>
      </c>
      <c r="I72" s="88">
        <f>IF($H72&lt;&gt;"OK","",$D72*INDEX('Lists'!$D$6:$D$30,MATCH($E72,'Lists'!$B$6:$B$30,0))/INDEX('Lists'!$D$6:$D$30,MATCH($G72,'Lists'!$B$6:$B$30,0)))</f>
        <v/>
      </c>
      <c r="J72" s="71">
        <f>IF($H72&lt;&gt;"OK","",$I72*INDEX('Inventory'!$G$7:$G$106,MATCH($C72,'Inventory'!$B$7:$B$106,0)))</f>
        <v/>
      </c>
    </row>
    <row r="73" ht="17" customHeight="1">
      <c r="B73" s="66" t="n"/>
      <c r="C73" s="60" t="n"/>
      <c r="D73" s="86" t="n"/>
      <c r="E73" s="60" t="n"/>
      <c r="F73" s="60" t="n"/>
      <c r="G73" s="13">
        <f>IF($C73="","",IFERROR(INDEX('Inventory'!$D$7:$D$106,MATCH($C73,'Inventory'!$B$7:$B$106,0))&amp;"","?"))</f>
        <v/>
      </c>
      <c r="H73" s="80">
        <f>IF(AND($B73="",$C73="",$D73=""),"",IF(NOT(ISNUMBER($B73)),"Enter a valid date",IF($C73="","Pick ingredient",IF($G73="?","Not in Inventory",IF($G73="","Set stock unit in Inventory",IF(N($D73)&lt;=0,"Enter quantity",IF($E73="","Pick unit",IF(IFERROR(INDEX('Lists'!$C$6:$C$30,MATCH($E73,'Lists'!$B$6:$B$30,0)),"?")&lt;&gt;IFERROR(INDEX('Lists'!$C$6:$C$30,MATCH($G73,'Lists'!$B$6:$B$30,0)),"?"),"Unit mismatch",IF(ISNUMBER(INDEX('Inventory'!$G$7:$G$106,MATCH($C73,'Inventory'!$B$7:$B$106,0))),"OK","Add price in Inventory")))))))))</f>
        <v/>
      </c>
      <c r="I73" s="88">
        <f>IF($H73&lt;&gt;"OK","",$D73*INDEX('Lists'!$D$6:$D$30,MATCH($E73,'Lists'!$B$6:$B$30,0))/INDEX('Lists'!$D$6:$D$30,MATCH($G73,'Lists'!$B$6:$B$30,0)))</f>
        <v/>
      </c>
      <c r="J73" s="71">
        <f>IF($H73&lt;&gt;"OK","",$I73*INDEX('Inventory'!$G$7:$G$106,MATCH($C73,'Inventory'!$B$7:$B$106,0)))</f>
        <v/>
      </c>
    </row>
    <row r="74" ht="17" customHeight="1">
      <c r="B74" s="66" t="n"/>
      <c r="C74" s="60" t="n"/>
      <c r="D74" s="86" t="n"/>
      <c r="E74" s="60" t="n"/>
      <c r="F74" s="60" t="n"/>
      <c r="G74" s="13">
        <f>IF($C74="","",IFERROR(INDEX('Inventory'!$D$7:$D$106,MATCH($C74,'Inventory'!$B$7:$B$106,0))&amp;"","?"))</f>
        <v/>
      </c>
      <c r="H74" s="80">
        <f>IF(AND($B74="",$C74="",$D74=""),"",IF(NOT(ISNUMBER($B74)),"Enter a valid date",IF($C74="","Pick ingredient",IF($G74="?","Not in Inventory",IF($G74="","Set stock unit in Inventory",IF(N($D74)&lt;=0,"Enter quantity",IF($E74="","Pick unit",IF(IFERROR(INDEX('Lists'!$C$6:$C$30,MATCH($E74,'Lists'!$B$6:$B$30,0)),"?")&lt;&gt;IFERROR(INDEX('Lists'!$C$6:$C$30,MATCH($G74,'Lists'!$B$6:$B$30,0)),"?"),"Unit mismatch",IF(ISNUMBER(INDEX('Inventory'!$G$7:$G$106,MATCH($C74,'Inventory'!$B$7:$B$106,0))),"OK","Add price in Inventory")))))))))</f>
        <v/>
      </c>
      <c r="I74" s="88">
        <f>IF($H74&lt;&gt;"OK","",$D74*INDEX('Lists'!$D$6:$D$30,MATCH($E74,'Lists'!$B$6:$B$30,0))/INDEX('Lists'!$D$6:$D$30,MATCH($G74,'Lists'!$B$6:$B$30,0)))</f>
        <v/>
      </c>
      <c r="J74" s="71">
        <f>IF($H74&lt;&gt;"OK","",$I74*INDEX('Inventory'!$G$7:$G$106,MATCH($C74,'Inventory'!$B$7:$B$106,0)))</f>
        <v/>
      </c>
    </row>
    <row r="75" ht="17" customHeight="1">
      <c r="B75" s="66" t="n"/>
      <c r="C75" s="60" t="n"/>
      <c r="D75" s="86" t="n"/>
      <c r="E75" s="60" t="n"/>
      <c r="F75" s="60" t="n"/>
      <c r="G75" s="13">
        <f>IF($C75="","",IFERROR(INDEX('Inventory'!$D$7:$D$106,MATCH($C75,'Inventory'!$B$7:$B$106,0))&amp;"","?"))</f>
        <v/>
      </c>
      <c r="H75" s="80">
        <f>IF(AND($B75="",$C75="",$D75=""),"",IF(NOT(ISNUMBER($B75)),"Enter a valid date",IF($C75="","Pick ingredient",IF($G75="?","Not in Inventory",IF($G75="","Set stock unit in Inventory",IF(N($D75)&lt;=0,"Enter quantity",IF($E75="","Pick unit",IF(IFERROR(INDEX('Lists'!$C$6:$C$30,MATCH($E75,'Lists'!$B$6:$B$30,0)),"?")&lt;&gt;IFERROR(INDEX('Lists'!$C$6:$C$30,MATCH($G75,'Lists'!$B$6:$B$30,0)),"?"),"Unit mismatch",IF(ISNUMBER(INDEX('Inventory'!$G$7:$G$106,MATCH($C75,'Inventory'!$B$7:$B$106,0))),"OK","Add price in Inventory")))))))))</f>
        <v/>
      </c>
      <c r="I75" s="88">
        <f>IF($H75&lt;&gt;"OK","",$D75*INDEX('Lists'!$D$6:$D$30,MATCH($E75,'Lists'!$B$6:$B$30,0))/INDEX('Lists'!$D$6:$D$30,MATCH($G75,'Lists'!$B$6:$B$30,0)))</f>
        <v/>
      </c>
      <c r="J75" s="71">
        <f>IF($H75&lt;&gt;"OK","",$I75*INDEX('Inventory'!$G$7:$G$106,MATCH($C75,'Inventory'!$B$7:$B$106,0)))</f>
        <v/>
      </c>
    </row>
    <row r="76" ht="17" customHeight="1">
      <c r="B76" s="66" t="n"/>
      <c r="C76" s="60" t="n"/>
      <c r="D76" s="86" t="n"/>
      <c r="E76" s="60" t="n"/>
      <c r="F76" s="60" t="n"/>
      <c r="G76" s="13">
        <f>IF($C76="","",IFERROR(INDEX('Inventory'!$D$7:$D$106,MATCH($C76,'Inventory'!$B$7:$B$106,0))&amp;"","?"))</f>
        <v/>
      </c>
      <c r="H76" s="80">
        <f>IF(AND($B76="",$C76="",$D76=""),"",IF(NOT(ISNUMBER($B76)),"Enter a valid date",IF($C76="","Pick ingredient",IF($G76="?","Not in Inventory",IF($G76="","Set stock unit in Inventory",IF(N($D76)&lt;=0,"Enter quantity",IF($E76="","Pick unit",IF(IFERROR(INDEX('Lists'!$C$6:$C$30,MATCH($E76,'Lists'!$B$6:$B$30,0)),"?")&lt;&gt;IFERROR(INDEX('Lists'!$C$6:$C$30,MATCH($G76,'Lists'!$B$6:$B$30,0)),"?"),"Unit mismatch",IF(ISNUMBER(INDEX('Inventory'!$G$7:$G$106,MATCH($C76,'Inventory'!$B$7:$B$106,0))),"OK","Add price in Inventory")))))))))</f>
        <v/>
      </c>
      <c r="I76" s="88">
        <f>IF($H76&lt;&gt;"OK","",$D76*INDEX('Lists'!$D$6:$D$30,MATCH($E76,'Lists'!$B$6:$B$30,0))/INDEX('Lists'!$D$6:$D$30,MATCH($G76,'Lists'!$B$6:$B$30,0)))</f>
        <v/>
      </c>
      <c r="J76" s="71">
        <f>IF($H76&lt;&gt;"OK","",$I76*INDEX('Inventory'!$G$7:$G$106,MATCH($C76,'Inventory'!$B$7:$B$106,0)))</f>
        <v/>
      </c>
    </row>
    <row r="77" ht="17" customHeight="1">
      <c r="B77" s="66" t="n"/>
      <c r="C77" s="60" t="n"/>
      <c r="D77" s="86" t="n"/>
      <c r="E77" s="60" t="n"/>
      <c r="F77" s="60" t="n"/>
      <c r="G77" s="13">
        <f>IF($C77="","",IFERROR(INDEX('Inventory'!$D$7:$D$106,MATCH($C77,'Inventory'!$B$7:$B$106,0))&amp;"","?"))</f>
        <v/>
      </c>
      <c r="H77" s="80">
        <f>IF(AND($B77="",$C77="",$D77=""),"",IF(NOT(ISNUMBER($B77)),"Enter a valid date",IF($C77="","Pick ingredient",IF($G77="?","Not in Inventory",IF($G77="","Set stock unit in Inventory",IF(N($D77)&lt;=0,"Enter quantity",IF($E77="","Pick unit",IF(IFERROR(INDEX('Lists'!$C$6:$C$30,MATCH($E77,'Lists'!$B$6:$B$30,0)),"?")&lt;&gt;IFERROR(INDEX('Lists'!$C$6:$C$30,MATCH($G77,'Lists'!$B$6:$B$30,0)),"?"),"Unit mismatch",IF(ISNUMBER(INDEX('Inventory'!$G$7:$G$106,MATCH($C77,'Inventory'!$B$7:$B$106,0))),"OK","Add price in Inventory")))))))))</f>
        <v/>
      </c>
      <c r="I77" s="88">
        <f>IF($H77&lt;&gt;"OK","",$D77*INDEX('Lists'!$D$6:$D$30,MATCH($E77,'Lists'!$B$6:$B$30,0))/INDEX('Lists'!$D$6:$D$30,MATCH($G77,'Lists'!$B$6:$B$30,0)))</f>
        <v/>
      </c>
      <c r="J77" s="71">
        <f>IF($H77&lt;&gt;"OK","",$I77*INDEX('Inventory'!$G$7:$G$106,MATCH($C77,'Inventory'!$B$7:$B$106,0)))</f>
        <v/>
      </c>
    </row>
    <row r="78" ht="17" customHeight="1">
      <c r="B78" s="66" t="n"/>
      <c r="C78" s="60" t="n"/>
      <c r="D78" s="86" t="n"/>
      <c r="E78" s="60" t="n"/>
      <c r="F78" s="60" t="n"/>
      <c r="G78" s="13">
        <f>IF($C78="","",IFERROR(INDEX('Inventory'!$D$7:$D$106,MATCH($C78,'Inventory'!$B$7:$B$106,0))&amp;"","?"))</f>
        <v/>
      </c>
      <c r="H78" s="80">
        <f>IF(AND($B78="",$C78="",$D78=""),"",IF(NOT(ISNUMBER($B78)),"Enter a valid date",IF($C78="","Pick ingredient",IF($G78="?","Not in Inventory",IF($G78="","Set stock unit in Inventory",IF(N($D78)&lt;=0,"Enter quantity",IF($E78="","Pick unit",IF(IFERROR(INDEX('Lists'!$C$6:$C$30,MATCH($E78,'Lists'!$B$6:$B$30,0)),"?")&lt;&gt;IFERROR(INDEX('Lists'!$C$6:$C$30,MATCH($G78,'Lists'!$B$6:$B$30,0)),"?"),"Unit mismatch",IF(ISNUMBER(INDEX('Inventory'!$G$7:$G$106,MATCH($C78,'Inventory'!$B$7:$B$106,0))),"OK","Add price in Inventory")))))))))</f>
        <v/>
      </c>
      <c r="I78" s="88">
        <f>IF($H78&lt;&gt;"OK","",$D78*INDEX('Lists'!$D$6:$D$30,MATCH($E78,'Lists'!$B$6:$B$30,0))/INDEX('Lists'!$D$6:$D$30,MATCH($G78,'Lists'!$B$6:$B$30,0)))</f>
        <v/>
      </c>
      <c r="J78" s="71">
        <f>IF($H78&lt;&gt;"OK","",$I78*INDEX('Inventory'!$G$7:$G$106,MATCH($C78,'Inventory'!$B$7:$B$106,0)))</f>
        <v/>
      </c>
    </row>
    <row r="79" ht="17" customHeight="1">
      <c r="B79" s="66" t="n"/>
      <c r="C79" s="60" t="n"/>
      <c r="D79" s="86" t="n"/>
      <c r="E79" s="60" t="n"/>
      <c r="F79" s="60" t="n"/>
      <c r="G79" s="13">
        <f>IF($C79="","",IFERROR(INDEX('Inventory'!$D$7:$D$106,MATCH($C79,'Inventory'!$B$7:$B$106,0))&amp;"","?"))</f>
        <v/>
      </c>
      <c r="H79" s="80">
        <f>IF(AND($B79="",$C79="",$D79=""),"",IF(NOT(ISNUMBER($B79)),"Enter a valid date",IF($C79="","Pick ingredient",IF($G79="?","Not in Inventory",IF($G79="","Set stock unit in Inventory",IF(N($D79)&lt;=0,"Enter quantity",IF($E79="","Pick unit",IF(IFERROR(INDEX('Lists'!$C$6:$C$30,MATCH($E79,'Lists'!$B$6:$B$30,0)),"?")&lt;&gt;IFERROR(INDEX('Lists'!$C$6:$C$30,MATCH($G79,'Lists'!$B$6:$B$30,0)),"?"),"Unit mismatch",IF(ISNUMBER(INDEX('Inventory'!$G$7:$G$106,MATCH($C79,'Inventory'!$B$7:$B$106,0))),"OK","Add price in Inventory")))))))))</f>
        <v/>
      </c>
      <c r="I79" s="88">
        <f>IF($H79&lt;&gt;"OK","",$D79*INDEX('Lists'!$D$6:$D$30,MATCH($E79,'Lists'!$B$6:$B$30,0))/INDEX('Lists'!$D$6:$D$30,MATCH($G79,'Lists'!$B$6:$B$30,0)))</f>
        <v/>
      </c>
      <c r="J79" s="71">
        <f>IF($H79&lt;&gt;"OK","",$I79*INDEX('Inventory'!$G$7:$G$106,MATCH($C79,'Inventory'!$B$7:$B$106,0)))</f>
        <v/>
      </c>
    </row>
    <row r="80" ht="17" customHeight="1">
      <c r="B80" s="66" t="n"/>
      <c r="C80" s="60" t="n"/>
      <c r="D80" s="86" t="n"/>
      <c r="E80" s="60" t="n"/>
      <c r="F80" s="60" t="n"/>
      <c r="G80" s="13">
        <f>IF($C80="","",IFERROR(INDEX('Inventory'!$D$7:$D$106,MATCH($C80,'Inventory'!$B$7:$B$106,0))&amp;"","?"))</f>
        <v/>
      </c>
      <c r="H80" s="80">
        <f>IF(AND($B80="",$C80="",$D80=""),"",IF(NOT(ISNUMBER($B80)),"Enter a valid date",IF($C80="","Pick ingredient",IF($G80="?","Not in Inventory",IF($G80="","Set stock unit in Inventory",IF(N($D80)&lt;=0,"Enter quantity",IF($E80="","Pick unit",IF(IFERROR(INDEX('Lists'!$C$6:$C$30,MATCH($E80,'Lists'!$B$6:$B$30,0)),"?")&lt;&gt;IFERROR(INDEX('Lists'!$C$6:$C$30,MATCH($G80,'Lists'!$B$6:$B$30,0)),"?"),"Unit mismatch",IF(ISNUMBER(INDEX('Inventory'!$G$7:$G$106,MATCH($C80,'Inventory'!$B$7:$B$106,0))),"OK","Add price in Inventory")))))))))</f>
        <v/>
      </c>
      <c r="I80" s="88">
        <f>IF($H80&lt;&gt;"OK","",$D80*INDEX('Lists'!$D$6:$D$30,MATCH($E80,'Lists'!$B$6:$B$30,0))/INDEX('Lists'!$D$6:$D$30,MATCH($G80,'Lists'!$B$6:$B$30,0)))</f>
        <v/>
      </c>
      <c r="J80" s="71">
        <f>IF($H80&lt;&gt;"OK","",$I80*INDEX('Inventory'!$G$7:$G$106,MATCH($C80,'Inventory'!$B$7:$B$106,0)))</f>
        <v/>
      </c>
    </row>
    <row r="81" ht="17" customHeight="1">
      <c r="B81" s="66" t="n"/>
      <c r="C81" s="60" t="n"/>
      <c r="D81" s="86" t="n"/>
      <c r="E81" s="60" t="n"/>
      <c r="F81" s="60" t="n"/>
      <c r="G81" s="13">
        <f>IF($C81="","",IFERROR(INDEX('Inventory'!$D$7:$D$106,MATCH($C81,'Inventory'!$B$7:$B$106,0))&amp;"","?"))</f>
        <v/>
      </c>
      <c r="H81" s="80">
        <f>IF(AND($B81="",$C81="",$D81=""),"",IF(NOT(ISNUMBER($B81)),"Enter a valid date",IF($C81="","Pick ingredient",IF($G81="?","Not in Inventory",IF($G81="","Set stock unit in Inventory",IF(N($D81)&lt;=0,"Enter quantity",IF($E81="","Pick unit",IF(IFERROR(INDEX('Lists'!$C$6:$C$30,MATCH($E81,'Lists'!$B$6:$B$30,0)),"?")&lt;&gt;IFERROR(INDEX('Lists'!$C$6:$C$30,MATCH($G81,'Lists'!$B$6:$B$30,0)),"?"),"Unit mismatch",IF(ISNUMBER(INDEX('Inventory'!$G$7:$G$106,MATCH($C81,'Inventory'!$B$7:$B$106,0))),"OK","Add price in Inventory")))))))))</f>
        <v/>
      </c>
      <c r="I81" s="88">
        <f>IF($H81&lt;&gt;"OK","",$D81*INDEX('Lists'!$D$6:$D$30,MATCH($E81,'Lists'!$B$6:$B$30,0))/INDEX('Lists'!$D$6:$D$30,MATCH($G81,'Lists'!$B$6:$B$30,0)))</f>
        <v/>
      </c>
      <c r="J81" s="71">
        <f>IF($H81&lt;&gt;"OK","",$I81*INDEX('Inventory'!$G$7:$G$106,MATCH($C81,'Inventory'!$B$7:$B$106,0)))</f>
        <v/>
      </c>
    </row>
    <row r="82" ht="17" customHeight="1">
      <c r="B82" s="66" t="n"/>
      <c r="C82" s="60" t="n"/>
      <c r="D82" s="86" t="n"/>
      <c r="E82" s="60" t="n"/>
      <c r="F82" s="60" t="n"/>
      <c r="G82" s="13">
        <f>IF($C82="","",IFERROR(INDEX('Inventory'!$D$7:$D$106,MATCH($C82,'Inventory'!$B$7:$B$106,0))&amp;"","?"))</f>
        <v/>
      </c>
      <c r="H82" s="80">
        <f>IF(AND($B82="",$C82="",$D82=""),"",IF(NOT(ISNUMBER($B82)),"Enter a valid date",IF($C82="","Pick ingredient",IF($G82="?","Not in Inventory",IF($G82="","Set stock unit in Inventory",IF(N($D82)&lt;=0,"Enter quantity",IF($E82="","Pick unit",IF(IFERROR(INDEX('Lists'!$C$6:$C$30,MATCH($E82,'Lists'!$B$6:$B$30,0)),"?")&lt;&gt;IFERROR(INDEX('Lists'!$C$6:$C$30,MATCH($G82,'Lists'!$B$6:$B$30,0)),"?"),"Unit mismatch",IF(ISNUMBER(INDEX('Inventory'!$G$7:$G$106,MATCH($C82,'Inventory'!$B$7:$B$106,0))),"OK","Add price in Inventory")))))))))</f>
        <v/>
      </c>
      <c r="I82" s="88">
        <f>IF($H82&lt;&gt;"OK","",$D82*INDEX('Lists'!$D$6:$D$30,MATCH($E82,'Lists'!$B$6:$B$30,0))/INDEX('Lists'!$D$6:$D$30,MATCH($G82,'Lists'!$B$6:$B$30,0)))</f>
        <v/>
      </c>
      <c r="J82" s="71">
        <f>IF($H82&lt;&gt;"OK","",$I82*INDEX('Inventory'!$G$7:$G$106,MATCH($C82,'Inventory'!$B$7:$B$106,0)))</f>
        <v/>
      </c>
    </row>
    <row r="83" ht="17" customHeight="1">
      <c r="B83" s="66" t="n"/>
      <c r="C83" s="60" t="n"/>
      <c r="D83" s="86" t="n"/>
      <c r="E83" s="60" t="n"/>
      <c r="F83" s="60" t="n"/>
      <c r="G83" s="13">
        <f>IF($C83="","",IFERROR(INDEX('Inventory'!$D$7:$D$106,MATCH($C83,'Inventory'!$B$7:$B$106,0))&amp;"","?"))</f>
        <v/>
      </c>
      <c r="H83" s="80">
        <f>IF(AND($B83="",$C83="",$D83=""),"",IF(NOT(ISNUMBER($B83)),"Enter a valid date",IF($C83="","Pick ingredient",IF($G83="?","Not in Inventory",IF($G83="","Set stock unit in Inventory",IF(N($D83)&lt;=0,"Enter quantity",IF($E83="","Pick unit",IF(IFERROR(INDEX('Lists'!$C$6:$C$30,MATCH($E83,'Lists'!$B$6:$B$30,0)),"?")&lt;&gt;IFERROR(INDEX('Lists'!$C$6:$C$30,MATCH($G83,'Lists'!$B$6:$B$30,0)),"?"),"Unit mismatch",IF(ISNUMBER(INDEX('Inventory'!$G$7:$G$106,MATCH($C83,'Inventory'!$B$7:$B$106,0))),"OK","Add price in Inventory")))))))))</f>
        <v/>
      </c>
      <c r="I83" s="88">
        <f>IF($H83&lt;&gt;"OK","",$D83*INDEX('Lists'!$D$6:$D$30,MATCH($E83,'Lists'!$B$6:$B$30,0))/INDEX('Lists'!$D$6:$D$30,MATCH($G83,'Lists'!$B$6:$B$30,0)))</f>
        <v/>
      </c>
      <c r="J83" s="71">
        <f>IF($H83&lt;&gt;"OK","",$I83*INDEX('Inventory'!$G$7:$G$106,MATCH($C83,'Inventory'!$B$7:$B$106,0)))</f>
        <v/>
      </c>
    </row>
    <row r="84" ht="17" customHeight="1">
      <c r="B84" s="66" t="n"/>
      <c r="C84" s="60" t="n"/>
      <c r="D84" s="86" t="n"/>
      <c r="E84" s="60" t="n"/>
      <c r="F84" s="60" t="n"/>
      <c r="G84" s="13">
        <f>IF($C84="","",IFERROR(INDEX('Inventory'!$D$7:$D$106,MATCH($C84,'Inventory'!$B$7:$B$106,0))&amp;"","?"))</f>
        <v/>
      </c>
      <c r="H84" s="80">
        <f>IF(AND($B84="",$C84="",$D84=""),"",IF(NOT(ISNUMBER($B84)),"Enter a valid date",IF($C84="","Pick ingredient",IF($G84="?","Not in Inventory",IF($G84="","Set stock unit in Inventory",IF(N($D84)&lt;=0,"Enter quantity",IF($E84="","Pick unit",IF(IFERROR(INDEX('Lists'!$C$6:$C$30,MATCH($E84,'Lists'!$B$6:$B$30,0)),"?")&lt;&gt;IFERROR(INDEX('Lists'!$C$6:$C$30,MATCH($G84,'Lists'!$B$6:$B$30,0)),"?"),"Unit mismatch",IF(ISNUMBER(INDEX('Inventory'!$G$7:$G$106,MATCH($C84,'Inventory'!$B$7:$B$106,0))),"OK","Add price in Inventory")))))))))</f>
        <v/>
      </c>
      <c r="I84" s="88">
        <f>IF($H84&lt;&gt;"OK","",$D84*INDEX('Lists'!$D$6:$D$30,MATCH($E84,'Lists'!$B$6:$B$30,0))/INDEX('Lists'!$D$6:$D$30,MATCH($G84,'Lists'!$B$6:$B$30,0)))</f>
        <v/>
      </c>
      <c r="J84" s="71">
        <f>IF($H84&lt;&gt;"OK","",$I84*INDEX('Inventory'!$G$7:$G$106,MATCH($C84,'Inventory'!$B$7:$B$106,0)))</f>
        <v/>
      </c>
    </row>
    <row r="85" ht="17" customHeight="1">
      <c r="B85" s="66" t="n"/>
      <c r="C85" s="60" t="n"/>
      <c r="D85" s="86" t="n"/>
      <c r="E85" s="60" t="n"/>
      <c r="F85" s="60" t="n"/>
      <c r="G85" s="13">
        <f>IF($C85="","",IFERROR(INDEX('Inventory'!$D$7:$D$106,MATCH($C85,'Inventory'!$B$7:$B$106,0))&amp;"","?"))</f>
        <v/>
      </c>
      <c r="H85" s="80">
        <f>IF(AND($B85="",$C85="",$D85=""),"",IF(NOT(ISNUMBER($B85)),"Enter a valid date",IF($C85="","Pick ingredient",IF($G85="?","Not in Inventory",IF($G85="","Set stock unit in Inventory",IF(N($D85)&lt;=0,"Enter quantity",IF($E85="","Pick unit",IF(IFERROR(INDEX('Lists'!$C$6:$C$30,MATCH($E85,'Lists'!$B$6:$B$30,0)),"?")&lt;&gt;IFERROR(INDEX('Lists'!$C$6:$C$30,MATCH($G85,'Lists'!$B$6:$B$30,0)),"?"),"Unit mismatch",IF(ISNUMBER(INDEX('Inventory'!$G$7:$G$106,MATCH($C85,'Inventory'!$B$7:$B$106,0))),"OK","Add price in Inventory")))))))))</f>
        <v/>
      </c>
      <c r="I85" s="88">
        <f>IF($H85&lt;&gt;"OK","",$D85*INDEX('Lists'!$D$6:$D$30,MATCH($E85,'Lists'!$B$6:$B$30,0))/INDEX('Lists'!$D$6:$D$30,MATCH($G85,'Lists'!$B$6:$B$30,0)))</f>
        <v/>
      </c>
      <c r="J85" s="71">
        <f>IF($H85&lt;&gt;"OK","",$I85*INDEX('Inventory'!$G$7:$G$106,MATCH($C85,'Inventory'!$B$7:$B$106,0)))</f>
        <v/>
      </c>
    </row>
    <row r="86" ht="17" customHeight="1">
      <c r="B86" s="66" t="n"/>
      <c r="C86" s="60" t="n"/>
      <c r="D86" s="86" t="n"/>
      <c r="E86" s="60" t="n"/>
      <c r="F86" s="60" t="n"/>
      <c r="G86" s="13">
        <f>IF($C86="","",IFERROR(INDEX('Inventory'!$D$7:$D$106,MATCH($C86,'Inventory'!$B$7:$B$106,0))&amp;"","?"))</f>
        <v/>
      </c>
      <c r="H86" s="80">
        <f>IF(AND($B86="",$C86="",$D86=""),"",IF(NOT(ISNUMBER($B86)),"Enter a valid date",IF($C86="","Pick ingredient",IF($G86="?","Not in Inventory",IF($G86="","Set stock unit in Inventory",IF(N($D86)&lt;=0,"Enter quantity",IF($E86="","Pick unit",IF(IFERROR(INDEX('Lists'!$C$6:$C$30,MATCH($E86,'Lists'!$B$6:$B$30,0)),"?")&lt;&gt;IFERROR(INDEX('Lists'!$C$6:$C$30,MATCH($G86,'Lists'!$B$6:$B$30,0)),"?"),"Unit mismatch",IF(ISNUMBER(INDEX('Inventory'!$G$7:$G$106,MATCH($C86,'Inventory'!$B$7:$B$106,0))),"OK","Add price in Inventory")))))))))</f>
        <v/>
      </c>
      <c r="I86" s="88">
        <f>IF($H86&lt;&gt;"OK","",$D86*INDEX('Lists'!$D$6:$D$30,MATCH($E86,'Lists'!$B$6:$B$30,0))/INDEX('Lists'!$D$6:$D$30,MATCH($G86,'Lists'!$B$6:$B$30,0)))</f>
        <v/>
      </c>
      <c r="J86" s="71">
        <f>IF($H86&lt;&gt;"OK","",$I86*INDEX('Inventory'!$G$7:$G$106,MATCH($C86,'Inventory'!$B$7:$B$106,0)))</f>
        <v/>
      </c>
    </row>
    <row r="87" ht="17" customHeight="1">
      <c r="B87" s="66" t="n"/>
      <c r="C87" s="60" t="n"/>
      <c r="D87" s="86" t="n"/>
      <c r="E87" s="60" t="n"/>
      <c r="F87" s="60" t="n"/>
      <c r="G87" s="13">
        <f>IF($C87="","",IFERROR(INDEX('Inventory'!$D$7:$D$106,MATCH($C87,'Inventory'!$B$7:$B$106,0))&amp;"","?"))</f>
        <v/>
      </c>
      <c r="H87" s="80">
        <f>IF(AND($B87="",$C87="",$D87=""),"",IF(NOT(ISNUMBER($B87)),"Enter a valid date",IF($C87="","Pick ingredient",IF($G87="?","Not in Inventory",IF($G87="","Set stock unit in Inventory",IF(N($D87)&lt;=0,"Enter quantity",IF($E87="","Pick unit",IF(IFERROR(INDEX('Lists'!$C$6:$C$30,MATCH($E87,'Lists'!$B$6:$B$30,0)),"?")&lt;&gt;IFERROR(INDEX('Lists'!$C$6:$C$30,MATCH($G87,'Lists'!$B$6:$B$30,0)),"?"),"Unit mismatch",IF(ISNUMBER(INDEX('Inventory'!$G$7:$G$106,MATCH($C87,'Inventory'!$B$7:$B$106,0))),"OK","Add price in Inventory")))))))))</f>
        <v/>
      </c>
      <c r="I87" s="88">
        <f>IF($H87&lt;&gt;"OK","",$D87*INDEX('Lists'!$D$6:$D$30,MATCH($E87,'Lists'!$B$6:$B$30,0))/INDEX('Lists'!$D$6:$D$30,MATCH($G87,'Lists'!$B$6:$B$30,0)))</f>
        <v/>
      </c>
      <c r="J87" s="71">
        <f>IF($H87&lt;&gt;"OK","",$I87*INDEX('Inventory'!$G$7:$G$106,MATCH($C87,'Inventory'!$B$7:$B$106,0)))</f>
        <v/>
      </c>
    </row>
    <row r="88" ht="17" customHeight="1">
      <c r="B88" s="66" t="n"/>
      <c r="C88" s="60" t="n"/>
      <c r="D88" s="86" t="n"/>
      <c r="E88" s="60" t="n"/>
      <c r="F88" s="60" t="n"/>
      <c r="G88" s="13">
        <f>IF($C88="","",IFERROR(INDEX('Inventory'!$D$7:$D$106,MATCH($C88,'Inventory'!$B$7:$B$106,0))&amp;"","?"))</f>
        <v/>
      </c>
      <c r="H88" s="80">
        <f>IF(AND($B88="",$C88="",$D88=""),"",IF(NOT(ISNUMBER($B88)),"Enter a valid date",IF($C88="","Pick ingredient",IF($G88="?","Not in Inventory",IF($G88="","Set stock unit in Inventory",IF(N($D88)&lt;=0,"Enter quantity",IF($E88="","Pick unit",IF(IFERROR(INDEX('Lists'!$C$6:$C$30,MATCH($E88,'Lists'!$B$6:$B$30,0)),"?")&lt;&gt;IFERROR(INDEX('Lists'!$C$6:$C$30,MATCH($G88,'Lists'!$B$6:$B$30,0)),"?"),"Unit mismatch",IF(ISNUMBER(INDEX('Inventory'!$G$7:$G$106,MATCH($C88,'Inventory'!$B$7:$B$106,0))),"OK","Add price in Inventory")))))))))</f>
        <v/>
      </c>
      <c r="I88" s="88">
        <f>IF($H88&lt;&gt;"OK","",$D88*INDEX('Lists'!$D$6:$D$30,MATCH($E88,'Lists'!$B$6:$B$30,0))/INDEX('Lists'!$D$6:$D$30,MATCH($G88,'Lists'!$B$6:$B$30,0)))</f>
        <v/>
      </c>
      <c r="J88" s="71">
        <f>IF($H88&lt;&gt;"OK","",$I88*INDEX('Inventory'!$G$7:$G$106,MATCH($C88,'Inventory'!$B$7:$B$106,0)))</f>
        <v/>
      </c>
    </row>
    <row r="89" ht="17" customHeight="1">
      <c r="B89" s="66" t="n"/>
      <c r="C89" s="60" t="n"/>
      <c r="D89" s="86" t="n"/>
      <c r="E89" s="60" t="n"/>
      <c r="F89" s="60" t="n"/>
      <c r="G89" s="13">
        <f>IF($C89="","",IFERROR(INDEX('Inventory'!$D$7:$D$106,MATCH($C89,'Inventory'!$B$7:$B$106,0))&amp;"","?"))</f>
        <v/>
      </c>
      <c r="H89" s="80">
        <f>IF(AND($B89="",$C89="",$D89=""),"",IF(NOT(ISNUMBER($B89)),"Enter a valid date",IF($C89="","Pick ingredient",IF($G89="?","Not in Inventory",IF($G89="","Set stock unit in Inventory",IF(N($D89)&lt;=0,"Enter quantity",IF($E89="","Pick unit",IF(IFERROR(INDEX('Lists'!$C$6:$C$30,MATCH($E89,'Lists'!$B$6:$B$30,0)),"?")&lt;&gt;IFERROR(INDEX('Lists'!$C$6:$C$30,MATCH($G89,'Lists'!$B$6:$B$30,0)),"?"),"Unit mismatch",IF(ISNUMBER(INDEX('Inventory'!$G$7:$G$106,MATCH($C89,'Inventory'!$B$7:$B$106,0))),"OK","Add price in Inventory")))))))))</f>
        <v/>
      </c>
      <c r="I89" s="88">
        <f>IF($H89&lt;&gt;"OK","",$D89*INDEX('Lists'!$D$6:$D$30,MATCH($E89,'Lists'!$B$6:$B$30,0))/INDEX('Lists'!$D$6:$D$30,MATCH($G89,'Lists'!$B$6:$B$30,0)))</f>
        <v/>
      </c>
      <c r="J89" s="71">
        <f>IF($H89&lt;&gt;"OK","",$I89*INDEX('Inventory'!$G$7:$G$106,MATCH($C89,'Inventory'!$B$7:$B$106,0)))</f>
        <v/>
      </c>
    </row>
    <row r="90" ht="17" customHeight="1">
      <c r="B90" s="66" t="n"/>
      <c r="C90" s="60" t="n"/>
      <c r="D90" s="86" t="n"/>
      <c r="E90" s="60" t="n"/>
      <c r="F90" s="60" t="n"/>
      <c r="G90" s="13">
        <f>IF($C90="","",IFERROR(INDEX('Inventory'!$D$7:$D$106,MATCH($C90,'Inventory'!$B$7:$B$106,0))&amp;"","?"))</f>
        <v/>
      </c>
      <c r="H90" s="80">
        <f>IF(AND($B90="",$C90="",$D90=""),"",IF(NOT(ISNUMBER($B90)),"Enter a valid date",IF($C90="","Pick ingredient",IF($G90="?","Not in Inventory",IF($G90="","Set stock unit in Inventory",IF(N($D90)&lt;=0,"Enter quantity",IF($E90="","Pick unit",IF(IFERROR(INDEX('Lists'!$C$6:$C$30,MATCH($E90,'Lists'!$B$6:$B$30,0)),"?")&lt;&gt;IFERROR(INDEX('Lists'!$C$6:$C$30,MATCH($G90,'Lists'!$B$6:$B$30,0)),"?"),"Unit mismatch",IF(ISNUMBER(INDEX('Inventory'!$G$7:$G$106,MATCH($C90,'Inventory'!$B$7:$B$106,0))),"OK","Add price in Inventory")))))))))</f>
        <v/>
      </c>
      <c r="I90" s="88">
        <f>IF($H90&lt;&gt;"OK","",$D90*INDEX('Lists'!$D$6:$D$30,MATCH($E90,'Lists'!$B$6:$B$30,0))/INDEX('Lists'!$D$6:$D$30,MATCH($G90,'Lists'!$B$6:$B$30,0)))</f>
        <v/>
      </c>
      <c r="J90" s="71">
        <f>IF($H90&lt;&gt;"OK","",$I90*INDEX('Inventory'!$G$7:$G$106,MATCH($C90,'Inventory'!$B$7:$B$106,0)))</f>
        <v/>
      </c>
    </row>
    <row r="91" ht="17" customHeight="1">
      <c r="B91" s="66" t="n"/>
      <c r="C91" s="60" t="n"/>
      <c r="D91" s="86" t="n"/>
      <c r="E91" s="60" t="n"/>
      <c r="F91" s="60" t="n"/>
      <c r="G91" s="13">
        <f>IF($C91="","",IFERROR(INDEX('Inventory'!$D$7:$D$106,MATCH($C91,'Inventory'!$B$7:$B$106,0))&amp;"","?"))</f>
        <v/>
      </c>
      <c r="H91" s="80">
        <f>IF(AND($B91="",$C91="",$D91=""),"",IF(NOT(ISNUMBER($B91)),"Enter a valid date",IF($C91="","Pick ingredient",IF($G91="?","Not in Inventory",IF($G91="","Set stock unit in Inventory",IF(N($D91)&lt;=0,"Enter quantity",IF($E91="","Pick unit",IF(IFERROR(INDEX('Lists'!$C$6:$C$30,MATCH($E91,'Lists'!$B$6:$B$30,0)),"?")&lt;&gt;IFERROR(INDEX('Lists'!$C$6:$C$30,MATCH($G91,'Lists'!$B$6:$B$30,0)),"?"),"Unit mismatch",IF(ISNUMBER(INDEX('Inventory'!$G$7:$G$106,MATCH($C91,'Inventory'!$B$7:$B$106,0))),"OK","Add price in Inventory")))))))))</f>
        <v/>
      </c>
      <c r="I91" s="88">
        <f>IF($H91&lt;&gt;"OK","",$D91*INDEX('Lists'!$D$6:$D$30,MATCH($E91,'Lists'!$B$6:$B$30,0))/INDEX('Lists'!$D$6:$D$30,MATCH($G91,'Lists'!$B$6:$B$30,0)))</f>
        <v/>
      </c>
      <c r="J91" s="71">
        <f>IF($H91&lt;&gt;"OK","",$I91*INDEX('Inventory'!$G$7:$G$106,MATCH($C91,'Inventory'!$B$7:$B$106,0)))</f>
        <v/>
      </c>
    </row>
    <row r="92" ht="17" customHeight="1">
      <c r="B92" s="66" t="n"/>
      <c r="C92" s="60" t="n"/>
      <c r="D92" s="86" t="n"/>
      <c r="E92" s="60" t="n"/>
      <c r="F92" s="60" t="n"/>
      <c r="G92" s="13">
        <f>IF($C92="","",IFERROR(INDEX('Inventory'!$D$7:$D$106,MATCH($C92,'Inventory'!$B$7:$B$106,0))&amp;"","?"))</f>
        <v/>
      </c>
      <c r="H92" s="80">
        <f>IF(AND($B92="",$C92="",$D92=""),"",IF(NOT(ISNUMBER($B92)),"Enter a valid date",IF($C92="","Pick ingredient",IF($G92="?","Not in Inventory",IF($G92="","Set stock unit in Inventory",IF(N($D92)&lt;=0,"Enter quantity",IF($E92="","Pick unit",IF(IFERROR(INDEX('Lists'!$C$6:$C$30,MATCH($E92,'Lists'!$B$6:$B$30,0)),"?")&lt;&gt;IFERROR(INDEX('Lists'!$C$6:$C$30,MATCH($G92,'Lists'!$B$6:$B$30,0)),"?"),"Unit mismatch",IF(ISNUMBER(INDEX('Inventory'!$G$7:$G$106,MATCH($C92,'Inventory'!$B$7:$B$106,0))),"OK","Add price in Inventory")))))))))</f>
        <v/>
      </c>
      <c r="I92" s="88">
        <f>IF($H92&lt;&gt;"OK","",$D92*INDEX('Lists'!$D$6:$D$30,MATCH($E92,'Lists'!$B$6:$B$30,0))/INDEX('Lists'!$D$6:$D$30,MATCH($G92,'Lists'!$B$6:$B$30,0)))</f>
        <v/>
      </c>
      <c r="J92" s="71">
        <f>IF($H92&lt;&gt;"OK","",$I92*INDEX('Inventory'!$G$7:$G$106,MATCH($C92,'Inventory'!$B$7:$B$106,0)))</f>
        <v/>
      </c>
    </row>
    <row r="93" ht="17" customHeight="1">
      <c r="B93" s="66" t="n"/>
      <c r="C93" s="60" t="n"/>
      <c r="D93" s="86" t="n"/>
      <c r="E93" s="60" t="n"/>
      <c r="F93" s="60" t="n"/>
      <c r="G93" s="13">
        <f>IF($C93="","",IFERROR(INDEX('Inventory'!$D$7:$D$106,MATCH($C93,'Inventory'!$B$7:$B$106,0))&amp;"","?"))</f>
        <v/>
      </c>
      <c r="H93" s="80">
        <f>IF(AND($B93="",$C93="",$D93=""),"",IF(NOT(ISNUMBER($B93)),"Enter a valid date",IF($C93="","Pick ingredient",IF($G93="?","Not in Inventory",IF($G93="","Set stock unit in Inventory",IF(N($D93)&lt;=0,"Enter quantity",IF($E93="","Pick unit",IF(IFERROR(INDEX('Lists'!$C$6:$C$30,MATCH($E93,'Lists'!$B$6:$B$30,0)),"?")&lt;&gt;IFERROR(INDEX('Lists'!$C$6:$C$30,MATCH($G93,'Lists'!$B$6:$B$30,0)),"?"),"Unit mismatch",IF(ISNUMBER(INDEX('Inventory'!$G$7:$G$106,MATCH($C93,'Inventory'!$B$7:$B$106,0))),"OK","Add price in Inventory")))))))))</f>
        <v/>
      </c>
      <c r="I93" s="88">
        <f>IF($H93&lt;&gt;"OK","",$D93*INDEX('Lists'!$D$6:$D$30,MATCH($E93,'Lists'!$B$6:$B$30,0))/INDEX('Lists'!$D$6:$D$30,MATCH($G93,'Lists'!$B$6:$B$30,0)))</f>
        <v/>
      </c>
      <c r="J93" s="71">
        <f>IF($H93&lt;&gt;"OK","",$I93*INDEX('Inventory'!$G$7:$G$106,MATCH($C93,'Inventory'!$B$7:$B$106,0)))</f>
        <v/>
      </c>
    </row>
    <row r="94" ht="17" customHeight="1">
      <c r="B94" s="66" t="n"/>
      <c r="C94" s="60" t="n"/>
      <c r="D94" s="86" t="n"/>
      <c r="E94" s="60" t="n"/>
      <c r="F94" s="60" t="n"/>
      <c r="G94" s="13">
        <f>IF($C94="","",IFERROR(INDEX('Inventory'!$D$7:$D$106,MATCH($C94,'Inventory'!$B$7:$B$106,0))&amp;"","?"))</f>
        <v/>
      </c>
      <c r="H94" s="80">
        <f>IF(AND($B94="",$C94="",$D94=""),"",IF(NOT(ISNUMBER($B94)),"Enter a valid date",IF($C94="","Pick ingredient",IF($G94="?","Not in Inventory",IF($G94="","Set stock unit in Inventory",IF(N($D94)&lt;=0,"Enter quantity",IF($E94="","Pick unit",IF(IFERROR(INDEX('Lists'!$C$6:$C$30,MATCH($E94,'Lists'!$B$6:$B$30,0)),"?")&lt;&gt;IFERROR(INDEX('Lists'!$C$6:$C$30,MATCH($G94,'Lists'!$B$6:$B$30,0)),"?"),"Unit mismatch",IF(ISNUMBER(INDEX('Inventory'!$G$7:$G$106,MATCH($C94,'Inventory'!$B$7:$B$106,0))),"OK","Add price in Inventory")))))))))</f>
        <v/>
      </c>
      <c r="I94" s="88">
        <f>IF($H94&lt;&gt;"OK","",$D94*INDEX('Lists'!$D$6:$D$30,MATCH($E94,'Lists'!$B$6:$B$30,0))/INDEX('Lists'!$D$6:$D$30,MATCH($G94,'Lists'!$B$6:$B$30,0)))</f>
        <v/>
      </c>
      <c r="J94" s="71">
        <f>IF($H94&lt;&gt;"OK","",$I94*INDEX('Inventory'!$G$7:$G$106,MATCH($C94,'Inventory'!$B$7:$B$106,0)))</f>
        <v/>
      </c>
    </row>
    <row r="95" ht="17" customHeight="1">
      <c r="B95" s="66" t="n"/>
      <c r="C95" s="60" t="n"/>
      <c r="D95" s="86" t="n"/>
      <c r="E95" s="60" t="n"/>
      <c r="F95" s="60" t="n"/>
      <c r="G95" s="13">
        <f>IF($C95="","",IFERROR(INDEX('Inventory'!$D$7:$D$106,MATCH($C95,'Inventory'!$B$7:$B$106,0))&amp;"","?"))</f>
        <v/>
      </c>
      <c r="H95" s="80">
        <f>IF(AND($B95="",$C95="",$D95=""),"",IF(NOT(ISNUMBER($B95)),"Enter a valid date",IF($C95="","Pick ingredient",IF($G95="?","Not in Inventory",IF($G95="","Set stock unit in Inventory",IF(N($D95)&lt;=0,"Enter quantity",IF($E95="","Pick unit",IF(IFERROR(INDEX('Lists'!$C$6:$C$30,MATCH($E95,'Lists'!$B$6:$B$30,0)),"?")&lt;&gt;IFERROR(INDEX('Lists'!$C$6:$C$30,MATCH($G95,'Lists'!$B$6:$B$30,0)),"?"),"Unit mismatch",IF(ISNUMBER(INDEX('Inventory'!$G$7:$G$106,MATCH($C95,'Inventory'!$B$7:$B$106,0))),"OK","Add price in Inventory")))))))))</f>
        <v/>
      </c>
      <c r="I95" s="88">
        <f>IF($H95&lt;&gt;"OK","",$D95*INDEX('Lists'!$D$6:$D$30,MATCH($E95,'Lists'!$B$6:$B$30,0))/INDEX('Lists'!$D$6:$D$30,MATCH($G95,'Lists'!$B$6:$B$30,0)))</f>
        <v/>
      </c>
      <c r="J95" s="71">
        <f>IF($H95&lt;&gt;"OK","",$I95*INDEX('Inventory'!$G$7:$G$106,MATCH($C95,'Inventory'!$B$7:$B$106,0)))</f>
        <v/>
      </c>
    </row>
    <row r="96" ht="17" customHeight="1">
      <c r="B96" s="66" t="n"/>
      <c r="C96" s="60" t="n"/>
      <c r="D96" s="86" t="n"/>
      <c r="E96" s="60" t="n"/>
      <c r="F96" s="60" t="n"/>
      <c r="G96" s="13">
        <f>IF($C96="","",IFERROR(INDEX('Inventory'!$D$7:$D$106,MATCH($C96,'Inventory'!$B$7:$B$106,0))&amp;"","?"))</f>
        <v/>
      </c>
      <c r="H96" s="80">
        <f>IF(AND($B96="",$C96="",$D96=""),"",IF(NOT(ISNUMBER($B96)),"Enter a valid date",IF($C96="","Pick ingredient",IF($G96="?","Not in Inventory",IF($G96="","Set stock unit in Inventory",IF(N($D96)&lt;=0,"Enter quantity",IF($E96="","Pick unit",IF(IFERROR(INDEX('Lists'!$C$6:$C$30,MATCH($E96,'Lists'!$B$6:$B$30,0)),"?")&lt;&gt;IFERROR(INDEX('Lists'!$C$6:$C$30,MATCH($G96,'Lists'!$B$6:$B$30,0)),"?"),"Unit mismatch",IF(ISNUMBER(INDEX('Inventory'!$G$7:$G$106,MATCH($C96,'Inventory'!$B$7:$B$106,0))),"OK","Add price in Inventory")))))))))</f>
        <v/>
      </c>
      <c r="I96" s="88">
        <f>IF($H96&lt;&gt;"OK","",$D96*INDEX('Lists'!$D$6:$D$30,MATCH($E96,'Lists'!$B$6:$B$30,0))/INDEX('Lists'!$D$6:$D$30,MATCH($G96,'Lists'!$B$6:$B$30,0)))</f>
        <v/>
      </c>
      <c r="J96" s="71">
        <f>IF($H96&lt;&gt;"OK","",$I96*INDEX('Inventory'!$G$7:$G$106,MATCH($C96,'Inventory'!$B$7:$B$106,0)))</f>
        <v/>
      </c>
    </row>
    <row r="97" ht="17" customHeight="1">
      <c r="B97" s="66" t="n"/>
      <c r="C97" s="60" t="n"/>
      <c r="D97" s="86" t="n"/>
      <c r="E97" s="60" t="n"/>
      <c r="F97" s="60" t="n"/>
      <c r="G97" s="13">
        <f>IF($C97="","",IFERROR(INDEX('Inventory'!$D$7:$D$106,MATCH($C97,'Inventory'!$B$7:$B$106,0))&amp;"","?"))</f>
        <v/>
      </c>
      <c r="H97" s="80">
        <f>IF(AND($B97="",$C97="",$D97=""),"",IF(NOT(ISNUMBER($B97)),"Enter a valid date",IF($C97="","Pick ingredient",IF($G97="?","Not in Inventory",IF($G97="","Set stock unit in Inventory",IF(N($D97)&lt;=0,"Enter quantity",IF($E97="","Pick unit",IF(IFERROR(INDEX('Lists'!$C$6:$C$30,MATCH($E97,'Lists'!$B$6:$B$30,0)),"?")&lt;&gt;IFERROR(INDEX('Lists'!$C$6:$C$30,MATCH($G97,'Lists'!$B$6:$B$30,0)),"?"),"Unit mismatch",IF(ISNUMBER(INDEX('Inventory'!$G$7:$G$106,MATCH($C97,'Inventory'!$B$7:$B$106,0))),"OK","Add price in Inventory")))))))))</f>
        <v/>
      </c>
      <c r="I97" s="88">
        <f>IF($H97&lt;&gt;"OK","",$D97*INDEX('Lists'!$D$6:$D$30,MATCH($E97,'Lists'!$B$6:$B$30,0))/INDEX('Lists'!$D$6:$D$30,MATCH($G97,'Lists'!$B$6:$B$30,0)))</f>
        <v/>
      </c>
      <c r="J97" s="71">
        <f>IF($H97&lt;&gt;"OK","",$I97*INDEX('Inventory'!$G$7:$G$106,MATCH($C97,'Inventory'!$B$7:$B$106,0)))</f>
        <v/>
      </c>
    </row>
    <row r="98" ht="17" customHeight="1">
      <c r="B98" s="66" t="n"/>
      <c r="C98" s="60" t="n"/>
      <c r="D98" s="86" t="n"/>
      <c r="E98" s="60" t="n"/>
      <c r="F98" s="60" t="n"/>
      <c r="G98" s="13">
        <f>IF($C98="","",IFERROR(INDEX('Inventory'!$D$7:$D$106,MATCH($C98,'Inventory'!$B$7:$B$106,0))&amp;"","?"))</f>
        <v/>
      </c>
      <c r="H98" s="80">
        <f>IF(AND($B98="",$C98="",$D98=""),"",IF(NOT(ISNUMBER($B98)),"Enter a valid date",IF($C98="","Pick ingredient",IF($G98="?","Not in Inventory",IF($G98="","Set stock unit in Inventory",IF(N($D98)&lt;=0,"Enter quantity",IF($E98="","Pick unit",IF(IFERROR(INDEX('Lists'!$C$6:$C$30,MATCH($E98,'Lists'!$B$6:$B$30,0)),"?")&lt;&gt;IFERROR(INDEX('Lists'!$C$6:$C$30,MATCH($G98,'Lists'!$B$6:$B$30,0)),"?"),"Unit mismatch",IF(ISNUMBER(INDEX('Inventory'!$G$7:$G$106,MATCH($C98,'Inventory'!$B$7:$B$106,0))),"OK","Add price in Inventory")))))))))</f>
        <v/>
      </c>
      <c r="I98" s="88">
        <f>IF($H98&lt;&gt;"OK","",$D98*INDEX('Lists'!$D$6:$D$30,MATCH($E98,'Lists'!$B$6:$B$30,0))/INDEX('Lists'!$D$6:$D$30,MATCH($G98,'Lists'!$B$6:$B$30,0)))</f>
        <v/>
      </c>
      <c r="J98" s="71">
        <f>IF($H98&lt;&gt;"OK","",$I98*INDEX('Inventory'!$G$7:$G$106,MATCH($C98,'Inventory'!$B$7:$B$106,0)))</f>
        <v/>
      </c>
    </row>
    <row r="99" ht="17" customHeight="1">
      <c r="B99" s="66" t="n"/>
      <c r="C99" s="60" t="n"/>
      <c r="D99" s="86" t="n"/>
      <c r="E99" s="60" t="n"/>
      <c r="F99" s="60" t="n"/>
      <c r="G99" s="13">
        <f>IF($C99="","",IFERROR(INDEX('Inventory'!$D$7:$D$106,MATCH($C99,'Inventory'!$B$7:$B$106,0))&amp;"","?"))</f>
        <v/>
      </c>
      <c r="H99" s="80">
        <f>IF(AND($B99="",$C99="",$D99=""),"",IF(NOT(ISNUMBER($B99)),"Enter a valid date",IF($C99="","Pick ingredient",IF($G99="?","Not in Inventory",IF($G99="","Set stock unit in Inventory",IF(N($D99)&lt;=0,"Enter quantity",IF($E99="","Pick unit",IF(IFERROR(INDEX('Lists'!$C$6:$C$30,MATCH($E99,'Lists'!$B$6:$B$30,0)),"?")&lt;&gt;IFERROR(INDEX('Lists'!$C$6:$C$30,MATCH($G99,'Lists'!$B$6:$B$30,0)),"?"),"Unit mismatch",IF(ISNUMBER(INDEX('Inventory'!$G$7:$G$106,MATCH($C99,'Inventory'!$B$7:$B$106,0))),"OK","Add price in Inventory")))))))))</f>
        <v/>
      </c>
      <c r="I99" s="88">
        <f>IF($H99&lt;&gt;"OK","",$D99*INDEX('Lists'!$D$6:$D$30,MATCH($E99,'Lists'!$B$6:$B$30,0))/INDEX('Lists'!$D$6:$D$30,MATCH($G99,'Lists'!$B$6:$B$30,0)))</f>
        <v/>
      </c>
      <c r="J99" s="71">
        <f>IF($H99&lt;&gt;"OK","",$I99*INDEX('Inventory'!$G$7:$G$106,MATCH($C99,'Inventory'!$B$7:$B$106,0)))</f>
        <v/>
      </c>
    </row>
    <row r="100" ht="17" customHeight="1">
      <c r="B100" s="66" t="n"/>
      <c r="C100" s="60" t="n"/>
      <c r="D100" s="86" t="n"/>
      <c r="E100" s="60" t="n"/>
      <c r="F100" s="60" t="n"/>
      <c r="G100" s="13">
        <f>IF($C100="","",IFERROR(INDEX('Inventory'!$D$7:$D$106,MATCH($C100,'Inventory'!$B$7:$B$106,0))&amp;"","?"))</f>
        <v/>
      </c>
      <c r="H100" s="80">
        <f>IF(AND($B100="",$C100="",$D100=""),"",IF(NOT(ISNUMBER($B100)),"Enter a valid date",IF($C100="","Pick ingredient",IF($G100="?","Not in Inventory",IF($G100="","Set stock unit in Inventory",IF(N($D100)&lt;=0,"Enter quantity",IF($E100="","Pick unit",IF(IFERROR(INDEX('Lists'!$C$6:$C$30,MATCH($E100,'Lists'!$B$6:$B$30,0)),"?")&lt;&gt;IFERROR(INDEX('Lists'!$C$6:$C$30,MATCH($G100,'Lists'!$B$6:$B$30,0)),"?"),"Unit mismatch",IF(ISNUMBER(INDEX('Inventory'!$G$7:$G$106,MATCH($C100,'Inventory'!$B$7:$B$106,0))),"OK","Add price in Inventory")))))))))</f>
        <v/>
      </c>
      <c r="I100" s="88">
        <f>IF($H100&lt;&gt;"OK","",$D100*INDEX('Lists'!$D$6:$D$30,MATCH($E100,'Lists'!$B$6:$B$30,0))/INDEX('Lists'!$D$6:$D$30,MATCH($G100,'Lists'!$B$6:$B$30,0)))</f>
        <v/>
      </c>
      <c r="J100" s="71">
        <f>IF($H100&lt;&gt;"OK","",$I100*INDEX('Inventory'!$G$7:$G$106,MATCH($C100,'Inventory'!$B$7:$B$106,0)))</f>
        <v/>
      </c>
    </row>
    <row r="101" ht="17" customHeight="1">
      <c r="B101" s="66" t="n"/>
      <c r="C101" s="60" t="n"/>
      <c r="D101" s="86" t="n"/>
      <c r="E101" s="60" t="n"/>
      <c r="F101" s="60" t="n"/>
      <c r="G101" s="13">
        <f>IF($C101="","",IFERROR(INDEX('Inventory'!$D$7:$D$106,MATCH($C101,'Inventory'!$B$7:$B$106,0))&amp;"","?"))</f>
        <v/>
      </c>
      <c r="H101" s="80">
        <f>IF(AND($B101="",$C101="",$D101=""),"",IF(NOT(ISNUMBER($B101)),"Enter a valid date",IF($C101="","Pick ingredient",IF($G101="?","Not in Inventory",IF($G101="","Set stock unit in Inventory",IF(N($D101)&lt;=0,"Enter quantity",IF($E101="","Pick unit",IF(IFERROR(INDEX('Lists'!$C$6:$C$30,MATCH($E101,'Lists'!$B$6:$B$30,0)),"?")&lt;&gt;IFERROR(INDEX('Lists'!$C$6:$C$30,MATCH($G101,'Lists'!$B$6:$B$30,0)),"?"),"Unit mismatch",IF(ISNUMBER(INDEX('Inventory'!$G$7:$G$106,MATCH($C101,'Inventory'!$B$7:$B$106,0))),"OK","Add price in Inventory")))))))))</f>
        <v/>
      </c>
      <c r="I101" s="88">
        <f>IF($H101&lt;&gt;"OK","",$D101*INDEX('Lists'!$D$6:$D$30,MATCH($E101,'Lists'!$B$6:$B$30,0))/INDEX('Lists'!$D$6:$D$30,MATCH($G101,'Lists'!$B$6:$B$30,0)))</f>
        <v/>
      </c>
      <c r="J101" s="71">
        <f>IF($H101&lt;&gt;"OK","",$I101*INDEX('Inventory'!$G$7:$G$106,MATCH($C101,'Inventory'!$B$7:$B$106,0)))</f>
        <v/>
      </c>
    </row>
    <row r="102" ht="17" customHeight="1">
      <c r="B102" s="66" t="n"/>
      <c r="C102" s="60" t="n"/>
      <c r="D102" s="86" t="n"/>
      <c r="E102" s="60" t="n"/>
      <c r="F102" s="60" t="n"/>
      <c r="G102" s="13">
        <f>IF($C102="","",IFERROR(INDEX('Inventory'!$D$7:$D$106,MATCH($C102,'Inventory'!$B$7:$B$106,0))&amp;"","?"))</f>
        <v/>
      </c>
      <c r="H102" s="80">
        <f>IF(AND($B102="",$C102="",$D102=""),"",IF(NOT(ISNUMBER($B102)),"Enter a valid date",IF($C102="","Pick ingredient",IF($G102="?","Not in Inventory",IF($G102="","Set stock unit in Inventory",IF(N($D102)&lt;=0,"Enter quantity",IF($E102="","Pick unit",IF(IFERROR(INDEX('Lists'!$C$6:$C$30,MATCH($E102,'Lists'!$B$6:$B$30,0)),"?")&lt;&gt;IFERROR(INDEX('Lists'!$C$6:$C$30,MATCH($G102,'Lists'!$B$6:$B$30,0)),"?"),"Unit mismatch",IF(ISNUMBER(INDEX('Inventory'!$G$7:$G$106,MATCH($C102,'Inventory'!$B$7:$B$106,0))),"OK","Add price in Inventory")))))))))</f>
        <v/>
      </c>
      <c r="I102" s="88">
        <f>IF($H102&lt;&gt;"OK","",$D102*INDEX('Lists'!$D$6:$D$30,MATCH($E102,'Lists'!$B$6:$B$30,0))/INDEX('Lists'!$D$6:$D$30,MATCH($G102,'Lists'!$B$6:$B$30,0)))</f>
        <v/>
      </c>
      <c r="J102" s="71">
        <f>IF($H102&lt;&gt;"OK","",$I102*INDEX('Inventory'!$G$7:$G$106,MATCH($C102,'Inventory'!$B$7:$B$106,0)))</f>
        <v/>
      </c>
    </row>
    <row r="103" ht="17" customHeight="1">
      <c r="B103" s="66" t="n"/>
      <c r="C103" s="60" t="n"/>
      <c r="D103" s="86" t="n"/>
      <c r="E103" s="60" t="n"/>
      <c r="F103" s="60" t="n"/>
      <c r="G103" s="13">
        <f>IF($C103="","",IFERROR(INDEX('Inventory'!$D$7:$D$106,MATCH($C103,'Inventory'!$B$7:$B$106,0))&amp;"","?"))</f>
        <v/>
      </c>
      <c r="H103" s="80">
        <f>IF(AND($B103="",$C103="",$D103=""),"",IF(NOT(ISNUMBER($B103)),"Enter a valid date",IF($C103="","Pick ingredient",IF($G103="?","Not in Inventory",IF($G103="","Set stock unit in Inventory",IF(N($D103)&lt;=0,"Enter quantity",IF($E103="","Pick unit",IF(IFERROR(INDEX('Lists'!$C$6:$C$30,MATCH($E103,'Lists'!$B$6:$B$30,0)),"?")&lt;&gt;IFERROR(INDEX('Lists'!$C$6:$C$30,MATCH($G103,'Lists'!$B$6:$B$30,0)),"?"),"Unit mismatch",IF(ISNUMBER(INDEX('Inventory'!$G$7:$G$106,MATCH($C103,'Inventory'!$B$7:$B$106,0))),"OK","Add price in Inventory")))))))))</f>
        <v/>
      </c>
      <c r="I103" s="88">
        <f>IF($H103&lt;&gt;"OK","",$D103*INDEX('Lists'!$D$6:$D$30,MATCH($E103,'Lists'!$B$6:$B$30,0))/INDEX('Lists'!$D$6:$D$30,MATCH($G103,'Lists'!$B$6:$B$30,0)))</f>
        <v/>
      </c>
      <c r="J103" s="71">
        <f>IF($H103&lt;&gt;"OK","",$I103*INDEX('Inventory'!$G$7:$G$106,MATCH($C103,'Inventory'!$B$7:$B$106,0)))</f>
        <v/>
      </c>
    </row>
    <row r="104" ht="17" customHeight="1">
      <c r="B104" s="66" t="n"/>
      <c r="C104" s="60" t="n"/>
      <c r="D104" s="86" t="n"/>
      <c r="E104" s="60" t="n"/>
      <c r="F104" s="60" t="n"/>
      <c r="G104" s="13">
        <f>IF($C104="","",IFERROR(INDEX('Inventory'!$D$7:$D$106,MATCH($C104,'Inventory'!$B$7:$B$106,0))&amp;"","?"))</f>
        <v/>
      </c>
      <c r="H104" s="80">
        <f>IF(AND($B104="",$C104="",$D104=""),"",IF(NOT(ISNUMBER($B104)),"Enter a valid date",IF($C104="","Pick ingredient",IF($G104="?","Not in Inventory",IF($G104="","Set stock unit in Inventory",IF(N($D104)&lt;=0,"Enter quantity",IF($E104="","Pick unit",IF(IFERROR(INDEX('Lists'!$C$6:$C$30,MATCH($E104,'Lists'!$B$6:$B$30,0)),"?")&lt;&gt;IFERROR(INDEX('Lists'!$C$6:$C$30,MATCH($G104,'Lists'!$B$6:$B$30,0)),"?"),"Unit mismatch",IF(ISNUMBER(INDEX('Inventory'!$G$7:$G$106,MATCH($C104,'Inventory'!$B$7:$B$106,0))),"OK","Add price in Inventory")))))))))</f>
        <v/>
      </c>
      <c r="I104" s="88">
        <f>IF($H104&lt;&gt;"OK","",$D104*INDEX('Lists'!$D$6:$D$30,MATCH($E104,'Lists'!$B$6:$B$30,0))/INDEX('Lists'!$D$6:$D$30,MATCH($G104,'Lists'!$B$6:$B$30,0)))</f>
        <v/>
      </c>
      <c r="J104" s="71">
        <f>IF($H104&lt;&gt;"OK","",$I104*INDEX('Inventory'!$G$7:$G$106,MATCH($C104,'Inventory'!$B$7:$B$106,0)))</f>
        <v/>
      </c>
    </row>
    <row r="105" ht="17" customHeight="1">
      <c r="B105" s="66" t="n"/>
      <c r="C105" s="60" t="n"/>
      <c r="D105" s="86" t="n"/>
      <c r="E105" s="60" t="n"/>
      <c r="F105" s="60" t="n"/>
      <c r="G105" s="13">
        <f>IF($C105="","",IFERROR(INDEX('Inventory'!$D$7:$D$106,MATCH($C105,'Inventory'!$B$7:$B$106,0))&amp;"","?"))</f>
        <v/>
      </c>
      <c r="H105" s="80">
        <f>IF(AND($B105="",$C105="",$D105=""),"",IF(NOT(ISNUMBER($B105)),"Enter a valid date",IF($C105="","Pick ingredient",IF($G105="?","Not in Inventory",IF($G105="","Set stock unit in Inventory",IF(N($D105)&lt;=0,"Enter quantity",IF($E105="","Pick unit",IF(IFERROR(INDEX('Lists'!$C$6:$C$30,MATCH($E105,'Lists'!$B$6:$B$30,0)),"?")&lt;&gt;IFERROR(INDEX('Lists'!$C$6:$C$30,MATCH($G105,'Lists'!$B$6:$B$30,0)),"?"),"Unit mismatch",IF(ISNUMBER(INDEX('Inventory'!$G$7:$G$106,MATCH($C105,'Inventory'!$B$7:$B$106,0))),"OK","Add price in Inventory")))))))))</f>
        <v/>
      </c>
      <c r="I105" s="88">
        <f>IF($H105&lt;&gt;"OK","",$D105*INDEX('Lists'!$D$6:$D$30,MATCH($E105,'Lists'!$B$6:$B$30,0))/INDEX('Lists'!$D$6:$D$30,MATCH($G105,'Lists'!$B$6:$B$30,0)))</f>
        <v/>
      </c>
      <c r="J105" s="71">
        <f>IF($H105&lt;&gt;"OK","",$I105*INDEX('Inventory'!$G$7:$G$106,MATCH($C105,'Inventory'!$B$7:$B$106,0)))</f>
        <v/>
      </c>
    </row>
    <row r="106" ht="17" customHeight="1">
      <c r="B106" s="66" t="n"/>
      <c r="C106" s="60" t="n"/>
      <c r="D106" s="86" t="n"/>
      <c r="E106" s="60" t="n"/>
      <c r="F106" s="60" t="n"/>
      <c r="G106" s="13">
        <f>IF($C106="","",IFERROR(INDEX('Inventory'!$D$7:$D$106,MATCH($C106,'Inventory'!$B$7:$B$106,0))&amp;"","?"))</f>
        <v/>
      </c>
      <c r="H106" s="80">
        <f>IF(AND($B106="",$C106="",$D106=""),"",IF(NOT(ISNUMBER($B106)),"Enter a valid date",IF($C106="","Pick ingredient",IF($G106="?","Not in Inventory",IF($G106="","Set stock unit in Inventory",IF(N($D106)&lt;=0,"Enter quantity",IF($E106="","Pick unit",IF(IFERROR(INDEX('Lists'!$C$6:$C$30,MATCH($E106,'Lists'!$B$6:$B$30,0)),"?")&lt;&gt;IFERROR(INDEX('Lists'!$C$6:$C$30,MATCH($G106,'Lists'!$B$6:$B$30,0)),"?"),"Unit mismatch",IF(ISNUMBER(INDEX('Inventory'!$G$7:$G$106,MATCH($C106,'Inventory'!$B$7:$B$106,0))),"OK","Add price in Inventory")))))))))</f>
        <v/>
      </c>
      <c r="I106" s="88">
        <f>IF($H106&lt;&gt;"OK","",$D106*INDEX('Lists'!$D$6:$D$30,MATCH($E106,'Lists'!$B$6:$B$30,0))/INDEX('Lists'!$D$6:$D$30,MATCH($G106,'Lists'!$B$6:$B$30,0)))</f>
        <v/>
      </c>
      <c r="J106" s="71">
        <f>IF($H106&lt;&gt;"OK","",$I106*INDEX('Inventory'!$G$7:$G$106,MATCH($C106,'Inventory'!$B$7:$B$106,0)))</f>
        <v/>
      </c>
    </row>
    <row r="107" ht="17" customHeight="1">
      <c r="B107" s="66" t="n"/>
      <c r="C107" s="60" t="n"/>
      <c r="D107" s="86" t="n"/>
      <c r="E107" s="60" t="n"/>
      <c r="F107" s="60" t="n"/>
      <c r="G107" s="13">
        <f>IF($C107="","",IFERROR(INDEX('Inventory'!$D$7:$D$106,MATCH($C107,'Inventory'!$B$7:$B$106,0))&amp;"","?"))</f>
        <v/>
      </c>
      <c r="H107" s="80">
        <f>IF(AND($B107="",$C107="",$D107=""),"",IF(NOT(ISNUMBER($B107)),"Enter a valid date",IF($C107="","Pick ingredient",IF($G107="?","Not in Inventory",IF($G107="","Set stock unit in Inventory",IF(N($D107)&lt;=0,"Enter quantity",IF($E107="","Pick unit",IF(IFERROR(INDEX('Lists'!$C$6:$C$30,MATCH($E107,'Lists'!$B$6:$B$30,0)),"?")&lt;&gt;IFERROR(INDEX('Lists'!$C$6:$C$30,MATCH($G107,'Lists'!$B$6:$B$30,0)),"?"),"Unit mismatch",IF(ISNUMBER(INDEX('Inventory'!$G$7:$G$106,MATCH($C107,'Inventory'!$B$7:$B$106,0))),"OK","Add price in Inventory")))))))))</f>
        <v/>
      </c>
      <c r="I107" s="88">
        <f>IF($H107&lt;&gt;"OK","",$D107*INDEX('Lists'!$D$6:$D$30,MATCH($E107,'Lists'!$B$6:$B$30,0))/INDEX('Lists'!$D$6:$D$30,MATCH($G107,'Lists'!$B$6:$B$30,0)))</f>
        <v/>
      </c>
      <c r="J107" s="71">
        <f>IF($H107&lt;&gt;"OK","",$I107*INDEX('Inventory'!$G$7:$G$106,MATCH($C107,'Inventory'!$B$7:$B$106,0)))</f>
        <v/>
      </c>
    </row>
    <row r="108" ht="17" customHeight="1">
      <c r="B108" s="66" t="n"/>
      <c r="C108" s="60" t="n"/>
      <c r="D108" s="86" t="n"/>
      <c r="E108" s="60" t="n"/>
      <c r="F108" s="60" t="n"/>
      <c r="G108" s="13">
        <f>IF($C108="","",IFERROR(INDEX('Inventory'!$D$7:$D$106,MATCH($C108,'Inventory'!$B$7:$B$106,0))&amp;"","?"))</f>
        <v/>
      </c>
      <c r="H108" s="80">
        <f>IF(AND($B108="",$C108="",$D108=""),"",IF(NOT(ISNUMBER($B108)),"Enter a valid date",IF($C108="","Pick ingredient",IF($G108="?","Not in Inventory",IF($G108="","Set stock unit in Inventory",IF(N($D108)&lt;=0,"Enter quantity",IF($E108="","Pick unit",IF(IFERROR(INDEX('Lists'!$C$6:$C$30,MATCH($E108,'Lists'!$B$6:$B$30,0)),"?")&lt;&gt;IFERROR(INDEX('Lists'!$C$6:$C$30,MATCH($G108,'Lists'!$B$6:$B$30,0)),"?"),"Unit mismatch",IF(ISNUMBER(INDEX('Inventory'!$G$7:$G$106,MATCH($C108,'Inventory'!$B$7:$B$106,0))),"OK","Add price in Inventory")))))))))</f>
        <v/>
      </c>
      <c r="I108" s="88">
        <f>IF($H108&lt;&gt;"OK","",$D108*INDEX('Lists'!$D$6:$D$30,MATCH($E108,'Lists'!$B$6:$B$30,0))/INDEX('Lists'!$D$6:$D$30,MATCH($G108,'Lists'!$B$6:$B$30,0)))</f>
        <v/>
      </c>
      <c r="J108" s="71">
        <f>IF($H108&lt;&gt;"OK","",$I108*INDEX('Inventory'!$G$7:$G$106,MATCH($C108,'Inventory'!$B$7:$B$106,0)))</f>
        <v/>
      </c>
    </row>
    <row r="109" ht="17" customHeight="1">
      <c r="B109" s="66" t="n"/>
      <c r="C109" s="60" t="n"/>
      <c r="D109" s="86" t="n"/>
      <c r="E109" s="60" t="n"/>
      <c r="F109" s="60" t="n"/>
      <c r="G109" s="13">
        <f>IF($C109="","",IFERROR(INDEX('Inventory'!$D$7:$D$106,MATCH($C109,'Inventory'!$B$7:$B$106,0))&amp;"","?"))</f>
        <v/>
      </c>
      <c r="H109" s="80">
        <f>IF(AND($B109="",$C109="",$D109=""),"",IF(NOT(ISNUMBER($B109)),"Enter a valid date",IF($C109="","Pick ingredient",IF($G109="?","Not in Inventory",IF($G109="","Set stock unit in Inventory",IF(N($D109)&lt;=0,"Enter quantity",IF($E109="","Pick unit",IF(IFERROR(INDEX('Lists'!$C$6:$C$30,MATCH($E109,'Lists'!$B$6:$B$30,0)),"?")&lt;&gt;IFERROR(INDEX('Lists'!$C$6:$C$30,MATCH($G109,'Lists'!$B$6:$B$30,0)),"?"),"Unit mismatch",IF(ISNUMBER(INDEX('Inventory'!$G$7:$G$106,MATCH($C109,'Inventory'!$B$7:$B$106,0))),"OK","Add price in Inventory")))))))))</f>
        <v/>
      </c>
      <c r="I109" s="88">
        <f>IF($H109&lt;&gt;"OK","",$D109*INDEX('Lists'!$D$6:$D$30,MATCH($E109,'Lists'!$B$6:$B$30,0))/INDEX('Lists'!$D$6:$D$30,MATCH($G109,'Lists'!$B$6:$B$30,0)))</f>
        <v/>
      </c>
      <c r="J109" s="71">
        <f>IF($H109&lt;&gt;"OK","",$I109*INDEX('Inventory'!$G$7:$G$106,MATCH($C109,'Inventory'!$B$7:$B$106,0)))</f>
        <v/>
      </c>
    </row>
    <row r="110" ht="17" customHeight="1">
      <c r="B110" s="66" t="n"/>
      <c r="C110" s="60" t="n"/>
      <c r="D110" s="86" t="n"/>
      <c r="E110" s="60" t="n"/>
      <c r="F110" s="60" t="n"/>
      <c r="G110" s="13">
        <f>IF($C110="","",IFERROR(INDEX('Inventory'!$D$7:$D$106,MATCH($C110,'Inventory'!$B$7:$B$106,0))&amp;"","?"))</f>
        <v/>
      </c>
      <c r="H110" s="80">
        <f>IF(AND($B110="",$C110="",$D110=""),"",IF(NOT(ISNUMBER($B110)),"Enter a valid date",IF($C110="","Pick ingredient",IF($G110="?","Not in Inventory",IF($G110="","Set stock unit in Inventory",IF(N($D110)&lt;=0,"Enter quantity",IF($E110="","Pick unit",IF(IFERROR(INDEX('Lists'!$C$6:$C$30,MATCH($E110,'Lists'!$B$6:$B$30,0)),"?")&lt;&gt;IFERROR(INDEX('Lists'!$C$6:$C$30,MATCH($G110,'Lists'!$B$6:$B$30,0)),"?"),"Unit mismatch",IF(ISNUMBER(INDEX('Inventory'!$G$7:$G$106,MATCH($C110,'Inventory'!$B$7:$B$106,0))),"OK","Add price in Inventory")))))))))</f>
        <v/>
      </c>
      <c r="I110" s="88">
        <f>IF($H110&lt;&gt;"OK","",$D110*INDEX('Lists'!$D$6:$D$30,MATCH($E110,'Lists'!$B$6:$B$30,0))/INDEX('Lists'!$D$6:$D$30,MATCH($G110,'Lists'!$B$6:$B$30,0)))</f>
        <v/>
      </c>
      <c r="J110" s="71">
        <f>IF($H110&lt;&gt;"OK","",$I110*INDEX('Inventory'!$G$7:$G$106,MATCH($C110,'Inventory'!$B$7:$B$106,0)))</f>
        <v/>
      </c>
    </row>
    <row r="111" ht="17" customHeight="1">
      <c r="B111" s="66" t="n"/>
      <c r="C111" s="60" t="n"/>
      <c r="D111" s="86" t="n"/>
      <c r="E111" s="60" t="n"/>
      <c r="F111" s="60" t="n"/>
      <c r="G111" s="13">
        <f>IF($C111="","",IFERROR(INDEX('Inventory'!$D$7:$D$106,MATCH($C111,'Inventory'!$B$7:$B$106,0))&amp;"","?"))</f>
        <v/>
      </c>
      <c r="H111" s="80">
        <f>IF(AND($B111="",$C111="",$D111=""),"",IF(NOT(ISNUMBER($B111)),"Enter a valid date",IF($C111="","Pick ingredient",IF($G111="?","Not in Inventory",IF($G111="","Set stock unit in Inventory",IF(N($D111)&lt;=0,"Enter quantity",IF($E111="","Pick unit",IF(IFERROR(INDEX('Lists'!$C$6:$C$30,MATCH($E111,'Lists'!$B$6:$B$30,0)),"?")&lt;&gt;IFERROR(INDEX('Lists'!$C$6:$C$30,MATCH($G111,'Lists'!$B$6:$B$30,0)),"?"),"Unit mismatch",IF(ISNUMBER(INDEX('Inventory'!$G$7:$G$106,MATCH($C111,'Inventory'!$B$7:$B$106,0))),"OK","Add price in Inventory")))))))))</f>
        <v/>
      </c>
      <c r="I111" s="88">
        <f>IF($H111&lt;&gt;"OK","",$D111*INDEX('Lists'!$D$6:$D$30,MATCH($E111,'Lists'!$B$6:$B$30,0))/INDEX('Lists'!$D$6:$D$30,MATCH($G111,'Lists'!$B$6:$B$30,0)))</f>
        <v/>
      </c>
      <c r="J111" s="71">
        <f>IF($H111&lt;&gt;"OK","",$I111*INDEX('Inventory'!$G$7:$G$106,MATCH($C111,'Inventory'!$B$7:$B$106,0)))</f>
        <v/>
      </c>
    </row>
    <row r="112" ht="17" customHeight="1">
      <c r="B112" s="66" t="n"/>
      <c r="C112" s="60" t="n"/>
      <c r="D112" s="86" t="n"/>
      <c r="E112" s="60" t="n"/>
      <c r="F112" s="60" t="n"/>
      <c r="G112" s="13">
        <f>IF($C112="","",IFERROR(INDEX('Inventory'!$D$7:$D$106,MATCH($C112,'Inventory'!$B$7:$B$106,0))&amp;"","?"))</f>
        <v/>
      </c>
      <c r="H112" s="80">
        <f>IF(AND($B112="",$C112="",$D112=""),"",IF(NOT(ISNUMBER($B112)),"Enter a valid date",IF($C112="","Pick ingredient",IF($G112="?","Not in Inventory",IF($G112="","Set stock unit in Inventory",IF(N($D112)&lt;=0,"Enter quantity",IF($E112="","Pick unit",IF(IFERROR(INDEX('Lists'!$C$6:$C$30,MATCH($E112,'Lists'!$B$6:$B$30,0)),"?")&lt;&gt;IFERROR(INDEX('Lists'!$C$6:$C$30,MATCH($G112,'Lists'!$B$6:$B$30,0)),"?"),"Unit mismatch",IF(ISNUMBER(INDEX('Inventory'!$G$7:$G$106,MATCH($C112,'Inventory'!$B$7:$B$106,0))),"OK","Add price in Inventory")))))))))</f>
        <v/>
      </c>
      <c r="I112" s="88">
        <f>IF($H112&lt;&gt;"OK","",$D112*INDEX('Lists'!$D$6:$D$30,MATCH($E112,'Lists'!$B$6:$B$30,0))/INDEX('Lists'!$D$6:$D$30,MATCH($G112,'Lists'!$B$6:$B$30,0)))</f>
        <v/>
      </c>
      <c r="J112" s="71">
        <f>IF($H112&lt;&gt;"OK","",$I112*INDEX('Inventory'!$G$7:$G$106,MATCH($C112,'Inventory'!$B$7:$B$106,0)))</f>
        <v/>
      </c>
    </row>
    <row r="113" ht="17" customHeight="1">
      <c r="B113" s="66" t="n"/>
      <c r="C113" s="60" t="n"/>
      <c r="D113" s="86" t="n"/>
      <c r="E113" s="60" t="n"/>
      <c r="F113" s="60" t="n"/>
      <c r="G113" s="13">
        <f>IF($C113="","",IFERROR(INDEX('Inventory'!$D$7:$D$106,MATCH($C113,'Inventory'!$B$7:$B$106,0))&amp;"","?"))</f>
        <v/>
      </c>
      <c r="H113" s="80">
        <f>IF(AND($B113="",$C113="",$D113=""),"",IF(NOT(ISNUMBER($B113)),"Enter a valid date",IF($C113="","Pick ingredient",IF($G113="?","Not in Inventory",IF($G113="","Set stock unit in Inventory",IF(N($D113)&lt;=0,"Enter quantity",IF($E113="","Pick unit",IF(IFERROR(INDEX('Lists'!$C$6:$C$30,MATCH($E113,'Lists'!$B$6:$B$30,0)),"?")&lt;&gt;IFERROR(INDEX('Lists'!$C$6:$C$30,MATCH($G113,'Lists'!$B$6:$B$30,0)),"?"),"Unit mismatch",IF(ISNUMBER(INDEX('Inventory'!$G$7:$G$106,MATCH($C113,'Inventory'!$B$7:$B$106,0))),"OK","Add price in Inventory")))))))))</f>
        <v/>
      </c>
      <c r="I113" s="88">
        <f>IF($H113&lt;&gt;"OK","",$D113*INDEX('Lists'!$D$6:$D$30,MATCH($E113,'Lists'!$B$6:$B$30,0))/INDEX('Lists'!$D$6:$D$30,MATCH($G113,'Lists'!$B$6:$B$30,0)))</f>
        <v/>
      </c>
      <c r="J113" s="71">
        <f>IF($H113&lt;&gt;"OK","",$I113*INDEX('Inventory'!$G$7:$G$106,MATCH($C113,'Inventory'!$B$7:$B$106,0)))</f>
        <v/>
      </c>
    </row>
    <row r="114" ht="17" customHeight="1">
      <c r="B114" s="66" t="n"/>
      <c r="C114" s="60" t="n"/>
      <c r="D114" s="86" t="n"/>
      <c r="E114" s="60" t="n"/>
      <c r="F114" s="60" t="n"/>
      <c r="G114" s="13">
        <f>IF($C114="","",IFERROR(INDEX('Inventory'!$D$7:$D$106,MATCH($C114,'Inventory'!$B$7:$B$106,0))&amp;"","?"))</f>
        <v/>
      </c>
      <c r="H114" s="80">
        <f>IF(AND($B114="",$C114="",$D114=""),"",IF(NOT(ISNUMBER($B114)),"Enter a valid date",IF($C114="","Pick ingredient",IF($G114="?","Not in Inventory",IF($G114="","Set stock unit in Inventory",IF(N($D114)&lt;=0,"Enter quantity",IF($E114="","Pick unit",IF(IFERROR(INDEX('Lists'!$C$6:$C$30,MATCH($E114,'Lists'!$B$6:$B$30,0)),"?")&lt;&gt;IFERROR(INDEX('Lists'!$C$6:$C$30,MATCH($G114,'Lists'!$B$6:$B$30,0)),"?"),"Unit mismatch",IF(ISNUMBER(INDEX('Inventory'!$G$7:$G$106,MATCH($C114,'Inventory'!$B$7:$B$106,0))),"OK","Add price in Inventory")))))))))</f>
        <v/>
      </c>
      <c r="I114" s="88">
        <f>IF($H114&lt;&gt;"OK","",$D114*INDEX('Lists'!$D$6:$D$30,MATCH($E114,'Lists'!$B$6:$B$30,0))/INDEX('Lists'!$D$6:$D$30,MATCH($G114,'Lists'!$B$6:$B$30,0)))</f>
        <v/>
      </c>
      <c r="J114" s="71">
        <f>IF($H114&lt;&gt;"OK","",$I114*INDEX('Inventory'!$G$7:$G$106,MATCH($C114,'Inventory'!$B$7:$B$106,0)))</f>
        <v/>
      </c>
    </row>
    <row r="115" ht="17" customHeight="1">
      <c r="B115" s="66" t="n"/>
      <c r="C115" s="60" t="n"/>
      <c r="D115" s="86" t="n"/>
      <c r="E115" s="60" t="n"/>
      <c r="F115" s="60" t="n"/>
      <c r="G115" s="13">
        <f>IF($C115="","",IFERROR(INDEX('Inventory'!$D$7:$D$106,MATCH($C115,'Inventory'!$B$7:$B$106,0))&amp;"","?"))</f>
        <v/>
      </c>
      <c r="H115" s="80">
        <f>IF(AND($B115="",$C115="",$D115=""),"",IF(NOT(ISNUMBER($B115)),"Enter a valid date",IF($C115="","Pick ingredient",IF($G115="?","Not in Inventory",IF($G115="","Set stock unit in Inventory",IF(N($D115)&lt;=0,"Enter quantity",IF($E115="","Pick unit",IF(IFERROR(INDEX('Lists'!$C$6:$C$30,MATCH($E115,'Lists'!$B$6:$B$30,0)),"?")&lt;&gt;IFERROR(INDEX('Lists'!$C$6:$C$30,MATCH($G115,'Lists'!$B$6:$B$30,0)),"?"),"Unit mismatch",IF(ISNUMBER(INDEX('Inventory'!$G$7:$G$106,MATCH($C115,'Inventory'!$B$7:$B$106,0))),"OK","Add price in Inventory")))))))))</f>
        <v/>
      </c>
      <c r="I115" s="88">
        <f>IF($H115&lt;&gt;"OK","",$D115*INDEX('Lists'!$D$6:$D$30,MATCH($E115,'Lists'!$B$6:$B$30,0))/INDEX('Lists'!$D$6:$D$30,MATCH($G115,'Lists'!$B$6:$B$30,0)))</f>
        <v/>
      </c>
      <c r="J115" s="71">
        <f>IF($H115&lt;&gt;"OK","",$I115*INDEX('Inventory'!$G$7:$G$106,MATCH($C115,'Inventory'!$B$7:$B$106,0)))</f>
        <v/>
      </c>
    </row>
    <row r="116" ht="17" customHeight="1">
      <c r="B116" s="66" t="n"/>
      <c r="C116" s="60" t="n"/>
      <c r="D116" s="86" t="n"/>
      <c r="E116" s="60" t="n"/>
      <c r="F116" s="60" t="n"/>
      <c r="G116" s="13">
        <f>IF($C116="","",IFERROR(INDEX('Inventory'!$D$7:$D$106,MATCH($C116,'Inventory'!$B$7:$B$106,0))&amp;"","?"))</f>
        <v/>
      </c>
      <c r="H116" s="80">
        <f>IF(AND($B116="",$C116="",$D116=""),"",IF(NOT(ISNUMBER($B116)),"Enter a valid date",IF($C116="","Pick ingredient",IF($G116="?","Not in Inventory",IF($G116="","Set stock unit in Inventory",IF(N($D116)&lt;=0,"Enter quantity",IF($E116="","Pick unit",IF(IFERROR(INDEX('Lists'!$C$6:$C$30,MATCH($E116,'Lists'!$B$6:$B$30,0)),"?")&lt;&gt;IFERROR(INDEX('Lists'!$C$6:$C$30,MATCH($G116,'Lists'!$B$6:$B$30,0)),"?"),"Unit mismatch",IF(ISNUMBER(INDEX('Inventory'!$G$7:$G$106,MATCH($C116,'Inventory'!$B$7:$B$106,0))),"OK","Add price in Inventory")))))))))</f>
        <v/>
      </c>
      <c r="I116" s="88">
        <f>IF($H116&lt;&gt;"OK","",$D116*INDEX('Lists'!$D$6:$D$30,MATCH($E116,'Lists'!$B$6:$B$30,0))/INDEX('Lists'!$D$6:$D$30,MATCH($G116,'Lists'!$B$6:$B$30,0)))</f>
        <v/>
      </c>
      <c r="J116" s="71">
        <f>IF($H116&lt;&gt;"OK","",$I116*INDEX('Inventory'!$G$7:$G$106,MATCH($C116,'Inventory'!$B$7:$B$106,0)))</f>
        <v/>
      </c>
    </row>
    <row r="117" ht="17" customHeight="1">
      <c r="B117" s="66" t="n"/>
      <c r="C117" s="60" t="n"/>
      <c r="D117" s="86" t="n"/>
      <c r="E117" s="60" t="n"/>
      <c r="F117" s="60" t="n"/>
      <c r="G117" s="13">
        <f>IF($C117="","",IFERROR(INDEX('Inventory'!$D$7:$D$106,MATCH($C117,'Inventory'!$B$7:$B$106,0))&amp;"","?"))</f>
        <v/>
      </c>
      <c r="H117" s="80">
        <f>IF(AND($B117="",$C117="",$D117=""),"",IF(NOT(ISNUMBER($B117)),"Enter a valid date",IF($C117="","Pick ingredient",IF($G117="?","Not in Inventory",IF($G117="","Set stock unit in Inventory",IF(N($D117)&lt;=0,"Enter quantity",IF($E117="","Pick unit",IF(IFERROR(INDEX('Lists'!$C$6:$C$30,MATCH($E117,'Lists'!$B$6:$B$30,0)),"?")&lt;&gt;IFERROR(INDEX('Lists'!$C$6:$C$30,MATCH($G117,'Lists'!$B$6:$B$30,0)),"?"),"Unit mismatch",IF(ISNUMBER(INDEX('Inventory'!$G$7:$G$106,MATCH($C117,'Inventory'!$B$7:$B$106,0))),"OK","Add price in Inventory")))))))))</f>
        <v/>
      </c>
      <c r="I117" s="88">
        <f>IF($H117&lt;&gt;"OK","",$D117*INDEX('Lists'!$D$6:$D$30,MATCH($E117,'Lists'!$B$6:$B$30,0))/INDEX('Lists'!$D$6:$D$30,MATCH($G117,'Lists'!$B$6:$B$30,0)))</f>
        <v/>
      </c>
      <c r="J117" s="71">
        <f>IF($H117&lt;&gt;"OK","",$I117*INDEX('Inventory'!$G$7:$G$106,MATCH($C117,'Inventory'!$B$7:$B$106,0)))</f>
        <v/>
      </c>
    </row>
    <row r="118" ht="17" customHeight="1">
      <c r="B118" s="66" t="n"/>
      <c r="C118" s="60" t="n"/>
      <c r="D118" s="86" t="n"/>
      <c r="E118" s="60" t="n"/>
      <c r="F118" s="60" t="n"/>
      <c r="G118" s="13">
        <f>IF($C118="","",IFERROR(INDEX('Inventory'!$D$7:$D$106,MATCH($C118,'Inventory'!$B$7:$B$106,0))&amp;"","?"))</f>
        <v/>
      </c>
      <c r="H118" s="80">
        <f>IF(AND($B118="",$C118="",$D118=""),"",IF(NOT(ISNUMBER($B118)),"Enter a valid date",IF($C118="","Pick ingredient",IF($G118="?","Not in Inventory",IF($G118="","Set stock unit in Inventory",IF(N($D118)&lt;=0,"Enter quantity",IF($E118="","Pick unit",IF(IFERROR(INDEX('Lists'!$C$6:$C$30,MATCH($E118,'Lists'!$B$6:$B$30,0)),"?")&lt;&gt;IFERROR(INDEX('Lists'!$C$6:$C$30,MATCH($G118,'Lists'!$B$6:$B$30,0)),"?"),"Unit mismatch",IF(ISNUMBER(INDEX('Inventory'!$G$7:$G$106,MATCH($C118,'Inventory'!$B$7:$B$106,0))),"OK","Add price in Inventory")))))))))</f>
        <v/>
      </c>
      <c r="I118" s="88">
        <f>IF($H118&lt;&gt;"OK","",$D118*INDEX('Lists'!$D$6:$D$30,MATCH($E118,'Lists'!$B$6:$B$30,0))/INDEX('Lists'!$D$6:$D$30,MATCH($G118,'Lists'!$B$6:$B$30,0)))</f>
        <v/>
      </c>
      <c r="J118" s="71">
        <f>IF($H118&lt;&gt;"OK","",$I118*INDEX('Inventory'!$G$7:$G$106,MATCH($C118,'Inventory'!$B$7:$B$106,0)))</f>
        <v/>
      </c>
    </row>
    <row r="119" ht="17" customHeight="1">
      <c r="B119" s="66" t="n"/>
      <c r="C119" s="60" t="n"/>
      <c r="D119" s="86" t="n"/>
      <c r="E119" s="60" t="n"/>
      <c r="F119" s="60" t="n"/>
      <c r="G119" s="13">
        <f>IF($C119="","",IFERROR(INDEX('Inventory'!$D$7:$D$106,MATCH($C119,'Inventory'!$B$7:$B$106,0))&amp;"","?"))</f>
        <v/>
      </c>
      <c r="H119" s="80">
        <f>IF(AND($B119="",$C119="",$D119=""),"",IF(NOT(ISNUMBER($B119)),"Enter a valid date",IF($C119="","Pick ingredient",IF($G119="?","Not in Inventory",IF($G119="","Set stock unit in Inventory",IF(N($D119)&lt;=0,"Enter quantity",IF($E119="","Pick unit",IF(IFERROR(INDEX('Lists'!$C$6:$C$30,MATCH($E119,'Lists'!$B$6:$B$30,0)),"?")&lt;&gt;IFERROR(INDEX('Lists'!$C$6:$C$30,MATCH($G119,'Lists'!$B$6:$B$30,0)),"?"),"Unit mismatch",IF(ISNUMBER(INDEX('Inventory'!$G$7:$G$106,MATCH($C119,'Inventory'!$B$7:$B$106,0))),"OK","Add price in Inventory")))))))))</f>
        <v/>
      </c>
      <c r="I119" s="88">
        <f>IF($H119&lt;&gt;"OK","",$D119*INDEX('Lists'!$D$6:$D$30,MATCH($E119,'Lists'!$B$6:$B$30,0))/INDEX('Lists'!$D$6:$D$30,MATCH($G119,'Lists'!$B$6:$B$30,0)))</f>
        <v/>
      </c>
      <c r="J119" s="71">
        <f>IF($H119&lt;&gt;"OK","",$I119*INDEX('Inventory'!$G$7:$G$106,MATCH($C119,'Inventory'!$B$7:$B$106,0)))</f>
        <v/>
      </c>
    </row>
    <row r="120" ht="17" customHeight="1">
      <c r="B120" s="66" t="n"/>
      <c r="C120" s="60" t="n"/>
      <c r="D120" s="86" t="n"/>
      <c r="E120" s="60" t="n"/>
      <c r="F120" s="60" t="n"/>
      <c r="G120" s="13">
        <f>IF($C120="","",IFERROR(INDEX('Inventory'!$D$7:$D$106,MATCH($C120,'Inventory'!$B$7:$B$106,0))&amp;"","?"))</f>
        <v/>
      </c>
      <c r="H120" s="80">
        <f>IF(AND($B120="",$C120="",$D120=""),"",IF(NOT(ISNUMBER($B120)),"Enter a valid date",IF($C120="","Pick ingredient",IF($G120="?","Not in Inventory",IF($G120="","Set stock unit in Inventory",IF(N($D120)&lt;=0,"Enter quantity",IF($E120="","Pick unit",IF(IFERROR(INDEX('Lists'!$C$6:$C$30,MATCH($E120,'Lists'!$B$6:$B$30,0)),"?")&lt;&gt;IFERROR(INDEX('Lists'!$C$6:$C$30,MATCH($G120,'Lists'!$B$6:$B$30,0)),"?"),"Unit mismatch",IF(ISNUMBER(INDEX('Inventory'!$G$7:$G$106,MATCH($C120,'Inventory'!$B$7:$B$106,0))),"OK","Add price in Inventory")))))))))</f>
        <v/>
      </c>
      <c r="I120" s="88">
        <f>IF($H120&lt;&gt;"OK","",$D120*INDEX('Lists'!$D$6:$D$30,MATCH($E120,'Lists'!$B$6:$B$30,0))/INDEX('Lists'!$D$6:$D$30,MATCH($G120,'Lists'!$B$6:$B$30,0)))</f>
        <v/>
      </c>
      <c r="J120" s="71">
        <f>IF($H120&lt;&gt;"OK","",$I120*INDEX('Inventory'!$G$7:$G$106,MATCH($C120,'Inventory'!$B$7:$B$106,0)))</f>
        <v/>
      </c>
    </row>
    <row r="121" ht="17" customHeight="1">
      <c r="B121" s="66" t="n"/>
      <c r="C121" s="60" t="n"/>
      <c r="D121" s="86" t="n"/>
      <c r="E121" s="60" t="n"/>
      <c r="F121" s="60" t="n"/>
      <c r="G121" s="13">
        <f>IF($C121="","",IFERROR(INDEX('Inventory'!$D$7:$D$106,MATCH($C121,'Inventory'!$B$7:$B$106,0))&amp;"","?"))</f>
        <v/>
      </c>
      <c r="H121" s="80">
        <f>IF(AND($B121="",$C121="",$D121=""),"",IF(NOT(ISNUMBER($B121)),"Enter a valid date",IF($C121="","Pick ingredient",IF($G121="?","Not in Inventory",IF($G121="","Set stock unit in Inventory",IF(N($D121)&lt;=0,"Enter quantity",IF($E121="","Pick unit",IF(IFERROR(INDEX('Lists'!$C$6:$C$30,MATCH($E121,'Lists'!$B$6:$B$30,0)),"?")&lt;&gt;IFERROR(INDEX('Lists'!$C$6:$C$30,MATCH($G121,'Lists'!$B$6:$B$30,0)),"?"),"Unit mismatch",IF(ISNUMBER(INDEX('Inventory'!$G$7:$G$106,MATCH($C121,'Inventory'!$B$7:$B$106,0))),"OK","Add price in Inventory")))))))))</f>
        <v/>
      </c>
      <c r="I121" s="88">
        <f>IF($H121&lt;&gt;"OK","",$D121*INDEX('Lists'!$D$6:$D$30,MATCH($E121,'Lists'!$B$6:$B$30,0))/INDEX('Lists'!$D$6:$D$30,MATCH($G121,'Lists'!$B$6:$B$30,0)))</f>
        <v/>
      </c>
      <c r="J121" s="71">
        <f>IF($H121&lt;&gt;"OK","",$I121*INDEX('Inventory'!$G$7:$G$106,MATCH($C121,'Inventory'!$B$7:$B$106,0)))</f>
        <v/>
      </c>
    </row>
    <row r="122" ht="17" customHeight="1">
      <c r="B122" s="66" t="n"/>
      <c r="C122" s="60" t="n"/>
      <c r="D122" s="86" t="n"/>
      <c r="E122" s="60" t="n"/>
      <c r="F122" s="60" t="n"/>
      <c r="G122" s="13">
        <f>IF($C122="","",IFERROR(INDEX('Inventory'!$D$7:$D$106,MATCH($C122,'Inventory'!$B$7:$B$106,0))&amp;"","?"))</f>
        <v/>
      </c>
      <c r="H122" s="80">
        <f>IF(AND($B122="",$C122="",$D122=""),"",IF(NOT(ISNUMBER($B122)),"Enter a valid date",IF($C122="","Pick ingredient",IF($G122="?","Not in Inventory",IF($G122="","Set stock unit in Inventory",IF(N($D122)&lt;=0,"Enter quantity",IF($E122="","Pick unit",IF(IFERROR(INDEX('Lists'!$C$6:$C$30,MATCH($E122,'Lists'!$B$6:$B$30,0)),"?")&lt;&gt;IFERROR(INDEX('Lists'!$C$6:$C$30,MATCH($G122,'Lists'!$B$6:$B$30,0)),"?"),"Unit mismatch",IF(ISNUMBER(INDEX('Inventory'!$G$7:$G$106,MATCH($C122,'Inventory'!$B$7:$B$106,0))),"OK","Add price in Inventory")))))))))</f>
        <v/>
      </c>
      <c r="I122" s="88">
        <f>IF($H122&lt;&gt;"OK","",$D122*INDEX('Lists'!$D$6:$D$30,MATCH($E122,'Lists'!$B$6:$B$30,0))/INDEX('Lists'!$D$6:$D$30,MATCH($G122,'Lists'!$B$6:$B$30,0)))</f>
        <v/>
      </c>
      <c r="J122" s="71">
        <f>IF($H122&lt;&gt;"OK","",$I122*INDEX('Inventory'!$G$7:$G$106,MATCH($C122,'Inventory'!$B$7:$B$106,0)))</f>
        <v/>
      </c>
    </row>
    <row r="123" ht="17" customHeight="1">
      <c r="B123" s="66" t="n"/>
      <c r="C123" s="60" t="n"/>
      <c r="D123" s="86" t="n"/>
      <c r="E123" s="60" t="n"/>
      <c r="F123" s="60" t="n"/>
      <c r="G123" s="13">
        <f>IF($C123="","",IFERROR(INDEX('Inventory'!$D$7:$D$106,MATCH($C123,'Inventory'!$B$7:$B$106,0))&amp;"","?"))</f>
        <v/>
      </c>
      <c r="H123" s="80">
        <f>IF(AND($B123="",$C123="",$D123=""),"",IF(NOT(ISNUMBER($B123)),"Enter a valid date",IF($C123="","Pick ingredient",IF($G123="?","Not in Inventory",IF($G123="","Set stock unit in Inventory",IF(N($D123)&lt;=0,"Enter quantity",IF($E123="","Pick unit",IF(IFERROR(INDEX('Lists'!$C$6:$C$30,MATCH($E123,'Lists'!$B$6:$B$30,0)),"?")&lt;&gt;IFERROR(INDEX('Lists'!$C$6:$C$30,MATCH($G123,'Lists'!$B$6:$B$30,0)),"?"),"Unit mismatch",IF(ISNUMBER(INDEX('Inventory'!$G$7:$G$106,MATCH($C123,'Inventory'!$B$7:$B$106,0))),"OK","Add price in Inventory")))))))))</f>
        <v/>
      </c>
      <c r="I123" s="88">
        <f>IF($H123&lt;&gt;"OK","",$D123*INDEX('Lists'!$D$6:$D$30,MATCH($E123,'Lists'!$B$6:$B$30,0))/INDEX('Lists'!$D$6:$D$30,MATCH($G123,'Lists'!$B$6:$B$30,0)))</f>
        <v/>
      </c>
      <c r="J123" s="71">
        <f>IF($H123&lt;&gt;"OK","",$I123*INDEX('Inventory'!$G$7:$G$106,MATCH($C123,'Inventory'!$B$7:$B$106,0)))</f>
        <v/>
      </c>
    </row>
    <row r="124" ht="17" customHeight="1">
      <c r="B124" s="66" t="n"/>
      <c r="C124" s="60" t="n"/>
      <c r="D124" s="86" t="n"/>
      <c r="E124" s="60" t="n"/>
      <c r="F124" s="60" t="n"/>
      <c r="G124" s="13">
        <f>IF($C124="","",IFERROR(INDEX('Inventory'!$D$7:$D$106,MATCH($C124,'Inventory'!$B$7:$B$106,0))&amp;"","?"))</f>
        <v/>
      </c>
      <c r="H124" s="80">
        <f>IF(AND($B124="",$C124="",$D124=""),"",IF(NOT(ISNUMBER($B124)),"Enter a valid date",IF($C124="","Pick ingredient",IF($G124="?","Not in Inventory",IF($G124="","Set stock unit in Inventory",IF(N($D124)&lt;=0,"Enter quantity",IF($E124="","Pick unit",IF(IFERROR(INDEX('Lists'!$C$6:$C$30,MATCH($E124,'Lists'!$B$6:$B$30,0)),"?")&lt;&gt;IFERROR(INDEX('Lists'!$C$6:$C$30,MATCH($G124,'Lists'!$B$6:$B$30,0)),"?"),"Unit mismatch",IF(ISNUMBER(INDEX('Inventory'!$G$7:$G$106,MATCH($C124,'Inventory'!$B$7:$B$106,0))),"OK","Add price in Inventory")))))))))</f>
        <v/>
      </c>
      <c r="I124" s="88">
        <f>IF($H124&lt;&gt;"OK","",$D124*INDEX('Lists'!$D$6:$D$30,MATCH($E124,'Lists'!$B$6:$B$30,0))/INDEX('Lists'!$D$6:$D$30,MATCH($G124,'Lists'!$B$6:$B$30,0)))</f>
        <v/>
      </c>
      <c r="J124" s="71">
        <f>IF($H124&lt;&gt;"OK","",$I124*INDEX('Inventory'!$G$7:$G$106,MATCH($C124,'Inventory'!$B$7:$B$106,0)))</f>
        <v/>
      </c>
    </row>
    <row r="125" ht="17" customHeight="1">
      <c r="B125" s="66" t="n"/>
      <c r="C125" s="60" t="n"/>
      <c r="D125" s="86" t="n"/>
      <c r="E125" s="60" t="n"/>
      <c r="F125" s="60" t="n"/>
      <c r="G125" s="13">
        <f>IF($C125="","",IFERROR(INDEX('Inventory'!$D$7:$D$106,MATCH($C125,'Inventory'!$B$7:$B$106,0))&amp;"","?"))</f>
        <v/>
      </c>
      <c r="H125" s="80">
        <f>IF(AND($B125="",$C125="",$D125=""),"",IF(NOT(ISNUMBER($B125)),"Enter a valid date",IF($C125="","Pick ingredient",IF($G125="?","Not in Inventory",IF($G125="","Set stock unit in Inventory",IF(N($D125)&lt;=0,"Enter quantity",IF($E125="","Pick unit",IF(IFERROR(INDEX('Lists'!$C$6:$C$30,MATCH($E125,'Lists'!$B$6:$B$30,0)),"?")&lt;&gt;IFERROR(INDEX('Lists'!$C$6:$C$30,MATCH($G125,'Lists'!$B$6:$B$30,0)),"?"),"Unit mismatch",IF(ISNUMBER(INDEX('Inventory'!$G$7:$G$106,MATCH($C125,'Inventory'!$B$7:$B$106,0))),"OK","Add price in Inventory")))))))))</f>
        <v/>
      </c>
      <c r="I125" s="88">
        <f>IF($H125&lt;&gt;"OK","",$D125*INDEX('Lists'!$D$6:$D$30,MATCH($E125,'Lists'!$B$6:$B$30,0))/INDEX('Lists'!$D$6:$D$30,MATCH($G125,'Lists'!$B$6:$B$30,0)))</f>
        <v/>
      </c>
      <c r="J125" s="71">
        <f>IF($H125&lt;&gt;"OK","",$I125*INDEX('Inventory'!$G$7:$G$106,MATCH($C125,'Inventory'!$B$7:$B$106,0)))</f>
        <v/>
      </c>
    </row>
    <row r="126" ht="17" customHeight="1">
      <c r="B126" s="66" t="n"/>
      <c r="C126" s="60" t="n"/>
      <c r="D126" s="86" t="n"/>
      <c r="E126" s="60" t="n"/>
      <c r="F126" s="60" t="n"/>
      <c r="G126" s="13">
        <f>IF($C126="","",IFERROR(INDEX('Inventory'!$D$7:$D$106,MATCH($C126,'Inventory'!$B$7:$B$106,0))&amp;"","?"))</f>
        <v/>
      </c>
      <c r="H126" s="80">
        <f>IF(AND($B126="",$C126="",$D126=""),"",IF(NOT(ISNUMBER($B126)),"Enter a valid date",IF($C126="","Pick ingredient",IF($G126="?","Not in Inventory",IF($G126="","Set stock unit in Inventory",IF(N($D126)&lt;=0,"Enter quantity",IF($E126="","Pick unit",IF(IFERROR(INDEX('Lists'!$C$6:$C$30,MATCH($E126,'Lists'!$B$6:$B$30,0)),"?")&lt;&gt;IFERROR(INDEX('Lists'!$C$6:$C$30,MATCH($G126,'Lists'!$B$6:$B$30,0)),"?"),"Unit mismatch",IF(ISNUMBER(INDEX('Inventory'!$G$7:$G$106,MATCH($C126,'Inventory'!$B$7:$B$106,0))),"OK","Add price in Inventory")))))))))</f>
        <v/>
      </c>
      <c r="I126" s="88">
        <f>IF($H126&lt;&gt;"OK","",$D126*INDEX('Lists'!$D$6:$D$30,MATCH($E126,'Lists'!$B$6:$B$30,0))/INDEX('Lists'!$D$6:$D$30,MATCH($G126,'Lists'!$B$6:$B$30,0)))</f>
        <v/>
      </c>
      <c r="J126" s="71">
        <f>IF($H126&lt;&gt;"OK","",$I126*INDEX('Inventory'!$G$7:$G$106,MATCH($C126,'Inventory'!$B$7:$B$106,0)))</f>
        <v/>
      </c>
    </row>
    <row r="127" ht="17" customHeight="1">
      <c r="B127" s="66" t="n"/>
      <c r="C127" s="60" t="n"/>
      <c r="D127" s="86" t="n"/>
      <c r="E127" s="60" t="n"/>
      <c r="F127" s="60" t="n"/>
      <c r="G127" s="13">
        <f>IF($C127="","",IFERROR(INDEX('Inventory'!$D$7:$D$106,MATCH($C127,'Inventory'!$B$7:$B$106,0))&amp;"","?"))</f>
        <v/>
      </c>
      <c r="H127" s="80">
        <f>IF(AND($B127="",$C127="",$D127=""),"",IF(NOT(ISNUMBER($B127)),"Enter a valid date",IF($C127="","Pick ingredient",IF($G127="?","Not in Inventory",IF($G127="","Set stock unit in Inventory",IF(N($D127)&lt;=0,"Enter quantity",IF($E127="","Pick unit",IF(IFERROR(INDEX('Lists'!$C$6:$C$30,MATCH($E127,'Lists'!$B$6:$B$30,0)),"?")&lt;&gt;IFERROR(INDEX('Lists'!$C$6:$C$30,MATCH($G127,'Lists'!$B$6:$B$30,0)),"?"),"Unit mismatch",IF(ISNUMBER(INDEX('Inventory'!$G$7:$G$106,MATCH($C127,'Inventory'!$B$7:$B$106,0))),"OK","Add price in Inventory")))))))))</f>
        <v/>
      </c>
      <c r="I127" s="88">
        <f>IF($H127&lt;&gt;"OK","",$D127*INDEX('Lists'!$D$6:$D$30,MATCH($E127,'Lists'!$B$6:$B$30,0))/INDEX('Lists'!$D$6:$D$30,MATCH($G127,'Lists'!$B$6:$B$30,0)))</f>
        <v/>
      </c>
      <c r="J127" s="71">
        <f>IF($H127&lt;&gt;"OK","",$I127*INDEX('Inventory'!$G$7:$G$106,MATCH($C127,'Inventory'!$B$7:$B$106,0)))</f>
        <v/>
      </c>
    </row>
    <row r="128" ht="17" customHeight="1">
      <c r="B128" s="66" t="n"/>
      <c r="C128" s="60" t="n"/>
      <c r="D128" s="86" t="n"/>
      <c r="E128" s="60" t="n"/>
      <c r="F128" s="60" t="n"/>
      <c r="G128" s="13">
        <f>IF($C128="","",IFERROR(INDEX('Inventory'!$D$7:$D$106,MATCH($C128,'Inventory'!$B$7:$B$106,0))&amp;"","?"))</f>
        <v/>
      </c>
      <c r="H128" s="80">
        <f>IF(AND($B128="",$C128="",$D128=""),"",IF(NOT(ISNUMBER($B128)),"Enter a valid date",IF($C128="","Pick ingredient",IF($G128="?","Not in Inventory",IF($G128="","Set stock unit in Inventory",IF(N($D128)&lt;=0,"Enter quantity",IF($E128="","Pick unit",IF(IFERROR(INDEX('Lists'!$C$6:$C$30,MATCH($E128,'Lists'!$B$6:$B$30,0)),"?")&lt;&gt;IFERROR(INDEX('Lists'!$C$6:$C$30,MATCH($G128,'Lists'!$B$6:$B$30,0)),"?"),"Unit mismatch",IF(ISNUMBER(INDEX('Inventory'!$G$7:$G$106,MATCH($C128,'Inventory'!$B$7:$B$106,0))),"OK","Add price in Inventory")))))))))</f>
        <v/>
      </c>
      <c r="I128" s="88">
        <f>IF($H128&lt;&gt;"OK","",$D128*INDEX('Lists'!$D$6:$D$30,MATCH($E128,'Lists'!$B$6:$B$30,0))/INDEX('Lists'!$D$6:$D$30,MATCH($G128,'Lists'!$B$6:$B$30,0)))</f>
        <v/>
      </c>
      <c r="J128" s="71">
        <f>IF($H128&lt;&gt;"OK","",$I128*INDEX('Inventory'!$G$7:$G$106,MATCH($C128,'Inventory'!$B$7:$B$106,0)))</f>
        <v/>
      </c>
    </row>
    <row r="129" ht="17" customHeight="1">
      <c r="B129" s="66" t="n"/>
      <c r="C129" s="60" t="n"/>
      <c r="D129" s="86" t="n"/>
      <c r="E129" s="60" t="n"/>
      <c r="F129" s="60" t="n"/>
      <c r="G129" s="13">
        <f>IF($C129="","",IFERROR(INDEX('Inventory'!$D$7:$D$106,MATCH($C129,'Inventory'!$B$7:$B$106,0))&amp;"","?"))</f>
        <v/>
      </c>
      <c r="H129" s="80">
        <f>IF(AND($B129="",$C129="",$D129=""),"",IF(NOT(ISNUMBER($B129)),"Enter a valid date",IF($C129="","Pick ingredient",IF($G129="?","Not in Inventory",IF($G129="","Set stock unit in Inventory",IF(N($D129)&lt;=0,"Enter quantity",IF($E129="","Pick unit",IF(IFERROR(INDEX('Lists'!$C$6:$C$30,MATCH($E129,'Lists'!$B$6:$B$30,0)),"?")&lt;&gt;IFERROR(INDEX('Lists'!$C$6:$C$30,MATCH($G129,'Lists'!$B$6:$B$30,0)),"?"),"Unit mismatch",IF(ISNUMBER(INDEX('Inventory'!$G$7:$G$106,MATCH($C129,'Inventory'!$B$7:$B$106,0))),"OK","Add price in Inventory")))))))))</f>
        <v/>
      </c>
      <c r="I129" s="88">
        <f>IF($H129&lt;&gt;"OK","",$D129*INDEX('Lists'!$D$6:$D$30,MATCH($E129,'Lists'!$B$6:$B$30,0))/INDEX('Lists'!$D$6:$D$30,MATCH($G129,'Lists'!$B$6:$B$30,0)))</f>
        <v/>
      </c>
      <c r="J129" s="71">
        <f>IF($H129&lt;&gt;"OK","",$I129*INDEX('Inventory'!$G$7:$G$106,MATCH($C129,'Inventory'!$B$7:$B$106,0)))</f>
        <v/>
      </c>
    </row>
    <row r="130" ht="17" customHeight="1">
      <c r="B130" s="66" t="n"/>
      <c r="C130" s="60" t="n"/>
      <c r="D130" s="86" t="n"/>
      <c r="E130" s="60" t="n"/>
      <c r="F130" s="60" t="n"/>
      <c r="G130" s="13">
        <f>IF($C130="","",IFERROR(INDEX('Inventory'!$D$7:$D$106,MATCH($C130,'Inventory'!$B$7:$B$106,0))&amp;"","?"))</f>
        <v/>
      </c>
      <c r="H130" s="80">
        <f>IF(AND($B130="",$C130="",$D130=""),"",IF(NOT(ISNUMBER($B130)),"Enter a valid date",IF($C130="","Pick ingredient",IF($G130="?","Not in Inventory",IF($G130="","Set stock unit in Inventory",IF(N($D130)&lt;=0,"Enter quantity",IF($E130="","Pick unit",IF(IFERROR(INDEX('Lists'!$C$6:$C$30,MATCH($E130,'Lists'!$B$6:$B$30,0)),"?")&lt;&gt;IFERROR(INDEX('Lists'!$C$6:$C$30,MATCH($G130,'Lists'!$B$6:$B$30,0)),"?"),"Unit mismatch",IF(ISNUMBER(INDEX('Inventory'!$G$7:$G$106,MATCH($C130,'Inventory'!$B$7:$B$106,0))),"OK","Add price in Inventory")))))))))</f>
        <v/>
      </c>
      <c r="I130" s="88">
        <f>IF($H130&lt;&gt;"OK","",$D130*INDEX('Lists'!$D$6:$D$30,MATCH($E130,'Lists'!$B$6:$B$30,0))/INDEX('Lists'!$D$6:$D$30,MATCH($G130,'Lists'!$B$6:$B$30,0)))</f>
        <v/>
      </c>
      <c r="J130" s="71">
        <f>IF($H130&lt;&gt;"OK","",$I130*INDEX('Inventory'!$G$7:$G$106,MATCH($C130,'Inventory'!$B$7:$B$106,0)))</f>
        <v/>
      </c>
    </row>
    <row r="131" ht="17" customHeight="1">
      <c r="B131" s="66" t="n"/>
      <c r="C131" s="60" t="n"/>
      <c r="D131" s="86" t="n"/>
      <c r="E131" s="60" t="n"/>
      <c r="F131" s="60" t="n"/>
      <c r="G131" s="13">
        <f>IF($C131="","",IFERROR(INDEX('Inventory'!$D$7:$D$106,MATCH($C131,'Inventory'!$B$7:$B$106,0))&amp;"","?"))</f>
        <v/>
      </c>
      <c r="H131" s="80">
        <f>IF(AND($B131="",$C131="",$D131=""),"",IF(NOT(ISNUMBER($B131)),"Enter a valid date",IF($C131="","Pick ingredient",IF($G131="?","Not in Inventory",IF($G131="","Set stock unit in Inventory",IF(N($D131)&lt;=0,"Enter quantity",IF($E131="","Pick unit",IF(IFERROR(INDEX('Lists'!$C$6:$C$30,MATCH($E131,'Lists'!$B$6:$B$30,0)),"?")&lt;&gt;IFERROR(INDEX('Lists'!$C$6:$C$30,MATCH($G131,'Lists'!$B$6:$B$30,0)),"?"),"Unit mismatch",IF(ISNUMBER(INDEX('Inventory'!$G$7:$G$106,MATCH($C131,'Inventory'!$B$7:$B$106,0))),"OK","Add price in Inventory")))))))))</f>
        <v/>
      </c>
      <c r="I131" s="88">
        <f>IF($H131&lt;&gt;"OK","",$D131*INDEX('Lists'!$D$6:$D$30,MATCH($E131,'Lists'!$B$6:$B$30,0))/INDEX('Lists'!$D$6:$D$30,MATCH($G131,'Lists'!$B$6:$B$30,0)))</f>
        <v/>
      </c>
      <c r="J131" s="71">
        <f>IF($H131&lt;&gt;"OK","",$I131*INDEX('Inventory'!$G$7:$G$106,MATCH($C131,'Inventory'!$B$7:$B$106,0)))</f>
        <v/>
      </c>
    </row>
    <row r="132" ht="17" customHeight="1">
      <c r="B132" s="66" t="n"/>
      <c r="C132" s="60" t="n"/>
      <c r="D132" s="86" t="n"/>
      <c r="E132" s="60" t="n"/>
      <c r="F132" s="60" t="n"/>
      <c r="G132" s="13">
        <f>IF($C132="","",IFERROR(INDEX('Inventory'!$D$7:$D$106,MATCH($C132,'Inventory'!$B$7:$B$106,0))&amp;"","?"))</f>
        <v/>
      </c>
      <c r="H132" s="80">
        <f>IF(AND($B132="",$C132="",$D132=""),"",IF(NOT(ISNUMBER($B132)),"Enter a valid date",IF($C132="","Pick ingredient",IF($G132="?","Not in Inventory",IF($G132="","Set stock unit in Inventory",IF(N($D132)&lt;=0,"Enter quantity",IF($E132="","Pick unit",IF(IFERROR(INDEX('Lists'!$C$6:$C$30,MATCH($E132,'Lists'!$B$6:$B$30,0)),"?")&lt;&gt;IFERROR(INDEX('Lists'!$C$6:$C$30,MATCH($G132,'Lists'!$B$6:$B$30,0)),"?"),"Unit mismatch",IF(ISNUMBER(INDEX('Inventory'!$G$7:$G$106,MATCH($C132,'Inventory'!$B$7:$B$106,0))),"OK","Add price in Inventory")))))))))</f>
        <v/>
      </c>
      <c r="I132" s="88">
        <f>IF($H132&lt;&gt;"OK","",$D132*INDEX('Lists'!$D$6:$D$30,MATCH($E132,'Lists'!$B$6:$B$30,0))/INDEX('Lists'!$D$6:$D$30,MATCH($G132,'Lists'!$B$6:$B$30,0)))</f>
        <v/>
      </c>
      <c r="J132" s="71">
        <f>IF($H132&lt;&gt;"OK","",$I132*INDEX('Inventory'!$G$7:$G$106,MATCH($C132,'Inventory'!$B$7:$B$106,0)))</f>
        <v/>
      </c>
    </row>
    <row r="133" ht="17" customHeight="1">
      <c r="B133" s="66" t="n"/>
      <c r="C133" s="60" t="n"/>
      <c r="D133" s="86" t="n"/>
      <c r="E133" s="60" t="n"/>
      <c r="F133" s="60" t="n"/>
      <c r="G133" s="13">
        <f>IF($C133="","",IFERROR(INDEX('Inventory'!$D$7:$D$106,MATCH($C133,'Inventory'!$B$7:$B$106,0))&amp;"","?"))</f>
        <v/>
      </c>
      <c r="H133" s="80">
        <f>IF(AND($B133="",$C133="",$D133=""),"",IF(NOT(ISNUMBER($B133)),"Enter a valid date",IF($C133="","Pick ingredient",IF($G133="?","Not in Inventory",IF($G133="","Set stock unit in Inventory",IF(N($D133)&lt;=0,"Enter quantity",IF($E133="","Pick unit",IF(IFERROR(INDEX('Lists'!$C$6:$C$30,MATCH($E133,'Lists'!$B$6:$B$30,0)),"?")&lt;&gt;IFERROR(INDEX('Lists'!$C$6:$C$30,MATCH($G133,'Lists'!$B$6:$B$30,0)),"?"),"Unit mismatch",IF(ISNUMBER(INDEX('Inventory'!$G$7:$G$106,MATCH($C133,'Inventory'!$B$7:$B$106,0))),"OK","Add price in Inventory")))))))))</f>
        <v/>
      </c>
      <c r="I133" s="88">
        <f>IF($H133&lt;&gt;"OK","",$D133*INDEX('Lists'!$D$6:$D$30,MATCH($E133,'Lists'!$B$6:$B$30,0))/INDEX('Lists'!$D$6:$D$30,MATCH($G133,'Lists'!$B$6:$B$30,0)))</f>
        <v/>
      </c>
      <c r="J133" s="71">
        <f>IF($H133&lt;&gt;"OK","",$I133*INDEX('Inventory'!$G$7:$G$106,MATCH($C133,'Inventory'!$B$7:$B$106,0)))</f>
        <v/>
      </c>
    </row>
    <row r="134" ht="17" customHeight="1">
      <c r="B134" s="66" t="n"/>
      <c r="C134" s="60" t="n"/>
      <c r="D134" s="86" t="n"/>
      <c r="E134" s="60" t="n"/>
      <c r="F134" s="60" t="n"/>
      <c r="G134" s="13">
        <f>IF($C134="","",IFERROR(INDEX('Inventory'!$D$7:$D$106,MATCH($C134,'Inventory'!$B$7:$B$106,0))&amp;"","?"))</f>
        <v/>
      </c>
      <c r="H134" s="80">
        <f>IF(AND($B134="",$C134="",$D134=""),"",IF(NOT(ISNUMBER($B134)),"Enter a valid date",IF($C134="","Pick ingredient",IF($G134="?","Not in Inventory",IF($G134="","Set stock unit in Inventory",IF(N($D134)&lt;=0,"Enter quantity",IF($E134="","Pick unit",IF(IFERROR(INDEX('Lists'!$C$6:$C$30,MATCH($E134,'Lists'!$B$6:$B$30,0)),"?")&lt;&gt;IFERROR(INDEX('Lists'!$C$6:$C$30,MATCH($G134,'Lists'!$B$6:$B$30,0)),"?"),"Unit mismatch",IF(ISNUMBER(INDEX('Inventory'!$G$7:$G$106,MATCH($C134,'Inventory'!$B$7:$B$106,0))),"OK","Add price in Inventory")))))))))</f>
        <v/>
      </c>
      <c r="I134" s="88">
        <f>IF($H134&lt;&gt;"OK","",$D134*INDEX('Lists'!$D$6:$D$30,MATCH($E134,'Lists'!$B$6:$B$30,0))/INDEX('Lists'!$D$6:$D$30,MATCH($G134,'Lists'!$B$6:$B$30,0)))</f>
        <v/>
      </c>
      <c r="J134" s="71">
        <f>IF($H134&lt;&gt;"OK","",$I134*INDEX('Inventory'!$G$7:$G$106,MATCH($C134,'Inventory'!$B$7:$B$106,0)))</f>
        <v/>
      </c>
    </row>
    <row r="135" ht="17" customHeight="1">
      <c r="B135" s="66" t="n"/>
      <c r="C135" s="60" t="n"/>
      <c r="D135" s="86" t="n"/>
      <c r="E135" s="60" t="n"/>
      <c r="F135" s="60" t="n"/>
      <c r="G135" s="13">
        <f>IF($C135="","",IFERROR(INDEX('Inventory'!$D$7:$D$106,MATCH($C135,'Inventory'!$B$7:$B$106,0))&amp;"","?"))</f>
        <v/>
      </c>
      <c r="H135" s="80">
        <f>IF(AND($B135="",$C135="",$D135=""),"",IF(NOT(ISNUMBER($B135)),"Enter a valid date",IF($C135="","Pick ingredient",IF($G135="?","Not in Inventory",IF($G135="","Set stock unit in Inventory",IF(N($D135)&lt;=0,"Enter quantity",IF($E135="","Pick unit",IF(IFERROR(INDEX('Lists'!$C$6:$C$30,MATCH($E135,'Lists'!$B$6:$B$30,0)),"?")&lt;&gt;IFERROR(INDEX('Lists'!$C$6:$C$30,MATCH($G135,'Lists'!$B$6:$B$30,0)),"?"),"Unit mismatch",IF(ISNUMBER(INDEX('Inventory'!$G$7:$G$106,MATCH($C135,'Inventory'!$B$7:$B$106,0))),"OK","Add price in Inventory")))))))))</f>
        <v/>
      </c>
      <c r="I135" s="88">
        <f>IF($H135&lt;&gt;"OK","",$D135*INDEX('Lists'!$D$6:$D$30,MATCH($E135,'Lists'!$B$6:$B$30,0))/INDEX('Lists'!$D$6:$D$30,MATCH($G135,'Lists'!$B$6:$B$30,0)))</f>
        <v/>
      </c>
      <c r="J135" s="71">
        <f>IF($H135&lt;&gt;"OK","",$I135*INDEX('Inventory'!$G$7:$G$106,MATCH($C135,'Inventory'!$B$7:$B$106,0)))</f>
        <v/>
      </c>
    </row>
    <row r="136" ht="17" customHeight="1">
      <c r="B136" s="66" t="n"/>
      <c r="C136" s="60" t="n"/>
      <c r="D136" s="86" t="n"/>
      <c r="E136" s="60" t="n"/>
      <c r="F136" s="60" t="n"/>
      <c r="G136" s="13">
        <f>IF($C136="","",IFERROR(INDEX('Inventory'!$D$7:$D$106,MATCH($C136,'Inventory'!$B$7:$B$106,0))&amp;"","?"))</f>
        <v/>
      </c>
      <c r="H136" s="80">
        <f>IF(AND($B136="",$C136="",$D136=""),"",IF(NOT(ISNUMBER($B136)),"Enter a valid date",IF($C136="","Pick ingredient",IF($G136="?","Not in Inventory",IF($G136="","Set stock unit in Inventory",IF(N($D136)&lt;=0,"Enter quantity",IF($E136="","Pick unit",IF(IFERROR(INDEX('Lists'!$C$6:$C$30,MATCH($E136,'Lists'!$B$6:$B$30,0)),"?")&lt;&gt;IFERROR(INDEX('Lists'!$C$6:$C$30,MATCH($G136,'Lists'!$B$6:$B$30,0)),"?"),"Unit mismatch",IF(ISNUMBER(INDEX('Inventory'!$G$7:$G$106,MATCH($C136,'Inventory'!$B$7:$B$106,0))),"OK","Add price in Inventory")))))))))</f>
        <v/>
      </c>
      <c r="I136" s="88">
        <f>IF($H136&lt;&gt;"OK","",$D136*INDEX('Lists'!$D$6:$D$30,MATCH($E136,'Lists'!$B$6:$B$30,0))/INDEX('Lists'!$D$6:$D$30,MATCH($G136,'Lists'!$B$6:$B$30,0)))</f>
        <v/>
      </c>
      <c r="J136" s="71">
        <f>IF($H136&lt;&gt;"OK","",$I136*INDEX('Inventory'!$G$7:$G$106,MATCH($C136,'Inventory'!$B$7:$B$106,0)))</f>
        <v/>
      </c>
    </row>
    <row r="137" ht="17" customHeight="1">
      <c r="B137" s="66" t="n"/>
      <c r="C137" s="60" t="n"/>
      <c r="D137" s="86" t="n"/>
      <c r="E137" s="60" t="n"/>
      <c r="F137" s="60" t="n"/>
      <c r="G137" s="13">
        <f>IF($C137="","",IFERROR(INDEX('Inventory'!$D$7:$D$106,MATCH($C137,'Inventory'!$B$7:$B$106,0))&amp;"","?"))</f>
        <v/>
      </c>
      <c r="H137" s="80">
        <f>IF(AND($B137="",$C137="",$D137=""),"",IF(NOT(ISNUMBER($B137)),"Enter a valid date",IF($C137="","Pick ingredient",IF($G137="?","Not in Inventory",IF($G137="","Set stock unit in Inventory",IF(N($D137)&lt;=0,"Enter quantity",IF($E137="","Pick unit",IF(IFERROR(INDEX('Lists'!$C$6:$C$30,MATCH($E137,'Lists'!$B$6:$B$30,0)),"?")&lt;&gt;IFERROR(INDEX('Lists'!$C$6:$C$30,MATCH($G137,'Lists'!$B$6:$B$30,0)),"?"),"Unit mismatch",IF(ISNUMBER(INDEX('Inventory'!$G$7:$G$106,MATCH($C137,'Inventory'!$B$7:$B$106,0))),"OK","Add price in Inventory")))))))))</f>
        <v/>
      </c>
      <c r="I137" s="88">
        <f>IF($H137&lt;&gt;"OK","",$D137*INDEX('Lists'!$D$6:$D$30,MATCH($E137,'Lists'!$B$6:$B$30,0))/INDEX('Lists'!$D$6:$D$30,MATCH($G137,'Lists'!$B$6:$B$30,0)))</f>
        <v/>
      </c>
      <c r="J137" s="71">
        <f>IF($H137&lt;&gt;"OK","",$I137*INDEX('Inventory'!$G$7:$G$106,MATCH($C137,'Inventory'!$B$7:$B$106,0)))</f>
        <v/>
      </c>
    </row>
    <row r="138" ht="17" customHeight="1">
      <c r="B138" s="66" t="n"/>
      <c r="C138" s="60" t="n"/>
      <c r="D138" s="86" t="n"/>
      <c r="E138" s="60" t="n"/>
      <c r="F138" s="60" t="n"/>
      <c r="G138" s="13">
        <f>IF($C138="","",IFERROR(INDEX('Inventory'!$D$7:$D$106,MATCH($C138,'Inventory'!$B$7:$B$106,0))&amp;"","?"))</f>
        <v/>
      </c>
      <c r="H138" s="80">
        <f>IF(AND($B138="",$C138="",$D138=""),"",IF(NOT(ISNUMBER($B138)),"Enter a valid date",IF($C138="","Pick ingredient",IF($G138="?","Not in Inventory",IF($G138="","Set stock unit in Inventory",IF(N($D138)&lt;=0,"Enter quantity",IF($E138="","Pick unit",IF(IFERROR(INDEX('Lists'!$C$6:$C$30,MATCH($E138,'Lists'!$B$6:$B$30,0)),"?")&lt;&gt;IFERROR(INDEX('Lists'!$C$6:$C$30,MATCH($G138,'Lists'!$B$6:$B$30,0)),"?"),"Unit mismatch",IF(ISNUMBER(INDEX('Inventory'!$G$7:$G$106,MATCH($C138,'Inventory'!$B$7:$B$106,0))),"OK","Add price in Inventory")))))))))</f>
        <v/>
      </c>
      <c r="I138" s="88">
        <f>IF($H138&lt;&gt;"OK","",$D138*INDEX('Lists'!$D$6:$D$30,MATCH($E138,'Lists'!$B$6:$B$30,0))/INDEX('Lists'!$D$6:$D$30,MATCH($G138,'Lists'!$B$6:$B$30,0)))</f>
        <v/>
      </c>
      <c r="J138" s="71">
        <f>IF($H138&lt;&gt;"OK","",$I138*INDEX('Inventory'!$G$7:$G$106,MATCH($C138,'Inventory'!$B$7:$B$106,0)))</f>
        <v/>
      </c>
    </row>
    <row r="139" ht="17" customHeight="1">
      <c r="B139" s="66" t="n"/>
      <c r="C139" s="60" t="n"/>
      <c r="D139" s="86" t="n"/>
      <c r="E139" s="60" t="n"/>
      <c r="F139" s="60" t="n"/>
      <c r="G139" s="13">
        <f>IF($C139="","",IFERROR(INDEX('Inventory'!$D$7:$D$106,MATCH($C139,'Inventory'!$B$7:$B$106,0))&amp;"","?"))</f>
        <v/>
      </c>
      <c r="H139" s="80">
        <f>IF(AND($B139="",$C139="",$D139=""),"",IF(NOT(ISNUMBER($B139)),"Enter a valid date",IF($C139="","Pick ingredient",IF($G139="?","Not in Inventory",IF($G139="","Set stock unit in Inventory",IF(N($D139)&lt;=0,"Enter quantity",IF($E139="","Pick unit",IF(IFERROR(INDEX('Lists'!$C$6:$C$30,MATCH($E139,'Lists'!$B$6:$B$30,0)),"?")&lt;&gt;IFERROR(INDEX('Lists'!$C$6:$C$30,MATCH($G139,'Lists'!$B$6:$B$30,0)),"?"),"Unit mismatch",IF(ISNUMBER(INDEX('Inventory'!$G$7:$G$106,MATCH($C139,'Inventory'!$B$7:$B$106,0))),"OK","Add price in Inventory")))))))))</f>
        <v/>
      </c>
      <c r="I139" s="88">
        <f>IF($H139&lt;&gt;"OK","",$D139*INDEX('Lists'!$D$6:$D$30,MATCH($E139,'Lists'!$B$6:$B$30,0))/INDEX('Lists'!$D$6:$D$30,MATCH($G139,'Lists'!$B$6:$B$30,0)))</f>
        <v/>
      </c>
      <c r="J139" s="71">
        <f>IF($H139&lt;&gt;"OK","",$I139*INDEX('Inventory'!$G$7:$G$106,MATCH($C139,'Inventory'!$B$7:$B$106,0)))</f>
        <v/>
      </c>
    </row>
    <row r="140" ht="17" customHeight="1">
      <c r="B140" s="66" t="n"/>
      <c r="C140" s="60" t="n"/>
      <c r="D140" s="86" t="n"/>
      <c r="E140" s="60" t="n"/>
      <c r="F140" s="60" t="n"/>
      <c r="G140" s="13">
        <f>IF($C140="","",IFERROR(INDEX('Inventory'!$D$7:$D$106,MATCH($C140,'Inventory'!$B$7:$B$106,0))&amp;"","?"))</f>
        <v/>
      </c>
      <c r="H140" s="80">
        <f>IF(AND($B140="",$C140="",$D140=""),"",IF(NOT(ISNUMBER($B140)),"Enter a valid date",IF($C140="","Pick ingredient",IF($G140="?","Not in Inventory",IF($G140="","Set stock unit in Inventory",IF(N($D140)&lt;=0,"Enter quantity",IF($E140="","Pick unit",IF(IFERROR(INDEX('Lists'!$C$6:$C$30,MATCH($E140,'Lists'!$B$6:$B$30,0)),"?")&lt;&gt;IFERROR(INDEX('Lists'!$C$6:$C$30,MATCH($G140,'Lists'!$B$6:$B$30,0)),"?"),"Unit mismatch",IF(ISNUMBER(INDEX('Inventory'!$G$7:$G$106,MATCH($C140,'Inventory'!$B$7:$B$106,0))),"OK","Add price in Inventory")))))))))</f>
        <v/>
      </c>
      <c r="I140" s="88">
        <f>IF($H140&lt;&gt;"OK","",$D140*INDEX('Lists'!$D$6:$D$30,MATCH($E140,'Lists'!$B$6:$B$30,0))/INDEX('Lists'!$D$6:$D$30,MATCH($G140,'Lists'!$B$6:$B$30,0)))</f>
        <v/>
      </c>
      <c r="J140" s="71">
        <f>IF($H140&lt;&gt;"OK","",$I140*INDEX('Inventory'!$G$7:$G$106,MATCH($C140,'Inventory'!$B$7:$B$106,0)))</f>
        <v/>
      </c>
    </row>
    <row r="141" ht="17" customHeight="1">
      <c r="B141" s="66" t="n"/>
      <c r="C141" s="60" t="n"/>
      <c r="D141" s="86" t="n"/>
      <c r="E141" s="60" t="n"/>
      <c r="F141" s="60" t="n"/>
      <c r="G141" s="13">
        <f>IF($C141="","",IFERROR(INDEX('Inventory'!$D$7:$D$106,MATCH($C141,'Inventory'!$B$7:$B$106,0))&amp;"","?"))</f>
        <v/>
      </c>
      <c r="H141" s="80">
        <f>IF(AND($B141="",$C141="",$D141=""),"",IF(NOT(ISNUMBER($B141)),"Enter a valid date",IF($C141="","Pick ingredient",IF($G141="?","Not in Inventory",IF($G141="","Set stock unit in Inventory",IF(N($D141)&lt;=0,"Enter quantity",IF($E141="","Pick unit",IF(IFERROR(INDEX('Lists'!$C$6:$C$30,MATCH($E141,'Lists'!$B$6:$B$30,0)),"?")&lt;&gt;IFERROR(INDEX('Lists'!$C$6:$C$30,MATCH($G141,'Lists'!$B$6:$B$30,0)),"?"),"Unit mismatch",IF(ISNUMBER(INDEX('Inventory'!$G$7:$G$106,MATCH($C141,'Inventory'!$B$7:$B$106,0))),"OK","Add price in Inventory")))))))))</f>
        <v/>
      </c>
      <c r="I141" s="88">
        <f>IF($H141&lt;&gt;"OK","",$D141*INDEX('Lists'!$D$6:$D$30,MATCH($E141,'Lists'!$B$6:$B$30,0))/INDEX('Lists'!$D$6:$D$30,MATCH($G141,'Lists'!$B$6:$B$30,0)))</f>
        <v/>
      </c>
      <c r="J141" s="71">
        <f>IF($H141&lt;&gt;"OK","",$I141*INDEX('Inventory'!$G$7:$G$106,MATCH($C141,'Inventory'!$B$7:$B$106,0)))</f>
        <v/>
      </c>
    </row>
    <row r="142" ht="17" customHeight="1">
      <c r="B142" s="66" t="n"/>
      <c r="C142" s="60" t="n"/>
      <c r="D142" s="86" t="n"/>
      <c r="E142" s="60" t="n"/>
      <c r="F142" s="60" t="n"/>
      <c r="G142" s="13">
        <f>IF($C142="","",IFERROR(INDEX('Inventory'!$D$7:$D$106,MATCH($C142,'Inventory'!$B$7:$B$106,0))&amp;"","?"))</f>
        <v/>
      </c>
      <c r="H142" s="80">
        <f>IF(AND($B142="",$C142="",$D142=""),"",IF(NOT(ISNUMBER($B142)),"Enter a valid date",IF($C142="","Pick ingredient",IF($G142="?","Not in Inventory",IF($G142="","Set stock unit in Inventory",IF(N($D142)&lt;=0,"Enter quantity",IF($E142="","Pick unit",IF(IFERROR(INDEX('Lists'!$C$6:$C$30,MATCH($E142,'Lists'!$B$6:$B$30,0)),"?")&lt;&gt;IFERROR(INDEX('Lists'!$C$6:$C$30,MATCH($G142,'Lists'!$B$6:$B$30,0)),"?"),"Unit mismatch",IF(ISNUMBER(INDEX('Inventory'!$G$7:$G$106,MATCH($C142,'Inventory'!$B$7:$B$106,0))),"OK","Add price in Inventory")))))))))</f>
        <v/>
      </c>
      <c r="I142" s="88">
        <f>IF($H142&lt;&gt;"OK","",$D142*INDEX('Lists'!$D$6:$D$30,MATCH($E142,'Lists'!$B$6:$B$30,0))/INDEX('Lists'!$D$6:$D$30,MATCH($G142,'Lists'!$B$6:$B$30,0)))</f>
        <v/>
      </c>
      <c r="J142" s="71">
        <f>IF($H142&lt;&gt;"OK","",$I142*INDEX('Inventory'!$G$7:$G$106,MATCH($C142,'Inventory'!$B$7:$B$106,0)))</f>
        <v/>
      </c>
    </row>
    <row r="143" ht="17" customHeight="1">
      <c r="B143" s="66" t="n"/>
      <c r="C143" s="60" t="n"/>
      <c r="D143" s="86" t="n"/>
      <c r="E143" s="60" t="n"/>
      <c r="F143" s="60" t="n"/>
      <c r="G143" s="13">
        <f>IF($C143="","",IFERROR(INDEX('Inventory'!$D$7:$D$106,MATCH($C143,'Inventory'!$B$7:$B$106,0))&amp;"","?"))</f>
        <v/>
      </c>
      <c r="H143" s="80">
        <f>IF(AND($B143="",$C143="",$D143=""),"",IF(NOT(ISNUMBER($B143)),"Enter a valid date",IF($C143="","Pick ingredient",IF($G143="?","Not in Inventory",IF($G143="","Set stock unit in Inventory",IF(N($D143)&lt;=0,"Enter quantity",IF($E143="","Pick unit",IF(IFERROR(INDEX('Lists'!$C$6:$C$30,MATCH($E143,'Lists'!$B$6:$B$30,0)),"?")&lt;&gt;IFERROR(INDEX('Lists'!$C$6:$C$30,MATCH($G143,'Lists'!$B$6:$B$30,0)),"?"),"Unit mismatch",IF(ISNUMBER(INDEX('Inventory'!$G$7:$G$106,MATCH($C143,'Inventory'!$B$7:$B$106,0))),"OK","Add price in Inventory")))))))))</f>
        <v/>
      </c>
      <c r="I143" s="88">
        <f>IF($H143&lt;&gt;"OK","",$D143*INDEX('Lists'!$D$6:$D$30,MATCH($E143,'Lists'!$B$6:$B$30,0))/INDEX('Lists'!$D$6:$D$30,MATCH($G143,'Lists'!$B$6:$B$30,0)))</f>
        <v/>
      </c>
      <c r="J143" s="71">
        <f>IF($H143&lt;&gt;"OK","",$I143*INDEX('Inventory'!$G$7:$G$106,MATCH($C143,'Inventory'!$B$7:$B$106,0)))</f>
        <v/>
      </c>
    </row>
    <row r="144" ht="17" customHeight="1">
      <c r="B144" s="66" t="n"/>
      <c r="C144" s="60" t="n"/>
      <c r="D144" s="86" t="n"/>
      <c r="E144" s="60" t="n"/>
      <c r="F144" s="60" t="n"/>
      <c r="G144" s="13">
        <f>IF($C144="","",IFERROR(INDEX('Inventory'!$D$7:$D$106,MATCH($C144,'Inventory'!$B$7:$B$106,0))&amp;"","?"))</f>
        <v/>
      </c>
      <c r="H144" s="80">
        <f>IF(AND($B144="",$C144="",$D144=""),"",IF(NOT(ISNUMBER($B144)),"Enter a valid date",IF($C144="","Pick ingredient",IF($G144="?","Not in Inventory",IF($G144="","Set stock unit in Inventory",IF(N($D144)&lt;=0,"Enter quantity",IF($E144="","Pick unit",IF(IFERROR(INDEX('Lists'!$C$6:$C$30,MATCH($E144,'Lists'!$B$6:$B$30,0)),"?")&lt;&gt;IFERROR(INDEX('Lists'!$C$6:$C$30,MATCH($G144,'Lists'!$B$6:$B$30,0)),"?"),"Unit mismatch",IF(ISNUMBER(INDEX('Inventory'!$G$7:$G$106,MATCH($C144,'Inventory'!$B$7:$B$106,0))),"OK","Add price in Inventory")))))))))</f>
        <v/>
      </c>
      <c r="I144" s="88">
        <f>IF($H144&lt;&gt;"OK","",$D144*INDEX('Lists'!$D$6:$D$30,MATCH($E144,'Lists'!$B$6:$B$30,0))/INDEX('Lists'!$D$6:$D$30,MATCH($G144,'Lists'!$B$6:$B$30,0)))</f>
        <v/>
      </c>
      <c r="J144" s="71">
        <f>IF($H144&lt;&gt;"OK","",$I144*INDEX('Inventory'!$G$7:$G$106,MATCH($C144,'Inventory'!$B$7:$B$106,0)))</f>
        <v/>
      </c>
    </row>
    <row r="145" ht="17" customHeight="1">
      <c r="B145" s="66" t="n"/>
      <c r="C145" s="60" t="n"/>
      <c r="D145" s="86" t="n"/>
      <c r="E145" s="60" t="n"/>
      <c r="F145" s="60" t="n"/>
      <c r="G145" s="13">
        <f>IF($C145="","",IFERROR(INDEX('Inventory'!$D$7:$D$106,MATCH($C145,'Inventory'!$B$7:$B$106,0))&amp;"","?"))</f>
        <v/>
      </c>
      <c r="H145" s="80">
        <f>IF(AND($B145="",$C145="",$D145=""),"",IF(NOT(ISNUMBER($B145)),"Enter a valid date",IF($C145="","Pick ingredient",IF($G145="?","Not in Inventory",IF($G145="","Set stock unit in Inventory",IF(N($D145)&lt;=0,"Enter quantity",IF($E145="","Pick unit",IF(IFERROR(INDEX('Lists'!$C$6:$C$30,MATCH($E145,'Lists'!$B$6:$B$30,0)),"?")&lt;&gt;IFERROR(INDEX('Lists'!$C$6:$C$30,MATCH($G145,'Lists'!$B$6:$B$30,0)),"?"),"Unit mismatch",IF(ISNUMBER(INDEX('Inventory'!$G$7:$G$106,MATCH($C145,'Inventory'!$B$7:$B$106,0))),"OK","Add price in Inventory")))))))))</f>
        <v/>
      </c>
      <c r="I145" s="88">
        <f>IF($H145&lt;&gt;"OK","",$D145*INDEX('Lists'!$D$6:$D$30,MATCH($E145,'Lists'!$B$6:$B$30,0))/INDEX('Lists'!$D$6:$D$30,MATCH($G145,'Lists'!$B$6:$B$30,0)))</f>
        <v/>
      </c>
      <c r="J145" s="71">
        <f>IF($H145&lt;&gt;"OK","",$I145*INDEX('Inventory'!$G$7:$G$106,MATCH($C145,'Inventory'!$B$7:$B$106,0)))</f>
        <v/>
      </c>
    </row>
    <row r="146" ht="17" customHeight="1">
      <c r="B146" s="66" t="n"/>
      <c r="C146" s="60" t="n"/>
      <c r="D146" s="86" t="n"/>
      <c r="E146" s="60" t="n"/>
      <c r="F146" s="60" t="n"/>
      <c r="G146" s="13">
        <f>IF($C146="","",IFERROR(INDEX('Inventory'!$D$7:$D$106,MATCH($C146,'Inventory'!$B$7:$B$106,0))&amp;"","?"))</f>
        <v/>
      </c>
      <c r="H146" s="80">
        <f>IF(AND($B146="",$C146="",$D146=""),"",IF(NOT(ISNUMBER($B146)),"Enter a valid date",IF($C146="","Pick ingredient",IF($G146="?","Not in Inventory",IF($G146="","Set stock unit in Inventory",IF(N($D146)&lt;=0,"Enter quantity",IF($E146="","Pick unit",IF(IFERROR(INDEX('Lists'!$C$6:$C$30,MATCH($E146,'Lists'!$B$6:$B$30,0)),"?")&lt;&gt;IFERROR(INDEX('Lists'!$C$6:$C$30,MATCH($G146,'Lists'!$B$6:$B$30,0)),"?"),"Unit mismatch",IF(ISNUMBER(INDEX('Inventory'!$G$7:$G$106,MATCH($C146,'Inventory'!$B$7:$B$106,0))),"OK","Add price in Inventory")))))))))</f>
        <v/>
      </c>
      <c r="I146" s="88">
        <f>IF($H146&lt;&gt;"OK","",$D146*INDEX('Lists'!$D$6:$D$30,MATCH($E146,'Lists'!$B$6:$B$30,0))/INDEX('Lists'!$D$6:$D$30,MATCH($G146,'Lists'!$B$6:$B$30,0)))</f>
        <v/>
      </c>
      <c r="J146" s="71">
        <f>IF($H146&lt;&gt;"OK","",$I146*INDEX('Inventory'!$G$7:$G$106,MATCH($C146,'Inventory'!$B$7:$B$106,0)))</f>
        <v/>
      </c>
    </row>
    <row r="147" ht="17" customHeight="1">
      <c r="B147" s="66" t="n"/>
      <c r="C147" s="60" t="n"/>
      <c r="D147" s="86" t="n"/>
      <c r="E147" s="60" t="n"/>
      <c r="F147" s="60" t="n"/>
      <c r="G147" s="13">
        <f>IF($C147="","",IFERROR(INDEX('Inventory'!$D$7:$D$106,MATCH($C147,'Inventory'!$B$7:$B$106,0))&amp;"","?"))</f>
        <v/>
      </c>
      <c r="H147" s="80">
        <f>IF(AND($B147="",$C147="",$D147=""),"",IF(NOT(ISNUMBER($B147)),"Enter a valid date",IF($C147="","Pick ingredient",IF($G147="?","Not in Inventory",IF($G147="","Set stock unit in Inventory",IF(N($D147)&lt;=0,"Enter quantity",IF($E147="","Pick unit",IF(IFERROR(INDEX('Lists'!$C$6:$C$30,MATCH($E147,'Lists'!$B$6:$B$30,0)),"?")&lt;&gt;IFERROR(INDEX('Lists'!$C$6:$C$30,MATCH($G147,'Lists'!$B$6:$B$30,0)),"?"),"Unit mismatch",IF(ISNUMBER(INDEX('Inventory'!$G$7:$G$106,MATCH($C147,'Inventory'!$B$7:$B$106,0))),"OK","Add price in Inventory")))))))))</f>
        <v/>
      </c>
      <c r="I147" s="88">
        <f>IF($H147&lt;&gt;"OK","",$D147*INDEX('Lists'!$D$6:$D$30,MATCH($E147,'Lists'!$B$6:$B$30,0))/INDEX('Lists'!$D$6:$D$30,MATCH($G147,'Lists'!$B$6:$B$30,0)))</f>
        <v/>
      </c>
      <c r="J147" s="71">
        <f>IF($H147&lt;&gt;"OK","",$I147*INDEX('Inventory'!$G$7:$G$106,MATCH($C147,'Inventory'!$B$7:$B$106,0)))</f>
        <v/>
      </c>
    </row>
    <row r="148" ht="17" customHeight="1">
      <c r="B148" s="66" t="n"/>
      <c r="C148" s="60" t="n"/>
      <c r="D148" s="86" t="n"/>
      <c r="E148" s="60" t="n"/>
      <c r="F148" s="60" t="n"/>
      <c r="G148" s="13">
        <f>IF($C148="","",IFERROR(INDEX('Inventory'!$D$7:$D$106,MATCH($C148,'Inventory'!$B$7:$B$106,0))&amp;"","?"))</f>
        <v/>
      </c>
      <c r="H148" s="80">
        <f>IF(AND($B148="",$C148="",$D148=""),"",IF(NOT(ISNUMBER($B148)),"Enter a valid date",IF($C148="","Pick ingredient",IF($G148="?","Not in Inventory",IF($G148="","Set stock unit in Inventory",IF(N($D148)&lt;=0,"Enter quantity",IF($E148="","Pick unit",IF(IFERROR(INDEX('Lists'!$C$6:$C$30,MATCH($E148,'Lists'!$B$6:$B$30,0)),"?")&lt;&gt;IFERROR(INDEX('Lists'!$C$6:$C$30,MATCH($G148,'Lists'!$B$6:$B$30,0)),"?"),"Unit mismatch",IF(ISNUMBER(INDEX('Inventory'!$G$7:$G$106,MATCH($C148,'Inventory'!$B$7:$B$106,0))),"OK","Add price in Inventory")))))))))</f>
        <v/>
      </c>
      <c r="I148" s="88">
        <f>IF($H148&lt;&gt;"OK","",$D148*INDEX('Lists'!$D$6:$D$30,MATCH($E148,'Lists'!$B$6:$B$30,0))/INDEX('Lists'!$D$6:$D$30,MATCH($G148,'Lists'!$B$6:$B$30,0)))</f>
        <v/>
      </c>
      <c r="J148" s="71">
        <f>IF($H148&lt;&gt;"OK","",$I148*INDEX('Inventory'!$G$7:$G$106,MATCH($C148,'Inventory'!$B$7:$B$106,0)))</f>
        <v/>
      </c>
    </row>
    <row r="149" ht="17" customHeight="1">
      <c r="B149" s="66" t="n"/>
      <c r="C149" s="60" t="n"/>
      <c r="D149" s="86" t="n"/>
      <c r="E149" s="60" t="n"/>
      <c r="F149" s="60" t="n"/>
      <c r="G149" s="13">
        <f>IF($C149="","",IFERROR(INDEX('Inventory'!$D$7:$D$106,MATCH($C149,'Inventory'!$B$7:$B$106,0))&amp;"","?"))</f>
        <v/>
      </c>
      <c r="H149" s="80">
        <f>IF(AND($B149="",$C149="",$D149=""),"",IF(NOT(ISNUMBER($B149)),"Enter a valid date",IF($C149="","Pick ingredient",IF($G149="?","Not in Inventory",IF($G149="","Set stock unit in Inventory",IF(N($D149)&lt;=0,"Enter quantity",IF($E149="","Pick unit",IF(IFERROR(INDEX('Lists'!$C$6:$C$30,MATCH($E149,'Lists'!$B$6:$B$30,0)),"?")&lt;&gt;IFERROR(INDEX('Lists'!$C$6:$C$30,MATCH($G149,'Lists'!$B$6:$B$30,0)),"?"),"Unit mismatch",IF(ISNUMBER(INDEX('Inventory'!$G$7:$G$106,MATCH($C149,'Inventory'!$B$7:$B$106,0))),"OK","Add price in Inventory")))))))))</f>
        <v/>
      </c>
      <c r="I149" s="88">
        <f>IF($H149&lt;&gt;"OK","",$D149*INDEX('Lists'!$D$6:$D$30,MATCH($E149,'Lists'!$B$6:$B$30,0))/INDEX('Lists'!$D$6:$D$30,MATCH($G149,'Lists'!$B$6:$B$30,0)))</f>
        <v/>
      </c>
      <c r="J149" s="71">
        <f>IF($H149&lt;&gt;"OK","",$I149*INDEX('Inventory'!$G$7:$G$106,MATCH($C149,'Inventory'!$B$7:$B$106,0)))</f>
        <v/>
      </c>
    </row>
    <row r="150" ht="17" customHeight="1">
      <c r="B150" s="66" t="n"/>
      <c r="C150" s="60" t="n"/>
      <c r="D150" s="86" t="n"/>
      <c r="E150" s="60" t="n"/>
      <c r="F150" s="60" t="n"/>
      <c r="G150" s="13">
        <f>IF($C150="","",IFERROR(INDEX('Inventory'!$D$7:$D$106,MATCH($C150,'Inventory'!$B$7:$B$106,0))&amp;"","?"))</f>
        <v/>
      </c>
      <c r="H150" s="80">
        <f>IF(AND($B150="",$C150="",$D150=""),"",IF(NOT(ISNUMBER($B150)),"Enter a valid date",IF($C150="","Pick ingredient",IF($G150="?","Not in Inventory",IF($G150="","Set stock unit in Inventory",IF(N($D150)&lt;=0,"Enter quantity",IF($E150="","Pick unit",IF(IFERROR(INDEX('Lists'!$C$6:$C$30,MATCH($E150,'Lists'!$B$6:$B$30,0)),"?")&lt;&gt;IFERROR(INDEX('Lists'!$C$6:$C$30,MATCH($G150,'Lists'!$B$6:$B$30,0)),"?"),"Unit mismatch",IF(ISNUMBER(INDEX('Inventory'!$G$7:$G$106,MATCH($C150,'Inventory'!$B$7:$B$106,0))),"OK","Add price in Inventory")))))))))</f>
        <v/>
      </c>
      <c r="I150" s="88">
        <f>IF($H150&lt;&gt;"OK","",$D150*INDEX('Lists'!$D$6:$D$30,MATCH($E150,'Lists'!$B$6:$B$30,0))/INDEX('Lists'!$D$6:$D$30,MATCH($G150,'Lists'!$B$6:$B$30,0)))</f>
        <v/>
      </c>
      <c r="J150" s="71">
        <f>IF($H150&lt;&gt;"OK","",$I150*INDEX('Inventory'!$G$7:$G$106,MATCH($C150,'Inventory'!$B$7:$B$106,0)))</f>
        <v/>
      </c>
    </row>
    <row r="151" ht="17" customHeight="1">
      <c r="B151" s="66" t="n"/>
      <c r="C151" s="60" t="n"/>
      <c r="D151" s="86" t="n"/>
      <c r="E151" s="60" t="n"/>
      <c r="F151" s="60" t="n"/>
      <c r="G151" s="13">
        <f>IF($C151="","",IFERROR(INDEX('Inventory'!$D$7:$D$106,MATCH($C151,'Inventory'!$B$7:$B$106,0))&amp;"","?"))</f>
        <v/>
      </c>
      <c r="H151" s="80">
        <f>IF(AND($B151="",$C151="",$D151=""),"",IF(NOT(ISNUMBER($B151)),"Enter a valid date",IF($C151="","Pick ingredient",IF($G151="?","Not in Inventory",IF($G151="","Set stock unit in Inventory",IF(N($D151)&lt;=0,"Enter quantity",IF($E151="","Pick unit",IF(IFERROR(INDEX('Lists'!$C$6:$C$30,MATCH($E151,'Lists'!$B$6:$B$30,0)),"?")&lt;&gt;IFERROR(INDEX('Lists'!$C$6:$C$30,MATCH($G151,'Lists'!$B$6:$B$30,0)),"?"),"Unit mismatch",IF(ISNUMBER(INDEX('Inventory'!$G$7:$G$106,MATCH($C151,'Inventory'!$B$7:$B$106,0))),"OK","Add price in Inventory")))))))))</f>
        <v/>
      </c>
      <c r="I151" s="88">
        <f>IF($H151&lt;&gt;"OK","",$D151*INDEX('Lists'!$D$6:$D$30,MATCH($E151,'Lists'!$B$6:$B$30,0))/INDEX('Lists'!$D$6:$D$30,MATCH($G151,'Lists'!$B$6:$B$30,0)))</f>
        <v/>
      </c>
      <c r="J151" s="71">
        <f>IF($H151&lt;&gt;"OK","",$I151*INDEX('Inventory'!$G$7:$G$106,MATCH($C151,'Inventory'!$B$7:$B$106,0)))</f>
        <v/>
      </c>
    </row>
    <row r="152" ht="17" customHeight="1">
      <c r="B152" s="66" t="n"/>
      <c r="C152" s="60" t="n"/>
      <c r="D152" s="86" t="n"/>
      <c r="E152" s="60" t="n"/>
      <c r="F152" s="60" t="n"/>
      <c r="G152" s="13">
        <f>IF($C152="","",IFERROR(INDEX('Inventory'!$D$7:$D$106,MATCH($C152,'Inventory'!$B$7:$B$106,0))&amp;"","?"))</f>
        <v/>
      </c>
      <c r="H152" s="80">
        <f>IF(AND($B152="",$C152="",$D152=""),"",IF(NOT(ISNUMBER($B152)),"Enter a valid date",IF($C152="","Pick ingredient",IF($G152="?","Not in Inventory",IF($G152="","Set stock unit in Inventory",IF(N($D152)&lt;=0,"Enter quantity",IF($E152="","Pick unit",IF(IFERROR(INDEX('Lists'!$C$6:$C$30,MATCH($E152,'Lists'!$B$6:$B$30,0)),"?")&lt;&gt;IFERROR(INDEX('Lists'!$C$6:$C$30,MATCH($G152,'Lists'!$B$6:$B$30,0)),"?"),"Unit mismatch",IF(ISNUMBER(INDEX('Inventory'!$G$7:$G$106,MATCH($C152,'Inventory'!$B$7:$B$106,0))),"OK","Add price in Inventory")))))))))</f>
        <v/>
      </c>
      <c r="I152" s="88">
        <f>IF($H152&lt;&gt;"OK","",$D152*INDEX('Lists'!$D$6:$D$30,MATCH($E152,'Lists'!$B$6:$B$30,0))/INDEX('Lists'!$D$6:$D$30,MATCH($G152,'Lists'!$B$6:$B$30,0)))</f>
        <v/>
      </c>
      <c r="J152" s="71">
        <f>IF($H152&lt;&gt;"OK","",$I152*INDEX('Inventory'!$G$7:$G$106,MATCH($C152,'Inventory'!$B$7:$B$106,0)))</f>
        <v/>
      </c>
    </row>
    <row r="153" ht="17" customHeight="1">
      <c r="B153" s="66" t="n"/>
      <c r="C153" s="60" t="n"/>
      <c r="D153" s="86" t="n"/>
      <c r="E153" s="60" t="n"/>
      <c r="F153" s="60" t="n"/>
      <c r="G153" s="13">
        <f>IF($C153="","",IFERROR(INDEX('Inventory'!$D$7:$D$106,MATCH($C153,'Inventory'!$B$7:$B$106,0))&amp;"","?"))</f>
        <v/>
      </c>
      <c r="H153" s="80">
        <f>IF(AND($B153="",$C153="",$D153=""),"",IF(NOT(ISNUMBER($B153)),"Enter a valid date",IF($C153="","Pick ingredient",IF($G153="?","Not in Inventory",IF($G153="","Set stock unit in Inventory",IF(N($D153)&lt;=0,"Enter quantity",IF($E153="","Pick unit",IF(IFERROR(INDEX('Lists'!$C$6:$C$30,MATCH($E153,'Lists'!$B$6:$B$30,0)),"?")&lt;&gt;IFERROR(INDEX('Lists'!$C$6:$C$30,MATCH($G153,'Lists'!$B$6:$B$30,0)),"?"),"Unit mismatch",IF(ISNUMBER(INDEX('Inventory'!$G$7:$G$106,MATCH($C153,'Inventory'!$B$7:$B$106,0))),"OK","Add price in Inventory")))))))))</f>
        <v/>
      </c>
      <c r="I153" s="88">
        <f>IF($H153&lt;&gt;"OK","",$D153*INDEX('Lists'!$D$6:$D$30,MATCH($E153,'Lists'!$B$6:$B$30,0))/INDEX('Lists'!$D$6:$D$30,MATCH($G153,'Lists'!$B$6:$B$30,0)))</f>
        <v/>
      </c>
      <c r="J153" s="71">
        <f>IF($H153&lt;&gt;"OK","",$I153*INDEX('Inventory'!$G$7:$G$106,MATCH($C153,'Inventory'!$B$7:$B$106,0)))</f>
        <v/>
      </c>
    </row>
    <row r="154" ht="17" customHeight="1">
      <c r="B154" s="66" t="n"/>
      <c r="C154" s="60" t="n"/>
      <c r="D154" s="86" t="n"/>
      <c r="E154" s="60" t="n"/>
      <c r="F154" s="60" t="n"/>
      <c r="G154" s="13">
        <f>IF($C154="","",IFERROR(INDEX('Inventory'!$D$7:$D$106,MATCH($C154,'Inventory'!$B$7:$B$106,0))&amp;"","?"))</f>
        <v/>
      </c>
      <c r="H154" s="80">
        <f>IF(AND($B154="",$C154="",$D154=""),"",IF(NOT(ISNUMBER($B154)),"Enter a valid date",IF($C154="","Pick ingredient",IF($G154="?","Not in Inventory",IF($G154="","Set stock unit in Inventory",IF(N($D154)&lt;=0,"Enter quantity",IF($E154="","Pick unit",IF(IFERROR(INDEX('Lists'!$C$6:$C$30,MATCH($E154,'Lists'!$B$6:$B$30,0)),"?")&lt;&gt;IFERROR(INDEX('Lists'!$C$6:$C$30,MATCH($G154,'Lists'!$B$6:$B$30,0)),"?"),"Unit mismatch",IF(ISNUMBER(INDEX('Inventory'!$G$7:$G$106,MATCH($C154,'Inventory'!$B$7:$B$106,0))),"OK","Add price in Inventory")))))))))</f>
        <v/>
      </c>
      <c r="I154" s="88">
        <f>IF($H154&lt;&gt;"OK","",$D154*INDEX('Lists'!$D$6:$D$30,MATCH($E154,'Lists'!$B$6:$B$30,0))/INDEX('Lists'!$D$6:$D$30,MATCH($G154,'Lists'!$B$6:$B$30,0)))</f>
        <v/>
      </c>
      <c r="J154" s="71">
        <f>IF($H154&lt;&gt;"OK","",$I154*INDEX('Inventory'!$G$7:$G$106,MATCH($C154,'Inventory'!$B$7:$B$106,0)))</f>
        <v/>
      </c>
    </row>
    <row r="155" ht="17" customHeight="1">
      <c r="B155" s="66" t="n"/>
      <c r="C155" s="60" t="n"/>
      <c r="D155" s="86" t="n"/>
      <c r="E155" s="60" t="n"/>
      <c r="F155" s="60" t="n"/>
      <c r="G155" s="13">
        <f>IF($C155="","",IFERROR(INDEX('Inventory'!$D$7:$D$106,MATCH($C155,'Inventory'!$B$7:$B$106,0))&amp;"","?"))</f>
        <v/>
      </c>
      <c r="H155" s="80">
        <f>IF(AND($B155="",$C155="",$D155=""),"",IF(NOT(ISNUMBER($B155)),"Enter a valid date",IF($C155="","Pick ingredient",IF($G155="?","Not in Inventory",IF($G155="","Set stock unit in Inventory",IF(N($D155)&lt;=0,"Enter quantity",IF($E155="","Pick unit",IF(IFERROR(INDEX('Lists'!$C$6:$C$30,MATCH($E155,'Lists'!$B$6:$B$30,0)),"?")&lt;&gt;IFERROR(INDEX('Lists'!$C$6:$C$30,MATCH($G155,'Lists'!$B$6:$B$30,0)),"?"),"Unit mismatch",IF(ISNUMBER(INDEX('Inventory'!$G$7:$G$106,MATCH($C155,'Inventory'!$B$7:$B$106,0))),"OK","Add price in Inventory")))))))))</f>
        <v/>
      </c>
      <c r="I155" s="88">
        <f>IF($H155&lt;&gt;"OK","",$D155*INDEX('Lists'!$D$6:$D$30,MATCH($E155,'Lists'!$B$6:$B$30,0))/INDEX('Lists'!$D$6:$D$30,MATCH($G155,'Lists'!$B$6:$B$30,0)))</f>
        <v/>
      </c>
      <c r="J155" s="71">
        <f>IF($H155&lt;&gt;"OK","",$I155*INDEX('Inventory'!$G$7:$G$106,MATCH($C155,'Inventory'!$B$7:$B$106,0)))</f>
        <v/>
      </c>
    </row>
    <row r="156" ht="17" customHeight="1">
      <c r="B156" s="66" t="n"/>
      <c r="C156" s="60" t="n"/>
      <c r="D156" s="86" t="n"/>
      <c r="E156" s="60" t="n"/>
      <c r="F156" s="60" t="n"/>
      <c r="G156" s="13">
        <f>IF($C156="","",IFERROR(INDEX('Inventory'!$D$7:$D$106,MATCH($C156,'Inventory'!$B$7:$B$106,0))&amp;"","?"))</f>
        <v/>
      </c>
      <c r="H156" s="80">
        <f>IF(AND($B156="",$C156="",$D156=""),"",IF(NOT(ISNUMBER($B156)),"Enter a valid date",IF($C156="","Pick ingredient",IF($G156="?","Not in Inventory",IF($G156="","Set stock unit in Inventory",IF(N($D156)&lt;=0,"Enter quantity",IF($E156="","Pick unit",IF(IFERROR(INDEX('Lists'!$C$6:$C$30,MATCH($E156,'Lists'!$B$6:$B$30,0)),"?")&lt;&gt;IFERROR(INDEX('Lists'!$C$6:$C$30,MATCH($G156,'Lists'!$B$6:$B$30,0)),"?"),"Unit mismatch",IF(ISNUMBER(INDEX('Inventory'!$G$7:$G$106,MATCH($C156,'Inventory'!$B$7:$B$106,0))),"OK","Add price in Inventory")))))))))</f>
        <v/>
      </c>
      <c r="I156" s="88">
        <f>IF($H156&lt;&gt;"OK","",$D156*INDEX('Lists'!$D$6:$D$30,MATCH($E156,'Lists'!$B$6:$B$30,0))/INDEX('Lists'!$D$6:$D$30,MATCH($G156,'Lists'!$B$6:$B$30,0)))</f>
        <v/>
      </c>
      <c r="J156" s="71">
        <f>IF($H156&lt;&gt;"OK","",$I156*INDEX('Inventory'!$G$7:$G$106,MATCH($C156,'Inventory'!$B$7:$B$106,0)))</f>
        <v/>
      </c>
    </row>
    <row r="157" ht="17" customHeight="1">
      <c r="B157" s="66" t="n"/>
      <c r="C157" s="60" t="n"/>
      <c r="D157" s="86" t="n"/>
      <c r="E157" s="60" t="n"/>
      <c r="F157" s="60" t="n"/>
      <c r="G157" s="13">
        <f>IF($C157="","",IFERROR(INDEX('Inventory'!$D$7:$D$106,MATCH($C157,'Inventory'!$B$7:$B$106,0))&amp;"","?"))</f>
        <v/>
      </c>
      <c r="H157" s="80">
        <f>IF(AND($B157="",$C157="",$D157=""),"",IF(NOT(ISNUMBER($B157)),"Enter a valid date",IF($C157="","Pick ingredient",IF($G157="?","Not in Inventory",IF($G157="","Set stock unit in Inventory",IF(N($D157)&lt;=0,"Enter quantity",IF($E157="","Pick unit",IF(IFERROR(INDEX('Lists'!$C$6:$C$30,MATCH($E157,'Lists'!$B$6:$B$30,0)),"?")&lt;&gt;IFERROR(INDEX('Lists'!$C$6:$C$30,MATCH($G157,'Lists'!$B$6:$B$30,0)),"?"),"Unit mismatch",IF(ISNUMBER(INDEX('Inventory'!$G$7:$G$106,MATCH($C157,'Inventory'!$B$7:$B$106,0))),"OK","Add price in Inventory")))))))))</f>
        <v/>
      </c>
      <c r="I157" s="88">
        <f>IF($H157&lt;&gt;"OK","",$D157*INDEX('Lists'!$D$6:$D$30,MATCH($E157,'Lists'!$B$6:$B$30,0))/INDEX('Lists'!$D$6:$D$30,MATCH($G157,'Lists'!$B$6:$B$30,0)))</f>
        <v/>
      </c>
      <c r="J157" s="71">
        <f>IF($H157&lt;&gt;"OK","",$I157*INDEX('Inventory'!$G$7:$G$106,MATCH($C157,'Inventory'!$B$7:$B$106,0)))</f>
        <v/>
      </c>
    </row>
    <row r="158" ht="17" customHeight="1">
      <c r="B158" s="66" t="n"/>
      <c r="C158" s="60" t="n"/>
      <c r="D158" s="86" t="n"/>
      <c r="E158" s="60" t="n"/>
      <c r="F158" s="60" t="n"/>
      <c r="G158" s="13">
        <f>IF($C158="","",IFERROR(INDEX('Inventory'!$D$7:$D$106,MATCH($C158,'Inventory'!$B$7:$B$106,0))&amp;"","?"))</f>
        <v/>
      </c>
      <c r="H158" s="80">
        <f>IF(AND($B158="",$C158="",$D158=""),"",IF(NOT(ISNUMBER($B158)),"Enter a valid date",IF($C158="","Pick ingredient",IF($G158="?","Not in Inventory",IF($G158="","Set stock unit in Inventory",IF(N($D158)&lt;=0,"Enter quantity",IF($E158="","Pick unit",IF(IFERROR(INDEX('Lists'!$C$6:$C$30,MATCH($E158,'Lists'!$B$6:$B$30,0)),"?")&lt;&gt;IFERROR(INDEX('Lists'!$C$6:$C$30,MATCH($G158,'Lists'!$B$6:$B$30,0)),"?"),"Unit mismatch",IF(ISNUMBER(INDEX('Inventory'!$G$7:$G$106,MATCH($C158,'Inventory'!$B$7:$B$106,0))),"OK","Add price in Inventory")))))))))</f>
        <v/>
      </c>
      <c r="I158" s="88">
        <f>IF($H158&lt;&gt;"OK","",$D158*INDEX('Lists'!$D$6:$D$30,MATCH($E158,'Lists'!$B$6:$B$30,0))/INDEX('Lists'!$D$6:$D$30,MATCH($G158,'Lists'!$B$6:$B$30,0)))</f>
        <v/>
      </c>
      <c r="J158" s="71">
        <f>IF($H158&lt;&gt;"OK","",$I158*INDEX('Inventory'!$G$7:$G$106,MATCH($C158,'Inventory'!$B$7:$B$106,0)))</f>
        <v/>
      </c>
    </row>
    <row r="159" ht="17" customHeight="1">
      <c r="B159" s="66" t="n"/>
      <c r="C159" s="60" t="n"/>
      <c r="D159" s="86" t="n"/>
      <c r="E159" s="60" t="n"/>
      <c r="F159" s="60" t="n"/>
      <c r="G159" s="13">
        <f>IF($C159="","",IFERROR(INDEX('Inventory'!$D$7:$D$106,MATCH($C159,'Inventory'!$B$7:$B$106,0))&amp;"","?"))</f>
        <v/>
      </c>
      <c r="H159" s="80">
        <f>IF(AND($B159="",$C159="",$D159=""),"",IF(NOT(ISNUMBER($B159)),"Enter a valid date",IF($C159="","Pick ingredient",IF($G159="?","Not in Inventory",IF($G159="","Set stock unit in Inventory",IF(N($D159)&lt;=0,"Enter quantity",IF($E159="","Pick unit",IF(IFERROR(INDEX('Lists'!$C$6:$C$30,MATCH($E159,'Lists'!$B$6:$B$30,0)),"?")&lt;&gt;IFERROR(INDEX('Lists'!$C$6:$C$30,MATCH($G159,'Lists'!$B$6:$B$30,0)),"?"),"Unit mismatch",IF(ISNUMBER(INDEX('Inventory'!$G$7:$G$106,MATCH($C159,'Inventory'!$B$7:$B$106,0))),"OK","Add price in Inventory")))))))))</f>
        <v/>
      </c>
      <c r="I159" s="88">
        <f>IF($H159&lt;&gt;"OK","",$D159*INDEX('Lists'!$D$6:$D$30,MATCH($E159,'Lists'!$B$6:$B$30,0))/INDEX('Lists'!$D$6:$D$30,MATCH($G159,'Lists'!$B$6:$B$30,0)))</f>
        <v/>
      </c>
      <c r="J159" s="71">
        <f>IF($H159&lt;&gt;"OK","",$I159*INDEX('Inventory'!$G$7:$G$106,MATCH($C159,'Inventory'!$B$7:$B$106,0)))</f>
        <v/>
      </c>
    </row>
    <row r="160" ht="17" customHeight="1">
      <c r="B160" s="66" t="n"/>
      <c r="C160" s="60" t="n"/>
      <c r="D160" s="86" t="n"/>
      <c r="E160" s="60" t="n"/>
      <c r="F160" s="60" t="n"/>
      <c r="G160" s="13">
        <f>IF($C160="","",IFERROR(INDEX('Inventory'!$D$7:$D$106,MATCH($C160,'Inventory'!$B$7:$B$106,0))&amp;"","?"))</f>
        <v/>
      </c>
      <c r="H160" s="80">
        <f>IF(AND($B160="",$C160="",$D160=""),"",IF(NOT(ISNUMBER($B160)),"Enter a valid date",IF($C160="","Pick ingredient",IF($G160="?","Not in Inventory",IF($G160="","Set stock unit in Inventory",IF(N($D160)&lt;=0,"Enter quantity",IF($E160="","Pick unit",IF(IFERROR(INDEX('Lists'!$C$6:$C$30,MATCH($E160,'Lists'!$B$6:$B$30,0)),"?")&lt;&gt;IFERROR(INDEX('Lists'!$C$6:$C$30,MATCH($G160,'Lists'!$B$6:$B$30,0)),"?"),"Unit mismatch",IF(ISNUMBER(INDEX('Inventory'!$G$7:$G$106,MATCH($C160,'Inventory'!$B$7:$B$106,0))),"OK","Add price in Inventory")))))))))</f>
        <v/>
      </c>
      <c r="I160" s="88">
        <f>IF($H160&lt;&gt;"OK","",$D160*INDEX('Lists'!$D$6:$D$30,MATCH($E160,'Lists'!$B$6:$B$30,0))/INDEX('Lists'!$D$6:$D$30,MATCH($G160,'Lists'!$B$6:$B$30,0)))</f>
        <v/>
      </c>
      <c r="J160" s="71">
        <f>IF($H160&lt;&gt;"OK","",$I160*INDEX('Inventory'!$G$7:$G$106,MATCH($C160,'Inventory'!$B$7:$B$106,0)))</f>
        <v/>
      </c>
    </row>
    <row r="161" ht="17" customHeight="1">
      <c r="B161" s="66" t="n"/>
      <c r="C161" s="60" t="n"/>
      <c r="D161" s="86" t="n"/>
      <c r="E161" s="60" t="n"/>
      <c r="F161" s="60" t="n"/>
      <c r="G161" s="13">
        <f>IF($C161="","",IFERROR(INDEX('Inventory'!$D$7:$D$106,MATCH($C161,'Inventory'!$B$7:$B$106,0))&amp;"","?"))</f>
        <v/>
      </c>
      <c r="H161" s="80">
        <f>IF(AND($B161="",$C161="",$D161=""),"",IF(NOT(ISNUMBER($B161)),"Enter a valid date",IF($C161="","Pick ingredient",IF($G161="?","Not in Inventory",IF($G161="","Set stock unit in Inventory",IF(N($D161)&lt;=0,"Enter quantity",IF($E161="","Pick unit",IF(IFERROR(INDEX('Lists'!$C$6:$C$30,MATCH($E161,'Lists'!$B$6:$B$30,0)),"?")&lt;&gt;IFERROR(INDEX('Lists'!$C$6:$C$30,MATCH($G161,'Lists'!$B$6:$B$30,0)),"?"),"Unit mismatch",IF(ISNUMBER(INDEX('Inventory'!$G$7:$G$106,MATCH($C161,'Inventory'!$B$7:$B$106,0))),"OK","Add price in Inventory")))))))))</f>
        <v/>
      </c>
      <c r="I161" s="88">
        <f>IF($H161&lt;&gt;"OK","",$D161*INDEX('Lists'!$D$6:$D$30,MATCH($E161,'Lists'!$B$6:$B$30,0))/INDEX('Lists'!$D$6:$D$30,MATCH($G161,'Lists'!$B$6:$B$30,0)))</f>
        <v/>
      </c>
      <c r="J161" s="71">
        <f>IF($H161&lt;&gt;"OK","",$I161*INDEX('Inventory'!$G$7:$G$106,MATCH($C161,'Inventory'!$B$7:$B$106,0)))</f>
        <v/>
      </c>
    </row>
    <row r="162" ht="17" customHeight="1">
      <c r="B162" s="66" t="n"/>
      <c r="C162" s="60" t="n"/>
      <c r="D162" s="86" t="n"/>
      <c r="E162" s="60" t="n"/>
      <c r="F162" s="60" t="n"/>
      <c r="G162" s="13">
        <f>IF($C162="","",IFERROR(INDEX('Inventory'!$D$7:$D$106,MATCH($C162,'Inventory'!$B$7:$B$106,0))&amp;"","?"))</f>
        <v/>
      </c>
      <c r="H162" s="80">
        <f>IF(AND($B162="",$C162="",$D162=""),"",IF(NOT(ISNUMBER($B162)),"Enter a valid date",IF($C162="","Pick ingredient",IF($G162="?","Not in Inventory",IF($G162="","Set stock unit in Inventory",IF(N($D162)&lt;=0,"Enter quantity",IF($E162="","Pick unit",IF(IFERROR(INDEX('Lists'!$C$6:$C$30,MATCH($E162,'Lists'!$B$6:$B$30,0)),"?")&lt;&gt;IFERROR(INDEX('Lists'!$C$6:$C$30,MATCH($G162,'Lists'!$B$6:$B$30,0)),"?"),"Unit mismatch",IF(ISNUMBER(INDEX('Inventory'!$G$7:$G$106,MATCH($C162,'Inventory'!$B$7:$B$106,0))),"OK","Add price in Inventory")))))))))</f>
        <v/>
      </c>
      <c r="I162" s="88">
        <f>IF($H162&lt;&gt;"OK","",$D162*INDEX('Lists'!$D$6:$D$30,MATCH($E162,'Lists'!$B$6:$B$30,0))/INDEX('Lists'!$D$6:$D$30,MATCH($G162,'Lists'!$B$6:$B$30,0)))</f>
        <v/>
      </c>
      <c r="J162" s="71">
        <f>IF($H162&lt;&gt;"OK","",$I162*INDEX('Inventory'!$G$7:$G$106,MATCH($C162,'Inventory'!$B$7:$B$106,0)))</f>
        <v/>
      </c>
    </row>
    <row r="163" ht="17" customHeight="1">
      <c r="B163" s="66" t="n"/>
      <c r="C163" s="60" t="n"/>
      <c r="D163" s="86" t="n"/>
      <c r="E163" s="60" t="n"/>
      <c r="F163" s="60" t="n"/>
      <c r="G163" s="13">
        <f>IF($C163="","",IFERROR(INDEX('Inventory'!$D$7:$D$106,MATCH($C163,'Inventory'!$B$7:$B$106,0))&amp;"","?"))</f>
        <v/>
      </c>
      <c r="H163" s="80">
        <f>IF(AND($B163="",$C163="",$D163=""),"",IF(NOT(ISNUMBER($B163)),"Enter a valid date",IF($C163="","Pick ingredient",IF($G163="?","Not in Inventory",IF($G163="","Set stock unit in Inventory",IF(N($D163)&lt;=0,"Enter quantity",IF($E163="","Pick unit",IF(IFERROR(INDEX('Lists'!$C$6:$C$30,MATCH($E163,'Lists'!$B$6:$B$30,0)),"?")&lt;&gt;IFERROR(INDEX('Lists'!$C$6:$C$30,MATCH($G163,'Lists'!$B$6:$B$30,0)),"?"),"Unit mismatch",IF(ISNUMBER(INDEX('Inventory'!$G$7:$G$106,MATCH($C163,'Inventory'!$B$7:$B$106,0))),"OK","Add price in Inventory")))))))))</f>
        <v/>
      </c>
      <c r="I163" s="88">
        <f>IF($H163&lt;&gt;"OK","",$D163*INDEX('Lists'!$D$6:$D$30,MATCH($E163,'Lists'!$B$6:$B$30,0))/INDEX('Lists'!$D$6:$D$30,MATCH($G163,'Lists'!$B$6:$B$30,0)))</f>
        <v/>
      </c>
      <c r="J163" s="71">
        <f>IF($H163&lt;&gt;"OK","",$I163*INDEX('Inventory'!$G$7:$G$106,MATCH($C163,'Inventory'!$B$7:$B$106,0)))</f>
        <v/>
      </c>
    </row>
    <row r="164" ht="17" customHeight="1">
      <c r="B164" s="66" t="n"/>
      <c r="C164" s="60" t="n"/>
      <c r="D164" s="86" t="n"/>
      <c r="E164" s="60" t="n"/>
      <c r="F164" s="60" t="n"/>
      <c r="G164" s="13">
        <f>IF($C164="","",IFERROR(INDEX('Inventory'!$D$7:$D$106,MATCH($C164,'Inventory'!$B$7:$B$106,0))&amp;"","?"))</f>
        <v/>
      </c>
      <c r="H164" s="80">
        <f>IF(AND($B164="",$C164="",$D164=""),"",IF(NOT(ISNUMBER($B164)),"Enter a valid date",IF($C164="","Pick ingredient",IF($G164="?","Not in Inventory",IF($G164="","Set stock unit in Inventory",IF(N($D164)&lt;=0,"Enter quantity",IF($E164="","Pick unit",IF(IFERROR(INDEX('Lists'!$C$6:$C$30,MATCH($E164,'Lists'!$B$6:$B$30,0)),"?")&lt;&gt;IFERROR(INDEX('Lists'!$C$6:$C$30,MATCH($G164,'Lists'!$B$6:$B$30,0)),"?"),"Unit mismatch",IF(ISNUMBER(INDEX('Inventory'!$G$7:$G$106,MATCH($C164,'Inventory'!$B$7:$B$106,0))),"OK","Add price in Inventory")))))))))</f>
        <v/>
      </c>
      <c r="I164" s="88">
        <f>IF($H164&lt;&gt;"OK","",$D164*INDEX('Lists'!$D$6:$D$30,MATCH($E164,'Lists'!$B$6:$B$30,0))/INDEX('Lists'!$D$6:$D$30,MATCH($G164,'Lists'!$B$6:$B$30,0)))</f>
        <v/>
      </c>
      <c r="J164" s="71">
        <f>IF($H164&lt;&gt;"OK","",$I164*INDEX('Inventory'!$G$7:$G$106,MATCH($C164,'Inventory'!$B$7:$B$106,0)))</f>
        <v/>
      </c>
    </row>
    <row r="165" ht="17" customHeight="1">
      <c r="B165" s="66" t="n"/>
      <c r="C165" s="60" t="n"/>
      <c r="D165" s="86" t="n"/>
      <c r="E165" s="60" t="n"/>
      <c r="F165" s="60" t="n"/>
      <c r="G165" s="13">
        <f>IF($C165="","",IFERROR(INDEX('Inventory'!$D$7:$D$106,MATCH($C165,'Inventory'!$B$7:$B$106,0))&amp;"","?"))</f>
        <v/>
      </c>
      <c r="H165" s="80">
        <f>IF(AND($B165="",$C165="",$D165=""),"",IF(NOT(ISNUMBER($B165)),"Enter a valid date",IF($C165="","Pick ingredient",IF($G165="?","Not in Inventory",IF($G165="","Set stock unit in Inventory",IF(N($D165)&lt;=0,"Enter quantity",IF($E165="","Pick unit",IF(IFERROR(INDEX('Lists'!$C$6:$C$30,MATCH($E165,'Lists'!$B$6:$B$30,0)),"?")&lt;&gt;IFERROR(INDEX('Lists'!$C$6:$C$30,MATCH($G165,'Lists'!$B$6:$B$30,0)),"?"),"Unit mismatch",IF(ISNUMBER(INDEX('Inventory'!$G$7:$G$106,MATCH($C165,'Inventory'!$B$7:$B$106,0))),"OK","Add price in Inventory")))))))))</f>
        <v/>
      </c>
      <c r="I165" s="88">
        <f>IF($H165&lt;&gt;"OK","",$D165*INDEX('Lists'!$D$6:$D$30,MATCH($E165,'Lists'!$B$6:$B$30,0))/INDEX('Lists'!$D$6:$D$30,MATCH($G165,'Lists'!$B$6:$B$30,0)))</f>
        <v/>
      </c>
      <c r="J165" s="71">
        <f>IF($H165&lt;&gt;"OK","",$I165*INDEX('Inventory'!$G$7:$G$106,MATCH($C165,'Inventory'!$B$7:$B$106,0)))</f>
        <v/>
      </c>
    </row>
    <row r="166" ht="17" customHeight="1">
      <c r="B166" s="66" t="n"/>
      <c r="C166" s="60" t="n"/>
      <c r="D166" s="86" t="n"/>
      <c r="E166" s="60" t="n"/>
      <c r="F166" s="60" t="n"/>
      <c r="G166" s="13">
        <f>IF($C166="","",IFERROR(INDEX('Inventory'!$D$7:$D$106,MATCH($C166,'Inventory'!$B$7:$B$106,0))&amp;"","?"))</f>
        <v/>
      </c>
      <c r="H166" s="80">
        <f>IF(AND($B166="",$C166="",$D166=""),"",IF(NOT(ISNUMBER($B166)),"Enter a valid date",IF($C166="","Pick ingredient",IF($G166="?","Not in Inventory",IF($G166="","Set stock unit in Inventory",IF(N($D166)&lt;=0,"Enter quantity",IF($E166="","Pick unit",IF(IFERROR(INDEX('Lists'!$C$6:$C$30,MATCH($E166,'Lists'!$B$6:$B$30,0)),"?")&lt;&gt;IFERROR(INDEX('Lists'!$C$6:$C$30,MATCH($G166,'Lists'!$B$6:$B$30,0)),"?"),"Unit mismatch",IF(ISNUMBER(INDEX('Inventory'!$G$7:$G$106,MATCH($C166,'Inventory'!$B$7:$B$106,0))),"OK","Add price in Inventory")))))))))</f>
        <v/>
      </c>
      <c r="I166" s="88">
        <f>IF($H166&lt;&gt;"OK","",$D166*INDEX('Lists'!$D$6:$D$30,MATCH($E166,'Lists'!$B$6:$B$30,0))/INDEX('Lists'!$D$6:$D$30,MATCH($G166,'Lists'!$B$6:$B$30,0)))</f>
        <v/>
      </c>
      <c r="J166" s="71">
        <f>IF($H166&lt;&gt;"OK","",$I166*INDEX('Inventory'!$G$7:$G$106,MATCH($C166,'Inventory'!$B$7:$B$106,0)))</f>
        <v/>
      </c>
    </row>
    <row r="167" ht="17" customHeight="1">
      <c r="B167" s="66" t="n"/>
      <c r="C167" s="60" t="n"/>
      <c r="D167" s="86" t="n"/>
      <c r="E167" s="60" t="n"/>
      <c r="F167" s="60" t="n"/>
      <c r="G167" s="13">
        <f>IF($C167="","",IFERROR(INDEX('Inventory'!$D$7:$D$106,MATCH($C167,'Inventory'!$B$7:$B$106,0))&amp;"","?"))</f>
        <v/>
      </c>
      <c r="H167" s="80">
        <f>IF(AND($B167="",$C167="",$D167=""),"",IF(NOT(ISNUMBER($B167)),"Enter a valid date",IF($C167="","Pick ingredient",IF($G167="?","Not in Inventory",IF($G167="","Set stock unit in Inventory",IF(N($D167)&lt;=0,"Enter quantity",IF($E167="","Pick unit",IF(IFERROR(INDEX('Lists'!$C$6:$C$30,MATCH($E167,'Lists'!$B$6:$B$30,0)),"?")&lt;&gt;IFERROR(INDEX('Lists'!$C$6:$C$30,MATCH($G167,'Lists'!$B$6:$B$30,0)),"?"),"Unit mismatch",IF(ISNUMBER(INDEX('Inventory'!$G$7:$G$106,MATCH($C167,'Inventory'!$B$7:$B$106,0))),"OK","Add price in Inventory")))))))))</f>
        <v/>
      </c>
      <c r="I167" s="88">
        <f>IF($H167&lt;&gt;"OK","",$D167*INDEX('Lists'!$D$6:$D$30,MATCH($E167,'Lists'!$B$6:$B$30,0))/INDEX('Lists'!$D$6:$D$30,MATCH($G167,'Lists'!$B$6:$B$30,0)))</f>
        <v/>
      </c>
      <c r="J167" s="71">
        <f>IF($H167&lt;&gt;"OK","",$I167*INDEX('Inventory'!$G$7:$G$106,MATCH($C167,'Inventory'!$B$7:$B$106,0)))</f>
        <v/>
      </c>
    </row>
    <row r="168" ht="17" customHeight="1">
      <c r="B168" s="66" t="n"/>
      <c r="C168" s="60" t="n"/>
      <c r="D168" s="86" t="n"/>
      <c r="E168" s="60" t="n"/>
      <c r="F168" s="60" t="n"/>
      <c r="G168" s="13">
        <f>IF($C168="","",IFERROR(INDEX('Inventory'!$D$7:$D$106,MATCH($C168,'Inventory'!$B$7:$B$106,0))&amp;"","?"))</f>
        <v/>
      </c>
      <c r="H168" s="80">
        <f>IF(AND($B168="",$C168="",$D168=""),"",IF(NOT(ISNUMBER($B168)),"Enter a valid date",IF($C168="","Pick ingredient",IF($G168="?","Not in Inventory",IF($G168="","Set stock unit in Inventory",IF(N($D168)&lt;=0,"Enter quantity",IF($E168="","Pick unit",IF(IFERROR(INDEX('Lists'!$C$6:$C$30,MATCH($E168,'Lists'!$B$6:$B$30,0)),"?")&lt;&gt;IFERROR(INDEX('Lists'!$C$6:$C$30,MATCH($G168,'Lists'!$B$6:$B$30,0)),"?"),"Unit mismatch",IF(ISNUMBER(INDEX('Inventory'!$G$7:$G$106,MATCH($C168,'Inventory'!$B$7:$B$106,0))),"OK","Add price in Inventory")))))))))</f>
        <v/>
      </c>
      <c r="I168" s="88">
        <f>IF($H168&lt;&gt;"OK","",$D168*INDEX('Lists'!$D$6:$D$30,MATCH($E168,'Lists'!$B$6:$B$30,0))/INDEX('Lists'!$D$6:$D$30,MATCH($G168,'Lists'!$B$6:$B$30,0)))</f>
        <v/>
      </c>
      <c r="J168" s="71">
        <f>IF($H168&lt;&gt;"OK","",$I168*INDEX('Inventory'!$G$7:$G$106,MATCH($C168,'Inventory'!$B$7:$B$106,0)))</f>
        <v/>
      </c>
    </row>
    <row r="169" ht="17" customHeight="1">
      <c r="B169" s="66" t="n"/>
      <c r="C169" s="60" t="n"/>
      <c r="D169" s="86" t="n"/>
      <c r="E169" s="60" t="n"/>
      <c r="F169" s="60" t="n"/>
      <c r="G169" s="13">
        <f>IF($C169="","",IFERROR(INDEX('Inventory'!$D$7:$D$106,MATCH($C169,'Inventory'!$B$7:$B$106,0))&amp;"","?"))</f>
        <v/>
      </c>
      <c r="H169" s="80">
        <f>IF(AND($B169="",$C169="",$D169=""),"",IF(NOT(ISNUMBER($B169)),"Enter a valid date",IF($C169="","Pick ingredient",IF($G169="?","Not in Inventory",IF($G169="","Set stock unit in Inventory",IF(N($D169)&lt;=0,"Enter quantity",IF($E169="","Pick unit",IF(IFERROR(INDEX('Lists'!$C$6:$C$30,MATCH($E169,'Lists'!$B$6:$B$30,0)),"?")&lt;&gt;IFERROR(INDEX('Lists'!$C$6:$C$30,MATCH($G169,'Lists'!$B$6:$B$30,0)),"?"),"Unit mismatch",IF(ISNUMBER(INDEX('Inventory'!$G$7:$G$106,MATCH($C169,'Inventory'!$B$7:$B$106,0))),"OK","Add price in Inventory")))))))))</f>
        <v/>
      </c>
      <c r="I169" s="88">
        <f>IF($H169&lt;&gt;"OK","",$D169*INDEX('Lists'!$D$6:$D$30,MATCH($E169,'Lists'!$B$6:$B$30,0))/INDEX('Lists'!$D$6:$D$30,MATCH($G169,'Lists'!$B$6:$B$30,0)))</f>
        <v/>
      </c>
      <c r="J169" s="71">
        <f>IF($H169&lt;&gt;"OK","",$I169*INDEX('Inventory'!$G$7:$G$106,MATCH($C169,'Inventory'!$B$7:$B$106,0)))</f>
        <v/>
      </c>
    </row>
    <row r="170" ht="17" customHeight="1">
      <c r="B170" s="66" t="n"/>
      <c r="C170" s="60" t="n"/>
      <c r="D170" s="86" t="n"/>
      <c r="E170" s="60" t="n"/>
      <c r="F170" s="60" t="n"/>
      <c r="G170" s="13">
        <f>IF($C170="","",IFERROR(INDEX('Inventory'!$D$7:$D$106,MATCH($C170,'Inventory'!$B$7:$B$106,0))&amp;"","?"))</f>
        <v/>
      </c>
      <c r="H170" s="80">
        <f>IF(AND($B170="",$C170="",$D170=""),"",IF(NOT(ISNUMBER($B170)),"Enter a valid date",IF($C170="","Pick ingredient",IF($G170="?","Not in Inventory",IF($G170="","Set stock unit in Inventory",IF(N($D170)&lt;=0,"Enter quantity",IF($E170="","Pick unit",IF(IFERROR(INDEX('Lists'!$C$6:$C$30,MATCH($E170,'Lists'!$B$6:$B$30,0)),"?")&lt;&gt;IFERROR(INDEX('Lists'!$C$6:$C$30,MATCH($G170,'Lists'!$B$6:$B$30,0)),"?"),"Unit mismatch",IF(ISNUMBER(INDEX('Inventory'!$G$7:$G$106,MATCH($C170,'Inventory'!$B$7:$B$106,0))),"OK","Add price in Inventory")))))))))</f>
        <v/>
      </c>
      <c r="I170" s="88">
        <f>IF($H170&lt;&gt;"OK","",$D170*INDEX('Lists'!$D$6:$D$30,MATCH($E170,'Lists'!$B$6:$B$30,0))/INDEX('Lists'!$D$6:$D$30,MATCH($G170,'Lists'!$B$6:$B$30,0)))</f>
        <v/>
      </c>
      <c r="J170" s="71">
        <f>IF($H170&lt;&gt;"OK","",$I170*INDEX('Inventory'!$G$7:$G$106,MATCH($C170,'Inventory'!$B$7:$B$106,0)))</f>
        <v/>
      </c>
    </row>
    <row r="171" ht="17" customHeight="1">
      <c r="B171" s="66" t="n"/>
      <c r="C171" s="60" t="n"/>
      <c r="D171" s="86" t="n"/>
      <c r="E171" s="60" t="n"/>
      <c r="F171" s="60" t="n"/>
      <c r="G171" s="13">
        <f>IF($C171="","",IFERROR(INDEX('Inventory'!$D$7:$D$106,MATCH($C171,'Inventory'!$B$7:$B$106,0))&amp;"","?"))</f>
        <v/>
      </c>
      <c r="H171" s="80">
        <f>IF(AND($B171="",$C171="",$D171=""),"",IF(NOT(ISNUMBER($B171)),"Enter a valid date",IF($C171="","Pick ingredient",IF($G171="?","Not in Inventory",IF($G171="","Set stock unit in Inventory",IF(N($D171)&lt;=0,"Enter quantity",IF($E171="","Pick unit",IF(IFERROR(INDEX('Lists'!$C$6:$C$30,MATCH($E171,'Lists'!$B$6:$B$30,0)),"?")&lt;&gt;IFERROR(INDEX('Lists'!$C$6:$C$30,MATCH($G171,'Lists'!$B$6:$B$30,0)),"?"),"Unit mismatch",IF(ISNUMBER(INDEX('Inventory'!$G$7:$G$106,MATCH($C171,'Inventory'!$B$7:$B$106,0))),"OK","Add price in Inventory")))))))))</f>
        <v/>
      </c>
      <c r="I171" s="88">
        <f>IF($H171&lt;&gt;"OK","",$D171*INDEX('Lists'!$D$6:$D$30,MATCH($E171,'Lists'!$B$6:$B$30,0))/INDEX('Lists'!$D$6:$D$30,MATCH($G171,'Lists'!$B$6:$B$30,0)))</f>
        <v/>
      </c>
      <c r="J171" s="71">
        <f>IF($H171&lt;&gt;"OK","",$I171*INDEX('Inventory'!$G$7:$G$106,MATCH($C171,'Inventory'!$B$7:$B$106,0)))</f>
        <v/>
      </c>
    </row>
    <row r="172" ht="17" customHeight="1">
      <c r="B172" s="66" t="n"/>
      <c r="C172" s="60" t="n"/>
      <c r="D172" s="86" t="n"/>
      <c r="E172" s="60" t="n"/>
      <c r="F172" s="60" t="n"/>
      <c r="G172" s="13">
        <f>IF($C172="","",IFERROR(INDEX('Inventory'!$D$7:$D$106,MATCH($C172,'Inventory'!$B$7:$B$106,0))&amp;"","?"))</f>
        <v/>
      </c>
      <c r="H172" s="80">
        <f>IF(AND($B172="",$C172="",$D172=""),"",IF(NOT(ISNUMBER($B172)),"Enter a valid date",IF($C172="","Pick ingredient",IF($G172="?","Not in Inventory",IF($G172="","Set stock unit in Inventory",IF(N($D172)&lt;=0,"Enter quantity",IF($E172="","Pick unit",IF(IFERROR(INDEX('Lists'!$C$6:$C$30,MATCH($E172,'Lists'!$B$6:$B$30,0)),"?")&lt;&gt;IFERROR(INDEX('Lists'!$C$6:$C$30,MATCH($G172,'Lists'!$B$6:$B$30,0)),"?"),"Unit mismatch",IF(ISNUMBER(INDEX('Inventory'!$G$7:$G$106,MATCH($C172,'Inventory'!$B$7:$B$106,0))),"OK","Add price in Inventory")))))))))</f>
        <v/>
      </c>
      <c r="I172" s="88">
        <f>IF($H172&lt;&gt;"OK","",$D172*INDEX('Lists'!$D$6:$D$30,MATCH($E172,'Lists'!$B$6:$B$30,0))/INDEX('Lists'!$D$6:$D$30,MATCH($G172,'Lists'!$B$6:$B$30,0)))</f>
        <v/>
      </c>
      <c r="J172" s="71">
        <f>IF($H172&lt;&gt;"OK","",$I172*INDEX('Inventory'!$G$7:$G$106,MATCH($C172,'Inventory'!$B$7:$B$106,0)))</f>
        <v/>
      </c>
    </row>
    <row r="173" ht="17" customHeight="1">
      <c r="B173" s="66" t="n"/>
      <c r="C173" s="60" t="n"/>
      <c r="D173" s="86" t="n"/>
      <c r="E173" s="60" t="n"/>
      <c r="F173" s="60" t="n"/>
      <c r="G173" s="13">
        <f>IF($C173="","",IFERROR(INDEX('Inventory'!$D$7:$D$106,MATCH($C173,'Inventory'!$B$7:$B$106,0))&amp;"","?"))</f>
        <v/>
      </c>
      <c r="H173" s="80">
        <f>IF(AND($B173="",$C173="",$D173=""),"",IF(NOT(ISNUMBER($B173)),"Enter a valid date",IF($C173="","Pick ingredient",IF($G173="?","Not in Inventory",IF($G173="","Set stock unit in Inventory",IF(N($D173)&lt;=0,"Enter quantity",IF($E173="","Pick unit",IF(IFERROR(INDEX('Lists'!$C$6:$C$30,MATCH($E173,'Lists'!$B$6:$B$30,0)),"?")&lt;&gt;IFERROR(INDEX('Lists'!$C$6:$C$30,MATCH($G173,'Lists'!$B$6:$B$30,0)),"?"),"Unit mismatch",IF(ISNUMBER(INDEX('Inventory'!$G$7:$G$106,MATCH($C173,'Inventory'!$B$7:$B$106,0))),"OK","Add price in Inventory")))))))))</f>
        <v/>
      </c>
      <c r="I173" s="88">
        <f>IF($H173&lt;&gt;"OK","",$D173*INDEX('Lists'!$D$6:$D$30,MATCH($E173,'Lists'!$B$6:$B$30,0))/INDEX('Lists'!$D$6:$D$30,MATCH($G173,'Lists'!$B$6:$B$30,0)))</f>
        <v/>
      </c>
      <c r="J173" s="71">
        <f>IF($H173&lt;&gt;"OK","",$I173*INDEX('Inventory'!$G$7:$G$106,MATCH($C173,'Inventory'!$B$7:$B$106,0)))</f>
        <v/>
      </c>
    </row>
    <row r="174" ht="17" customHeight="1">
      <c r="B174" s="66" t="n"/>
      <c r="C174" s="60" t="n"/>
      <c r="D174" s="86" t="n"/>
      <c r="E174" s="60" t="n"/>
      <c r="F174" s="60" t="n"/>
      <c r="G174" s="13">
        <f>IF($C174="","",IFERROR(INDEX('Inventory'!$D$7:$D$106,MATCH($C174,'Inventory'!$B$7:$B$106,0))&amp;"","?"))</f>
        <v/>
      </c>
      <c r="H174" s="80">
        <f>IF(AND($B174="",$C174="",$D174=""),"",IF(NOT(ISNUMBER($B174)),"Enter a valid date",IF($C174="","Pick ingredient",IF($G174="?","Not in Inventory",IF($G174="","Set stock unit in Inventory",IF(N($D174)&lt;=0,"Enter quantity",IF($E174="","Pick unit",IF(IFERROR(INDEX('Lists'!$C$6:$C$30,MATCH($E174,'Lists'!$B$6:$B$30,0)),"?")&lt;&gt;IFERROR(INDEX('Lists'!$C$6:$C$30,MATCH($G174,'Lists'!$B$6:$B$30,0)),"?"),"Unit mismatch",IF(ISNUMBER(INDEX('Inventory'!$G$7:$G$106,MATCH($C174,'Inventory'!$B$7:$B$106,0))),"OK","Add price in Inventory")))))))))</f>
        <v/>
      </c>
      <c r="I174" s="88">
        <f>IF($H174&lt;&gt;"OK","",$D174*INDEX('Lists'!$D$6:$D$30,MATCH($E174,'Lists'!$B$6:$B$30,0))/INDEX('Lists'!$D$6:$D$30,MATCH($G174,'Lists'!$B$6:$B$30,0)))</f>
        <v/>
      </c>
      <c r="J174" s="71">
        <f>IF($H174&lt;&gt;"OK","",$I174*INDEX('Inventory'!$G$7:$G$106,MATCH($C174,'Inventory'!$B$7:$B$106,0)))</f>
        <v/>
      </c>
    </row>
    <row r="175" ht="17" customHeight="1">
      <c r="B175" s="66" t="n"/>
      <c r="C175" s="60" t="n"/>
      <c r="D175" s="86" t="n"/>
      <c r="E175" s="60" t="n"/>
      <c r="F175" s="60" t="n"/>
      <c r="G175" s="13">
        <f>IF($C175="","",IFERROR(INDEX('Inventory'!$D$7:$D$106,MATCH($C175,'Inventory'!$B$7:$B$106,0))&amp;"","?"))</f>
        <v/>
      </c>
      <c r="H175" s="80">
        <f>IF(AND($B175="",$C175="",$D175=""),"",IF(NOT(ISNUMBER($B175)),"Enter a valid date",IF($C175="","Pick ingredient",IF($G175="?","Not in Inventory",IF($G175="","Set stock unit in Inventory",IF(N($D175)&lt;=0,"Enter quantity",IF($E175="","Pick unit",IF(IFERROR(INDEX('Lists'!$C$6:$C$30,MATCH($E175,'Lists'!$B$6:$B$30,0)),"?")&lt;&gt;IFERROR(INDEX('Lists'!$C$6:$C$30,MATCH($G175,'Lists'!$B$6:$B$30,0)),"?"),"Unit mismatch",IF(ISNUMBER(INDEX('Inventory'!$G$7:$G$106,MATCH($C175,'Inventory'!$B$7:$B$106,0))),"OK","Add price in Inventory")))))))))</f>
        <v/>
      </c>
      <c r="I175" s="88">
        <f>IF($H175&lt;&gt;"OK","",$D175*INDEX('Lists'!$D$6:$D$30,MATCH($E175,'Lists'!$B$6:$B$30,0))/INDEX('Lists'!$D$6:$D$30,MATCH($G175,'Lists'!$B$6:$B$30,0)))</f>
        <v/>
      </c>
      <c r="J175" s="71">
        <f>IF($H175&lt;&gt;"OK","",$I175*INDEX('Inventory'!$G$7:$G$106,MATCH($C175,'Inventory'!$B$7:$B$106,0)))</f>
        <v/>
      </c>
    </row>
    <row r="176" ht="17" customHeight="1">
      <c r="B176" s="66" t="n"/>
      <c r="C176" s="60" t="n"/>
      <c r="D176" s="86" t="n"/>
      <c r="E176" s="60" t="n"/>
      <c r="F176" s="60" t="n"/>
      <c r="G176" s="13">
        <f>IF($C176="","",IFERROR(INDEX('Inventory'!$D$7:$D$106,MATCH($C176,'Inventory'!$B$7:$B$106,0))&amp;"","?"))</f>
        <v/>
      </c>
      <c r="H176" s="80">
        <f>IF(AND($B176="",$C176="",$D176=""),"",IF(NOT(ISNUMBER($B176)),"Enter a valid date",IF($C176="","Pick ingredient",IF($G176="?","Not in Inventory",IF($G176="","Set stock unit in Inventory",IF(N($D176)&lt;=0,"Enter quantity",IF($E176="","Pick unit",IF(IFERROR(INDEX('Lists'!$C$6:$C$30,MATCH($E176,'Lists'!$B$6:$B$30,0)),"?")&lt;&gt;IFERROR(INDEX('Lists'!$C$6:$C$30,MATCH($G176,'Lists'!$B$6:$B$30,0)),"?"),"Unit mismatch",IF(ISNUMBER(INDEX('Inventory'!$G$7:$G$106,MATCH($C176,'Inventory'!$B$7:$B$106,0))),"OK","Add price in Inventory")))))))))</f>
        <v/>
      </c>
      <c r="I176" s="88">
        <f>IF($H176&lt;&gt;"OK","",$D176*INDEX('Lists'!$D$6:$D$30,MATCH($E176,'Lists'!$B$6:$B$30,0))/INDEX('Lists'!$D$6:$D$30,MATCH($G176,'Lists'!$B$6:$B$30,0)))</f>
        <v/>
      </c>
      <c r="J176" s="71">
        <f>IF($H176&lt;&gt;"OK","",$I176*INDEX('Inventory'!$G$7:$G$106,MATCH($C176,'Inventory'!$B$7:$B$106,0)))</f>
        <v/>
      </c>
    </row>
    <row r="177" ht="17" customHeight="1">
      <c r="B177" s="66" t="n"/>
      <c r="C177" s="60" t="n"/>
      <c r="D177" s="86" t="n"/>
      <c r="E177" s="60" t="n"/>
      <c r="F177" s="60" t="n"/>
      <c r="G177" s="13">
        <f>IF($C177="","",IFERROR(INDEX('Inventory'!$D$7:$D$106,MATCH($C177,'Inventory'!$B$7:$B$106,0))&amp;"","?"))</f>
        <v/>
      </c>
      <c r="H177" s="80">
        <f>IF(AND($B177="",$C177="",$D177=""),"",IF(NOT(ISNUMBER($B177)),"Enter a valid date",IF($C177="","Pick ingredient",IF($G177="?","Not in Inventory",IF($G177="","Set stock unit in Inventory",IF(N($D177)&lt;=0,"Enter quantity",IF($E177="","Pick unit",IF(IFERROR(INDEX('Lists'!$C$6:$C$30,MATCH($E177,'Lists'!$B$6:$B$30,0)),"?")&lt;&gt;IFERROR(INDEX('Lists'!$C$6:$C$30,MATCH($G177,'Lists'!$B$6:$B$30,0)),"?"),"Unit mismatch",IF(ISNUMBER(INDEX('Inventory'!$G$7:$G$106,MATCH($C177,'Inventory'!$B$7:$B$106,0))),"OK","Add price in Inventory")))))))))</f>
        <v/>
      </c>
      <c r="I177" s="88">
        <f>IF($H177&lt;&gt;"OK","",$D177*INDEX('Lists'!$D$6:$D$30,MATCH($E177,'Lists'!$B$6:$B$30,0))/INDEX('Lists'!$D$6:$D$30,MATCH($G177,'Lists'!$B$6:$B$30,0)))</f>
        <v/>
      </c>
      <c r="J177" s="71">
        <f>IF($H177&lt;&gt;"OK","",$I177*INDEX('Inventory'!$G$7:$G$106,MATCH($C177,'Inventory'!$B$7:$B$106,0)))</f>
        <v/>
      </c>
    </row>
    <row r="178" ht="17" customHeight="1">
      <c r="B178" s="66" t="n"/>
      <c r="C178" s="60" t="n"/>
      <c r="D178" s="86" t="n"/>
      <c r="E178" s="60" t="n"/>
      <c r="F178" s="60" t="n"/>
      <c r="G178" s="13">
        <f>IF($C178="","",IFERROR(INDEX('Inventory'!$D$7:$D$106,MATCH($C178,'Inventory'!$B$7:$B$106,0))&amp;"","?"))</f>
        <v/>
      </c>
      <c r="H178" s="80">
        <f>IF(AND($B178="",$C178="",$D178=""),"",IF(NOT(ISNUMBER($B178)),"Enter a valid date",IF($C178="","Pick ingredient",IF($G178="?","Not in Inventory",IF($G178="","Set stock unit in Inventory",IF(N($D178)&lt;=0,"Enter quantity",IF($E178="","Pick unit",IF(IFERROR(INDEX('Lists'!$C$6:$C$30,MATCH($E178,'Lists'!$B$6:$B$30,0)),"?")&lt;&gt;IFERROR(INDEX('Lists'!$C$6:$C$30,MATCH($G178,'Lists'!$B$6:$B$30,0)),"?"),"Unit mismatch",IF(ISNUMBER(INDEX('Inventory'!$G$7:$G$106,MATCH($C178,'Inventory'!$B$7:$B$106,0))),"OK","Add price in Inventory")))))))))</f>
        <v/>
      </c>
      <c r="I178" s="88">
        <f>IF($H178&lt;&gt;"OK","",$D178*INDEX('Lists'!$D$6:$D$30,MATCH($E178,'Lists'!$B$6:$B$30,0))/INDEX('Lists'!$D$6:$D$30,MATCH($G178,'Lists'!$B$6:$B$30,0)))</f>
        <v/>
      </c>
      <c r="J178" s="71">
        <f>IF($H178&lt;&gt;"OK","",$I178*INDEX('Inventory'!$G$7:$G$106,MATCH($C178,'Inventory'!$B$7:$B$106,0)))</f>
        <v/>
      </c>
    </row>
    <row r="179" ht="17" customHeight="1">
      <c r="B179" s="66" t="n"/>
      <c r="C179" s="60" t="n"/>
      <c r="D179" s="86" t="n"/>
      <c r="E179" s="60" t="n"/>
      <c r="F179" s="60" t="n"/>
      <c r="G179" s="13">
        <f>IF($C179="","",IFERROR(INDEX('Inventory'!$D$7:$D$106,MATCH($C179,'Inventory'!$B$7:$B$106,0))&amp;"","?"))</f>
        <v/>
      </c>
      <c r="H179" s="80">
        <f>IF(AND($B179="",$C179="",$D179=""),"",IF(NOT(ISNUMBER($B179)),"Enter a valid date",IF($C179="","Pick ingredient",IF($G179="?","Not in Inventory",IF($G179="","Set stock unit in Inventory",IF(N($D179)&lt;=0,"Enter quantity",IF($E179="","Pick unit",IF(IFERROR(INDEX('Lists'!$C$6:$C$30,MATCH($E179,'Lists'!$B$6:$B$30,0)),"?")&lt;&gt;IFERROR(INDEX('Lists'!$C$6:$C$30,MATCH($G179,'Lists'!$B$6:$B$30,0)),"?"),"Unit mismatch",IF(ISNUMBER(INDEX('Inventory'!$G$7:$G$106,MATCH($C179,'Inventory'!$B$7:$B$106,0))),"OK","Add price in Inventory")))))))))</f>
        <v/>
      </c>
      <c r="I179" s="88">
        <f>IF($H179&lt;&gt;"OK","",$D179*INDEX('Lists'!$D$6:$D$30,MATCH($E179,'Lists'!$B$6:$B$30,0))/INDEX('Lists'!$D$6:$D$30,MATCH($G179,'Lists'!$B$6:$B$30,0)))</f>
        <v/>
      </c>
      <c r="J179" s="71">
        <f>IF($H179&lt;&gt;"OK","",$I179*INDEX('Inventory'!$G$7:$G$106,MATCH($C179,'Inventory'!$B$7:$B$106,0)))</f>
        <v/>
      </c>
    </row>
    <row r="180" ht="17" customHeight="1">
      <c r="B180" s="66" t="n"/>
      <c r="C180" s="60" t="n"/>
      <c r="D180" s="86" t="n"/>
      <c r="E180" s="60" t="n"/>
      <c r="F180" s="60" t="n"/>
      <c r="G180" s="13">
        <f>IF($C180="","",IFERROR(INDEX('Inventory'!$D$7:$D$106,MATCH($C180,'Inventory'!$B$7:$B$106,0))&amp;"","?"))</f>
        <v/>
      </c>
      <c r="H180" s="80">
        <f>IF(AND($B180="",$C180="",$D180=""),"",IF(NOT(ISNUMBER($B180)),"Enter a valid date",IF($C180="","Pick ingredient",IF($G180="?","Not in Inventory",IF($G180="","Set stock unit in Inventory",IF(N($D180)&lt;=0,"Enter quantity",IF($E180="","Pick unit",IF(IFERROR(INDEX('Lists'!$C$6:$C$30,MATCH($E180,'Lists'!$B$6:$B$30,0)),"?")&lt;&gt;IFERROR(INDEX('Lists'!$C$6:$C$30,MATCH($G180,'Lists'!$B$6:$B$30,0)),"?"),"Unit mismatch",IF(ISNUMBER(INDEX('Inventory'!$G$7:$G$106,MATCH($C180,'Inventory'!$B$7:$B$106,0))),"OK","Add price in Inventory")))))))))</f>
        <v/>
      </c>
      <c r="I180" s="88">
        <f>IF($H180&lt;&gt;"OK","",$D180*INDEX('Lists'!$D$6:$D$30,MATCH($E180,'Lists'!$B$6:$B$30,0))/INDEX('Lists'!$D$6:$D$30,MATCH($G180,'Lists'!$B$6:$B$30,0)))</f>
        <v/>
      </c>
      <c r="J180" s="71">
        <f>IF($H180&lt;&gt;"OK","",$I180*INDEX('Inventory'!$G$7:$G$106,MATCH($C180,'Inventory'!$B$7:$B$106,0)))</f>
        <v/>
      </c>
    </row>
    <row r="181" ht="17" customHeight="1">
      <c r="B181" s="66" t="n"/>
      <c r="C181" s="60" t="n"/>
      <c r="D181" s="86" t="n"/>
      <c r="E181" s="60" t="n"/>
      <c r="F181" s="60" t="n"/>
      <c r="G181" s="13">
        <f>IF($C181="","",IFERROR(INDEX('Inventory'!$D$7:$D$106,MATCH($C181,'Inventory'!$B$7:$B$106,0))&amp;"","?"))</f>
        <v/>
      </c>
      <c r="H181" s="80">
        <f>IF(AND($B181="",$C181="",$D181=""),"",IF(NOT(ISNUMBER($B181)),"Enter a valid date",IF($C181="","Pick ingredient",IF($G181="?","Not in Inventory",IF($G181="","Set stock unit in Inventory",IF(N($D181)&lt;=0,"Enter quantity",IF($E181="","Pick unit",IF(IFERROR(INDEX('Lists'!$C$6:$C$30,MATCH($E181,'Lists'!$B$6:$B$30,0)),"?")&lt;&gt;IFERROR(INDEX('Lists'!$C$6:$C$30,MATCH($G181,'Lists'!$B$6:$B$30,0)),"?"),"Unit mismatch",IF(ISNUMBER(INDEX('Inventory'!$G$7:$G$106,MATCH($C181,'Inventory'!$B$7:$B$106,0))),"OK","Add price in Inventory")))))))))</f>
        <v/>
      </c>
      <c r="I181" s="88">
        <f>IF($H181&lt;&gt;"OK","",$D181*INDEX('Lists'!$D$6:$D$30,MATCH($E181,'Lists'!$B$6:$B$30,0))/INDEX('Lists'!$D$6:$D$30,MATCH($G181,'Lists'!$B$6:$B$30,0)))</f>
        <v/>
      </c>
      <c r="J181" s="71">
        <f>IF($H181&lt;&gt;"OK","",$I181*INDEX('Inventory'!$G$7:$G$106,MATCH($C181,'Inventory'!$B$7:$B$106,0)))</f>
        <v/>
      </c>
    </row>
    <row r="182" ht="17" customHeight="1">
      <c r="B182" s="66" t="n"/>
      <c r="C182" s="60" t="n"/>
      <c r="D182" s="86" t="n"/>
      <c r="E182" s="60" t="n"/>
      <c r="F182" s="60" t="n"/>
      <c r="G182" s="13">
        <f>IF($C182="","",IFERROR(INDEX('Inventory'!$D$7:$D$106,MATCH($C182,'Inventory'!$B$7:$B$106,0))&amp;"","?"))</f>
        <v/>
      </c>
      <c r="H182" s="80">
        <f>IF(AND($B182="",$C182="",$D182=""),"",IF(NOT(ISNUMBER($B182)),"Enter a valid date",IF($C182="","Pick ingredient",IF($G182="?","Not in Inventory",IF($G182="","Set stock unit in Inventory",IF(N($D182)&lt;=0,"Enter quantity",IF($E182="","Pick unit",IF(IFERROR(INDEX('Lists'!$C$6:$C$30,MATCH($E182,'Lists'!$B$6:$B$30,0)),"?")&lt;&gt;IFERROR(INDEX('Lists'!$C$6:$C$30,MATCH($G182,'Lists'!$B$6:$B$30,0)),"?"),"Unit mismatch",IF(ISNUMBER(INDEX('Inventory'!$G$7:$G$106,MATCH($C182,'Inventory'!$B$7:$B$106,0))),"OK","Add price in Inventory")))))))))</f>
        <v/>
      </c>
      <c r="I182" s="88">
        <f>IF($H182&lt;&gt;"OK","",$D182*INDEX('Lists'!$D$6:$D$30,MATCH($E182,'Lists'!$B$6:$B$30,0))/INDEX('Lists'!$D$6:$D$30,MATCH($G182,'Lists'!$B$6:$B$30,0)))</f>
        <v/>
      </c>
      <c r="J182" s="71">
        <f>IF($H182&lt;&gt;"OK","",$I182*INDEX('Inventory'!$G$7:$G$106,MATCH($C182,'Inventory'!$B$7:$B$106,0)))</f>
        <v/>
      </c>
    </row>
    <row r="183" ht="17" customHeight="1">
      <c r="B183" s="66" t="n"/>
      <c r="C183" s="60" t="n"/>
      <c r="D183" s="86" t="n"/>
      <c r="E183" s="60" t="n"/>
      <c r="F183" s="60" t="n"/>
      <c r="G183" s="13">
        <f>IF($C183="","",IFERROR(INDEX('Inventory'!$D$7:$D$106,MATCH($C183,'Inventory'!$B$7:$B$106,0))&amp;"","?"))</f>
        <v/>
      </c>
      <c r="H183" s="80">
        <f>IF(AND($B183="",$C183="",$D183=""),"",IF(NOT(ISNUMBER($B183)),"Enter a valid date",IF($C183="","Pick ingredient",IF($G183="?","Not in Inventory",IF($G183="","Set stock unit in Inventory",IF(N($D183)&lt;=0,"Enter quantity",IF($E183="","Pick unit",IF(IFERROR(INDEX('Lists'!$C$6:$C$30,MATCH($E183,'Lists'!$B$6:$B$30,0)),"?")&lt;&gt;IFERROR(INDEX('Lists'!$C$6:$C$30,MATCH($G183,'Lists'!$B$6:$B$30,0)),"?"),"Unit mismatch",IF(ISNUMBER(INDEX('Inventory'!$G$7:$G$106,MATCH($C183,'Inventory'!$B$7:$B$106,0))),"OK","Add price in Inventory")))))))))</f>
        <v/>
      </c>
      <c r="I183" s="88">
        <f>IF($H183&lt;&gt;"OK","",$D183*INDEX('Lists'!$D$6:$D$30,MATCH($E183,'Lists'!$B$6:$B$30,0))/INDEX('Lists'!$D$6:$D$30,MATCH($G183,'Lists'!$B$6:$B$30,0)))</f>
        <v/>
      </c>
      <c r="J183" s="71">
        <f>IF($H183&lt;&gt;"OK","",$I183*INDEX('Inventory'!$G$7:$G$106,MATCH($C183,'Inventory'!$B$7:$B$106,0)))</f>
        <v/>
      </c>
    </row>
    <row r="184" ht="17" customHeight="1">
      <c r="B184" s="66" t="n"/>
      <c r="C184" s="60" t="n"/>
      <c r="D184" s="86" t="n"/>
      <c r="E184" s="60" t="n"/>
      <c r="F184" s="60" t="n"/>
      <c r="G184" s="13">
        <f>IF($C184="","",IFERROR(INDEX('Inventory'!$D$7:$D$106,MATCH($C184,'Inventory'!$B$7:$B$106,0))&amp;"","?"))</f>
        <v/>
      </c>
      <c r="H184" s="80">
        <f>IF(AND($B184="",$C184="",$D184=""),"",IF(NOT(ISNUMBER($B184)),"Enter a valid date",IF($C184="","Pick ingredient",IF($G184="?","Not in Inventory",IF($G184="","Set stock unit in Inventory",IF(N($D184)&lt;=0,"Enter quantity",IF($E184="","Pick unit",IF(IFERROR(INDEX('Lists'!$C$6:$C$30,MATCH($E184,'Lists'!$B$6:$B$30,0)),"?")&lt;&gt;IFERROR(INDEX('Lists'!$C$6:$C$30,MATCH($G184,'Lists'!$B$6:$B$30,0)),"?"),"Unit mismatch",IF(ISNUMBER(INDEX('Inventory'!$G$7:$G$106,MATCH($C184,'Inventory'!$B$7:$B$106,0))),"OK","Add price in Inventory")))))))))</f>
        <v/>
      </c>
      <c r="I184" s="88">
        <f>IF($H184&lt;&gt;"OK","",$D184*INDEX('Lists'!$D$6:$D$30,MATCH($E184,'Lists'!$B$6:$B$30,0))/INDEX('Lists'!$D$6:$D$30,MATCH($G184,'Lists'!$B$6:$B$30,0)))</f>
        <v/>
      </c>
      <c r="J184" s="71">
        <f>IF($H184&lt;&gt;"OK","",$I184*INDEX('Inventory'!$G$7:$G$106,MATCH($C184,'Inventory'!$B$7:$B$106,0)))</f>
        <v/>
      </c>
    </row>
    <row r="185" ht="17" customHeight="1">
      <c r="B185" s="66" t="n"/>
      <c r="C185" s="60" t="n"/>
      <c r="D185" s="86" t="n"/>
      <c r="E185" s="60" t="n"/>
      <c r="F185" s="60" t="n"/>
      <c r="G185" s="13">
        <f>IF($C185="","",IFERROR(INDEX('Inventory'!$D$7:$D$106,MATCH($C185,'Inventory'!$B$7:$B$106,0))&amp;"","?"))</f>
        <v/>
      </c>
      <c r="H185" s="80">
        <f>IF(AND($B185="",$C185="",$D185=""),"",IF(NOT(ISNUMBER($B185)),"Enter a valid date",IF($C185="","Pick ingredient",IF($G185="?","Not in Inventory",IF($G185="","Set stock unit in Inventory",IF(N($D185)&lt;=0,"Enter quantity",IF($E185="","Pick unit",IF(IFERROR(INDEX('Lists'!$C$6:$C$30,MATCH($E185,'Lists'!$B$6:$B$30,0)),"?")&lt;&gt;IFERROR(INDEX('Lists'!$C$6:$C$30,MATCH($G185,'Lists'!$B$6:$B$30,0)),"?"),"Unit mismatch",IF(ISNUMBER(INDEX('Inventory'!$G$7:$G$106,MATCH($C185,'Inventory'!$B$7:$B$106,0))),"OK","Add price in Inventory")))))))))</f>
        <v/>
      </c>
      <c r="I185" s="88">
        <f>IF($H185&lt;&gt;"OK","",$D185*INDEX('Lists'!$D$6:$D$30,MATCH($E185,'Lists'!$B$6:$B$30,0))/INDEX('Lists'!$D$6:$D$30,MATCH($G185,'Lists'!$B$6:$B$30,0)))</f>
        <v/>
      </c>
      <c r="J185" s="71">
        <f>IF($H185&lt;&gt;"OK","",$I185*INDEX('Inventory'!$G$7:$G$106,MATCH($C185,'Inventory'!$B$7:$B$106,0)))</f>
        <v/>
      </c>
    </row>
    <row r="186" ht="17" customHeight="1">
      <c r="B186" s="66" t="n"/>
      <c r="C186" s="60" t="n"/>
      <c r="D186" s="86" t="n"/>
      <c r="E186" s="60" t="n"/>
      <c r="F186" s="60" t="n"/>
      <c r="G186" s="13">
        <f>IF($C186="","",IFERROR(INDEX('Inventory'!$D$7:$D$106,MATCH($C186,'Inventory'!$B$7:$B$106,0))&amp;"","?"))</f>
        <v/>
      </c>
      <c r="H186" s="80">
        <f>IF(AND($B186="",$C186="",$D186=""),"",IF(NOT(ISNUMBER($B186)),"Enter a valid date",IF($C186="","Pick ingredient",IF($G186="?","Not in Inventory",IF($G186="","Set stock unit in Inventory",IF(N($D186)&lt;=0,"Enter quantity",IF($E186="","Pick unit",IF(IFERROR(INDEX('Lists'!$C$6:$C$30,MATCH($E186,'Lists'!$B$6:$B$30,0)),"?")&lt;&gt;IFERROR(INDEX('Lists'!$C$6:$C$30,MATCH($G186,'Lists'!$B$6:$B$30,0)),"?"),"Unit mismatch",IF(ISNUMBER(INDEX('Inventory'!$G$7:$G$106,MATCH($C186,'Inventory'!$B$7:$B$106,0))),"OK","Add price in Inventory")))))))))</f>
        <v/>
      </c>
      <c r="I186" s="88">
        <f>IF($H186&lt;&gt;"OK","",$D186*INDEX('Lists'!$D$6:$D$30,MATCH($E186,'Lists'!$B$6:$B$30,0))/INDEX('Lists'!$D$6:$D$30,MATCH($G186,'Lists'!$B$6:$B$30,0)))</f>
        <v/>
      </c>
      <c r="J186" s="71">
        <f>IF($H186&lt;&gt;"OK","",$I186*INDEX('Inventory'!$G$7:$G$106,MATCH($C186,'Inventory'!$B$7:$B$106,0)))</f>
        <v/>
      </c>
    </row>
    <row r="187" ht="17" customHeight="1">
      <c r="B187" s="66" t="n"/>
      <c r="C187" s="60" t="n"/>
      <c r="D187" s="86" t="n"/>
      <c r="E187" s="60" t="n"/>
      <c r="F187" s="60" t="n"/>
      <c r="G187" s="13">
        <f>IF($C187="","",IFERROR(INDEX('Inventory'!$D$7:$D$106,MATCH($C187,'Inventory'!$B$7:$B$106,0))&amp;"","?"))</f>
        <v/>
      </c>
      <c r="H187" s="80">
        <f>IF(AND($B187="",$C187="",$D187=""),"",IF(NOT(ISNUMBER($B187)),"Enter a valid date",IF($C187="","Pick ingredient",IF($G187="?","Not in Inventory",IF($G187="","Set stock unit in Inventory",IF(N($D187)&lt;=0,"Enter quantity",IF($E187="","Pick unit",IF(IFERROR(INDEX('Lists'!$C$6:$C$30,MATCH($E187,'Lists'!$B$6:$B$30,0)),"?")&lt;&gt;IFERROR(INDEX('Lists'!$C$6:$C$30,MATCH($G187,'Lists'!$B$6:$B$30,0)),"?"),"Unit mismatch",IF(ISNUMBER(INDEX('Inventory'!$G$7:$G$106,MATCH($C187,'Inventory'!$B$7:$B$106,0))),"OK","Add price in Inventory")))))))))</f>
        <v/>
      </c>
      <c r="I187" s="88">
        <f>IF($H187&lt;&gt;"OK","",$D187*INDEX('Lists'!$D$6:$D$30,MATCH($E187,'Lists'!$B$6:$B$30,0))/INDEX('Lists'!$D$6:$D$30,MATCH($G187,'Lists'!$B$6:$B$30,0)))</f>
        <v/>
      </c>
      <c r="J187" s="71">
        <f>IF($H187&lt;&gt;"OK","",$I187*INDEX('Inventory'!$G$7:$G$106,MATCH($C187,'Inventory'!$B$7:$B$106,0)))</f>
        <v/>
      </c>
    </row>
    <row r="188" ht="17" customHeight="1">
      <c r="B188" s="66" t="n"/>
      <c r="C188" s="60" t="n"/>
      <c r="D188" s="86" t="n"/>
      <c r="E188" s="60" t="n"/>
      <c r="F188" s="60" t="n"/>
      <c r="G188" s="13">
        <f>IF($C188="","",IFERROR(INDEX('Inventory'!$D$7:$D$106,MATCH($C188,'Inventory'!$B$7:$B$106,0))&amp;"","?"))</f>
        <v/>
      </c>
      <c r="H188" s="80">
        <f>IF(AND($B188="",$C188="",$D188=""),"",IF(NOT(ISNUMBER($B188)),"Enter a valid date",IF($C188="","Pick ingredient",IF($G188="?","Not in Inventory",IF($G188="","Set stock unit in Inventory",IF(N($D188)&lt;=0,"Enter quantity",IF($E188="","Pick unit",IF(IFERROR(INDEX('Lists'!$C$6:$C$30,MATCH($E188,'Lists'!$B$6:$B$30,0)),"?")&lt;&gt;IFERROR(INDEX('Lists'!$C$6:$C$30,MATCH($G188,'Lists'!$B$6:$B$30,0)),"?"),"Unit mismatch",IF(ISNUMBER(INDEX('Inventory'!$G$7:$G$106,MATCH($C188,'Inventory'!$B$7:$B$106,0))),"OK","Add price in Inventory")))))))))</f>
        <v/>
      </c>
      <c r="I188" s="88">
        <f>IF($H188&lt;&gt;"OK","",$D188*INDEX('Lists'!$D$6:$D$30,MATCH($E188,'Lists'!$B$6:$B$30,0))/INDEX('Lists'!$D$6:$D$30,MATCH($G188,'Lists'!$B$6:$B$30,0)))</f>
        <v/>
      </c>
      <c r="J188" s="71">
        <f>IF($H188&lt;&gt;"OK","",$I188*INDEX('Inventory'!$G$7:$G$106,MATCH($C188,'Inventory'!$B$7:$B$106,0)))</f>
        <v/>
      </c>
    </row>
    <row r="189" ht="17" customHeight="1">
      <c r="B189" s="66" t="n"/>
      <c r="C189" s="60" t="n"/>
      <c r="D189" s="86" t="n"/>
      <c r="E189" s="60" t="n"/>
      <c r="F189" s="60" t="n"/>
      <c r="G189" s="13">
        <f>IF($C189="","",IFERROR(INDEX('Inventory'!$D$7:$D$106,MATCH($C189,'Inventory'!$B$7:$B$106,0))&amp;"","?"))</f>
        <v/>
      </c>
      <c r="H189" s="80">
        <f>IF(AND($B189="",$C189="",$D189=""),"",IF(NOT(ISNUMBER($B189)),"Enter a valid date",IF($C189="","Pick ingredient",IF($G189="?","Not in Inventory",IF($G189="","Set stock unit in Inventory",IF(N($D189)&lt;=0,"Enter quantity",IF($E189="","Pick unit",IF(IFERROR(INDEX('Lists'!$C$6:$C$30,MATCH($E189,'Lists'!$B$6:$B$30,0)),"?")&lt;&gt;IFERROR(INDEX('Lists'!$C$6:$C$30,MATCH($G189,'Lists'!$B$6:$B$30,0)),"?"),"Unit mismatch",IF(ISNUMBER(INDEX('Inventory'!$G$7:$G$106,MATCH($C189,'Inventory'!$B$7:$B$106,0))),"OK","Add price in Inventory")))))))))</f>
        <v/>
      </c>
      <c r="I189" s="88">
        <f>IF($H189&lt;&gt;"OK","",$D189*INDEX('Lists'!$D$6:$D$30,MATCH($E189,'Lists'!$B$6:$B$30,0))/INDEX('Lists'!$D$6:$D$30,MATCH($G189,'Lists'!$B$6:$B$30,0)))</f>
        <v/>
      </c>
      <c r="J189" s="71">
        <f>IF($H189&lt;&gt;"OK","",$I189*INDEX('Inventory'!$G$7:$G$106,MATCH($C189,'Inventory'!$B$7:$B$106,0)))</f>
        <v/>
      </c>
    </row>
    <row r="190" ht="17" customHeight="1">
      <c r="B190" s="66" t="n"/>
      <c r="C190" s="60" t="n"/>
      <c r="D190" s="86" t="n"/>
      <c r="E190" s="60" t="n"/>
      <c r="F190" s="60" t="n"/>
      <c r="G190" s="13">
        <f>IF($C190="","",IFERROR(INDEX('Inventory'!$D$7:$D$106,MATCH($C190,'Inventory'!$B$7:$B$106,0))&amp;"","?"))</f>
        <v/>
      </c>
      <c r="H190" s="80">
        <f>IF(AND($B190="",$C190="",$D190=""),"",IF(NOT(ISNUMBER($B190)),"Enter a valid date",IF($C190="","Pick ingredient",IF($G190="?","Not in Inventory",IF($G190="","Set stock unit in Inventory",IF(N($D190)&lt;=0,"Enter quantity",IF($E190="","Pick unit",IF(IFERROR(INDEX('Lists'!$C$6:$C$30,MATCH($E190,'Lists'!$B$6:$B$30,0)),"?")&lt;&gt;IFERROR(INDEX('Lists'!$C$6:$C$30,MATCH($G190,'Lists'!$B$6:$B$30,0)),"?"),"Unit mismatch",IF(ISNUMBER(INDEX('Inventory'!$G$7:$G$106,MATCH($C190,'Inventory'!$B$7:$B$106,0))),"OK","Add price in Inventory")))))))))</f>
        <v/>
      </c>
      <c r="I190" s="88">
        <f>IF($H190&lt;&gt;"OK","",$D190*INDEX('Lists'!$D$6:$D$30,MATCH($E190,'Lists'!$B$6:$B$30,0))/INDEX('Lists'!$D$6:$D$30,MATCH($G190,'Lists'!$B$6:$B$30,0)))</f>
        <v/>
      </c>
      <c r="J190" s="71">
        <f>IF($H190&lt;&gt;"OK","",$I190*INDEX('Inventory'!$G$7:$G$106,MATCH($C190,'Inventory'!$B$7:$B$106,0)))</f>
        <v/>
      </c>
    </row>
    <row r="191" ht="17" customHeight="1">
      <c r="B191" s="66" t="n"/>
      <c r="C191" s="60" t="n"/>
      <c r="D191" s="86" t="n"/>
      <c r="E191" s="60" t="n"/>
      <c r="F191" s="60" t="n"/>
      <c r="G191" s="13">
        <f>IF($C191="","",IFERROR(INDEX('Inventory'!$D$7:$D$106,MATCH($C191,'Inventory'!$B$7:$B$106,0))&amp;"","?"))</f>
        <v/>
      </c>
      <c r="H191" s="80">
        <f>IF(AND($B191="",$C191="",$D191=""),"",IF(NOT(ISNUMBER($B191)),"Enter a valid date",IF($C191="","Pick ingredient",IF($G191="?","Not in Inventory",IF($G191="","Set stock unit in Inventory",IF(N($D191)&lt;=0,"Enter quantity",IF($E191="","Pick unit",IF(IFERROR(INDEX('Lists'!$C$6:$C$30,MATCH($E191,'Lists'!$B$6:$B$30,0)),"?")&lt;&gt;IFERROR(INDEX('Lists'!$C$6:$C$30,MATCH($G191,'Lists'!$B$6:$B$30,0)),"?"),"Unit mismatch",IF(ISNUMBER(INDEX('Inventory'!$G$7:$G$106,MATCH($C191,'Inventory'!$B$7:$B$106,0))),"OK","Add price in Inventory")))))))))</f>
        <v/>
      </c>
      <c r="I191" s="88">
        <f>IF($H191&lt;&gt;"OK","",$D191*INDEX('Lists'!$D$6:$D$30,MATCH($E191,'Lists'!$B$6:$B$30,0))/INDEX('Lists'!$D$6:$D$30,MATCH($G191,'Lists'!$B$6:$B$30,0)))</f>
        <v/>
      </c>
      <c r="J191" s="71">
        <f>IF($H191&lt;&gt;"OK","",$I191*INDEX('Inventory'!$G$7:$G$106,MATCH($C191,'Inventory'!$B$7:$B$106,0)))</f>
        <v/>
      </c>
    </row>
    <row r="192" ht="17" customHeight="1">
      <c r="B192" s="66" t="n"/>
      <c r="C192" s="60" t="n"/>
      <c r="D192" s="86" t="n"/>
      <c r="E192" s="60" t="n"/>
      <c r="F192" s="60" t="n"/>
      <c r="G192" s="13">
        <f>IF($C192="","",IFERROR(INDEX('Inventory'!$D$7:$D$106,MATCH($C192,'Inventory'!$B$7:$B$106,0))&amp;"","?"))</f>
        <v/>
      </c>
      <c r="H192" s="80">
        <f>IF(AND($B192="",$C192="",$D192=""),"",IF(NOT(ISNUMBER($B192)),"Enter a valid date",IF($C192="","Pick ingredient",IF($G192="?","Not in Inventory",IF($G192="","Set stock unit in Inventory",IF(N($D192)&lt;=0,"Enter quantity",IF($E192="","Pick unit",IF(IFERROR(INDEX('Lists'!$C$6:$C$30,MATCH($E192,'Lists'!$B$6:$B$30,0)),"?")&lt;&gt;IFERROR(INDEX('Lists'!$C$6:$C$30,MATCH($G192,'Lists'!$B$6:$B$30,0)),"?"),"Unit mismatch",IF(ISNUMBER(INDEX('Inventory'!$G$7:$G$106,MATCH($C192,'Inventory'!$B$7:$B$106,0))),"OK","Add price in Inventory")))))))))</f>
        <v/>
      </c>
      <c r="I192" s="88">
        <f>IF($H192&lt;&gt;"OK","",$D192*INDEX('Lists'!$D$6:$D$30,MATCH($E192,'Lists'!$B$6:$B$30,0))/INDEX('Lists'!$D$6:$D$30,MATCH($G192,'Lists'!$B$6:$B$30,0)))</f>
        <v/>
      </c>
      <c r="J192" s="71">
        <f>IF($H192&lt;&gt;"OK","",$I192*INDEX('Inventory'!$G$7:$G$106,MATCH($C192,'Inventory'!$B$7:$B$106,0)))</f>
        <v/>
      </c>
    </row>
    <row r="193" ht="17" customHeight="1">
      <c r="B193" s="66" t="n"/>
      <c r="C193" s="60" t="n"/>
      <c r="D193" s="86" t="n"/>
      <c r="E193" s="60" t="n"/>
      <c r="F193" s="60" t="n"/>
      <c r="G193" s="13">
        <f>IF($C193="","",IFERROR(INDEX('Inventory'!$D$7:$D$106,MATCH($C193,'Inventory'!$B$7:$B$106,0))&amp;"","?"))</f>
        <v/>
      </c>
      <c r="H193" s="80">
        <f>IF(AND($B193="",$C193="",$D193=""),"",IF(NOT(ISNUMBER($B193)),"Enter a valid date",IF($C193="","Pick ingredient",IF($G193="?","Not in Inventory",IF($G193="","Set stock unit in Inventory",IF(N($D193)&lt;=0,"Enter quantity",IF($E193="","Pick unit",IF(IFERROR(INDEX('Lists'!$C$6:$C$30,MATCH($E193,'Lists'!$B$6:$B$30,0)),"?")&lt;&gt;IFERROR(INDEX('Lists'!$C$6:$C$30,MATCH($G193,'Lists'!$B$6:$B$30,0)),"?"),"Unit mismatch",IF(ISNUMBER(INDEX('Inventory'!$G$7:$G$106,MATCH($C193,'Inventory'!$B$7:$B$106,0))),"OK","Add price in Inventory")))))))))</f>
        <v/>
      </c>
      <c r="I193" s="88">
        <f>IF($H193&lt;&gt;"OK","",$D193*INDEX('Lists'!$D$6:$D$30,MATCH($E193,'Lists'!$B$6:$B$30,0))/INDEX('Lists'!$D$6:$D$30,MATCH($G193,'Lists'!$B$6:$B$30,0)))</f>
        <v/>
      </c>
      <c r="J193" s="71">
        <f>IF($H193&lt;&gt;"OK","",$I193*INDEX('Inventory'!$G$7:$G$106,MATCH($C193,'Inventory'!$B$7:$B$106,0)))</f>
        <v/>
      </c>
    </row>
    <row r="194" ht="17" customHeight="1">
      <c r="B194" s="66" t="n"/>
      <c r="C194" s="60" t="n"/>
      <c r="D194" s="86" t="n"/>
      <c r="E194" s="60" t="n"/>
      <c r="F194" s="60" t="n"/>
      <c r="G194" s="13">
        <f>IF($C194="","",IFERROR(INDEX('Inventory'!$D$7:$D$106,MATCH($C194,'Inventory'!$B$7:$B$106,0))&amp;"","?"))</f>
        <v/>
      </c>
      <c r="H194" s="80">
        <f>IF(AND($B194="",$C194="",$D194=""),"",IF(NOT(ISNUMBER($B194)),"Enter a valid date",IF($C194="","Pick ingredient",IF($G194="?","Not in Inventory",IF($G194="","Set stock unit in Inventory",IF(N($D194)&lt;=0,"Enter quantity",IF($E194="","Pick unit",IF(IFERROR(INDEX('Lists'!$C$6:$C$30,MATCH($E194,'Lists'!$B$6:$B$30,0)),"?")&lt;&gt;IFERROR(INDEX('Lists'!$C$6:$C$30,MATCH($G194,'Lists'!$B$6:$B$30,0)),"?"),"Unit mismatch",IF(ISNUMBER(INDEX('Inventory'!$G$7:$G$106,MATCH($C194,'Inventory'!$B$7:$B$106,0))),"OK","Add price in Inventory")))))))))</f>
        <v/>
      </c>
      <c r="I194" s="88">
        <f>IF($H194&lt;&gt;"OK","",$D194*INDEX('Lists'!$D$6:$D$30,MATCH($E194,'Lists'!$B$6:$B$30,0))/INDEX('Lists'!$D$6:$D$30,MATCH($G194,'Lists'!$B$6:$B$30,0)))</f>
        <v/>
      </c>
      <c r="J194" s="71">
        <f>IF($H194&lt;&gt;"OK","",$I194*INDEX('Inventory'!$G$7:$G$106,MATCH($C194,'Inventory'!$B$7:$B$106,0)))</f>
        <v/>
      </c>
    </row>
    <row r="195" ht="17" customHeight="1">
      <c r="B195" s="66" t="n"/>
      <c r="C195" s="60" t="n"/>
      <c r="D195" s="86" t="n"/>
      <c r="E195" s="60" t="n"/>
      <c r="F195" s="60" t="n"/>
      <c r="G195" s="13">
        <f>IF($C195="","",IFERROR(INDEX('Inventory'!$D$7:$D$106,MATCH($C195,'Inventory'!$B$7:$B$106,0))&amp;"","?"))</f>
        <v/>
      </c>
      <c r="H195" s="80">
        <f>IF(AND($B195="",$C195="",$D195=""),"",IF(NOT(ISNUMBER($B195)),"Enter a valid date",IF($C195="","Pick ingredient",IF($G195="?","Not in Inventory",IF($G195="","Set stock unit in Inventory",IF(N($D195)&lt;=0,"Enter quantity",IF($E195="","Pick unit",IF(IFERROR(INDEX('Lists'!$C$6:$C$30,MATCH($E195,'Lists'!$B$6:$B$30,0)),"?")&lt;&gt;IFERROR(INDEX('Lists'!$C$6:$C$30,MATCH($G195,'Lists'!$B$6:$B$30,0)),"?"),"Unit mismatch",IF(ISNUMBER(INDEX('Inventory'!$G$7:$G$106,MATCH($C195,'Inventory'!$B$7:$B$106,0))),"OK","Add price in Inventory")))))))))</f>
        <v/>
      </c>
      <c r="I195" s="88">
        <f>IF($H195&lt;&gt;"OK","",$D195*INDEX('Lists'!$D$6:$D$30,MATCH($E195,'Lists'!$B$6:$B$30,0))/INDEX('Lists'!$D$6:$D$30,MATCH($G195,'Lists'!$B$6:$B$30,0)))</f>
        <v/>
      </c>
      <c r="J195" s="71">
        <f>IF($H195&lt;&gt;"OK","",$I195*INDEX('Inventory'!$G$7:$G$106,MATCH($C195,'Inventory'!$B$7:$B$106,0)))</f>
        <v/>
      </c>
    </row>
    <row r="196" ht="17" customHeight="1">
      <c r="B196" s="66" t="n"/>
      <c r="C196" s="60" t="n"/>
      <c r="D196" s="86" t="n"/>
      <c r="E196" s="60" t="n"/>
      <c r="F196" s="60" t="n"/>
      <c r="G196" s="13">
        <f>IF($C196="","",IFERROR(INDEX('Inventory'!$D$7:$D$106,MATCH($C196,'Inventory'!$B$7:$B$106,0))&amp;"","?"))</f>
        <v/>
      </c>
      <c r="H196" s="80">
        <f>IF(AND($B196="",$C196="",$D196=""),"",IF(NOT(ISNUMBER($B196)),"Enter a valid date",IF($C196="","Pick ingredient",IF($G196="?","Not in Inventory",IF($G196="","Set stock unit in Inventory",IF(N($D196)&lt;=0,"Enter quantity",IF($E196="","Pick unit",IF(IFERROR(INDEX('Lists'!$C$6:$C$30,MATCH($E196,'Lists'!$B$6:$B$30,0)),"?")&lt;&gt;IFERROR(INDEX('Lists'!$C$6:$C$30,MATCH($G196,'Lists'!$B$6:$B$30,0)),"?"),"Unit mismatch",IF(ISNUMBER(INDEX('Inventory'!$G$7:$G$106,MATCH($C196,'Inventory'!$B$7:$B$106,0))),"OK","Add price in Inventory")))))))))</f>
        <v/>
      </c>
      <c r="I196" s="88">
        <f>IF($H196&lt;&gt;"OK","",$D196*INDEX('Lists'!$D$6:$D$30,MATCH($E196,'Lists'!$B$6:$B$30,0))/INDEX('Lists'!$D$6:$D$30,MATCH($G196,'Lists'!$B$6:$B$30,0)))</f>
        <v/>
      </c>
      <c r="J196" s="71">
        <f>IF($H196&lt;&gt;"OK","",$I196*INDEX('Inventory'!$G$7:$G$106,MATCH($C196,'Inventory'!$B$7:$B$106,0)))</f>
        <v/>
      </c>
    </row>
    <row r="197" ht="17" customHeight="1">
      <c r="B197" s="66" t="n"/>
      <c r="C197" s="60" t="n"/>
      <c r="D197" s="86" t="n"/>
      <c r="E197" s="60" t="n"/>
      <c r="F197" s="60" t="n"/>
      <c r="G197" s="13">
        <f>IF($C197="","",IFERROR(INDEX('Inventory'!$D$7:$D$106,MATCH($C197,'Inventory'!$B$7:$B$106,0))&amp;"","?"))</f>
        <v/>
      </c>
      <c r="H197" s="80">
        <f>IF(AND($B197="",$C197="",$D197=""),"",IF(NOT(ISNUMBER($B197)),"Enter a valid date",IF($C197="","Pick ingredient",IF($G197="?","Not in Inventory",IF($G197="","Set stock unit in Inventory",IF(N($D197)&lt;=0,"Enter quantity",IF($E197="","Pick unit",IF(IFERROR(INDEX('Lists'!$C$6:$C$30,MATCH($E197,'Lists'!$B$6:$B$30,0)),"?")&lt;&gt;IFERROR(INDEX('Lists'!$C$6:$C$30,MATCH($G197,'Lists'!$B$6:$B$30,0)),"?"),"Unit mismatch",IF(ISNUMBER(INDEX('Inventory'!$G$7:$G$106,MATCH($C197,'Inventory'!$B$7:$B$106,0))),"OK","Add price in Inventory")))))))))</f>
        <v/>
      </c>
      <c r="I197" s="88">
        <f>IF($H197&lt;&gt;"OK","",$D197*INDEX('Lists'!$D$6:$D$30,MATCH($E197,'Lists'!$B$6:$B$30,0))/INDEX('Lists'!$D$6:$D$30,MATCH($G197,'Lists'!$B$6:$B$30,0)))</f>
        <v/>
      </c>
      <c r="J197" s="71">
        <f>IF($H197&lt;&gt;"OK","",$I197*INDEX('Inventory'!$G$7:$G$106,MATCH($C197,'Inventory'!$B$7:$B$106,0)))</f>
        <v/>
      </c>
    </row>
    <row r="198" ht="17" customHeight="1">
      <c r="B198" s="66" t="n"/>
      <c r="C198" s="60" t="n"/>
      <c r="D198" s="86" t="n"/>
      <c r="E198" s="60" t="n"/>
      <c r="F198" s="60" t="n"/>
      <c r="G198" s="13">
        <f>IF($C198="","",IFERROR(INDEX('Inventory'!$D$7:$D$106,MATCH($C198,'Inventory'!$B$7:$B$106,0))&amp;"","?"))</f>
        <v/>
      </c>
      <c r="H198" s="80">
        <f>IF(AND($B198="",$C198="",$D198=""),"",IF(NOT(ISNUMBER($B198)),"Enter a valid date",IF($C198="","Pick ingredient",IF($G198="?","Not in Inventory",IF($G198="","Set stock unit in Inventory",IF(N($D198)&lt;=0,"Enter quantity",IF($E198="","Pick unit",IF(IFERROR(INDEX('Lists'!$C$6:$C$30,MATCH($E198,'Lists'!$B$6:$B$30,0)),"?")&lt;&gt;IFERROR(INDEX('Lists'!$C$6:$C$30,MATCH($G198,'Lists'!$B$6:$B$30,0)),"?"),"Unit mismatch",IF(ISNUMBER(INDEX('Inventory'!$G$7:$G$106,MATCH($C198,'Inventory'!$B$7:$B$106,0))),"OK","Add price in Inventory")))))))))</f>
        <v/>
      </c>
      <c r="I198" s="88">
        <f>IF($H198&lt;&gt;"OK","",$D198*INDEX('Lists'!$D$6:$D$30,MATCH($E198,'Lists'!$B$6:$B$30,0))/INDEX('Lists'!$D$6:$D$30,MATCH($G198,'Lists'!$B$6:$B$30,0)))</f>
        <v/>
      </c>
      <c r="J198" s="71">
        <f>IF($H198&lt;&gt;"OK","",$I198*INDEX('Inventory'!$G$7:$G$106,MATCH($C198,'Inventory'!$B$7:$B$106,0)))</f>
        <v/>
      </c>
    </row>
    <row r="199" ht="17" customHeight="1">
      <c r="B199" s="66" t="n"/>
      <c r="C199" s="60" t="n"/>
      <c r="D199" s="86" t="n"/>
      <c r="E199" s="60" t="n"/>
      <c r="F199" s="60" t="n"/>
      <c r="G199" s="13">
        <f>IF($C199="","",IFERROR(INDEX('Inventory'!$D$7:$D$106,MATCH($C199,'Inventory'!$B$7:$B$106,0))&amp;"","?"))</f>
        <v/>
      </c>
      <c r="H199" s="80">
        <f>IF(AND($B199="",$C199="",$D199=""),"",IF(NOT(ISNUMBER($B199)),"Enter a valid date",IF($C199="","Pick ingredient",IF($G199="?","Not in Inventory",IF($G199="","Set stock unit in Inventory",IF(N($D199)&lt;=0,"Enter quantity",IF($E199="","Pick unit",IF(IFERROR(INDEX('Lists'!$C$6:$C$30,MATCH($E199,'Lists'!$B$6:$B$30,0)),"?")&lt;&gt;IFERROR(INDEX('Lists'!$C$6:$C$30,MATCH($G199,'Lists'!$B$6:$B$30,0)),"?"),"Unit mismatch",IF(ISNUMBER(INDEX('Inventory'!$G$7:$G$106,MATCH($C199,'Inventory'!$B$7:$B$106,0))),"OK","Add price in Inventory")))))))))</f>
        <v/>
      </c>
      <c r="I199" s="88">
        <f>IF($H199&lt;&gt;"OK","",$D199*INDEX('Lists'!$D$6:$D$30,MATCH($E199,'Lists'!$B$6:$B$30,0))/INDEX('Lists'!$D$6:$D$30,MATCH($G199,'Lists'!$B$6:$B$30,0)))</f>
        <v/>
      </c>
      <c r="J199" s="71">
        <f>IF($H199&lt;&gt;"OK","",$I199*INDEX('Inventory'!$G$7:$G$106,MATCH($C199,'Inventory'!$B$7:$B$106,0)))</f>
        <v/>
      </c>
    </row>
    <row r="200" ht="17" customHeight="1">
      <c r="B200" s="66" t="n"/>
      <c r="C200" s="60" t="n"/>
      <c r="D200" s="86" t="n"/>
      <c r="E200" s="60" t="n"/>
      <c r="F200" s="60" t="n"/>
      <c r="G200" s="13">
        <f>IF($C200="","",IFERROR(INDEX('Inventory'!$D$7:$D$106,MATCH($C200,'Inventory'!$B$7:$B$106,0))&amp;"","?"))</f>
        <v/>
      </c>
      <c r="H200" s="80">
        <f>IF(AND($B200="",$C200="",$D200=""),"",IF(NOT(ISNUMBER($B200)),"Enter a valid date",IF($C200="","Pick ingredient",IF($G200="?","Not in Inventory",IF($G200="","Set stock unit in Inventory",IF(N($D200)&lt;=0,"Enter quantity",IF($E200="","Pick unit",IF(IFERROR(INDEX('Lists'!$C$6:$C$30,MATCH($E200,'Lists'!$B$6:$B$30,0)),"?")&lt;&gt;IFERROR(INDEX('Lists'!$C$6:$C$30,MATCH($G200,'Lists'!$B$6:$B$30,0)),"?"),"Unit mismatch",IF(ISNUMBER(INDEX('Inventory'!$G$7:$G$106,MATCH($C200,'Inventory'!$B$7:$B$106,0))),"OK","Add price in Inventory")))))))))</f>
        <v/>
      </c>
      <c r="I200" s="88">
        <f>IF($H200&lt;&gt;"OK","",$D200*INDEX('Lists'!$D$6:$D$30,MATCH($E200,'Lists'!$B$6:$B$30,0))/INDEX('Lists'!$D$6:$D$30,MATCH($G200,'Lists'!$B$6:$B$30,0)))</f>
        <v/>
      </c>
      <c r="J200" s="71">
        <f>IF($H200&lt;&gt;"OK","",$I200*INDEX('Inventory'!$G$7:$G$106,MATCH($C200,'Inventory'!$B$7:$B$106,0)))</f>
        <v/>
      </c>
    </row>
    <row r="201" ht="17" customHeight="1">
      <c r="B201" s="66" t="n"/>
      <c r="C201" s="60" t="n"/>
      <c r="D201" s="86" t="n"/>
      <c r="E201" s="60" t="n"/>
      <c r="F201" s="60" t="n"/>
      <c r="G201" s="13">
        <f>IF($C201="","",IFERROR(INDEX('Inventory'!$D$7:$D$106,MATCH($C201,'Inventory'!$B$7:$B$106,0))&amp;"","?"))</f>
        <v/>
      </c>
      <c r="H201" s="80">
        <f>IF(AND($B201="",$C201="",$D201=""),"",IF(NOT(ISNUMBER($B201)),"Enter a valid date",IF($C201="","Pick ingredient",IF($G201="?","Not in Inventory",IF($G201="","Set stock unit in Inventory",IF(N($D201)&lt;=0,"Enter quantity",IF($E201="","Pick unit",IF(IFERROR(INDEX('Lists'!$C$6:$C$30,MATCH($E201,'Lists'!$B$6:$B$30,0)),"?")&lt;&gt;IFERROR(INDEX('Lists'!$C$6:$C$30,MATCH($G201,'Lists'!$B$6:$B$30,0)),"?"),"Unit mismatch",IF(ISNUMBER(INDEX('Inventory'!$G$7:$G$106,MATCH($C201,'Inventory'!$B$7:$B$106,0))),"OK","Add price in Inventory")))))))))</f>
        <v/>
      </c>
      <c r="I201" s="88">
        <f>IF($H201&lt;&gt;"OK","",$D201*INDEX('Lists'!$D$6:$D$30,MATCH($E201,'Lists'!$B$6:$B$30,0))/INDEX('Lists'!$D$6:$D$30,MATCH($G201,'Lists'!$B$6:$B$30,0)))</f>
        <v/>
      </c>
      <c r="J201" s="71">
        <f>IF($H201&lt;&gt;"OK","",$I201*INDEX('Inventory'!$G$7:$G$106,MATCH($C201,'Inventory'!$B$7:$B$106,0)))</f>
        <v/>
      </c>
    </row>
    <row r="202" ht="17" customHeight="1">
      <c r="B202" s="66" t="n"/>
      <c r="C202" s="60" t="n"/>
      <c r="D202" s="86" t="n"/>
      <c r="E202" s="60" t="n"/>
      <c r="F202" s="60" t="n"/>
      <c r="G202" s="13">
        <f>IF($C202="","",IFERROR(INDEX('Inventory'!$D$7:$D$106,MATCH($C202,'Inventory'!$B$7:$B$106,0))&amp;"","?"))</f>
        <v/>
      </c>
      <c r="H202" s="80">
        <f>IF(AND($B202="",$C202="",$D202=""),"",IF(NOT(ISNUMBER($B202)),"Enter a valid date",IF($C202="","Pick ingredient",IF($G202="?","Not in Inventory",IF($G202="","Set stock unit in Inventory",IF(N($D202)&lt;=0,"Enter quantity",IF($E202="","Pick unit",IF(IFERROR(INDEX('Lists'!$C$6:$C$30,MATCH($E202,'Lists'!$B$6:$B$30,0)),"?")&lt;&gt;IFERROR(INDEX('Lists'!$C$6:$C$30,MATCH($G202,'Lists'!$B$6:$B$30,0)),"?"),"Unit mismatch",IF(ISNUMBER(INDEX('Inventory'!$G$7:$G$106,MATCH($C202,'Inventory'!$B$7:$B$106,0))),"OK","Add price in Inventory")))))))))</f>
        <v/>
      </c>
      <c r="I202" s="88">
        <f>IF($H202&lt;&gt;"OK","",$D202*INDEX('Lists'!$D$6:$D$30,MATCH($E202,'Lists'!$B$6:$B$30,0))/INDEX('Lists'!$D$6:$D$30,MATCH($G202,'Lists'!$B$6:$B$30,0)))</f>
        <v/>
      </c>
      <c r="J202" s="71">
        <f>IF($H202&lt;&gt;"OK","",$I202*INDEX('Inventory'!$G$7:$G$106,MATCH($C202,'Inventory'!$B$7:$B$106,0)))</f>
        <v/>
      </c>
    </row>
    <row r="203" ht="17" customHeight="1">
      <c r="B203" s="66" t="n"/>
      <c r="C203" s="60" t="n"/>
      <c r="D203" s="86" t="n"/>
      <c r="E203" s="60" t="n"/>
      <c r="F203" s="60" t="n"/>
      <c r="G203" s="13">
        <f>IF($C203="","",IFERROR(INDEX('Inventory'!$D$7:$D$106,MATCH($C203,'Inventory'!$B$7:$B$106,0))&amp;"","?"))</f>
        <v/>
      </c>
      <c r="H203" s="80">
        <f>IF(AND($B203="",$C203="",$D203=""),"",IF(NOT(ISNUMBER($B203)),"Enter a valid date",IF($C203="","Pick ingredient",IF($G203="?","Not in Inventory",IF($G203="","Set stock unit in Inventory",IF(N($D203)&lt;=0,"Enter quantity",IF($E203="","Pick unit",IF(IFERROR(INDEX('Lists'!$C$6:$C$30,MATCH($E203,'Lists'!$B$6:$B$30,0)),"?")&lt;&gt;IFERROR(INDEX('Lists'!$C$6:$C$30,MATCH($G203,'Lists'!$B$6:$B$30,0)),"?"),"Unit mismatch",IF(ISNUMBER(INDEX('Inventory'!$G$7:$G$106,MATCH($C203,'Inventory'!$B$7:$B$106,0))),"OK","Add price in Inventory")))))))))</f>
        <v/>
      </c>
      <c r="I203" s="88">
        <f>IF($H203&lt;&gt;"OK","",$D203*INDEX('Lists'!$D$6:$D$30,MATCH($E203,'Lists'!$B$6:$B$30,0))/INDEX('Lists'!$D$6:$D$30,MATCH($G203,'Lists'!$B$6:$B$30,0)))</f>
        <v/>
      </c>
      <c r="J203" s="71">
        <f>IF($H203&lt;&gt;"OK","",$I203*INDEX('Inventory'!$G$7:$G$106,MATCH($C203,'Inventory'!$B$7:$B$106,0)))</f>
        <v/>
      </c>
    </row>
    <row r="204" ht="17" customHeight="1">
      <c r="B204" s="66" t="n"/>
      <c r="C204" s="60" t="n"/>
      <c r="D204" s="86" t="n"/>
      <c r="E204" s="60" t="n"/>
      <c r="F204" s="60" t="n"/>
      <c r="G204" s="13">
        <f>IF($C204="","",IFERROR(INDEX('Inventory'!$D$7:$D$106,MATCH($C204,'Inventory'!$B$7:$B$106,0))&amp;"","?"))</f>
        <v/>
      </c>
      <c r="H204" s="80">
        <f>IF(AND($B204="",$C204="",$D204=""),"",IF(NOT(ISNUMBER($B204)),"Enter a valid date",IF($C204="","Pick ingredient",IF($G204="?","Not in Inventory",IF($G204="","Set stock unit in Inventory",IF(N($D204)&lt;=0,"Enter quantity",IF($E204="","Pick unit",IF(IFERROR(INDEX('Lists'!$C$6:$C$30,MATCH($E204,'Lists'!$B$6:$B$30,0)),"?")&lt;&gt;IFERROR(INDEX('Lists'!$C$6:$C$30,MATCH($G204,'Lists'!$B$6:$B$30,0)),"?"),"Unit mismatch",IF(ISNUMBER(INDEX('Inventory'!$G$7:$G$106,MATCH($C204,'Inventory'!$B$7:$B$106,0))),"OK","Add price in Inventory")))))))))</f>
        <v/>
      </c>
      <c r="I204" s="88">
        <f>IF($H204&lt;&gt;"OK","",$D204*INDEX('Lists'!$D$6:$D$30,MATCH($E204,'Lists'!$B$6:$B$30,0))/INDEX('Lists'!$D$6:$D$30,MATCH($G204,'Lists'!$B$6:$B$30,0)))</f>
        <v/>
      </c>
      <c r="J204" s="71">
        <f>IF($H204&lt;&gt;"OK","",$I204*INDEX('Inventory'!$G$7:$G$106,MATCH($C204,'Inventory'!$B$7:$B$106,0)))</f>
        <v/>
      </c>
    </row>
    <row r="205" ht="17" customHeight="1">
      <c r="B205" s="66" t="n"/>
      <c r="C205" s="60" t="n"/>
      <c r="D205" s="86" t="n"/>
      <c r="E205" s="60" t="n"/>
      <c r="F205" s="60" t="n"/>
      <c r="G205" s="13">
        <f>IF($C205="","",IFERROR(INDEX('Inventory'!$D$7:$D$106,MATCH($C205,'Inventory'!$B$7:$B$106,0))&amp;"","?"))</f>
        <v/>
      </c>
      <c r="H205" s="80">
        <f>IF(AND($B205="",$C205="",$D205=""),"",IF(NOT(ISNUMBER($B205)),"Enter a valid date",IF($C205="","Pick ingredient",IF($G205="?","Not in Inventory",IF($G205="","Set stock unit in Inventory",IF(N($D205)&lt;=0,"Enter quantity",IF($E205="","Pick unit",IF(IFERROR(INDEX('Lists'!$C$6:$C$30,MATCH($E205,'Lists'!$B$6:$B$30,0)),"?")&lt;&gt;IFERROR(INDEX('Lists'!$C$6:$C$30,MATCH($G205,'Lists'!$B$6:$B$30,0)),"?"),"Unit mismatch",IF(ISNUMBER(INDEX('Inventory'!$G$7:$G$106,MATCH($C205,'Inventory'!$B$7:$B$106,0))),"OK","Add price in Inventory")))))))))</f>
        <v/>
      </c>
      <c r="I205" s="88">
        <f>IF($H205&lt;&gt;"OK","",$D205*INDEX('Lists'!$D$6:$D$30,MATCH($E205,'Lists'!$B$6:$B$30,0))/INDEX('Lists'!$D$6:$D$30,MATCH($G205,'Lists'!$B$6:$B$30,0)))</f>
        <v/>
      </c>
      <c r="J205" s="71">
        <f>IF($H205&lt;&gt;"OK","",$I205*INDEX('Inventory'!$G$7:$G$106,MATCH($C205,'Inventory'!$B$7:$B$106,0)))</f>
        <v/>
      </c>
    </row>
    <row r="206" ht="17" customHeight="1">
      <c r="B206" s="66" t="n"/>
      <c r="C206" s="60" t="n"/>
      <c r="D206" s="86" t="n"/>
      <c r="E206" s="60" t="n"/>
      <c r="F206" s="60" t="n"/>
      <c r="G206" s="13">
        <f>IF($C206="","",IFERROR(INDEX('Inventory'!$D$7:$D$106,MATCH($C206,'Inventory'!$B$7:$B$106,0))&amp;"","?"))</f>
        <v/>
      </c>
      <c r="H206" s="80">
        <f>IF(AND($B206="",$C206="",$D206=""),"",IF(NOT(ISNUMBER($B206)),"Enter a valid date",IF($C206="","Pick ingredient",IF($G206="?","Not in Inventory",IF($G206="","Set stock unit in Inventory",IF(N($D206)&lt;=0,"Enter quantity",IF($E206="","Pick unit",IF(IFERROR(INDEX('Lists'!$C$6:$C$30,MATCH($E206,'Lists'!$B$6:$B$30,0)),"?")&lt;&gt;IFERROR(INDEX('Lists'!$C$6:$C$30,MATCH($G206,'Lists'!$B$6:$B$30,0)),"?"),"Unit mismatch",IF(ISNUMBER(INDEX('Inventory'!$G$7:$G$106,MATCH($C206,'Inventory'!$B$7:$B$106,0))),"OK","Add price in Inventory")))))))))</f>
        <v/>
      </c>
      <c r="I206" s="88">
        <f>IF($H206&lt;&gt;"OK","",$D206*INDEX('Lists'!$D$6:$D$30,MATCH($E206,'Lists'!$B$6:$B$30,0))/INDEX('Lists'!$D$6:$D$30,MATCH($G206,'Lists'!$B$6:$B$30,0)))</f>
        <v/>
      </c>
      <c r="J206" s="71">
        <f>IF($H206&lt;&gt;"OK","",$I206*INDEX('Inventory'!$G$7:$G$106,MATCH($C206,'Inventory'!$B$7:$B$106,0)))</f>
        <v/>
      </c>
    </row>
    <row r="207" ht="17" customHeight="1">
      <c r="B207" s="66" t="n"/>
      <c r="C207" s="60" t="n"/>
      <c r="D207" s="86" t="n"/>
      <c r="E207" s="60" t="n"/>
      <c r="F207" s="60" t="n"/>
      <c r="G207" s="13">
        <f>IF($C207="","",IFERROR(INDEX('Inventory'!$D$7:$D$106,MATCH($C207,'Inventory'!$B$7:$B$106,0))&amp;"","?"))</f>
        <v/>
      </c>
      <c r="H207" s="80">
        <f>IF(AND($B207="",$C207="",$D207=""),"",IF(NOT(ISNUMBER($B207)),"Enter a valid date",IF($C207="","Pick ingredient",IF($G207="?","Not in Inventory",IF($G207="","Set stock unit in Inventory",IF(N($D207)&lt;=0,"Enter quantity",IF($E207="","Pick unit",IF(IFERROR(INDEX('Lists'!$C$6:$C$30,MATCH($E207,'Lists'!$B$6:$B$30,0)),"?")&lt;&gt;IFERROR(INDEX('Lists'!$C$6:$C$30,MATCH($G207,'Lists'!$B$6:$B$30,0)),"?"),"Unit mismatch",IF(ISNUMBER(INDEX('Inventory'!$G$7:$G$106,MATCH($C207,'Inventory'!$B$7:$B$106,0))),"OK","Add price in Inventory")))))))))</f>
        <v/>
      </c>
      <c r="I207" s="88">
        <f>IF($H207&lt;&gt;"OK","",$D207*INDEX('Lists'!$D$6:$D$30,MATCH($E207,'Lists'!$B$6:$B$30,0))/INDEX('Lists'!$D$6:$D$30,MATCH($G207,'Lists'!$B$6:$B$30,0)))</f>
        <v/>
      </c>
      <c r="J207" s="71">
        <f>IF($H207&lt;&gt;"OK","",$I207*INDEX('Inventory'!$G$7:$G$106,MATCH($C207,'Inventory'!$B$7:$B$106,0)))</f>
        <v/>
      </c>
    </row>
    <row r="208" ht="17" customHeight="1">
      <c r="B208" s="66" t="n"/>
      <c r="C208" s="60" t="n"/>
      <c r="D208" s="86" t="n"/>
      <c r="E208" s="60" t="n"/>
      <c r="F208" s="60" t="n"/>
      <c r="G208" s="13">
        <f>IF($C208="","",IFERROR(INDEX('Inventory'!$D$7:$D$106,MATCH($C208,'Inventory'!$B$7:$B$106,0))&amp;"","?"))</f>
        <v/>
      </c>
      <c r="H208" s="80">
        <f>IF(AND($B208="",$C208="",$D208=""),"",IF(NOT(ISNUMBER($B208)),"Enter a valid date",IF($C208="","Pick ingredient",IF($G208="?","Not in Inventory",IF($G208="","Set stock unit in Inventory",IF(N($D208)&lt;=0,"Enter quantity",IF($E208="","Pick unit",IF(IFERROR(INDEX('Lists'!$C$6:$C$30,MATCH($E208,'Lists'!$B$6:$B$30,0)),"?")&lt;&gt;IFERROR(INDEX('Lists'!$C$6:$C$30,MATCH($G208,'Lists'!$B$6:$B$30,0)),"?"),"Unit mismatch",IF(ISNUMBER(INDEX('Inventory'!$G$7:$G$106,MATCH($C208,'Inventory'!$B$7:$B$106,0))),"OK","Add price in Inventory")))))))))</f>
        <v/>
      </c>
      <c r="I208" s="88">
        <f>IF($H208&lt;&gt;"OK","",$D208*INDEX('Lists'!$D$6:$D$30,MATCH($E208,'Lists'!$B$6:$B$30,0))/INDEX('Lists'!$D$6:$D$30,MATCH($G208,'Lists'!$B$6:$B$30,0)))</f>
        <v/>
      </c>
      <c r="J208" s="71">
        <f>IF($H208&lt;&gt;"OK","",$I208*INDEX('Inventory'!$G$7:$G$106,MATCH($C208,'Inventory'!$B$7:$B$106,0)))</f>
        <v/>
      </c>
    </row>
    <row r="209" ht="17" customHeight="1">
      <c r="B209" s="66" t="n"/>
      <c r="C209" s="60" t="n"/>
      <c r="D209" s="86" t="n"/>
      <c r="E209" s="60" t="n"/>
      <c r="F209" s="60" t="n"/>
      <c r="G209" s="13">
        <f>IF($C209="","",IFERROR(INDEX('Inventory'!$D$7:$D$106,MATCH($C209,'Inventory'!$B$7:$B$106,0))&amp;"","?"))</f>
        <v/>
      </c>
      <c r="H209" s="80">
        <f>IF(AND($B209="",$C209="",$D209=""),"",IF(NOT(ISNUMBER($B209)),"Enter a valid date",IF($C209="","Pick ingredient",IF($G209="?","Not in Inventory",IF($G209="","Set stock unit in Inventory",IF(N($D209)&lt;=0,"Enter quantity",IF($E209="","Pick unit",IF(IFERROR(INDEX('Lists'!$C$6:$C$30,MATCH($E209,'Lists'!$B$6:$B$30,0)),"?")&lt;&gt;IFERROR(INDEX('Lists'!$C$6:$C$30,MATCH($G209,'Lists'!$B$6:$B$30,0)),"?"),"Unit mismatch",IF(ISNUMBER(INDEX('Inventory'!$G$7:$G$106,MATCH($C209,'Inventory'!$B$7:$B$106,0))),"OK","Add price in Inventory")))))))))</f>
        <v/>
      </c>
      <c r="I209" s="88">
        <f>IF($H209&lt;&gt;"OK","",$D209*INDEX('Lists'!$D$6:$D$30,MATCH($E209,'Lists'!$B$6:$B$30,0))/INDEX('Lists'!$D$6:$D$30,MATCH($G209,'Lists'!$B$6:$B$30,0)))</f>
        <v/>
      </c>
      <c r="J209" s="71">
        <f>IF($H209&lt;&gt;"OK","",$I209*INDEX('Inventory'!$G$7:$G$106,MATCH($C209,'Inventory'!$B$7:$B$106,0)))</f>
        <v/>
      </c>
    </row>
    <row r="210" ht="17" customHeight="1">
      <c r="B210" s="66" t="n"/>
      <c r="C210" s="60" t="n"/>
      <c r="D210" s="86" t="n"/>
      <c r="E210" s="60" t="n"/>
      <c r="F210" s="60" t="n"/>
      <c r="G210" s="13">
        <f>IF($C210="","",IFERROR(INDEX('Inventory'!$D$7:$D$106,MATCH($C210,'Inventory'!$B$7:$B$106,0))&amp;"","?"))</f>
        <v/>
      </c>
      <c r="H210" s="80">
        <f>IF(AND($B210="",$C210="",$D210=""),"",IF(NOT(ISNUMBER($B210)),"Enter a valid date",IF($C210="","Pick ingredient",IF($G210="?","Not in Inventory",IF($G210="","Set stock unit in Inventory",IF(N($D210)&lt;=0,"Enter quantity",IF($E210="","Pick unit",IF(IFERROR(INDEX('Lists'!$C$6:$C$30,MATCH($E210,'Lists'!$B$6:$B$30,0)),"?")&lt;&gt;IFERROR(INDEX('Lists'!$C$6:$C$30,MATCH($G210,'Lists'!$B$6:$B$30,0)),"?"),"Unit mismatch",IF(ISNUMBER(INDEX('Inventory'!$G$7:$G$106,MATCH($C210,'Inventory'!$B$7:$B$106,0))),"OK","Add price in Inventory")))))))))</f>
        <v/>
      </c>
      <c r="I210" s="88">
        <f>IF($H210&lt;&gt;"OK","",$D210*INDEX('Lists'!$D$6:$D$30,MATCH($E210,'Lists'!$B$6:$B$30,0))/INDEX('Lists'!$D$6:$D$30,MATCH($G210,'Lists'!$B$6:$B$30,0)))</f>
        <v/>
      </c>
      <c r="J210" s="71">
        <f>IF($H210&lt;&gt;"OK","",$I210*INDEX('Inventory'!$G$7:$G$106,MATCH($C210,'Inventory'!$B$7:$B$106,0)))</f>
        <v/>
      </c>
    </row>
    <row r="211" ht="17" customHeight="1">
      <c r="B211" s="66" t="n"/>
      <c r="C211" s="60" t="n"/>
      <c r="D211" s="86" t="n"/>
      <c r="E211" s="60" t="n"/>
      <c r="F211" s="60" t="n"/>
      <c r="G211" s="13">
        <f>IF($C211="","",IFERROR(INDEX('Inventory'!$D$7:$D$106,MATCH($C211,'Inventory'!$B$7:$B$106,0))&amp;"","?"))</f>
        <v/>
      </c>
      <c r="H211" s="80">
        <f>IF(AND($B211="",$C211="",$D211=""),"",IF(NOT(ISNUMBER($B211)),"Enter a valid date",IF($C211="","Pick ingredient",IF($G211="?","Not in Inventory",IF($G211="","Set stock unit in Inventory",IF(N($D211)&lt;=0,"Enter quantity",IF($E211="","Pick unit",IF(IFERROR(INDEX('Lists'!$C$6:$C$30,MATCH($E211,'Lists'!$B$6:$B$30,0)),"?")&lt;&gt;IFERROR(INDEX('Lists'!$C$6:$C$30,MATCH($G211,'Lists'!$B$6:$B$30,0)),"?"),"Unit mismatch",IF(ISNUMBER(INDEX('Inventory'!$G$7:$G$106,MATCH($C211,'Inventory'!$B$7:$B$106,0))),"OK","Add price in Inventory")))))))))</f>
        <v/>
      </c>
      <c r="I211" s="88">
        <f>IF($H211&lt;&gt;"OK","",$D211*INDEX('Lists'!$D$6:$D$30,MATCH($E211,'Lists'!$B$6:$B$30,0))/INDEX('Lists'!$D$6:$D$30,MATCH($G211,'Lists'!$B$6:$B$30,0)))</f>
        <v/>
      </c>
      <c r="J211" s="71">
        <f>IF($H211&lt;&gt;"OK","",$I211*INDEX('Inventory'!$G$7:$G$106,MATCH($C211,'Inventory'!$B$7:$B$106,0)))</f>
        <v/>
      </c>
    </row>
    <row r="212" ht="17" customHeight="1">
      <c r="B212" s="66" t="n"/>
      <c r="C212" s="60" t="n"/>
      <c r="D212" s="86" t="n"/>
      <c r="E212" s="60" t="n"/>
      <c r="F212" s="60" t="n"/>
      <c r="G212" s="13">
        <f>IF($C212="","",IFERROR(INDEX('Inventory'!$D$7:$D$106,MATCH($C212,'Inventory'!$B$7:$B$106,0))&amp;"","?"))</f>
        <v/>
      </c>
      <c r="H212" s="80">
        <f>IF(AND($B212="",$C212="",$D212=""),"",IF(NOT(ISNUMBER($B212)),"Enter a valid date",IF($C212="","Pick ingredient",IF($G212="?","Not in Inventory",IF($G212="","Set stock unit in Inventory",IF(N($D212)&lt;=0,"Enter quantity",IF($E212="","Pick unit",IF(IFERROR(INDEX('Lists'!$C$6:$C$30,MATCH($E212,'Lists'!$B$6:$B$30,0)),"?")&lt;&gt;IFERROR(INDEX('Lists'!$C$6:$C$30,MATCH($G212,'Lists'!$B$6:$B$30,0)),"?"),"Unit mismatch",IF(ISNUMBER(INDEX('Inventory'!$G$7:$G$106,MATCH($C212,'Inventory'!$B$7:$B$106,0))),"OK","Add price in Inventory")))))))))</f>
        <v/>
      </c>
      <c r="I212" s="88">
        <f>IF($H212&lt;&gt;"OK","",$D212*INDEX('Lists'!$D$6:$D$30,MATCH($E212,'Lists'!$B$6:$B$30,0))/INDEX('Lists'!$D$6:$D$30,MATCH($G212,'Lists'!$B$6:$B$30,0)))</f>
        <v/>
      </c>
      <c r="J212" s="71">
        <f>IF($H212&lt;&gt;"OK","",$I212*INDEX('Inventory'!$G$7:$G$106,MATCH($C212,'Inventory'!$B$7:$B$106,0)))</f>
        <v/>
      </c>
    </row>
    <row r="213" ht="17" customHeight="1">
      <c r="B213" s="66" t="n"/>
      <c r="C213" s="60" t="n"/>
      <c r="D213" s="86" t="n"/>
      <c r="E213" s="60" t="n"/>
      <c r="F213" s="60" t="n"/>
      <c r="G213" s="13">
        <f>IF($C213="","",IFERROR(INDEX('Inventory'!$D$7:$D$106,MATCH($C213,'Inventory'!$B$7:$B$106,0))&amp;"","?"))</f>
        <v/>
      </c>
      <c r="H213" s="80">
        <f>IF(AND($B213="",$C213="",$D213=""),"",IF(NOT(ISNUMBER($B213)),"Enter a valid date",IF($C213="","Pick ingredient",IF($G213="?","Not in Inventory",IF($G213="","Set stock unit in Inventory",IF(N($D213)&lt;=0,"Enter quantity",IF($E213="","Pick unit",IF(IFERROR(INDEX('Lists'!$C$6:$C$30,MATCH($E213,'Lists'!$B$6:$B$30,0)),"?")&lt;&gt;IFERROR(INDEX('Lists'!$C$6:$C$30,MATCH($G213,'Lists'!$B$6:$B$30,0)),"?"),"Unit mismatch",IF(ISNUMBER(INDEX('Inventory'!$G$7:$G$106,MATCH($C213,'Inventory'!$B$7:$B$106,0))),"OK","Add price in Inventory")))))))))</f>
        <v/>
      </c>
      <c r="I213" s="88">
        <f>IF($H213&lt;&gt;"OK","",$D213*INDEX('Lists'!$D$6:$D$30,MATCH($E213,'Lists'!$B$6:$B$30,0))/INDEX('Lists'!$D$6:$D$30,MATCH($G213,'Lists'!$B$6:$B$30,0)))</f>
        <v/>
      </c>
      <c r="J213" s="71">
        <f>IF($H213&lt;&gt;"OK","",$I213*INDEX('Inventory'!$G$7:$G$106,MATCH($C213,'Inventory'!$B$7:$B$106,0)))</f>
        <v/>
      </c>
    </row>
    <row r="214" ht="17" customHeight="1">
      <c r="B214" s="66" t="n"/>
      <c r="C214" s="60" t="n"/>
      <c r="D214" s="86" t="n"/>
      <c r="E214" s="60" t="n"/>
      <c r="F214" s="60" t="n"/>
      <c r="G214" s="13">
        <f>IF($C214="","",IFERROR(INDEX('Inventory'!$D$7:$D$106,MATCH($C214,'Inventory'!$B$7:$B$106,0))&amp;"","?"))</f>
        <v/>
      </c>
      <c r="H214" s="80">
        <f>IF(AND($B214="",$C214="",$D214=""),"",IF(NOT(ISNUMBER($B214)),"Enter a valid date",IF($C214="","Pick ingredient",IF($G214="?","Not in Inventory",IF($G214="","Set stock unit in Inventory",IF(N($D214)&lt;=0,"Enter quantity",IF($E214="","Pick unit",IF(IFERROR(INDEX('Lists'!$C$6:$C$30,MATCH($E214,'Lists'!$B$6:$B$30,0)),"?")&lt;&gt;IFERROR(INDEX('Lists'!$C$6:$C$30,MATCH($G214,'Lists'!$B$6:$B$30,0)),"?"),"Unit mismatch",IF(ISNUMBER(INDEX('Inventory'!$G$7:$G$106,MATCH($C214,'Inventory'!$B$7:$B$106,0))),"OK","Add price in Inventory")))))))))</f>
        <v/>
      </c>
      <c r="I214" s="88">
        <f>IF($H214&lt;&gt;"OK","",$D214*INDEX('Lists'!$D$6:$D$30,MATCH($E214,'Lists'!$B$6:$B$30,0))/INDEX('Lists'!$D$6:$D$30,MATCH($G214,'Lists'!$B$6:$B$30,0)))</f>
        <v/>
      </c>
      <c r="J214" s="71">
        <f>IF($H214&lt;&gt;"OK","",$I214*INDEX('Inventory'!$G$7:$G$106,MATCH($C214,'Inventory'!$B$7:$B$106,0)))</f>
        <v/>
      </c>
    </row>
    <row r="215" ht="17" customHeight="1">
      <c r="B215" s="66" t="n"/>
      <c r="C215" s="60" t="n"/>
      <c r="D215" s="86" t="n"/>
      <c r="E215" s="60" t="n"/>
      <c r="F215" s="60" t="n"/>
      <c r="G215" s="13">
        <f>IF($C215="","",IFERROR(INDEX('Inventory'!$D$7:$D$106,MATCH($C215,'Inventory'!$B$7:$B$106,0))&amp;"","?"))</f>
        <v/>
      </c>
      <c r="H215" s="80">
        <f>IF(AND($B215="",$C215="",$D215=""),"",IF(NOT(ISNUMBER($B215)),"Enter a valid date",IF($C215="","Pick ingredient",IF($G215="?","Not in Inventory",IF($G215="","Set stock unit in Inventory",IF(N($D215)&lt;=0,"Enter quantity",IF($E215="","Pick unit",IF(IFERROR(INDEX('Lists'!$C$6:$C$30,MATCH($E215,'Lists'!$B$6:$B$30,0)),"?")&lt;&gt;IFERROR(INDEX('Lists'!$C$6:$C$30,MATCH($G215,'Lists'!$B$6:$B$30,0)),"?"),"Unit mismatch",IF(ISNUMBER(INDEX('Inventory'!$G$7:$G$106,MATCH($C215,'Inventory'!$B$7:$B$106,0))),"OK","Add price in Inventory")))))))))</f>
        <v/>
      </c>
      <c r="I215" s="88">
        <f>IF($H215&lt;&gt;"OK","",$D215*INDEX('Lists'!$D$6:$D$30,MATCH($E215,'Lists'!$B$6:$B$30,0))/INDEX('Lists'!$D$6:$D$30,MATCH($G215,'Lists'!$B$6:$B$30,0)))</f>
        <v/>
      </c>
      <c r="J215" s="71">
        <f>IF($H215&lt;&gt;"OK","",$I215*INDEX('Inventory'!$G$7:$G$106,MATCH($C215,'Inventory'!$B$7:$B$106,0)))</f>
        <v/>
      </c>
    </row>
    <row r="216" ht="17" customHeight="1">
      <c r="B216" s="66" t="n"/>
      <c r="C216" s="60" t="n"/>
      <c r="D216" s="86" t="n"/>
      <c r="E216" s="60" t="n"/>
      <c r="F216" s="60" t="n"/>
      <c r="G216" s="13">
        <f>IF($C216="","",IFERROR(INDEX('Inventory'!$D$7:$D$106,MATCH($C216,'Inventory'!$B$7:$B$106,0))&amp;"","?"))</f>
        <v/>
      </c>
      <c r="H216" s="80">
        <f>IF(AND($B216="",$C216="",$D216=""),"",IF(NOT(ISNUMBER($B216)),"Enter a valid date",IF($C216="","Pick ingredient",IF($G216="?","Not in Inventory",IF($G216="","Set stock unit in Inventory",IF(N($D216)&lt;=0,"Enter quantity",IF($E216="","Pick unit",IF(IFERROR(INDEX('Lists'!$C$6:$C$30,MATCH($E216,'Lists'!$B$6:$B$30,0)),"?")&lt;&gt;IFERROR(INDEX('Lists'!$C$6:$C$30,MATCH($G216,'Lists'!$B$6:$B$30,0)),"?"),"Unit mismatch",IF(ISNUMBER(INDEX('Inventory'!$G$7:$G$106,MATCH($C216,'Inventory'!$B$7:$B$106,0))),"OK","Add price in Inventory")))))))))</f>
        <v/>
      </c>
      <c r="I216" s="88">
        <f>IF($H216&lt;&gt;"OK","",$D216*INDEX('Lists'!$D$6:$D$30,MATCH($E216,'Lists'!$B$6:$B$30,0))/INDEX('Lists'!$D$6:$D$30,MATCH($G216,'Lists'!$B$6:$B$30,0)))</f>
        <v/>
      </c>
      <c r="J216" s="71">
        <f>IF($H216&lt;&gt;"OK","",$I216*INDEX('Inventory'!$G$7:$G$106,MATCH($C216,'Inventory'!$B$7:$B$106,0)))</f>
        <v/>
      </c>
    </row>
    <row r="217" ht="17" customHeight="1">
      <c r="B217" s="66" t="n"/>
      <c r="C217" s="60" t="n"/>
      <c r="D217" s="86" t="n"/>
      <c r="E217" s="60" t="n"/>
      <c r="F217" s="60" t="n"/>
      <c r="G217" s="13">
        <f>IF($C217="","",IFERROR(INDEX('Inventory'!$D$7:$D$106,MATCH($C217,'Inventory'!$B$7:$B$106,0))&amp;"","?"))</f>
        <v/>
      </c>
      <c r="H217" s="80">
        <f>IF(AND($B217="",$C217="",$D217=""),"",IF(NOT(ISNUMBER($B217)),"Enter a valid date",IF($C217="","Pick ingredient",IF($G217="?","Not in Inventory",IF($G217="","Set stock unit in Inventory",IF(N($D217)&lt;=0,"Enter quantity",IF($E217="","Pick unit",IF(IFERROR(INDEX('Lists'!$C$6:$C$30,MATCH($E217,'Lists'!$B$6:$B$30,0)),"?")&lt;&gt;IFERROR(INDEX('Lists'!$C$6:$C$30,MATCH($G217,'Lists'!$B$6:$B$30,0)),"?"),"Unit mismatch",IF(ISNUMBER(INDEX('Inventory'!$G$7:$G$106,MATCH($C217,'Inventory'!$B$7:$B$106,0))),"OK","Add price in Inventory")))))))))</f>
        <v/>
      </c>
      <c r="I217" s="88">
        <f>IF($H217&lt;&gt;"OK","",$D217*INDEX('Lists'!$D$6:$D$30,MATCH($E217,'Lists'!$B$6:$B$30,0))/INDEX('Lists'!$D$6:$D$30,MATCH($G217,'Lists'!$B$6:$B$30,0)))</f>
        <v/>
      </c>
      <c r="J217" s="71">
        <f>IF($H217&lt;&gt;"OK","",$I217*INDEX('Inventory'!$G$7:$G$106,MATCH($C217,'Inventory'!$B$7:$B$106,0)))</f>
        <v/>
      </c>
    </row>
    <row r="218" ht="17" customHeight="1">
      <c r="B218" s="66" t="n"/>
      <c r="C218" s="60" t="n"/>
      <c r="D218" s="86" t="n"/>
      <c r="E218" s="60" t="n"/>
      <c r="F218" s="60" t="n"/>
      <c r="G218" s="13">
        <f>IF($C218="","",IFERROR(INDEX('Inventory'!$D$7:$D$106,MATCH($C218,'Inventory'!$B$7:$B$106,0))&amp;"","?"))</f>
        <v/>
      </c>
      <c r="H218" s="80">
        <f>IF(AND($B218="",$C218="",$D218=""),"",IF(NOT(ISNUMBER($B218)),"Enter a valid date",IF($C218="","Pick ingredient",IF($G218="?","Not in Inventory",IF($G218="","Set stock unit in Inventory",IF(N($D218)&lt;=0,"Enter quantity",IF($E218="","Pick unit",IF(IFERROR(INDEX('Lists'!$C$6:$C$30,MATCH($E218,'Lists'!$B$6:$B$30,0)),"?")&lt;&gt;IFERROR(INDEX('Lists'!$C$6:$C$30,MATCH($G218,'Lists'!$B$6:$B$30,0)),"?"),"Unit mismatch",IF(ISNUMBER(INDEX('Inventory'!$G$7:$G$106,MATCH($C218,'Inventory'!$B$7:$B$106,0))),"OK","Add price in Inventory")))))))))</f>
        <v/>
      </c>
      <c r="I218" s="88">
        <f>IF($H218&lt;&gt;"OK","",$D218*INDEX('Lists'!$D$6:$D$30,MATCH($E218,'Lists'!$B$6:$B$30,0))/INDEX('Lists'!$D$6:$D$30,MATCH($G218,'Lists'!$B$6:$B$30,0)))</f>
        <v/>
      </c>
      <c r="J218" s="71">
        <f>IF($H218&lt;&gt;"OK","",$I218*INDEX('Inventory'!$G$7:$G$106,MATCH($C218,'Inventory'!$B$7:$B$106,0)))</f>
        <v/>
      </c>
    </row>
    <row r="219" ht="17" customHeight="1">
      <c r="B219" s="66" t="n"/>
      <c r="C219" s="60" t="n"/>
      <c r="D219" s="86" t="n"/>
      <c r="E219" s="60" t="n"/>
      <c r="F219" s="60" t="n"/>
      <c r="G219" s="13">
        <f>IF($C219="","",IFERROR(INDEX('Inventory'!$D$7:$D$106,MATCH($C219,'Inventory'!$B$7:$B$106,0))&amp;"","?"))</f>
        <v/>
      </c>
      <c r="H219" s="80">
        <f>IF(AND($B219="",$C219="",$D219=""),"",IF(NOT(ISNUMBER($B219)),"Enter a valid date",IF($C219="","Pick ingredient",IF($G219="?","Not in Inventory",IF($G219="","Set stock unit in Inventory",IF(N($D219)&lt;=0,"Enter quantity",IF($E219="","Pick unit",IF(IFERROR(INDEX('Lists'!$C$6:$C$30,MATCH($E219,'Lists'!$B$6:$B$30,0)),"?")&lt;&gt;IFERROR(INDEX('Lists'!$C$6:$C$30,MATCH($G219,'Lists'!$B$6:$B$30,0)),"?"),"Unit mismatch",IF(ISNUMBER(INDEX('Inventory'!$G$7:$G$106,MATCH($C219,'Inventory'!$B$7:$B$106,0))),"OK","Add price in Inventory")))))))))</f>
        <v/>
      </c>
      <c r="I219" s="88">
        <f>IF($H219&lt;&gt;"OK","",$D219*INDEX('Lists'!$D$6:$D$30,MATCH($E219,'Lists'!$B$6:$B$30,0))/INDEX('Lists'!$D$6:$D$30,MATCH($G219,'Lists'!$B$6:$B$30,0)))</f>
        <v/>
      </c>
      <c r="J219" s="71">
        <f>IF($H219&lt;&gt;"OK","",$I219*INDEX('Inventory'!$G$7:$G$106,MATCH($C219,'Inventory'!$B$7:$B$106,0)))</f>
        <v/>
      </c>
    </row>
    <row r="220" ht="17" customHeight="1">
      <c r="B220" s="66" t="n"/>
      <c r="C220" s="60" t="n"/>
      <c r="D220" s="86" t="n"/>
      <c r="E220" s="60" t="n"/>
      <c r="F220" s="60" t="n"/>
      <c r="G220" s="13">
        <f>IF($C220="","",IFERROR(INDEX('Inventory'!$D$7:$D$106,MATCH($C220,'Inventory'!$B$7:$B$106,0))&amp;"","?"))</f>
        <v/>
      </c>
      <c r="H220" s="80">
        <f>IF(AND($B220="",$C220="",$D220=""),"",IF(NOT(ISNUMBER($B220)),"Enter a valid date",IF($C220="","Pick ingredient",IF($G220="?","Not in Inventory",IF($G220="","Set stock unit in Inventory",IF(N($D220)&lt;=0,"Enter quantity",IF($E220="","Pick unit",IF(IFERROR(INDEX('Lists'!$C$6:$C$30,MATCH($E220,'Lists'!$B$6:$B$30,0)),"?")&lt;&gt;IFERROR(INDEX('Lists'!$C$6:$C$30,MATCH($G220,'Lists'!$B$6:$B$30,0)),"?"),"Unit mismatch",IF(ISNUMBER(INDEX('Inventory'!$G$7:$G$106,MATCH($C220,'Inventory'!$B$7:$B$106,0))),"OK","Add price in Inventory")))))))))</f>
        <v/>
      </c>
      <c r="I220" s="88">
        <f>IF($H220&lt;&gt;"OK","",$D220*INDEX('Lists'!$D$6:$D$30,MATCH($E220,'Lists'!$B$6:$B$30,0))/INDEX('Lists'!$D$6:$D$30,MATCH($G220,'Lists'!$B$6:$B$30,0)))</f>
        <v/>
      </c>
      <c r="J220" s="71">
        <f>IF($H220&lt;&gt;"OK","",$I220*INDEX('Inventory'!$G$7:$G$106,MATCH($C220,'Inventory'!$B$7:$B$106,0)))</f>
        <v/>
      </c>
    </row>
    <row r="221" ht="17" customHeight="1">
      <c r="B221" s="66" t="n"/>
      <c r="C221" s="60" t="n"/>
      <c r="D221" s="86" t="n"/>
      <c r="E221" s="60" t="n"/>
      <c r="F221" s="60" t="n"/>
      <c r="G221" s="13">
        <f>IF($C221="","",IFERROR(INDEX('Inventory'!$D$7:$D$106,MATCH($C221,'Inventory'!$B$7:$B$106,0))&amp;"","?"))</f>
        <v/>
      </c>
      <c r="H221" s="80">
        <f>IF(AND($B221="",$C221="",$D221=""),"",IF(NOT(ISNUMBER($B221)),"Enter a valid date",IF($C221="","Pick ingredient",IF($G221="?","Not in Inventory",IF($G221="","Set stock unit in Inventory",IF(N($D221)&lt;=0,"Enter quantity",IF($E221="","Pick unit",IF(IFERROR(INDEX('Lists'!$C$6:$C$30,MATCH($E221,'Lists'!$B$6:$B$30,0)),"?")&lt;&gt;IFERROR(INDEX('Lists'!$C$6:$C$30,MATCH($G221,'Lists'!$B$6:$B$30,0)),"?"),"Unit mismatch",IF(ISNUMBER(INDEX('Inventory'!$G$7:$G$106,MATCH($C221,'Inventory'!$B$7:$B$106,0))),"OK","Add price in Inventory")))))))))</f>
        <v/>
      </c>
      <c r="I221" s="88">
        <f>IF($H221&lt;&gt;"OK","",$D221*INDEX('Lists'!$D$6:$D$30,MATCH($E221,'Lists'!$B$6:$B$30,0))/INDEX('Lists'!$D$6:$D$30,MATCH($G221,'Lists'!$B$6:$B$30,0)))</f>
        <v/>
      </c>
      <c r="J221" s="71">
        <f>IF($H221&lt;&gt;"OK","",$I221*INDEX('Inventory'!$G$7:$G$106,MATCH($C221,'Inventory'!$B$7:$B$106,0)))</f>
        <v/>
      </c>
    </row>
    <row r="222" ht="17" customHeight="1">
      <c r="B222" s="66" t="n"/>
      <c r="C222" s="60" t="n"/>
      <c r="D222" s="86" t="n"/>
      <c r="E222" s="60" t="n"/>
      <c r="F222" s="60" t="n"/>
      <c r="G222" s="13">
        <f>IF($C222="","",IFERROR(INDEX('Inventory'!$D$7:$D$106,MATCH($C222,'Inventory'!$B$7:$B$106,0))&amp;"","?"))</f>
        <v/>
      </c>
      <c r="H222" s="80">
        <f>IF(AND($B222="",$C222="",$D222=""),"",IF(NOT(ISNUMBER($B222)),"Enter a valid date",IF($C222="","Pick ingredient",IF($G222="?","Not in Inventory",IF($G222="","Set stock unit in Inventory",IF(N($D222)&lt;=0,"Enter quantity",IF($E222="","Pick unit",IF(IFERROR(INDEX('Lists'!$C$6:$C$30,MATCH($E222,'Lists'!$B$6:$B$30,0)),"?")&lt;&gt;IFERROR(INDEX('Lists'!$C$6:$C$30,MATCH($G222,'Lists'!$B$6:$B$30,0)),"?"),"Unit mismatch",IF(ISNUMBER(INDEX('Inventory'!$G$7:$G$106,MATCH($C222,'Inventory'!$B$7:$B$106,0))),"OK","Add price in Inventory")))))))))</f>
        <v/>
      </c>
      <c r="I222" s="88">
        <f>IF($H222&lt;&gt;"OK","",$D222*INDEX('Lists'!$D$6:$D$30,MATCH($E222,'Lists'!$B$6:$B$30,0))/INDEX('Lists'!$D$6:$D$30,MATCH($G222,'Lists'!$B$6:$B$30,0)))</f>
        <v/>
      </c>
      <c r="J222" s="71">
        <f>IF($H222&lt;&gt;"OK","",$I222*INDEX('Inventory'!$G$7:$G$106,MATCH($C222,'Inventory'!$B$7:$B$106,0)))</f>
        <v/>
      </c>
    </row>
    <row r="223" ht="17" customHeight="1">
      <c r="B223" s="66" t="n"/>
      <c r="C223" s="60" t="n"/>
      <c r="D223" s="86" t="n"/>
      <c r="E223" s="60" t="n"/>
      <c r="F223" s="60" t="n"/>
      <c r="G223" s="13">
        <f>IF($C223="","",IFERROR(INDEX('Inventory'!$D$7:$D$106,MATCH($C223,'Inventory'!$B$7:$B$106,0))&amp;"","?"))</f>
        <v/>
      </c>
      <c r="H223" s="80">
        <f>IF(AND($B223="",$C223="",$D223=""),"",IF(NOT(ISNUMBER($B223)),"Enter a valid date",IF($C223="","Pick ingredient",IF($G223="?","Not in Inventory",IF($G223="","Set stock unit in Inventory",IF(N($D223)&lt;=0,"Enter quantity",IF($E223="","Pick unit",IF(IFERROR(INDEX('Lists'!$C$6:$C$30,MATCH($E223,'Lists'!$B$6:$B$30,0)),"?")&lt;&gt;IFERROR(INDEX('Lists'!$C$6:$C$30,MATCH($G223,'Lists'!$B$6:$B$30,0)),"?"),"Unit mismatch",IF(ISNUMBER(INDEX('Inventory'!$G$7:$G$106,MATCH($C223,'Inventory'!$B$7:$B$106,0))),"OK","Add price in Inventory")))))))))</f>
        <v/>
      </c>
      <c r="I223" s="88">
        <f>IF($H223&lt;&gt;"OK","",$D223*INDEX('Lists'!$D$6:$D$30,MATCH($E223,'Lists'!$B$6:$B$30,0))/INDEX('Lists'!$D$6:$D$30,MATCH($G223,'Lists'!$B$6:$B$30,0)))</f>
        <v/>
      </c>
      <c r="J223" s="71">
        <f>IF($H223&lt;&gt;"OK","",$I223*INDEX('Inventory'!$G$7:$G$106,MATCH($C223,'Inventory'!$B$7:$B$106,0)))</f>
        <v/>
      </c>
    </row>
    <row r="224" ht="17" customHeight="1">
      <c r="B224" s="66" t="n"/>
      <c r="C224" s="60" t="n"/>
      <c r="D224" s="86" t="n"/>
      <c r="E224" s="60" t="n"/>
      <c r="F224" s="60" t="n"/>
      <c r="G224" s="13">
        <f>IF($C224="","",IFERROR(INDEX('Inventory'!$D$7:$D$106,MATCH($C224,'Inventory'!$B$7:$B$106,0))&amp;"","?"))</f>
        <v/>
      </c>
      <c r="H224" s="80">
        <f>IF(AND($B224="",$C224="",$D224=""),"",IF(NOT(ISNUMBER($B224)),"Enter a valid date",IF($C224="","Pick ingredient",IF($G224="?","Not in Inventory",IF($G224="","Set stock unit in Inventory",IF(N($D224)&lt;=0,"Enter quantity",IF($E224="","Pick unit",IF(IFERROR(INDEX('Lists'!$C$6:$C$30,MATCH($E224,'Lists'!$B$6:$B$30,0)),"?")&lt;&gt;IFERROR(INDEX('Lists'!$C$6:$C$30,MATCH($G224,'Lists'!$B$6:$B$30,0)),"?"),"Unit mismatch",IF(ISNUMBER(INDEX('Inventory'!$G$7:$G$106,MATCH($C224,'Inventory'!$B$7:$B$106,0))),"OK","Add price in Inventory")))))))))</f>
        <v/>
      </c>
      <c r="I224" s="88">
        <f>IF($H224&lt;&gt;"OK","",$D224*INDEX('Lists'!$D$6:$D$30,MATCH($E224,'Lists'!$B$6:$B$30,0))/INDEX('Lists'!$D$6:$D$30,MATCH($G224,'Lists'!$B$6:$B$30,0)))</f>
        <v/>
      </c>
      <c r="J224" s="71">
        <f>IF($H224&lt;&gt;"OK","",$I224*INDEX('Inventory'!$G$7:$G$106,MATCH($C224,'Inventory'!$B$7:$B$106,0)))</f>
        <v/>
      </c>
    </row>
    <row r="225" ht="17" customHeight="1">
      <c r="B225" s="66" t="n"/>
      <c r="C225" s="60" t="n"/>
      <c r="D225" s="86" t="n"/>
      <c r="E225" s="60" t="n"/>
      <c r="F225" s="60" t="n"/>
      <c r="G225" s="13">
        <f>IF($C225="","",IFERROR(INDEX('Inventory'!$D$7:$D$106,MATCH($C225,'Inventory'!$B$7:$B$106,0))&amp;"","?"))</f>
        <v/>
      </c>
      <c r="H225" s="80">
        <f>IF(AND($B225="",$C225="",$D225=""),"",IF(NOT(ISNUMBER($B225)),"Enter a valid date",IF($C225="","Pick ingredient",IF($G225="?","Not in Inventory",IF($G225="","Set stock unit in Inventory",IF(N($D225)&lt;=0,"Enter quantity",IF($E225="","Pick unit",IF(IFERROR(INDEX('Lists'!$C$6:$C$30,MATCH($E225,'Lists'!$B$6:$B$30,0)),"?")&lt;&gt;IFERROR(INDEX('Lists'!$C$6:$C$30,MATCH($G225,'Lists'!$B$6:$B$30,0)),"?"),"Unit mismatch",IF(ISNUMBER(INDEX('Inventory'!$G$7:$G$106,MATCH($C225,'Inventory'!$B$7:$B$106,0))),"OK","Add price in Inventory")))))))))</f>
        <v/>
      </c>
      <c r="I225" s="88">
        <f>IF($H225&lt;&gt;"OK","",$D225*INDEX('Lists'!$D$6:$D$30,MATCH($E225,'Lists'!$B$6:$B$30,0))/INDEX('Lists'!$D$6:$D$30,MATCH($G225,'Lists'!$B$6:$B$30,0)))</f>
        <v/>
      </c>
      <c r="J225" s="71">
        <f>IF($H225&lt;&gt;"OK","",$I225*INDEX('Inventory'!$G$7:$G$106,MATCH($C225,'Inventory'!$B$7:$B$106,0)))</f>
        <v/>
      </c>
    </row>
    <row r="226" ht="17" customHeight="1">
      <c r="B226" s="66" t="n"/>
      <c r="C226" s="60" t="n"/>
      <c r="D226" s="86" t="n"/>
      <c r="E226" s="60" t="n"/>
      <c r="F226" s="60" t="n"/>
      <c r="G226" s="13">
        <f>IF($C226="","",IFERROR(INDEX('Inventory'!$D$7:$D$106,MATCH($C226,'Inventory'!$B$7:$B$106,0))&amp;"","?"))</f>
        <v/>
      </c>
      <c r="H226" s="80">
        <f>IF(AND($B226="",$C226="",$D226=""),"",IF(NOT(ISNUMBER($B226)),"Enter a valid date",IF($C226="","Pick ingredient",IF($G226="?","Not in Inventory",IF($G226="","Set stock unit in Inventory",IF(N($D226)&lt;=0,"Enter quantity",IF($E226="","Pick unit",IF(IFERROR(INDEX('Lists'!$C$6:$C$30,MATCH($E226,'Lists'!$B$6:$B$30,0)),"?")&lt;&gt;IFERROR(INDEX('Lists'!$C$6:$C$30,MATCH($G226,'Lists'!$B$6:$B$30,0)),"?"),"Unit mismatch",IF(ISNUMBER(INDEX('Inventory'!$G$7:$G$106,MATCH($C226,'Inventory'!$B$7:$B$106,0))),"OK","Add price in Inventory")))))))))</f>
        <v/>
      </c>
      <c r="I226" s="88">
        <f>IF($H226&lt;&gt;"OK","",$D226*INDEX('Lists'!$D$6:$D$30,MATCH($E226,'Lists'!$B$6:$B$30,0))/INDEX('Lists'!$D$6:$D$30,MATCH($G226,'Lists'!$B$6:$B$30,0)))</f>
        <v/>
      </c>
      <c r="J226" s="71">
        <f>IF($H226&lt;&gt;"OK","",$I226*INDEX('Inventory'!$G$7:$G$106,MATCH($C226,'Inventory'!$B$7:$B$106,0)))</f>
        <v/>
      </c>
    </row>
    <row r="227" ht="17" customHeight="1">
      <c r="B227" s="66" t="n"/>
      <c r="C227" s="60" t="n"/>
      <c r="D227" s="86" t="n"/>
      <c r="E227" s="60" t="n"/>
      <c r="F227" s="60" t="n"/>
      <c r="G227" s="13">
        <f>IF($C227="","",IFERROR(INDEX('Inventory'!$D$7:$D$106,MATCH($C227,'Inventory'!$B$7:$B$106,0))&amp;"","?"))</f>
        <v/>
      </c>
      <c r="H227" s="80">
        <f>IF(AND($B227="",$C227="",$D227=""),"",IF(NOT(ISNUMBER($B227)),"Enter a valid date",IF($C227="","Pick ingredient",IF($G227="?","Not in Inventory",IF($G227="","Set stock unit in Inventory",IF(N($D227)&lt;=0,"Enter quantity",IF($E227="","Pick unit",IF(IFERROR(INDEX('Lists'!$C$6:$C$30,MATCH($E227,'Lists'!$B$6:$B$30,0)),"?")&lt;&gt;IFERROR(INDEX('Lists'!$C$6:$C$30,MATCH($G227,'Lists'!$B$6:$B$30,0)),"?"),"Unit mismatch",IF(ISNUMBER(INDEX('Inventory'!$G$7:$G$106,MATCH($C227,'Inventory'!$B$7:$B$106,0))),"OK","Add price in Inventory")))))))))</f>
        <v/>
      </c>
      <c r="I227" s="88">
        <f>IF($H227&lt;&gt;"OK","",$D227*INDEX('Lists'!$D$6:$D$30,MATCH($E227,'Lists'!$B$6:$B$30,0))/INDEX('Lists'!$D$6:$D$30,MATCH($G227,'Lists'!$B$6:$B$30,0)))</f>
        <v/>
      </c>
      <c r="J227" s="71">
        <f>IF($H227&lt;&gt;"OK","",$I227*INDEX('Inventory'!$G$7:$G$106,MATCH($C227,'Inventory'!$B$7:$B$106,0)))</f>
        <v/>
      </c>
    </row>
    <row r="228" ht="17" customHeight="1">
      <c r="B228" s="66" t="n"/>
      <c r="C228" s="60" t="n"/>
      <c r="D228" s="86" t="n"/>
      <c r="E228" s="60" t="n"/>
      <c r="F228" s="60" t="n"/>
      <c r="G228" s="13">
        <f>IF($C228="","",IFERROR(INDEX('Inventory'!$D$7:$D$106,MATCH($C228,'Inventory'!$B$7:$B$106,0))&amp;"","?"))</f>
        <v/>
      </c>
      <c r="H228" s="80">
        <f>IF(AND($B228="",$C228="",$D228=""),"",IF(NOT(ISNUMBER($B228)),"Enter a valid date",IF($C228="","Pick ingredient",IF($G228="?","Not in Inventory",IF($G228="","Set stock unit in Inventory",IF(N($D228)&lt;=0,"Enter quantity",IF($E228="","Pick unit",IF(IFERROR(INDEX('Lists'!$C$6:$C$30,MATCH($E228,'Lists'!$B$6:$B$30,0)),"?")&lt;&gt;IFERROR(INDEX('Lists'!$C$6:$C$30,MATCH($G228,'Lists'!$B$6:$B$30,0)),"?"),"Unit mismatch",IF(ISNUMBER(INDEX('Inventory'!$G$7:$G$106,MATCH($C228,'Inventory'!$B$7:$B$106,0))),"OK","Add price in Inventory")))))))))</f>
        <v/>
      </c>
      <c r="I228" s="88">
        <f>IF($H228&lt;&gt;"OK","",$D228*INDEX('Lists'!$D$6:$D$30,MATCH($E228,'Lists'!$B$6:$B$30,0))/INDEX('Lists'!$D$6:$D$30,MATCH($G228,'Lists'!$B$6:$B$30,0)))</f>
        <v/>
      </c>
      <c r="J228" s="71">
        <f>IF($H228&lt;&gt;"OK","",$I228*INDEX('Inventory'!$G$7:$G$106,MATCH($C228,'Inventory'!$B$7:$B$106,0)))</f>
        <v/>
      </c>
    </row>
    <row r="229" ht="17" customHeight="1">
      <c r="B229" s="66" t="n"/>
      <c r="C229" s="60" t="n"/>
      <c r="D229" s="86" t="n"/>
      <c r="E229" s="60" t="n"/>
      <c r="F229" s="60" t="n"/>
      <c r="G229" s="13">
        <f>IF($C229="","",IFERROR(INDEX('Inventory'!$D$7:$D$106,MATCH($C229,'Inventory'!$B$7:$B$106,0))&amp;"","?"))</f>
        <v/>
      </c>
      <c r="H229" s="80">
        <f>IF(AND($B229="",$C229="",$D229=""),"",IF(NOT(ISNUMBER($B229)),"Enter a valid date",IF($C229="","Pick ingredient",IF($G229="?","Not in Inventory",IF($G229="","Set stock unit in Inventory",IF(N($D229)&lt;=0,"Enter quantity",IF($E229="","Pick unit",IF(IFERROR(INDEX('Lists'!$C$6:$C$30,MATCH($E229,'Lists'!$B$6:$B$30,0)),"?")&lt;&gt;IFERROR(INDEX('Lists'!$C$6:$C$30,MATCH($G229,'Lists'!$B$6:$B$30,0)),"?"),"Unit mismatch",IF(ISNUMBER(INDEX('Inventory'!$G$7:$G$106,MATCH($C229,'Inventory'!$B$7:$B$106,0))),"OK","Add price in Inventory")))))))))</f>
        <v/>
      </c>
      <c r="I229" s="88">
        <f>IF($H229&lt;&gt;"OK","",$D229*INDEX('Lists'!$D$6:$D$30,MATCH($E229,'Lists'!$B$6:$B$30,0))/INDEX('Lists'!$D$6:$D$30,MATCH($G229,'Lists'!$B$6:$B$30,0)))</f>
        <v/>
      </c>
      <c r="J229" s="71">
        <f>IF($H229&lt;&gt;"OK","",$I229*INDEX('Inventory'!$G$7:$G$106,MATCH($C229,'Inventory'!$B$7:$B$106,0)))</f>
        <v/>
      </c>
    </row>
    <row r="230" ht="17" customHeight="1">
      <c r="B230" s="66" t="n"/>
      <c r="C230" s="60" t="n"/>
      <c r="D230" s="86" t="n"/>
      <c r="E230" s="60" t="n"/>
      <c r="F230" s="60" t="n"/>
      <c r="G230" s="13">
        <f>IF($C230="","",IFERROR(INDEX('Inventory'!$D$7:$D$106,MATCH($C230,'Inventory'!$B$7:$B$106,0))&amp;"","?"))</f>
        <v/>
      </c>
      <c r="H230" s="80">
        <f>IF(AND($B230="",$C230="",$D230=""),"",IF(NOT(ISNUMBER($B230)),"Enter a valid date",IF($C230="","Pick ingredient",IF($G230="?","Not in Inventory",IF($G230="","Set stock unit in Inventory",IF(N($D230)&lt;=0,"Enter quantity",IF($E230="","Pick unit",IF(IFERROR(INDEX('Lists'!$C$6:$C$30,MATCH($E230,'Lists'!$B$6:$B$30,0)),"?")&lt;&gt;IFERROR(INDEX('Lists'!$C$6:$C$30,MATCH($G230,'Lists'!$B$6:$B$30,0)),"?"),"Unit mismatch",IF(ISNUMBER(INDEX('Inventory'!$G$7:$G$106,MATCH($C230,'Inventory'!$B$7:$B$106,0))),"OK","Add price in Inventory")))))))))</f>
        <v/>
      </c>
      <c r="I230" s="88">
        <f>IF($H230&lt;&gt;"OK","",$D230*INDEX('Lists'!$D$6:$D$30,MATCH($E230,'Lists'!$B$6:$B$30,0))/INDEX('Lists'!$D$6:$D$30,MATCH($G230,'Lists'!$B$6:$B$30,0)))</f>
        <v/>
      </c>
      <c r="J230" s="71">
        <f>IF($H230&lt;&gt;"OK","",$I230*INDEX('Inventory'!$G$7:$G$106,MATCH($C230,'Inventory'!$B$7:$B$106,0)))</f>
        <v/>
      </c>
    </row>
    <row r="231" ht="17" customHeight="1">
      <c r="B231" s="66" t="n"/>
      <c r="C231" s="60" t="n"/>
      <c r="D231" s="86" t="n"/>
      <c r="E231" s="60" t="n"/>
      <c r="F231" s="60" t="n"/>
      <c r="G231" s="13">
        <f>IF($C231="","",IFERROR(INDEX('Inventory'!$D$7:$D$106,MATCH($C231,'Inventory'!$B$7:$B$106,0))&amp;"","?"))</f>
        <v/>
      </c>
      <c r="H231" s="80">
        <f>IF(AND($B231="",$C231="",$D231=""),"",IF(NOT(ISNUMBER($B231)),"Enter a valid date",IF($C231="","Pick ingredient",IF($G231="?","Not in Inventory",IF($G231="","Set stock unit in Inventory",IF(N($D231)&lt;=0,"Enter quantity",IF($E231="","Pick unit",IF(IFERROR(INDEX('Lists'!$C$6:$C$30,MATCH($E231,'Lists'!$B$6:$B$30,0)),"?")&lt;&gt;IFERROR(INDEX('Lists'!$C$6:$C$30,MATCH($G231,'Lists'!$B$6:$B$30,0)),"?"),"Unit mismatch",IF(ISNUMBER(INDEX('Inventory'!$G$7:$G$106,MATCH($C231,'Inventory'!$B$7:$B$106,0))),"OK","Add price in Inventory")))))))))</f>
        <v/>
      </c>
      <c r="I231" s="88">
        <f>IF($H231&lt;&gt;"OK","",$D231*INDEX('Lists'!$D$6:$D$30,MATCH($E231,'Lists'!$B$6:$B$30,0))/INDEX('Lists'!$D$6:$D$30,MATCH($G231,'Lists'!$B$6:$B$30,0)))</f>
        <v/>
      </c>
      <c r="J231" s="71">
        <f>IF($H231&lt;&gt;"OK","",$I231*INDEX('Inventory'!$G$7:$G$106,MATCH($C231,'Inventory'!$B$7:$B$106,0)))</f>
        <v/>
      </c>
    </row>
    <row r="232" ht="17" customHeight="1">
      <c r="B232" s="66" t="n"/>
      <c r="C232" s="60" t="n"/>
      <c r="D232" s="86" t="n"/>
      <c r="E232" s="60" t="n"/>
      <c r="F232" s="60" t="n"/>
      <c r="G232" s="13">
        <f>IF($C232="","",IFERROR(INDEX('Inventory'!$D$7:$D$106,MATCH($C232,'Inventory'!$B$7:$B$106,0))&amp;"","?"))</f>
        <v/>
      </c>
      <c r="H232" s="80">
        <f>IF(AND($B232="",$C232="",$D232=""),"",IF(NOT(ISNUMBER($B232)),"Enter a valid date",IF($C232="","Pick ingredient",IF($G232="?","Not in Inventory",IF($G232="","Set stock unit in Inventory",IF(N($D232)&lt;=0,"Enter quantity",IF($E232="","Pick unit",IF(IFERROR(INDEX('Lists'!$C$6:$C$30,MATCH($E232,'Lists'!$B$6:$B$30,0)),"?")&lt;&gt;IFERROR(INDEX('Lists'!$C$6:$C$30,MATCH($G232,'Lists'!$B$6:$B$30,0)),"?"),"Unit mismatch",IF(ISNUMBER(INDEX('Inventory'!$G$7:$G$106,MATCH($C232,'Inventory'!$B$7:$B$106,0))),"OK","Add price in Inventory")))))))))</f>
        <v/>
      </c>
      <c r="I232" s="88">
        <f>IF($H232&lt;&gt;"OK","",$D232*INDEX('Lists'!$D$6:$D$30,MATCH($E232,'Lists'!$B$6:$B$30,0))/INDEX('Lists'!$D$6:$D$30,MATCH($G232,'Lists'!$B$6:$B$30,0)))</f>
        <v/>
      </c>
      <c r="J232" s="71">
        <f>IF($H232&lt;&gt;"OK","",$I232*INDEX('Inventory'!$G$7:$G$106,MATCH($C232,'Inventory'!$B$7:$B$106,0)))</f>
        <v/>
      </c>
    </row>
    <row r="233" ht="17" customHeight="1">
      <c r="B233" s="66" t="n"/>
      <c r="C233" s="60" t="n"/>
      <c r="D233" s="86" t="n"/>
      <c r="E233" s="60" t="n"/>
      <c r="F233" s="60" t="n"/>
      <c r="G233" s="13">
        <f>IF($C233="","",IFERROR(INDEX('Inventory'!$D$7:$D$106,MATCH($C233,'Inventory'!$B$7:$B$106,0))&amp;"","?"))</f>
        <v/>
      </c>
      <c r="H233" s="80">
        <f>IF(AND($B233="",$C233="",$D233=""),"",IF(NOT(ISNUMBER($B233)),"Enter a valid date",IF($C233="","Pick ingredient",IF($G233="?","Not in Inventory",IF($G233="","Set stock unit in Inventory",IF(N($D233)&lt;=0,"Enter quantity",IF($E233="","Pick unit",IF(IFERROR(INDEX('Lists'!$C$6:$C$30,MATCH($E233,'Lists'!$B$6:$B$30,0)),"?")&lt;&gt;IFERROR(INDEX('Lists'!$C$6:$C$30,MATCH($G233,'Lists'!$B$6:$B$30,0)),"?"),"Unit mismatch",IF(ISNUMBER(INDEX('Inventory'!$G$7:$G$106,MATCH($C233,'Inventory'!$B$7:$B$106,0))),"OK","Add price in Inventory")))))))))</f>
        <v/>
      </c>
      <c r="I233" s="88">
        <f>IF($H233&lt;&gt;"OK","",$D233*INDEX('Lists'!$D$6:$D$30,MATCH($E233,'Lists'!$B$6:$B$30,0))/INDEX('Lists'!$D$6:$D$30,MATCH($G233,'Lists'!$B$6:$B$30,0)))</f>
        <v/>
      </c>
      <c r="J233" s="71">
        <f>IF($H233&lt;&gt;"OK","",$I233*INDEX('Inventory'!$G$7:$G$106,MATCH($C233,'Inventory'!$B$7:$B$106,0)))</f>
        <v/>
      </c>
    </row>
    <row r="234" ht="17" customHeight="1">
      <c r="B234" s="66" t="n"/>
      <c r="C234" s="60" t="n"/>
      <c r="D234" s="86" t="n"/>
      <c r="E234" s="60" t="n"/>
      <c r="F234" s="60" t="n"/>
      <c r="G234" s="13">
        <f>IF($C234="","",IFERROR(INDEX('Inventory'!$D$7:$D$106,MATCH($C234,'Inventory'!$B$7:$B$106,0))&amp;"","?"))</f>
        <v/>
      </c>
      <c r="H234" s="80">
        <f>IF(AND($B234="",$C234="",$D234=""),"",IF(NOT(ISNUMBER($B234)),"Enter a valid date",IF($C234="","Pick ingredient",IF($G234="?","Not in Inventory",IF($G234="","Set stock unit in Inventory",IF(N($D234)&lt;=0,"Enter quantity",IF($E234="","Pick unit",IF(IFERROR(INDEX('Lists'!$C$6:$C$30,MATCH($E234,'Lists'!$B$6:$B$30,0)),"?")&lt;&gt;IFERROR(INDEX('Lists'!$C$6:$C$30,MATCH($G234,'Lists'!$B$6:$B$30,0)),"?"),"Unit mismatch",IF(ISNUMBER(INDEX('Inventory'!$G$7:$G$106,MATCH($C234,'Inventory'!$B$7:$B$106,0))),"OK","Add price in Inventory")))))))))</f>
        <v/>
      </c>
      <c r="I234" s="88">
        <f>IF($H234&lt;&gt;"OK","",$D234*INDEX('Lists'!$D$6:$D$30,MATCH($E234,'Lists'!$B$6:$B$30,0))/INDEX('Lists'!$D$6:$D$30,MATCH($G234,'Lists'!$B$6:$B$30,0)))</f>
        <v/>
      </c>
      <c r="J234" s="71">
        <f>IF($H234&lt;&gt;"OK","",$I234*INDEX('Inventory'!$G$7:$G$106,MATCH($C234,'Inventory'!$B$7:$B$106,0)))</f>
        <v/>
      </c>
    </row>
    <row r="235" ht="17" customHeight="1">
      <c r="B235" s="66" t="n"/>
      <c r="C235" s="60" t="n"/>
      <c r="D235" s="86" t="n"/>
      <c r="E235" s="60" t="n"/>
      <c r="F235" s="60" t="n"/>
      <c r="G235" s="13">
        <f>IF($C235="","",IFERROR(INDEX('Inventory'!$D$7:$D$106,MATCH($C235,'Inventory'!$B$7:$B$106,0))&amp;"","?"))</f>
        <v/>
      </c>
      <c r="H235" s="80">
        <f>IF(AND($B235="",$C235="",$D235=""),"",IF(NOT(ISNUMBER($B235)),"Enter a valid date",IF($C235="","Pick ingredient",IF($G235="?","Not in Inventory",IF($G235="","Set stock unit in Inventory",IF(N($D235)&lt;=0,"Enter quantity",IF($E235="","Pick unit",IF(IFERROR(INDEX('Lists'!$C$6:$C$30,MATCH($E235,'Lists'!$B$6:$B$30,0)),"?")&lt;&gt;IFERROR(INDEX('Lists'!$C$6:$C$30,MATCH($G235,'Lists'!$B$6:$B$30,0)),"?"),"Unit mismatch",IF(ISNUMBER(INDEX('Inventory'!$G$7:$G$106,MATCH($C235,'Inventory'!$B$7:$B$106,0))),"OK","Add price in Inventory")))))))))</f>
        <v/>
      </c>
      <c r="I235" s="88">
        <f>IF($H235&lt;&gt;"OK","",$D235*INDEX('Lists'!$D$6:$D$30,MATCH($E235,'Lists'!$B$6:$B$30,0))/INDEX('Lists'!$D$6:$D$30,MATCH($G235,'Lists'!$B$6:$B$30,0)))</f>
        <v/>
      </c>
      <c r="J235" s="71">
        <f>IF($H235&lt;&gt;"OK","",$I235*INDEX('Inventory'!$G$7:$G$106,MATCH($C235,'Inventory'!$B$7:$B$106,0)))</f>
        <v/>
      </c>
    </row>
    <row r="236" ht="17" customHeight="1">
      <c r="B236" s="66" t="n"/>
      <c r="C236" s="60" t="n"/>
      <c r="D236" s="86" t="n"/>
      <c r="E236" s="60" t="n"/>
      <c r="F236" s="60" t="n"/>
      <c r="G236" s="13">
        <f>IF($C236="","",IFERROR(INDEX('Inventory'!$D$7:$D$106,MATCH($C236,'Inventory'!$B$7:$B$106,0))&amp;"","?"))</f>
        <v/>
      </c>
      <c r="H236" s="80">
        <f>IF(AND($B236="",$C236="",$D236=""),"",IF(NOT(ISNUMBER($B236)),"Enter a valid date",IF($C236="","Pick ingredient",IF($G236="?","Not in Inventory",IF($G236="","Set stock unit in Inventory",IF(N($D236)&lt;=0,"Enter quantity",IF($E236="","Pick unit",IF(IFERROR(INDEX('Lists'!$C$6:$C$30,MATCH($E236,'Lists'!$B$6:$B$30,0)),"?")&lt;&gt;IFERROR(INDEX('Lists'!$C$6:$C$30,MATCH($G236,'Lists'!$B$6:$B$30,0)),"?"),"Unit mismatch",IF(ISNUMBER(INDEX('Inventory'!$G$7:$G$106,MATCH($C236,'Inventory'!$B$7:$B$106,0))),"OK","Add price in Inventory")))))))))</f>
        <v/>
      </c>
      <c r="I236" s="88">
        <f>IF($H236&lt;&gt;"OK","",$D236*INDEX('Lists'!$D$6:$D$30,MATCH($E236,'Lists'!$B$6:$B$30,0))/INDEX('Lists'!$D$6:$D$30,MATCH($G236,'Lists'!$B$6:$B$30,0)))</f>
        <v/>
      </c>
      <c r="J236" s="71">
        <f>IF($H236&lt;&gt;"OK","",$I236*INDEX('Inventory'!$G$7:$G$106,MATCH($C236,'Inventory'!$B$7:$B$106,0)))</f>
        <v/>
      </c>
    </row>
    <row r="237" ht="17" customHeight="1">
      <c r="B237" s="66" t="n"/>
      <c r="C237" s="60" t="n"/>
      <c r="D237" s="86" t="n"/>
      <c r="E237" s="60" t="n"/>
      <c r="F237" s="60" t="n"/>
      <c r="G237" s="13">
        <f>IF($C237="","",IFERROR(INDEX('Inventory'!$D$7:$D$106,MATCH($C237,'Inventory'!$B$7:$B$106,0))&amp;"","?"))</f>
        <v/>
      </c>
      <c r="H237" s="80">
        <f>IF(AND($B237="",$C237="",$D237=""),"",IF(NOT(ISNUMBER($B237)),"Enter a valid date",IF($C237="","Pick ingredient",IF($G237="?","Not in Inventory",IF($G237="","Set stock unit in Inventory",IF(N($D237)&lt;=0,"Enter quantity",IF($E237="","Pick unit",IF(IFERROR(INDEX('Lists'!$C$6:$C$30,MATCH($E237,'Lists'!$B$6:$B$30,0)),"?")&lt;&gt;IFERROR(INDEX('Lists'!$C$6:$C$30,MATCH($G237,'Lists'!$B$6:$B$30,0)),"?"),"Unit mismatch",IF(ISNUMBER(INDEX('Inventory'!$G$7:$G$106,MATCH($C237,'Inventory'!$B$7:$B$106,0))),"OK","Add price in Inventory")))))))))</f>
        <v/>
      </c>
      <c r="I237" s="88">
        <f>IF($H237&lt;&gt;"OK","",$D237*INDEX('Lists'!$D$6:$D$30,MATCH($E237,'Lists'!$B$6:$B$30,0))/INDEX('Lists'!$D$6:$D$30,MATCH($G237,'Lists'!$B$6:$B$30,0)))</f>
        <v/>
      </c>
      <c r="J237" s="71">
        <f>IF($H237&lt;&gt;"OK","",$I237*INDEX('Inventory'!$G$7:$G$106,MATCH($C237,'Inventory'!$B$7:$B$106,0)))</f>
        <v/>
      </c>
    </row>
    <row r="238" ht="17" customHeight="1">
      <c r="B238" s="66" t="n"/>
      <c r="C238" s="60" t="n"/>
      <c r="D238" s="86" t="n"/>
      <c r="E238" s="60" t="n"/>
      <c r="F238" s="60" t="n"/>
      <c r="G238" s="13">
        <f>IF($C238="","",IFERROR(INDEX('Inventory'!$D$7:$D$106,MATCH($C238,'Inventory'!$B$7:$B$106,0))&amp;"","?"))</f>
        <v/>
      </c>
      <c r="H238" s="80">
        <f>IF(AND($B238="",$C238="",$D238=""),"",IF(NOT(ISNUMBER($B238)),"Enter a valid date",IF($C238="","Pick ingredient",IF($G238="?","Not in Inventory",IF($G238="","Set stock unit in Inventory",IF(N($D238)&lt;=0,"Enter quantity",IF($E238="","Pick unit",IF(IFERROR(INDEX('Lists'!$C$6:$C$30,MATCH($E238,'Lists'!$B$6:$B$30,0)),"?")&lt;&gt;IFERROR(INDEX('Lists'!$C$6:$C$30,MATCH($G238,'Lists'!$B$6:$B$30,0)),"?"),"Unit mismatch",IF(ISNUMBER(INDEX('Inventory'!$G$7:$G$106,MATCH($C238,'Inventory'!$B$7:$B$106,0))),"OK","Add price in Inventory")))))))))</f>
        <v/>
      </c>
      <c r="I238" s="88">
        <f>IF($H238&lt;&gt;"OK","",$D238*INDEX('Lists'!$D$6:$D$30,MATCH($E238,'Lists'!$B$6:$B$30,0))/INDEX('Lists'!$D$6:$D$30,MATCH($G238,'Lists'!$B$6:$B$30,0)))</f>
        <v/>
      </c>
      <c r="J238" s="71">
        <f>IF($H238&lt;&gt;"OK","",$I238*INDEX('Inventory'!$G$7:$G$106,MATCH($C238,'Inventory'!$B$7:$B$106,0)))</f>
        <v/>
      </c>
    </row>
    <row r="239" ht="17" customHeight="1">
      <c r="B239" s="66" t="n"/>
      <c r="C239" s="60" t="n"/>
      <c r="D239" s="86" t="n"/>
      <c r="E239" s="60" t="n"/>
      <c r="F239" s="60" t="n"/>
      <c r="G239" s="13">
        <f>IF($C239="","",IFERROR(INDEX('Inventory'!$D$7:$D$106,MATCH($C239,'Inventory'!$B$7:$B$106,0))&amp;"","?"))</f>
        <v/>
      </c>
      <c r="H239" s="80">
        <f>IF(AND($B239="",$C239="",$D239=""),"",IF(NOT(ISNUMBER($B239)),"Enter a valid date",IF($C239="","Pick ingredient",IF($G239="?","Not in Inventory",IF($G239="","Set stock unit in Inventory",IF(N($D239)&lt;=0,"Enter quantity",IF($E239="","Pick unit",IF(IFERROR(INDEX('Lists'!$C$6:$C$30,MATCH($E239,'Lists'!$B$6:$B$30,0)),"?")&lt;&gt;IFERROR(INDEX('Lists'!$C$6:$C$30,MATCH($G239,'Lists'!$B$6:$B$30,0)),"?"),"Unit mismatch",IF(ISNUMBER(INDEX('Inventory'!$G$7:$G$106,MATCH($C239,'Inventory'!$B$7:$B$106,0))),"OK","Add price in Inventory")))))))))</f>
        <v/>
      </c>
      <c r="I239" s="88">
        <f>IF($H239&lt;&gt;"OK","",$D239*INDEX('Lists'!$D$6:$D$30,MATCH($E239,'Lists'!$B$6:$B$30,0))/INDEX('Lists'!$D$6:$D$30,MATCH($G239,'Lists'!$B$6:$B$30,0)))</f>
        <v/>
      </c>
      <c r="J239" s="71">
        <f>IF($H239&lt;&gt;"OK","",$I239*INDEX('Inventory'!$G$7:$G$106,MATCH($C239,'Inventory'!$B$7:$B$106,0)))</f>
        <v/>
      </c>
    </row>
    <row r="240" ht="17" customHeight="1">
      <c r="B240" s="66" t="n"/>
      <c r="C240" s="60" t="n"/>
      <c r="D240" s="86" t="n"/>
      <c r="E240" s="60" t="n"/>
      <c r="F240" s="60" t="n"/>
      <c r="G240" s="13">
        <f>IF($C240="","",IFERROR(INDEX('Inventory'!$D$7:$D$106,MATCH($C240,'Inventory'!$B$7:$B$106,0))&amp;"","?"))</f>
        <v/>
      </c>
      <c r="H240" s="80">
        <f>IF(AND($B240="",$C240="",$D240=""),"",IF(NOT(ISNUMBER($B240)),"Enter a valid date",IF($C240="","Pick ingredient",IF($G240="?","Not in Inventory",IF($G240="","Set stock unit in Inventory",IF(N($D240)&lt;=0,"Enter quantity",IF($E240="","Pick unit",IF(IFERROR(INDEX('Lists'!$C$6:$C$30,MATCH($E240,'Lists'!$B$6:$B$30,0)),"?")&lt;&gt;IFERROR(INDEX('Lists'!$C$6:$C$30,MATCH($G240,'Lists'!$B$6:$B$30,0)),"?"),"Unit mismatch",IF(ISNUMBER(INDEX('Inventory'!$G$7:$G$106,MATCH($C240,'Inventory'!$B$7:$B$106,0))),"OK","Add price in Inventory")))))))))</f>
        <v/>
      </c>
      <c r="I240" s="88">
        <f>IF($H240&lt;&gt;"OK","",$D240*INDEX('Lists'!$D$6:$D$30,MATCH($E240,'Lists'!$B$6:$B$30,0))/INDEX('Lists'!$D$6:$D$30,MATCH($G240,'Lists'!$B$6:$B$30,0)))</f>
        <v/>
      </c>
      <c r="J240" s="71">
        <f>IF($H240&lt;&gt;"OK","",$I240*INDEX('Inventory'!$G$7:$G$106,MATCH($C240,'Inventory'!$B$7:$B$106,0)))</f>
        <v/>
      </c>
    </row>
    <row r="241" ht="17" customHeight="1">
      <c r="B241" s="66" t="n"/>
      <c r="C241" s="60" t="n"/>
      <c r="D241" s="86" t="n"/>
      <c r="E241" s="60" t="n"/>
      <c r="F241" s="60" t="n"/>
      <c r="G241" s="13">
        <f>IF($C241="","",IFERROR(INDEX('Inventory'!$D$7:$D$106,MATCH($C241,'Inventory'!$B$7:$B$106,0))&amp;"","?"))</f>
        <v/>
      </c>
      <c r="H241" s="80">
        <f>IF(AND($B241="",$C241="",$D241=""),"",IF(NOT(ISNUMBER($B241)),"Enter a valid date",IF($C241="","Pick ingredient",IF($G241="?","Not in Inventory",IF($G241="","Set stock unit in Inventory",IF(N($D241)&lt;=0,"Enter quantity",IF($E241="","Pick unit",IF(IFERROR(INDEX('Lists'!$C$6:$C$30,MATCH($E241,'Lists'!$B$6:$B$30,0)),"?")&lt;&gt;IFERROR(INDEX('Lists'!$C$6:$C$30,MATCH($G241,'Lists'!$B$6:$B$30,0)),"?"),"Unit mismatch",IF(ISNUMBER(INDEX('Inventory'!$G$7:$G$106,MATCH($C241,'Inventory'!$B$7:$B$106,0))),"OK","Add price in Inventory")))))))))</f>
        <v/>
      </c>
      <c r="I241" s="88">
        <f>IF($H241&lt;&gt;"OK","",$D241*INDEX('Lists'!$D$6:$D$30,MATCH($E241,'Lists'!$B$6:$B$30,0))/INDEX('Lists'!$D$6:$D$30,MATCH($G241,'Lists'!$B$6:$B$30,0)))</f>
        <v/>
      </c>
      <c r="J241" s="71">
        <f>IF($H241&lt;&gt;"OK","",$I241*INDEX('Inventory'!$G$7:$G$106,MATCH($C241,'Inventory'!$B$7:$B$106,0)))</f>
        <v/>
      </c>
    </row>
    <row r="242" ht="17" customHeight="1">
      <c r="B242" s="66" t="n"/>
      <c r="C242" s="60" t="n"/>
      <c r="D242" s="86" t="n"/>
      <c r="E242" s="60" t="n"/>
      <c r="F242" s="60" t="n"/>
      <c r="G242" s="13">
        <f>IF($C242="","",IFERROR(INDEX('Inventory'!$D$7:$D$106,MATCH($C242,'Inventory'!$B$7:$B$106,0))&amp;"","?"))</f>
        <v/>
      </c>
      <c r="H242" s="80">
        <f>IF(AND($B242="",$C242="",$D242=""),"",IF(NOT(ISNUMBER($B242)),"Enter a valid date",IF($C242="","Pick ingredient",IF($G242="?","Not in Inventory",IF($G242="","Set stock unit in Inventory",IF(N($D242)&lt;=0,"Enter quantity",IF($E242="","Pick unit",IF(IFERROR(INDEX('Lists'!$C$6:$C$30,MATCH($E242,'Lists'!$B$6:$B$30,0)),"?")&lt;&gt;IFERROR(INDEX('Lists'!$C$6:$C$30,MATCH($G242,'Lists'!$B$6:$B$30,0)),"?"),"Unit mismatch",IF(ISNUMBER(INDEX('Inventory'!$G$7:$G$106,MATCH($C242,'Inventory'!$B$7:$B$106,0))),"OK","Add price in Inventory")))))))))</f>
        <v/>
      </c>
      <c r="I242" s="88">
        <f>IF($H242&lt;&gt;"OK","",$D242*INDEX('Lists'!$D$6:$D$30,MATCH($E242,'Lists'!$B$6:$B$30,0))/INDEX('Lists'!$D$6:$D$30,MATCH($G242,'Lists'!$B$6:$B$30,0)))</f>
        <v/>
      </c>
      <c r="J242" s="71">
        <f>IF($H242&lt;&gt;"OK","",$I242*INDEX('Inventory'!$G$7:$G$106,MATCH($C242,'Inventory'!$B$7:$B$106,0)))</f>
        <v/>
      </c>
    </row>
    <row r="243" ht="17" customHeight="1">
      <c r="B243" s="66" t="n"/>
      <c r="C243" s="60" t="n"/>
      <c r="D243" s="86" t="n"/>
      <c r="E243" s="60" t="n"/>
      <c r="F243" s="60" t="n"/>
      <c r="G243" s="13">
        <f>IF($C243="","",IFERROR(INDEX('Inventory'!$D$7:$D$106,MATCH($C243,'Inventory'!$B$7:$B$106,0))&amp;"","?"))</f>
        <v/>
      </c>
      <c r="H243" s="80">
        <f>IF(AND($B243="",$C243="",$D243=""),"",IF(NOT(ISNUMBER($B243)),"Enter a valid date",IF($C243="","Pick ingredient",IF($G243="?","Not in Inventory",IF($G243="","Set stock unit in Inventory",IF(N($D243)&lt;=0,"Enter quantity",IF($E243="","Pick unit",IF(IFERROR(INDEX('Lists'!$C$6:$C$30,MATCH($E243,'Lists'!$B$6:$B$30,0)),"?")&lt;&gt;IFERROR(INDEX('Lists'!$C$6:$C$30,MATCH($G243,'Lists'!$B$6:$B$30,0)),"?"),"Unit mismatch",IF(ISNUMBER(INDEX('Inventory'!$G$7:$G$106,MATCH($C243,'Inventory'!$B$7:$B$106,0))),"OK","Add price in Inventory")))))))))</f>
        <v/>
      </c>
      <c r="I243" s="88">
        <f>IF($H243&lt;&gt;"OK","",$D243*INDEX('Lists'!$D$6:$D$30,MATCH($E243,'Lists'!$B$6:$B$30,0))/INDEX('Lists'!$D$6:$D$30,MATCH($G243,'Lists'!$B$6:$B$30,0)))</f>
        <v/>
      </c>
      <c r="J243" s="71">
        <f>IF($H243&lt;&gt;"OK","",$I243*INDEX('Inventory'!$G$7:$G$106,MATCH($C243,'Inventory'!$B$7:$B$106,0)))</f>
        <v/>
      </c>
    </row>
    <row r="244" ht="17" customHeight="1">
      <c r="B244" s="66" t="n"/>
      <c r="C244" s="60" t="n"/>
      <c r="D244" s="86" t="n"/>
      <c r="E244" s="60" t="n"/>
      <c r="F244" s="60" t="n"/>
      <c r="G244" s="13">
        <f>IF($C244="","",IFERROR(INDEX('Inventory'!$D$7:$D$106,MATCH($C244,'Inventory'!$B$7:$B$106,0))&amp;"","?"))</f>
        <v/>
      </c>
      <c r="H244" s="80">
        <f>IF(AND($B244="",$C244="",$D244=""),"",IF(NOT(ISNUMBER($B244)),"Enter a valid date",IF($C244="","Pick ingredient",IF($G244="?","Not in Inventory",IF($G244="","Set stock unit in Inventory",IF(N($D244)&lt;=0,"Enter quantity",IF($E244="","Pick unit",IF(IFERROR(INDEX('Lists'!$C$6:$C$30,MATCH($E244,'Lists'!$B$6:$B$30,0)),"?")&lt;&gt;IFERROR(INDEX('Lists'!$C$6:$C$30,MATCH($G244,'Lists'!$B$6:$B$30,0)),"?"),"Unit mismatch",IF(ISNUMBER(INDEX('Inventory'!$G$7:$G$106,MATCH($C244,'Inventory'!$B$7:$B$106,0))),"OK","Add price in Inventory")))))))))</f>
        <v/>
      </c>
      <c r="I244" s="88">
        <f>IF($H244&lt;&gt;"OK","",$D244*INDEX('Lists'!$D$6:$D$30,MATCH($E244,'Lists'!$B$6:$B$30,0))/INDEX('Lists'!$D$6:$D$30,MATCH($G244,'Lists'!$B$6:$B$30,0)))</f>
        <v/>
      </c>
      <c r="J244" s="71">
        <f>IF($H244&lt;&gt;"OK","",$I244*INDEX('Inventory'!$G$7:$G$106,MATCH($C244,'Inventory'!$B$7:$B$106,0)))</f>
        <v/>
      </c>
    </row>
    <row r="245" ht="17" customHeight="1">
      <c r="B245" s="66" t="n"/>
      <c r="C245" s="60" t="n"/>
      <c r="D245" s="86" t="n"/>
      <c r="E245" s="60" t="n"/>
      <c r="F245" s="60" t="n"/>
      <c r="G245" s="13">
        <f>IF($C245="","",IFERROR(INDEX('Inventory'!$D$7:$D$106,MATCH($C245,'Inventory'!$B$7:$B$106,0))&amp;"","?"))</f>
        <v/>
      </c>
      <c r="H245" s="80">
        <f>IF(AND($B245="",$C245="",$D245=""),"",IF(NOT(ISNUMBER($B245)),"Enter a valid date",IF($C245="","Pick ingredient",IF($G245="?","Not in Inventory",IF($G245="","Set stock unit in Inventory",IF(N($D245)&lt;=0,"Enter quantity",IF($E245="","Pick unit",IF(IFERROR(INDEX('Lists'!$C$6:$C$30,MATCH($E245,'Lists'!$B$6:$B$30,0)),"?")&lt;&gt;IFERROR(INDEX('Lists'!$C$6:$C$30,MATCH($G245,'Lists'!$B$6:$B$30,0)),"?"),"Unit mismatch",IF(ISNUMBER(INDEX('Inventory'!$G$7:$G$106,MATCH($C245,'Inventory'!$B$7:$B$106,0))),"OK","Add price in Inventory")))))))))</f>
        <v/>
      </c>
      <c r="I245" s="88">
        <f>IF($H245&lt;&gt;"OK","",$D245*INDEX('Lists'!$D$6:$D$30,MATCH($E245,'Lists'!$B$6:$B$30,0))/INDEX('Lists'!$D$6:$D$30,MATCH($G245,'Lists'!$B$6:$B$30,0)))</f>
        <v/>
      </c>
      <c r="J245" s="71">
        <f>IF($H245&lt;&gt;"OK","",$I245*INDEX('Inventory'!$G$7:$G$106,MATCH($C245,'Inventory'!$B$7:$B$106,0)))</f>
        <v/>
      </c>
    </row>
    <row r="246" ht="17" customHeight="1">
      <c r="B246" s="66" t="n"/>
      <c r="C246" s="60" t="n"/>
      <c r="D246" s="86" t="n"/>
      <c r="E246" s="60" t="n"/>
      <c r="F246" s="60" t="n"/>
      <c r="G246" s="13">
        <f>IF($C246="","",IFERROR(INDEX('Inventory'!$D$7:$D$106,MATCH($C246,'Inventory'!$B$7:$B$106,0))&amp;"","?"))</f>
        <v/>
      </c>
      <c r="H246" s="80">
        <f>IF(AND($B246="",$C246="",$D246=""),"",IF(NOT(ISNUMBER($B246)),"Enter a valid date",IF($C246="","Pick ingredient",IF($G246="?","Not in Inventory",IF($G246="","Set stock unit in Inventory",IF(N($D246)&lt;=0,"Enter quantity",IF($E246="","Pick unit",IF(IFERROR(INDEX('Lists'!$C$6:$C$30,MATCH($E246,'Lists'!$B$6:$B$30,0)),"?")&lt;&gt;IFERROR(INDEX('Lists'!$C$6:$C$30,MATCH($G246,'Lists'!$B$6:$B$30,0)),"?"),"Unit mismatch",IF(ISNUMBER(INDEX('Inventory'!$G$7:$G$106,MATCH($C246,'Inventory'!$B$7:$B$106,0))),"OK","Add price in Inventory")))))))))</f>
        <v/>
      </c>
      <c r="I246" s="88">
        <f>IF($H246&lt;&gt;"OK","",$D246*INDEX('Lists'!$D$6:$D$30,MATCH($E246,'Lists'!$B$6:$B$30,0))/INDEX('Lists'!$D$6:$D$30,MATCH($G246,'Lists'!$B$6:$B$30,0)))</f>
        <v/>
      </c>
      <c r="J246" s="71">
        <f>IF($H246&lt;&gt;"OK","",$I246*INDEX('Inventory'!$G$7:$G$106,MATCH($C246,'Inventory'!$B$7:$B$106,0)))</f>
        <v/>
      </c>
    </row>
    <row r="247" ht="17" customHeight="1">
      <c r="B247" s="66" t="n"/>
      <c r="C247" s="60" t="n"/>
      <c r="D247" s="86" t="n"/>
      <c r="E247" s="60" t="n"/>
      <c r="F247" s="60" t="n"/>
      <c r="G247" s="13">
        <f>IF($C247="","",IFERROR(INDEX('Inventory'!$D$7:$D$106,MATCH($C247,'Inventory'!$B$7:$B$106,0))&amp;"","?"))</f>
        <v/>
      </c>
      <c r="H247" s="80">
        <f>IF(AND($B247="",$C247="",$D247=""),"",IF(NOT(ISNUMBER($B247)),"Enter a valid date",IF($C247="","Pick ingredient",IF($G247="?","Not in Inventory",IF($G247="","Set stock unit in Inventory",IF(N($D247)&lt;=0,"Enter quantity",IF($E247="","Pick unit",IF(IFERROR(INDEX('Lists'!$C$6:$C$30,MATCH($E247,'Lists'!$B$6:$B$30,0)),"?")&lt;&gt;IFERROR(INDEX('Lists'!$C$6:$C$30,MATCH($G247,'Lists'!$B$6:$B$30,0)),"?"),"Unit mismatch",IF(ISNUMBER(INDEX('Inventory'!$G$7:$G$106,MATCH($C247,'Inventory'!$B$7:$B$106,0))),"OK","Add price in Inventory")))))))))</f>
        <v/>
      </c>
      <c r="I247" s="88">
        <f>IF($H247&lt;&gt;"OK","",$D247*INDEX('Lists'!$D$6:$D$30,MATCH($E247,'Lists'!$B$6:$B$30,0))/INDEX('Lists'!$D$6:$D$30,MATCH($G247,'Lists'!$B$6:$B$30,0)))</f>
        <v/>
      </c>
      <c r="J247" s="71">
        <f>IF($H247&lt;&gt;"OK","",$I247*INDEX('Inventory'!$G$7:$G$106,MATCH($C247,'Inventory'!$B$7:$B$106,0)))</f>
        <v/>
      </c>
    </row>
    <row r="248" ht="17" customHeight="1">
      <c r="B248" s="66" t="n"/>
      <c r="C248" s="60" t="n"/>
      <c r="D248" s="86" t="n"/>
      <c r="E248" s="60" t="n"/>
      <c r="F248" s="60" t="n"/>
      <c r="G248" s="13">
        <f>IF($C248="","",IFERROR(INDEX('Inventory'!$D$7:$D$106,MATCH($C248,'Inventory'!$B$7:$B$106,0))&amp;"","?"))</f>
        <v/>
      </c>
      <c r="H248" s="80">
        <f>IF(AND($B248="",$C248="",$D248=""),"",IF(NOT(ISNUMBER($B248)),"Enter a valid date",IF($C248="","Pick ingredient",IF($G248="?","Not in Inventory",IF($G248="","Set stock unit in Inventory",IF(N($D248)&lt;=0,"Enter quantity",IF($E248="","Pick unit",IF(IFERROR(INDEX('Lists'!$C$6:$C$30,MATCH($E248,'Lists'!$B$6:$B$30,0)),"?")&lt;&gt;IFERROR(INDEX('Lists'!$C$6:$C$30,MATCH($G248,'Lists'!$B$6:$B$30,0)),"?"),"Unit mismatch",IF(ISNUMBER(INDEX('Inventory'!$G$7:$G$106,MATCH($C248,'Inventory'!$B$7:$B$106,0))),"OK","Add price in Inventory")))))))))</f>
        <v/>
      </c>
      <c r="I248" s="88">
        <f>IF($H248&lt;&gt;"OK","",$D248*INDEX('Lists'!$D$6:$D$30,MATCH($E248,'Lists'!$B$6:$B$30,0))/INDEX('Lists'!$D$6:$D$30,MATCH($G248,'Lists'!$B$6:$B$30,0)))</f>
        <v/>
      </c>
      <c r="J248" s="71">
        <f>IF($H248&lt;&gt;"OK","",$I248*INDEX('Inventory'!$G$7:$G$106,MATCH($C248,'Inventory'!$B$7:$B$106,0)))</f>
        <v/>
      </c>
    </row>
    <row r="249" ht="17" customHeight="1">
      <c r="B249" s="66" t="n"/>
      <c r="C249" s="60" t="n"/>
      <c r="D249" s="86" t="n"/>
      <c r="E249" s="60" t="n"/>
      <c r="F249" s="60" t="n"/>
      <c r="G249" s="13">
        <f>IF($C249="","",IFERROR(INDEX('Inventory'!$D$7:$D$106,MATCH($C249,'Inventory'!$B$7:$B$106,0))&amp;"","?"))</f>
        <v/>
      </c>
      <c r="H249" s="80">
        <f>IF(AND($B249="",$C249="",$D249=""),"",IF(NOT(ISNUMBER($B249)),"Enter a valid date",IF($C249="","Pick ingredient",IF($G249="?","Not in Inventory",IF($G249="","Set stock unit in Inventory",IF(N($D249)&lt;=0,"Enter quantity",IF($E249="","Pick unit",IF(IFERROR(INDEX('Lists'!$C$6:$C$30,MATCH($E249,'Lists'!$B$6:$B$30,0)),"?")&lt;&gt;IFERROR(INDEX('Lists'!$C$6:$C$30,MATCH($G249,'Lists'!$B$6:$B$30,0)),"?"),"Unit mismatch",IF(ISNUMBER(INDEX('Inventory'!$G$7:$G$106,MATCH($C249,'Inventory'!$B$7:$B$106,0))),"OK","Add price in Inventory")))))))))</f>
        <v/>
      </c>
      <c r="I249" s="88">
        <f>IF($H249&lt;&gt;"OK","",$D249*INDEX('Lists'!$D$6:$D$30,MATCH($E249,'Lists'!$B$6:$B$30,0))/INDEX('Lists'!$D$6:$D$30,MATCH($G249,'Lists'!$B$6:$B$30,0)))</f>
        <v/>
      </c>
      <c r="J249" s="71">
        <f>IF($H249&lt;&gt;"OK","",$I249*INDEX('Inventory'!$G$7:$G$106,MATCH($C249,'Inventory'!$B$7:$B$106,0)))</f>
        <v/>
      </c>
    </row>
    <row r="250" ht="17" customHeight="1">
      <c r="B250" s="66" t="n"/>
      <c r="C250" s="60" t="n"/>
      <c r="D250" s="86" t="n"/>
      <c r="E250" s="60" t="n"/>
      <c r="F250" s="60" t="n"/>
      <c r="G250" s="13">
        <f>IF($C250="","",IFERROR(INDEX('Inventory'!$D$7:$D$106,MATCH($C250,'Inventory'!$B$7:$B$106,0))&amp;"","?"))</f>
        <v/>
      </c>
      <c r="H250" s="80">
        <f>IF(AND($B250="",$C250="",$D250=""),"",IF(NOT(ISNUMBER($B250)),"Enter a valid date",IF($C250="","Pick ingredient",IF($G250="?","Not in Inventory",IF($G250="","Set stock unit in Inventory",IF(N($D250)&lt;=0,"Enter quantity",IF($E250="","Pick unit",IF(IFERROR(INDEX('Lists'!$C$6:$C$30,MATCH($E250,'Lists'!$B$6:$B$30,0)),"?")&lt;&gt;IFERROR(INDEX('Lists'!$C$6:$C$30,MATCH($G250,'Lists'!$B$6:$B$30,0)),"?"),"Unit mismatch",IF(ISNUMBER(INDEX('Inventory'!$G$7:$G$106,MATCH($C250,'Inventory'!$B$7:$B$106,0))),"OK","Add price in Inventory")))))))))</f>
        <v/>
      </c>
      <c r="I250" s="88">
        <f>IF($H250&lt;&gt;"OK","",$D250*INDEX('Lists'!$D$6:$D$30,MATCH($E250,'Lists'!$B$6:$B$30,0))/INDEX('Lists'!$D$6:$D$30,MATCH($G250,'Lists'!$B$6:$B$30,0)))</f>
        <v/>
      </c>
      <c r="J250" s="71">
        <f>IF($H250&lt;&gt;"OK","",$I250*INDEX('Inventory'!$G$7:$G$106,MATCH($C250,'Inventory'!$B$7:$B$106,0)))</f>
        <v/>
      </c>
    </row>
    <row r="251" ht="17" customHeight="1">
      <c r="B251" s="66" t="n"/>
      <c r="C251" s="60" t="n"/>
      <c r="D251" s="86" t="n"/>
      <c r="E251" s="60" t="n"/>
      <c r="F251" s="60" t="n"/>
      <c r="G251" s="13">
        <f>IF($C251="","",IFERROR(INDEX('Inventory'!$D$7:$D$106,MATCH($C251,'Inventory'!$B$7:$B$106,0))&amp;"","?"))</f>
        <v/>
      </c>
      <c r="H251" s="80">
        <f>IF(AND($B251="",$C251="",$D251=""),"",IF(NOT(ISNUMBER($B251)),"Enter a valid date",IF($C251="","Pick ingredient",IF($G251="?","Not in Inventory",IF($G251="","Set stock unit in Inventory",IF(N($D251)&lt;=0,"Enter quantity",IF($E251="","Pick unit",IF(IFERROR(INDEX('Lists'!$C$6:$C$30,MATCH($E251,'Lists'!$B$6:$B$30,0)),"?")&lt;&gt;IFERROR(INDEX('Lists'!$C$6:$C$30,MATCH($G251,'Lists'!$B$6:$B$30,0)),"?"),"Unit mismatch",IF(ISNUMBER(INDEX('Inventory'!$G$7:$G$106,MATCH($C251,'Inventory'!$B$7:$B$106,0))),"OK","Add price in Inventory")))))))))</f>
        <v/>
      </c>
      <c r="I251" s="88">
        <f>IF($H251&lt;&gt;"OK","",$D251*INDEX('Lists'!$D$6:$D$30,MATCH($E251,'Lists'!$B$6:$B$30,0))/INDEX('Lists'!$D$6:$D$30,MATCH($G251,'Lists'!$B$6:$B$30,0)))</f>
        <v/>
      </c>
      <c r="J251" s="71">
        <f>IF($H251&lt;&gt;"OK","",$I251*INDEX('Inventory'!$G$7:$G$106,MATCH($C251,'Inventory'!$B$7:$B$106,0)))</f>
        <v/>
      </c>
    </row>
    <row r="252" ht="17" customHeight="1">
      <c r="B252" s="66" t="n"/>
      <c r="C252" s="60" t="n"/>
      <c r="D252" s="86" t="n"/>
      <c r="E252" s="60" t="n"/>
      <c r="F252" s="60" t="n"/>
      <c r="G252" s="13">
        <f>IF($C252="","",IFERROR(INDEX('Inventory'!$D$7:$D$106,MATCH($C252,'Inventory'!$B$7:$B$106,0))&amp;"","?"))</f>
        <v/>
      </c>
      <c r="H252" s="80">
        <f>IF(AND($B252="",$C252="",$D252=""),"",IF(NOT(ISNUMBER($B252)),"Enter a valid date",IF($C252="","Pick ingredient",IF($G252="?","Not in Inventory",IF($G252="","Set stock unit in Inventory",IF(N($D252)&lt;=0,"Enter quantity",IF($E252="","Pick unit",IF(IFERROR(INDEX('Lists'!$C$6:$C$30,MATCH($E252,'Lists'!$B$6:$B$30,0)),"?")&lt;&gt;IFERROR(INDEX('Lists'!$C$6:$C$30,MATCH($G252,'Lists'!$B$6:$B$30,0)),"?"),"Unit mismatch",IF(ISNUMBER(INDEX('Inventory'!$G$7:$G$106,MATCH($C252,'Inventory'!$B$7:$B$106,0))),"OK","Add price in Inventory")))))))))</f>
        <v/>
      </c>
      <c r="I252" s="88">
        <f>IF($H252&lt;&gt;"OK","",$D252*INDEX('Lists'!$D$6:$D$30,MATCH($E252,'Lists'!$B$6:$B$30,0))/INDEX('Lists'!$D$6:$D$30,MATCH($G252,'Lists'!$B$6:$B$30,0)))</f>
        <v/>
      </c>
      <c r="J252" s="71">
        <f>IF($H252&lt;&gt;"OK","",$I252*INDEX('Inventory'!$G$7:$G$106,MATCH($C252,'Inventory'!$B$7:$B$106,0)))</f>
        <v/>
      </c>
    </row>
    <row r="253" ht="17" customHeight="1">
      <c r="B253" s="66" t="n"/>
      <c r="C253" s="60" t="n"/>
      <c r="D253" s="86" t="n"/>
      <c r="E253" s="60" t="n"/>
      <c r="F253" s="60" t="n"/>
      <c r="G253" s="13">
        <f>IF($C253="","",IFERROR(INDEX('Inventory'!$D$7:$D$106,MATCH($C253,'Inventory'!$B$7:$B$106,0))&amp;"","?"))</f>
        <v/>
      </c>
      <c r="H253" s="80">
        <f>IF(AND($B253="",$C253="",$D253=""),"",IF(NOT(ISNUMBER($B253)),"Enter a valid date",IF($C253="","Pick ingredient",IF($G253="?","Not in Inventory",IF($G253="","Set stock unit in Inventory",IF(N($D253)&lt;=0,"Enter quantity",IF($E253="","Pick unit",IF(IFERROR(INDEX('Lists'!$C$6:$C$30,MATCH($E253,'Lists'!$B$6:$B$30,0)),"?")&lt;&gt;IFERROR(INDEX('Lists'!$C$6:$C$30,MATCH($G253,'Lists'!$B$6:$B$30,0)),"?"),"Unit mismatch",IF(ISNUMBER(INDEX('Inventory'!$G$7:$G$106,MATCH($C253,'Inventory'!$B$7:$B$106,0))),"OK","Add price in Inventory")))))))))</f>
        <v/>
      </c>
      <c r="I253" s="88">
        <f>IF($H253&lt;&gt;"OK","",$D253*INDEX('Lists'!$D$6:$D$30,MATCH($E253,'Lists'!$B$6:$B$30,0))/INDEX('Lists'!$D$6:$D$30,MATCH($G253,'Lists'!$B$6:$B$30,0)))</f>
        <v/>
      </c>
      <c r="J253" s="71">
        <f>IF($H253&lt;&gt;"OK","",$I253*INDEX('Inventory'!$G$7:$G$106,MATCH($C253,'Inventory'!$B$7:$B$106,0)))</f>
        <v/>
      </c>
    </row>
    <row r="254" ht="17" customHeight="1">
      <c r="B254" s="66" t="n"/>
      <c r="C254" s="60" t="n"/>
      <c r="D254" s="86" t="n"/>
      <c r="E254" s="60" t="n"/>
      <c r="F254" s="60" t="n"/>
      <c r="G254" s="13">
        <f>IF($C254="","",IFERROR(INDEX('Inventory'!$D$7:$D$106,MATCH($C254,'Inventory'!$B$7:$B$106,0))&amp;"","?"))</f>
        <v/>
      </c>
      <c r="H254" s="80">
        <f>IF(AND($B254="",$C254="",$D254=""),"",IF(NOT(ISNUMBER($B254)),"Enter a valid date",IF($C254="","Pick ingredient",IF($G254="?","Not in Inventory",IF($G254="","Set stock unit in Inventory",IF(N($D254)&lt;=0,"Enter quantity",IF($E254="","Pick unit",IF(IFERROR(INDEX('Lists'!$C$6:$C$30,MATCH($E254,'Lists'!$B$6:$B$30,0)),"?")&lt;&gt;IFERROR(INDEX('Lists'!$C$6:$C$30,MATCH($G254,'Lists'!$B$6:$B$30,0)),"?"),"Unit mismatch",IF(ISNUMBER(INDEX('Inventory'!$G$7:$G$106,MATCH($C254,'Inventory'!$B$7:$B$106,0))),"OK","Add price in Inventory")))))))))</f>
        <v/>
      </c>
      <c r="I254" s="88">
        <f>IF($H254&lt;&gt;"OK","",$D254*INDEX('Lists'!$D$6:$D$30,MATCH($E254,'Lists'!$B$6:$B$30,0))/INDEX('Lists'!$D$6:$D$30,MATCH($G254,'Lists'!$B$6:$B$30,0)))</f>
        <v/>
      </c>
      <c r="J254" s="71">
        <f>IF($H254&lt;&gt;"OK","",$I254*INDEX('Inventory'!$G$7:$G$106,MATCH($C254,'Inventory'!$B$7:$B$106,0)))</f>
        <v/>
      </c>
    </row>
    <row r="255" ht="17" customHeight="1">
      <c r="B255" s="66" t="n"/>
      <c r="C255" s="60" t="n"/>
      <c r="D255" s="86" t="n"/>
      <c r="E255" s="60" t="n"/>
      <c r="F255" s="60" t="n"/>
      <c r="G255" s="13">
        <f>IF($C255="","",IFERROR(INDEX('Inventory'!$D$7:$D$106,MATCH($C255,'Inventory'!$B$7:$B$106,0))&amp;"","?"))</f>
        <v/>
      </c>
      <c r="H255" s="80">
        <f>IF(AND($B255="",$C255="",$D255=""),"",IF(NOT(ISNUMBER($B255)),"Enter a valid date",IF($C255="","Pick ingredient",IF($G255="?","Not in Inventory",IF($G255="","Set stock unit in Inventory",IF(N($D255)&lt;=0,"Enter quantity",IF($E255="","Pick unit",IF(IFERROR(INDEX('Lists'!$C$6:$C$30,MATCH($E255,'Lists'!$B$6:$B$30,0)),"?")&lt;&gt;IFERROR(INDEX('Lists'!$C$6:$C$30,MATCH($G255,'Lists'!$B$6:$B$30,0)),"?"),"Unit mismatch",IF(ISNUMBER(INDEX('Inventory'!$G$7:$G$106,MATCH($C255,'Inventory'!$B$7:$B$106,0))),"OK","Add price in Inventory")))))))))</f>
        <v/>
      </c>
      <c r="I255" s="88">
        <f>IF($H255&lt;&gt;"OK","",$D255*INDEX('Lists'!$D$6:$D$30,MATCH($E255,'Lists'!$B$6:$B$30,0))/INDEX('Lists'!$D$6:$D$30,MATCH($G255,'Lists'!$B$6:$B$30,0)))</f>
        <v/>
      </c>
      <c r="J255" s="71">
        <f>IF($H255&lt;&gt;"OK","",$I255*INDEX('Inventory'!$G$7:$G$106,MATCH($C255,'Inventory'!$B$7:$B$106,0)))</f>
        <v/>
      </c>
    </row>
    <row r="256" ht="17" customHeight="1">
      <c r="B256" s="66" t="n"/>
      <c r="C256" s="60" t="n"/>
      <c r="D256" s="86" t="n"/>
      <c r="E256" s="60" t="n"/>
      <c r="F256" s="60" t="n"/>
      <c r="G256" s="13">
        <f>IF($C256="","",IFERROR(INDEX('Inventory'!$D$7:$D$106,MATCH($C256,'Inventory'!$B$7:$B$106,0))&amp;"","?"))</f>
        <v/>
      </c>
      <c r="H256" s="80">
        <f>IF(AND($B256="",$C256="",$D256=""),"",IF(NOT(ISNUMBER($B256)),"Enter a valid date",IF($C256="","Pick ingredient",IF($G256="?","Not in Inventory",IF($G256="","Set stock unit in Inventory",IF(N($D256)&lt;=0,"Enter quantity",IF($E256="","Pick unit",IF(IFERROR(INDEX('Lists'!$C$6:$C$30,MATCH($E256,'Lists'!$B$6:$B$30,0)),"?")&lt;&gt;IFERROR(INDEX('Lists'!$C$6:$C$30,MATCH($G256,'Lists'!$B$6:$B$30,0)),"?"),"Unit mismatch",IF(ISNUMBER(INDEX('Inventory'!$G$7:$G$106,MATCH($C256,'Inventory'!$B$7:$B$106,0))),"OK","Add price in Inventory")))))))))</f>
        <v/>
      </c>
      <c r="I256" s="88">
        <f>IF($H256&lt;&gt;"OK","",$D256*INDEX('Lists'!$D$6:$D$30,MATCH($E256,'Lists'!$B$6:$B$30,0))/INDEX('Lists'!$D$6:$D$30,MATCH($G256,'Lists'!$B$6:$B$30,0)))</f>
        <v/>
      </c>
      <c r="J256" s="71">
        <f>IF($H256&lt;&gt;"OK","",$I256*INDEX('Inventory'!$G$7:$G$106,MATCH($C256,'Inventory'!$B$7:$B$106,0)))</f>
        <v/>
      </c>
    </row>
    <row r="257" ht="17" customHeight="1">
      <c r="B257" s="66" t="n"/>
      <c r="C257" s="60" t="n"/>
      <c r="D257" s="86" t="n"/>
      <c r="E257" s="60" t="n"/>
      <c r="F257" s="60" t="n"/>
      <c r="G257" s="13">
        <f>IF($C257="","",IFERROR(INDEX('Inventory'!$D$7:$D$106,MATCH($C257,'Inventory'!$B$7:$B$106,0))&amp;"","?"))</f>
        <v/>
      </c>
      <c r="H257" s="80">
        <f>IF(AND($B257="",$C257="",$D257=""),"",IF(NOT(ISNUMBER($B257)),"Enter a valid date",IF($C257="","Pick ingredient",IF($G257="?","Not in Inventory",IF($G257="","Set stock unit in Inventory",IF(N($D257)&lt;=0,"Enter quantity",IF($E257="","Pick unit",IF(IFERROR(INDEX('Lists'!$C$6:$C$30,MATCH($E257,'Lists'!$B$6:$B$30,0)),"?")&lt;&gt;IFERROR(INDEX('Lists'!$C$6:$C$30,MATCH($G257,'Lists'!$B$6:$B$30,0)),"?"),"Unit mismatch",IF(ISNUMBER(INDEX('Inventory'!$G$7:$G$106,MATCH($C257,'Inventory'!$B$7:$B$106,0))),"OK","Add price in Inventory")))))))))</f>
        <v/>
      </c>
      <c r="I257" s="88">
        <f>IF($H257&lt;&gt;"OK","",$D257*INDEX('Lists'!$D$6:$D$30,MATCH($E257,'Lists'!$B$6:$B$30,0))/INDEX('Lists'!$D$6:$D$30,MATCH($G257,'Lists'!$B$6:$B$30,0)))</f>
        <v/>
      </c>
      <c r="J257" s="71">
        <f>IF($H257&lt;&gt;"OK","",$I257*INDEX('Inventory'!$G$7:$G$106,MATCH($C257,'Inventory'!$B$7:$B$106,0)))</f>
        <v/>
      </c>
    </row>
    <row r="258" ht="17" customHeight="1">
      <c r="B258" s="66" t="n"/>
      <c r="C258" s="60" t="n"/>
      <c r="D258" s="86" t="n"/>
      <c r="E258" s="60" t="n"/>
      <c r="F258" s="60" t="n"/>
      <c r="G258" s="13">
        <f>IF($C258="","",IFERROR(INDEX('Inventory'!$D$7:$D$106,MATCH($C258,'Inventory'!$B$7:$B$106,0))&amp;"","?"))</f>
        <v/>
      </c>
      <c r="H258" s="80">
        <f>IF(AND($B258="",$C258="",$D258=""),"",IF(NOT(ISNUMBER($B258)),"Enter a valid date",IF($C258="","Pick ingredient",IF($G258="?","Not in Inventory",IF($G258="","Set stock unit in Inventory",IF(N($D258)&lt;=0,"Enter quantity",IF($E258="","Pick unit",IF(IFERROR(INDEX('Lists'!$C$6:$C$30,MATCH($E258,'Lists'!$B$6:$B$30,0)),"?")&lt;&gt;IFERROR(INDEX('Lists'!$C$6:$C$30,MATCH($G258,'Lists'!$B$6:$B$30,0)),"?"),"Unit mismatch",IF(ISNUMBER(INDEX('Inventory'!$G$7:$G$106,MATCH($C258,'Inventory'!$B$7:$B$106,0))),"OK","Add price in Inventory")))))))))</f>
        <v/>
      </c>
      <c r="I258" s="88">
        <f>IF($H258&lt;&gt;"OK","",$D258*INDEX('Lists'!$D$6:$D$30,MATCH($E258,'Lists'!$B$6:$B$30,0))/INDEX('Lists'!$D$6:$D$30,MATCH($G258,'Lists'!$B$6:$B$30,0)))</f>
        <v/>
      </c>
      <c r="J258" s="71">
        <f>IF($H258&lt;&gt;"OK","",$I258*INDEX('Inventory'!$G$7:$G$106,MATCH($C258,'Inventory'!$B$7:$B$106,0)))</f>
        <v/>
      </c>
    </row>
    <row r="259" ht="17" customHeight="1">
      <c r="B259" s="66" t="n"/>
      <c r="C259" s="60" t="n"/>
      <c r="D259" s="86" t="n"/>
      <c r="E259" s="60" t="n"/>
      <c r="F259" s="60" t="n"/>
      <c r="G259" s="13">
        <f>IF($C259="","",IFERROR(INDEX('Inventory'!$D$7:$D$106,MATCH($C259,'Inventory'!$B$7:$B$106,0))&amp;"","?"))</f>
        <v/>
      </c>
      <c r="H259" s="80">
        <f>IF(AND($B259="",$C259="",$D259=""),"",IF(NOT(ISNUMBER($B259)),"Enter a valid date",IF($C259="","Pick ingredient",IF($G259="?","Not in Inventory",IF($G259="","Set stock unit in Inventory",IF(N($D259)&lt;=0,"Enter quantity",IF($E259="","Pick unit",IF(IFERROR(INDEX('Lists'!$C$6:$C$30,MATCH($E259,'Lists'!$B$6:$B$30,0)),"?")&lt;&gt;IFERROR(INDEX('Lists'!$C$6:$C$30,MATCH($G259,'Lists'!$B$6:$B$30,0)),"?"),"Unit mismatch",IF(ISNUMBER(INDEX('Inventory'!$G$7:$G$106,MATCH($C259,'Inventory'!$B$7:$B$106,0))),"OK","Add price in Inventory")))))))))</f>
        <v/>
      </c>
      <c r="I259" s="88">
        <f>IF($H259&lt;&gt;"OK","",$D259*INDEX('Lists'!$D$6:$D$30,MATCH($E259,'Lists'!$B$6:$B$30,0))/INDEX('Lists'!$D$6:$D$30,MATCH($G259,'Lists'!$B$6:$B$30,0)))</f>
        <v/>
      </c>
      <c r="J259" s="71">
        <f>IF($H259&lt;&gt;"OK","",$I259*INDEX('Inventory'!$G$7:$G$106,MATCH($C259,'Inventory'!$B$7:$B$106,0)))</f>
        <v/>
      </c>
    </row>
    <row r="260" ht="17" customHeight="1">
      <c r="B260" s="66" t="n"/>
      <c r="C260" s="60" t="n"/>
      <c r="D260" s="86" t="n"/>
      <c r="E260" s="60" t="n"/>
      <c r="F260" s="60" t="n"/>
      <c r="G260" s="13">
        <f>IF($C260="","",IFERROR(INDEX('Inventory'!$D$7:$D$106,MATCH($C260,'Inventory'!$B$7:$B$106,0))&amp;"","?"))</f>
        <v/>
      </c>
      <c r="H260" s="80">
        <f>IF(AND($B260="",$C260="",$D260=""),"",IF(NOT(ISNUMBER($B260)),"Enter a valid date",IF($C260="","Pick ingredient",IF($G260="?","Not in Inventory",IF($G260="","Set stock unit in Inventory",IF(N($D260)&lt;=0,"Enter quantity",IF($E260="","Pick unit",IF(IFERROR(INDEX('Lists'!$C$6:$C$30,MATCH($E260,'Lists'!$B$6:$B$30,0)),"?")&lt;&gt;IFERROR(INDEX('Lists'!$C$6:$C$30,MATCH($G260,'Lists'!$B$6:$B$30,0)),"?"),"Unit mismatch",IF(ISNUMBER(INDEX('Inventory'!$G$7:$G$106,MATCH($C260,'Inventory'!$B$7:$B$106,0))),"OK","Add price in Inventory")))))))))</f>
        <v/>
      </c>
      <c r="I260" s="88">
        <f>IF($H260&lt;&gt;"OK","",$D260*INDEX('Lists'!$D$6:$D$30,MATCH($E260,'Lists'!$B$6:$B$30,0))/INDEX('Lists'!$D$6:$D$30,MATCH($G260,'Lists'!$B$6:$B$30,0)))</f>
        <v/>
      </c>
      <c r="J260" s="71">
        <f>IF($H260&lt;&gt;"OK","",$I260*INDEX('Inventory'!$G$7:$G$106,MATCH($C260,'Inventory'!$B$7:$B$106,0)))</f>
        <v/>
      </c>
    </row>
    <row r="261" ht="17" customHeight="1">
      <c r="B261" s="66" t="n"/>
      <c r="C261" s="60" t="n"/>
      <c r="D261" s="86" t="n"/>
      <c r="E261" s="60" t="n"/>
      <c r="F261" s="60" t="n"/>
      <c r="G261" s="13">
        <f>IF($C261="","",IFERROR(INDEX('Inventory'!$D$7:$D$106,MATCH($C261,'Inventory'!$B$7:$B$106,0))&amp;"","?"))</f>
        <v/>
      </c>
      <c r="H261" s="80">
        <f>IF(AND($B261="",$C261="",$D261=""),"",IF(NOT(ISNUMBER($B261)),"Enter a valid date",IF($C261="","Pick ingredient",IF($G261="?","Not in Inventory",IF($G261="","Set stock unit in Inventory",IF(N($D261)&lt;=0,"Enter quantity",IF($E261="","Pick unit",IF(IFERROR(INDEX('Lists'!$C$6:$C$30,MATCH($E261,'Lists'!$B$6:$B$30,0)),"?")&lt;&gt;IFERROR(INDEX('Lists'!$C$6:$C$30,MATCH($G261,'Lists'!$B$6:$B$30,0)),"?"),"Unit mismatch",IF(ISNUMBER(INDEX('Inventory'!$G$7:$G$106,MATCH($C261,'Inventory'!$B$7:$B$106,0))),"OK","Add price in Inventory")))))))))</f>
        <v/>
      </c>
      <c r="I261" s="88">
        <f>IF($H261&lt;&gt;"OK","",$D261*INDEX('Lists'!$D$6:$D$30,MATCH($E261,'Lists'!$B$6:$B$30,0))/INDEX('Lists'!$D$6:$D$30,MATCH($G261,'Lists'!$B$6:$B$30,0)))</f>
        <v/>
      </c>
      <c r="J261" s="71">
        <f>IF($H261&lt;&gt;"OK","",$I261*INDEX('Inventory'!$G$7:$G$106,MATCH($C261,'Inventory'!$B$7:$B$106,0)))</f>
        <v/>
      </c>
    </row>
    <row r="262" ht="17" customHeight="1">
      <c r="B262" s="66" t="n"/>
      <c r="C262" s="60" t="n"/>
      <c r="D262" s="86" t="n"/>
      <c r="E262" s="60" t="n"/>
      <c r="F262" s="60" t="n"/>
      <c r="G262" s="13">
        <f>IF($C262="","",IFERROR(INDEX('Inventory'!$D$7:$D$106,MATCH($C262,'Inventory'!$B$7:$B$106,0))&amp;"","?"))</f>
        <v/>
      </c>
      <c r="H262" s="80">
        <f>IF(AND($B262="",$C262="",$D262=""),"",IF(NOT(ISNUMBER($B262)),"Enter a valid date",IF($C262="","Pick ingredient",IF($G262="?","Not in Inventory",IF($G262="","Set stock unit in Inventory",IF(N($D262)&lt;=0,"Enter quantity",IF($E262="","Pick unit",IF(IFERROR(INDEX('Lists'!$C$6:$C$30,MATCH($E262,'Lists'!$B$6:$B$30,0)),"?")&lt;&gt;IFERROR(INDEX('Lists'!$C$6:$C$30,MATCH($G262,'Lists'!$B$6:$B$30,0)),"?"),"Unit mismatch",IF(ISNUMBER(INDEX('Inventory'!$G$7:$G$106,MATCH($C262,'Inventory'!$B$7:$B$106,0))),"OK","Add price in Inventory")))))))))</f>
        <v/>
      </c>
      <c r="I262" s="88">
        <f>IF($H262&lt;&gt;"OK","",$D262*INDEX('Lists'!$D$6:$D$30,MATCH($E262,'Lists'!$B$6:$B$30,0))/INDEX('Lists'!$D$6:$D$30,MATCH($G262,'Lists'!$B$6:$B$30,0)))</f>
        <v/>
      </c>
      <c r="J262" s="71">
        <f>IF($H262&lt;&gt;"OK","",$I262*INDEX('Inventory'!$G$7:$G$106,MATCH($C262,'Inventory'!$B$7:$B$106,0)))</f>
        <v/>
      </c>
    </row>
    <row r="263" ht="17" customHeight="1">
      <c r="B263" s="66" t="n"/>
      <c r="C263" s="60" t="n"/>
      <c r="D263" s="86" t="n"/>
      <c r="E263" s="60" t="n"/>
      <c r="F263" s="60" t="n"/>
      <c r="G263" s="13">
        <f>IF($C263="","",IFERROR(INDEX('Inventory'!$D$7:$D$106,MATCH($C263,'Inventory'!$B$7:$B$106,0))&amp;"","?"))</f>
        <v/>
      </c>
      <c r="H263" s="80">
        <f>IF(AND($B263="",$C263="",$D263=""),"",IF(NOT(ISNUMBER($B263)),"Enter a valid date",IF($C263="","Pick ingredient",IF($G263="?","Not in Inventory",IF($G263="","Set stock unit in Inventory",IF(N($D263)&lt;=0,"Enter quantity",IF($E263="","Pick unit",IF(IFERROR(INDEX('Lists'!$C$6:$C$30,MATCH($E263,'Lists'!$B$6:$B$30,0)),"?")&lt;&gt;IFERROR(INDEX('Lists'!$C$6:$C$30,MATCH($G263,'Lists'!$B$6:$B$30,0)),"?"),"Unit mismatch",IF(ISNUMBER(INDEX('Inventory'!$G$7:$G$106,MATCH($C263,'Inventory'!$B$7:$B$106,0))),"OK","Add price in Inventory")))))))))</f>
        <v/>
      </c>
      <c r="I263" s="88">
        <f>IF($H263&lt;&gt;"OK","",$D263*INDEX('Lists'!$D$6:$D$30,MATCH($E263,'Lists'!$B$6:$B$30,0))/INDEX('Lists'!$D$6:$D$30,MATCH($G263,'Lists'!$B$6:$B$30,0)))</f>
        <v/>
      </c>
      <c r="J263" s="71">
        <f>IF($H263&lt;&gt;"OK","",$I263*INDEX('Inventory'!$G$7:$G$106,MATCH($C263,'Inventory'!$B$7:$B$106,0)))</f>
        <v/>
      </c>
    </row>
    <row r="264" ht="17" customHeight="1">
      <c r="B264" s="66" t="n"/>
      <c r="C264" s="60" t="n"/>
      <c r="D264" s="86" t="n"/>
      <c r="E264" s="60" t="n"/>
      <c r="F264" s="60" t="n"/>
      <c r="G264" s="13">
        <f>IF($C264="","",IFERROR(INDEX('Inventory'!$D$7:$D$106,MATCH($C264,'Inventory'!$B$7:$B$106,0))&amp;"","?"))</f>
        <v/>
      </c>
      <c r="H264" s="80">
        <f>IF(AND($B264="",$C264="",$D264=""),"",IF(NOT(ISNUMBER($B264)),"Enter a valid date",IF($C264="","Pick ingredient",IF($G264="?","Not in Inventory",IF($G264="","Set stock unit in Inventory",IF(N($D264)&lt;=0,"Enter quantity",IF($E264="","Pick unit",IF(IFERROR(INDEX('Lists'!$C$6:$C$30,MATCH($E264,'Lists'!$B$6:$B$30,0)),"?")&lt;&gt;IFERROR(INDEX('Lists'!$C$6:$C$30,MATCH($G264,'Lists'!$B$6:$B$30,0)),"?"),"Unit mismatch",IF(ISNUMBER(INDEX('Inventory'!$G$7:$G$106,MATCH($C264,'Inventory'!$B$7:$B$106,0))),"OK","Add price in Inventory")))))))))</f>
        <v/>
      </c>
      <c r="I264" s="88">
        <f>IF($H264&lt;&gt;"OK","",$D264*INDEX('Lists'!$D$6:$D$30,MATCH($E264,'Lists'!$B$6:$B$30,0))/INDEX('Lists'!$D$6:$D$30,MATCH($G264,'Lists'!$B$6:$B$30,0)))</f>
        <v/>
      </c>
      <c r="J264" s="71">
        <f>IF($H264&lt;&gt;"OK","",$I264*INDEX('Inventory'!$G$7:$G$106,MATCH($C264,'Inventory'!$B$7:$B$106,0)))</f>
        <v/>
      </c>
    </row>
    <row r="265" ht="17" customHeight="1">
      <c r="B265" s="66" t="n"/>
      <c r="C265" s="60" t="n"/>
      <c r="D265" s="86" t="n"/>
      <c r="E265" s="60" t="n"/>
      <c r="F265" s="60" t="n"/>
      <c r="G265" s="13">
        <f>IF($C265="","",IFERROR(INDEX('Inventory'!$D$7:$D$106,MATCH($C265,'Inventory'!$B$7:$B$106,0))&amp;"","?"))</f>
        <v/>
      </c>
      <c r="H265" s="80">
        <f>IF(AND($B265="",$C265="",$D265=""),"",IF(NOT(ISNUMBER($B265)),"Enter a valid date",IF($C265="","Pick ingredient",IF($G265="?","Not in Inventory",IF($G265="","Set stock unit in Inventory",IF(N($D265)&lt;=0,"Enter quantity",IF($E265="","Pick unit",IF(IFERROR(INDEX('Lists'!$C$6:$C$30,MATCH($E265,'Lists'!$B$6:$B$30,0)),"?")&lt;&gt;IFERROR(INDEX('Lists'!$C$6:$C$30,MATCH($G265,'Lists'!$B$6:$B$30,0)),"?"),"Unit mismatch",IF(ISNUMBER(INDEX('Inventory'!$G$7:$G$106,MATCH($C265,'Inventory'!$B$7:$B$106,0))),"OK","Add price in Inventory")))))))))</f>
        <v/>
      </c>
      <c r="I265" s="88">
        <f>IF($H265&lt;&gt;"OK","",$D265*INDEX('Lists'!$D$6:$D$30,MATCH($E265,'Lists'!$B$6:$B$30,0))/INDEX('Lists'!$D$6:$D$30,MATCH($G265,'Lists'!$B$6:$B$30,0)))</f>
        <v/>
      </c>
      <c r="J265" s="71">
        <f>IF($H265&lt;&gt;"OK","",$I265*INDEX('Inventory'!$G$7:$G$106,MATCH($C265,'Inventory'!$B$7:$B$106,0)))</f>
        <v/>
      </c>
    </row>
    <row r="266" ht="17" customHeight="1">
      <c r="B266" s="66" t="n"/>
      <c r="C266" s="60" t="n"/>
      <c r="D266" s="86" t="n"/>
      <c r="E266" s="60" t="n"/>
      <c r="F266" s="60" t="n"/>
      <c r="G266" s="13">
        <f>IF($C266="","",IFERROR(INDEX('Inventory'!$D$7:$D$106,MATCH($C266,'Inventory'!$B$7:$B$106,0))&amp;"","?"))</f>
        <v/>
      </c>
      <c r="H266" s="80">
        <f>IF(AND($B266="",$C266="",$D266=""),"",IF(NOT(ISNUMBER($B266)),"Enter a valid date",IF($C266="","Pick ingredient",IF($G266="?","Not in Inventory",IF($G266="","Set stock unit in Inventory",IF(N($D266)&lt;=0,"Enter quantity",IF($E266="","Pick unit",IF(IFERROR(INDEX('Lists'!$C$6:$C$30,MATCH($E266,'Lists'!$B$6:$B$30,0)),"?")&lt;&gt;IFERROR(INDEX('Lists'!$C$6:$C$30,MATCH($G266,'Lists'!$B$6:$B$30,0)),"?"),"Unit mismatch",IF(ISNUMBER(INDEX('Inventory'!$G$7:$G$106,MATCH($C266,'Inventory'!$B$7:$B$106,0))),"OK","Add price in Inventory")))))))))</f>
        <v/>
      </c>
      <c r="I266" s="88">
        <f>IF($H266&lt;&gt;"OK","",$D266*INDEX('Lists'!$D$6:$D$30,MATCH($E266,'Lists'!$B$6:$B$30,0))/INDEX('Lists'!$D$6:$D$30,MATCH($G266,'Lists'!$B$6:$B$30,0)))</f>
        <v/>
      </c>
      <c r="J266" s="71">
        <f>IF($H266&lt;&gt;"OK","",$I266*INDEX('Inventory'!$G$7:$G$106,MATCH($C266,'Inventory'!$B$7:$B$106,0)))</f>
        <v/>
      </c>
    </row>
    <row r="267" ht="17" customHeight="1">
      <c r="B267" s="66" t="n"/>
      <c r="C267" s="60" t="n"/>
      <c r="D267" s="86" t="n"/>
      <c r="E267" s="60" t="n"/>
      <c r="F267" s="60" t="n"/>
      <c r="G267" s="13">
        <f>IF($C267="","",IFERROR(INDEX('Inventory'!$D$7:$D$106,MATCH($C267,'Inventory'!$B$7:$B$106,0))&amp;"","?"))</f>
        <v/>
      </c>
      <c r="H267" s="80">
        <f>IF(AND($B267="",$C267="",$D267=""),"",IF(NOT(ISNUMBER($B267)),"Enter a valid date",IF($C267="","Pick ingredient",IF($G267="?","Not in Inventory",IF($G267="","Set stock unit in Inventory",IF(N($D267)&lt;=0,"Enter quantity",IF($E267="","Pick unit",IF(IFERROR(INDEX('Lists'!$C$6:$C$30,MATCH($E267,'Lists'!$B$6:$B$30,0)),"?")&lt;&gt;IFERROR(INDEX('Lists'!$C$6:$C$30,MATCH($G267,'Lists'!$B$6:$B$30,0)),"?"),"Unit mismatch",IF(ISNUMBER(INDEX('Inventory'!$G$7:$G$106,MATCH($C267,'Inventory'!$B$7:$B$106,0))),"OK","Add price in Inventory")))))))))</f>
        <v/>
      </c>
      <c r="I267" s="88">
        <f>IF($H267&lt;&gt;"OK","",$D267*INDEX('Lists'!$D$6:$D$30,MATCH($E267,'Lists'!$B$6:$B$30,0))/INDEX('Lists'!$D$6:$D$30,MATCH($G267,'Lists'!$B$6:$B$30,0)))</f>
        <v/>
      </c>
      <c r="J267" s="71">
        <f>IF($H267&lt;&gt;"OK","",$I267*INDEX('Inventory'!$G$7:$G$106,MATCH($C267,'Inventory'!$B$7:$B$106,0)))</f>
        <v/>
      </c>
    </row>
    <row r="268" ht="17" customHeight="1">
      <c r="B268" s="66" t="n"/>
      <c r="C268" s="60" t="n"/>
      <c r="D268" s="86" t="n"/>
      <c r="E268" s="60" t="n"/>
      <c r="F268" s="60" t="n"/>
      <c r="G268" s="13">
        <f>IF($C268="","",IFERROR(INDEX('Inventory'!$D$7:$D$106,MATCH($C268,'Inventory'!$B$7:$B$106,0))&amp;"","?"))</f>
        <v/>
      </c>
      <c r="H268" s="80">
        <f>IF(AND($B268="",$C268="",$D268=""),"",IF(NOT(ISNUMBER($B268)),"Enter a valid date",IF($C268="","Pick ingredient",IF($G268="?","Not in Inventory",IF($G268="","Set stock unit in Inventory",IF(N($D268)&lt;=0,"Enter quantity",IF($E268="","Pick unit",IF(IFERROR(INDEX('Lists'!$C$6:$C$30,MATCH($E268,'Lists'!$B$6:$B$30,0)),"?")&lt;&gt;IFERROR(INDEX('Lists'!$C$6:$C$30,MATCH($G268,'Lists'!$B$6:$B$30,0)),"?"),"Unit mismatch",IF(ISNUMBER(INDEX('Inventory'!$G$7:$G$106,MATCH($C268,'Inventory'!$B$7:$B$106,0))),"OK","Add price in Inventory")))))))))</f>
        <v/>
      </c>
      <c r="I268" s="88">
        <f>IF($H268&lt;&gt;"OK","",$D268*INDEX('Lists'!$D$6:$D$30,MATCH($E268,'Lists'!$B$6:$B$30,0))/INDEX('Lists'!$D$6:$D$30,MATCH($G268,'Lists'!$B$6:$B$30,0)))</f>
        <v/>
      </c>
      <c r="J268" s="71">
        <f>IF($H268&lt;&gt;"OK","",$I268*INDEX('Inventory'!$G$7:$G$106,MATCH($C268,'Inventory'!$B$7:$B$106,0)))</f>
        <v/>
      </c>
    </row>
    <row r="269" ht="17" customHeight="1">
      <c r="B269" s="66" t="n"/>
      <c r="C269" s="60" t="n"/>
      <c r="D269" s="86" t="n"/>
      <c r="E269" s="60" t="n"/>
      <c r="F269" s="60" t="n"/>
      <c r="G269" s="13">
        <f>IF($C269="","",IFERROR(INDEX('Inventory'!$D$7:$D$106,MATCH($C269,'Inventory'!$B$7:$B$106,0))&amp;"","?"))</f>
        <v/>
      </c>
      <c r="H269" s="80">
        <f>IF(AND($B269="",$C269="",$D269=""),"",IF(NOT(ISNUMBER($B269)),"Enter a valid date",IF($C269="","Pick ingredient",IF($G269="?","Not in Inventory",IF($G269="","Set stock unit in Inventory",IF(N($D269)&lt;=0,"Enter quantity",IF($E269="","Pick unit",IF(IFERROR(INDEX('Lists'!$C$6:$C$30,MATCH($E269,'Lists'!$B$6:$B$30,0)),"?")&lt;&gt;IFERROR(INDEX('Lists'!$C$6:$C$30,MATCH($G269,'Lists'!$B$6:$B$30,0)),"?"),"Unit mismatch",IF(ISNUMBER(INDEX('Inventory'!$G$7:$G$106,MATCH($C269,'Inventory'!$B$7:$B$106,0))),"OK","Add price in Inventory")))))))))</f>
        <v/>
      </c>
      <c r="I269" s="88">
        <f>IF($H269&lt;&gt;"OK","",$D269*INDEX('Lists'!$D$6:$D$30,MATCH($E269,'Lists'!$B$6:$B$30,0))/INDEX('Lists'!$D$6:$D$30,MATCH($G269,'Lists'!$B$6:$B$30,0)))</f>
        <v/>
      </c>
      <c r="J269" s="71">
        <f>IF($H269&lt;&gt;"OK","",$I269*INDEX('Inventory'!$G$7:$G$106,MATCH($C269,'Inventory'!$B$7:$B$106,0)))</f>
        <v/>
      </c>
    </row>
    <row r="270" ht="17" customHeight="1">
      <c r="B270" s="66" t="n"/>
      <c r="C270" s="60" t="n"/>
      <c r="D270" s="86" t="n"/>
      <c r="E270" s="60" t="n"/>
      <c r="F270" s="60" t="n"/>
      <c r="G270" s="13">
        <f>IF($C270="","",IFERROR(INDEX('Inventory'!$D$7:$D$106,MATCH($C270,'Inventory'!$B$7:$B$106,0))&amp;"","?"))</f>
        <v/>
      </c>
      <c r="H270" s="80">
        <f>IF(AND($B270="",$C270="",$D270=""),"",IF(NOT(ISNUMBER($B270)),"Enter a valid date",IF($C270="","Pick ingredient",IF($G270="?","Not in Inventory",IF($G270="","Set stock unit in Inventory",IF(N($D270)&lt;=0,"Enter quantity",IF($E270="","Pick unit",IF(IFERROR(INDEX('Lists'!$C$6:$C$30,MATCH($E270,'Lists'!$B$6:$B$30,0)),"?")&lt;&gt;IFERROR(INDEX('Lists'!$C$6:$C$30,MATCH($G270,'Lists'!$B$6:$B$30,0)),"?"),"Unit mismatch",IF(ISNUMBER(INDEX('Inventory'!$G$7:$G$106,MATCH($C270,'Inventory'!$B$7:$B$106,0))),"OK","Add price in Inventory")))))))))</f>
        <v/>
      </c>
      <c r="I270" s="88">
        <f>IF($H270&lt;&gt;"OK","",$D270*INDEX('Lists'!$D$6:$D$30,MATCH($E270,'Lists'!$B$6:$B$30,0))/INDEX('Lists'!$D$6:$D$30,MATCH($G270,'Lists'!$B$6:$B$30,0)))</f>
        <v/>
      </c>
      <c r="J270" s="71">
        <f>IF($H270&lt;&gt;"OK","",$I270*INDEX('Inventory'!$G$7:$G$106,MATCH($C270,'Inventory'!$B$7:$B$106,0)))</f>
        <v/>
      </c>
    </row>
    <row r="271" ht="17" customHeight="1">
      <c r="B271" s="66" t="n"/>
      <c r="C271" s="60" t="n"/>
      <c r="D271" s="86" t="n"/>
      <c r="E271" s="60" t="n"/>
      <c r="F271" s="60" t="n"/>
      <c r="G271" s="13">
        <f>IF($C271="","",IFERROR(INDEX('Inventory'!$D$7:$D$106,MATCH($C271,'Inventory'!$B$7:$B$106,0))&amp;"","?"))</f>
        <v/>
      </c>
      <c r="H271" s="80">
        <f>IF(AND($B271="",$C271="",$D271=""),"",IF(NOT(ISNUMBER($B271)),"Enter a valid date",IF($C271="","Pick ingredient",IF($G271="?","Not in Inventory",IF($G271="","Set stock unit in Inventory",IF(N($D271)&lt;=0,"Enter quantity",IF($E271="","Pick unit",IF(IFERROR(INDEX('Lists'!$C$6:$C$30,MATCH($E271,'Lists'!$B$6:$B$30,0)),"?")&lt;&gt;IFERROR(INDEX('Lists'!$C$6:$C$30,MATCH($G271,'Lists'!$B$6:$B$30,0)),"?"),"Unit mismatch",IF(ISNUMBER(INDEX('Inventory'!$G$7:$G$106,MATCH($C271,'Inventory'!$B$7:$B$106,0))),"OK","Add price in Inventory")))))))))</f>
        <v/>
      </c>
      <c r="I271" s="88">
        <f>IF($H271&lt;&gt;"OK","",$D271*INDEX('Lists'!$D$6:$D$30,MATCH($E271,'Lists'!$B$6:$B$30,0))/INDEX('Lists'!$D$6:$D$30,MATCH($G271,'Lists'!$B$6:$B$30,0)))</f>
        <v/>
      </c>
      <c r="J271" s="71">
        <f>IF($H271&lt;&gt;"OK","",$I271*INDEX('Inventory'!$G$7:$G$106,MATCH($C271,'Inventory'!$B$7:$B$106,0)))</f>
        <v/>
      </c>
    </row>
    <row r="272" ht="17" customHeight="1">
      <c r="B272" s="66" t="n"/>
      <c r="C272" s="60" t="n"/>
      <c r="D272" s="86" t="n"/>
      <c r="E272" s="60" t="n"/>
      <c r="F272" s="60" t="n"/>
      <c r="G272" s="13">
        <f>IF($C272="","",IFERROR(INDEX('Inventory'!$D$7:$D$106,MATCH($C272,'Inventory'!$B$7:$B$106,0))&amp;"","?"))</f>
        <v/>
      </c>
      <c r="H272" s="80">
        <f>IF(AND($B272="",$C272="",$D272=""),"",IF(NOT(ISNUMBER($B272)),"Enter a valid date",IF($C272="","Pick ingredient",IF($G272="?","Not in Inventory",IF($G272="","Set stock unit in Inventory",IF(N($D272)&lt;=0,"Enter quantity",IF($E272="","Pick unit",IF(IFERROR(INDEX('Lists'!$C$6:$C$30,MATCH($E272,'Lists'!$B$6:$B$30,0)),"?")&lt;&gt;IFERROR(INDEX('Lists'!$C$6:$C$30,MATCH($G272,'Lists'!$B$6:$B$30,0)),"?"),"Unit mismatch",IF(ISNUMBER(INDEX('Inventory'!$G$7:$G$106,MATCH($C272,'Inventory'!$B$7:$B$106,0))),"OK","Add price in Inventory")))))))))</f>
        <v/>
      </c>
      <c r="I272" s="88">
        <f>IF($H272&lt;&gt;"OK","",$D272*INDEX('Lists'!$D$6:$D$30,MATCH($E272,'Lists'!$B$6:$B$30,0))/INDEX('Lists'!$D$6:$D$30,MATCH($G272,'Lists'!$B$6:$B$30,0)))</f>
        <v/>
      </c>
      <c r="J272" s="71">
        <f>IF($H272&lt;&gt;"OK","",$I272*INDEX('Inventory'!$G$7:$G$106,MATCH($C272,'Inventory'!$B$7:$B$106,0)))</f>
        <v/>
      </c>
    </row>
    <row r="273" ht="17" customHeight="1">
      <c r="B273" s="66" t="n"/>
      <c r="C273" s="60" t="n"/>
      <c r="D273" s="86" t="n"/>
      <c r="E273" s="60" t="n"/>
      <c r="F273" s="60" t="n"/>
      <c r="G273" s="13">
        <f>IF($C273="","",IFERROR(INDEX('Inventory'!$D$7:$D$106,MATCH($C273,'Inventory'!$B$7:$B$106,0))&amp;"","?"))</f>
        <v/>
      </c>
      <c r="H273" s="80">
        <f>IF(AND($B273="",$C273="",$D273=""),"",IF(NOT(ISNUMBER($B273)),"Enter a valid date",IF($C273="","Pick ingredient",IF($G273="?","Not in Inventory",IF($G273="","Set stock unit in Inventory",IF(N($D273)&lt;=0,"Enter quantity",IF($E273="","Pick unit",IF(IFERROR(INDEX('Lists'!$C$6:$C$30,MATCH($E273,'Lists'!$B$6:$B$30,0)),"?")&lt;&gt;IFERROR(INDEX('Lists'!$C$6:$C$30,MATCH($G273,'Lists'!$B$6:$B$30,0)),"?"),"Unit mismatch",IF(ISNUMBER(INDEX('Inventory'!$G$7:$G$106,MATCH($C273,'Inventory'!$B$7:$B$106,0))),"OK","Add price in Inventory")))))))))</f>
        <v/>
      </c>
      <c r="I273" s="88">
        <f>IF($H273&lt;&gt;"OK","",$D273*INDEX('Lists'!$D$6:$D$30,MATCH($E273,'Lists'!$B$6:$B$30,0))/INDEX('Lists'!$D$6:$D$30,MATCH($G273,'Lists'!$B$6:$B$30,0)))</f>
        <v/>
      </c>
      <c r="J273" s="71">
        <f>IF($H273&lt;&gt;"OK","",$I273*INDEX('Inventory'!$G$7:$G$106,MATCH($C273,'Inventory'!$B$7:$B$106,0)))</f>
        <v/>
      </c>
    </row>
    <row r="274" ht="17" customHeight="1">
      <c r="B274" s="66" t="n"/>
      <c r="C274" s="60" t="n"/>
      <c r="D274" s="86" t="n"/>
      <c r="E274" s="60" t="n"/>
      <c r="F274" s="60" t="n"/>
      <c r="G274" s="13">
        <f>IF($C274="","",IFERROR(INDEX('Inventory'!$D$7:$D$106,MATCH($C274,'Inventory'!$B$7:$B$106,0))&amp;"","?"))</f>
        <v/>
      </c>
      <c r="H274" s="80">
        <f>IF(AND($B274="",$C274="",$D274=""),"",IF(NOT(ISNUMBER($B274)),"Enter a valid date",IF($C274="","Pick ingredient",IF($G274="?","Not in Inventory",IF($G274="","Set stock unit in Inventory",IF(N($D274)&lt;=0,"Enter quantity",IF($E274="","Pick unit",IF(IFERROR(INDEX('Lists'!$C$6:$C$30,MATCH($E274,'Lists'!$B$6:$B$30,0)),"?")&lt;&gt;IFERROR(INDEX('Lists'!$C$6:$C$30,MATCH($G274,'Lists'!$B$6:$B$30,0)),"?"),"Unit mismatch",IF(ISNUMBER(INDEX('Inventory'!$G$7:$G$106,MATCH($C274,'Inventory'!$B$7:$B$106,0))),"OK","Add price in Inventory")))))))))</f>
        <v/>
      </c>
      <c r="I274" s="88">
        <f>IF($H274&lt;&gt;"OK","",$D274*INDEX('Lists'!$D$6:$D$30,MATCH($E274,'Lists'!$B$6:$B$30,0))/INDEX('Lists'!$D$6:$D$30,MATCH($G274,'Lists'!$B$6:$B$30,0)))</f>
        <v/>
      </c>
      <c r="J274" s="71">
        <f>IF($H274&lt;&gt;"OK","",$I274*INDEX('Inventory'!$G$7:$G$106,MATCH($C274,'Inventory'!$B$7:$B$106,0)))</f>
        <v/>
      </c>
    </row>
    <row r="275" ht="17" customHeight="1">
      <c r="B275" s="66" t="n"/>
      <c r="C275" s="60" t="n"/>
      <c r="D275" s="86" t="n"/>
      <c r="E275" s="60" t="n"/>
      <c r="F275" s="60" t="n"/>
      <c r="G275" s="13">
        <f>IF($C275="","",IFERROR(INDEX('Inventory'!$D$7:$D$106,MATCH($C275,'Inventory'!$B$7:$B$106,0))&amp;"","?"))</f>
        <v/>
      </c>
      <c r="H275" s="80">
        <f>IF(AND($B275="",$C275="",$D275=""),"",IF(NOT(ISNUMBER($B275)),"Enter a valid date",IF($C275="","Pick ingredient",IF($G275="?","Not in Inventory",IF($G275="","Set stock unit in Inventory",IF(N($D275)&lt;=0,"Enter quantity",IF($E275="","Pick unit",IF(IFERROR(INDEX('Lists'!$C$6:$C$30,MATCH($E275,'Lists'!$B$6:$B$30,0)),"?")&lt;&gt;IFERROR(INDEX('Lists'!$C$6:$C$30,MATCH($G275,'Lists'!$B$6:$B$30,0)),"?"),"Unit mismatch",IF(ISNUMBER(INDEX('Inventory'!$G$7:$G$106,MATCH($C275,'Inventory'!$B$7:$B$106,0))),"OK","Add price in Inventory")))))))))</f>
        <v/>
      </c>
      <c r="I275" s="88">
        <f>IF($H275&lt;&gt;"OK","",$D275*INDEX('Lists'!$D$6:$D$30,MATCH($E275,'Lists'!$B$6:$B$30,0))/INDEX('Lists'!$D$6:$D$30,MATCH($G275,'Lists'!$B$6:$B$30,0)))</f>
        <v/>
      </c>
      <c r="J275" s="71">
        <f>IF($H275&lt;&gt;"OK","",$I275*INDEX('Inventory'!$G$7:$G$106,MATCH($C275,'Inventory'!$B$7:$B$106,0)))</f>
        <v/>
      </c>
    </row>
    <row r="276" ht="17" customHeight="1">
      <c r="B276" s="66" t="n"/>
      <c r="C276" s="60" t="n"/>
      <c r="D276" s="86" t="n"/>
      <c r="E276" s="60" t="n"/>
      <c r="F276" s="60" t="n"/>
      <c r="G276" s="13">
        <f>IF($C276="","",IFERROR(INDEX('Inventory'!$D$7:$D$106,MATCH($C276,'Inventory'!$B$7:$B$106,0))&amp;"","?"))</f>
        <v/>
      </c>
      <c r="H276" s="80">
        <f>IF(AND($B276="",$C276="",$D276=""),"",IF(NOT(ISNUMBER($B276)),"Enter a valid date",IF($C276="","Pick ingredient",IF($G276="?","Not in Inventory",IF($G276="","Set stock unit in Inventory",IF(N($D276)&lt;=0,"Enter quantity",IF($E276="","Pick unit",IF(IFERROR(INDEX('Lists'!$C$6:$C$30,MATCH($E276,'Lists'!$B$6:$B$30,0)),"?")&lt;&gt;IFERROR(INDEX('Lists'!$C$6:$C$30,MATCH($G276,'Lists'!$B$6:$B$30,0)),"?"),"Unit mismatch",IF(ISNUMBER(INDEX('Inventory'!$G$7:$G$106,MATCH($C276,'Inventory'!$B$7:$B$106,0))),"OK","Add price in Inventory")))))))))</f>
        <v/>
      </c>
      <c r="I276" s="88">
        <f>IF($H276&lt;&gt;"OK","",$D276*INDEX('Lists'!$D$6:$D$30,MATCH($E276,'Lists'!$B$6:$B$30,0))/INDEX('Lists'!$D$6:$D$30,MATCH($G276,'Lists'!$B$6:$B$30,0)))</f>
        <v/>
      </c>
      <c r="J276" s="71">
        <f>IF($H276&lt;&gt;"OK","",$I276*INDEX('Inventory'!$G$7:$G$106,MATCH($C276,'Inventory'!$B$7:$B$106,0)))</f>
        <v/>
      </c>
    </row>
    <row r="277" ht="17" customHeight="1">
      <c r="B277" s="66" t="n"/>
      <c r="C277" s="60" t="n"/>
      <c r="D277" s="86" t="n"/>
      <c r="E277" s="60" t="n"/>
      <c r="F277" s="60" t="n"/>
      <c r="G277" s="13">
        <f>IF($C277="","",IFERROR(INDEX('Inventory'!$D$7:$D$106,MATCH($C277,'Inventory'!$B$7:$B$106,0))&amp;"","?"))</f>
        <v/>
      </c>
      <c r="H277" s="80">
        <f>IF(AND($B277="",$C277="",$D277=""),"",IF(NOT(ISNUMBER($B277)),"Enter a valid date",IF($C277="","Pick ingredient",IF($G277="?","Not in Inventory",IF($G277="","Set stock unit in Inventory",IF(N($D277)&lt;=0,"Enter quantity",IF($E277="","Pick unit",IF(IFERROR(INDEX('Lists'!$C$6:$C$30,MATCH($E277,'Lists'!$B$6:$B$30,0)),"?")&lt;&gt;IFERROR(INDEX('Lists'!$C$6:$C$30,MATCH($G277,'Lists'!$B$6:$B$30,0)),"?"),"Unit mismatch",IF(ISNUMBER(INDEX('Inventory'!$G$7:$G$106,MATCH($C277,'Inventory'!$B$7:$B$106,0))),"OK","Add price in Inventory")))))))))</f>
        <v/>
      </c>
      <c r="I277" s="88">
        <f>IF($H277&lt;&gt;"OK","",$D277*INDEX('Lists'!$D$6:$D$30,MATCH($E277,'Lists'!$B$6:$B$30,0))/INDEX('Lists'!$D$6:$D$30,MATCH($G277,'Lists'!$B$6:$B$30,0)))</f>
        <v/>
      </c>
      <c r="J277" s="71">
        <f>IF($H277&lt;&gt;"OK","",$I277*INDEX('Inventory'!$G$7:$G$106,MATCH($C277,'Inventory'!$B$7:$B$106,0)))</f>
        <v/>
      </c>
    </row>
    <row r="278" ht="17" customHeight="1">
      <c r="B278" s="66" t="n"/>
      <c r="C278" s="60" t="n"/>
      <c r="D278" s="86" t="n"/>
      <c r="E278" s="60" t="n"/>
      <c r="F278" s="60" t="n"/>
      <c r="G278" s="13">
        <f>IF($C278="","",IFERROR(INDEX('Inventory'!$D$7:$D$106,MATCH($C278,'Inventory'!$B$7:$B$106,0))&amp;"","?"))</f>
        <v/>
      </c>
      <c r="H278" s="80">
        <f>IF(AND($B278="",$C278="",$D278=""),"",IF(NOT(ISNUMBER($B278)),"Enter a valid date",IF($C278="","Pick ingredient",IF($G278="?","Not in Inventory",IF($G278="","Set stock unit in Inventory",IF(N($D278)&lt;=0,"Enter quantity",IF($E278="","Pick unit",IF(IFERROR(INDEX('Lists'!$C$6:$C$30,MATCH($E278,'Lists'!$B$6:$B$30,0)),"?")&lt;&gt;IFERROR(INDEX('Lists'!$C$6:$C$30,MATCH($G278,'Lists'!$B$6:$B$30,0)),"?"),"Unit mismatch",IF(ISNUMBER(INDEX('Inventory'!$G$7:$G$106,MATCH($C278,'Inventory'!$B$7:$B$106,0))),"OK","Add price in Inventory")))))))))</f>
        <v/>
      </c>
      <c r="I278" s="88">
        <f>IF($H278&lt;&gt;"OK","",$D278*INDEX('Lists'!$D$6:$D$30,MATCH($E278,'Lists'!$B$6:$B$30,0))/INDEX('Lists'!$D$6:$D$30,MATCH($G278,'Lists'!$B$6:$B$30,0)))</f>
        <v/>
      </c>
      <c r="J278" s="71">
        <f>IF($H278&lt;&gt;"OK","",$I278*INDEX('Inventory'!$G$7:$G$106,MATCH($C278,'Inventory'!$B$7:$B$106,0)))</f>
        <v/>
      </c>
    </row>
    <row r="279" ht="17" customHeight="1">
      <c r="B279" s="66" t="n"/>
      <c r="C279" s="60" t="n"/>
      <c r="D279" s="86" t="n"/>
      <c r="E279" s="60" t="n"/>
      <c r="F279" s="60" t="n"/>
      <c r="G279" s="13">
        <f>IF($C279="","",IFERROR(INDEX('Inventory'!$D$7:$D$106,MATCH($C279,'Inventory'!$B$7:$B$106,0))&amp;"","?"))</f>
        <v/>
      </c>
      <c r="H279" s="80">
        <f>IF(AND($B279="",$C279="",$D279=""),"",IF(NOT(ISNUMBER($B279)),"Enter a valid date",IF($C279="","Pick ingredient",IF($G279="?","Not in Inventory",IF($G279="","Set stock unit in Inventory",IF(N($D279)&lt;=0,"Enter quantity",IF($E279="","Pick unit",IF(IFERROR(INDEX('Lists'!$C$6:$C$30,MATCH($E279,'Lists'!$B$6:$B$30,0)),"?")&lt;&gt;IFERROR(INDEX('Lists'!$C$6:$C$30,MATCH($G279,'Lists'!$B$6:$B$30,0)),"?"),"Unit mismatch",IF(ISNUMBER(INDEX('Inventory'!$G$7:$G$106,MATCH($C279,'Inventory'!$B$7:$B$106,0))),"OK","Add price in Inventory")))))))))</f>
        <v/>
      </c>
      <c r="I279" s="88">
        <f>IF($H279&lt;&gt;"OK","",$D279*INDEX('Lists'!$D$6:$D$30,MATCH($E279,'Lists'!$B$6:$B$30,0))/INDEX('Lists'!$D$6:$D$30,MATCH($G279,'Lists'!$B$6:$B$30,0)))</f>
        <v/>
      </c>
      <c r="J279" s="71">
        <f>IF($H279&lt;&gt;"OK","",$I279*INDEX('Inventory'!$G$7:$G$106,MATCH($C279,'Inventory'!$B$7:$B$106,0)))</f>
        <v/>
      </c>
    </row>
    <row r="280" ht="17" customHeight="1">
      <c r="B280" s="66" t="n"/>
      <c r="C280" s="60" t="n"/>
      <c r="D280" s="86" t="n"/>
      <c r="E280" s="60" t="n"/>
      <c r="F280" s="60" t="n"/>
      <c r="G280" s="13">
        <f>IF($C280="","",IFERROR(INDEX('Inventory'!$D$7:$D$106,MATCH($C280,'Inventory'!$B$7:$B$106,0))&amp;"","?"))</f>
        <v/>
      </c>
      <c r="H280" s="80">
        <f>IF(AND($B280="",$C280="",$D280=""),"",IF(NOT(ISNUMBER($B280)),"Enter a valid date",IF($C280="","Pick ingredient",IF($G280="?","Not in Inventory",IF($G280="","Set stock unit in Inventory",IF(N($D280)&lt;=0,"Enter quantity",IF($E280="","Pick unit",IF(IFERROR(INDEX('Lists'!$C$6:$C$30,MATCH($E280,'Lists'!$B$6:$B$30,0)),"?")&lt;&gt;IFERROR(INDEX('Lists'!$C$6:$C$30,MATCH($G280,'Lists'!$B$6:$B$30,0)),"?"),"Unit mismatch",IF(ISNUMBER(INDEX('Inventory'!$G$7:$G$106,MATCH($C280,'Inventory'!$B$7:$B$106,0))),"OK","Add price in Inventory")))))))))</f>
        <v/>
      </c>
      <c r="I280" s="88">
        <f>IF($H280&lt;&gt;"OK","",$D280*INDEX('Lists'!$D$6:$D$30,MATCH($E280,'Lists'!$B$6:$B$30,0))/INDEX('Lists'!$D$6:$D$30,MATCH($G280,'Lists'!$B$6:$B$30,0)))</f>
        <v/>
      </c>
      <c r="J280" s="71">
        <f>IF($H280&lt;&gt;"OK","",$I280*INDEX('Inventory'!$G$7:$G$106,MATCH($C280,'Inventory'!$B$7:$B$106,0)))</f>
        <v/>
      </c>
    </row>
    <row r="281" ht="17" customHeight="1">
      <c r="B281" s="66" t="n"/>
      <c r="C281" s="60" t="n"/>
      <c r="D281" s="86" t="n"/>
      <c r="E281" s="60" t="n"/>
      <c r="F281" s="60" t="n"/>
      <c r="G281" s="13">
        <f>IF($C281="","",IFERROR(INDEX('Inventory'!$D$7:$D$106,MATCH($C281,'Inventory'!$B$7:$B$106,0))&amp;"","?"))</f>
        <v/>
      </c>
      <c r="H281" s="80">
        <f>IF(AND($B281="",$C281="",$D281=""),"",IF(NOT(ISNUMBER($B281)),"Enter a valid date",IF($C281="","Pick ingredient",IF($G281="?","Not in Inventory",IF($G281="","Set stock unit in Inventory",IF(N($D281)&lt;=0,"Enter quantity",IF($E281="","Pick unit",IF(IFERROR(INDEX('Lists'!$C$6:$C$30,MATCH($E281,'Lists'!$B$6:$B$30,0)),"?")&lt;&gt;IFERROR(INDEX('Lists'!$C$6:$C$30,MATCH($G281,'Lists'!$B$6:$B$30,0)),"?"),"Unit mismatch",IF(ISNUMBER(INDEX('Inventory'!$G$7:$G$106,MATCH($C281,'Inventory'!$B$7:$B$106,0))),"OK","Add price in Inventory")))))))))</f>
        <v/>
      </c>
      <c r="I281" s="88">
        <f>IF($H281&lt;&gt;"OK","",$D281*INDEX('Lists'!$D$6:$D$30,MATCH($E281,'Lists'!$B$6:$B$30,0))/INDEX('Lists'!$D$6:$D$30,MATCH($G281,'Lists'!$B$6:$B$30,0)))</f>
        <v/>
      </c>
      <c r="J281" s="71">
        <f>IF($H281&lt;&gt;"OK","",$I281*INDEX('Inventory'!$G$7:$G$106,MATCH($C281,'Inventory'!$B$7:$B$106,0)))</f>
        <v/>
      </c>
    </row>
    <row r="282" ht="17" customHeight="1">
      <c r="B282" s="66" t="n"/>
      <c r="C282" s="60" t="n"/>
      <c r="D282" s="86" t="n"/>
      <c r="E282" s="60" t="n"/>
      <c r="F282" s="60" t="n"/>
      <c r="G282" s="13">
        <f>IF($C282="","",IFERROR(INDEX('Inventory'!$D$7:$D$106,MATCH($C282,'Inventory'!$B$7:$B$106,0))&amp;"","?"))</f>
        <v/>
      </c>
      <c r="H282" s="80">
        <f>IF(AND($B282="",$C282="",$D282=""),"",IF(NOT(ISNUMBER($B282)),"Enter a valid date",IF($C282="","Pick ingredient",IF($G282="?","Not in Inventory",IF($G282="","Set stock unit in Inventory",IF(N($D282)&lt;=0,"Enter quantity",IF($E282="","Pick unit",IF(IFERROR(INDEX('Lists'!$C$6:$C$30,MATCH($E282,'Lists'!$B$6:$B$30,0)),"?")&lt;&gt;IFERROR(INDEX('Lists'!$C$6:$C$30,MATCH($G282,'Lists'!$B$6:$B$30,0)),"?"),"Unit mismatch",IF(ISNUMBER(INDEX('Inventory'!$G$7:$G$106,MATCH($C282,'Inventory'!$B$7:$B$106,0))),"OK","Add price in Inventory")))))))))</f>
        <v/>
      </c>
      <c r="I282" s="88">
        <f>IF($H282&lt;&gt;"OK","",$D282*INDEX('Lists'!$D$6:$D$30,MATCH($E282,'Lists'!$B$6:$B$30,0))/INDEX('Lists'!$D$6:$D$30,MATCH($G282,'Lists'!$B$6:$B$30,0)))</f>
        <v/>
      </c>
      <c r="J282" s="71">
        <f>IF($H282&lt;&gt;"OK","",$I282*INDEX('Inventory'!$G$7:$G$106,MATCH($C282,'Inventory'!$B$7:$B$106,0)))</f>
        <v/>
      </c>
    </row>
    <row r="283" ht="17" customHeight="1">
      <c r="B283" s="66" t="n"/>
      <c r="C283" s="60" t="n"/>
      <c r="D283" s="86" t="n"/>
      <c r="E283" s="60" t="n"/>
      <c r="F283" s="60" t="n"/>
      <c r="G283" s="13">
        <f>IF($C283="","",IFERROR(INDEX('Inventory'!$D$7:$D$106,MATCH($C283,'Inventory'!$B$7:$B$106,0))&amp;"","?"))</f>
        <v/>
      </c>
      <c r="H283" s="80">
        <f>IF(AND($B283="",$C283="",$D283=""),"",IF(NOT(ISNUMBER($B283)),"Enter a valid date",IF($C283="","Pick ingredient",IF($G283="?","Not in Inventory",IF($G283="","Set stock unit in Inventory",IF(N($D283)&lt;=0,"Enter quantity",IF($E283="","Pick unit",IF(IFERROR(INDEX('Lists'!$C$6:$C$30,MATCH($E283,'Lists'!$B$6:$B$30,0)),"?")&lt;&gt;IFERROR(INDEX('Lists'!$C$6:$C$30,MATCH($G283,'Lists'!$B$6:$B$30,0)),"?"),"Unit mismatch",IF(ISNUMBER(INDEX('Inventory'!$G$7:$G$106,MATCH($C283,'Inventory'!$B$7:$B$106,0))),"OK","Add price in Inventory")))))))))</f>
        <v/>
      </c>
      <c r="I283" s="88">
        <f>IF($H283&lt;&gt;"OK","",$D283*INDEX('Lists'!$D$6:$D$30,MATCH($E283,'Lists'!$B$6:$B$30,0))/INDEX('Lists'!$D$6:$D$30,MATCH($G283,'Lists'!$B$6:$B$30,0)))</f>
        <v/>
      </c>
      <c r="J283" s="71">
        <f>IF($H283&lt;&gt;"OK","",$I283*INDEX('Inventory'!$G$7:$G$106,MATCH($C283,'Inventory'!$B$7:$B$106,0)))</f>
        <v/>
      </c>
    </row>
    <row r="284" ht="17" customHeight="1">
      <c r="B284" s="66" t="n"/>
      <c r="C284" s="60" t="n"/>
      <c r="D284" s="86" t="n"/>
      <c r="E284" s="60" t="n"/>
      <c r="F284" s="60" t="n"/>
      <c r="G284" s="13">
        <f>IF($C284="","",IFERROR(INDEX('Inventory'!$D$7:$D$106,MATCH($C284,'Inventory'!$B$7:$B$106,0))&amp;"","?"))</f>
        <v/>
      </c>
      <c r="H284" s="80">
        <f>IF(AND($B284="",$C284="",$D284=""),"",IF(NOT(ISNUMBER($B284)),"Enter a valid date",IF($C284="","Pick ingredient",IF($G284="?","Not in Inventory",IF($G284="","Set stock unit in Inventory",IF(N($D284)&lt;=0,"Enter quantity",IF($E284="","Pick unit",IF(IFERROR(INDEX('Lists'!$C$6:$C$30,MATCH($E284,'Lists'!$B$6:$B$30,0)),"?")&lt;&gt;IFERROR(INDEX('Lists'!$C$6:$C$30,MATCH($G284,'Lists'!$B$6:$B$30,0)),"?"),"Unit mismatch",IF(ISNUMBER(INDEX('Inventory'!$G$7:$G$106,MATCH($C284,'Inventory'!$B$7:$B$106,0))),"OK","Add price in Inventory")))))))))</f>
        <v/>
      </c>
      <c r="I284" s="88">
        <f>IF($H284&lt;&gt;"OK","",$D284*INDEX('Lists'!$D$6:$D$30,MATCH($E284,'Lists'!$B$6:$B$30,0))/INDEX('Lists'!$D$6:$D$30,MATCH($G284,'Lists'!$B$6:$B$30,0)))</f>
        <v/>
      </c>
      <c r="J284" s="71">
        <f>IF($H284&lt;&gt;"OK","",$I284*INDEX('Inventory'!$G$7:$G$106,MATCH($C284,'Inventory'!$B$7:$B$106,0)))</f>
        <v/>
      </c>
    </row>
    <row r="285" ht="17" customHeight="1">
      <c r="B285" s="66" t="n"/>
      <c r="C285" s="60" t="n"/>
      <c r="D285" s="86" t="n"/>
      <c r="E285" s="60" t="n"/>
      <c r="F285" s="60" t="n"/>
      <c r="G285" s="13">
        <f>IF($C285="","",IFERROR(INDEX('Inventory'!$D$7:$D$106,MATCH($C285,'Inventory'!$B$7:$B$106,0))&amp;"","?"))</f>
        <v/>
      </c>
      <c r="H285" s="80">
        <f>IF(AND($B285="",$C285="",$D285=""),"",IF(NOT(ISNUMBER($B285)),"Enter a valid date",IF($C285="","Pick ingredient",IF($G285="?","Not in Inventory",IF($G285="","Set stock unit in Inventory",IF(N($D285)&lt;=0,"Enter quantity",IF($E285="","Pick unit",IF(IFERROR(INDEX('Lists'!$C$6:$C$30,MATCH($E285,'Lists'!$B$6:$B$30,0)),"?")&lt;&gt;IFERROR(INDEX('Lists'!$C$6:$C$30,MATCH($G285,'Lists'!$B$6:$B$30,0)),"?"),"Unit mismatch",IF(ISNUMBER(INDEX('Inventory'!$G$7:$G$106,MATCH($C285,'Inventory'!$B$7:$B$106,0))),"OK","Add price in Inventory")))))))))</f>
        <v/>
      </c>
      <c r="I285" s="88">
        <f>IF($H285&lt;&gt;"OK","",$D285*INDEX('Lists'!$D$6:$D$30,MATCH($E285,'Lists'!$B$6:$B$30,0))/INDEX('Lists'!$D$6:$D$30,MATCH($G285,'Lists'!$B$6:$B$30,0)))</f>
        <v/>
      </c>
      <c r="J285" s="71">
        <f>IF($H285&lt;&gt;"OK","",$I285*INDEX('Inventory'!$G$7:$G$106,MATCH($C285,'Inventory'!$B$7:$B$106,0)))</f>
        <v/>
      </c>
    </row>
    <row r="286" ht="17" customHeight="1">
      <c r="B286" s="66" t="n"/>
      <c r="C286" s="60" t="n"/>
      <c r="D286" s="86" t="n"/>
      <c r="E286" s="60" t="n"/>
      <c r="F286" s="60" t="n"/>
      <c r="G286" s="13">
        <f>IF($C286="","",IFERROR(INDEX('Inventory'!$D$7:$D$106,MATCH($C286,'Inventory'!$B$7:$B$106,0))&amp;"","?"))</f>
        <v/>
      </c>
      <c r="H286" s="80">
        <f>IF(AND($B286="",$C286="",$D286=""),"",IF(NOT(ISNUMBER($B286)),"Enter a valid date",IF($C286="","Pick ingredient",IF($G286="?","Not in Inventory",IF($G286="","Set stock unit in Inventory",IF(N($D286)&lt;=0,"Enter quantity",IF($E286="","Pick unit",IF(IFERROR(INDEX('Lists'!$C$6:$C$30,MATCH($E286,'Lists'!$B$6:$B$30,0)),"?")&lt;&gt;IFERROR(INDEX('Lists'!$C$6:$C$30,MATCH($G286,'Lists'!$B$6:$B$30,0)),"?"),"Unit mismatch",IF(ISNUMBER(INDEX('Inventory'!$G$7:$G$106,MATCH($C286,'Inventory'!$B$7:$B$106,0))),"OK","Add price in Inventory")))))))))</f>
        <v/>
      </c>
      <c r="I286" s="88">
        <f>IF($H286&lt;&gt;"OK","",$D286*INDEX('Lists'!$D$6:$D$30,MATCH($E286,'Lists'!$B$6:$B$30,0))/INDEX('Lists'!$D$6:$D$30,MATCH($G286,'Lists'!$B$6:$B$30,0)))</f>
        <v/>
      </c>
      <c r="J286" s="71">
        <f>IF($H286&lt;&gt;"OK","",$I286*INDEX('Inventory'!$G$7:$G$106,MATCH($C286,'Inventory'!$B$7:$B$106,0)))</f>
        <v/>
      </c>
    </row>
    <row r="287" ht="17" customHeight="1">
      <c r="B287" s="66" t="n"/>
      <c r="C287" s="60" t="n"/>
      <c r="D287" s="86" t="n"/>
      <c r="E287" s="60" t="n"/>
      <c r="F287" s="60" t="n"/>
      <c r="G287" s="13">
        <f>IF($C287="","",IFERROR(INDEX('Inventory'!$D$7:$D$106,MATCH($C287,'Inventory'!$B$7:$B$106,0))&amp;"","?"))</f>
        <v/>
      </c>
      <c r="H287" s="80">
        <f>IF(AND($B287="",$C287="",$D287=""),"",IF(NOT(ISNUMBER($B287)),"Enter a valid date",IF($C287="","Pick ingredient",IF($G287="?","Not in Inventory",IF($G287="","Set stock unit in Inventory",IF(N($D287)&lt;=0,"Enter quantity",IF($E287="","Pick unit",IF(IFERROR(INDEX('Lists'!$C$6:$C$30,MATCH($E287,'Lists'!$B$6:$B$30,0)),"?")&lt;&gt;IFERROR(INDEX('Lists'!$C$6:$C$30,MATCH($G287,'Lists'!$B$6:$B$30,0)),"?"),"Unit mismatch",IF(ISNUMBER(INDEX('Inventory'!$G$7:$G$106,MATCH($C287,'Inventory'!$B$7:$B$106,0))),"OK","Add price in Inventory")))))))))</f>
        <v/>
      </c>
      <c r="I287" s="88">
        <f>IF($H287&lt;&gt;"OK","",$D287*INDEX('Lists'!$D$6:$D$30,MATCH($E287,'Lists'!$B$6:$B$30,0))/INDEX('Lists'!$D$6:$D$30,MATCH($G287,'Lists'!$B$6:$B$30,0)))</f>
        <v/>
      </c>
      <c r="J287" s="71">
        <f>IF($H287&lt;&gt;"OK","",$I287*INDEX('Inventory'!$G$7:$G$106,MATCH($C287,'Inventory'!$B$7:$B$106,0)))</f>
        <v/>
      </c>
    </row>
    <row r="288" ht="17" customHeight="1">
      <c r="B288" s="66" t="n"/>
      <c r="C288" s="60" t="n"/>
      <c r="D288" s="86" t="n"/>
      <c r="E288" s="60" t="n"/>
      <c r="F288" s="60" t="n"/>
      <c r="G288" s="13">
        <f>IF($C288="","",IFERROR(INDEX('Inventory'!$D$7:$D$106,MATCH($C288,'Inventory'!$B$7:$B$106,0))&amp;"","?"))</f>
        <v/>
      </c>
      <c r="H288" s="80">
        <f>IF(AND($B288="",$C288="",$D288=""),"",IF(NOT(ISNUMBER($B288)),"Enter a valid date",IF($C288="","Pick ingredient",IF($G288="?","Not in Inventory",IF($G288="","Set stock unit in Inventory",IF(N($D288)&lt;=0,"Enter quantity",IF($E288="","Pick unit",IF(IFERROR(INDEX('Lists'!$C$6:$C$30,MATCH($E288,'Lists'!$B$6:$B$30,0)),"?")&lt;&gt;IFERROR(INDEX('Lists'!$C$6:$C$30,MATCH($G288,'Lists'!$B$6:$B$30,0)),"?"),"Unit mismatch",IF(ISNUMBER(INDEX('Inventory'!$G$7:$G$106,MATCH($C288,'Inventory'!$B$7:$B$106,0))),"OK","Add price in Inventory")))))))))</f>
        <v/>
      </c>
      <c r="I288" s="88">
        <f>IF($H288&lt;&gt;"OK","",$D288*INDEX('Lists'!$D$6:$D$30,MATCH($E288,'Lists'!$B$6:$B$30,0))/INDEX('Lists'!$D$6:$D$30,MATCH($G288,'Lists'!$B$6:$B$30,0)))</f>
        <v/>
      </c>
      <c r="J288" s="71">
        <f>IF($H288&lt;&gt;"OK","",$I288*INDEX('Inventory'!$G$7:$G$106,MATCH($C288,'Inventory'!$B$7:$B$106,0)))</f>
        <v/>
      </c>
    </row>
    <row r="289" ht="17" customHeight="1">
      <c r="B289" s="66" t="n"/>
      <c r="C289" s="60" t="n"/>
      <c r="D289" s="86" t="n"/>
      <c r="E289" s="60" t="n"/>
      <c r="F289" s="60" t="n"/>
      <c r="G289" s="13">
        <f>IF($C289="","",IFERROR(INDEX('Inventory'!$D$7:$D$106,MATCH($C289,'Inventory'!$B$7:$B$106,0))&amp;"","?"))</f>
        <v/>
      </c>
      <c r="H289" s="80">
        <f>IF(AND($B289="",$C289="",$D289=""),"",IF(NOT(ISNUMBER($B289)),"Enter a valid date",IF($C289="","Pick ingredient",IF($G289="?","Not in Inventory",IF($G289="","Set stock unit in Inventory",IF(N($D289)&lt;=0,"Enter quantity",IF($E289="","Pick unit",IF(IFERROR(INDEX('Lists'!$C$6:$C$30,MATCH($E289,'Lists'!$B$6:$B$30,0)),"?")&lt;&gt;IFERROR(INDEX('Lists'!$C$6:$C$30,MATCH($G289,'Lists'!$B$6:$B$30,0)),"?"),"Unit mismatch",IF(ISNUMBER(INDEX('Inventory'!$G$7:$G$106,MATCH($C289,'Inventory'!$B$7:$B$106,0))),"OK","Add price in Inventory")))))))))</f>
        <v/>
      </c>
      <c r="I289" s="88">
        <f>IF($H289&lt;&gt;"OK","",$D289*INDEX('Lists'!$D$6:$D$30,MATCH($E289,'Lists'!$B$6:$B$30,0))/INDEX('Lists'!$D$6:$D$30,MATCH($G289,'Lists'!$B$6:$B$30,0)))</f>
        <v/>
      </c>
      <c r="J289" s="71">
        <f>IF($H289&lt;&gt;"OK","",$I289*INDEX('Inventory'!$G$7:$G$106,MATCH($C289,'Inventory'!$B$7:$B$106,0)))</f>
        <v/>
      </c>
    </row>
    <row r="290" ht="17" customHeight="1">
      <c r="B290" s="66" t="n"/>
      <c r="C290" s="60" t="n"/>
      <c r="D290" s="86" t="n"/>
      <c r="E290" s="60" t="n"/>
      <c r="F290" s="60" t="n"/>
      <c r="G290" s="13">
        <f>IF($C290="","",IFERROR(INDEX('Inventory'!$D$7:$D$106,MATCH($C290,'Inventory'!$B$7:$B$106,0))&amp;"","?"))</f>
        <v/>
      </c>
      <c r="H290" s="80">
        <f>IF(AND($B290="",$C290="",$D290=""),"",IF(NOT(ISNUMBER($B290)),"Enter a valid date",IF($C290="","Pick ingredient",IF($G290="?","Not in Inventory",IF($G290="","Set stock unit in Inventory",IF(N($D290)&lt;=0,"Enter quantity",IF($E290="","Pick unit",IF(IFERROR(INDEX('Lists'!$C$6:$C$30,MATCH($E290,'Lists'!$B$6:$B$30,0)),"?")&lt;&gt;IFERROR(INDEX('Lists'!$C$6:$C$30,MATCH($G290,'Lists'!$B$6:$B$30,0)),"?"),"Unit mismatch",IF(ISNUMBER(INDEX('Inventory'!$G$7:$G$106,MATCH($C290,'Inventory'!$B$7:$B$106,0))),"OK","Add price in Inventory")))))))))</f>
        <v/>
      </c>
      <c r="I290" s="88">
        <f>IF($H290&lt;&gt;"OK","",$D290*INDEX('Lists'!$D$6:$D$30,MATCH($E290,'Lists'!$B$6:$B$30,0))/INDEX('Lists'!$D$6:$D$30,MATCH($G290,'Lists'!$B$6:$B$30,0)))</f>
        <v/>
      </c>
      <c r="J290" s="71">
        <f>IF($H290&lt;&gt;"OK","",$I290*INDEX('Inventory'!$G$7:$G$106,MATCH($C290,'Inventory'!$B$7:$B$106,0)))</f>
        <v/>
      </c>
    </row>
    <row r="291" ht="17" customHeight="1">
      <c r="B291" s="66" t="n"/>
      <c r="C291" s="60" t="n"/>
      <c r="D291" s="86" t="n"/>
      <c r="E291" s="60" t="n"/>
      <c r="F291" s="60" t="n"/>
      <c r="G291" s="13">
        <f>IF($C291="","",IFERROR(INDEX('Inventory'!$D$7:$D$106,MATCH($C291,'Inventory'!$B$7:$B$106,0))&amp;"","?"))</f>
        <v/>
      </c>
      <c r="H291" s="80">
        <f>IF(AND($B291="",$C291="",$D291=""),"",IF(NOT(ISNUMBER($B291)),"Enter a valid date",IF($C291="","Pick ingredient",IF($G291="?","Not in Inventory",IF($G291="","Set stock unit in Inventory",IF(N($D291)&lt;=0,"Enter quantity",IF($E291="","Pick unit",IF(IFERROR(INDEX('Lists'!$C$6:$C$30,MATCH($E291,'Lists'!$B$6:$B$30,0)),"?")&lt;&gt;IFERROR(INDEX('Lists'!$C$6:$C$30,MATCH($G291,'Lists'!$B$6:$B$30,0)),"?"),"Unit mismatch",IF(ISNUMBER(INDEX('Inventory'!$G$7:$G$106,MATCH($C291,'Inventory'!$B$7:$B$106,0))),"OK","Add price in Inventory")))))))))</f>
        <v/>
      </c>
      <c r="I291" s="88">
        <f>IF($H291&lt;&gt;"OK","",$D291*INDEX('Lists'!$D$6:$D$30,MATCH($E291,'Lists'!$B$6:$B$30,0))/INDEX('Lists'!$D$6:$D$30,MATCH($G291,'Lists'!$B$6:$B$30,0)))</f>
        <v/>
      </c>
      <c r="J291" s="71">
        <f>IF($H291&lt;&gt;"OK","",$I291*INDEX('Inventory'!$G$7:$G$106,MATCH($C291,'Inventory'!$B$7:$B$106,0)))</f>
        <v/>
      </c>
    </row>
    <row r="292" ht="17" customHeight="1">
      <c r="B292" s="66" t="n"/>
      <c r="C292" s="60" t="n"/>
      <c r="D292" s="86" t="n"/>
      <c r="E292" s="60" t="n"/>
      <c r="F292" s="60" t="n"/>
      <c r="G292" s="13">
        <f>IF($C292="","",IFERROR(INDEX('Inventory'!$D$7:$D$106,MATCH($C292,'Inventory'!$B$7:$B$106,0))&amp;"","?"))</f>
        <v/>
      </c>
      <c r="H292" s="80">
        <f>IF(AND($B292="",$C292="",$D292=""),"",IF(NOT(ISNUMBER($B292)),"Enter a valid date",IF($C292="","Pick ingredient",IF($G292="?","Not in Inventory",IF($G292="","Set stock unit in Inventory",IF(N($D292)&lt;=0,"Enter quantity",IF($E292="","Pick unit",IF(IFERROR(INDEX('Lists'!$C$6:$C$30,MATCH($E292,'Lists'!$B$6:$B$30,0)),"?")&lt;&gt;IFERROR(INDEX('Lists'!$C$6:$C$30,MATCH($G292,'Lists'!$B$6:$B$30,0)),"?"),"Unit mismatch",IF(ISNUMBER(INDEX('Inventory'!$G$7:$G$106,MATCH($C292,'Inventory'!$B$7:$B$106,0))),"OK","Add price in Inventory")))))))))</f>
        <v/>
      </c>
      <c r="I292" s="88">
        <f>IF($H292&lt;&gt;"OK","",$D292*INDEX('Lists'!$D$6:$D$30,MATCH($E292,'Lists'!$B$6:$B$30,0))/INDEX('Lists'!$D$6:$D$30,MATCH($G292,'Lists'!$B$6:$B$30,0)))</f>
        <v/>
      </c>
      <c r="J292" s="71">
        <f>IF($H292&lt;&gt;"OK","",$I292*INDEX('Inventory'!$G$7:$G$106,MATCH($C292,'Inventory'!$B$7:$B$106,0)))</f>
        <v/>
      </c>
    </row>
    <row r="293" ht="17" customHeight="1">
      <c r="B293" s="66" t="n"/>
      <c r="C293" s="60" t="n"/>
      <c r="D293" s="86" t="n"/>
      <c r="E293" s="60" t="n"/>
      <c r="F293" s="60" t="n"/>
      <c r="G293" s="13">
        <f>IF($C293="","",IFERROR(INDEX('Inventory'!$D$7:$D$106,MATCH($C293,'Inventory'!$B$7:$B$106,0))&amp;"","?"))</f>
        <v/>
      </c>
      <c r="H293" s="80">
        <f>IF(AND($B293="",$C293="",$D293=""),"",IF(NOT(ISNUMBER($B293)),"Enter a valid date",IF($C293="","Pick ingredient",IF($G293="?","Not in Inventory",IF($G293="","Set stock unit in Inventory",IF(N($D293)&lt;=0,"Enter quantity",IF($E293="","Pick unit",IF(IFERROR(INDEX('Lists'!$C$6:$C$30,MATCH($E293,'Lists'!$B$6:$B$30,0)),"?")&lt;&gt;IFERROR(INDEX('Lists'!$C$6:$C$30,MATCH($G293,'Lists'!$B$6:$B$30,0)),"?"),"Unit mismatch",IF(ISNUMBER(INDEX('Inventory'!$G$7:$G$106,MATCH($C293,'Inventory'!$B$7:$B$106,0))),"OK","Add price in Inventory")))))))))</f>
        <v/>
      </c>
      <c r="I293" s="88">
        <f>IF($H293&lt;&gt;"OK","",$D293*INDEX('Lists'!$D$6:$D$30,MATCH($E293,'Lists'!$B$6:$B$30,0))/INDEX('Lists'!$D$6:$D$30,MATCH($G293,'Lists'!$B$6:$B$30,0)))</f>
        <v/>
      </c>
      <c r="J293" s="71">
        <f>IF($H293&lt;&gt;"OK","",$I293*INDEX('Inventory'!$G$7:$G$106,MATCH($C293,'Inventory'!$B$7:$B$106,0)))</f>
        <v/>
      </c>
    </row>
    <row r="294" ht="17" customHeight="1">
      <c r="B294" s="66" t="n"/>
      <c r="C294" s="60" t="n"/>
      <c r="D294" s="86" t="n"/>
      <c r="E294" s="60" t="n"/>
      <c r="F294" s="60" t="n"/>
      <c r="G294" s="13">
        <f>IF($C294="","",IFERROR(INDEX('Inventory'!$D$7:$D$106,MATCH($C294,'Inventory'!$B$7:$B$106,0))&amp;"","?"))</f>
        <v/>
      </c>
      <c r="H294" s="80">
        <f>IF(AND($B294="",$C294="",$D294=""),"",IF(NOT(ISNUMBER($B294)),"Enter a valid date",IF($C294="","Pick ingredient",IF($G294="?","Not in Inventory",IF($G294="","Set stock unit in Inventory",IF(N($D294)&lt;=0,"Enter quantity",IF($E294="","Pick unit",IF(IFERROR(INDEX('Lists'!$C$6:$C$30,MATCH($E294,'Lists'!$B$6:$B$30,0)),"?")&lt;&gt;IFERROR(INDEX('Lists'!$C$6:$C$30,MATCH($G294,'Lists'!$B$6:$B$30,0)),"?"),"Unit mismatch",IF(ISNUMBER(INDEX('Inventory'!$G$7:$G$106,MATCH($C294,'Inventory'!$B$7:$B$106,0))),"OK","Add price in Inventory")))))))))</f>
        <v/>
      </c>
      <c r="I294" s="88">
        <f>IF($H294&lt;&gt;"OK","",$D294*INDEX('Lists'!$D$6:$D$30,MATCH($E294,'Lists'!$B$6:$B$30,0))/INDEX('Lists'!$D$6:$D$30,MATCH($G294,'Lists'!$B$6:$B$30,0)))</f>
        <v/>
      </c>
      <c r="J294" s="71">
        <f>IF($H294&lt;&gt;"OK","",$I294*INDEX('Inventory'!$G$7:$G$106,MATCH($C294,'Inventory'!$B$7:$B$106,0)))</f>
        <v/>
      </c>
    </row>
    <row r="295" ht="17" customHeight="1">
      <c r="B295" s="66" t="n"/>
      <c r="C295" s="60" t="n"/>
      <c r="D295" s="86" t="n"/>
      <c r="E295" s="60" t="n"/>
      <c r="F295" s="60" t="n"/>
      <c r="G295" s="13">
        <f>IF($C295="","",IFERROR(INDEX('Inventory'!$D$7:$D$106,MATCH($C295,'Inventory'!$B$7:$B$106,0))&amp;"","?"))</f>
        <v/>
      </c>
      <c r="H295" s="80">
        <f>IF(AND($B295="",$C295="",$D295=""),"",IF(NOT(ISNUMBER($B295)),"Enter a valid date",IF($C295="","Pick ingredient",IF($G295="?","Not in Inventory",IF($G295="","Set stock unit in Inventory",IF(N($D295)&lt;=0,"Enter quantity",IF($E295="","Pick unit",IF(IFERROR(INDEX('Lists'!$C$6:$C$30,MATCH($E295,'Lists'!$B$6:$B$30,0)),"?")&lt;&gt;IFERROR(INDEX('Lists'!$C$6:$C$30,MATCH($G295,'Lists'!$B$6:$B$30,0)),"?"),"Unit mismatch",IF(ISNUMBER(INDEX('Inventory'!$G$7:$G$106,MATCH($C295,'Inventory'!$B$7:$B$106,0))),"OK","Add price in Inventory")))))))))</f>
        <v/>
      </c>
      <c r="I295" s="88">
        <f>IF($H295&lt;&gt;"OK","",$D295*INDEX('Lists'!$D$6:$D$30,MATCH($E295,'Lists'!$B$6:$B$30,0))/INDEX('Lists'!$D$6:$D$30,MATCH($G295,'Lists'!$B$6:$B$30,0)))</f>
        <v/>
      </c>
      <c r="J295" s="71">
        <f>IF($H295&lt;&gt;"OK","",$I295*INDEX('Inventory'!$G$7:$G$106,MATCH($C295,'Inventory'!$B$7:$B$106,0)))</f>
        <v/>
      </c>
    </row>
    <row r="296" ht="17" customHeight="1">
      <c r="B296" s="66" t="n"/>
      <c r="C296" s="60" t="n"/>
      <c r="D296" s="86" t="n"/>
      <c r="E296" s="60" t="n"/>
      <c r="F296" s="60" t="n"/>
      <c r="G296" s="13">
        <f>IF($C296="","",IFERROR(INDEX('Inventory'!$D$7:$D$106,MATCH($C296,'Inventory'!$B$7:$B$106,0))&amp;"","?"))</f>
        <v/>
      </c>
      <c r="H296" s="80">
        <f>IF(AND($B296="",$C296="",$D296=""),"",IF(NOT(ISNUMBER($B296)),"Enter a valid date",IF($C296="","Pick ingredient",IF($G296="?","Not in Inventory",IF($G296="","Set stock unit in Inventory",IF(N($D296)&lt;=0,"Enter quantity",IF($E296="","Pick unit",IF(IFERROR(INDEX('Lists'!$C$6:$C$30,MATCH($E296,'Lists'!$B$6:$B$30,0)),"?")&lt;&gt;IFERROR(INDEX('Lists'!$C$6:$C$30,MATCH($G296,'Lists'!$B$6:$B$30,0)),"?"),"Unit mismatch",IF(ISNUMBER(INDEX('Inventory'!$G$7:$G$106,MATCH($C296,'Inventory'!$B$7:$B$106,0))),"OK","Add price in Inventory")))))))))</f>
        <v/>
      </c>
      <c r="I296" s="88">
        <f>IF($H296&lt;&gt;"OK","",$D296*INDEX('Lists'!$D$6:$D$30,MATCH($E296,'Lists'!$B$6:$B$30,0))/INDEX('Lists'!$D$6:$D$30,MATCH($G296,'Lists'!$B$6:$B$30,0)))</f>
        <v/>
      </c>
      <c r="J296" s="71">
        <f>IF($H296&lt;&gt;"OK","",$I296*INDEX('Inventory'!$G$7:$G$106,MATCH($C296,'Inventory'!$B$7:$B$106,0)))</f>
        <v/>
      </c>
    </row>
    <row r="297" ht="17" customHeight="1">
      <c r="B297" s="66" t="n"/>
      <c r="C297" s="60" t="n"/>
      <c r="D297" s="86" t="n"/>
      <c r="E297" s="60" t="n"/>
      <c r="F297" s="60" t="n"/>
      <c r="G297" s="13">
        <f>IF($C297="","",IFERROR(INDEX('Inventory'!$D$7:$D$106,MATCH($C297,'Inventory'!$B$7:$B$106,0))&amp;"","?"))</f>
        <v/>
      </c>
      <c r="H297" s="80">
        <f>IF(AND($B297="",$C297="",$D297=""),"",IF(NOT(ISNUMBER($B297)),"Enter a valid date",IF($C297="","Pick ingredient",IF($G297="?","Not in Inventory",IF($G297="","Set stock unit in Inventory",IF(N($D297)&lt;=0,"Enter quantity",IF($E297="","Pick unit",IF(IFERROR(INDEX('Lists'!$C$6:$C$30,MATCH($E297,'Lists'!$B$6:$B$30,0)),"?")&lt;&gt;IFERROR(INDEX('Lists'!$C$6:$C$30,MATCH($G297,'Lists'!$B$6:$B$30,0)),"?"),"Unit mismatch",IF(ISNUMBER(INDEX('Inventory'!$G$7:$G$106,MATCH($C297,'Inventory'!$B$7:$B$106,0))),"OK","Add price in Inventory")))))))))</f>
        <v/>
      </c>
      <c r="I297" s="88">
        <f>IF($H297&lt;&gt;"OK","",$D297*INDEX('Lists'!$D$6:$D$30,MATCH($E297,'Lists'!$B$6:$B$30,0))/INDEX('Lists'!$D$6:$D$30,MATCH($G297,'Lists'!$B$6:$B$30,0)))</f>
        <v/>
      </c>
      <c r="J297" s="71">
        <f>IF($H297&lt;&gt;"OK","",$I297*INDEX('Inventory'!$G$7:$G$106,MATCH($C297,'Inventory'!$B$7:$B$106,0)))</f>
        <v/>
      </c>
    </row>
    <row r="298" ht="17" customHeight="1">
      <c r="B298" s="66" t="n"/>
      <c r="C298" s="60" t="n"/>
      <c r="D298" s="86" t="n"/>
      <c r="E298" s="60" t="n"/>
      <c r="F298" s="60" t="n"/>
      <c r="G298" s="13">
        <f>IF($C298="","",IFERROR(INDEX('Inventory'!$D$7:$D$106,MATCH($C298,'Inventory'!$B$7:$B$106,0))&amp;"","?"))</f>
        <v/>
      </c>
      <c r="H298" s="80">
        <f>IF(AND($B298="",$C298="",$D298=""),"",IF(NOT(ISNUMBER($B298)),"Enter a valid date",IF($C298="","Pick ingredient",IF($G298="?","Not in Inventory",IF($G298="","Set stock unit in Inventory",IF(N($D298)&lt;=0,"Enter quantity",IF($E298="","Pick unit",IF(IFERROR(INDEX('Lists'!$C$6:$C$30,MATCH($E298,'Lists'!$B$6:$B$30,0)),"?")&lt;&gt;IFERROR(INDEX('Lists'!$C$6:$C$30,MATCH($G298,'Lists'!$B$6:$B$30,0)),"?"),"Unit mismatch",IF(ISNUMBER(INDEX('Inventory'!$G$7:$G$106,MATCH($C298,'Inventory'!$B$7:$B$106,0))),"OK","Add price in Inventory")))))))))</f>
        <v/>
      </c>
      <c r="I298" s="88">
        <f>IF($H298&lt;&gt;"OK","",$D298*INDEX('Lists'!$D$6:$D$30,MATCH($E298,'Lists'!$B$6:$B$30,0))/INDEX('Lists'!$D$6:$D$30,MATCH($G298,'Lists'!$B$6:$B$30,0)))</f>
        <v/>
      </c>
      <c r="J298" s="71">
        <f>IF($H298&lt;&gt;"OK","",$I298*INDEX('Inventory'!$G$7:$G$106,MATCH($C298,'Inventory'!$B$7:$B$106,0)))</f>
        <v/>
      </c>
    </row>
    <row r="299" ht="17" customHeight="1">
      <c r="B299" s="66" t="n"/>
      <c r="C299" s="60" t="n"/>
      <c r="D299" s="86" t="n"/>
      <c r="E299" s="60" t="n"/>
      <c r="F299" s="60" t="n"/>
      <c r="G299" s="13">
        <f>IF($C299="","",IFERROR(INDEX('Inventory'!$D$7:$D$106,MATCH($C299,'Inventory'!$B$7:$B$106,0))&amp;"","?"))</f>
        <v/>
      </c>
      <c r="H299" s="80">
        <f>IF(AND($B299="",$C299="",$D299=""),"",IF(NOT(ISNUMBER($B299)),"Enter a valid date",IF($C299="","Pick ingredient",IF($G299="?","Not in Inventory",IF($G299="","Set stock unit in Inventory",IF(N($D299)&lt;=0,"Enter quantity",IF($E299="","Pick unit",IF(IFERROR(INDEX('Lists'!$C$6:$C$30,MATCH($E299,'Lists'!$B$6:$B$30,0)),"?")&lt;&gt;IFERROR(INDEX('Lists'!$C$6:$C$30,MATCH($G299,'Lists'!$B$6:$B$30,0)),"?"),"Unit mismatch",IF(ISNUMBER(INDEX('Inventory'!$G$7:$G$106,MATCH($C299,'Inventory'!$B$7:$B$106,0))),"OK","Add price in Inventory")))))))))</f>
        <v/>
      </c>
      <c r="I299" s="88">
        <f>IF($H299&lt;&gt;"OK","",$D299*INDEX('Lists'!$D$6:$D$30,MATCH($E299,'Lists'!$B$6:$B$30,0))/INDEX('Lists'!$D$6:$D$30,MATCH($G299,'Lists'!$B$6:$B$30,0)))</f>
        <v/>
      </c>
      <c r="J299" s="71">
        <f>IF($H299&lt;&gt;"OK","",$I299*INDEX('Inventory'!$G$7:$G$106,MATCH($C299,'Inventory'!$B$7:$B$106,0)))</f>
        <v/>
      </c>
    </row>
    <row r="300" ht="17" customHeight="1">
      <c r="B300" s="66" t="n"/>
      <c r="C300" s="60" t="n"/>
      <c r="D300" s="86" t="n"/>
      <c r="E300" s="60" t="n"/>
      <c r="F300" s="60" t="n"/>
      <c r="G300" s="13">
        <f>IF($C300="","",IFERROR(INDEX('Inventory'!$D$7:$D$106,MATCH($C300,'Inventory'!$B$7:$B$106,0))&amp;"","?"))</f>
        <v/>
      </c>
      <c r="H300" s="80">
        <f>IF(AND($B300="",$C300="",$D300=""),"",IF(NOT(ISNUMBER($B300)),"Enter a valid date",IF($C300="","Pick ingredient",IF($G300="?","Not in Inventory",IF($G300="","Set stock unit in Inventory",IF(N($D300)&lt;=0,"Enter quantity",IF($E300="","Pick unit",IF(IFERROR(INDEX('Lists'!$C$6:$C$30,MATCH($E300,'Lists'!$B$6:$B$30,0)),"?")&lt;&gt;IFERROR(INDEX('Lists'!$C$6:$C$30,MATCH($G300,'Lists'!$B$6:$B$30,0)),"?"),"Unit mismatch",IF(ISNUMBER(INDEX('Inventory'!$G$7:$G$106,MATCH($C300,'Inventory'!$B$7:$B$106,0))),"OK","Add price in Inventory")))))))))</f>
        <v/>
      </c>
      <c r="I300" s="88">
        <f>IF($H300&lt;&gt;"OK","",$D300*INDEX('Lists'!$D$6:$D$30,MATCH($E300,'Lists'!$B$6:$B$30,0))/INDEX('Lists'!$D$6:$D$30,MATCH($G300,'Lists'!$B$6:$B$30,0)))</f>
        <v/>
      </c>
      <c r="J300" s="71">
        <f>IF($H300&lt;&gt;"OK","",$I300*INDEX('Inventory'!$G$7:$G$106,MATCH($C300,'Inventory'!$B$7:$B$106,0)))</f>
        <v/>
      </c>
    </row>
    <row r="301" ht="17" customHeight="1">
      <c r="B301" s="66" t="n"/>
      <c r="C301" s="60" t="n"/>
      <c r="D301" s="86" t="n"/>
      <c r="E301" s="60" t="n"/>
      <c r="F301" s="60" t="n"/>
      <c r="G301" s="13">
        <f>IF($C301="","",IFERROR(INDEX('Inventory'!$D$7:$D$106,MATCH($C301,'Inventory'!$B$7:$B$106,0))&amp;"","?"))</f>
        <v/>
      </c>
      <c r="H301" s="80">
        <f>IF(AND($B301="",$C301="",$D301=""),"",IF(NOT(ISNUMBER($B301)),"Enter a valid date",IF($C301="","Pick ingredient",IF($G301="?","Not in Inventory",IF($G301="","Set stock unit in Inventory",IF(N($D301)&lt;=0,"Enter quantity",IF($E301="","Pick unit",IF(IFERROR(INDEX('Lists'!$C$6:$C$30,MATCH($E301,'Lists'!$B$6:$B$30,0)),"?")&lt;&gt;IFERROR(INDEX('Lists'!$C$6:$C$30,MATCH($G301,'Lists'!$B$6:$B$30,0)),"?"),"Unit mismatch",IF(ISNUMBER(INDEX('Inventory'!$G$7:$G$106,MATCH($C301,'Inventory'!$B$7:$B$106,0))),"OK","Add price in Inventory")))))))))</f>
        <v/>
      </c>
      <c r="I301" s="88">
        <f>IF($H301&lt;&gt;"OK","",$D301*INDEX('Lists'!$D$6:$D$30,MATCH($E301,'Lists'!$B$6:$B$30,0))/INDEX('Lists'!$D$6:$D$30,MATCH($G301,'Lists'!$B$6:$B$30,0)))</f>
        <v/>
      </c>
      <c r="J301" s="71">
        <f>IF($H301&lt;&gt;"OK","",$I301*INDEX('Inventory'!$G$7:$G$106,MATCH($C301,'Inventory'!$B$7:$B$106,0)))</f>
        <v/>
      </c>
    </row>
    <row r="302" ht="17" customHeight="1">
      <c r="B302" s="66" t="n"/>
      <c r="C302" s="60" t="n"/>
      <c r="D302" s="86" t="n"/>
      <c r="E302" s="60" t="n"/>
      <c r="F302" s="60" t="n"/>
      <c r="G302" s="13">
        <f>IF($C302="","",IFERROR(INDEX('Inventory'!$D$7:$D$106,MATCH($C302,'Inventory'!$B$7:$B$106,0))&amp;"","?"))</f>
        <v/>
      </c>
      <c r="H302" s="80">
        <f>IF(AND($B302="",$C302="",$D302=""),"",IF(NOT(ISNUMBER($B302)),"Enter a valid date",IF($C302="","Pick ingredient",IF($G302="?","Not in Inventory",IF($G302="","Set stock unit in Inventory",IF(N($D302)&lt;=0,"Enter quantity",IF($E302="","Pick unit",IF(IFERROR(INDEX('Lists'!$C$6:$C$30,MATCH($E302,'Lists'!$B$6:$B$30,0)),"?")&lt;&gt;IFERROR(INDEX('Lists'!$C$6:$C$30,MATCH($G302,'Lists'!$B$6:$B$30,0)),"?"),"Unit mismatch",IF(ISNUMBER(INDEX('Inventory'!$G$7:$G$106,MATCH($C302,'Inventory'!$B$7:$B$106,0))),"OK","Add price in Inventory")))))))))</f>
        <v/>
      </c>
      <c r="I302" s="88">
        <f>IF($H302&lt;&gt;"OK","",$D302*INDEX('Lists'!$D$6:$D$30,MATCH($E302,'Lists'!$B$6:$B$30,0))/INDEX('Lists'!$D$6:$D$30,MATCH($G302,'Lists'!$B$6:$B$30,0)))</f>
        <v/>
      </c>
      <c r="J302" s="71">
        <f>IF($H302&lt;&gt;"OK","",$I302*INDEX('Inventory'!$G$7:$G$106,MATCH($C302,'Inventory'!$B$7:$B$106,0)))</f>
        <v/>
      </c>
    </row>
    <row r="303" ht="17" customHeight="1">
      <c r="B303" s="66" t="n"/>
      <c r="C303" s="60" t="n"/>
      <c r="D303" s="86" t="n"/>
      <c r="E303" s="60" t="n"/>
      <c r="F303" s="60" t="n"/>
      <c r="G303" s="13">
        <f>IF($C303="","",IFERROR(INDEX('Inventory'!$D$7:$D$106,MATCH($C303,'Inventory'!$B$7:$B$106,0))&amp;"","?"))</f>
        <v/>
      </c>
      <c r="H303" s="80">
        <f>IF(AND($B303="",$C303="",$D303=""),"",IF(NOT(ISNUMBER($B303)),"Enter a valid date",IF($C303="","Pick ingredient",IF($G303="?","Not in Inventory",IF($G303="","Set stock unit in Inventory",IF(N($D303)&lt;=0,"Enter quantity",IF($E303="","Pick unit",IF(IFERROR(INDEX('Lists'!$C$6:$C$30,MATCH($E303,'Lists'!$B$6:$B$30,0)),"?")&lt;&gt;IFERROR(INDEX('Lists'!$C$6:$C$30,MATCH($G303,'Lists'!$B$6:$B$30,0)),"?"),"Unit mismatch",IF(ISNUMBER(INDEX('Inventory'!$G$7:$G$106,MATCH($C303,'Inventory'!$B$7:$B$106,0))),"OK","Add price in Inventory")))))))))</f>
        <v/>
      </c>
      <c r="I303" s="88">
        <f>IF($H303&lt;&gt;"OK","",$D303*INDEX('Lists'!$D$6:$D$30,MATCH($E303,'Lists'!$B$6:$B$30,0))/INDEX('Lists'!$D$6:$D$30,MATCH($G303,'Lists'!$B$6:$B$30,0)))</f>
        <v/>
      </c>
      <c r="J303" s="71">
        <f>IF($H303&lt;&gt;"OK","",$I303*INDEX('Inventory'!$G$7:$G$106,MATCH($C303,'Inventory'!$B$7:$B$106,0)))</f>
        <v/>
      </c>
    </row>
    <row r="304" ht="17" customHeight="1">
      <c r="B304" s="66" t="n"/>
      <c r="C304" s="60" t="n"/>
      <c r="D304" s="86" t="n"/>
      <c r="E304" s="60" t="n"/>
      <c r="F304" s="60" t="n"/>
      <c r="G304" s="13">
        <f>IF($C304="","",IFERROR(INDEX('Inventory'!$D$7:$D$106,MATCH($C304,'Inventory'!$B$7:$B$106,0))&amp;"","?"))</f>
        <v/>
      </c>
      <c r="H304" s="80">
        <f>IF(AND($B304="",$C304="",$D304=""),"",IF(NOT(ISNUMBER($B304)),"Enter a valid date",IF($C304="","Pick ingredient",IF($G304="?","Not in Inventory",IF($G304="","Set stock unit in Inventory",IF(N($D304)&lt;=0,"Enter quantity",IF($E304="","Pick unit",IF(IFERROR(INDEX('Lists'!$C$6:$C$30,MATCH($E304,'Lists'!$B$6:$B$30,0)),"?")&lt;&gt;IFERROR(INDEX('Lists'!$C$6:$C$30,MATCH($G304,'Lists'!$B$6:$B$30,0)),"?"),"Unit mismatch",IF(ISNUMBER(INDEX('Inventory'!$G$7:$G$106,MATCH($C304,'Inventory'!$B$7:$B$106,0))),"OK","Add price in Inventory")))))))))</f>
        <v/>
      </c>
      <c r="I304" s="88">
        <f>IF($H304&lt;&gt;"OK","",$D304*INDEX('Lists'!$D$6:$D$30,MATCH($E304,'Lists'!$B$6:$B$30,0))/INDEX('Lists'!$D$6:$D$30,MATCH($G304,'Lists'!$B$6:$B$30,0)))</f>
        <v/>
      </c>
      <c r="J304" s="71">
        <f>IF($H304&lt;&gt;"OK","",$I304*INDEX('Inventory'!$G$7:$G$106,MATCH($C304,'Inventory'!$B$7:$B$106,0)))</f>
        <v/>
      </c>
    </row>
    <row r="305" ht="17" customHeight="1">
      <c r="B305" s="66" t="n"/>
      <c r="C305" s="60" t="n"/>
      <c r="D305" s="86" t="n"/>
      <c r="E305" s="60" t="n"/>
      <c r="F305" s="60" t="n"/>
      <c r="G305" s="13">
        <f>IF($C305="","",IFERROR(INDEX('Inventory'!$D$7:$D$106,MATCH($C305,'Inventory'!$B$7:$B$106,0))&amp;"","?"))</f>
        <v/>
      </c>
      <c r="H305" s="80">
        <f>IF(AND($B305="",$C305="",$D305=""),"",IF(NOT(ISNUMBER($B305)),"Enter a valid date",IF($C305="","Pick ingredient",IF($G305="?","Not in Inventory",IF($G305="","Set stock unit in Inventory",IF(N($D305)&lt;=0,"Enter quantity",IF($E305="","Pick unit",IF(IFERROR(INDEX('Lists'!$C$6:$C$30,MATCH($E305,'Lists'!$B$6:$B$30,0)),"?")&lt;&gt;IFERROR(INDEX('Lists'!$C$6:$C$30,MATCH($G305,'Lists'!$B$6:$B$30,0)),"?"),"Unit mismatch",IF(ISNUMBER(INDEX('Inventory'!$G$7:$G$106,MATCH($C305,'Inventory'!$B$7:$B$106,0))),"OK","Add price in Inventory")))))))))</f>
        <v/>
      </c>
      <c r="I305" s="88">
        <f>IF($H305&lt;&gt;"OK","",$D305*INDEX('Lists'!$D$6:$D$30,MATCH($E305,'Lists'!$B$6:$B$30,0))/INDEX('Lists'!$D$6:$D$30,MATCH($G305,'Lists'!$B$6:$B$30,0)))</f>
        <v/>
      </c>
      <c r="J305" s="71">
        <f>IF($H305&lt;&gt;"OK","",$I305*INDEX('Inventory'!$G$7:$G$106,MATCH($C305,'Inventory'!$B$7:$B$106,0)))</f>
        <v/>
      </c>
    </row>
    <row r="306" ht="17" customHeight="1">
      <c r="B306" s="66" t="n"/>
      <c r="C306" s="60" t="n"/>
      <c r="D306" s="86" t="n"/>
      <c r="E306" s="60" t="n"/>
      <c r="F306" s="60" t="n"/>
      <c r="G306" s="13">
        <f>IF($C306="","",IFERROR(INDEX('Inventory'!$D$7:$D$106,MATCH($C306,'Inventory'!$B$7:$B$106,0))&amp;"","?"))</f>
        <v/>
      </c>
      <c r="H306" s="80">
        <f>IF(AND($B306="",$C306="",$D306=""),"",IF(NOT(ISNUMBER($B306)),"Enter a valid date",IF($C306="","Pick ingredient",IF($G306="?","Not in Inventory",IF($G306="","Set stock unit in Inventory",IF(N($D306)&lt;=0,"Enter quantity",IF($E306="","Pick unit",IF(IFERROR(INDEX('Lists'!$C$6:$C$30,MATCH($E306,'Lists'!$B$6:$B$30,0)),"?")&lt;&gt;IFERROR(INDEX('Lists'!$C$6:$C$30,MATCH($G306,'Lists'!$B$6:$B$30,0)),"?"),"Unit mismatch",IF(ISNUMBER(INDEX('Inventory'!$G$7:$G$106,MATCH($C306,'Inventory'!$B$7:$B$106,0))),"OK","Add price in Inventory")))))))))</f>
        <v/>
      </c>
      <c r="I306" s="88">
        <f>IF($H306&lt;&gt;"OK","",$D306*INDEX('Lists'!$D$6:$D$30,MATCH($E306,'Lists'!$B$6:$B$30,0))/INDEX('Lists'!$D$6:$D$30,MATCH($G306,'Lists'!$B$6:$B$30,0)))</f>
        <v/>
      </c>
      <c r="J306" s="71">
        <f>IF($H306&lt;&gt;"OK","",$I306*INDEX('Inventory'!$G$7:$G$106,MATCH($C306,'Inventory'!$B$7:$B$106,0)))</f>
        <v/>
      </c>
    </row>
    <row r="307" ht="17" customHeight="1">
      <c r="B307" s="66" t="n"/>
      <c r="C307" s="60" t="n"/>
      <c r="D307" s="86" t="n"/>
      <c r="E307" s="60" t="n"/>
      <c r="F307" s="60" t="n"/>
      <c r="G307" s="13">
        <f>IF($C307="","",IFERROR(INDEX('Inventory'!$D$7:$D$106,MATCH($C307,'Inventory'!$B$7:$B$106,0))&amp;"","?"))</f>
        <v/>
      </c>
      <c r="H307" s="80">
        <f>IF(AND($B307="",$C307="",$D307=""),"",IF(NOT(ISNUMBER($B307)),"Enter a valid date",IF($C307="","Pick ingredient",IF($G307="?","Not in Inventory",IF($G307="","Set stock unit in Inventory",IF(N($D307)&lt;=0,"Enter quantity",IF($E307="","Pick unit",IF(IFERROR(INDEX('Lists'!$C$6:$C$30,MATCH($E307,'Lists'!$B$6:$B$30,0)),"?")&lt;&gt;IFERROR(INDEX('Lists'!$C$6:$C$30,MATCH($G307,'Lists'!$B$6:$B$30,0)),"?"),"Unit mismatch",IF(ISNUMBER(INDEX('Inventory'!$G$7:$G$106,MATCH($C307,'Inventory'!$B$7:$B$106,0))),"OK","Add price in Inventory")))))))))</f>
        <v/>
      </c>
      <c r="I307" s="88">
        <f>IF($H307&lt;&gt;"OK","",$D307*INDEX('Lists'!$D$6:$D$30,MATCH($E307,'Lists'!$B$6:$B$30,0))/INDEX('Lists'!$D$6:$D$30,MATCH($G307,'Lists'!$B$6:$B$30,0)))</f>
        <v/>
      </c>
      <c r="J307" s="71">
        <f>IF($H307&lt;&gt;"OK","",$I307*INDEX('Inventory'!$G$7:$G$106,MATCH($C307,'Inventory'!$B$7:$B$106,0)))</f>
        <v/>
      </c>
    </row>
    <row r="308" ht="17" customHeight="1">
      <c r="B308" s="66" t="n"/>
      <c r="C308" s="60" t="n"/>
      <c r="D308" s="86" t="n"/>
      <c r="E308" s="60" t="n"/>
      <c r="F308" s="60" t="n"/>
      <c r="G308" s="13">
        <f>IF($C308="","",IFERROR(INDEX('Inventory'!$D$7:$D$106,MATCH($C308,'Inventory'!$B$7:$B$106,0))&amp;"","?"))</f>
        <v/>
      </c>
      <c r="H308" s="80">
        <f>IF(AND($B308="",$C308="",$D308=""),"",IF(NOT(ISNUMBER($B308)),"Enter a valid date",IF($C308="","Pick ingredient",IF($G308="?","Not in Inventory",IF($G308="","Set stock unit in Inventory",IF(N($D308)&lt;=0,"Enter quantity",IF($E308="","Pick unit",IF(IFERROR(INDEX('Lists'!$C$6:$C$30,MATCH($E308,'Lists'!$B$6:$B$30,0)),"?")&lt;&gt;IFERROR(INDEX('Lists'!$C$6:$C$30,MATCH($G308,'Lists'!$B$6:$B$30,0)),"?"),"Unit mismatch",IF(ISNUMBER(INDEX('Inventory'!$G$7:$G$106,MATCH($C308,'Inventory'!$B$7:$B$106,0))),"OK","Add price in Inventory")))))))))</f>
        <v/>
      </c>
      <c r="I308" s="88">
        <f>IF($H308&lt;&gt;"OK","",$D308*INDEX('Lists'!$D$6:$D$30,MATCH($E308,'Lists'!$B$6:$B$30,0))/INDEX('Lists'!$D$6:$D$30,MATCH($G308,'Lists'!$B$6:$B$30,0)))</f>
        <v/>
      </c>
      <c r="J308" s="71">
        <f>IF($H308&lt;&gt;"OK","",$I308*INDEX('Inventory'!$G$7:$G$106,MATCH($C308,'Inventory'!$B$7:$B$106,0)))</f>
        <v/>
      </c>
    </row>
    <row r="309" ht="17" customHeight="1">
      <c r="B309" s="66" t="n"/>
      <c r="C309" s="60" t="n"/>
      <c r="D309" s="86" t="n"/>
      <c r="E309" s="60" t="n"/>
      <c r="F309" s="60" t="n"/>
      <c r="G309" s="13">
        <f>IF($C309="","",IFERROR(INDEX('Inventory'!$D$7:$D$106,MATCH($C309,'Inventory'!$B$7:$B$106,0))&amp;"","?"))</f>
        <v/>
      </c>
      <c r="H309" s="80">
        <f>IF(AND($B309="",$C309="",$D309=""),"",IF(NOT(ISNUMBER($B309)),"Enter a valid date",IF($C309="","Pick ingredient",IF($G309="?","Not in Inventory",IF($G309="","Set stock unit in Inventory",IF(N($D309)&lt;=0,"Enter quantity",IF($E309="","Pick unit",IF(IFERROR(INDEX('Lists'!$C$6:$C$30,MATCH($E309,'Lists'!$B$6:$B$30,0)),"?")&lt;&gt;IFERROR(INDEX('Lists'!$C$6:$C$30,MATCH($G309,'Lists'!$B$6:$B$30,0)),"?"),"Unit mismatch",IF(ISNUMBER(INDEX('Inventory'!$G$7:$G$106,MATCH($C309,'Inventory'!$B$7:$B$106,0))),"OK","Add price in Inventory")))))))))</f>
        <v/>
      </c>
      <c r="I309" s="88">
        <f>IF($H309&lt;&gt;"OK","",$D309*INDEX('Lists'!$D$6:$D$30,MATCH($E309,'Lists'!$B$6:$B$30,0))/INDEX('Lists'!$D$6:$D$30,MATCH($G309,'Lists'!$B$6:$B$30,0)))</f>
        <v/>
      </c>
      <c r="J309" s="71">
        <f>IF($H309&lt;&gt;"OK","",$I309*INDEX('Inventory'!$G$7:$G$106,MATCH($C309,'Inventory'!$B$7:$B$106,0)))</f>
        <v/>
      </c>
    </row>
    <row r="310" ht="17" customHeight="1">
      <c r="B310" s="66" t="n"/>
      <c r="C310" s="60" t="n"/>
      <c r="D310" s="86" t="n"/>
      <c r="E310" s="60" t="n"/>
      <c r="F310" s="60" t="n"/>
      <c r="G310" s="13">
        <f>IF($C310="","",IFERROR(INDEX('Inventory'!$D$7:$D$106,MATCH($C310,'Inventory'!$B$7:$B$106,0))&amp;"","?"))</f>
        <v/>
      </c>
      <c r="H310" s="80">
        <f>IF(AND($B310="",$C310="",$D310=""),"",IF(NOT(ISNUMBER($B310)),"Enter a valid date",IF($C310="","Pick ingredient",IF($G310="?","Not in Inventory",IF($G310="","Set stock unit in Inventory",IF(N($D310)&lt;=0,"Enter quantity",IF($E310="","Pick unit",IF(IFERROR(INDEX('Lists'!$C$6:$C$30,MATCH($E310,'Lists'!$B$6:$B$30,0)),"?")&lt;&gt;IFERROR(INDEX('Lists'!$C$6:$C$30,MATCH($G310,'Lists'!$B$6:$B$30,0)),"?"),"Unit mismatch",IF(ISNUMBER(INDEX('Inventory'!$G$7:$G$106,MATCH($C310,'Inventory'!$B$7:$B$106,0))),"OK","Add price in Inventory")))))))))</f>
        <v/>
      </c>
      <c r="I310" s="88">
        <f>IF($H310&lt;&gt;"OK","",$D310*INDEX('Lists'!$D$6:$D$30,MATCH($E310,'Lists'!$B$6:$B$30,0))/INDEX('Lists'!$D$6:$D$30,MATCH($G310,'Lists'!$B$6:$B$30,0)))</f>
        <v/>
      </c>
      <c r="J310" s="71">
        <f>IF($H310&lt;&gt;"OK","",$I310*INDEX('Inventory'!$G$7:$G$106,MATCH($C310,'Inventory'!$B$7:$B$106,0)))</f>
        <v/>
      </c>
    </row>
    <row r="311" ht="17" customHeight="1">
      <c r="B311" s="66" t="n"/>
      <c r="C311" s="60" t="n"/>
      <c r="D311" s="86" t="n"/>
      <c r="E311" s="60" t="n"/>
      <c r="F311" s="60" t="n"/>
      <c r="G311" s="13">
        <f>IF($C311="","",IFERROR(INDEX('Inventory'!$D$7:$D$106,MATCH($C311,'Inventory'!$B$7:$B$106,0))&amp;"","?"))</f>
        <v/>
      </c>
      <c r="H311" s="80">
        <f>IF(AND($B311="",$C311="",$D311=""),"",IF(NOT(ISNUMBER($B311)),"Enter a valid date",IF($C311="","Pick ingredient",IF($G311="?","Not in Inventory",IF($G311="","Set stock unit in Inventory",IF(N($D311)&lt;=0,"Enter quantity",IF($E311="","Pick unit",IF(IFERROR(INDEX('Lists'!$C$6:$C$30,MATCH($E311,'Lists'!$B$6:$B$30,0)),"?")&lt;&gt;IFERROR(INDEX('Lists'!$C$6:$C$30,MATCH($G311,'Lists'!$B$6:$B$30,0)),"?"),"Unit mismatch",IF(ISNUMBER(INDEX('Inventory'!$G$7:$G$106,MATCH($C311,'Inventory'!$B$7:$B$106,0))),"OK","Add price in Inventory")))))))))</f>
        <v/>
      </c>
      <c r="I311" s="88">
        <f>IF($H311&lt;&gt;"OK","",$D311*INDEX('Lists'!$D$6:$D$30,MATCH($E311,'Lists'!$B$6:$B$30,0))/INDEX('Lists'!$D$6:$D$30,MATCH($G311,'Lists'!$B$6:$B$30,0)))</f>
        <v/>
      </c>
      <c r="J311" s="71">
        <f>IF($H311&lt;&gt;"OK","",$I311*INDEX('Inventory'!$G$7:$G$106,MATCH($C311,'Inventory'!$B$7:$B$106,0)))</f>
        <v/>
      </c>
    </row>
    <row r="312" ht="17" customHeight="1">
      <c r="B312" s="66" t="n"/>
      <c r="C312" s="60" t="n"/>
      <c r="D312" s="86" t="n"/>
      <c r="E312" s="60" t="n"/>
      <c r="F312" s="60" t="n"/>
      <c r="G312" s="13">
        <f>IF($C312="","",IFERROR(INDEX('Inventory'!$D$7:$D$106,MATCH($C312,'Inventory'!$B$7:$B$106,0))&amp;"","?"))</f>
        <v/>
      </c>
      <c r="H312" s="80">
        <f>IF(AND($B312="",$C312="",$D312=""),"",IF(NOT(ISNUMBER($B312)),"Enter a valid date",IF($C312="","Pick ingredient",IF($G312="?","Not in Inventory",IF($G312="","Set stock unit in Inventory",IF(N($D312)&lt;=0,"Enter quantity",IF($E312="","Pick unit",IF(IFERROR(INDEX('Lists'!$C$6:$C$30,MATCH($E312,'Lists'!$B$6:$B$30,0)),"?")&lt;&gt;IFERROR(INDEX('Lists'!$C$6:$C$30,MATCH($G312,'Lists'!$B$6:$B$30,0)),"?"),"Unit mismatch",IF(ISNUMBER(INDEX('Inventory'!$G$7:$G$106,MATCH($C312,'Inventory'!$B$7:$B$106,0))),"OK","Add price in Inventory")))))))))</f>
        <v/>
      </c>
      <c r="I312" s="88">
        <f>IF($H312&lt;&gt;"OK","",$D312*INDEX('Lists'!$D$6:$D$30,MATCH($E312,'Lists'!$B$6:$B$30,0))/INDEX('Lists'!$D$6:$D$30,MATCH($G312,'Lists'!$B$6:$B$30,0)))</f>
        <v/>
      </c>
      <c r="J312" s="71">
        <f>IF($H312&lt;&gt;"OK","",$I312*INDEX('Inventory'!$G$7:$G$106,MATCH($C312,'Inventory'!$B$7:$B$106,0)))</f>
        <v/>
      </c>
    </row>
    <row r="313" ht="17" customHeight="1">
      <c r="B313" s="66" t="n"/>
      <c r="C313" s="60" t="n"/>
      <c r="D313" s="86" t="n"/>
      <c r="E313" s="60" t="n"/>
      <c r="F313" s="60" t="n"/>
      <c r="G313" s="13">
        <f>IF($C313="","",IFERROR(INDEX('Inventory'!$D$7:$D$106,MATCH($C313,'Inventory'!$B$7:$B$106,0))&amp;"","?"))</f>
        <v/>
      </c>
      <c r="H313" s="80">
        <f>IF(AND($B313="",$C313="",$D313=""),"",IF(NOT(ISNUMBER($B313)),"Enter a valid date",IF($C313="","Pick ingredient",IF($G313="?","Not in Inventory",IF($G313="","Set stock unit in Inventory",IF(N($D313)&lt;=0,"Enter quantity",IF($E313="","Pick unit",IF(IFERROR(INDEX('Lists'!$C$6:$C$30,MATCH($E313,'Lists'!$B$6:$B$30,0)),"?")&lt;&gt;IFERROR(INDEX('Lists'!$C$6:$C$30,MATCH($G313,'Lists'!$B$6:$B$30,0)),"?"),"Unit mismatch",IF(ISNUMBER(INDEX('Inventory'!$G$7:$G$106,MATCH($C313,'Inventory'!$B$7:$B$106,0))),"OK","Add price in Inventory")))))))))</f>
        <v/>
      </c>
      <c r="I313" s="88">
        <f>IF($H313&lt;&gt;"OK","",$D313*INDEX('Lists'!$D$6:$D$30,MATCH($E313,'Lists'!$B$6:$B$30,0))/INDEX('Lists'!$D$6:$D$30,MATCH($G313,'Lists'!$B$6:$B$30,0)))</f>
        <v/>
      </c>
      <c r="J313" s="71">
        <f>IF($H313&lt;&gt;"OK","",$I313*INDEX('Inventory'!$G$7:$G$106,MATCH($C313,'Inventory'!$B$7:$B$106,0)))</f>
        <v/>
      </c>
    </row>
    <row r="314" ht="17" customHeight="1">
      <c r="B314" s="66" t="n"/>
      <c r="C314" s="60" t="n"/>
      <c r="D314" s="86" t="n"/>
      <c r="E314" s="60" t="n"/>
      <c r="F314" s="60" t="n"/>
      <c r="G314" s="13">
        <f>IF($C314="","",IFERROR(INDEX('Inventory'!$D$7:$D$106,MATCH($C314,'Inventory'!$B$7:$B$106,0))&amp;"","?"))</f>
        <v/>
      </c>
      <c r="H314" s="80">
        <f>IF(AND($B314="",$C314="",$D314=""),"",IF(NOT(ISNUMBER($B314)),"Enter a valid date",IF($C314="","Pick ingredient",IF($G314="?","Not in Inventory",IF($G314="","Set stock unit in Inventory",IF(N($D314)&lt;=0,"Enter quantity",IF($E314="","Pick unit",IF(IFERROR(INDEX('Lists'!$C$6:$C$30,MATCH($E314,'Lists'!$B$6:$B$30,0)),"?")&lt;&gt;IFERROR(INDEX('Lists'!$C$6:$C$30,MATCH($G314,'Lists'!$B$6:$B$30,0)),"?"),"Unit mismatch",IF(ISNUMBER(INDEX('Inventory'!$G$7:$G$106,MATCH($C314,'Inventory'!$B$7:$B$106,0))),"OK","Add price in Inventory")))))))))</f>
        <v/>
      </c>
      <c r="I314" s="88">
        <f>IF($H314&lt;&gt;"OK","",$D314*INDEX('Lists'!$D$6:$D$30,MATCH($E314,'Lists'!$B$6:$B$30,0))/INDEX('Lists'!$D$6:$D$30,MATCH($G314,'Lists'!$B$6:$B$30,0)))</f>
        <v/>
      </c>
      <c r="J314" s="71">
        <f>IF($H314&lt;&gt;"OK","",$I314*INDEX('Inventory'!$G$7:$G$106,MATCH($C314,'Inventory'!$B$7:$B$106,0)))</f>
        <v/>
      </c>
    </row>
    <row r="315" ht="17" customHeight="1">
      <c r="B315" s="66" t="n"/>
      <c r="C315" s="60" t="n"/>
      <c r="D315" s="86" t="n"/>
      <c r="E315" s="60" t="n"/>
      <c r="F315" s="60" t="n"/>
      <c r="G315" s="13">
        <f>IF($C315="","",IFERROR(INDEX('Inventory'!$D$7:$D$106,MATCH($C315,'Inventory'!$B$7:$B$106,0))&amp;"","?"))</f>
        <v/>
      </c>
      <c r="H315" s="80">
        <f>IF(AND($B315="",$C315="",$D315=""),"",IF(NOT(ISNUMBER($B315)),"Enter a valid date",IF($C315="","Pick ingredient",IF($G315="?","Not in Inventory",IF($G315="","Set stock unit in Inventory",IF(N($D315)&lt;=0,"Enter quantity",IF($E315="","Pick unit",IF(IFERROR(INDEX('Lists'!$C$6:$C$30,MATCH($E315,'Lists'!$B$6:$B$30,0)),"?")&lt;&gt;IFERROR(INDEX('Lists'!$C$6:$C$30,MATCH($G315,'Lists'!$B$6:$B$30,0)),"?"),"Unit mismatch",IF(ISNUMBER(INDEX('Inventory'!$G$7:$G$106,MATCH($C315,'Inventory'!$B$7:$B$106,0))),"OK","Add price in Inventory")))))))))</f>
        <v/>
      </c>
      <c r="I315" s="88">
        <f>IF($H315&lt;&gt;"OK","",$D315*INDEX('Lists'!$D$6:$D$30,MATCH($E315,'Lists'!$B$6:$B$30,0))/INDEX('Lists'!$D$6:$D$30,MATCH($G315,'Lists'!$B$6:$B$30,0)))</f>
        <v/>
      </c>
      <c r="J315" s="71">
        <f>IF($H315&lt;&gt;"OK","",$I315*INDEX('Inventory'!$G$7:$G$106,MATCH($C315,'Inventory'!$B$7:$B$106,0)))</f>
        <v/>
      </c>
    </row>
    <row r="316" ht="17" customHeight="1">
      <c r="B316" s="66" t="n"/>
      <c r="C316" s="60" t="n"/>
      <c r="D316" s="86" t="n"/>
      <c r="E316" s="60" t="n"/>
      <c r="F316" s="60" t="n"/>
      <c r="G316" s="13">
        <f>IF($C316="","",IFERROR(INDEX('Inventory'!$D$7:$D$106,MATCH($C316,'Inventory'!$B$7:$B$106,0))&amp;"","?"))</f>
        <v/>
      </c>
      <c r="H316" s="80">
        <f>IF(AND($B316="",$C316="",$D316=""),"",IF(NOT(ISNUMBER($B316)),"Enter a valid date",IF($C316="","Pick ingredient",IF($G316="?","Not in Inventory",IF($G316="","Set stock unit in Inventory",IF(N($D316)&lt;=0,"Enter quantity",IF($E316="","Pick unit",IF(IFERROR(INDEX('Lists'!$C$6:$C$30,MATCH($E316,'Lists'!$B$6:$B$30,0)),"?")&lt;&gt;IFERROR(INDEX('Lists'!$C$6:$C$30,MATCH($G316,'Lists'!$B$6:$B$30,0)),"?"),"Unit mismatch",IF(ISNUMBER(INDEX('Inventory'!$G$7:$G$106,MATCH($C316,'Inventory'!$B$7:$B$106,0))),"OK","Add price in Inventory")))))))))</f>
        <v/>
      </c>
      <c r="I316" s="88">
        <f>IF($H316&lt;&gt;"OK","",$D316*INDEX('Lists'!$D$6:$D$30,MATCH($E316,'Lists'!$B$6:$B$30,0))/INDEX('Lists'!$D$6:$D$30,MATCH($G316,'Lists'!$B$6:$B$30,0)))</f>
        <v/>
      </c>
      <c r="J316" s="71">
        <f>IF($H316&lt;&gt;"OK","",$I316*INDEX('Inventory'!$G$7:$G$106,MATCH($C316,'Inventory'!$B$7:$B$106,0)))</f>
        <v/>
      </c>
    </row>
    <row r="317" ht="17" customHeight="1">
      <c r="B317" s="66" t="n"/>
      <c r="C317" s="60" t="n"/>
      <c r="D317" s="86" t="n"/>
      <c r="E317" s="60" t="n"/>
      <c r="F317" s="60" t="n"/>
      <c r="G317" s="13">
        <f>IF($C317="","",IFERROR(INDEX('Inventory'!$D$7:$D$106,MATCH($C317,'Inventory'!$B$7:$B$106,0))&amp;"","?"))</f>
        <v/>
      </c>
      <c r="H317" s="80">
        <f>IF(AND($B317="",$C317="",$D317=""),"",IF(NOT(ISNUMBER($B317)),"Enter a valid date",IF($C317="","Pick ingredient",IF($G317="?","Not in Inventory",IF($G317="","Set stock unit in Inventory",IF(N($D317)&lt;=0,"Enter quantity",IF($E317="","Pick unit",IF(IFERROR(INDEX('Lists'!$C$6:$C$30,MATCH($E317,'Lists'!$B$6:$B$30,0)),"?")&lt;&gt;IFERROR(INDEX('Lists'!$C$6:$C$30,MATCH($G317,'Lists'!$B$6:$B$30,0)),"?"),"Unit mismatch",IF(ISNUMBER(INDEX('Inventory'!$G$7:$G$106,MATCH($C317,'Inventory'!$B$7:$B$106,0))),"OK","Add price in Inventory")))))))))</f>
        <v/>
      </c>
      <c r="I317" s="88">
        <f>IF($H317&lt;&gt;"OK","",$D317*INDEX('Lists'!$D$6:$D$30,MATCH($E317,'Lists'!$B$6:$B$30,0))/INDEX('Lists'!$D$6:$D$30,MATCH($G317,'Lists'!$B$6:$B$30,0)))</f>
        <v/>
      </c>
      <c r="J317" s="71">
        <f>IF($H317&lt;&gt;"OK","",$I317*INDEX('Inventory'!$G$7:$G$106,MATCH($C317,'Inventory'!$B$7:$B$106,0)))</f>
        <v/>
      </c>
    </row>
    <row r="318" ht="17" customHeight="1">
      <c r="B318" s="66" t="n"/>
      <c r="C318" s="60" t="n"/>
      <c r="D318" s="86" t="n"/>
      <c r="E318" s="60" t="n"/>
      <c r="F318" s="60" t="n"/>
      <c r="G318" s="13">
        <f>IF($C318="","",IFERROR(INDEX('Inventory'!$D$7:$D$106,MATCH($C318,'Inventory'!$B$7:$B$106,0))&amp;"","?"))</f>
        <v/>
      </c>
      <c r="H318" s="80">
        <f>IF(AND($B318="",$C318="",$D318=""),"",IF(NOT(ISNUMBER($B318)),"Enter a valid date",IF($C318="","Pick ingredient",IF($G318="?","Not in Inventory",IF($G318="","Set stock unit in Inventory",IF(N($D318)&lt;=0,"Enter quantity",IF($E318="","Pick unit",IF(IFERROR(INDEX('Lists'!$C$6:$C$30,MATCH($E318,'Lists'!$B$6:$B$30,0)),"?")&lt;&gt;IFERROR(INDEX('Lists'!$C$6:$C$30,MATCH($G318,'Lists'!$B$6:$B$30,0)),"?"),"Unit mismatch",IF(ISNUMBER(INDEX('Inventory'!$G$7:$G$106,MATCH($C318,'Inventory'!$B$7:$B$106,0))),"OK","Add price in Inventory")))))))))</f>
        <v/>
      </c>
      <c r="I318" s="88">
        <f>IF($H318&lt;&gt;"OK","",$D318*INDEX('Lists'!$D$6:$D$30,MATCH($E318,'Lists'!$B$6:$B$30,0))/INDEX('Lists'!$D$6:$D$30,MATCH($G318,'Lists'!$B$6:$B$30,0)))</f>
        <v/>
      </c>
      <c r="J318" s="71">
        <f>IF($H318&lt;&gt;"OK","",$I318*INDEX('Inventory'!$G$7:$G$106,MATCH($C318,'Inventory'!$B$7:$B$106,0)))</f>
        <v/>
      </c>
    </row>
    <row r="319" ht="17" customHeight="1">
      <c r="B319" s="66" t="n"/>
      <c r="C319" s="60" t="n"/>
      <c r="D319" s="86" t="n"/>
      <c r="E319" s="60" t="n"/>
      <c r="F319" s="60" t="n"/>
      <c r="G319" s="13">
        <f>IF($C319="","",IFERROR(INDEX('Inventory'!$D$7:$D$106,MATCH($C319,'Inventory'!$B$7:$B$106,0))&amp;"","?"))</f>
        <v/>
      </c>
      <c r="H319" s="80">
        <f>IF(AND($B319="",$C319="",$D319=""),"",IF(NOT(ISNUMBER($B319)),"Enter a valid date",IF($C319="","Pick ingredient",IF($G319="?","Not in Inventory",IF($G319="","Set stock unit in Inventory",IF(N($D319)&lt;=0,"Enter quantity",IF($E319="","Pick unit",IF(IFERROR(INDEX('Lists'!$C$6:$C$30,MATCH($E319,'Lists'!$B$6:$B$30,0)),"?")&lt;&gt;IFERROR(INDEX('Lists'!$C$6:$C$30,MATCH($G319,'Lists'!$B$6:$B$30,0)),"?"),"Unit mismatch",IF(ISNUMBER(INDEX('Inventory'!$G$7:$G$106,MATCH($C319,'Inventory'!$B$7:$B$106,0))),"OK","Add price in Inventory")))))))))</f>
        <v/>
      </c>
      <c r="I319" s="88">
        <f>IF($H319&lt;&gt;"OK","",$D319*INDEX('Lists'!$D$6:$D$30,MATCH($E319,'Lists'!$B$6:$B$30,0))/INDEX('Lists'!$D$6:$D$30,MATCH($G319,'Lists'!$B$6:$B$30,0)))</f>
        <v/>
      </c>
      <c r="J319" s="71">
        <f>IF($H319&lt;&gt;"OK","",$I319*INDEX('Inventory'!$G$7:$G$106,MATCH($C319,'Inventory'!$B$7:$B$106,0)))</f>
        <v/>
      </c>
    </row>
    <row r="320" ht="17" customHeight="1">
      <c r="B320" s="66" t="n"/>
      <c r="C320" s="60" t="n"/>
      <c r="D320" s="86" t="n"/>
      <c r="E320" s="60" t="n"/>
      <c r="F320" s="60" t="n"/>
      <c r="G320" s="13">
        <f>IF($C320="","",IFERROR(INDEX('Inventory'!$D$7:$D$106,MATCH($C320,'Inventory'!$B$7:$B$106,0))&amp;"","?"))</f>
        <v/>
      </c>
      <c r="H320" s="80">
        <f>IF(AND($B320="",$C320="",$D320=""),"",IF(NOT(ISNUMBER($B320)),"Enter a valid date",IF($C320="","Pick ingredient",IF($G320="?","Not in Inventory",IF($G320="","Set stock unit in Inventory",IF(N($D320)&lt;=0,"Enter quantity",IF($E320="","Pick unit",IF(IFERROR(INDEX('Lists'!$C$6:$C$30,MATCH($E320,'Lists'!$B$6:$B$30,0)),"?")&lt;&gt;IFERROR(INDEX('Lists'!$C$6:$C$30,MATCH($G320,'Lists'!$B$6:$B$30,0)),"?"),"Unit mismatch",IF(ISNUMBER(INDEX('Inventory'!$G$7:$G$106,MATCH($C320,'Inventory'!$B$7:$B$106,0))),"OK","Add price in Inventory")))))))))</f>
        <v/>
      </c>
      <c r="I320" s="88">
        <f>IF($H320&lt;&gt;"OK","",$D320*INDEX('Lists'!$D$6:$D$30,MATCH($E320,'Lists'!$B$6:$B$30,0))/INDEX('Lists'!$D$6:$D$30,MATCH($G320,'Lists'!$B$6:$B$30,0)))</f>
        <v/>
      </c>
      <c r="J320" s="71">
        <f>IF($H320&lt;&gt;"OK","",$I320*INDEX('Inventory'!$G$7:$G$106,MATCH($C320,'Inventory'!$B$7:$B$106,0)))</f>
        <v/>
      </c>
    </row>
    <row r="321" ht="17" customHeight="1">
      <c r="B321" s="66" t="n"/>
      <c r="C321" s="60" t="n"/>
      <c r="D321" s="86" t="n"/>
      <c r="E321" s="60" t="n"/>
      <c r="F321" s="60" t="n"/>
      <c r="G321" s="13">
        <f>IF($C321="","",IFERROR(INDEX('Inventory'!$D$7:$D$106,MATCH($C321,'Inventory'!$B$7:$B$106,0))&amp;"","?"))</f>
        <v/>
      </c>
      <c r="H321" s="80">
        <f>IF(AND($B321="",$C321="",$D321=""),"",IF(NOT(ISNUMBER($B321)),"Enter a valid date",IF($C321="","Pick ingredient",IF($G321="?","Not in Inventory",IF($G321="","Set stock unit in Inventory",IF(N($D321)&lt;=0,"Enter quantity",IF($E321="","Pick unit",IF(IFERROR(INDEX('Lists'!$C$6:$C$30,MATCH($E321,'Lists'!$B$6:$B$30,0)),"?")&lt;&gt;IFERROR(INDEX('Lists'!$C$6:$C$30,MATCH($G321,'Lists'!$B$6:$B$30,0)),"?"),"Unit mismatch",IF(ISNUMBER(INDEX('Inventory'!$G$7:$G$106,MATCH($C321,'Inventory'!$B$7:$B$106,0))),"OK","Add price in Inventory")))))))))</f>
        <v/>
      </c>
      <c r="I321" s="88">
        <f>IF($H321&lt;&gt;"OK","",$D321*INDEX('Lists'!$D$6:$D$30,MATCH($E321,'Lists'!$B$6:$B$30,0))/INDEX('Lists'!$D$6:$D$30,MATCH($G321,'Lists'!$B$6:$B$30,0)))</f>
        <v/>
      </c>
      <c r="J321" s="71">
        <f>IF($H321&lt;&gt;"OK","",$I321*INDEX('Inventory'!$G$7:$G$106,MATCH($C321,'Inventory'!$B$7:$B$106,0)))</f>
        <v/>
      </c>
    </row>
    <row r="322" ht="17" customHeight="1">
      <c r="B322" s="66" t="n"/>
      <c r="C322" s="60" t="n"/>
      <c r="D322" s="86" t="n"/>
      <c r="E322" s="60" t="n"/>
      <c r="F322" s="60" t="n"/>
      <c r="G322" s="13">
        <f>IF($C322="","",IFERROR(INDEX('Inventory'!$D$7:$D$106,MATCH($C322,'Inventory'!$B$7:$B$106,0))&amp;"","?"))</f>
        <v/>
      </c>
      <c r="H322" s="80">
        <f>IF(AND($B322="",$C322="",$D322=""),"",IF(NOT(ISNUMBER($B322)),"Enter a valid date",IF($C322="","Pick ingredient",IF($G322="?","Not in Inventory",IF($G322="","Set stock unit in Inventory",IF(N($D322)&lt;=0,"Enter quantity",IF($E322="","Pick unit",IF(IFERROR(INDEX('Lists'!$C$6:$C$30,MATCH($E322,'Lists'!$B$6:$B$30,0)),"?")&lt;&gt;IFERROR(INDEX('Lists'!$C$6:$C$30,MATCH($G322,'Lists'!$B$6:$B$30,0)),"?"),"Unit mismatch",IF(ISNUMBER(INDEX('Inventory'!$G$7:$G$106,MATCH($C322,'Inventory'!$B$7:$B$106,0))),"OK","Add price in Inventory")))))))))</f>
        <v/>
      </c>
      <c r="I322" s="88">
        <f>IF($H322&lt;&gt;"OK","",$D322*INDEX('Lists'!$D$6:$D$30,MATCH($E322,'Lists'!$B$6:$B$30,0))/INDEX('Lists'!$D$6:$D$30,MATCH($G322,'Lists'!$B$6:$B$30,0)))</f>
        <v/>
      </c>
      <c r="J322" s="71">
        <f>IF($H322&lt;&gt;"OK","",$I322*INDEX('Inventory'!$G$7:$G$106,MATCH($C322,'Inventory'!$B$7:$B$106,0)))</f>
        <v/>
      </c>
    </row>
    <row r="323" ht="17" customHeight="1">
      <c r="B323" s="66" t="n"/>
      <c r="C323" s="60" t="n"/>
      <c r="D323" s="86" t="n"/>
      <c r="E323" s="60" t="n"/>
      <c r="F323" s="60" t="n"/>
      <c r="G323" s="13">
        <f>IF($C323="","",IFERROR(INDEX('Inventory'!$D$7:$D$106,MATCH($C323,'Inventory'!$B$7:$B$106,0))&amp;"","?"))</f>
        <v/>
      </c>
      <c r="H323" s="80">
        <f>IF(AND($B323="",$C323="",$D323=""),"",IF(NOT(ISNUMBER($B323)),"Enter a valid date",IF($C323="","Pick ingredient",IF($G323="?","Not in Inventory",IF($G323="","Set stock unit in Inventory",IF(N($D323)&lt;=0,"Enter quantity",IF($E323="","Pick unit",IF(IFERROR(INDEX('Lists'!$C$6:$C$30,MATCH($E323,'Lists'!$B$6:$B$30,0)),"?")&lt;&gt;IFERROR(INDEX('Lists'!$C$6:$C$30,MATCH($G323,'Lists'!$B$6:$B$30,0)),"?"),"Unit mismatch",IF(ISNUMBER(INDEX('Inventory'!$G$7:$G$106,MATCH($C323,'Inventory'!$B$7:$B$106,0))),"OK","Add price in Inventory")))))))))</f>
        <v/>
      </c>
      <c r="I323" s="88">
        <f>IF($H323&lt;&gt;"OK","",$D323*INDEX('Lists'!$D$6:$D$30,MATCH($E323,'Lists'!$B$6:$B$30,0))/INDEX('Lists'!$D$6:$D$30,MATCH($G323,'Lists'!$B$6:$B$30,0)))</f>
        <v/>
      </c>
      <c r="J323" s="71">
        <f>IF($H323&lt;&gt;"OK","",$I323*INDEX('Inventory'!$G$7:$G$106,MATCH($C323,'Inventory'!$B$7:$B$106,0)))</f>
        <v/>
      </c>
    </row>
    <row r="324" ht="17" customHeight="1">
      <c r="B324" s="66" t="n"/>
      <c r="C324" s="60" t="n"/>
      <c r="D324" s="86" t="n"/>
      <c r="E324" s="60" t="n"/>
      <c r="F324" s="60" t="n"/>
      <c r="G324" s="13">
        <f>IF($C324="","",IFERROR(INDEX('Inventory'!$D$7:$D$106,MATCH($C324,'Inventory'!$B$7:$B$106,0))&amp;"","?"))</f>
        <v/>
      </c>
      <c r="H324" s="80">
        <f>IF(AND($B324="",$C324="",$D324=""),"",IF(NOT(ISNUMBER($B324)),"Enter a valid date",IF($C324="","Pick ingredient",IF($G324="?","Not in Inventory",IF($G324="","Set stock unit in Inventory",IF(N($D324)&lt;=0,"Enter quantity",IF($E324="","Pick unit",IF(IFERROR(INDEX('Lists'!$C$6:$C$30,MATCH($E324,'Lists'!$B$6:$B$30,0)),"?")&lt;&gt;IFERROR(INDEX('Lists'!$C$6:$C$30,MATCH($G324,'Lists'!$B$6:$B$30,0)),"?"),"Unit mismatch",IF(ISNUMBER(INDEX('Inventory'!$G$7:$G$106,MATCH($C324,'Inventory'!$B$7:$B$106,0))),"OK","Add price in Inventory")))))))))</f>
        <v/>
      </c>
      <c r="I324" s="88">
        <f>IF($H324&lt;&gt;"OK","",$D324*INDEX('Lists'!$D$6:$D$30,MATCH($E324,'Lists'!$B$6:$B$30,0))/INDEX('Lists'!$D$6:$D$30,MATCH($G324,'Lists'!$B$6:$B$30,0)))</f>
        <v/>
      </c>
      <c r="J324" s="71">
        <f>IF($H324&lt;&gt;"OK","",$I324*INDEX('Inventory'!$G$7:$G$106,MATCH($C324,'Inventory'!$B$7:$B$106,0)))</f>
        <v/>
      </c>
    </row>
    <row r="325" ht="17" customHeight="1">
      <c r="B325" s="66" t="n"/>
      <c r="C325" s="60" t="n"/>
      <c r="D325" s="86" t="n"/>
      <c r="E325" s="60" t="n"/>
      <c r="F325" s="60" t="n"/>
      <c r="G325" s="13">
        <f>IF($C325="","",IFERROR(INDEX('Inventory'!$D$7:$D$106,MATCH($C325,'Inventory'!$B$7:$B$106,0))&amp;"","?"))</f>
        <v/>
      </c>
      <c r="H325" s="80">
        <f>IF(AND($B325="",$C325="",$D325=""),"",IF(NOT(ISNUMBER($B325)),"Enter a valid date",IF($C325="","Pick ingredient",IF($G325="?","Not in Inventory",IF($G325="","Set stock unit in Inventory",IF(N($D325)&lt;=0,"Enter quantity",IF($E325="","Pick unit",IF(IFERROR(INDEX('Lists'!$C$6:$C$30,MATCH($E325,'Lists'!$B$6:$B$30,0)),"?")&lt;&gt;IFERROR(INDEX('Lists'!$C$6:$C$30,MATCH($G325,'Lists'!$B$6:$B$30,0)),"?"),"Unit mismatch",IF(ISNUMBER(INDEX('Inventory'!$G$7:$G$106,MATCH($C325,'Inventory'!$B$7:$B$106,0))),"OK","Add price in Inventory")))))))))</f>
        <v/>
      </c>
      <c r="I325" s="88">
        <f>IF($H325&lt;&gt;"OK","",$D325*INDEX('Lists'!$D$6:$D$30,MATCH($E325,'Lists'!$B$6:$B$30,0))/INDEX('Lists'!$D$6:$D$30,MATCH($G325,'Lists'!$B$6:$B$30,0)))</f>
        <v/>
      </c>
      <c r="J325" s="71">
        <f>IF($H325&lt;&gt;"OK","",$I325*INDEX('Inventory'!$G$7:$G$106,MATCH($C325,'Inventory'!$B$7:$B$106,0)))</f>
        <v/>
      </c>
    </row>
    <row r="326" ht="17" customHeight="1">
      <c r="B326" s="66" t="n"/>
      <c r="C326" s="60" t="n"/>
      <c r="D326" s="86" t="n"/>
      <c r="E326" s="60" t="n"/>
      <c r="F326" s="60" t="n"/>
      <c r="G326" s="13">
        <f>IF($C326="","",IFERROR(INDEX('Inventory'!$D$7:$D$106,MATCH($C326,'Inventory'!$B$7:$B$106,0))&amp;"","?"))</f>
        <v/>
      </c>
      <c r="H326" s="80">
        <f>IF(AND($B326="",$C326="",$D326=""),"",IF(NOT(ISNUMBER($B326)),"Enter a valid date",IF($C326="","Pick ingredient",IF($G326="?","Not in Inventory",IF($G326="","Set stock unit in Inventory",IF(N($D326)&lt;=0,"Enter quantity",IF($E326="","Pick unit",IF(IFERROR(INDEX('Lists'!$C$6:$C$30,MATCH($E326,'Lists'!$B$6:$B$30,0)),"?")&lt;&gt;IFERROR(INDEX('Lists'!$C$6:$C$30,MATCH($G326,'Lists'!$B$6:$B$30,0)),"?"),"Unit mismatch",IF(ISNUMBER(INDEX('Inventory'!$G$7:$G$106,MATCH($C326,'Inventory'!$B$7:$B$106,0))),"OK","Add price in Inventory")))))))))</f>
        <v/>
      </c>
      <c r="I326" s="88">
        <f>IF($H326&lt;&gt;"OK","",$D326*INDEX('Lists'!$D$6:$D$30,MATCH($E326,'Lists'!$B$6:$B$30,0))/INDEX('Lists'!$D$6:$D$30,MATCH($G326,'Lists'!$B$6:$B$30,0)))</f>
        <v/>
      </c>
      <c r="J326" s="71">
        <f>IF($H326&lt;&gt;"OK","",$I326*INDEX('Inventory'!$G$7:$G$106,MATCH($C326,'Inventory'!$B$7:$B$106,0)))</f>
        <v/>
      </c>
    </row>
    <row r="327" ht="17" customHeight="1">
      <c r="B327" s="66" t="n"/>
      <c r="C327" s="60" t="n"/>
      <c r="D327" s="86" t="n"/>
      <c r="E327" s="60" t="n"/>
      <c r="F327" s="60" t="n"/>
      <c r="G327" s="13">
        <f>IF($C327="","",IFERROR(INDEX('Inventory'!$D$7:$D$106,MATCH($C327,'Inventory'!$B$7:$B$106,0))&amp;"","?"))</f>
        <v/>
      </c>
      <c r="H327" s="80">
        <f>IF(AND($B327="",$C327="",$D327=""),"",IF(NOT(ISNUMBER($B327)),"Enter a valid date",IF($C327="","Pick ingredient",IF($G327="?","Not in Inventory",IF($G327="","Set stock unit in Inventory",IF(N($D327)&lt;=0,"Enter quantity",IF($E327="","Pick unit",IF(IFERROR(INDEX('Lists'!$C$6:$C$30,MATCH($E327,'Lists'!$B$6:$B$30,0)),"?")&lt;&gt;IFERROR(INDEX('Lists'!$C$6:$C$30,MATCH($G327,'Lists'!$B$6:$B$30,0)),"?"),"Unit mismatch",IF(ISNUMBER(INDEX('Inventory'!$G$7:$G$106,MATCH($C327,'Inventory'!$B$7:$B$106,0))),"OK","Add price in Inventory")))))))))</f>
        <v/>
      </c>
      <c r="I327" s="88">
        <f>IF($H327&lt;&gt;"OK","",$D327*INDEX('Lists'!$D$6:$D$30,MATCH($E327,'Lists'!$B$6:$B$30,0))/INDEX('Lists'!$D$6:$D$30,MATCH($G327,'Lists'!$B$6:$B$30,0)))</f>
        <v/>
      </c>
      <c r="J327" s="71">
        <f>IF($H327&lt;&gt;"OK","",$I327*INDEX('Inventory'!$G$7:$G$106,MATCH($C327,'Inventory'!$B$7:$B$106,0)))</f>
        <v/>
      </c>
    </row>
    <row r="328" ht="17" customHeight="1">
      <c r="B328" s="66" t="n"/>
      <c r="C328" s="60" t="n"/>
      <c r="D328" s="86" t="n"/>
      <c r="E328" s="60" t="n"/>
      <c r="F328" s="60" t="n"/>
      <c r="G328" s="13">
        <f>IF($C328="","",IFERROR(INDEX('Inventory'!$D$7:$D$106,MATCH($C328,'Inventory'!$B$7:$B$106,0))&amp;"","?"))</f>
        <v/>
      </c>
      <c r="H328" s="80">
        <f>IF(AND($B328="",$C328="",$D328=""),"",IF(NOT(ISNUMBER($B328)),"Enter a valid date",IF($C328="","Pick ingredient",IF($G328="?","Not in Inventory",IF($G328="","Set stock unit in Inventory",IF(N($D328)&lt;=0,"Enter quantity",IF($E328="","Pick unit",IF(IFERROR(INDEX('Lists'!$C$6:$C$30,MATCH($E328,'Lists'!$B$6:$B$30,0)),"?")&lt;&gt;IFERROR(INDEX('Lists'!$C$6:$C$30,MATCH($G328,'Lists'!$B$6:$B$30,0)),"?"),"Unit mismatch",IF(ISNUMBER(INDEX('Inventory'!$G$7:$G$106,MATCH($C328,'Inventory'!$B$7:$B$106,0))),"OK","Add price in Inventory")))))))))</f>
        <v/>
      </c>
      <c r="I328" s="88">
        <f>IF($H328&lt;&gt;"OK","",$D328*INDEX('Lists'!$D$6:$D$30,MATCH($E328,'Lists'!$B$6:$B$30,0))/INDEX('Lists'!$D$6:$D$30,MATCH($G328,'Lists'!$B$6:$B$30,0)))</f>
        <v/>
      </c>
      <c r="J328" s="71">
        <f>IF($H328&lt;&gt;"OK","",$I328*INDEX('Inventory'!$G$7:$G$106,MATCH($C328,'Inventory'!$B$7:$B$106,0)))</f>
        <v/>
      </c>
    </row>
    <row r="329" ht="17" customHeight="1">
      <c r="B329" s="66" t="n"/>
      <c r="C329" s="60" t="n"/>
      <c r="D329" s="86" t="n"/>
      <c r="E329" s="60" t="n"/>
      <c r="F329" s="60" t="n"/>
      <c r="G329" s="13">
        <f>IF($C329="","",IFERROR(INDEX('Inventory'!$D$7:$D$106,MATCH($C329,'Inventory'!$B$7:$B$106,0))&amp;"","?"))</f>
        <v/>
      </c>
      <c r="H329" s="80">
        <f>IF(AND($B329="",$C329="",$D329=""),"",IF(NOT(ISNUMBER($B329)),"Enter a valid date",IF($C329="","Pick ingredient",IF($G329="?","Not in Inventory",IF($G329="","Set stock unit in Inventory",IF(N($D329)&lt;=0,"Enter quantity",IF($E329="","Pick unit",IF(IFERROR(INDEX('Lists'!$C$6:$C$30,MATCH($E329,'Lists'!$B$6:$B$30,0)),"?")&lt;&gt;IFERROR(INDEX('Lists'!$C$6:$C$30,MATCH($G329,'Lists'!$B$6:$B$30,0)),"?"),"Unit mismatch",IF(ISNUMBER(INDEX('Inventory'!$G$7:$G$106,MATCH($C329,'Inventory'!$B$7:$B$106,0))),"OK","Add price in Inventory")))))))))</f>
        <v/>
      </c>
      <c r="I329" s="88">
        <f>IF($H329&lt;&gt;"OK","",$D329*INDEX('Lists'!$D$6:$D$30,MATCH($E329,'Lists'!$B$6:$B$30,0))/INDEX('Lists'!$D$6:$D$30,MATCH($G329,'Lists'!$B$6:$B$30,0)))</f>
        <v/>
      </c>
      <c r="J329" s="71">
        <f>IF($H329&lt;&gt;"OK","",$I329*INDEX('Inventory'!$G$7:$G$106,MATCH($C329,'Inventory'!$B$7:$B$106,0)))</f>
        <v/>
      </c>
    </row>
    <row r="330" ht="17" customHeight="1">
      <c r="B330" s="66" t="n"/>
      <c r="C330" s="60" t="n"/>
      <c r="D330" s="86" t="n"/>
      <c r="E330" s="60" t="n"/>
      <c r="F330" s="60" t="n"/>
      <c r="G330" s="13">
        <f>IF($C330="","",IFERROR(INDEX('Inventory'!$D$7:$D$106,MATCH($C330,'Inventory'!$B$7:$B$106,0))&amp;"","?"))</f>
        <v/>
      </c>
      <c r="H330" s="80">
        <f>IF(AND($B330="",$C330="",$D330=""),"",IF(NOT(ISNUMBER($B330)),"Enter a valid date",IF($C330="","Pick ingredient",IF($G330="?","Not in Inventory",IF($G330="","Set stock unit in Inventory",IF(N($D330)&lt;=0,"Enter quantity",IF($E330="","Pick unit",IF(IFERROR(INDEX('Lists'!$C$6:$C$30,MATCH($E330,'Lists'!$B$6:$B$30,0)),"?")&lt;&gt;IFERROR(INDEX('Lists'!$C$6:$C$30,MATCH($G330,'Lists'!$B$6:$B$30,0)),"?"),"Unit mismatch",IF(ISNUMBER(INDEX('Inventory'!$G$7:$G$106,MATCH($C330,'Inventory'!$B$7:$B$106,0))),"OK","Add price in Inventory")))))))))</f>
        <v/>
      </c>
      <c r="I330" s="88">
        <f>IF($H330&lt;&gt;"OK","",$D330*INDEX('Lists'!$D$6:$D$30,MATCH($E330,'Lists'!$B$6:$B$30,0))/INDEX('Lists'!$D$6:$D$30,MATCH($G330,'Lists'!$B$6:$B$30,0)))</f>
        <v/>
      </c>
      <c r="J330" s="71">
        <f>IF($H330&lt;&gt;"OK","",$I330*INDEX('Inventory'!$G$7:$G$106,MATCH($C330,'Inventory'!$B$7:$B$106,0)))</f>
        <v/>
      </c>
    </row>
    <row r="331" ht="17" customHeight="1">
      <c r="B331" s="66" t="n"/>
      <c r="C331" s="60" t="n"/>
      <c r="D331" s="86" t="n"/>
      <c r="E331" s="60" t="n"/>
      <c r="F331" s="60" t="n"/>
      <c r="G331" s="13">
        <f>IF($C331="","",IFERROR(INDEX('Inventory'!$D$7:$D$106,MATCH($C331,'Inventory'!$B$7:$B$106,0))&amp;"","?"))</f>
        <v/>
      </c>
      <c r="H331" s="80">
        <f>IF(AND($B331="",$C331="",$D331=""),"",IF(NOT(ISNUMBER($B331)),"Enter a valid date",IF($C331="","Pick ingredient",IF($G331="?","Not in Inventory",IF($G331="","Set stock unit in Inventory",IF(N($D331)&lt;=0,"Enter quantity",IF($E331="","Pick unit",IF(IFERROR(INDEX('Lists'!$C$6:$C$30,MATCH($E331,'Lists'!$B$6:$B$30,0)),"?")&lt;&gt;IFERROR(INDEX('Lists'!$C$6:$C$30,MATCH($G331,'Lists'!$B$6:$B$30,0)),"?"),"Unit mismatch",IF(ISNUMBER(INDEX('Inventory'!$G$7:$G$106,MATCH($C331,'Inventory'!$B$7:$B$106,0))),"OK","Add price in Inventory")))))))))</f>
        <v/>
      </c>
      <c r="I331" s="88">
        <f>IF($H331&lt;&gt;"OK","",$D331*INDEX('Lists'!$D$6:$D$30,MATCH($E331,'Lists'!$B$6:$B$30,0))/INDEX('Lists'!$D$6:$D$30,MATCH($G331,'Lists'!$B$6:$B$30,0)))</f>
        <v/>
      </c>
      <c r="J331" s="71">
        <f>IF($H331&lt;&gt;"OK","",$I331*INDEX('Inventory'!$G$7:$G$106,MATCH($C331,'Inventory'!$B$7:$B$106,0)))</f>
        <v/>
      </c>
    </row>
    <row r="332" ht="17" customHeight="1">
      <c r="B332" s="66" t="n"/>
      <c r="C332" s="60" t="n"/>
      <c r="D332" s="86" t="n"/>
      <c r="E332" s="60" t="n"/>
      <c r="F332" s="60" t="n"/>
      <c r="G332" s="13">
        <f>IF($C332="","",IFERROR(INDEX('Inventory'!$D$7:$D$106,MATCH($C332,'Inventory'!$B$7:$B$106,0))&amp;"","?"))</f>
        <v/>
      </c>
      <c r="H332" s="80">
        <f>IF(AND($B332="",$C332="",$D332=""),"",IF(NOT(ISNUMBER($B332)),"Enter a valid date",IF($C332="","Pick ingredient",IF($G332="?","Not in Inventory",IF($G332="","Set stock unit in Inventory",IF(N($D332)&lt;=0,"Enter quantity",IF($E332="","Pick unit",IF(IFERROR(INDEX('Lists'!$C$6:$C$30,MATCH($E332,'Lists'!$B$6:$B$30,0)),"?")&lt;&gt;IFERROR(INDEX('Lists'!$C$6:$C$30,MATCH($G332,'Lists'!$B$6:$B$30,0)),"?"),"Unit mismatch",IF(ISNUMBER(INDEX('Inventory'!$G$7:$G$106,MATCH($C332,'Inventory'!$B$7:$B$106,0))),"OK","Add price in Inventory")))))))))</f>
        <v/>
      </c>
      <c r="I332" s="88">
        <f>IF($H332&lt;&gt;"OK","",$D332*INDEX('Lists'!$D$6:$D$30,MATCH($E332,'Lists'!$B$6:$B$30,0))/INDEX('Lists'!$D$6:$D$30,MATCH($G332,'Lists'!$B$6:$B$30,0)))</f>
        <v/>
      </c>
      <c r="J332" s="71">
        <f>IF($H332&lt;&gt;"OK","",$I332*INDEX('Inventory'!$G$7:$G$106,MATCH($C332,'Inventory'!$B$7:$B$106,0)))</f>
        <v/>
      </c>
    </row>
    <row r="333" ht="17" customHeight="1">
      <c r="B333" s="66" t="n"/>
      <c r="C333" s="60" t="n"/>
      <c r="D333" s="86" t="n"/>
      <c r="E333" s="60" t="n"/>
      <c r="F333" s="60" t="n"/>
      <c r="G333" s="13">
        <f>IF($C333="","",IFERROR(INDEX('Inventory'!$D$7:$D$106,MATCH($C333,'Inventory'!$B$7:$B$106,0))&amp;"","?"))</f>
        <v/>
      </c>
      <c r="H333" s="80">
        <f>IF(AND($B333="",$C333="",$D333=""),"",IF(NOT(ISNUMBER($B333)),"Enter a valid date",IF($C333="","Pick ingredient",IF($G333="?","Not in Inventory",IF($G333="","Set stock unit in Inventory",IF(N($D333)&lt;=0,"Enter quantity",IF($E333="","Pick unit",IF(IFERROR(INDEX('Lists'!$C$6:$C$30,MATCH($E333,'Lists'!$B$6:$B$30,0)),"?")&lt;&gt;IFERROR(INDEX('Lists'!$C$6:$C$30,MATCH($G333,'Lists'!$B$6:$B$30,0)),"?"),"Unit mismatch",IF(ISNUMBER(INDEX('Inventory'!$G$7:$G$106,MATCH($C333,'Inventory'!$B$7:$B$106,0))),"OK","Add price in Inventory")))))))))</f>
        <v/>
      </c>
      <c r="I333" s="88">
        <f>IF($H333&lt;&gt;"OK","",$D333*INDEX('Lists'!$D$6:$D$30,MATCH($E333,'Lists'!$B$6:$B$30,0))/INDEX('Lists'!$D$6:$D$30,MATCH($G333,'Lists'!$B$6:$B$30,0)))</f>
        <v/>
      </c>
      <c r="J333" s="71">
        <f>IF($H333&lt;&gt;"OK","",$I333*INDEX('Inventory'!$G$7:$G$106,MATCH($C333,'Inventory'!$B$7:$B$106,0)))</f>
        <v/>
      </c>
    </row>
    <row r="334" ht="17" customHeight="1">
      <c r="B334" s="66" t="n"/>
      <c r="C334" s="60" t="n"/>
      <c r="D334" s="86" t="n"/>
      <c r="E334" s="60" t="n"/>
      <c r="F334" s="60" t="n"/>
      <c r="G334" s="13">
        <f>IF($C334="","",IFERROR(INDEX('Inventory'!$D$7:$D$106,MATCH($C334,'Inventory'!$B$7:$B$106,0))&amp;"","?"))</f>
        <v/>
      </c>
      <c r="H334" s="80">
        <f>IF(AND($B334="",$C334="",$D334=""),"",IF(NOT(ISNUMBER($B334)),"Enter a valid date",IF($C334="","Pick ingredient",IF($G334="?","Not in Inventory",IF($G334="","Set stock unit in Inventory",IF(N($D334)&lt;=0,"Enter quantity",IF($E334="","Pick unit",IF(IFERROR(INDEX('Lists'!$C$6:$C$30,MATCH($E334,'Lists'!$B$6:$B$30,0)),"?")&lt;&gt;IFERROR(INDEX('Lists'!$C$6:$C$30,MATCH($G334,'Lists'!$B$6:$B$30,0)),"?"),"Unit mismatch",IF(ISNUMBER(INDEX('Inventory'!$G$7:$G$106,MATCH($C334,'Inventory'!$B$7:$B$106,0))),"OK","Add price in Inventory")))))))))</f>
        <v/>
      </c>
      <c r="I334" s="88">
        <f>IF($H334&lt;&gt;"OK","",$D334*INDEX('Lists'!$D$6:$D$30,MATCH($E334,'Lists'!$B$6:$B$30,0))/INDEX('Lists'!$D$6:$D$30,MATCH($G334,'Lists'!$B$6:$B$30,0)))</f>
        <v/>
      </c>
      <c r="J334" s="71">
        <f>IF($H334&lt;&gt;"OK","",$I334*INDEX('Inventory'!$G$7:$G$106,MATCH($C334,'Inventory'!$B$7:$B$106,0)))</f>
        <v/>
      </c>
    </row>
    <row r="335" ht="17" customHeight="1">
      <c r="B335" s="66" t="n"/>
      <c r="C335" s="60" t="n"/>
      <c r="D335" s="86" t="n"/>
      <c r="E335" s="60" t="n"/>
      <c r="F335" s="60" t="n"/>
      <c r="G335" s="13">
        <f>IF($C335="","",IFERROR(INDEX('Inventory'!$D$7:$D$106,MATCH($C335,'Inventory'!$B$7:$B$106,0))&amp;"","?"))</f>
        <v/>
      </c>
      <c r="H335" s="80">
        <f>IF(AND($B335="",$C335="",$D335=""),"",IF(NOT(ISNUMBER($B335)),"Enter a valid date",IF($C335="","Pick ingredient",IF($G335="?","Not in Inventory",IF($G335="","Set stock unit in Inventory",IF(N($D335)&lt;=0,"Enter quantity",IF($E335="","Pick unit",IF(IFERROR(INDEX('Lists'!$C$6:$C$30,MATCH($E335,'Lists'!$B$6:$B$30,0)),"?")&lt;&gt;IFERROR(INDEX('Lists'!$C$6:$C$30,MATCH($G335,'Lists'!$B$6:$B$30,0)),"?"),"Unit mismatch",IF(ISNUMBER(INDEX('Inventory'!$G$7:$G$106,MATCH($C335,'Inventory'!$B$7:$B$106,0))),"OK","Add price in Inventory")))))))))</f>
        <v/>
      </c>
      <c r="I335" s="88">
        <f>IF($H335&lt;&gt;"OK","",$D335*INDEX('Lists'!$D$6:$D$30,MATCH($E335,'Lists'!$B$6:$B$30,0))/INDEX('Lists'!$D$6:$D$30,MATCH($G335,'Lists'!$B$6:$B$30,0)))</f>
        <v/>
      </c>
      <c r="J335" s="71">
        <f>IF($H335&lt;&gt;"OK","",$I335*INDEX('Inventory'!$G$7:$G$106,MATCH($C335,'Inventory'!$B$7:$B$106,0)))</f>
        <v/>
      </c>
    </row>
    <row r="336" ht="17" customHeight="1">
      <c r="B336" s="66" t="n"/>
      <c r="C336" s="60" t="n"/>
      <c r="D336" s="86" t="n"/>
      <c r="E336" s="60" t="n"/>
      <c r="F336" s="60" t="n"/>
      <c r="G336" s="13">
        <f>IF($C336="","",IFERROR(INDEX('Inventory'!$D$7:$D$106,MATCH($C336,'Inventory'!$B$7:$B$106,0))&amp;"","?"))</f>
        <v/>
      </c>
      <c r="H336" s="80">
        <f>IF(AND($B336="",$C336="",$D336=""),"",IF(NOT(ISNUMBER($B336)),"Enter a valid date",IF($C336="","Pick ingredient",IF($G336="?","Not in Inventory",IF($G336="","Set stock unit in Inventory",IF(N($D336)&lt;=0,"Enter quantity",IF($E336="","Pick unit",IF(IFERROR(INDEX('Lists'!$C$6:$C$30,MATCH($E336,'Lists'!$B$6:$B$30,0)),"?")&lt;&gt;IFERROR(INDEX('Lists'!$C$6:$C$30,MATCH($G336,'Lists'!$B$6:$B$30,0)),"?"),"Unit mismatch",IF(ISNUMBER(INDEX('Inventory'!$G$7:$G$106,MATCH($C336,'Inventory'!$B$7:$B$106,0))),"OK","Add price in Inventory")))))))))</f>
        <v/>
      </c>
      <c r="I336" s="88">
        <f>IF($H336&lt;&gt;"OK","",$D336*INDEX('Lists'!$D$6:$D$30,MATCH($E336,'Lists'!$B$6:$B$30,0))/INDEX('Lists'!$D$6:$D$30,MATCH($G336,'Lists'!$B$6:$B$30,0)))</f>
        <v/>
      </c>
      <c r="J336" s="71">
        <f>IF($H336&lt;&gt;"OK","",$I336*INDEX('Inventory'!$G$7:$G$106,MATCH($C336,'Inventory'!$B$7:$B$106,0)))</f>
        <v/>
      </c>
    </row>
    <row r="337" ht="17" customHeight="1">
      <c r="B337" s="66" t="n"/>
      <c r="C337" s="60" t="n"/>
      <c r="D337" s="86" t="n"/>
      <c r="E337" s="60" t="n"/>
      <c r="F337" s="60" t="n"/>
      <c r="G337" s="13">
        <f>IF($C337="","",IFERROR(INDEX('Inventory'!$D$7:$D$106,MATCH($C337,'Inventory'!$B$7:$B$106,0))&amp;"","?"))</f>
        <v/>
      </c>
      <c r="H337" s="80">
        <f>IF(AND($B337="",$C337="",$D337=""),"",IF(NOT(ISNUMBER($B337)),"Enter a valid date",IF($C337="","Pick ingredient",IF($G337="?","Not in Inventory",IF($G337="","Set stock unit in Inventory",IF(N($D337)&lt;=0,"Enter quantity",IF($E337="","Pick unit",IF(IFERROR(INDEX('Lists'!$C$6:$C$30,MATCH($E337,'Lists'!$B$6:$B$30,0)),"?")&lt;&gt;IFERROR(INDEX('Lists'!$C$6:$C$30,MATCH($G337,'Lists'!$B$6:$B$30,0)),"?"),"Unit mismatch",IF(ISNUMBER(INDEX('Inventory'!$G$7:$G$106,MATCH($C337,'Inventory'!$B$7:$B$106,0))),"OK","Add price in Inventory")))))))))</f>
        <v/>
      </c>
      <c r="I337" s="88">
        <f>IF($H337&lt;&gt;"OK","",$D337*INDEX('Lists'!$D$6:$D$30,MATCH($E337,'Lists'!$B$6:$B$30,0))/INDEX('Lists'!$D$6:$D$30,MATCH($G337,'Lists'!$B$6:$B$30,0)))</f>
        <v/>
      </c>
      <c r="J337" s="71">
        <f>IF($H337&lt;&gt;"OK","",$I337*INDEX('Inventory'!$G$7:$G$106,MATCH($C337,'Inventory'!$B$7:$B$106,0)))</f>
        <v/>
      </c>
    </row>
    <row r="338" ht="17" customHeight="1">
      <c r="B338" s="66" t="n"/>
      <c r="C338" s="60" t="n"/>
      <c r="D338" s="86" t="n"/>
      <c r="E338" s="60" t="n"/>
      <c r="F338" s="60" t="n"/>
      <c r="G338" s="13">
        <f>IF($C338="","",IFERROR(INDEX('Inventory'!$D$7:$D$106,MATCH($C338,'Inventory'!$B$7:$B$106,0))&amp;"","?"))</f>
        <v/>
      </c>
      <c r="H338" s="80">
        <f>IF(AND($B338="",$C338="",$D338=""),"",IF(NOT(ISNUMBER($B338)),"Enter a valid date",IF($C338="","Pick ingredient",IF($G338="?","Not in Inventory",IF($G338="","Set stock unit in Inventory",IF(N($D338)&lt;=0,"Enter quantity",IF($E338="","Pick unit",IF(IFERROR(INDEX('Lists'!$C$6:$C$30,MATCH($E338,'Lists'!$B$6:$B$30,0)),"?")&lt;&gt;IFERROR(INDEX('Lists'!$C$6:$C$30,MATCH($G338,'Lists'!$B$6:$B$30,0)),"?"),"Unit mismatch",IF(ISNUMBER(INDEX('Inventory'!$G$7:$G$106,MATCH($C338,'Inventory'!$B$7:$B$106,0))),"OK","Add price in Inventory")))))))))</f>
        <v/>
      </c>
      <c r="I338" s="88">
        <f>IF($H338&lt;&gt;"OK","",$D338*INDEX('Lists'!$D$6:$D$30,MATCH($E338,'Lists'!$B$6:$B$30,0))/INDEX('Lists'!$D$6:$D$30,MATCH($G338,'Lists'!$B$6:$B$30,0)))</f>
        <v/>
      </c>
      <c r="J338" s="71">
        <f>IF($H338&lt;&gt;"OK","",$I338*INDEX('Inventory'!$G$7:$G$106,MATCH($C338,'Inventory'!$B$7:$B$106,0)))</f>
        <v/>
      </c>
    </row>
    <row r="339" ht="17" customHeight="1">
      <c r="B339" s="66" t="n"/>
      <c r="C339" s="60" t="n"/>
      <c r="D339" s="86" t="n"/>
      <c r="E339" s="60" t="n"/>
      <c r="F339" s="60" t="n"/>
      <c r="G339" s="13">
        <f>IF($C339="","",IFERROR(INDEX('Inventory'!$D$7:$D$106,MATCH($C339,'Inventory'!$B$7:$B$106,0))&amp;"","?"))</f>
        <v/>
      </c>
      <c r="H339" s="80">
        <f>IF(AND($B339="",$C339="",$D339=""),"",IF(NOT(ISNUMBER($B339)),"Enter a valid date",IF($C339="","Pick ingredient",IF($G339="?","Not in Inventory",IF($G339="","Set stock unit in Inventory",IF(N($D339)&lt;=0,"Enter quantity",IF($E339="","Pick unit",IF(IFERROR(INDEX('Lists'!$C$6:$C$30,MATCH($E339,'Lists'!$B$6:$B$30,0)),"?")&lt;&gt;IFERROR(INDEX('Lists'!$C$6:$C$30,MATCH($G339,'Lists'!$B$6:$B$30,0)),"?"),"Unit mismatch",IF(ISNUMBER(INDEX('Inventory'!$G$7:$G$106,MATCH($C339,'Inventory'!$B$7:$B$106,0))),"OK","Add price in Inventory")))))))))</f>
        <v/>
      </c>
      <c r="I339" s="88">
        <f>IF($H339&lt;&gt;"OK","",$D339*INDEX('Lists'!$D$6:$D$30,MATCH($E339,'Lists'!$B$6:$B$30,0))/INDEX('Lists'!$D$6:$D$30,MATCH($G339,'Lists'!$B$6:$B$30,0)))</f>
        <v/>
      </c>
      <c r="J339" s="71">
        <f>IF($H339&lt;&gt;"OK","",$I339*INDEX('Inventory'!$G$7:$G$106,MATCH($C339,'Inventory'!$B$7:$B$106,0)))</f>
        <v/>
      </c>
    </row>
    <row r="340" ht="17" customHeight="1">
      <c r="B340" s="66" t="n"/>
      <c r="C340" s="60" t="n"/>
      <c r="D340" s="86" t="n"/>
      <c r="E340" s="60" t="n"/>
      <c r="F340" s="60" t="n"/>
      <c r="G340" s="13">
        <f>IF($C340="","",IFERROR(INDEX('Inventory'!$D$7:$D$106,MATCH($C340,'Inventory'!$B$7:$B$106,0))&amp;"","?"))</f>
        <v/>
      </c>
      <c r="H340" s="80">
        <f>IF(AND($B340="",$C340="",$D340=""),"",IF(NOT(ISNUMBER($B340)),"Enter a valid date",IF($C340="","Pick ingredient",IF($G340="?","Not in Inventory",IF($G340="","Set stock unit in Inventory",IF(N($D340)&lt;=0,"Enter quantity",IF($E340="","Pick unit",IF(IFERROR(INDEX('Lists'!$C$6:$C$30,MATCH($E340,'Lists'!$B$6:$B$30,0)),"?")&lt;&gt;IFERROR(INDEX('Lists'!$C$6:$C$30,MATCH($G340,'Lists'!$B$6:$B$30,0)),"?"),"Unit mismatch",IF(ISNUMBER(INDEX('Inventory'!$G$7:$G$106,MATCH($C340,'Inventory'!$B$7:$B$106,0))),"OK","Add price in Inventory")))))))))</f>
        <v/>
      </c>
      <c r="I340" s="88">
        <f>IF($H340&lt;&gt;"OK","",$D340*INDEX('Lists'!$D$6:$D$30,MATCH($E340,'Lists'!$B$6:$B$30,0))/INDEX('Lists'!$D$6:$D$30,MATCH($G340,'Lists'!$B$6:$B$30,0)))</f>
        <v/>
      </c>
      <c r="J340" s="71">
        <f>IF($H340&lt;&gt;"OK","",$I340*INDEX('Inventory'!$G$7:$G$106,MATCH($C340,'Inventory'!$B$7:$B$106,0)))</f>
        <v/>
      </c>
    </row>
    <row r="341" ht="17" customHeight="1">
      <c r="B341" s="66" t="n"/>
      <c r="C341" s="60" t="n"/>
      <c r="D341" s="86" t="n"/>
      <c r="E341" s="60" t="n"/>
      <c r="F341" s="60" t="n"/>
      <c r="G341" s="13">
        <f>IF($C341="","",IFERROR(INDEX('Inventory'!$D$7:$D$106,MATCH($C341,'Inventory'!$B$7:$B$106,0))&amp;"","?"))</f>
        <v/>
      </c>
      <c r="H341" s="80">
        <f>IF(AND($B341="",$C341="",$D341=""),"",IF(NOT(ISNUMBER($B341)),"Enter a valid date",IF($C341="","Pick ingredient",IF($G341="?","Not in Inventory",IF($G341="","Set stock unit in Inventory",IF(N($D341)&lt;=0,"Enter quantity",IF($E341="","Pick unit",IF(IFERROR(INDEX('Lists'!$C$6:$C$30,MATCH($E341,'Lists'!$B$6:$B$30,0)),"?")&lt;&gt;IFERROR(INDEX('Lists'!$C$6:$C$30,MATCH($G341,'Lists'!$B$6:$B$30,0)),"?"),"Unit mismatch",IF(ISNUMBER(INDEX('Inventory'!$G$7:$G$106,MATCH($C341,'Inventory'!$B$7:$B$106,0))),"OK","Add price in Inventory")))))))))</f>
        <v/>
      </c>
      <c r="I341" s="88">
        <f>IF($H341&lt;&gt;"OK","",$D341*INDEX('Lists'!$D$6:$D$30,MATCH($E341,'Lists'!$B$6:$B$30,0))/INDEX('Lists'!$D$6:$D$30,MATCH($G341,'Lists'!$B$6:$B$30,0)))</f>
        <v/>
      </c>
      <c r="J341" s="71">
        <f>IF($H341&lt;&gt;"OK","",$I341*INDEX('Inventory'!$G$7:$G$106,MATCH($C341,'Inventory'!$B$7:$B$106,0)))</f>
        <v/>
      </c>
    </row>
    <row r="342" ht="17" customHeight="1">
      <c r="B342" s="66" t="n"/>
      <c r="C342" s="60" t="n"/>
      <c r="D342" s="86" t="n"/>
      <c r="E342" s="60" t="n"/>
      <c r="F342" s="60" t="n"/>
      <c r="G342" s="13">
        <f>IF($C342="","",IFERROR(INDEX('Inventory'!$D$7:$D$106,MATCH($C342,'Inventory'!$B$7:$B$106,0))&amp;"","?"))</f>
        <v/>
      </c>
      <c r="H342" s="80">
        <f>IF(AND($B342="",$C342="",$D342=""),"",IF(NOT(ISNUMBER($B342)),"Enter a valid date",IF($C342="","Pick ingredient",IF($G342="?","Not in Inventory",IF($G342="","Set stock unit in Inventory",IF(N($D342)&lt;=0,"Enter quantity",IF($E342="","Pick unit",IF(IFERROR(INDEX('Lists'!$C$6:$C$30,MATCH($E342,'Lists'!$B$6:$B$30,0)),"?")&lt;&gt;IFERROR(INDEX('Lists'!$C$6:$C$30,MATCH($G342,'Lists'!$B$6:$B$30,0)),"?"),"Unit mismatch",IF(ISNUMBER(INDEX('Inventory'!$G$7:$G$106,MATCH($C342,'Inventory'!$B$7:$B$106,0))),"OK","Add price in Inventory")))))))))</f>
        <v/>
      </c>
      <c r="I342" s="88">
        <f>IF($H342&lt;&gt;"OK","",$D342*INDEX('Lists'!$D$6:$D$30,MATCH($E342,'Lists'!$B$6:$B$30,0))/INDEX('Lists'!$D$6:$D$30,MATCH($G342,'Lists'!$B$6:$B$30,0)))</f>
        <v/>
      </c>
      <c r="J342" s="71">
        <f>IF($H342&lt;&gt;"OK","",$I342*INDEX('Inventory'!$G$7:$G$106,MATCH($C342,'Inventory'!$B$7:$B$106,0)))</f>
        <v/>
      </c>
    </row>
    <row r="343" ht="17" customHeight="1">
      <c r="B343" s="66" t="n"/>
      <c r="C343" s="60" t="n"/>
      <c r="D343" s="86" t="n"/>
      <c r="E343" s="60" t="n"/>
      <c r="F343" s="60" t="n"/>
      <c r="G343" s="13">
        <f>IF($C343="","",IFERROR(INDEX('Inventory'!$D$7:$D$106,MATCH($C343,'Inventory'!$B$7:$B$106,0))&amp;"","?"))</f>
        <v/>
      </c>
      <c r="H343" s="80">
        <f>IF(AND($B343="",$C343="",$D343=""),"",IF(NOT(ISNUMBER($B343)),"Enter a valid date",IF($C343="","Pick ingredient",IF($G343="?","Not in Inventory",IF($G343="","Set stock unit in Inventory",IF(N($D343)&lt;=0,"Enter quantity",IF($E343="","Pick unit",IF(IFERROR(INDEX('Lists'!$C$6:$C$30,MATCH($E343,'Lists'!$B$6:$B$30,0)),"?")&lt;&gt;IFERROR(INDEX('Lists'!$C$6:$C$30,MATCH($G343,'Lists'!$B$6:$B$30,0)),"?"),"Unit mismatch",IF(ISNUMBER(INDEX('Inventory'!$G$7:$G$106,MATCH($C343,'Inventory'!$B$7:$B$106,0))),"OK","Add price in Inventory")))))))))</f>
        <v/>
      </c>
      <c r="I343" s="88">
        <f>IF($H343&lt;&gt;"OK","",$D343*INDEX('Lists'!$D$6:$D$30,MATCH($E343,'Lists'!$B$6:$B$30,0))/INDEX('Lists'!$D$6:$D$30,MATCH($G343,'Lists'!$B$6:$B$30,0)))</f>
        <v/>
      </c>
      <c r="J343" s="71">
        <f>IF($H343&lt;&gt;"OK","",$I343*INDEX('Inventory'!$G$7:$G$106,MATCH($C343,'Inventory'!$B$7:$B$106,0)))</f>
        <v/>
      </c>
    </row>
    <row r="344" ht="17" customHeight="1">
      <c r="B344" s="66" t="n"/>
      <c r="C344" s="60" t="n"/>
      <c r="D344" s="86" t="n"/>
      <c r="E344" s="60" t="n"/>
      <c r="F344" s="60" t="n"/>
      <c r="G344" s="13">
        <f>IF($C344="","",IFERROR(INDEX('Inventory'!$D$7:$D$106,MATCH($C344,'Inventory'!$B$7:$B$106,0))&amp;"","?"))</f>
        <v/>
      </c>
      <c r="H344" s="80">
        <f>IF(AND($B344="",$C344="",$D344=""),"",IF(NOT(ISNUMBER($B344)),"Enter a valid date",IF($C344="","Pick ingredient",IF($G344="?","Not in Inventory",IF($G344="","Set stock unit in Inventory",IF(N($D344)&lt;=0,"Enter quantity",IF($E344="","Pick unit",IF(IFERROR(INDEX('Lists'!$C$6:$C$30,MATCH($E344,'Lists'!$B$6:$B$30,0)),"?")&lt;&gt;IFERROR(INDEX('Lists'!$C$6:$C$30,MATCH($G344,'Lists'!$B$6:$B$30,0)),"?"),"Unit mismatch",IF(ISNUMBER(INDEX('Inventory'!$G$7:$G$106,MATCH($C344,'Inventory'!$B$7:$B$106,0))),"OK","Add price in Inventory")))))))))</f>
        <v/>
      </c>
      <c r="I344" s="88">
        <f>IF($H344&lt;&gt;"OK","",$D344*INDEX('Lists'!$D$6:$D$30,MATCH($E344,'Lists'!$B$6:$B$30,0))/INDEX('Lists'!$D$6:$D$30,MATCH($G344,'Lists'!$B$6:$B$30,0)))</f>
        <v/>
      </c>
      <c r="J344" s="71">
        <f>IF($H344&lt;&gt;"OK","",$I344*INDEX('Inventory'!$G$7:$G$106,MATCH($C344,'Inventory'!$B$7:$B$106,0)))</f>
        <v/>
      </c>
    </row>
    <row r="345" ht="17" customHeight="1">
      <c r="B345" s="66" t="n"/>
      <c r="C345" s="60" t="n"/>
      <c r="D345" s="86" t="n"/>
      <c r="E345" s="60" t="n"/>
      <c r="F345" s="60" t="n"/>
      <c r="G345" s="13">
        <f>IF($C345="","",IFERROR(INDEX('Inventory'!$D$7:$D$106,MATCH($C345,'Inventory'!$B$7:$B$106,0))&amp;"","?"))</f>
        <v/>
      </c>
      <c r="H345" s="80">
        <f>IF(AND($B345="",$C345="",$D345=""),"",IF(NOT(ISNUMBER($B345)),"Enter a valid date",IF($C345="","Pick ingredient",IF($G345="?","Not in Inventory",IF($G345="","Set stock unit in Inventory",IF(N($D345)&lt;=0,"Enter quantity",IF($E345="","Pick unit",IF(IFERROR(INDEX('Lists'!$C$6:$C$30,MATCH($E345,'Lists'!$B$6:$B$30,0)),"?")&lt;&gt;IFERROR(INDEX('Lists'!$C$6:$C$30,MATCH($G345,'Lists'!$B$6:$B$30,0)),"?"),"Unit mismatch",IF(ISNUMBER(INDEX('Inventory'!$G$7:$G$106,MATCH($C345,'Inventory'!$B$7:$B$106,0))),"OK","Add price in Inventory")))))))))</f>
        <v/>
      </c>
      <c r="I345" s="88">
        <f>IF($H345&lt;&gt;"OK","",$D345*INDEX('Lists'!$D$6:$D$30,MATCH($E345,'Lists'!$B$6:$B$30,0))/INDEX('Lists'!$D$6:$D$30,MATCH($G345,'Lists'!$B$6:$B$30,0)))</f>
        <v/>
      </c>
      <c r="J345" s="71">
        <f>IF($H345&lt;&gt;"OK","",$I345*INDEX('Inventory'!$G$7:$G$106,MATCH($C345,'Inventory'!$B$7:$B$106,0)))</f>
        <v/>
      </c>
    </row>
    <row r="346" ht="17" customHeight="1">
      <c r="B346" s="66" t="n"/>
      <c r="C346" s="60" t="n"/>
      <c r="D346" s="86" t="n"/>
      <c r="E346" s="60" t="n"/>
      <c r="F346" s="60" t="n"/>
      <c r="G346" s="13">
        <f>IF($C346="","",IFERROR(INDEX('Inventory'!$D$7:$D$106,MATCH($C346,'Inventory'!$B$7:$B$106,0))&amp;"","?"))</f>
        <v/>
      </c>
      <c r="H346" s="80">
        <f>IF(AND($B346="",$C346="",$D346=""),"",IF(NOT(ISNUMBER($B346)),"Enter a valid date",IF($C346="","Pick ingredient",IF($G346="?","Not in Inventory",IF($G346="","Set stock unit in Inventory",IF(N($D346)&lt;=0,"Enter quantity",IF($E346="","Pick unit",IF(IFERROR(INDEX('Lists'!$C$6:$C$30,MATCH($E346,'Lists'!$B$6:$B$30,0)),"?")&lt;&gt;IFERROR(INDEX('Lists'!$C$6:$C$30,MATCH($G346,'Lists'!$B$6:$B$30,0)),"?"),"Unit mismatch",IF(ISNUMBER(INDEX('Inventory'!$G$7:$G$106,MATCH($C346,'Inventory'!$B$7:$B$106,0))),"OK","Add price in Inventory")))))))))</f>
        <v/>
      </c>
      <c r="I346" s="88">
        <f>IF($H346&lt;&gt;"OK","",$D346*INDEX('Lists'!$D$6:$D$30,MATCH($E346,'Lists'!$B$6:$B$30,0))/INDEX('Lists'!$D$6:$D$30,MATCH($G346,'Lists'!$B$6:$B$30,0)))</f>
        <v/>
      </c>
      <c r="J346" s="71">
        <f>IF($H346&lt;&gt;"OK","",$I346*INDEX('Inventory'!$G$7:$G$106,MATCH($C346,'Inventory'!$B$7:$B$106,0)))</f>
        <v/>
      </c>
    </row>
    <row r="347" ht="17" customHeight="1">
      <c r="B347" s="66" t="n"/>
      <c r="C347" s="60" t="n"/>
      <c r="D347" s="86" t="n"/>
      <c r="E347" s="60" t="n"/>
      <c r="F347" s="60" t="n"/>
      <c r="G347" s="13">
        <f>IF($C347="","",IFERROR(INDEX('Inventory'!$D$7:$D$106,MATCH($C347,'Inventory'!$B$7:$B$106,0))&amp;"","?"))</f>
        <v/>
      </c>
      <c r="H347" s="80">
        <f>IF(AND($B347="",$C347="",$D347=""),"",IF(NOT(ISNUMBER($B347)),"Enter a valid date",IF($C347="","Pick ingredient",IF($G347="?","Not in Inventory",IF($G347="","Set stock unit in Inventory",IF(N($D347)&lt;=0,"Enter quantity",IF($E347="","Pick unit",IF(IFERROR(INDEX('Lists'!$C$6:$C$30,MATCH($E347,'Lists'!$B$6:$B$30,0)),"?")&lt;&gt;IFERROR(INDEX('Lists'!$C$6:$C$30,MATCH($G347,'Lists'!$B$6:$B$30,0)),"?"),"Unit mismatch",IF(ISNUMBER(INDEX('Inventory'!$G$7:$G$106,MATCH($C347,'Inventory'!$B$7:$B$106,0))),"OK","Add price in Inventory")))))))))</f>
        <v/>
      </c>
      <c r="I347" s="88">
        <f>IF($H347&lt;&gt;"OK","",$D347*INDEX('Lists'!$D$6:$D$30,MATCH($E347,'Lists'!$B$6:$B$30,0))/INDEX('Lists'!$D$6:$D$30,MATCH($G347,'Lists'!$B$6:$B$30,0)))</f>
        <v/>
      </c>
      <c r="J347" s="71">
        <f>IF($H347&lt;&gt;"OK","",$I347*INDEX('Inventory'!$G$7:$G$106,MATCH($C347,'Inventory'!$B$7:$B$106,0)))</f>
        <v/>
      </c>
    </row>
    <row r="348" ht="17" customHeight="1">
      <c r="B348" s="66" t="n"/>
      <c r="C348" s="60" t="n"/>
      <c r="D348" s="86" t="n"/>
      <c r="E348" s="60" t="n"/>
      <c r="F348" s="60" t="n"/>
      <c r="G348" s="13">
        <f>IF($C348="","",IFERROR(INDEX('Inventory'!$D$7:$D$106,MATCH($C348,'Inventory'!$B$7:$B$106,0))&amp;"","?"))</f>
        <v/>
      </c>
      <c r="H348" s="80">
        <f>IF(AND($B348="",$C348="",$D348=""),"",IF(NOT(ISNUMBER($B348)),"Enter a valid date",IF($C348="","Pick ingredient",IF($G348="?","Not in Inventory",IF($G348="","Set stock unit in Inventory",IF(N($D348)&lt;=0,"Enter quantity",IF($E348="","Pick unit",IF(IFERROR(INDEX('Lists'!$C$6:$C$30,MATCH($E348,'Lists'!$B$6:$B$30,0)),"?")&lt;&gt;IFERROR(INDEX('Lists'!$C$6:$C$30,MATCH($G348,'Lists'!$B$6:$B$30,0)),"?"),"Unit mismatch",IF(ISNUMBER(INDEX('Inventory'!$G$7:$G$106,MATCH($C348,'Inventory'!$B$7:$B$106,0))),"OK","Add price in Inventory")))))))))</f>
        <v/>
      </c>
      <c r="I348" s="88">
        <f>IF($H348&lt;&gt;"OK","",$D348*INDEX('Lists'!$D$6:$D$30,MATCH($E348,'Lists'!$B$6:$B$30,0))/INDEX('Lists'!$D$6:$D$30,MATCH($G348,'Lists'!$B$6:$B$30,0)))</f>
        <v/>
      </c>
      <c r="J348" s="71">
        <f>IF($H348&lt;&gt;"OK","",$I348*INDEX('Inventory'!$G$7:$G$106,MATCH($C348,'Inventory'!$B$7:$B$106,0)))</f>
        <v/>
      </c>
    </row>
    <row r="349" ht="17" customHeight="1">
      <c r="B349" s="66" t="n"/>
      <c r="C349" s="60" t="n"/>
      <c r="D349" s="86" t="n"/>
      <c r="E349" s="60" t="n"/>
      <c r="F349" s="60" t="n"/>
      <c r="G349" s="13">
        <f>IF($C349="","",IFERROR(INDEX('Inventory'!$D$7:$D$106,MATCH($C349,'Inventory'!$B$7:$B$106,0))&amp;"","?"))</f>
        <v/>
      </c>
      <c r="H349" s="80">
        <f>IF(AND($B349="",$C349="",$D349=""),"",IF(NOT(ISNUMBER($B349)),"Enter a valid date",IF($C349="","Pick ingredient",IF($G349="?","Not in Inventory",IF($G349="","Set stock unit in Inventory",IF(N($D349)&lt;=0,"Enter quantity",IF($E349="","Pick unit",IF(IFERROR(INDEX('Lists'!$C$6:$C$30,MATCH($E349,'Lists'!$B$6:$B$30,0)),"?")&lt;&gt;IFERROR(INDEX('Lists'!$C$6:$C$30,MATCH($G349,'Lists'!$B$6:$B$30,0)),"?"),"Unit mismatch",IF(ISNUMBER(INDEX('Inventory'!$G$7:$G$106,MATCH($C349,'Inventory'!$B$7:$B$106,0))),"OK","Add price in Inventory")))))))))</f>
        <v/>
      </c>
      <c r="I349" s="88">
        <f>IF($H349&lt;&gt;"OK","",$D349*INDEX('Lists'!$D$6:$D$30,MATCH($E349,'Lists'!$B$6:$B$30,0))/INDEX('Lists'!$D$6:$D$30,MATCH($G349,'Lists'!$B$6:$B$30,0)))</f>
        <v/>
      </c>
      <c r="J349" s="71">
        <f>IF($H349&lt;&gt;"OK","",$I349*INDEX('Inventory'!$G$7:$G$106,MATCH($C349,'Inventory'!$B$7:$B$106,0)))</f>
        <v/>
      </c>
    </row>
    <row r="350" ht="17" customHeight="1">
      <c r="B350" s="66" t="n"/>
      <c r="C350" s="60" t="n"/>
      <c r="D350" s="86" t="n"/>
      <c r="E350" s="60" t="n"/>
      <c r="F350" s="60" t="n"/>
      <c r="G350" s="13">
        <f>IF($C350="","",IFERROR(INDEX('Inventory'!$D$7:$D$106,MATCH($C350,'Inventory'!$B$7:$B$106,0))&amp;"","?"))</f>
        <v/>
      </c>
      <c r="H350" s="80">
        <f>IF(AND($B350="",$C350="",$D350=""),"",IF(NOT(ISNUMBER($B350)),"Enter a valid date",IF($C350="","Pick ingredient",IF($G350="?","Not in Inventory",IF($G350="","Set stock unit in Inventory",IF(N($D350)&lt;=0,"Enter quantity",IF($E350="","Pick unit",IF(IFERROR(INDEX('Lists'!$C$6:$C$30,MATCH($E350,'Lists'!$B$6:$B$30,0)),"?")&lt;&gt;IFERROR(INDEX('Lists'!$C$6:$C$30,MATCH($G350,'Lists'!$B$6:$B$30,0)),"?"),"Unit mismatch",IF(ISNUMBER(INDEX('Inventory'!$G$7:$G$106,MATCH($C350,'Inventory'!$B$7:$B$106,0))),"OK","Add price in Inventory")))))))))</f>
        <v/>
      </c>
      <c r="I350" s="88">
        <f>IF($H350&lt;&gt;"OK","",$D350*INDEX('Lists'!$D$6:$D$30,MATCH($E350,'Lists'!$B$6:$B$30,0))/INDEX('Lists'!$D$6:$D$30,MATCH($G350,'Lists'!$B$6:$B$30,0)))</f>
        <v/>
      </c>
      <c r="J350" s="71">
        <f>IF($H350&lt;&gt;"OK","",$I350*INDEX('Inventory'!$G$7:$G$106,MATCH($C350,'Inventory'!$B$7:$B$106,0)))</f>
        <v/>
      </c>
    </row>
    <row r="351" ht="17" customHeight="1">
      <c r="B351" s="66" t="n"/>
      <c r="C351" s="60" t="n"/>
      <c r="D351" s="86" t="n"/>
      <c r="E351" s="60" t="n"/>
      <c r="F351" s="60" t="n"/>
      <c r="G351" s="13">
        <f>IF($C351="","",IFERROR(INDEX('Inventory'!$D$7:$D$106,MATCH($C351,'Inventory'!$B$7:$B$106,0))&amp;"","?"))</f>
        <v/>
      </c>
      <c r="H351" s="80">
        <f>IF(AND($B351="",$C351="",$D351=""),"",IF(NOT(ISNUMBER($B351)),"Enter a valid date",IF($C351="","Pick ingredient",IF($G351="?","Not in Inventory",IF($G351="","Set stock unit in Inventory",IF(N($D351)&lt;=0,"Enter quantity",IF($E351="","Pick unit",IF(IFERROR(INDEX('Lists'!$C$6:$C$30,MATCH($E351,'Lists'!$B$6:$B$30,0)),"?")&lt;&gt;IFERROR(INDEX('Lists'!$C$6:$C$30,MATCH($G351,'Lists'!$B$6:$B$30,0)),"?"),"Unit mismatch",IF(ISNUMBER(INDEX('Inventory'!$G$7:$G$106,MATCH($C351,'Inventory'!$B$7:$B$106,0))),"OK","Add price in Inventory")))))))))</f>
        <v/>
      </c>
      <c r="I351" s="88">
        <f>IF($H351&lt;&gt;"OK","",$D351*INDEX('Lists'!$D$6:$D$30,MATCH($E351,'Lists'!$B$6:$B$30,0))/INDEX('Lists'!$D$6:$D$30,MATCH($G351,'Lists'!$B$6:$B$30,0)))</f>
        <v/>
      </c>
      <c r="J351" s="71">
        <f>IF($H351&lt;&gt;"OK","",$I351*INDEX('Inventory'!$G$7:$G$106,MATCH($C351,'Inventory'!$B$7:$B$106,0)))</f>
        <v/>
      </c>
    </row>
    <row r="352" ht="17" customHeight="1">
      <c r="B352" s="66" t="n"/>
      <c r="C352" s="60" t="n"/>
      <c r="D352" s="86" t="n"/>
      <c r="E352" s="60" t="n"/>
      <c r="F352" s="60" t="n"/>
      <c r="G352" s="13">
        <f>IF($C352="","",IFERROR(INDEX('Inventory'!$D$7:$D$106,MATCH($C352,'Inventory'!$B$7:$B$106,0))&amp;"","?"))</f>
        <v/>
      </c>
      <c r="H352" s="80">
        <f>IF(AND($B352="",$C352="",$D352=""),"",IF(NOT(ISNUMBER($B352)),"Enter a valid date",IF($C352="","Pick ingredient",IF($G352="?","Not in Inventory",IF($G352="","Set stock unit in Inventory",IF(N($D352)&lt;=0,"Enter quantity",IF($E352="","Pick unit",IF(IFERROR(INDEX('Lists'!$C$6:$C$30,MATCH($E352,'Lists'!$B$6:$B$30,0)),"?")&lt;&gt;IFERROR(INDEX('Lists'!$C$6:$C$30,MATCH($G352,'Lists'!$B$6:$B$30,0)),"?"),"Unit mismatch",IF(ISNUMBER(INDEX('Inventory'!$G$7:$G$106,MATCH($C352,'Inventory'!$B$7:$B$106,0))),"OK","Add price in Inventory")))))))))</f>
        <v/>
      </c>
      <c r="I352" s="88">
        <f>IF($H352&lt;&gt;"OK","",$D352*INDEX('Lists'!$D$6:$D$30,MATCH($E352,'Lists'!$B$6:$B$30,0))/INDEX('Lists'!$D$6:$D$30,MATCH($G352,'Lists'!$B$6:$B$30,0)))</f>
        <v/>
      </c>
      <c r="J352" s="71">
        <f>IF($H352&lt;&gt;"OK","",$I352*INDEX('Inventory'!$G$7:$G$106,MATCH($C352,'Inventory'!$B$7:$B$106,0)))</f>
        <v/>
      </c>
    </row>
    <row r="353" ht="17" customHeight="1">
      <c r="B353" s="66" t="n"/>
      <c r="C353" s="60" t="n"/>
      <c r="D353" s="86" t="n"/>
      <c r="E353" s="60" t="n"/>
      <c r="F353" s="60" t="n"/>
      <c r="G353" s="13">
        <f>IF($C353="","",IFERROR(INDEX('Inventory'!$D$7:$D$106,MATCH($C353,'Inventory'!$B$7:$B$106,0))&amp;"","?"))</f>
        <v/>
      </c>
      <c r="H353" s="80">
        <f>IF(AND($B353="",$C353="",$D353=""),"",IF(NOT(ISNUMBER($B353)),"Enter a valid date",IF($C353="","Pick ingredient",IF($G353="?","Not in Inventory",IF($G353="","Set stock unit in Inventory",IF(N($D353)&lt;=0,"Enter quantity",IF($E353="","Pick unit",IF(IFERROR(INDEX('Lists'!$C$6:$C$30,MATCH($E353,'Lists'!$B$6:$B$30,0)),"?")&lt;&gt;IFERROR(INDEX('Lists'!$C$6:$C$30,MATCH($G353,'Lists'!$B$6:$B$30,0)),"?"),"Unit mismatch",IF(ISNUMBER(INDEX('Inventory'!$G$7:$G$106,MATCH($C353,'Inventory'!$B$7:$B$106,0))),"OK","Add price in Inventory")))))))))</f>
        <v/>
      </c>
      <c r="I353" s="88">
        <f>IF($H353&lt;&gt;"OK","",$D353*INDEX('Lists'!$D$6:$D$30,MATCH($E353,'Lists'!$B$6:$B$30,0))/INDEX('Lists'!$D$6:$D$30,MATCH($G353,'Lists'!$B$6:$B$30,0)))</f>
        <v/>
      </c>
      <c r="J353" s="71">
        <f>IF($H353&lt;&gt;"OK","",$I353*INDEX('Inventory'!$G$7:$G$106,MATCH($C353,'Inventory'!$B$7:$B$106,0)))</f>
        <v/>
      </c>
    </row>
    <row r="354" ht="17" customHeight="1">
      <c r="B354" s="66" t="n"/>
      <c r="C354" s="60" t="n"/>
      <c r="D354" s="86" t="n"/>
      <c r="E354" s="60" t="n"/>
      <c r="F354" s="60" t="n"/>
      <c r="G354" s="13">
        <f>IF($C354="","",IFERROR(INDEX('Inventory'!$D$7:$D$106,MATCH($C354,'Inventory'!$B$7:$B$106,0))&amp;"","?"))</f>
        <v/>
      </c>
      <c r="H354" s="80">
        <f>IF(AND($B354="",$C354="",$D354=""),"",IF(NOT(ISNUMBER($B354)),"Enter a valid date",IF($C354="","Pick ingredient",IF($G354="?","Not in Inventory",IF($G354="","Set stock unit in Inventory",IF(N($D354)&lt;=0,"Enter quantity",IF($E354="","Pick unit",IF(IFERROR(INDEX('Lists'!$C$6:$C$30,MATCH($E354,'Lists'!$B$6:$B$30,0)),"?")&lt;&gt;IFERROR(INDEX('Lists'!$C$6:$C$30,MATCH($G354,'Lists'!$B$6:$B$30,0)),"?"),"Unit mismatch",IF(ISNUMBER(INDEX('Inventory'!$G$7:$G$106,MATCH($C354,'Inventory'!$B$7:$B$106,0))),"OK","Add price in Inventory")))))))))</f>
        <v/>
      </c>
      <c r="I354" s="88">
        <f>IF($H354&lt;&gt;"OK","",$D354*INDEX('Lists'!$D$6:$D$30,MATCH($E354,'Lists'!$B$6:$B$30,0))/INDEX('Lists'!$D$6:$D$30,MATCH($G354,'Lists'!$B$6:$B$30,0)))</f>
        <v/>
      </c>
      <c r="J354" s="71">
        <f>IF($H354&lt;&gt;"OK","",$I354*INDEX('Inventory'!$G$7:$G$106,MATCH($C354,'Inventory'!$B$7:$B$106,0)))</f>
        <v/>
      </c>
    </row>
    <row r="355" ht="17" customHeight="1">
      <c r="B355" s="66" t="n"/>
      <c r="C355" s="60" t="n"/>
      <c r="D355" s="86" t="n"/>
      <c r="E355" s="60" t="n"/>
      <c r="F355" s="60" t="n"/>
      <c r="G355" s="13">
        <f>IF($C355="","",IFERROR(INDEX('Inventory'!$D$7:$D$106,MATCH($C355,'Inventory'!$B$7:$B$106,0))&amp;"","?"))</f>
        <v/>
      </c>
      <c r="H355" s="80">
        <f>IF(AND($B355="",$C355="",$D355=""),"",IF(NOT(ISNUMBER($B355)),"Enter a valid date",IF($C355="","Pick ingredient",IF($G355="?","Not in Inventory",IF($G355="","Set stock unit in Inventory",IF(N($D355)&lt;=0,"Enter quantity",IF($E355="","Pick unit",IF(IFERROR(INDEX('Lists'!$C$6:$C$30,MATCH($E355,'Lists'!$B$6:$B$30,0)),"?")&lt;&gt;IFERROR(INDEX('Lists'!$C$6:$C$30,MATCH($G355,'Lists'!$B$6:$B$30,0)),"?"),"Unit mismatch",IF(ISNUMBER(INDEX('Inventory'!$G$7:$G$106,MATCH($C355,'Inventory'!$B$7:$B$106,0))),"OK","Add price in Inventory")))))))))</f>
        <v/>
      </c>
      <c r="I355" s="88">
        <f>IF($H355&lt;&gt;"OK","",$D355*INDEX('Lists'!$D$6:$D$30,MATCH($E355,'Lists'!$B$6:$B$30,0))/INDEX('Lists'!$D$6:$D$30,MATCH($G355,'Lists'!$B$6:$B$30,0)))</f>
        <v/>
      </c>
      <c r="J355" s="71">
        <f>IF($H355&lt;&gt;"OK","",$I355*INDEX('Inventory'!$G$7:$G$106,MATCH($C355,'Inventory'!$B$7:$B$106,0)))</f>
        <v/>
      </c>
    </row>
    <row r="356" ht="17" customHeight="1">
      <c r="B356" s="66" t="n"/>
      <c r="C356" s="60" t="n"/>
      <c r="D356" s="86" t="n"/>
      <c r="E356" s="60" t="n"/>
      <c r="F356" s="60" t="n"/>
      <c r="G356" s="13">
        <f>IF($C356="","",IFERROR(INDEX('Inventory'!$D$7:$D$106,MATCH($C356,'Inventory'!$B$7:$B$106,0))&amp;"","?"))</f>
        <v/>
      </c>
      <c r="H356" s="80">
        <f>IF(AND($B356="",$C356="",$D356=""),"",IF(NOT(ISNUMBER($B356)),"Enter a valid date",IF($C356="","Pick ingredient",IF($G356="?","Not in Inventory",IF($G356="","Set stock unit in Inventory",IF(N($D356)&lt;=0,"Enter quantity",IF($E356="","Pick unit",IF(IFERROR(INDEX('Lists'!$C$6:$C$30,MATCH($E356,'Lists'!$B$6:$B$30,0)),"?")&lt;&gt;IFERROR(INDEX('Lists'!$C$6:$C$30,MATCH($G356,'Lists'!$B$6:$B$30,0)),"?"),"Unit mismatch",IF(ISNUMBER(INDEX('Inventory'!$G$7:$G$106,MATCH($C356,'Inventory'!$B$7:$B$106,0))),"OK","Add price in Inventory")))))))))</f>
        <v/>
      </c>
      <c r="I356" s="88">
        <f>IF($H356&lt;&gt;"OK","",$D356*INDEX('Lists'!$D$6:$D$30,MATCH($E356,'Lists'!$B$6:$B$30,0))/INDEX('Lists'!$D$6:$D$30,MATCH($G356,'Lists'!$B$6:$B$30,0)))</f>
        <v/>
      </c>
      <c r="J356" s="71">
        <f>IF($H356&lt;&gt;"OK","",$I356*INDEX('Inventory'!$G$7:$G$106,MATCH($C356,'Inventory'!$B$7:$B$106,0)))</f>
        <v/>
      </c>
    </row>
    <row r="357" ht="17" customHeight="1">
      <c r="B357" s="66" t="n"/>
      <c r="C357" s="60" t="n"/>
      <c r="D357" s="86" t="n"/>
      <c r="E357" s="60" t="n"/>
      <c r="F357" s="60" t="n"/>
      <c r="G357" s="13">
        <f>IF($C357="","",IFERROR(INDEX('Inventory'!$D$7:$D$106,MATCH($C357,'Inventory'!$B$7:$B$106,0))&amp;"","?"))</f>
        <v/>
      </c>
      <c r="H357" s="80">
        <f>IF(AND($B357="",$C357="",$D357=""),"",IF(NOT(ISNUMBER($B357)),"Enter a valid date",IF($C357="","Pick ingredient",IF($G357="?","Not in Inventory",IF($G357="","Set stock unit in Inventory",IF(N($D357)&lt;=0,"Enter quantity",IF($E357="","Pick unit",IF(IFERROR(INDEX('Lists'!$C$6:$C$30,MATCH($E357,'Lists'!$B$6:$B$30,0)),"?")&lt;&gt;IFERROR(INDEX('Lists'!$C$6:$C$30,MATCH($G357,'Lists'!$B$6:$B$30,0)),"?"),"Unit mismatch",IF(ISNUMBER(INDEX('Inventory'!$G$7:$G$106,MATCH($C357,'Inventory'!$B$7:$B$106,0))),"OK","Add price in Inventory")))))))))</f>
        <v/>
      </c>
      <c r="I357" s="88">
        <f>IF($H357&lt;&gt;"OK","",$D357*INDEX('Lists'!$D$6:$D$30,MATCH($E357,'Lists'!$B$6:$B$30,0))/INDEX('Lists'!$D$6:$D$30,MATCH($G357,'Lists'!$B$6:$B$30,0)))</f>
        <v/>
      </c>
      <c r="J357" s="71">
        <f>IF($H357&lt;&gt;"OK","",$I357*INDEX('Inventory'!$G$7:$G$106,MATCH($C357,'Inventory'!$B$7:$B$106,0)))</f>
        <v/>
      </c>
    </row>
    <row r="358" ht="17" customHeight="1">
      <c r="B358" s="66" t="n"/>
      <c r="C358" s="60" t="n"/>
      <c r="D358" s="86" t="n"/>
      <c r="E358" s="60" t="n"/>
      <c r="F358" s="60" t="n"/>
      <c r="G358" s="13">
        <f>IF($C358="","",IFERROR(INDEX('Inventory'!$D$7:$D$106,MATCH($C358,'Inventory'!$B$7:$B$106,0))&amp;"","?"))</f>
        <v/>
      </c>
      <c r="H358" s="80">
        <f>IF(AND($B358="",$C358="",$D358=""),"",IF(NOT(ISNUMBER($B358)),"Enter a valid date",IF($C358="","Pick ingredient",IF($G358="?","Not in Inventory",IF($G358="","Set stock unit in Inventory",IF(N($D358)&lt;=0,"Enter quantity",IF($E358="","Pick unit",IF(IFERROR(INDEX('Lists'!$C$6:$C$30,MATCH($E358,'Lists'!$B$6:$B$30,0)),"?")&lt;&gt;IFERROR(INDEX('Lists'!$C$6:$C$30,MATCH($G358,'Lists'!$B$6:$B$30,0)),"?"),"Unit mismatch",IF(ISNUMBER(INDEX('Inventory'!$G$7:$G$106,MATCH($C358,'Inventory'!$B$7:$B$106,0))),"OK","Add price in Inventory")))))))))</f>
        <v/>
      </c>
      <c r="I358" s="88">
        <f>IF($H358&lt;&gt;"OK","",$D358*INDEX('Lists'!$D$6:$D$30,MATCH($E358,'Lists'!$B$6:$B$30,0))/INDEX('Lists'!$D$6:$D$30,MATCH($G358,'Lists'!$B$6:$B$30,0)))</f>
        <v/>
      </c>
      <c r="J358" s="71">
        <f>IF($H358&lt;&gt;"OK","",$I358*INDEX('Inventory'!$G$7:$G$106,MATCH($C358,'Inventory'!$B$7:$B$106,0)))</f>
        <v/>
      </c>
    </row>
    <row r="359" ht="17" customHeight="1">
      <c r="B359" s="66" t="n"/>
      <c r="C359" s="60" t="n"/>
      <c r="D359" s="86" t="n"/>
      <c r="E359" s="60" t="n"/>
      <c r="F359" s="60" t="n"/>
      <c r="G359" s="13">
        <f>IF($C359="","",IFERROR(INDEX('Inventory'!$D$7:$D$106,MATCH($C359,'Inventory'!$B$7:$B$106,0))&amp;"","?"))</f>
        <v/>
      </c>
      <c r="H359" s="80">
        <f>IF(AND($B359="",$C359="",$D359=""),"",IF(NOT(ISNUMBER($B359)),"Enter a valid date",IF($C359="","Pick ingredient",IF($G359="?","Not in Inventory",IF($G359="","Set stock unit in Inventory",IF(N($D359)&lt;=0,"Enter quantity",IF($E359="","Pick unit",IF(IFERROR(INDEX('Lists'!$C$6:$C$30,MATCH($E359,'Lists'!$B$6:$B$30,0)),"?")&lt;&gt;IFERROR(INDEX('Lists'!$C$6:$C$30,MATCH($G359,'Lists'!$B$6:$B$30,0)),"?"),"Unit mismatch",IF(ISNUMBER(INDEX('Inventory'!$G$7:$G$106,MATCH($C359,'Inventory'!$B$7:$B$106,0))),"OK","Add price in Inventory")))))))))</f>
        <v/>
      </c>
      <c r="I359" s="88">
        <f>IF($H359&lt;&gt;"OK","",$D359*INDEX('Lists'!$D$6:$D$30,MATCH($E359,'Lists'!$B$6:$B$30,0))/INDEX('Lists'!$D$6:$D$30,MATCH($G359,'Lists'!$B$6:$B$30,0)))</f>
        <v/>
      </c>
      <c r="J359" s="71">
        <f>IF($H359&lt;&gt;"OK","",$I359*INDEX('Inventory'!$G$7:$G$106,MATCH($C359,'Inventory'!$B$7:$B$106,0)))</f>
        <v/>
      </c>
    </row>
    <row r="360" ht="17" customHeight="1">
      <c r="B360" s="66" t="n"/>
      <c r="C360" s="60" t="n"/>
      <c r="D360" s="86" t="n"/>
      <c r="E360" s="60" t="n"/>
      <c r="F360" s="60" t="n"/>
      <c r="G360" s="13">
        <f>IF($C360="","",IFERROR(INDEX('Inventory'!$D$7:$D$106,MATCH($C360,'Inventory'!$B$7:$B$106,0))&amp;"","?"))</f>
        <v/>
      </c>
      <c r="H360" s="80">
        <f>IF(AND($B360="",$C360="",$D360=""),"",IF(NOT(ISNUMBER($B360)),"Enter a valid date",IF($C360="","Pick ingredient",IF($G360="?","Not in Inventory",IF($G360="","Set stock unit in Inventory",IF(N($D360)&lt;=0,"Enter quantity",IF($E360="","Pick unit",IF(IFERROR(INDEX('Lists'!$C$6:$C$30,MATCH($E360,'Lists'!$B$6:$B$30,0)),"?")&lt;&gt;IFERROR(INDEX('Lists'!$C$6:$C$30,MATCH($G360,'Lists'!$B$6:$B$30,0)),"?"),"Unit mismatch",IF(ISNUMBER(INDEX('Inventory'!$G$7:$G$106,MATCH($C360,'Inventory'!$B$7:$B$106,0))),"OK","Add price in Inventory")))))))))</f>
        <v/>
      </c>
      <c r="I360" s="88">
        <f>IF($H360&lt;&gt;"OK","",$D360*INDEX('Lists'!$D$6:$D$30,MATCH($E360,'Lists'!$B$6:$B$30,0))/INDEX('Lists'!$D$6:$D$30,MATCH($G360,'Lists'!$B$6:$B$30,0)))</f>
        <v/>
      </c>
      <c r="J360" s="71">
        <f>IF($H360&lt;&gt;"OK","",$I360*INDEX('Inventory'!$G$7:$G$106,MATCH($C360,'Inventory'!$B$7:$B$106,0)))</f>
        <v/>
      </c>
    </row>
    <row r="361" ht="17" customHeight="1">
      <c r="B361" s="66" t="n"/>
      <c r="C361" s="60" t="n"/>
      <c r="D361" s="86" t="n"/>
      <c r="E361" s="60" t="n"/>
      <c r="F361" s="60" t="n"/>
      <c r="G361" s="13">
        <f>IF($C361="","",IFERROR(INDEX('Inventory'!$D$7:$D$106,MATCH($C361,'Inventory'!$B$7:$B$106,0))&amp;"","?"))</f>
        <v/>
      </c>
      <c r="H361" s="80">
        <f>IF(AND($B361="",$C361="",$D361=""),"",IF(NOT(ISNUMBER($B361)),"Enter a valid date",IF($C361="","Pick ingredient",IF($G361="?","Not in Inventory",IF($G361="","Set stock unit in Inventory",IF(N($D361)&lt;=0,"Enter quantity",IF($E361="","Pick unit",IF(IFERROR(INDEX('Lists'!$C$6:$C$30,MATCH($E361,'Lists'!$B$6:$B$30,0)),"?")&lt;&gt;IFERROR(INDEX('Lists'!$C$6:$C$30,MATCH($G361,'Lists'!$B$6:$B$30,0)),"?"),"Unit mismatch",IF(ISNUMBER(INDEX('Inventory'!$G$7:$G$106,MATCH($C361,'Inventory'!$B$7:$B$106,0))),"OK","Add price in Inventory")))))))))</f>
        <v/>
      </c>
      <c r="I361" s="88">
        <f>IF($H361&lt;&gt;"OK","",$D361*INDEX('Lists'!$D$6:$D$30,MATCH($E361,'Lists'!$B$6:$B$30,0))/INDEX('Lists'!$D$6:$D$30,MATCH($G361,'Lists'!$B$6:$B$30,0)))</f>
        <v/>
      </c>
      <c r="J361" s="71">
        <f>IF($H361&lt;&gt;"OK","",$I361*INDEX('Inventory'!$G$7:$G$106,MATCH($C361,'Inventory'!$B$7:$B$106,0)))</f>
        <v/>
      </c>
    </row>
    <row r="362" ht="17" customHeight="1">
      <c r="B362" s="66" t="n"/>
      <c r="C362" s="60" t="n"/>
      <c r="D362" s="86" t="n"/>
      <c r="E362" s="60" t="n"/>
      <c r="F362" s="60" t="n"/>
      <c r="G362" s="13">
        <f>IF($C362="","",IFERROR(INDEX('Inventory'!$D$7:$D$106,MATCH($C362,'Inventory'!$B$7:$B$106,0))&amp;"","?"))</f>
        <v/>
      </c>
      <c r="H362" s="80">
        <f>IF(AND($B362="",$C362="",$D362=""),"",IF(NOT(ISNUMBER($B362)),"Enter a valid date",IF($C362="","Pick ingredient",IF($G362="?","Not in Inventory",IF($G362="","Set stock unit in Inventory",IF(N($D362)&lt;=0,"Enter quantity",IF($E362="","Pick unit",IF(IFERROR(INDEX('Lists'!$C$6:$C$30,MATCH($E362,'Lists'!$B$6:$B$30,0)),"?")&lt;&gt;IFERROR(INDEX('Lists'!$C$6:$C$30,MATCH($G362,'Lists'!$B$6:$B$30,0)),"?"),"Unit mismatch",IF(ISNUMBER(INDEX('Inventory'!$G$7:$G$106,MATCH($C362,'Inventory'!$B$7:$B$106,0))),"OK","Add price in Inventory")))))))))</f>
        <v/>
      </c>
      <c r="I362" s="88">
        <f>IF($H362&lt;&gt;"OK","",$D362*INDEX('Lists'!$D$6:$D$30,MATCH($E362,'Lists'!$B$6:$B$30,0))/INDEX('Lists'!$D$6:$D$30,MATCH($G362,'Lists'!$B$6:$B$30,0)))</f>
        <v/>
      </c>
      <c r="J362" s="71">
        <f>IF($H362&lt;&gt;"OK","",$I362*INDEX('Inventory'!$G$7:$G$106,MATCH($C362,'Inventory'!$B$7:$B$106,0)))</f>
        <v/>
      </c>
    </row>
    <row r="363" ht="17" customHeight="1">
      <c r="B363" s="66" t="n"/>
      <c r="C363" s="60" t="n"/>
      <c r="D363" s="86" t="n"/>
      <c r="E363" s="60" t="n"/>
      <c r="F363" s="60" t="n"/>
      <c r="G363" s="13">
        <f>IF($C363="","",IFERROR(INDEX('Inventory'!$D$7:$D$106,MATCH($C363,'Inventory'!$B$7:$B$106,0))&amp;"","?"))</f>
        <v/>
      </c>
      <c r="H363" s="80">
        <f>IF(AND($B363="",$C363="",$D363=""),"",IF(NOT(ISNUMBER($B363)),"Enter a valid date",IF($C363="","Pick ingredient",IF($G363="?","Not in Inventory",IF($G363="","Set stock unit in Inventory",IF(N($D363)&lt;=0,"Enter quantity",IF($E363="","Pick unit",IF(IFERROR(INDEX('Lists'!$C$6:$C$30,MATCH($E363,'Lists'!$B$6:$B$30,0)),"?")&lt;&gt;IFERROR(INDEX('Lists'!$C$6:$C$30,MATCH($G363,'Lists'!$B$6:$B$30,0)),"?"),"Unit mismatch",IF(ISNUMBER(INDEX('Inventory'!$G$7:$G$106,MATCH($C363,'Inventory'!$B$7:$B$106,0))),"OK","Add price in Inventory")))))))))</f>
        <v/>
      </c>
      <c r="I363" s="88">
        <f>IF($H363&lt;&gt;"OK","",$D363*INDEX('Lists'!$D$6:$D$30,MATCH($E363,'Lists'!$B$6:$B$30,0))/INDEX('Lists'!$D$6:$D$30,MATCH($G363,'Lists'!$B$6:$B$30,0)))</f>
        <v/>
      </c>
      <c r="J363" s="71">
        <f>IF($H363&lt;&gt;"OK","",$I363*INDEX('Inventory'!$G$7:$G$106,MATCH($C363,'Inventory'!$B$7:$B$106,0)))</f>
        <v/>
      </c>
    </row>
    <row r="364" ht="17" customHeight="1">
      <c r="B364" s="66" t="n"/>
      <c r="C364" s="60" t="n"/>
      <c r="D364" s="86" t="n"/>
      <c r="E364" s="60" t="n"/>
      <c r="F364" s="60" t="n"/>
      <c r="G364" s="13">
        <f>IF($C364="","",IFERROR(INDEX('Inventory'!$D$7:$D$106,MATCH($C364,'Inventory'!$B$7:$B$106,0))&amp;"","?"))</f>
        <v/>
      </c>
      <c r="H364" s="80">
        <f>IF(AND($B364="",$C364="",$D364=""),"",IF(NOT(ISNUMBER($B364)),"Enter a valid date",IF($C364="","Pick ingredient",IF($G364="?","Not in Inventory",IF($G364="","Set stock unit in Inventory",IF(N($D364)&lt;=0,"Enter quantity",IF($E364="","Pick unit",IF(IFERROR(INDEX('Lists'!$C$6:$C$30,MATCH($E364,'Lists'!$B$6:$B$30,0)),"?")&lt;&gt;IFERROR(INDEX('Lists'!$C$6:$C$30,MATCH($G364,'Lists'!$B$6:$B$30,0)),"?"),"Unit mismatch",IF(ISNUMBER(INDEX('Inventory'!$G$7:$G$106,MATCH($C364,'Inventory'!$B$7:$B$106,0))),"OK","Add price in Inventory")))))))))</f>
        <v/>
      </c>
      <c r="I364" s="88">
        <f>IF($H364&lt;&gt;"OK","",$D364*INDEX('Lists'!$D$6:$D$30,MATCH($E364,'Lists'!$B$6:$B$30,0))/INDEX('Lists'!$D$6:$D$30,MATCH($G364,'Lists'!$B$6:$B$30,0)))</f>
        <v/>
      </c>
      <c r="J364" s="71">
        <f>IF($H364&lt;&gt;"OK","",$I364*INDEX('Inventory'!$G$7:$G$106,MATCH($C364,'Inventory'!$B$7:$B$106,0)))</f>
        <v/>
      </c>
    </row>
    <row r="365" ht="17" customHeight="1">
      <c r="B365" s="66" t="n"/>
      <c r="C365" s="60" t="n"/>
      <c r="D365" s="86" t="n"/>
      <c r="E365" s="60" t="n"/>
      <c r="F365" s="60" t="n"/>
      <c r="G365" s="13">
        <f>IF($C365="","",IFERROR(INDEX('Inventory'!$D$7:$D$106,MATCH($C365,'Inventory'!$B$7:$B$106,0))&amp;"","?"))</f>
        <v/>
      </c>
      <c r="H365" s="80">
        <f>IF(AND($B365="",$C365="",$D365=""),"",IF(NOT(ISNUMBER($B365)),"Enter a valid date",IF($C365="","Pick ingredient",IF($G365="?","Not in Inventory",IF($G365="","Set stock unit in Inventory",IF(N($D365)&lt;=0,"Enter quantity",IF($E365="","Pick unit",IF(IFERROR(INDEX('Lists'!$C$6:$C$30,MATCH($E365,'Lists'!$B$6:$B$30,0)),"?")&lt;&gt;IFERROR(INDEX('Lists'!$C$6:$C$30,MATCH($G365,'Lists'!$B$6:$B$30,0)),"?"),"Unit mismatch",IF(ISNUMBER(INDEX('Inventory'!$G$7:$G$106,MATCH($C365,'Inventory'!$B$7:$B$106,0))),"OK","Add price in Inventory")))))))))</f>
        <v/>
      </c>
      <c r="I365" s="88">
        <f>IF($H365&lt;&gt;"OK","",$D365*INDEX('Lists'!$D$6:$D$30,MATCH($E365,'Lists'!$B$6:$B$30,0))/INDEX('Lists'!$D$6:$D$30,MATCH($G365,'Lists'!$B$6:$B$30,0)))</f>
        <v/>
      </c>
      <c r="J365" s="71">
        <f>IF($H365&lt;&gt;"OK","",$I365*INDEX('Inventory'!$G$7:$G$106,MATCH($C365,'Inventory'!$B$7:$B$106,0)))</f>
        <v/>
      </c>
    </row>
    <row r="366" ht="17" customHeight="1">
      <c r="B366" s="66" t="n"/>
      <c r="C366" s="60" t="n"/>
      <c r="D366" s="86" t="n"/>
      <c r="E366" s="60" t="n"/>
      <c r="F366" s="60" t="n"/>
      <c r="G366" s="13">
        <f>IF($C366="","",IFERROR(INDEX('Inventory'!$D$7:$D$106,MATCH($C366,'Inventory'!$B$7:$B$106,0))&amp;"","?"))</f>
        <v/>
      </c>
      <c r="H366" s="80">
        <f>IF(AND($B366="",$C366="",$D366=""),"",IF(NOT(ISNUMBER($B366)),"Enter a valid date",IF($C366="","Pick ingredient",IF($G366="?","Not in Inventory",IF($G366="","Set stock unit in Inventory",IF(N($D366)&lt;=0,"Enter quantity",IF($E366="","Pick unit",IF(IFERROR(INDEX('Lists'!$C$6:$C$30,MATCH($E366,'Lists'!$B$6:$B$30,0)),"?")&lt;&gt;IFERROR(INDEX('Lists'!$C$6:$C$30,MATCH($G366,'Lists'!$B$6:$B$30,0)),"?"),"Unit mismatch",IF(ISNUMBER(INDEX('Inventory'!$G$7:$G$106,MATCH($C366,'Inventory'!$B$7:$B$106,0))),"OK","Add price in Inventory")))))))))</f>
        <v/>
      </c>
      <c r="I366" s="88">
        <f>IF($H366&lt;&gt;"OK","",$D366*INDEX('Lists'!$D$6:$D$30,MATCH($E366,'Lists'!$B$6:$B$30,0))/INDEX('Lists'!$D$6:$D$30,MATCH($G366,'Lists'!$B$6:$B$30,0)))</f>
        <v/>
      </c>
      <c r="J366" s="71">
        <f>IF($H366&lt;&gt;"OK","",$I366*INDEX('Inventory'!$G$7:$G$106,MATCH($C366,'Inventory'!$B$7:$B$106,0)))</f>
        <v/>
      </c>
    </row>
    <row r="367" ht="17" customHeight="1">
      <c r="B367" s="66" t="n"/>
      <c r="C367" s="60" t="n"/>
      <c r="D367" s="86" t="n"/>
      <c r="E367" s="60" t="n"/>
      <c r="F367" s="60" t="n"/>
      <c r="G367" s="13">
        <f>IF($C367="","",IFERROR(INDEX('Inventory'!$D$7:$D$106,MATCH($C367,'Inventory'!$B$7:$B$106,0))&amp;"","?"))</f>
        <v/>
      </c>
      <c r="H367" s="80">
        <f>IF(AND($B367="",$C367="",$D367=""),"",IF(NOT(ISNUMBER($B367)),"Enter a valid date",IF($C367="","Pick ingredient",IF($G367="?","Not in Inventory",IF($G367="","Set stock unit in Inventory",IF(N($D367)&lt;=0,"Enter quantity",IF($E367="","Pick unit",IF(IFERROR(INDEX('Lists'!$C$6:$C$30,MATCH($E367,'Lists'!$B$6:$B$30,0)),"?")&lt;&gt;IFERROR(INDEX('Lists'!$C$6:$C$30,MATCH($G367,'Lists'!$B$6:$B$30,0)),"?"),"Unit mismatch",IF(ISNUMBER(INDEX('Inventory'!$G$7:$G$106,MATCH($C367,'Inventory'!$B$7:$B$106,0))),"OK","Add price in Inventory")))))))))</f>
        <v/>
      </c>
      <c r="I367" s="88">
        <f>IF($H367&lt;&gt;"OK","",$D367*INDEX('Lists'!$D$6:$D$30,MATCH($E367,'Lists'!$B$6:$B$30,0))/INDEX('Lists'!$D$6:$D$30,MATCH($G367,'Lists'!$B$6:$B$30,0)))</f>
        <v/>
      </c>
      <c r="J367" s="71">
        <f>IF($H367&lt;&gt;"OK","",$I367*INDEX('Inventory'!$G$7:$G$106,MATCH($C367,'Inventory'!$B$7:$B$106,0)))</f>
        <v/>
      </c>
    </row>
    <row r="368" ht="17" customHeight="1">
      <c r="B368" s="66" t="n"/>
      <c r="C368" s="60" t="n"/>
      <c r="D368" s="86" t="n"/>
      <c r="E368" s="60" t="n"/>
      <c r="F368" s="60" t="n"/>
      <c r="G368" s="13">
        <f>IF($C368="","",IFERROR(INDEX('Inventory'!$D$7:$D$106,MATCH($C368,'Inventory'!$B$7:$B$106,0))&amp;"","?"))</f>
        <v/>
      </c>
      <c r="H368" s="80">
        <f>IF(AND($B368="",$C368="",$D368=""),"",IF(NOT(ISNUMBER($B368)),"Enter a valid date",IF($C368="","Pick ingredient",IF($G368="?","Not in Inventory",IF($G368="","Set stock unit in Inventory",IF(N($D368)&lt;=0,"Enter quantity",IF($E368="","Pick unit",IF(IFERROR(INDEX('Lists'!$C$6:$C$30,MATCH($E368,'Lists'!$B$6:$B$30,0)),"?")&lt;&gt;IFERROR(INDEX('Lists'!$C$6:$C$30,MATCH($G368,'Lists'!$B$6:$B$30,0)),"?"),"Unit mismatch",IF(ISNUMBER(INDEX('Inventory'!$G$7:$G$106,MATCH($C368,'Inventory'!$B$7:$B$106,0))),"OK","Add price in Inventory")))))))))</f>
        <v/>
      </c>
      <c r="I368" s="88">
        <f>IF($H368&lt;&gt;"OK","",$D368*INDEX('Lists'!$D$6:$D$30,MATCH($E368,'Lists'!$B$6:$B$30,0))/INDEX('Lists'!$D$6:$D$30,MATCH($G368,'Lists'!$B$6:$B$30,0)))</f>
        <v/>
      </c>
      <c r="J368" s="71">
        <f>IF($H368&lt;&gt;"OK","",$I368*INDEX('Inventory'!$G$7:$G$106,MATCH($C368,'Inventory'!$B$7:$B$106,0)))</f>
        <v/>
      </c>
    </row>
    <row r="369" ht="17" customHeight="1">
      <c r="B369" s="66" t="n"/>
      <c r="C369" s="60" t="n"/>
      <c r="D369" s="86" t="n"/>
      <c r="E369" s="60" t="n"/>
      <c r="F369" s="60" t="n"/>
      <c r="G369" s="13">
        <f>IF($C369="","",IFERROR(INDEX('Inventory'!$D$7:$D$106,MATCH($C369,'Inventory'!$B$7:$B$106,0))&amp;"","?"))</f>
        <v/>
      </c>
      <c r="H369" s="80">
        <f>IF(AND($B369="",$C369="",$D369=""),"",IF(NOT(ISNUMBER($B369)),"Enter a valid date",IF($C369="","Pick ingredient",IF($G369="?","Not in Inventory",IF($G369="","Set stock unit in Inventory",IF(N($D369)&lt;=0,"Enter quantity",IF($E369="","Pick unit",IF(IFERROR(INDEX('Lists'!$C$6:$C$30,MATCH($E369,'Lists'!$B$6:$B$30,0)),"?")&lt;&gt;IFERROR(INDEX('Lists'!$C$6:$C$30,MATCH($G369,'Lists'!$B$6:$B$30,0)),"?"),"Unit mismatch",IF(ISNUMBER(INDEX('Inventory'!$G$7:$G$106,MATCH($C369,'Inventory'!$B$7:$B$106,0))),"OK","Add price in Inventory")))))))))</f>
        <v/>
      </c>
      <c r="I369" s="88">
        <f>IF($H369&lt;&gt;"OK","",$D369*INDEX('Lists'!$D$6:$D$30,MATCH($E369,'Lists'!$B$6:$B$30,0))/INDEX('Lists'!$D$6:$D$30,MATCH($G369,'Lists'!$B$6:$B$30,0)))</f>
        <v/>
      </c>
      <c r="J369" s="71">
        <f>IF($H369&lt;&gt;"OK","",$I369*INDEX('Inventory'!$G$7:$G$106,MATCH($C369,'Inventory'!$B$7:$B$106,0)))</f>
        <v/>
      </c>
    </row>
    <row r="370" ht="17" customHeight="1">
      <c r="B370" s="66" t="n"/>
      <c r="C370" s="60" t="n"/>
      <c r="D370" s="86" t="n"/>
      <c r="E370" s="60" t="n"/>
      <c r="F370" s="60" t="n"/>
      <c r="G370" s="13">
        <f>IF($C370="","",IFERROR(INDEX('Inventory'!$D$7:$D$106,MATCH($C370,'Inventory'!$B$7:$B$106,0))&amp;"","?"))</f>
        <v/>
      </c>
      <c r="H370" s="80">
        <f>IF(AND($B370="",$C370="",$D370=""),"",IF(NOT(ISNUMBER($B370)),"Enter a valid date",IF($C370="","Pick ingredient",IF($G370="?","Not in Inventory",IF($G370="","Set stock unit in Inventory",IF(N($D370)&lt;=0,"Enter quantity",IF($E370="","Pick unit",IF(IFERROR(INDEX('Lists'!$C$6:$C$30,MATCH($E370,'Lists'!$B$6:$B$30,0)),"?")&lt;&gt;IFERROR(INDEX('Lists'!$C$6:$C$30,MATCH($G370,'Lists'!$B$6:$B$30,0)),"?"),"Unit mismatch",IF(ISNUMBER(INDEX('Inventory'!$G$7:$G$106,MATCH($C370,'Inventory'!$B$7:$B$106,0))),"OK","Add price in Inventory")))))))))</f>
        <v/>
      </c>
      <c r="I370" s="88">
        <f>IF($H370&lt;&gt;"OK","",$D370*INDEX('Lists'!$D$6:$D$30,MATCH($E370,'Lists'!$B$6:$B$30,0))/INDEX('Lists'!$D$6:$D$30,MATCH($G370,'Lists'!$B$6:$B$30,0)))</f>
        <v/>
      </c>
      <c r="J370" s="71">
        <f>IF($H370&lt;&gt;"OK","",$I370*INDEX('Inventory'!$G$7:$G$106,MATCH($C370,'Inventory'!$B$7:$B$106,0)))</f>
        <v/>
      </c>
    </row>
    <row r="371" ht="17" customHeight="1">
      <c r="B371" s="66" t="n"/>
      <c r="C371" s="60" t="n"/>
      <c r="D371" s="86" t="n"/>
      <c r="E371" s="60" t="n"/>
      <c r="F371" s="60" t="n"/>
      <c r="G371" s="13">
        <f>IF($C371="","",IFERROR(INDEX('Inventory'!$D$7:$D$106,MATCH($C371,'Inventory'!$B$7:$B$106,0))&amp;"","?"))</f>
        <v/>
      </c>
      <c r="H371" s="80">
        <f>IF(AND($B371="",$C371="",$D371=""),"",IF(NOT(ISNUMBER($B371)),"Enter a valid date",IF($C371="","Pick ingredient",IF($G371="?","Not in Inventory",IF($G371="","Set stock unit in Inventory",IF(N($D371)&lt;=0,"Enter quantity",IF($E371="","Pick unit",IF(IFERROR(INDEX('Lists'!$C$6:$C$30,MATCH($E371,'Lists'!$B$6:$B$30,0)),"?")&lt;&gt;IFERROR(INDEX('Lists'!$C$6:$C$30,MATCH($G371,'Lists'!$B$6:$B$30,0)),"?"),"Unit mismatch",IF(ISNUMBER(INDEX('Inventory'!$G$7:$G$106,MATCH($C371,'Inventory'!$B$7:$B$106,0))),"OK","Add price in Inventory")))))))))</f>
        <v/>
      </c>
      <c r="I371" s="88">
        <f>IF($H371&lt;&gt;"OK","",$D371*INDEX('Lists'!$D$6:$D$30,MATCH($E371,'Lists'!$B$6:$B$30,0))/INDEX('Lists'!$D$6:$D$30,MATCH($G371,'Lists'!$B$6:$B$30,0)))</f>
        <v/>
      </c>
      <c r="J371" s="71">
        <f>IF($H371&lt;&gt;"OK","",$I371*INDEX('Inventory'!$G$7:$G$106,MATCH($C371,'Inventory'!$B$7:$B$106,0)))</f>
        <v/>
      </c>
    </row>
    <row r="372" ht="17" customHeight="1">
      <c r="B372" s="66" t="n"/>
      <c r="C372" s="60" t="n"/>
      <c r="D372" s="86" t="n"/>
      <c r="E372" s="60" t="n"/>
      <c r="F372" s="60" t="n"/>
      <c r="G372" s="13">
        <f>IF($C372="","",IFERROR(INDEX('Inventory'!$D$7:$D$106,MATCH($C372,'Inventory'!$B$7:$B$106,0))&amp;"","?"))</f>
        <v/>
      </c>
      <c r="H372" s="80">
        <f>IF(AND($B372="",$C372="",$D372=""),"",IF(NOT(ISNUMBER($B372)),"Enter a valid date",IF($C372="","Pick ingredient",IF($G372="?","Not in Inventory",IF($G372="","Set stock unit in Inventory",IF(N($D372)&lt;=0,"Enter quantity",IF($E372="","Pick unit",IF(IFERROR(INDEX('Lists'!$C$6:$C$30,MATCH($E372,'Lists'!$B$6:$B$30,0)),"?")&lt;&gt;IFERROR(INDEX('Lists'!$C$6:$C$30,MATCH($G372,'Lists'!$B$6:$B$30,0)),"?"),"Unit mismatch",IF(ISNUMBER(INDEX('Inventory'!$G$7:$G$106,MATCH($C372,'Inventory'!$B$7:$B$106,0))),"OK","Add price in Inventory")))))))))</f>
        <v/>
      </c>
      <c r="I372" s="88">
        <f>IF($H372&lt;&gt;"OK","",$D372*INDEX('Lists'!$D$6:$D$30,MATCH($E372,'Lists'!$B$6:$B$30,0))/INDEX('Lists'!$D$6:$D$30,MATCH($G372,'Lists'!$B$6:$B$30,0)))</f>
        <v/>
      </c>
      <c r="J372" s="71">
        <f>IF($H372&lt;&gt;"OK","",$I372*INDEX('Inventory'!$G$7:$G$106,MATCH($C372,'Inventory'!$B$7:$B$106,0)))</f>
        <v/>
      </c>
    </row>
    <row r="373" ht="17" customHeight="1">
      <c r="B373" s="66" t="n"/>
      <c r="C373" s="60" t="n"/>
      <c r="D373" s="86" t="n"/>
      <c r="E373" s="60" t="n"/>
      <c r="F373" s="60" t="n"/>
      <c r="G373" s="13">
        <f>IF($C373="","",IFERROR(INDEX('Inventory'!$D$7:$D$106,MATCH($C373,'Inventory'!$B$7:$B$106,0))&amp;"","?"))</f>
        <v/>
      </c>
      <c r="H373" s="80">
        <f>IF(AND($B373="",$C373="",$D373=""),"",IF(NOT(ISNUMBER($B373)),"Enter a valid date",IF($C373="","Pick ingredient",IF($G373="?","Not in Inventory",IF($G373="","Set stock unit in Inventory",IF(N($D373)&lt;=0,"Enter quantity",IF($E373="","Pick unit",IF(IFERROR(INDEX('Lists'!$C$6:$C$30,MATCH($E373,'Lists'!$B$6:$B$30,0)),"?")&lt;&gt;IFERROR(INDEX('Lists'!$C$6:$C$30,MATCH($G373,'Lists'!$B$6:$B$30,0)),"?"),"Unit mismatch",IF(ISNUMBER(INDEX('Inventory'!$G$7:$G$106,MATCH($C373,'Inventory'!$B$7:$B$106,0))),"OK","Add price in Inventory")))))))))</f>
        <v/>
      </c>
      <c r="I373" s="88">
        <f>IF($H373&lt;&gt;"OK","",$D373*INDEX('Lists'!$D$6:$D$30,MATCH($E373,'Lists'!$B$6:$B$30,0))/INDEX('Lists'!$D$6:$D$30,MATCH($G373,'Lists'!$B$6:$B$30,0)))</f>
        <v/>
      </c>
      <c r="J373" s="71">
        <f>IF($H373&lt;&gt;"OK","",$I373*INDEX('Inventory'!$G$7:$G$106,MATCH($C373,'Inventory'!$B$7:$B$106,0)))</f>
        <v/>
      </c>
    </row>
    <row r="374" ht="17" customHeight="1">
      <c r="B374" s="66" t="n"/>
      <c r="C374" s="60" t="n"/>
      <c r="D374" s="86" t="n"/>
      <c r="E374" s="60" t="n"/>
      <c r="F374" s="60" t="n"/>
      <c r="G374" s="13">
        <f>IF($C374="","",IFERROR(INDEX('Inventory'!$D$7:$D$106,MATCH($C374,'Inventory'!$B$7:$B$106,0))&amp;"","?"))</f>
        <v/>
      </c>
      <c r="H374" s="80">
        <f>IF(AND($B374="",$C374="",$D374=""),"",IF(NOT(ISNUMBER($B374)),"Enter a valid date",IF($C374="","Pick ingredient",IF($G374="?","Not in Inventory",IF($G374="","Set stock unit in Inventory",IF(N($D374)&lt;=0,"Enter quantity",IF($E374="","Pick unit",IF(IFERROR(INDEX('Lists'!$C$6:$C$30,MATCH($E374,'Lists'!$B$6:$B$30,0)),"?")&lt;&gt;IFERROR(INDEX('Lists'!$C$6:$C$30,MATCH($G374,'Lists'!$B$6:$B$30,0)),"?"),"Unit mismatch",IF(ISNUMBER(INDEX('Inventory'!$G$7:$G$106,MATCH($C374,'Inventory'!$B$7:$B$106,0))),"OK","Add price in Inventory")))))))))</f>
        <v/>
      </c>
      <c r="I374" s="88">
        <f>IF($H374&lt;&gt;"OK","",$D374*INDEX('Lists'!$D$6:$D$30,MATCH($E374,'Lists'!$B$6:$B$30,0))/INDEX('Lists'!$D$6:$D$30,MATCH($G374,'Lists'!$B$6:$B$30,0)))</f>
        <v/>
      </c>
      <c r="J374" s="71">
        <f>IF($H374&lt;&gt;"OK","",$I374*INDEX('Inventory'!$G$7:$G$106,MATCH($C374,'Inventory'!$B$7:$B$106,0)))</f>
        <v/>
      </c>
    </row>
    <row r="375" ht="17" customHeight="1">
      <c r="B375" s="66" t="n"/>
      <c r="C375" s="60" t="n"/>
      <c r="D375" s="86" t="n"/>
      <c r="E375" s="60" t="n"/>
      <c r="F375" s="60" t="n"/>
      <c r="G375" s="13">
        <f>IF($C375="","",IFERROR(INDEX('Inventory'!$D$7:$D$106,MATCH($C375,'Inventory'!$B$7:$B$106,0))&amp;"","?"))</f>
        <v/>
      </c>
      <c r="H375" s="80">
        <f>IF(AND($B375="",$C375="",$D375=""),"",IF(NOT(ISNUMBER($B375)),"Enter a valid date",IF($C375="","Pick ingredient",IF($G375="?","Not in Inventory",IF($G375="","Set stock unit in Inventory",IF(N($D375)&lt;=0,"Enter quantity",IF($E375="","Pick unit",IF(IFERROR(INDEX('Lists'!$C$6:$C$30,MATCH($E375,'Lists'!$B$6:$B$30,0)),"?")&lt;&gt;IFERROR(INDEX('Lists'!$C$6:$C$30,MATCH($G375,'Lists'!$B$6:$B$30,0)),"?"),"Unit mismatch",IF(ISNUMBER(INDEX('Inventory'!$G$7:$G$106,MATCH($C375,'Inventory'!$B$7:$B$106,0))),"OK","Add price in Inventory")))))))))</f>
        <v/>
      </c>
      <c r="I375" s="88">
        <f>IF($H375&lt;&gt;"OK","",$D375*INDEX('Lists'!$D$6:$D$30,MATCH($E375,'Lists'!$B$6:$B$30,0))/INDEX('Lists'!$D$6:$D$30,MATCH($G375,'Lists'!$B$6:$B$30,0)))</f>
        <v/>
      </c>
      <c r="J375" s="71">
        <f>IF($H375&lt;&gt;"OK","",$I375*INDEX('Inventory'!$G$7:$G$106,MATCH($C375,'Inventory'!$B$7:$B$106,0)))</f>
        <v/>
      </c>
    </row>
    <row r="376" ht="17" customHeight="1">
      <c r="B376" s="66" t="n"/>
      <c r="C376" s="60" t="n"/>
      <c r="D376" s="86" t="n"/>
      <c r="E376" s="60" t="n"/>
      <c r="F376" s="60" t="n"/>
      <c r="G376" s="13">
        <f>IF($C376="","",IFERROR(INDEX('Inventory'!$D$7:$D$106,MATCH($C376,'Inventory'!$B$7:$B$106,0))&amp;"","?"))</f>
        <v/>
      </c>
      <c r="H376" s="80">
        <f>IF(AND($B376="",$C376="",$D376=""),"",IF(NOT(ISNUMBER($B376)),"Enter a valid date",IF($C376="","Pick ingredient",IF($G376="?","Not in Inventory",IF($G376="","Set stock unit in Inventory",IF(N($D376)&lt;=0,"Enter quantity",IF($E376="","Pick unit",IF(IFERROR(INDEX('Lists'!$C$6:$C$30,MATCH($E376,'Lists'!$B$6:$B$30,0)),"?")&lt;&gt;IFERROR(INDEX('Lists'!$C$6:$C$30,MATCH($G376,'Lists'!$B$6:$B$30,0)),"?"),"Unit mismatch",IF(ISNUMBER(INDEX('Inventory'!$G$7:$G$106,MATCH($C376,'Inventory'!$B$7:$B$106,0))),"OK","Add price in Inventory")))))))))</f>
        <v/>
      </c>
      <c r="I376" s="88">
        <f>IF($H376&lt;&gt;"OK","",$D376*INDEX('Lists'!$D$6:$D$30,MATCH($E376,'Lists'!$B$6:$B$30,0))/INDEX('Lists'!$D$6:$D$30,MATCH($G376,'Lists'!$B$6:$B$30,0)))</f>
        <v/>
      </c>
      <c r="J376" s="71">
        <f>IF($H376&lt;&gt;"OK","",$I376*INDEX('Inventory'!$G$7:$G$106,MATCH($C376,'Inventory'!$B$7:$B$106,0)))</f>
        <v/>
      </c>
    </row>
    <row r="377" ht="17" customHeight="1">
      <c r="B377" s="66" t="n"/>
      <c r="C377" s="60" t="n"/>
      <c r="D377" s="86" t="n"/>
      <c r="E377" s="60" t="n"/>
      <c r="F377" s="60" t="n"/>
      <c r="G377" s="13">
        <f>IF($C377="","",IFERROR(INDEX('Inventory'!$D$7:$D$106,MATCH($C377,'Inventory'!$B$7:$B$106,0))&amp;"","?"))</f>
        <v/>
      </c>
      <c r="H377" s="80">
        <f>IF(AND($B377="",$C377="",$D377=""),"",IF(NOT(ISNUMBER($B377)),"Enter a valid date",IF($C377="","Pick ingredient",IF($G377="?","Not in Inventory",IF($G377="","Set stock unit in Inventory",IF(N($D377)&lt;=0,"Enter quantity",IF($E377="","Pick unit",IF(IFERROR(INDEX('Lists'!$C$6:$C$30,MATCH($E377,'Lists'!$B$6:$B$30,0)),"?")&lt;&gt;IFERROR(INDEX('Lists'!$C$6:$C$30,MATCH($G377,'Lists'!$B$6:$B$30,0)),"?"),"Unit mismatch",IF(ISNUMBER(INDEX('Inventory'!$G$7:$G$106,MATCH($C377,'Inventory'!$B$7:$B$106,0))),"OK","Add price in Inventory")))))))))</f>
        <v/>
      </c>
      <c r="I377" s="88">
        <f>IF($H377&lt;&gt;"OK","",$D377*INDEX('Lists'!$D$6:$D$30,MATCH($E377,'Lists'!$B$6:$B$30,0))/INDEX('Lists'!$D$6:$D$30,MATCH($G377,'Lists'!$B$6:$B$30,0)))</f>
        <v/>
      </c>
      <c r="J377" s="71">
        <f>IF($H377&lt;&gt;"OK","",$I377*INDEX('Inventory'!$G$7:$G$106,MATCH($C377,'Inventory'!$B$7:$B$106,0)))</f>
        <v/>
      </c>
    </row>
    <row r="378" ht="17" customHeight="1">
      <c r="B378" s="66" t="n"/>
      <c r="C378" s="60" t="n"/>
      <c r="D378" s="86" t="n"/>
      <c r="E378" s="60" t="n"/>
      <c r="F378" s="60" t="n"/>
      <c r="G378" s="13">
        <f>IF($C378="","",IFERROR(INDEX('Inventory'!$D$7:$D$106,MATCH($C378,'Inventory'!$B$7:$B$106,0))&amp;"","?"))</f>
        <v/>
      </c>
      <c r="H378" s="80">
        <f>IF(AND($B378="",$C378="",$D378=""),"",IF(NOT(ISNUMBER($B378)),"Enter a valid date",IF($C378="","Pick ingredient",IF($G378="?","Not in Inventory",IF($G378="","Set stock unit in Inventory",IF(N($D378)&lt;=0,"Enter quantity",IF($E378="","Pick unit",IF(IFERROR(INDEX('Lists'!$C$6:$C$30,MATCH($E378,'Lists'!$B$6:$B$30,0)),"?")&lt;&gt;IFERROR(INDEX('Lists'!$C$6:$C$30,MATCH($G378,'Lists'!$B$6:$B$30,0)),"?"),"Unit mismatch",IF(ISNUMBER(INDEX('Inventory'!$G$7:$G$106,MATCH($C378,'Inventory'!$B$7:$B$106,0))),"OK","Add price in Inventory")))))))))</f>
        <v/>
      </c>
      <c r="I378" s="88">
        <f>IF($H378&lt;&gt;"OK","",$D378*INDEX('Lists'!$D$6:$D$30,MATCH($E378,'Lists'!$B$6:$B$30,0))/INDEX('Lists'!$D$6:$D$30,MATCH($G378,'Lists'!$B$6:$B$30,0)))</f>
        <v/>
      </c>
      <c r="J378" s="71">
        <f>IF($H378&lt;&gt;"OK","",$I378*INDEX('Inventory'!$G$7:$G$106,MATCH($C378,'Inventory'!$B$7:$B$106,0)))</f>
        <v/>
      </c>
    </row>
    <row r="379" ht="17" customHeight="1">
      <c r="B379" s="66" t="n"/>
      <c r="C379" s="60" t="n"/>
      <c r="D379" s="86" t="n"/>
      <c r="E379" s="60" t="n"/>
      <c r="F379" s="60" t="n"/>
      <c r="G379" s="13">
        <f>IF($C379="","",IFERROR(INDEX('Inventory'!$D$7:$D$106,MATCH($C379,'Inventory'!$B$7:$B$106,0))&amp;"","?"))</f>
        <v/>
      </c>
      <c r="H379" s="80">
        <f>IF(AND($B379="",$C379="",$D379=""),"",IF(NOT(ISNUMBER($B379)),"Enter a valid date",IF($C379="","Pick ingredient",IF($G379="?","Not in Inventory",IF($G379="","Set stock unit in Inventory",IF(N($D379)&lt;=0,"Enter quantity",IF($E379="","Pick unit",IF(IFERROR(INDEX('Lists'!$C$6:$C$30,MATCH($E379,'Lists'!$B$6:$B$30,0)),"?")&lt;&gt;IFERROR(INDEX('Lists'!$C$6:$C$30,MATCH($G379,'Lists'!$B$6:$B$30,0)),"?"),"Unit mismatch",IF(ISNUMBER(INDEX('Inventory'!$G$7:$G$106,MATCH($C379,'Inventory'!$B$7:$B$106,0))),"OK","Add price in Inventory")))))))))</f>
        <v/>
      </c>
      <c r="I379" s="88">
        <f>IF($H379&lt;&gt;"OK","",$D379*INDEX('Lists'!$D$6:$D$30,MATCH($E379,'Lists'!$B$6:$B$30,0))/INDEX('Lists'!$D$6:$D$30,MATCH($G379,'Lists'!$B$6:$B$30,0)))</f>
        <v/>
      </c>
      <c r="J379" s="71">
        <f>IF($H379&lt;&gt;"OK","",$I379*INDEX('Inventory'!$G$7:$G$106,MATCH($C379,'Inventory'!$B$7:$B$106,0)))</f>
        <v/>
      </c>
    </row>
    <row r="380" ht="17" customHeight="1">
      <c r="B380" s="66" t="n"/>
      <c r="C380" s="60" t="n"/>
      <c r="D380" s="86" t="n"/>
      <c r="E380" s="60" t="n"/>
      <c r="F380" s="60" t="n"/>
      <c r="G380" s="13">
        <f>IF($C380="","",IFERROR(INDEX('Inventory'!$D$7:$D$106,MATCH($C380,'Inventory'!$B$7:$B$106,0))&amp;"","?"))</f>
        <v/>
      </c>
      <c r="H380" s="80">
        <f>IF(AND($B380="",$C380="",$D380=""),"",IF(NOT(ISNUMBER($B380)),"Enter a valid date",IF($C380="","Pick ingredient",IF($G380="?","Not in Inventory",IF($G380="","Set stock unit in Inventory",IF(N($D380)&lt;=0,"Enter quantity",IF($E380="","Pick unit",IF(IFERROR(INDEX('Lists'!$C$6:$C$30,MATCH($E380,'Lists'!$B$6:$B$30,0)),"?")&lt;&gt;IFERROR(INDEX('Lists'!$C$6:$C$30,MATCH($G380,'Lists'!$B$6:$B$30,0)),"?"),"Unit mismatch",IF(ISNUMBER(INDEX('Inventory'!$G$7:$G$106,MATCH($C380,'Inventory'!$B$7:$B$106,0))),"OK","Add price in Inventory")))))))))</f>
        <v/>
      </c>
      <c r="I380" s="88">
        <f>IF($H380&lt;&gt;"OK","",$D380*INDEX('Lists'!$D$6:$D$30,MATCH($E380,'Lists'!$B$6:$B$30,0))/INDEX('Lists'!$D$6:$D$30,MATCH($G380,'Lists'!$B$6:$B$30,0)))</f>
        <v/>
      </c>
      <c r="J380" s="71">
        <f>IF($H380&lt;&gt;"OK","",$I380*INDEX('Inventory'!$G$7:$G$106,MATCH($C380,'Inventory'!$B$7:$B$106,0)))</f>
        <v/>
      </c>
    </row>
    <row r="381" ht="17" customHeight="1">
      <c r="B381" s="66" t="n"/>
      <c r="C381" s="60" t="n"/>
      <c r="D381" s="86" t="n"/>
      <c r="E381" s="60" t="n"/>
      <c r="F381" s="60" t="n"/>
      <c r="G381" s="13">
        <f>IF($C381="","",IFERROR(INDEX('Inventory'!$D$7:$D$106,MATCH($C381,'Inventory'!$B$7:$B$106,0))&amp;"","?"))</f>
        <v/>
      </c>
      <c r="H381" s="80">
        <f>IF(AND($B381="",$C381="",$D381=""),"",IF(NOT(ISNUMBER($B381)),"Enter a valid date",IF($C381="","Pick ingredient",IF($G381="?","Not in Inventory",IF($G381="","Set stock unit in Inventory",IF(N($D381)&lt;=0,"Enter quantity",IF($E381="","Pick unit",IF(IFERROR(INDEX('Lists'!$C$6:$C$30,MATCH($E381,'Lists'!$B$6:$B$30,0)),"?")&lt;&gt;IFERROR(INDEX('Lists'!$C$6:$C$30,MATCH($G381,'Lists'!$B$6:$B$30,0)),"?"),"Unit mismatch",IF(ISNUMBER(INDEX('Inventory'!$G$7:$G$106,MATCH($C381,'Inventory'!$B$7:$B$106,0))),"OK","Add price in Inventory")))))))))</f>
        <v/>
      </c>
      <c r="I381" s="88">
        <f>IF($H381&lt;&gt;"OK","",$D381*INDEX('Lists'!$D$6:$D$30,MATCH($E381,'Lists'!$B$6:$B$30,0))/INDEX('Lists'!$D$6:$D$30,MATCH($G381,'Lists'!$B$6:$B$30,0)))</f>
        <v/>
      </c>
      <c r="J381" s="71">
        <f>IF($H381&lt;&gt;"OK","",$I381*INDEX('Inventory'!$G$7:$G$106,MATCH($C381,'Inventory'!$B$7:$B$106,0)))</f>
        <v/>
      </c>
    </row>
    <row r="382" ht="17" customHeight="1">
      <c r="B382" s="66" t="n"/>
      <c r="C382" s="60" t="n"/>
      <c r="D382" s="86" t="n"/>
      <c r="E382" s="60" t="n"/>
      <c r="F382" s="60" t="n"/>
      <c r="G382" s="13">
        <f>IF($C382="","",IFERROR(INDEX('Inventory'!$D$7:$D$106,MATCH($C382,'Inventory'!$B$7:$B$106,0))&amp;"","?"))</f>
        <v/>
      </c>
      <c r="H382" s="80">
        <f>IF(AND($B382="",$C382="",$D382=""),"",IF(NOT(ISNUMBER($B382)),"Enter a valid date",IF($C382="","Pick ingredient",IF($G382="?","Not in Inventory",IF($G382="","Set stock unit in Inventory",IF(N($D382)&lt;=0,"Enter quantity",IF($E382="","Pick unit",IF(IFERROR(INDEX('Lists'!$C$6:$C$30,MATCH($E382,'Lists'!$B$6:$B$30,0)),"?")&lt;&gt;IFERROR(INDEX('Lists'!$C$6:$C$30,MATCH($G382,'Lists'!$B$6:$B$30,0)),"?"),"Unit mismatch",IF(ISNUMBER(INDEX('Inventory'!$G$7:$G$106,MATCH($C382,'Inventory'!$B$7:$B$106,0))),"OK","Add price in Inventory")))))))))</f>
        <v/>
      </c>
      <c r="I382" s="88">
        <f>IF($H382&lt;&gt;"OK","",$D382*INDEX('Lists'!$D$6:$D$30,MATCH($E382,'Lists'!$B$6:$B$30,0))/INDEX('Lists'!$D$6:$D$30,MATCH($G382,'Lists'!$B$6:$B$30,0)))</f>
        <v/>
      </c>
      <c r="J382" s="71">
        <f>IF($H382&lt;&gt;"OK","",$I382*INDEX('Inventory'!$G$7:$G$106,MATCH($C382,'Inventory'!$B$7:$B$106,0)))</f>
        <v/>
      </c>
    </row>
    <row r="383" ht="17" customHeight="1">
      <c r="B383" s="66" t="n"/>
      <c r="C383" s="60" t="n"/>
      <c r="D383" s="86" t="n"/>
      <c r="E383" s="60" t="n"/>
      <c r="F383" s="60" t="n"/>
      <c r="G383" s="13">
        <f>IF($C383="","",IFERROR(INDEX('Inventory'!$D$7:$D$106,MATCH($C383,'Inventory'!$B$7:$B$106,0))&amp;"","?"))</f>
        <v/>
      </c>
      <c r="H383" s="80">
        <f>IF(AND($B383="",$C383="",$D383=""),"",IF(NOT(ISNUMBER($B383)),"Enter a valid date",IF($C383="","Pick ingredient",IF($G383="?","Not in Inventory",IF($G383="","Set stock unit in Inventory",IF(N($D383)&lt;=0,"Enter quantity",IF($E383="","Pick unit",IF(IFERROR(INDEX('Lists'!$C$6:$C$30,MATCH($E383,'Lists'!$B$6:$B$30,0)),"?")&lt;&gt;IFERROR(INDEX('Lists'!$C$6:$C$30,MATCH($G383,'Lists'!$B$6:$B$30,0)),"?"),"Unit mismatch",IF(ISNUMBER(INDEX('Inventory'!$G$7:$G$106,MATCH($C383,'Inventory'!$B$7:$B$106,0))),"OK","Add price in Inventory")))))))))</f>
        <v/>
      </c>
      <c r="I383" s="88">
        <f>IF($H383&lt;&gt;"OK","",$D383*INDEX('Lists'!$D$6:$D$30,MATCH($E383,'Lists'!$B$6:$B$30,0))/INDEX('Lists'!$D$6:$D$30,MATCH($G383,'Lists'!$B$6:$B$30,0)))</f>
        <v/>
      </c>
      <c r="J383" s="71">
        <f>IF($H383&lt;&gt;"OK","",$I383*INDEX('Inventory'!$G$7:$G$106,MATCH($C383,'Inventory'!$B$7:$B$106,0)))</f>
        <v/>
      </c>
    </row>
    <row r="384" ht="17" customHeight="1">
      <c r="B384" s="66" t="n"/>
      <c r="C384" s="60" t="n"/>
      <c r="D384" s="86" t="n"/>
      <c r="E384" s="60" t="n"/>
      <c r="F384" s="60" t="n"/>
      <c r="G384" s="13">
        <f>IF($C384="","",IFERROR(INDEX('Inventory'!$D$7:$D$106,MATCH($C384,'Inventory'!$B$7:$B$106,0))&amp;"","?"))</f>
        <v/>
      </c>
      <c r="H384" s="80">
        <f>IF(AND($B384="",$C384="",$D384=""),"",IF(NOT(ISNUMBER($B384)),"Enter a valid date",IF($C384="","Pick ingredient",IF($G384="?","Not in Inventory",IF($G384="","Set stock unit in Inventory",IF(N($D384)&lt;=0,"Enter quantity",IF($E384="","Pick unit",IF(IFERROR(INDEX('Lists'!$C$6:$C$30,MATCH($E384,'Lists'!$B$6:$B$30,0)),"?")&lt;&gt;IFERROR(INDEX('Lists'!$C$6:$C$30,MATCH($G384,'Lists'!$B$6:$B$30,0)),"?"),"Unit mismatch",IF(ISNUMBER(INDEX('Inventory'!$G$7:$G$106,MATCH($C384,'Inventory'!$B$7:$B$106,0))),"OK","Add price in Inventory")))))))))</f>
        <v/>
      </c>
      <c r="I384" s="88">
        <f>IF($H384&lt;&gt;"OK","",$D384*INDEX('Lists'!$D$6:$D$30,MATCH($E384,'Lists'!$B$6:$B$30,0))/INDEX('Lists'!$D$6:$D$30,MATCH($G384,'Lists'!$B$6:$B$30,0)))</f>
        <v/>
      </c>
      <c r="J384" s="71">
        <f>IF($H384&lt;&gt;"OK","",$I384*INDEX('Inventory'!$G$7:$G$106,MATCH($C384,'Inventory'!$B$7:$B$106,0)))</f>
        <v/>
      </c>
    </row>
    <row r="385" ht="17" customHeight="1">
      <c r="B385" s="66" t="n"/>
      <c r="C385" s="60" t="n"/>
      <c r="D385" s="86" t="n"/>
      <c r="E385" s="60" t="n"/>
      <c r="F385" s="60" t="n"/>
      <c r="G385" s="13">
        <f>IF($C385="","",IFERROR(INDEX('Inventory'!$D$7:$D$106,MATCH($C385,'Inventory'!$B$7:$B$106,0))&amp;"","?"))</f>
        <v/>
      </c>
      <c r="H385" s="80">
        <f>IF(AND($B385="",$C385="",$D385=""),"",IF(NOT(ISNUMBER($B385)),"Enter a valid date",IF($C385="","Pick ingredient",IF($G385="?","Not in Inventory",IF($G385="","Set stock unit in Inventory",IF(N($D385)&lt;=0,"Enter quantity",IF($E385="","Pick unit",IF(IFERROR(INDEX('Lists'!$C$6:$C$30,MATCH($E385,'Lists'!$B$6:$B$30,0)),"?")&lt;&gt;IFERROR(INDEX('Lists'!$C$6:$C$30,MATCH($G385,'Lists'!$B$6:$B$30,0)),"?"),"Unit mismatch",IF(ISNUMBER(INDEX('Inventory'!$G$7:$G$106,MATCH($C385,'Inventory'!$B$7:$B$106,0))),"OK","Add price in Inventory")))))))))</f>
        <v/>
      </c>
      <c r="I385" s="88">
        <f>IF($H385&lt;&gt;"OK","",$D385*INDEX('Lists'!$D$6:$D$30,MATCH($E385,'Lists'!$B$6:$B$30,0))/INDEX('Lists'!$D$6:$D$30,MATCH($G385,'Lists'!$B$6:$B$30,0)))</f>
        <v/>
      </c>
      <c r="J385" s="71">
        <f>IF($H385&lt;&gt;"OK","",$I385*INDEX('Inventory'!$G$7:$G$106,MATCH($C385,'Inventory'!$B$7:$B$106,0)))</f>
        <v/>
      </c>
    </row>
    <row r="386" ht="17" customHeight="1">
      <c r="B386" s="66" t="n"/>
      <c r="C386" s="60" t="n"/>
      <c r="D386" s="86" t="n"/>
      <c r="E386" s="60" t="n"/>
      <c r="F386" s="60" t="n"/>
      <c r="G386" s="13">
        <f>IF($C386="","",IFERROR(INDEX('Inventory'!$D$7:$D$106,MATCH($C386,'Inventory'!$B$7:$B$106,0))&amp;"","?"))</f>
        <v/>
      </c>
      <c r="H386" s="80">
        <f>IF(AND($B386="",$C386="",$D386=""),"",IF(NOT(ISNUMBER($B386)),"Enter a valid date",IF($C386="","Pick ingredient",IF($G386="?","Not in Inventory",IF($G386="","Set stock unit in Inventory",IF(N($D386)&lt;=0,"Enter quantity",IF($E386="","Pick unit",IF(IFERROR(INDEX('Lists'!$C$6:$C$30,MATCH($E386,'Lists'!$B$6:$B$30,0)),"?")&lt;&gt;IFERROR(INDEX('Lists'!$C$6:$C$30,MATCH($G386,'Lists'!$B$6:$B$30,0)),"?"),"Unit mismatch",IF(ISNUMBER(INDEX('Inventory'!$G$7:$G$106,MATCH($C386,'Inventory'!$B$7:$B$106,0))),"OK","Add price in Inventory")))))))))</f>
        <v/>
      </c>
      <c r="I386" s="88">
        <f>IF($H386&lt;&gt;"OK","",$D386*INDEX('Lists'!$D$6:$D$30,MATCH($E386,'Lists'!$B$6:$B$30,0))/INDEX('Lists'!$D$6:$D$30,MATCH($G386,'Lists'!$B$6:$B$30,0)))</f>
        <v/>
      </c>
      <c r="J386" s="71">
        <f>IF($H386&lt;&gt;"OK","",$I386*INDEX('Inventory'!$G$7:$G$106,MATCH($C386,'Inventory'!$B$7:$B$106,0)))</f>
        <v/>
      </c>
    </row>
    <row r="387" ht="17" customHeight="1">
      <c r="B387" s="66" t="n"/>
      <c r="C387" s="60" t="n"/>
      <c r="D387" s="86" t="n"/>
      <c r="E387" s="60" t="n"/>
      <c r="F387" s="60" t="n"/>
      <c r="G387" s="13">
        <f>IF($C387="","",IFERROR(INDEX('Inventory'!$D$7:$D$106,MATCH($C387,'Inventory'!$B$7:$B$106,0))&amp;"","?"))</f>
        <v/>
      </c>
      <c r="H387" s="80">
        <f>IF(AND($B387="",$C387="",$D387=""),"",IF(NOT(ISNUMBER($B387)),"Enter a valid date",IF($C387="","Pick ingredient",IF($G387="?","Not in Inventory",IF($G387="","Set stock unit in Inventory",IF(N($D387)&lt;=0,"Enter quantity",IF($E387="","Pick unit",IF(IFERROR(INDEX('Lists'!$C$6:$C$30,MATCH($E387,'Lists'!$B$6:$B$30,0)),"?")&lt;&gt;IFERROR(INDEX('Lists'!$C$6:$C$30,MATCH($G387,'Lists'!$B$6:$B$30,0)),"?"),"Unit mismatch",IF(ISNUMBER(INDEX('Inventory'!$G$7:$G$106,MATCH($C387,'Inventory'!$B$7:$B$106,0))),"OK","Add price in Inventory")))))))))</f>
        <v/>
      </c>
      <c r="I387" s="88">
        <f>IF($H387&lt;&gt;"OK","",$D387*INDEX('Lists'!$D$6:$D$30,MATCH($E387,'Lists'!$B$6:$B$30,0))/INDEX('Lists'!$D$6:$D$30,MATCH($G387,'Lists'!$B$6:$B$30,0)))</f>
        <v/>
      </c>
      <c r="J387" s="71">
        <f>IF($H387&lt;&gt;"OK","",$I387*INDEX('Inventory'!$G$7:$G$106,MATCH($C387,'Inventory'!$B$7:$B$106,0)))</f>
        <v/>
      </c>
    </row>
    <row r="388" ht="17" customHeight="1">
      <c r="B388" s="66" t="n"/>
      <c r="C388" s="60" t="n"/>
      <c r="D388" s="86" t="n"/>
      <c r="E388" s="60" t="n"/>
      <c r="F388" s="60" t="n"/>
      <c r="G388" s="13">
        <f>IF($C388="","",IFERROR(INDEX('Inventory'!$D$7:$D$106,MATCH($C388,'Inventory'!$B$7:$B$106,0))&amp;"","?"))</f>
        <v/>
      </c>
      <c r="H388" s="80">
        <f>IF(AND($B388="",$C388="",$D388=""),"",IF(NOT(ISNUMBER($B388)),"Enter a valid date",IF($C388="","Pick ingredient",IF($G388="?","Not in Inventory",IF($G388="","Set stock unit in Inventory",IF(N($D388)&lt;=0,"Enter quantity",IF($E388="","Pick unit",IF(IFERROR(INDEX('Lists'!$C$6:$C$30,MATCH($E388,'Lists'!$B$6:$B$30,0)),"?")&lt;&gt;IFERROR(INDEX('Lists'!$C$6:$C$30,MATCH($G388,'Lists'!$B$6:$B$30,0)),"?"),"Unit mismatch",IF(ISNUMBER(INDEX('Inventory'!$G$7:$G$106,MATCH($C388,'Inventory'!$B$7:$B$106,0))),"OK","Add price in Inventory")))))))))</f>
        <v/>
      </c>
      <c r="I388" s="88">
        <f>IF($H388&lt;&gt;"OK","",$D388*INDEX('Lists'!$D$6:$D$30,MATCH($E388,'Lists'!$B$6:$B$30,0))/INDEX('Lists'!$D$6:$D$30,MATCH($G388,'Lists'!$B$6:$B$30,0)))</f>
        <v/>
      </c>
      <c r="J388" s="71">
        <f>IF($H388&lt;&gt;"OK","",$I388*INDEX('Inventory'!$G$7:$G$106,MATCH($C388,'Inventory'!$B$7:$B$106,0)))</f>
        <v/>
      </c>
    </row>
    <row r="389" ht="17" customHeight="1">
      <c r="B389" s="66" t="n"/>
      <c r="C389" s="60" t="n"/>
      <c r="D389" s="86" t="n"/>
      <c r="E389" s="60" t="n"/>
      <c r="F389" s="60" t="n"/>
      <c r="G389" s="13">
        <f>IF($C389="","",IFERROR(INDEX('Inventory'!$D$7:$D$106,MATCH($C389,'Inventory'!$B$7:$B$106,0))&amp;"","?"))</f>
        <v/>
      </c>
      <c r="H389" s="80">
        <f>IF(AND($B389="",$C389="",$D389=""),"",IF(NOT(ISNUMBER($B389)),"Enter a valid date",IF($C389="","Pick ingredient",IF($G389="?","Not in Inventory",IF($G389="","Set stock unit in Inventory",IF(N($D389)&lt;=0,"Enter quantity",IF($E389="","Pick unit",IF(IFERROR(INDEX('Lists'!$C$6:$C$30,MATCH($E389,'Lists'!$B$6:$B$30,0)),"?")&lt;&gt;IFERROR(INDEX('Lists'!$C$6:$C$30,MATCH($G389,'Lists'!$B$6:$B$30,0)),"?"),"Unit mismatch",IF(ISNUMBER(INDEX('Inventory'!$G$7:$G$106,MATCH($C389,'Inventory'!$B$7:$B$106,0))),"OK","Add price in Inventory")))))))))</f>
        <v/>
      </c>
      <c r="I389" s="88">
        <f>IF($H389&lt;&gt;"OK","",$D389*INDEX('Lists'!$D$6:$D$30,MATCH($E389,'Lists'!$B$6:$B$30,0))/INDEX('Lists'!$D$6:$D$30,MATCH($G389,'Lists'!$B$6:$B$30,0)))</f>
        <v/>
      </c>
      <c r="J389" s="71">
        <f>IF($H389&lt;&gt;"OK","",$I389*INDEX('Inventory'!$G$7:$G$106,MATCH($C389,'Inventory'!$B$7:$B$106,0)))</f>
        <v/>
      </c>
    </row>
    <row r="390" ht="17" customHeight="1">
      <c r="B390" s="66" t="n"/>
      <c r="C390" s="60" t="n"/>
      <c r="D390" s="86" t="n"/>
      <c r="E390" s="60" t="n"/>
      <c r="F390" s="60" t="n"/>
      <c r="G390" s="13">
        <f>IF($C390="","",IFERROR(INDEX('Inventory'!$D$7:$D$106,MATCH($C390,'Inventory'!$B$7:$B$106,0))&amp;"","?"))</f>
        <v/>
      </c>
      <c r="H390" s="80">
        <f>IF(AND($B390="",$C390="",$D390=""),"",IF(NOT(ISNUMBER($B390)),"Enter a valid date",IF($C390="","Pick ingredient",IF($G390="?","Not in Inventory",IF($G390="","Set stock unit in Inventory",IF(N($D390)&lt;=0,"Enter quantity",IF($E390="","Pick unit",IF(IFERROR(INDEX('Lists'!$C$6:$C$30,MATCH($E390,'Lists'!$B$6:$B$30,0)),"?")&lt;&gt;IFERROR(INDEX('Lists'!$C$6:$C$30,MATCH($G390,'Lists'!$B$6:$B$30,0)),"?"),"Unit mismatch",IF(ISNUMBER(INDEX('Inventory'!$G$7:$G$106,MATCH($C390,'Inventory'!$B$7:$B$106,0))),"OK","Add price in Inventory")))))))))</f>
        <v/>
      </c>
      <c r="I390" s="88">
        <f>IF($H390&lt;&gt;"OK","",$D390*INDEX('Lists'!$D$6:$D$30,MATCH($E390,'Lists'!$B$6:$B$30,0))/INDEX('Lists'!$D$6:$D$30,MATCH($G390,'Lists'!$B$6:$B$30,0)))</f>
        <v/>
      </c>
      <c r="J390" s="71">
        <f>IF($H390&lt;&gt;"OK","",$I390*INDEX('Inventory'!$G$7:$G$106,MATCH($C390,'Inventory'!$B$7:$B$106,0)))</f>
        <v/>
      </c>
    </row>
    <row r="391" ht="17" customHeight="1">
      <c r="B391" s="66" t="n"/>
      <c r="C391" s="60" t="n"/>
      <c r="D391" s="86" t="n"/>
      <c r="E391" s="60" t="n"/>
      <c r="F391" s="60" t="n"/>
      <c r="G391" s="13">
        <f>IF($C391="","",IFERROR(INDEX('Inventory'!$D$7:$D$106,MATCH($C391,'Inventory'!$B$7:$B$106,0))&amp;"","?"))</f>
        <v/>
      </c>
      <c r="H391" s="80">
        <f>IF(AND($B391="",$C391="",$D391=""),"",IF(NOT(ISNUMBER($B391)),"Enter a valid date",IF($C391="","Pick ingredient",IF($G391="?","Not in Inventory",IF($G391="","Set stock unit in Inventory",IF(N($D391)&lt;=0,"Enter quantity",IF($E391="","Pick unit",IF(IFERROR(INDEX('Lists'!$C$6:$C$30,MATCH($E391,'Lists'!$B$6:$B$30,0)),"?")&lt;&gt;IFERROR(INDEX('Lists'!$C$6:$C$30,MATCH($G391,'Lists'!$B$6:$B$30,0)),"?"),"Unit mismatch",IF(ISNUMBER(INDEX('Inventory'!$G$7:$G$106,MATCH($C391,'Inventory'!$B$7:$B$106,0))),"OK","Add price in Inventory")))))))))</f>
        <v/>
      </c>
      <c r="I391" s="88">
        <f>IF($H391&lt;&gt;"OK","",$D391*INDEX('Lists'!$D$6:$D$30,MATCH($E391,'Lists'!$B$6:$B$30,0))/INDEX('Lists'!$D$6:$D$30,MATCH($G391,'Lists'!$B$6:$B$30,0)))</f>
        <v/>
      </c>
      <c r="J391" s="71">
        <f>IF($H391&lt;&gt;"OK","",$I391*INDEX('Inventory'!$G$7:$G$106,MATCH($C391,'Inventory'!$B$7:$B$106,0)))</f>
        <v/>
      </c>
    </row>
    <row r="392" ht="17" customHeight="1">
      <c r="B392" s="66" t="n"/>
      <c r="C392" s="60" t="n"/>
      <c r="D392" s="86" t="n"/>
      <c r="E392" s="60" t="n"/>
      <c r="F392" s="60" t="n"/>
      <c r="G392" s="13">
        <f>IF($C392="","",IFERROR(INDEX('Inventory'!$D$7:$D$106,MATCH($C392,'Inventory'!$B$7:$B$106,0))&amp;"","?"))</f>
        <v/>
      </c>
      <c r="H392" s="80">
        <f>IF(AND($B392="",$C392="",$D392=""),"",IF(NOT(ISNUMBER($B392)),"Enter a valid date",IF($C392="","Pick ingredient",IF($G392="?","Not in Inventory",IF($G392="","Set stock unit in Inventory",IF(N($D392)&lt;=0,"Enter quantity",IF($E392="","Pick unit",IF(IFERROR(INDEX('Lists'!$C$6:$C$30,MATCH($E392,'Lists'!$B$6:$B$30,0)),"?")&lt;&gt;IFERROR(INDEX('Lists'!$C$6:$C$30,MATCH($G392,'Lists'!$B$6:$B$30,0)),"?"),"Unit mismatch",IF(ISNUMBER(INDEX('Inventory'!$G$7:$G$106,MATCH($C392,'Inventory'!$B$7:$B$106,0))),"OK","Add price in Inventory")))))))))</f>
        <v/>
      </c>
      <c r="I392" s="88">
        <f>IF($H392&lt;&gt;"OK","",$D392*INDEX('Lists'!$D$6:$D$30,MATCH($E392,'Lists'!$B$6:$B$30,0))/INDEX('Lists'!$D$6:$D$30,MATCH($G392,'Lists'!$B$6:$B$30,0)))</f>
        <v/>
      </c>
      <c r="J392" s="71">
        <f>IF($H392&lt;&gt;"OK","",$I392*INDEX('Inventory'!$G$7:$G$106,MATCH($C392,'Inventory'!$B$7:$B$106,0)))</f>
        <v/>
      </c>
    </row>
    <row r="393" ht="17" customHeight="1">
      <c r="B393" s="66" t="n"/>
      <c r="C393" s="60" t="n"/>
      <c r="D393" s="86" t="n"/>
      <c r="E393" s="60" t="n"/>
      <c r="F393" s="60" t="n"/>
      <c r="G393" s="13">
        <f>IF($C393="","",IFERROR(INDEX('Inventory'!$D$7:$D$106,MATCH($C393,'Inventory'!$B$7:$B$106,0))&amp;"","?"))</f>
        <v/>
      </c>
      <c r="H393" s="80">
        <f>IF(AND($B393="",$C393="",$D393=""),"",IF(NOT(ISNUMBER($B393)),"Enter a valid date",IF($C393="","Pick ingredient",IF($G393="?","Not in Inventory",IF($G393="","Set stock unit in Inventory",IF(N($D393)&lt;=0,"Enter quantity",IF($E393="","Pick unit",IF(IFERROR(INDEX('Lists'!$C$6:$C$30,MATCH($E393,'Lists'!$B$6:$B$30,0)),"?")&lt;&gt;IFERROR(INDEX('Lists'!$C$6:$C$30,MATCH($G393,'Lists'!$B$6:$B$30,0)),"?"),"Unit mismatch",IF(ISNUMBER(INDEX('Inventory'!$G$7:$G$106,MATCH($C393,'Inventory'!$B$7:$B$106,0))),"OK","Add price in Inventory")))))))))</f>
        <v/>
      </c>
      <c r="I393" s="88">
        <f>IF($H393&lt;&gt;"OK","",$D393*INDEX('Lists'!$D$6:$D$30,MATCH($E393,'Lists'!$B$6:$B$30,0))/INDEX('Lists'!$D$6:$D$30,MATCH($G393,'Lists'!$B$6:$B$30,0)))</f>
        <v/>
      </c>
      <c r="J393" s="71">
        <f>IF($H393&lt;&gt;"OK","",$I393*INDEX('Inventory'!$G$7:$G$106,MATCH($C393,'Inventory'!$B$7:$B$106,0)))</f>
        <v/>
      </c>
    </row>
    <row r="394" ht="17" customHeight="1">
      <c r="B394" s="66" t="n"/>
      <c r="C394" s="60" t="n"/>
      <c r="D394" s="86" t="n"/>
      <c r="E394" s="60" t="n"/>
      <c r="F394" s="60" t="n"/>
      <c r="G394" s="13">
        <f>IF($C394="","",IFERROR(INDEX('Inventory'!$D$7:$D$106,MATCH($C394,'Inventory'!$B$7:$B$106,0))&amp;"","?"))</f>
        <v/>
      </c>
      <c r="H394" s="80">
        <f>IF(AND($B394="",$C394="",$D394=""),"",IF(NOT(ISNUMBER($B394)),"Enter a valid date",IF($C394="","Pick ingredient",IF($G394="?","Not in Inventory",IF($G394="","Set stock unit in Inventory",IF(N($D394)&lt;=0,"Enter quantity",IF($E394="","Pick unit",IF(IFERROR(INDEX('Lists'!$C$6:$C$30,MATCH($E394,'Lists'!$B$6:$B$30,0)),"?")&lt;&gt;IFERROR(INDEX('Lists'!$C$6:$C$30,MATCH($G394,'Lists'!$B$6:$B$30,0)),"?"),"Unit mismatch",IF(ISNUMBER(INDEX('Inventory'!$G$7:$G$106,MATCH($C394,'Inventory'!$B$7:$B$106,0))),"OK","Add price in Inventory")))))))))</f>
        <v/>
      </c>
      <c r="I394" s="88">
        <f>IF($H394&lt;&gt;"OK","",$D394*INDEX('Lists'!$D$6:$D$30,MATCH($E394,'Lists'!$B$6:$B$30,0))/INDEX('Lists'!$D$6:$D$30,MATCH($G394,'Lists'!$B$6:$B$30,0)))</f>
        <v/>
      </c>
      <c r="J394" s="71">
        <f>IF($H394&lt;&gt;"OK","",$I394*INDEX('Inventory'!$G$7:$G$106,MATCH($C394,'Inventory'!$B$7:$B$106,0)))</f>
        <v/>
      </c>
    </row>
    <row r="395" ht="17" customHeight="1">
      <c r="B395" s="66" t="n"/>
      <c r="C395" s="60" t="n"/>
      <c r="D395" s="86" t="n"/>
      <c r="E395" s="60" t="n"/>
      <c r="F395" s="60" t="n"/>
      <c r="G395" s="13">
        <f>IF($C395="","",IFERROR(INDEX('Inventory'!$D$7:$D$106,MATCH($C395,'Inventory'!$B$7:$B$106,0))&amp;"","?"))</f>
        <v/>
      </c>
      <c r="H395" s="80">
        <f>IF(AND($B395="",$C395="",$D395=""),"",IF(NOT(ISNUMBER($B395)),"Enter a valid date",IF($C395="","Pick ingredient",IF($G395="?","Not in Inventory",IF($G395="","Set stock unit in Inventory",IF(N($D395)&lt;=0,"Enter quantity",IF($E395="","Pick unit",IF(IFERROR(INDEX('Lists'!$C$6:$C$30,MATCH($E395,'Lists'!$B$6:$B$30,0)),"?")&lt;&gt;IFERROR(INDEX('Lists'!$C$6:$C$30,MATCH($G395,'Lists'!$B$6:$B$30,0)),"?"),"Unit mismatch",IF(ISNUMBER(INDEX('Inventory'!$G$7:$G$106,MATCH($C395,'Inventory'!$B$7:$B$106,0))),"OK","Add price in Inventory")))))))))</f>
        <v/>
      </c>
      <c r="I395" s="88">
        <f>IF($H395&lt;&gt;"OK","",$D395*INDEX('Lists'!$D$6:$D$30,MATCH($E395,'Lists'!$B$6:$B$30,0))/INDEX('Lists'!$D$6:$D$30,MATCH($G395,'Lists'!$B$6:$B$30,0)))</f>
        <v/>
      </c>
      <c r="J395" s="71">
        <f>IF($H395&lt;&gt;"OK","",$I395*INDEX('Inventory'!$G$7:$G$106,MATCH($C395,'Inventory'!$B$7:$B$106,0)))</f>
        <v/>
      </c>
    </row>
    <row r="396" ht="17" customHeight="1">
      <c r="B396" s="66" t="n"/>
      <c r="C396" s="60" t="n"/>
      <c r="D396" s="86" t="n"/>
      <c r="E396" s="60" t="n"/>
      <c r="F396" s="60" t="n"/>
      <c r="G396" s="13">
        <f>IF($C396="","",IFERROR(INDEX('Inventory'!$D$7:$D$106,MATCH($C396,'Inventory'!$B$7:$B$106,0))&amp;"","?"))</f>
        <v/>
      </c>
      <c r="H396" s="80">
        <f>IF(AND($B396="",$C396="",$D396=""),"",IF(NOT(ISNUMBER($B396)),"Enter a valid date",IF($C396="","Pick ingredient",IF($G396="?","Not in Inventory",IF($G396="","Set stock unit in Inventory",IF(N($D396)&lt;=0,"Enter quantity",IF($E396="","Pick unit",IF(IFERROR(INDEX('Lists'!$C$6:$C$30,MATCH($E396,'Lists'!$B$6:$B$30,0)),"?")&lt;&gt;IFERROR(INDEX('Lists'!$C$6:$C$30,MATCH($G396,'Lists'!$B$6:$B$30,0)),"?"),"Unit mismatch",IF(ISNUMBER(INDEX('Inventory'!$G$7:$G$106,MATCH($C396,'Inventory'!$B$7:$B$106,0))),"OK","Add price in Inventory")))))))))</f>
        <v/>
      </c>
      <c r="I396" s="88">
        <f>IF($H396&lt;&gt;"OK","",$D396*INDEX('Lists'!$D$6:$D$30,MATCH($E396,'Lists'!$B$6:$B$30,0))/INDEX('Lists'!$D$6:$D$30,MATCH($G396,'Lists'!$B$6:$B$30,0)))</f>
        <v/>
      </c>
      <c r="J396" s="71">
        <f>IF($H396&lt;&gt;"OK","",$I396*INDEX('Inventory'!$G$7:$G$106,MATCH($C396,'Inventory'!$B$7:$B$106,0)))</f>
        <v/>
      </c>
    </row>
    <row r="397" ht="17" customHeight="1">
      <c r="B397" s="66" t="n"/>
      <c r="C397" s="60" t="n"/>
      <c r="D397" s="86" t="n"/>
      <c r="E397" s="60" t="n"/>
      <c r="F397" s="60" t="n"/>
      <c r="G397" s="13">
        <f>IF($C397="","",IFERROR(INDEX('Inventory'!$D$7:$D$106,MATCH($C397,'Inventory'!$B$7:$B$106,0))&amp;"","?"))</f>
        <v/>
      </c>
      <c r="H397" s="80">
        <f>IF(AND($B397="",$C397="",$D397=""),"",IF(NOT(ISNUMBER($B397)),"Enter a valid date",IF($C397="","Pick ingredient",IF($G397="?","Not in Inventory",IF($G397="","Set stock unit in Inventory",IF(N($D397)&lt;=0,"Enter quantity",IF($E397="","Pick unit",IF(IFERROR(INDEX('Lists'!$C$6:$C$30,MATCH($E397,'Lists'!$B$6:$B$30,0)),"?")&lt;&gt;IFERROR(INDEX('Lists'!$C$6:$C$30,MATCH($G397,'Lists'!$B$6:$B$30,0)),"?"),"Unit mismatch",IF(ISNUMBER(INDEX('Inventory'!$G$7:$G$106,MATCH($C397,'Inventory'!$B$7:$B$106,0))),"OK","Add price in Inventory")))))))))</f>
        <v/>
      </c>
      <c r="I397" s="88">
        <f>IF($H397&lt;&gt;"OK","",$D397*INDEX('Lists'!$D$6:$D$30,MATCH($E397,'Lists'!$B$6:$B$30,0))/INDEX('Lists'!$D$6:$D$30,MATCH($G397,'Lists'!$B$6:$B$30,0)))</f>
        <v/>
      </c>
      <c r="J397" s="71">
        <f>IF($H397&lt;&gt;"OK","",$I397*INDEX('Inventory'!$G$7:$G$106,MATCH($C397,'Inventory'!$B$7:$B$106,0)))</f>
        <v/>
      </c>
    </row>
    <row r="398" ht="17" customHeight="1">
      <c r="B398" s="66" t="n"/>
      <c r="C398" s="60" t="n"/>
      <c r="D398" s="86" t="n"/>
      <c r="E398" s="60" t="n"/>
      <c r="F398" s="60" t="n"/>
      <c r="G398" s="13">
        <f>IF($C398="","",IFERROR(INDEX('Inventory'!$D$7:$D$106,MATCH($C398,'Inventory'!$B$7:$B$106,0))&amp;"","?"))</f>
        <v/>
      </c>
      <c r="H398" s="80">
        <f>IF(AND($B398="",$C398="",$D398=""),"",IF(NOT(ISNUMBER($B398)),"Enter a valid date",IF($C398="","Pick ingredient",IF($G398="?","Not in Inventory",IF($G398="","Set stock unit in Inventory",IF(N($D398)&lt;=0,"Enter quantity",IF($E398="","Pick unit",IF(IFERROR(INDEX('Lists'!$C$6:$C$30,MATCH($E398,'Lists'!$B$6:$B$30,0)),"?")&lt;&gt;IFERROR(INDEX('Lists'!$C$6:$C$30,MATCH($G398,'Lists'!$B$6:$B$30,0)),"?"),"Unit mismatch",IF(ISNUMBER(INDEX('Inventory'!$G$7:$G$106,MATCH($C398,'Inventory'!$B$7:$B$106,0))),"OK","Add price in Inventory")))))))))</f>
        <v/>
      </c>
      <c r="I398" s="88">
        <f>IF($H398&lt;&gt;"OK","",$D398*INDEX('Lists'!$D$6:$D$30,MATCH($E398,'Lists'!$B$6:$B$30,0))/INDEX('Lists'!$D$6:$D$30,MATCH($G398,'Lists'!$B$6:$B$30,0)))</f>
        <v/>
      </c>
      <c r="J398" s="71">
        <f>IF($H398&lt;&gt;"OK","",$I398*INDEX('Inventory'!$G$7:$G$106,MATCH($C398,'Inventory'!$B$7:$B$106,0)))</f>
        <v/>
      </c>
    </row>
    <row r="399" ht="17" customHeight="1">
      <c r="B399" s="66" t="n"/>
      <c r="C399" s="60" t="n"/>
      <c r="D399" s="86" t="n"/>
      <c r="E399" s="60" t="n"/>
      <c r="F399" s="60" t="n"/>
      <c r="G399" s="13">
        <f>IF($C399="","",IFERROR(INDEX('Inventory'!$D$7:$D$106,MATCH($C399,'Inventory'!$B$7:$B$106,0))&amp;"","?"))</f>
        <v/>
      </c>
      <c r="H399" s="80">
        <f>IF(AND($B399="",$C399="",$D399=""),"",IF(NOT(ISNUMBER($B399)),"Enter a valid date",IF($C399="","Pick ingredient",IF($G399="?","Not in Inventory",IF($G399="","Set stock unit in Inventory",IF(N($D399)&lt;=0,"Enter quantity",IF($E399="","Pick unit",IF(IFERROR(INDEX('Lists'!$C$6:$C$30,MATCH($E399,'Lists'!$B$6:$B$30,0)),"?")&lt;&gt;IFERROR(INDEX('Lists'!$C$6:$C$30,MATCH($G399,'Lists'!$B$6:$B$30,0)),"?"),"Unit mismatch",IF(ISNUMBER(INDEX('Inventory'!$G$7:$G$106,MATCH($C399,'Inventory'!$B$7:$B$106,0))),"OK","Add price in Inventory")))))))))</f>
        <v/>
      </c>
      <c r="I399" s="88">
        <f>IF($H399&lt;&gt;"OK","",$D399*INDEX('Lists'!$D$6:$D$30,MATCH($E399,'Lists'!$B$6:$B$30,0))/INDEX('Lists'!$D$6:$D$30,MATCH($G399,'Lists'!$B$6:$B$30,0)))</f>
        <v/>
      </c>
      <c r="J399" s="71">
        <f>IF($H399&lt;&gt;"OK","",$I399*INDEX('Inventory'!$G$7:$G$106,MATCH($C399,'Inventory'!$B$7:$B$106,0)))</f>
        <v/>
      </c>
    </row>
    <row r="400" ht="17" customHeight="1">
      <c r="B400" s="66" t="n"/>
      <c r="C400" s="60" t="n"/>
      <c r="D400" s="86" t="n"/>
      <c r="E400" s="60" t="n"/>
      <c r="F400" s="60" t="n"/>
      <c r="G400" s="13">
        <f>IF($C400="","",IFERROR(INDEX('Inventory'!$D$7:$D$106,MATCH($C400,'Inventory'!$B$7:$B$106,0))&amp;"","?"))</f>
        <v/>
      </c>
      <c r="H400" s="80">
        <f>IF(AND($B400="",$C400="",$D400=""),"",IF(NOT(ISNUMBER($B400)),"Enter a valid date",IF($C400="","Pick ingredient",IF($G400="?","Not in Inventory",IF($G400="","Set stock unit in Inventory",IF(N($D400)&lt;=0,"Enter quantity",IF($E400="","Pick unit",IF(IFERROR(INDEX('Lists'!$C$6:$C$30,MATCH($E400,'Lists'!$B$6:$B$30,0)),"?")&lt;&gt;IFERROR(INDEX('Lists'!$C$6:$C$30,MATCH($G400,'Lists'!$B$6:$B$30,0)),"?"),"Unit mismatch",IF(ISNUMBER(INDEX('Inventory'!$G$7:$G$106,MATCH($C400,'Inventory'!$B$7:$B$106,0))),"OK","Add price in Inventory")))))))))</f>
        <v/>
      </c>
      <c r="I400" s="88">
        <f>IF($H400&lt;&gt;"OK","",$D400*INDEX('Lists'!$D$6:$D$30,MATCH($E400,'Lists'!$B$6:$B$30,0))/INDEX('Lists'!$D$6:$D$30,MATCH($G400,'Lists'!$B$6:$B$30,0)))</f>
        <v/>
      </c>
      <c r="J400" s="71">
        <f>IF($H400&lt;&gt;"OK","",$I400*INDEX('Inventory'!$G$7:$G$106,MATCH($C400,'Inventory'!$B$7:$B$106,0)))</f>
        <v/>
      </c>
    </row>
    <row r="401" ht="17" customHeight="1">
      <c r="B401" s="66" t="n"/>
      <c r="C401" s="60" t="n"/>
      <c r="D401" s="86" t="n"/>
      <c r="E401" s="60" t="n"/>
      <c r="F401" s="60" t="n"/>
      <c r="G401" s="13">
        <f>IF($C401="","",IFERROR(INDEX('Inventory'!$D$7:$D$106,MATCH($C401,'Inventory'!$B$7:$B$106,0))&amp;"","?"))</f>
        <v/>
      </c>
      <c r="H401" s="80">
        <f>IF(AND($B401="",$C401="",$D401=""),"",IF(NOT(ISNUMBER($B401)),"Enter a valid date",IF($C401="","Pick ingredient",IF($G401="?","Not in Inventory",IF($G401="","Set stock unit in Inventory",IF(N($D401)&lt;=0,"Enter quantity",IF($E401="","Pick unit",IF(IFERROR(INDEX('Lists'!$C$6:$C$30,MATCH($E401,'Lists'!$B$6:$B$30,0)),"?")&lt;&gt;IFERROR(INDEX('Lists'!$C$6:$C$30,MATCH($G401,'Lists'!$B$6:$B$30,0)),"?"),"Unit mismatch",IF(ISNUMBER(INDEX('Inventory'!$G$7:$G$106,MATCH($C401,'Inventory'!$B$7:$B$106,0))),"OK","Add price in Inventory")))))))))</f>
        <v/>
      </c>
      <c r="I401" s="88">
        <f>IF($H401&lt;&gt;"OK","",$D401*INDEX('Lists'!$D$6:$D$30,MATCH($E401,'Lists'!$B$6:$B$30,0))/INDEX('Lists'!$D$6:$D$30,MATCH($G401,'Lists'!$B$6:$B$30,0)))</f>
        <v/>
      </c>
      <c r="J401" s="71">
        <f>IF($H401&lt;&gt;"OK","",$I401*INDEX('Inventory'!$G$7:$G$106,MATCH($C401,'Inventory'!$B$7:$B$106,0)))</f>
        <v/>
      </c>
    </row>
    <row r="402" ht="17" customHeight="1">
      <c r="B402" s="66" t="n"/>
      <c r="C402" s="60" t="n"/>
      <c r="D402" s="86" t="n"/>
      <c r="E402" s="60" t="n"/>
      <c r="F402" s="60" t="n"/>
      <c r="G402" s="13">
        <f>IF($C402="","",IFERROR(INDEX('Inventory'!$D$7:$D$106,MATCH($C402,'Inventory'!$B$7:$B$106,0))&amp;"","?"))</f>
        <v/>
      </c>
      <c r="H402" s="80">
        <f>IF(AND($B402="",$C402="",$D402=""),"",IF(NOT(ISNUMBER($B402)),"Enter a valid date",IF($C402="","Pick ingredient",IF($G402="?","Not in Inventory",IF($G402="","Set stock unit in Inventory",IF(N($D402)&lt;=0,"Enter quantity",IF($E402="","Pick unit",IF(IFERROR(INDEX('Lists'!$C$6:$C$30,MATCH($E402,'Lists'!$B$6:$B$30,0)),"?")&lt;&gt;IFERROR(INDEX('Lists'!$C$6:$C$30,MATCH($G402,'Lists'!$B$6:$B$30,0)),"?"),"Unit mismatch",IF(ISNUMBER(INDEX('Inventory'!$G$7:$G$106,MATCH($C402,'Inventory'!$B$7:$B$106,0))),"OK","Add price in Inventory")))))))))</f>
        <v/>
      </c>
      <c r="I402" s="88">
        <f>IF($H402&lt;&gt;"OK","",$D402*INDEX('Lists'!$D$6:$D$30,MATCH($E402,'Lists'!$B$6:$B$30,0))/INDEX('Lists'!$D$6:$D$30,MATCH($G402,'Lists'!$B$6:$B$30,0)))</f>
        <v/>
      </c>
      <c r="J402" s="71">
        <f>IF($H402&lt;&gt;"OK","",$I402*INDEX('Inventory'!$G$7:$G$106,MATCH($C402,'Inventory'!$B$7:$B$106,0)))</f>
        <v/>
      </c>
    </row>
    <row r="403" ht="17" customHeight="1">
      <c r="B403" s="66" t="n"/>
      <c r="C403" s="60" t="n"/>
      <c r="D403" s="86" t="n"/>
      <c r="E403" s="60" t="n"/>
      <c r="F403" s="60" t="n"/>
      <c r="G403" s="13">
        <f>IF($C403="","",IFERROR(INDEX('Inventory'!$D$7:$D$106,MATCH($C403,'Inventory'!$B$7:$B$106,0))&amp;"","?"))</f>
        <v/>
      </c>
      <c r="H403" s="80">
        <f>IF(AND($B403="",$C403="",$D403=""),"",IF(NOT(ISNUMBER($B403)),"Enter a valid date",IF($C403="","Pick ingredient",IF($G403="?","Not in Inventory",IF($G403="","Set stock unit in Inventory",IF(N($D403)&lt;=0,"Enter quantity",IF($E403="","Pick unit",IF(IFERROR(INDEX('Lists'!$C$6:$C$30,MATCH($E403,'Lists'!$B$6:$B$30,0)),"?")&lt;&gt;IFERROR(INDEX('Lists'!$C$6:$C$30,MATCH($G403,'Lists'!$B$6:$B$30,0)),"?"),"Unit mismatch",IF(ISNUMBER(INDEX('Inventory'!$G$7:$G$106,MATCH($C403,'Inventory'!$B$7:$B$106,0))),"OK","Add price in Inventory")))))))))</f>
        <v/>
      </c>
      <c r="I403" s="88">
        <f>IF($H403&lt;&gt;"OK","",$D403*INDEX('Lists'!$D$6:$D$30,MATCH($E403,'Lists'!$B$6:$B$30,0))/INDEX('Lists'!$D$6:$D$30,MATCH($G403,'Lists'!$B$6:$B$30,0)))</f>
        <v/>
      </c>
      <c r="J403" s="71">
        <f>IF($H403&lt;&gt;"OK","",$I403*INDEX('Inventory'!$G$7:$G$106,MATCH($C403,'Inventory'!$B$7:$B$106,0)))</f>
        <v/>
      </c>
    </row>
    <row r="404" ht="17" customHeight="1">
      <c r="B404" s="66" t="n"/>
      <c r="C404" s="60" t="n"/>
      <c r="D404" s="86" t="n"/>
      <c r="E404" s="60" t="n"/>
      <c r="F404" s="60" t="n"/>
      <c r="G404" s="13">
        <f>IF($C404="","",IFERROR(INDEX('Inventory'!$D$7:$D$106,MATCH($C404,'Inventory'!$B$7:$B$106,0))&amp;"","?"))</f>
        <v/>
      </c>
      <c r="H404" s="80">
        <f>IF(AND($B404="",$C404="",$D404=""),"",IF(NOT(ISNUMBER($B404)),"Enter a valid date",IF($C404="","Pick ingredient",IF($G404="?","Not in Inventory",IF($G404="","Set stock unit in Inventory",IF(N($D404)&lt;=0,"Enter quantity",IF($E404="","Pick unit",IF(IFERROR(INDEX('Lists'!$C$6:$C$30,MATCH($E404,'Lists'!$B$6:$B$30,0)),"?")&lt;&gt;IFERROR(INDEX('Lists'!$C$6:$C$30,MATCH($G404,'Lists'!$B$6:$B$30,0)),"?"),"Unit mismatch",IF(ISNUMBER(INDEX('Inventory'!$G$7:$G$106,MATCH($C404,'Inventory'!$B$7:$B$106,0))),"OK","Add price in Inventory")))))))))</f>
        <v/>
      </c>
      <c r="I404" s="88">
        <f>IF($H404&lt;&gt;"OK","",$D404*INDEX('Lists'!$D$6:$D$30,MATCH($E404,'Lists'!$B$6:$B$30,0))/INDEX('Lists'!$D$6:$D$30,MATCH($G404,'Lists'!$B$6:$B$30,0)))</f>
        <v/>
      </c>
      <c r="J404" s="71">
        <f>IF($H404&lt;&gt;"OK","",$I404*INDEX('Inventory'!$G$7:$G$106,MATCH($C404,'Inventory'!$B$7:$B$106,0)))</f>
        <v/>
      </c>
    </row>
    <row r="405" ht="17" customHeight="1">
      <c r="B405" s="66" t="n"/>
      <c r="C405" s="60" t="n"/>
      <c r="D405" s="86" t="n"/>
      <c r="E405" s="60" t="n"/>
      <c r="F405" s="60" t="n"/>
      <c r="G405" s="13">
        <f>IF($C405="","",IFERROR(INDEX('Inventory'!$D$7:$D$106,MATCH($C405,'Inventory'!$B$7:$B$106,0))&amp;"","?"))</f>
        <v/>
      </c>
      <c r="H405" s="80">
        <f>IF(AND($B405="",$C405="",$D405=""),"",IF(NOT(ISNUMBER($B405)),"Enter a valid date",IF($C405="","Pick ingredient",IF($G405="?","Not in Inventory",IF($G405="","Set stock unit in Inventory",IF(N($D405)&lt;=0,"Enter quantity",IF($E405="","Pick unit",IF(IFERROR(INDEX('Lists'!$C$6:$C$30,MATCH($E405,'Lists'!$B$6:$B$30,0)),"?")&lt;&gt;IFERROR(INDEX('Lists'!$C$6:$C$30,MATCH($G405,'Lists'!$B$6:$B$30,0)),"?"),"Unit mismatch",IF(ISNUMBER(INDEX('Inventory'!$G$7:$G$106,MATCH($C405,'Inventory'!$B$7:$B$106,0))),"OK","Add price in Inventory")))))))))</f>
        <v/>
      </c>
      <c r="I405" s="88">
        <f>IF($H405&lt;&gt;"OK","",$D405*INDEX('Lists'!$D$6:$D$30,MATCH($E405,'Lists'!$B$6:$B$30,0))/INDEX('Lists'!$D$6:$D$30,MATCH($G405,'Lists'!$B$6:$B$30,0)))</f>
        <v/>
      </c>
      <c r="J405" s="71">
        <f>IF($H405&lt;&gt;"OK","",$I405*INDEX('Inventory'!$G$7:$G$106,MATCH($C405,'Inventory'!$B$7:$B$106,0)))</f>
        <v/>
      </c>
    </row>
    <row r="406" ht="17" customHeight="1">
      <c r="B406" s="66" t="n"/>
      <c r="C406" s="60" t="n"/>
      <c r="D406" s="86" t="n"/>
      <c r="E406" s="60" t="n"/>
      <c r="F406" s="60" t="n"/>
      <c r="G406" s="13">
        <f>IF($C406="","",IFERROR(INDEX('Inventory'!$D$7:$D$106,MATCH($C406,'Inventory'!$B$7:$B$106,0))&amp;"","?"))</f>
        <v/>
      </c>
      <c r="H406" s="80">
        <f>IF(AND($B406="",$C406="",$D406=""),"",IF(NOT(ISNUMBER($B406)),"Enter a valid date",IF($C406="","Pick ingredient",IF($G406="?","Not in Inventory",IF($G406="","Set stock unit in Inventory",IF(N($D406)&lt;=0,"Enter quantity",IF($E406="","Pick unit",IF(IFERROR(INDEX('Lists'!$C$6:$C$30,MATCH($E406,'Lists'!$B$6:$B$30,0)),"?")&lt;&gt;IFERROR(INDEX('Lists'!$C$6:$C$30,MATCH($G406,'Lists'!$B$6:$B$30,0)),"?"),"Unit mismatch",IF(ISNUMBER(INDEX('Inventory'!$G$7:$G$106,MATCH($C406,'Inventory'!$B$7:$B$106,0))),"OK","Add price in Inventory")))))))))</f>
        <v/>
      </c>
      <c r="I406" s="88">
        <f>IF($H406&lt;&gt;"OK","",$D406*INDEX('Lists'!$D$6:$D$30,MATCH($E406,'Lists'!$B$6:$B$30,0))/INDEX('Lists'!$D$6:$D$30,MATCH($G406,'Lists'!$B$6:$B$30,0)))</f>
        <v/>
      </c>
      <c r="J406" s="71">
        <f>IF($H406&lt;&gt;"OK","",$I406*INDEX('Inventory'!$G$7:$G$106,MATCH($C406,'Inventory'!$B$7:$B$106,0)))</f>
        <v/>
      </c>
    </row>
    <row r="407" ht="17" customHeight="1">
      <c r="B407" s="66" t="n"/>
      <c r="C407" s="60" t="n"/>
      <c r="D407" s="86" t="n"/>
      <c r="E407" s="60" t="n"/>
      <c r="F407" s="60" t="n"/>
      <c r="G407" s="13">
        <f>IF($C407="","",IFERROR(INDEX('Inventory'!$D$7:$D$106,MATCH($C407,'Inventory'!$B$7:$B$106,0))&amp;"","?"))</f>
        <v/>
      </c>
      <c r="H407" s="80">
        <f>IF(AND($B407="",$C407="",$D407=""),"",IF(NOT(ISNUMBER($B407)),"Enter a valid date",IF($C407="","Pick ingredient",IF($G407="?","Not in Inventory",IF($G407="","Set stock unit in Inventory",IF(N($D407)&lt;=0,"Enter quantity",IF($E407="","Pick unit",IF(IFERROR(INDEX('Lists'!$C$6:$C$30,MATCH($E407,'Lists'!$B$6:$B$30,0)),"?")&lt;&gt;IFERROR(INDEX('Lists'!$C$6:$C$30,MATCH($G407,'Lists'!$B$6:$B$30,0)),"?"),"Unit mismatch",IF(ISNUMBER(INDEX('Inventory'!$G$7:$G$106,MATCH($C407,'Inventory'!$B$7:$B$106,0))),"OK","Add price in Inventory")))))))))</f>
        <v/>
      </c>
      <c r="I407" s="88">
        <f>IF($H407&lt;&gt;"OK","",$D407*INDEX('Lists'!$D$6:$D$30,MATCH($E407,'Lists'!$B$6:$B$30,0))/INDEX('Lists'!$D$6:$D$30,MATCH($G407,'Lists'!$B$6:$B$30,0)))</f>
        <v/>
      </c>
      <c r="J407" s="71">
        <f>IF($H407&lt;&gt;"OK","",$I407*INDEX('Inventory'!$G$7:$G$106,MATCH($C407,'Inventory'!$B$7:$B$106,0)))</f>
        <v/>
      </c>
    </row>
    <row r="408" ht="17" customHeight="1">
      <c r="B408" s="66" t="n"/>
      <c r="C408" s="60" t="n"/>
      <c r="D408" s="86" t="n"/>
      <c r="E408" s="60" t="n"/>
      <c r="F408" s="60" t="n"/>
      <c r="G408" s="13">
        <f>IF($C408="","",IFERROR(INDEX('Inventory'!$D$7:$D$106,MATCH($C408,'Inventory'!$B$7:$B$106,0))&amp;"","?"))</f>
        <v/>
      </c>
      <c r="H408" s="80">
        <f>IF(AND($B408="",$C408="",$D408=""),"",IF(NOT(ISNUMBER($B408)),"Enter a valid date",IF($C408="","Pick ingredient",IF($G408="?","Not in Inventory",IF($G408="","Set stock unit in Inventory",IF(N($D408)&lt;=0,"Enter quantity",IF($E408="","Pick unit",IF(IFERROR(INDEX('Lists'!$C$6:$C$30,MATCH($E408,'Lists'!$B$6:$B$30,0)),"?")&lt;&gt;IFERROR(INDEX('Lists'!$C$6:$C$30,MATCH($G408,'Lists'!$B$6:$B$30,0)),"?"),"Unit mismatch",IF(ISNUMBER(INDEX('Inventory'!$G$7:$G$106,MATCH($C408,'Inventory'!$B$7:$B$106,0))),"OK","Add price in Inventory")))))))))</f>
        <v/>
      </c>
      <c r="I408" s="88">
        <f>IF($H408&lt;&gt;"OK","",$D408*INDEX('Lists'!$D$6:$D$30,MATCH($E408,'Lists'!$B$6:$B$30,0))/INDEX('Lists'!$D$6:$D$30,MATCH($G408,'Lists'!$B$6:$B$30,0)))</f>
        <v/>
      </c>
      <c r="J408" s="71">
        <f>IF($H408&lt;&gt;"OK","",$I408*INDEX('Inventory'!$G$7:$G$106,MATCH($C408,'Inventory'!$B$7:$B$106,0)))</f>
        <v/>
      </c>
    </row>
    <row r="409" ht="17" customHeight="1">
      <c r="B409" s="66" t="n"/>
      <c r="C409" s="60" t="n"/>
      <c r="D409" s="86" t="n"/>
      <c r="E409" s="60" t="n"/>
      <c r="F409" s="60" t="n"/>
      <c r="G409" s="13">
        <f>IF($C409="","",IFERROR(INDEX('Inventory'!$D$7:$D$106,MATCH($C409,'Inventory'!$B$7:$B$106,0))&amp;"","?"))</f>
        <v/>
      </c>
      <c r="H409" s="80">
        <f>IF(AND($B409="",$C409="",$D409=""),"",IF(NOT(ISNUMBER($B409)),"Enter a valid date",IF($C409="","Pick ingredient",IF($G409="?","Not in Inventory",IF($G409="","Set stock unit in Inventory",IF(N($D409)&lt;=0,"Enter quantity",IF($E409="","Pick unit",IF(IFERROR(INDEX('Lists'!$C$6:$C$30,MATCH($E409,'Lists'!$B$6:$B$30,0)),"?")&lt;&gt;IFERROR(INDEX('Lists'!$C$6:$C$30,MATCH($G409,'Lists'!$B$6:$B$30,0)),"?"),"Unit mismatch",IF(ISNUMBER(INDEX('Inventory'!$G$7:$G$106,MATCH($C409,'Inventory'!$B$7:$B$106,0))),"OK","Add price in Inventory")))))))))</f>
        <v/>
      </c>
      <c r="I409" s="88">
        <f>IF($H409&lt;&gt;"OK","",$D409*INDEX('Lists'!$D$6:$D$30,MATCH($E409,'Lists'!$B$6:$B$30,0))/INDEX('Lists'!$D$6:$D$30,MATCH($G409,'Lists'!$B$6:$B$30,0)))</f>
        <v/>
      </c>
      <c r="J409" s="71">
        <f>IF($H409&lt;&gt;"OK","",$I409*INDEX('Inventory'!$G$7:$G$106,MATCH($C409,'Inventory'!$B$7:$B$106,0)))</f>
        <v/>
      </c>
    </row>
    <row r="410" ht="17" customHeight="1">
      <c r="B410" s="66" t="n"/>
      <c r="C410" s="60" t="n"/>
      <c r="D410" s="86" t="n"/>
      <c r="E410" s="60" t="n"/>
      <c r="F410" s="60" t="n"/>
      <c r="G410" s="13">
        <f>IF($C410="","",IFERROR(INDEX('Inventory'!$D$7:$D$106,MATCH($C410,'Inventory'!$B$7:$B$106,0))&amp;"","?"))</f>
        <v/>
      </c>
      <c r="H410" s="80">
        <f>IF(AND($B410="",$C410="",$D410=""),"",IF(NOT(ISNUMBER($B410)),"Enter a valid date",IF($C410="","Pick ingredient",IF($G410="?","Not in Inventory",IF($G410="","Set stock unit in Inventory",IF(N($D410)&lt;=0,"Enter quantity",IF($E410="","Pick unit",IF(IFERROR(INDEX('Lists'!$C$6:$C$30,MATCH($E410,'Lists'!$B$6:$B$30,0)),"?")&lt;&gt;IFERROR(INDEX('Lists'!$C$6:$C$30,MATCH($G410,'Lists'!$B$6:$B$30,0)),"?"),"Unit mismatch",IF(ISNUMBER(INDEX('Inventory'!$G$7:$G$106,MATCH($C410,'Inventory'!$B$7:$B$106,0))),"OK","Add price in Inventory")))))))))</f>
        <v/>
      </c>
      <c r="I410" s="88">
        <f>IF($H410&lt;&gt;"OK","",$D410*INDEX('Lists'!$D$6:$D$30,MATCH($E410,'Lists'!$B$6:$B$30,0))/INDEX('Lists'!$D$6:$D$30,MATCH($G410,'Lists'!$B$6:$B$30,0)))</f>
        <v/>
      </c>
      <c r="J410" s="71">
        <f>IF($H410&lt;&gt;"OK","",$I410*INDEX('Inventory'!$G$7:$G$106,MATCH($C410,'Inventory'!$B$7:$B$106,0)))</f>
        <v/>
      </c>
    </row>
    <row r="411" ht="17" customHeight="1">
      <c r="B411" s="66" t="n"/>
      <c r="C411" s="60" t="n"/>
      <c r="D411" s="86" t="n"/>
      <c r="E411" s="60" t="n"/>
      <c r="F411" s="60" t="n"/>
      <c r="G411" s="13">
        <f>IF($C411="","",IFERROR(INDEX('Inventory'!$D$7:$D$106,MATCH($C411,'Inventory'!$B$7:$B$106,0))&amp;"","?"))</f>
        <v/>
      </c>
      <c r="H411" s="80">
        <f>IF(AND($B411="",$C411="",$D411=""),"",IF(NOT(ISNUMBER($B411)),"Enter a valid date",IF($C411="","Pick ingredient",IF($G411="?","Not in Inventory",IF($G411="","Set stock unit in Inventory",IF(N($D411)&lt;=0,"Enter quantity",IF($E411="","Pick unit",IF(IFERROR(INDEX('Lists'!$C$6:$C$30,MATCH($E411,'Lists'!$B$6:$B$30,0)),"?")&lt;&gt;IFERROR(INDEX('Lists'!$C$6:$C$30,MATCH($G411,'Lists'!$B$6:$B$30,0)),"?"),"Unit mismatch",IF(ISNUMBER(INDEX('Inventory'!$G$7:$G$106,MATCH($C411,'Inventory'!$B$7:$B$106,0))),"OK","Add price in Inventory")))))))))</f>
        <v/>
      </c>
      <c r="I411" s="88">
        <f>IF($H411&lt;&gt;"OK","",$D411*INDEX('Lists'!$D$6:$D$30,MATCH($E411,'Lists'!$B$6:$B$30,0))/INDEX('Lists'!$D$6:$D$30,MATCH($G411,'Lists'!$B$6:$B$30,0)))</f>
        <v/>
      </c>
      <c r="J411" s="71">
        <f>IF($H411&lt;&gt;"OK","",$I411*INDEX('Inventory'!$G$7:$G$106,MATCH($C411,'Inventory'!$B$7:$B$106,0)))</f>
        <v/>
      </c>
    </row>
    <row r="412" ht="17" customHeight="1">
      <c r="B412" s="66" t="n"/>
      <c r="C412" s="60" t="n"/>
      <c r="D412" s="86" t="n"/>
      <c r="E412" s="60" t="n"/>
      <c r="F412" s="60" t="n"/>
      <c r="G412" s="13">
        <f>IF($C412="","",IFERROR(INDEX('Inventory'!$D$7:$D$106,MATCH($C412,'Inventory'!$B$7:$B$106,0))&amp;"","?"))</f>
        <v/>
      </c>
      <c r="H412" s="80">
        <f>IF(AND($B412="",$C412="",$D412=""),"",IF(NOT(ISNUMBER($B412)),"Enter a valid date",IF($C412="","Pick ingredient",IF($G412="?","Not in Inventory",IF($G412="","Set stock unit in Inventory",IF(N($D412)&lt;=0,"Enter quantity",IF($E412="","Pick unit",IF(IFERROR(INDEX('Lists'!$C$6:$C$30,MATCH($E412,'Lists'!$B$6:$B$30,0)),"?")&lt;&gt;IFERROR(INDEX('Lists'!$C$6:$C$30,MATCH($G412,'Lists'!$B$6:$B$30,0)),"?"),"Unit mismatch",IF(ISNUMBER(INDEX('Inventory'!$G$7:$G$106,MATCH($C412,'Inventory'!$B$7:$B$106,0))),"OK","Add price in Inventory")))))))))</f>
        <v/>
      </c>
      <c r="I412" s="88">
        <f>IF($H412&lt;&gt;"OK","",$D412*INDEX('Lists'!$D$6:$D$30,MATCH($E412,'Lists'!$B$6:$B$30,0))/INDEX('Lists'!$D$6:$D$30,MATCH($G412,'Lists'!$B$6:$B$30,0)))</f>
        <v/>
      </c>
      <c r="J412" s="71">
        <f>IF($H412&lt;&gt;"OK","",$I412*INDEX('Inventory'!$G$7:$G$106,MATCH($C412,'Inventory'!$B$7:$B$106,0)))</f>
        <v/>
      </c>
    </row>
    <row r="413" ht="17" customHeight="1">
      <c r="B413" s="66" t="n"/>
      <c r="C413" s="60" t="n"/>
      <c r="D413" s="86" t="n"/>
      <c r="E413" s="60" t="n"/>
      <c r="F413" s="60" t="n"/>
      <c r="G413" s="13">
        <f>IF($C413="","",IFERROR(INDEX('Inventory'!$D$7:$D$106,MATCH($C413,'Inventory'!$B$7:$B$106,0))&amp;"","?"))</f>
        <v/>
      </c>
      <c r="H413" s="80">
        <f>IF(AND($B413="",$C413="",$D413=""),"",IF(NOT(ISNUMBER($B413)),"Enter a valid date",IF($C413="","Pick ingredient",IF($G413="?","Not in Inventory",IF($G413="","Set stock unit in Inventory",IF(N($D413)&lt;=0,"Enter quantity",IF($E413="","Pick unit",IF(IFERROR(INDEX('Lists'!$C$6:$C$30,MATCH($E413,'Lists'!$B$6:$B$30,0)),"?")&lt;&gt;IFERROR(INDEX('Lists'!$C$6:$C$30,MATCH($G413,'Lists'!$B$6:$B$30,0)),"?"),"Unit mismatch",IF(ISNUMBER(INDEX('Inventory'!$G$7:$G$106,MATCH($C413,'Inventory'!$B$7:$B$106,0))),"OK","Add price in Inventory")))))))))</f>
        <v/>
      </c>
      <c r="I413" s="88">
        <f>IF($H413&lt;&gt;"OK","",$D413*INDEX('Lists'!$D$6:$D$30,MATCH($E413,'Lists'!$B$6:$B$30,0))/INDEX('Lists'!$D$6:$D$30,MATCH($G413,'Lists'!$B$6:$B$30,0)))</f>
        <v/>
      </c>
      <c r="J413" s="71">
        <f>IF($H413&lt;&gt;"OK","",$I413*INDEX('Inventory'!$G$7:$G$106,MATCH($C413,'Inventory'!$B$7:$B$106,0)))</f>
        <v/>
      </c>
    </row>
    <row r="414" ht="17" customHeight="1">
      <c r="B414" s="66" t="n"/>
      <c r="C414" s="60" t="n"/>
      <c r="D414" s="86" t="n"/>
      <c r="E414" s="60" t="n"/>
      <c r="F414" s="60" t="n"/>
      <c r="G414" s="13">
        <f>IF($C414="","",IFERROR(INDEX('Inventory'!$D$7:$D$106,MATCH($C414,'Inventory'!$B$7:$B$106,0))&amp;"","?"))</f>
        <v/>
      </c>
      <c r="H414" s="80">
        <f>IF(AND($B414="",$C414="",$D414=""),"",IF(NOT(ISNUMBER($B414)),"Enter a valid date",IF($C414="","Pick ingredient",IF($G414="?","Not in Inventory",IF($G414="","Set stock unit in Inventory",IF(N($D414)&lt;=0,"Enter quantity",IF($E414="","Pick unit",IF(IFERROR(INDEX('Lists'!$C$6:$C$30,MATCH($E414,'Lists'!$B$6:$B$30,0)),"?")&lt;&gt;IFERROR(INDEX('Lists'!$C$6:$C$30,MATCH($G414,'Lists'!$B$6:$B$30,0)),"?"),"Unit mismatch",IF(ISNUMBER(INDEX('Inventory'!$G$7:$G$106,MATCH($C414,'Inventory'!$B$7:$B$106,0))),"OK","Add price in Inventory")))))))))</f>
        <v/>
      </c>
      <c r="I414" s="88">
        <f>IF($H414&lt;&gt;"OK","",$D414*INDEX('Lists'!$D$6:$D$30,MATCH($E414,'Lists'!$B$6:$B$30,0))/INDEX('Lists'!$D$6:$D$30,MATCH($G414,'Lists'!$B$6:$B$30,0)))</f>
        <v/>
      </c>
      <c r="J414" s="71">
        <f>IF($H414&lt;&gt;"OK","",$I414*INDEX('Inventory'!$G$7:$G$106,MATCH($C414,'Inventory'!$B$7:$B$106,0)))</f>
        <v/>
      </c>
    </row>
    <row r="415" ht="17" customHeight="1">
      <c r="B415" s="66" t="n"/>
      <c r="C415" s="60" t="n"/>
      <c r="D415" s="86" t="n"/>
      <c r="E415" s="60" t="n"/>
      <c r="F415" s="60" t="n"/>
      <c r="G415" s="13">
        <f>IF($C415="","",IFERROR(INDEX('Inventory'!$D$7:$D$106,MATCH($C415,'Inventory'!$B$7:$B$106,0))&amp;"","?"))</f>
        <v/>
      </c>
      <c r="H415" s="80">
        <f>IF(AND($B415="",$C415="",$D415=""),"",IF(NOT(ISNUMBER($B415)),"Enter a valid date",IF($C415="","Pick ingredient",IF($G415="?","Not in Inventory",IF($G415="","Set stock unit in Inventory",IF(N($D415)&lt;=0,"Enter quantity",IF($E415="","Pick unit",IF(IFERROR(INDEX('Lists'!$C$6:$C$30,MATCH($E415,'Lists'!$B$6:$B$30,0)),"?")&lt;&gt;IFERROR(INDEX('Lists'!$C$6:$C$30,MATCH($G415,'Lists'!$B$6:$B$30,0)),"?"),"Unit mismatch",IF(ISNUMBER(INDEX('Inventory'!$G$7:$G$106,MATCH($C415,'Inventory'!$B$7:$B$106,0))),"OK","Add price in Inventory")))))))))</f>
        <v/>
      </c>
      <c r="I415" s="88">
        <f>IF($H415&lt;&gt;"OK","",$D415*INDEX('Lists'!$D$6:$D$30,MATCH($E415,'Lists'!$B$6:$B$30,0))/INDEX('Lists'!$D$6:$D$30,MATCH($G415,'Lists'!$B$6:$B$30,0)))</f>
        <v/>
      </c>
      <c r="J415" s="71">
        <f>IF($H415&lt;&gt;"OK","",$I415*INDEX('Inventory'!$G$7:$G$106,MATCH($C415,'Inventory'!$B$7:$B$106,0)))</f>
        <v/>
      </c>
    </row>
    <row r="416" ht="17" customHeight="1">
      <c r="B416" s="66" t="n"/>
      <c r="C416" s="60" t="n"/>
      <c r="D416" s="86" t="n"/>
      <c r="E416" s="60" t="n"/>
      <c r="F416" s="60" t="n"/>
      <c r="G416" s="13">
        <f>IF($C416="","",IFERROR(INDEX('Inventory'!$D$7:$D$106,MATCH($C416,'Inventory'!$B$7:$B$106,0))&amp;"","?"))</f>
        <v/>
      </c>
      <c r="H416" s="80">
        <f>IF(AND($B416="",$C416="",$D416=""),"",IF(NOT(ISNUMBER($B416)),"Enter a valid date",IF($C416="","Pick ingredient",IF($G416="?","Not in Inventory",IF($G416="","Set stock unit in Inventory",IF(N($D416)&lt;=0,"Enter quantity",IF($E416="","Pick unit",IF(IFERROR(INDEX('Lists'!$C$6:$C$30,MATCH($E416,'Lists'!$B$6:$B$30,0)),"?")&lt;&gt;IFERROR(INDEX('Lists'!$C$6:$C$30,MATCH($G416,'Lists'!$B$6:$B$30,0)),"?"),"Unit mismatch",IF(ISNUMBER(INDEX('Inventory'!$G$7:$G$106,MATCH($C416,'Inventory'!$B$7:$B$106,0))),"OK","Add price in Inventory")))))))))</f>
        <v/>
      </c>
      <c r="I416" s="88">
        <f>IF($H416&lt;&gt;"OK","",$D416*INDEX('Lists'!$D$6:$D$30,MATCH($E416,'Lists'!$B$6:$B$30,0))/INDEX('Lists'!$D$6:$D$30,MATCH($G416,'Lists'!$B$6:$B$30,0)))</f>
        <v/>
      </c>
      <c r="J416" s="71">
        <f>IF($H416&lt;&gt;"OK","",$I416*INDEX('Inventory'!$G$7:$G$106,MATCH($C416,'Inventory'!$B$7:$B$106,0)))</f>
        <v/>
      </c>
    </row>
    <row r="417" ht="17" customHeight="1">
      <c r="B417" s="66" t="n"/>
      <c r="C417" s="60" t="n"/>
      <c r="D417" s="86" t="n"/>
      <c r="E417" s="60" t="n"/>
      <c r="F417" s="60" t="n"/>
      <c r="G417" s="13">
        <f>IF($C417="","",IFERROR(INDEX('Inventory'!$D$7:$D$106,MATCH($C417,'Inventory'!$B$7:$B$106,0))&amp;"","?"))</f>
        <v/>
      </c>
      <c r="H417" s="80">
        <f>IF(AND($B417="",$C417="",$D417=""),"",IF(NOT(ISNUMBER($B417)),"Enter a valid date",IF($C417="","Pick ingredient",IF($G417="?","Not in Inventory",IF($G417="","Set stock unit in Inventory",IF(N($D417)&lt;=0,"Enter quantity",IF($E417="","Pick unit",IF(IFERROR(INDEX('Lists'!$C$6:$C$30,MATCH($E417,'Lists'!$B$6:$B$30,0)),"?")&lt;&gt;IFERROR(INDEX('Lists'!$C$6:$C$30,MATCH($G417,'Lists'!$B$6:$B$30,0)),"?"),"Unit mismatch",IF(ISNUMBER(INDEX('Inventory'!$G$7:$G$106,MATCH($C417,'Inventory'!$B$7:$B$106,0))),"OK","Add price in Inventory")))))))))</f>
        <v/>
      </c>
      <c r="I417" s="88">
        <f>IF($H417&lt;&gt;"OK","",$D417*INDEX('Lists'!$D$6:$D$30,MATCH($E417,'Lists'!$B$6:$B$30,0))/INDEX('Lists'!$D$6:$D$30,MATCH($G417,'Lists'!$B$6:$B$30,0)))</f>
        <v/>
      </c>
      <c r="J417" s="71">
        <f>IF($H417&lt;&gt;"OK","",$I417*INDEX('Inventory'!$G$7:$G$106,MATCH($C417,'Inventory'!$B$7:$B$106,0)))</f>
        <v/>
      </c>
    </row>
    <row r="418" ht="17" customHeight="1">
      <c r="B418" s="66" t="n"/>
      <c r="C418" s="60" t="n"/>
      <c r="D418" s="86" t="n"/>
      <c r="E418" s="60" t="n"/>
      <c r="F418" s="60" t="n"/>
      <c r="G418" s="13">
        <f>IF($C418="","",IFERROR(INDEX('Inventory'!$D$7:$D$106,MATCH($C418,'Inventory'!$B$7:$B$106,0))&amp;"","?"))</f>
        <v/>
      </c>
      <c r="H418" s="80">
        <f>IF(AND($B418="",$C418="",$D418=""),"",IF(NOT(ISNUMBER($B418)),"Enter a valid date",IF($C418="","Pick ingredient",IF($G418="?","Not in Inventory",IF($G418="","Set stock unit in Inventory",IF(N($D418)&lt;=0,"Enter quantity",IF($E418="","Pick unit",IF(IFERROR(INDEX('Lists'!$C$6:$C$30,MATCH($E418,'Lists'!$B$6:$B$30,0)),"?")&lt;&gt;IFERROR(INDEX('Lists'!$C$6:$C$30,MATCH($G418,'Lists'!$B$6:$B$30,0)),"?"),"Unit mismatch",IF(ISNUMBER(INDEX('Inventory'!$G$7:$G$106,MATCH($C418,'Inventory'!$B$7:$B$106,0))),"OK","Add price in Inventory")))))))))</f>
        <v/>
      </c>
      <c r="I418" s="88">
        <f>IF($H418&lt;&gt;"OK","",$D418*INDEX('Lists'!$D$6:$D$30,MATCH($E418,'Lists'!$B$6:$B$30,0))/INDEX('Lists'!$D$6:$D$30,MATCH($G418,'Lists'!$B$6:$B$30,0)))</f>
        <v/>
      </c>
      <c r="J418" s="71">
        <f>IF($H418&lt;&gt;"OK","",$I418*INDEX('Inventory'!$G$7:$G$106,MATCH($C418,'Inventory'!$B$7:$B$106,0)))</f>
        <v/>
      </c>
    </row>
    <row r="419" ht="17" customHeight="1">
      <c r="B419" s="66" t="n"/>
      <c r="C419" s="60" t="n"/>
      <c r="D419" s="86" t="n"/>
      <c r="E419" s="60" t="n"/>
      <c r="F419" s="60" t="n"/>
      <c r="G419" s="13">
        <f>IF($C419="","",IFERROR(INDEX('Inventory'!$D$7:$D$106,MATCH($C419,'Inventory'!$B$7:$B$106,0))&amp;"","?"))</f>
        <v/>
      </c>
      <c r="H419" s="80">
        <f>IF(AND($B419="",$C419="",$D419=""),"",IF(NOT(ISNUMBER($B419)),"Enter a valid date",IF($C419="","Pick ingredient",IF($G419="?","Not in Inventory",IF($G419="","Set stock unit in Inventory",IF(N($D419)&lt;=0,"Enter quantity",IF($E419="","Pick unit",IF(IFERROR(INDEX('Lists'!$C$6:$C$30,MATCH($E419,'Lists'!$B$6:$B$30,0)),"?")&lt;&gt;IFERROR(INDEX('Lists'!$C$6:$C$30,MATCH($G419,'Lists'!$B$6:$B$30,0)),"?"),"Unit mismatch",IF(ISNUMBER(INDEX('Inventory'!$G$7:$G$106,MATCH($C419,'Inventory'!$B$7:$B$106,0))),"OK","Add price in Inventory")))))))))</f>
        <v/>
      </c>
      <c r="I419" s="88">
        <f>IF($H419&lt;&gt;"OK","",$D419*INDEX('Lists'!$D$6:$D$30,MATCH($E419,'Lists'!$B$6:$B$30,0))/INDEX('Lists'!$D$6:$D$30,MATCH($G419,'Lists'!$B$6:$B$30,0)))</f>
        <v/>
      </c>
      <c r="J419" s="71">
        <f>IF($H419&lt;&gt;"OK","",$I419*INDEX('Inventory'!$G$7:$G$106,MATCH($C419,'Inventory'!$B$7:$B$106,0)))</f>
        <v/>
      </c>
    </row>
    <row r="420" ht="17" customHeight="1">
      <c r="B420" s="66" t="n"/>
      <c r="C420" s="60" t="n"/>
      <c r="D420" s="86" t="n"/>
      <c r="E420" s="60" t="n"/>
      <c r="F420" s="60" t="n"/>
      <c r="G420" s="13">
        <f>IF($C420="","",IFERROR(INDEX('Inventory'!$D$7:$D$106,MATCH($C420,'Inventory'!$B$7:$B$106,0))&amp;"","?"))</f>
        <v/>
      </c>
      <c r="H420" s="80">
        <f>IF(AND($B420="",$C420="",$D420=""),"",IF(NOT(ISNUMBER($B420)),"Enter a valid date",IF($C420="","Pick ingredient",IF($G420="?","Not in Inventory",IF($G420="","Set stock unit in Inventory",IF(N($D420)&lt;=0,"Enter quantity",IF($E420="","Pick unit",IF(IFERROR(INDEX('Lists'!$C$6:$C$30,MATCH($E420,'Lists'!$B$6:$B$30,0)),"?")&lt;&gt;IFERROR(INDEX('Lists'!$C$6:$C$30,MATCH($G420,'Lists'!$B$6:$B$30,0)),"?"),"Unit mismatch",IF(ISNUMBER(INDEX('Inventory'!$G$7:$G$106,MATCH($C420,'Inventory'!$B$7:$B$106,0))),"OK","Add price in Inventory")))))))))</f>
        <v/>
      </c>
      <c r="I420" s="88">
        <f>IF($H420&lt;&gt;"OK","",$D420*INDEX('Lists'!$D$6:$D$30,MATCH($E420,'Lists'!$B$6:$B$30,0))/INDEX('Lists'!$D$6:$D$30,MATCH($G420,'Lists'!$B$6:$B$30,0)))</f>
        <v/>
      </c>
      <c r="J420" s="71">
        <f>IF($H420&lt;&gt;"OK","",$I420*INDEX('Inventory'!$G$7:$G$106,MATCH($C420,'Inventory'!$B$7:$B$106,0)))</f>
        <v/>
      </c>
    </row>
    <row r="421" ht="17" customHeight="1">
      <c r="B421" s="66" t="n"/>
      <c r="C421" s="60" t="n"/>
      <c r="D421" s="86" t="n"/>
      <c r="E421" s="60" t="n"/>
      <c r="F421" s="60" t="n"/>
      <c r="G421" s="13">
        <f>IF($C421="","",IFERROR(INDEX('Inventory'!$D$7:$D$106,MATCH($C421,'Inventory'!$B$7:$B$106,0))&amp;"","?"))</f>
        <v/>
      </c>
      <c r="H421" s="80">
        <f>IF(AND($B421="",$C421="",$D421=""),"",IF(NOT(ISNUMBER($B421)),"Enter a valid date",IF($C421="","Pick ingredient",IF($G421="?","Not in Inventory",IF($G421="","Set stock unit in Inventory",IF(N($D421)&lt;=0,"Enter quantity",IF($E421="","Pick unit",IF(IFERROR(INDEX('Lists'!$C$6:$C$30,MATCH($E421,'Lists'!$B$6:$B$30,0)),"?")&lt;&gt;IFERROR(INDEX('Lists'!$C$6:$C$30,MATCH($G421,'Lists'!$B$6:$B$30,0)),"?"),"Unit mismatch",IF(ISNUMBER(INDEX('Inventory'!$G$7:$G$106,MATCH($C421,'Inventory'!$B$7:$B$106,0))),"OK","Add price in Inventory")))))))))</f>
        <v/>
      </c>
      <c r="I421" s="88">
        <f>IF($H421&lt;&gt;"OK","",$D421*INDEX('Lists'!$D$6:$D$30,MATCH($E421,'Lists'!$B$6:$B$30,0))/INDEX('Lists'!$D$6:$D$30,MATCH($G421,'Lists'!$B$6:$B$30,0)))</f>
        <v/>
      </c>
      <c r="J421" s="71">
        <f>IF($H421&lt;&gt;"OK","",$I421*INDEX('Inventory'!$G$7:$G$106,MATCH($C421,'Inventory'!$B$7:$B$106,0)))</f>
        <v/>
      </c>
    </row>
    <row r="422" ht="17" customHeight="1">
      <c r="B422" s="66" t="n"/>
      <c r="C422" s="60" t="n"/>
      <c r="D422" s="86" t="n"/>
      <c r="E422" s="60" t="n"/>
      <c r="F422" s="60" t="n"/>
      <c r="G422" s="13">
        <f>IF($C422="","",IFERROR(INDEX('Inventory'!$D$7:$D$106,MATCH($C422,'Inventory'!$B$7:$B$106,0))&amp;"","?"))</f>
        <v/>
      </c>
      <c r="H422" s="80">
        <f>IF(AND($B422="",$C422="",$D422=""),"",IF(NOT(ISNUMBER($B422)),"Enter a valid date",IF($C422="","Pick ingredient",IF($G422="?","Not in Inventory",IF($G422="","Set stock unit in Inventory",IF(N($D422)&lt;=0,"Enter quantity",IF($E422="","Pick unit",IF(IFERROR(INDEX('Lists'!$C$6:$C$30,MATCH($E422,'Lists'!$B$6:$B$30,0)),"?")&lt;&gt;IFERROR(INDEX('Lists'!$C$6:$C$30,MATCH($G422,'Lists'!$B$6:$B$30,0)),"?"),"Unit mismatch",IF(ISNUMBER(INDEX('Inventory'!$G$7:$G$106,MATCH($C422,'Inventory'!$B$7:$B$106,0))),"OK","Add price in Inventory")))))))))</f>
        <v/>
      </c>
      <c r="I422" s="88">
        <f>IF($H422&lt;&gt;"OK","",$D422*INDEX('Lists'!$D$6:$D$30,MATCH($E422,'Lists'!$B$6:$B$30,0))/INDEX('Lists'!$D$6:$D$30,MATCH($G422,'Lists'!$B$6:$B$30,0)))</f>
        <v/>
      </c>
      <c r="J422" s="71">
        <f>IF($H422&lt;&gt;"OK","",$I422*INDEX('Inventory'!$G$7:$G$106,MATCH($C422,'Inventory'!$B$7:$B$106,0)))</f>
        <v/>
      </c>
    </row>
    <row r="423" ht="17" customHeight="1">
      <c r="B423" s="66" t="n"/>
      <c r="C423" s="60" t="n"/>
      <c r="D423" s="86" t="n"/>
      <c r="E423" s="60" t="n"/>
      <c r="F423" s="60" t="n"/>
      <c r="G423" s="13">
        <f>IF($C423="","",IFERROR(INDEX('Inventory'!$D$7:$D$106,MATCH($C423,'Inventory'!$B$7:$B$106,0))&amp;"","?"))</f>
        <v/>
      </c>
      <c r="H423" s="80">
        <f>IF(AND($B423="",$C423="",$D423=""),"",IF(NOT(ISNUMBER($B423)),"Enter a valid date",IF($C423="","Pick ingredient",IF($G423="?","Not in Inventory",IF($G423="","Set stock unit in Inventory",IF(N($D423)&lt;=0,"Enter quantity",IF($E423="","Pick unit",IF(IFERROR(INDEX('Lists'!$C$6:$C$30,MATCH($E423,'Lists'!$B$6:$B$30,0)),"?")&lt;&gt;IFERROR(INDEX('Lists'!$C$6:$C$30,MATCH($G423,'Lists'!$B$6:$B$30,0)),"?"),"Unit mismatch",IF(ISNUMBER(INDEX('Inventory'!$G$7:$G$106,MATCH($C423,'Inventory'!$B$7:$B$106,0))),"OK","Add price in Inventory")))))))))</f>
        <v/>
      </c>
      <c r="I423" s="88">
        <f>IF($H423&lt;&gt;"OK","",$D423*INDEX('Lists'!$D$6:$D$30,MATCH($E423,'Lists'!$B$6:$B$30,0))/INDEX('Lists'!$D$6:$D$30,MATCH($G423,'Lists'!$B$6:$B$30,0)))</f>
        <v/>
      </c>
      <c r="J423" s="71">
        <f>IF($H423&lt;&gt;"OK","",$I423*INDEX('Inventory'!$G$7:$G$106,MATCH($C423,'Inventory'!$B$7:$B$106,0)))</f>
        <v/>
      </c>
    </row>
    <row r="424" ht="17" customHeight="1">
      <c r="B424" s="66" t="n"/>
      <c r="C424" s="60" t="n"/>
      <c r="D424" s="86" t="n"/>
      <c r="E424" s="60" t="n"/>
      <c r="F424" s="60" t="n"/>
      <c r="G424" s="13">
        <f>IF($C424="","",IFERROR(INDEX('Inventory'!$D$7:$D$106,MATCH($C424,'Inventory'!$B$7:$B$106,0))&amp;"","?"))</f>
        <v/>
      </c>
      <c r="H424" s="80">
        <f>IF(AND($B424="",$C424="",$D424=""),"",IF(NOT(ISNUMBER($B424)),"Enter a valid date",IF($C424="","Pick ingredient",IF($G424="?","Not in Inventory",IF($G424="","Set stock unit in Inventory",IF(N($D424)&lt;=0,"Enter quantity",IF($E424="","Pick unit",IF(IFERROR(INDEX('Lists'!$C$6:$C$30,MATCH($E424,'Lists'!$B$6:$B$30,0)),"?")&lt;&gt;IFERROR(INDEX('Lists'!$C$6:$C$30,MATCH($G424,'Lists'!$B$6:$B$30,0)),"?"),"Unit mismatch",IF(ISNUMBER(INDEX('Inventory'!$G$7:$G$106,MATCH($C424,'Inventory'!$B$7:$B$106,0))),"OK","Add price in Inventory")))))))))</f>
        <v/>
      </c>
      <c r="I424" s="88">
        <f>IF($H424&lt;&gt;"OK","",$D424*INDEX('Lists'!$D$6:$D$30,MATCH($E424,'Lists'!$B$6:$B$30,0))/INDEX('Lists'!$D$6:$D$30,MATCH($G424,'Lists'!$B$6:$B$30,0)))</f>
        <v/>
      </c>
      <c r="J424" s="71">
        <f>IF($H424&lt;&gt;"OK","",$I424*INDEX('Inventory'!$G$7:$G$106,MATCH($C424,'Inventory'!$B$7:$B$106,0)))</f>
        <v/>
      </c>
    </row>
    <row r="425" ht="17" customHeight="1">
      <c r="B425" s="66" t="n"/>
      <c r="C425" s="60" t="n"/>
      <c r="D425" s="86" t="n"/>
      <c r="E425" s="60" t="n"/>
      <c r="F425" s="60" t="n"/>
      <c r="G425" s="13">
        <f>IF($C425="","",IFERROR(INDEX('Inventory'!$D$7:$D$106,MATCH($C425,'Inventory'!$B$7:$B$106,0))&amp;"","?"))</f>
        <v/>
      </c>
      <c r="H425" s="80">
        <f>IF(AND($B425="",$C425="",$D425=""),"",IF(NOT(ISNUMBER($B425)),"Enter a valid date",IF($C425="","Pick ingredient",IF($G425="?","Not in Inventory",IF($G425="","Set stock unit in Inventory",IF(N($D425)&lt;=0,"Enter quantity",IF($E425="","Pick unit",IF(IFERROR(INDEX('Lists'!$C$6:$C$30,MATCH($E425,'Lists'!$B$6:$B$30,0)),"?")&lt;&gt;IFERROR(INDEX('Lists'!$C$6:$C$30,MATCH($G425,'Lists'!$B$6:$B$30,0)),"?"),"Unit mismatch",IF(ISNUMBER(INDEX('Inventory'!$G$7:$G$106,MATCH($C425,'Inventory'!$B$7:$B$106,0))),"OK","Add price in Inventory")))))))))</f>
        <v/>
      </c>
      <c r="I425" s="88">
        <f>IF($H425&lt;&gt;"OK","",$D425*INDEX('Lists'!$D$6:$D$30,MATCH($E425,'Lists'!$B$6:$B$30,0))/INDEX('Lists'!$D$6:$D$30,MATCH($G425,'Lists'!$B$6:$B$30,0)))</f>
        <v/>
      </c>
      <c r="J425" s="71">
        <f>IF($H425&lt;&gt;"OK","",$I425*INDEX('Inventory'!$G$7:$G$106,MATCH($C425,'Inventory'!$B$7:$B$106,0)))</f>
        <v/>
      </c>
    </row>
    <row r="426" ht="17" customHeight="1">
      <c r="B426" s="66" t="n"/>
      <c r="C426" s="60" t="n"/>
      <c r="D426" s="86" t="n"/>
      <c r="E426" s="60" t="n"/>
      <c r="F426" s="60" t="n"/>
      <c r="G426" s="13">
        <f>IF($C426="","",IFERROR(INDEX('Inventory'!$D$7:$D$106,MATCH($C426,'Inventory'!$B$7:$B$106,0))&amp;"","?"))</f>
        <v/>
      </c>
      <c r="H426" s="80">
        <f>IF(AND($B426="",$C426="",$D426=""),"",IF(NOT(ISNUMBER($B426)),"Enter a valid date",IF($C426="","Pick ingredient",IF($G426="?","Not in Inventory",IF($G426="","Set stock unit in Inventory",IF(N($D426)&lt;=0,"Enter quantity",IF($E426="","Pick unit",IF(IFERROR(INDEX('Lists'!$C$6:$C$30,MATCH($E426,'Lists'!$B$6:$B$30,0)),"?")&lt;&gt;IFERROR(INDEX('Lists'!$C$6:$C$30,MATCH($G426,'Lists'!$B$6:$B$30,0)),"?"),"Unit mismatch",IF(ISNUMBER(INDEX('Inventory'!$G$7:$G$106,MATCH($C426,'Inventory'!$B$7:$B$106,0))),"OK","Add price in Inventory")))))))))</f>
        <v/>
      </c>
      <c r="I426" s="88">
        <f>IF($H426&lt;&gt;"OK","",$D426*INDEX('Lists'!$D$6:$D$30,MATCH($E426,'Lists'!$B$6:$B$30,0))/INDEX('Lists'!$D$6:$D$30,MATCH($G426,'Lists'!$B$6:$B$30,0)))</f>
        <v/>
      </c>
      <c r="J426" s="71">
        <f>IF($H426&lt;&gt;"OK","",$I426*INDEX('Inventory'!$G$7:$G$106,MATCH($C426,'Inventory'!$B$7:$B$106,0)))</f>
        <v/>
      </c>
    </row>
    <row r="427" ht="17" customHeight="1">
      <c r="B427" s="66" t="n"/>
      <c r="C427" s="60" t="n"/>
      <c r="D427" s="86" t="n"/>
      <c r="E427" s="60" t="n"/>
      <c r="F427" s="60" t="n"/>
      <c r="G427" s="13">
        <f>IF($C427="","",IFERROR(INDEX('Inventory'!$D$7:$D$106,MATCH($C427,'Inventory'!$B$7:$B$106,0))&amp;"","?"))</f>
        <v/>
      </c>
      <c r="H427" s="80">
        <f>IF(AND($B427="",$C427="",$D427=""),"",IF(NOT(ISNUMBER($B427)),"Enter a valid date",IF($C427="","Pick ingredient",IF($G427="?","Not in Inventory",IF($G427="","Set stock unit in Inventory",IF(N($D427)&lt;=0,"Enter quantity",IF($E427="","Pick unit",IF(IFERROR(INDEX('Lists'!$C$6:$C$30,MATCH($E427,'Lists'!$B$6:$B$30,0)),"?")&lt;&gt;IFERROR(INDEX('Lists'!$C$6:$C$30,MATCH($G427,'Lists'!$B$6:$B$30,0)),"?"),"Unit mismatch",IF(ISNUMBER(INDEX('Inventory'!$G$7:$G$106,MATCH($C427,'Inventory'!$B$7:$B$106,0))),"OK","Add price in Inventory")))))))))</f>
        <v/>
      </c>
      <c r="I427" s="88">
        <f>IF($H427&lt;&gt;"OK","",$D427*INDEX('Lists'!$D$6:$D$30,MATCH($E427,'Lists'!$B$6:$B$30,0))/INDEX('Lists'!$D$6:$D$30,MATCH($G427,'Lists'!$B$6:$B$30,0)))</f>
        <v/>
      </c>
      <c r="J427" s="71">
        <f>IF($H427&lt;&gt;"OK","",$I427*INDEX('Inventory'!$G$7:$G$106,MATCH($C427,'Inventory'!$B$7:$B$106,0)))</f>
        <v/>
      </c>
    </row>
    <row r="428" ht="17" customHeight="1">
      <c r="B428" s="66" t="n"/>
      <c r="C428" s="60" t="n"/>
      <c r="D428" s="86" t="n"/>
      <c r="E428" s="60" t="n"/>
      <c r="F428" s="60" t="n"/>
      <c r="G428" s="13">
        <f>IF($C428="","",IFERROR(INDEX('Inventory'!$D$7:$D$106,MATCH($C428,'Inventory'!$B$7:$B$106,0))&amp;"","?"))</f>
        <v/>
      </c>
      <c r="H428" s="80">
        <f>IF(AND($B428="",$C428="",$D428=""),"",IF(NOT(ISNUMBER($B428)),"Enter a valid date",IF($C428="","Pick ingredient",IF($G428="?","Not in Inventory",IF($G428="","Set stock unit in Inventory",IF(N($D428)&lt;=0,"Enter quantity",IF($E428="","Pick unit",IF(IFERROR(INDEX('Lists'!$C$6:$C$30,MATCH($E428,'Lists'!$B$6:$B$30,0)),"?")&lt;&gt;IFERROR(INDEX('Lists'!$C$6:$C$30,MATCH($G428,'Lists'!$B$6:$B$30,0)),"?"),"Unit mismatch",IF(ISNUMBER(INDEX('Inventory'!$G$7:$G$106,MATCH($C428,'Inventory'!$B$7:$B$106,0))),"OK","Add price in Inventory")))))))))</f>
        <v/>
      </c>
      <c r="I428" s="88">
        <f>IF($H428&lt;&gt;"OK","",$D428*INDEX('Lists'!$D$6:$D$30,MATCH($E428,'Lists'!$B$6:$B$30,0))/INDEX('Lists'!$D$6:$D$30,MATCH($G428,'Lists'!$B$6:$B$30,0)))</f>
        <v/>
      </c>
      <c r="J428" s="71">
        <f>IF($H428&lt;&gt;"OK","",$I428*INDEX('Inventory'!$G$7:$G$106,MATCH($C428,'Inventory'!$B$7:$B$106,0)))</f>
        <v/>
      </c>
    </row>
    <row r="429" ht="17" customHeight="1">
      <c r="B429" s="66" t="n"/>
      <c r="C429" s="60" t="n"/>
      <c r="D429" s="86" t="n"/>
      <c r="E429" s="60" t="n"/>
      <c r="F429" s="60" t="n"/>
      <c r="G429" s="13">
        <f>IF($C429="","",IFERROR(INDEX('Inventory'!$D$7:$D$106,MATCH($C429,'Inventory'!$B$7:$B$106,0))&amp;"","?"))</f>
        <v/>
      </c>
      <c r="H429" s="80">
        <f>IF(AND($B429="",$C429="",$D429=""),"",IF(NOT(ISNUMBER($B429)),"Enter a valid date",IF($C429="","Pick ingredient",IF($G429="?","Not in Inventory",IF($G429="","Set stock unit in Inventory",IF(N($D429)&lt;=0,"Enter quantity",IF($E429="","Pick unit",IF(IFERROR(INDEX('Lists'!$C$6:$C$30,MATCH($E429,'Lists'!$B$6:$B$30,0)),"?")&lt;&gt;IFERROR(INDEX('Lists'!$C$6:$C$30,MATCH($G429,'Lists'!$B$6:$B$30,0)),"?"),"Unit mismatch",IF(ISNUMBER(INDEX('Inventory'!$G$7:$G$106,MATCH($C429,'Inventory'!$B$7:$B$106,0))),"OK","Add price in Inventory")))))))))</f>
        <v/>
      </c>
      <c r="I429" s="88">
        <f>IF($H429&lt;&gt;"OK","",$D429*INDEX('Lists'!$D$6:$D$30,MATCH($E429,'Lists'!$B$6:$B$30,0))/INDEX('Lists'!$D$6:$D$30,MATCH($G429,'Lists'!$B$6:$B$30,0)))</f>
        <v/>
      </c>
      <c r="J429" s="71">
        <f>IF($H429&lt;&gt;"OK","",$I429*INDEX('Inventory'!$G$7:$G$106,MATCH($C429,'Inventory'!$B$7:$B$106,0)))</f>
        <v/>
      </c>
    </row>
    <row r="430" ht="17" customHeight="1">
      <c r="B430" s="66" t="n"/>
      <c r="C430" s="60" t="n"/>
      <c r="D430" s="86" t="n"/>
      <c r="E430" s="60" t="n"/>
      <c r="F430" s="60" t="n"/>
      <c r="G430" s="13">
        <f>IF($C430="","",IFERROR(INDEX('Inventory'!$D$7:$D$106,MATCH($C430,'Inventory'!$B$7:$B$106,0))&amp;"","?"))</f>
        <v/>
      </c>
      <c r="H430" s="80">
        <f>IF(AND($B430="",$C430="",$D430=""),"",IF(NOT(ISNUMBER($B430)),"Enter a valid date",IF($C430="","Pick ingredient",IF($G430="?","Not in Inventory",IF($G430="","Set stock unit in Inventory",IF(N($D430)&lt;=0,"Enter quantity",IF($E430="","Pick unit",IF(IFERROR(INDEX('Lists'!$C$6:$C$30,MATCH($E430,'Lists'!$B$6:$B$30,0)),"?")&lt;&gt;IFERROR(INDEX('Lists'!$C$6:$C$30,MATCH($G430,'Lists'!$B$6:$B$30,0)),"?"),"Unit mismatch",IF(ISNUMBER(INDEX('Inventory'!$G$7:$G$106,MATCH($C430,'Inventory'!$B$7:$B$106,0))),"OK","Add price in Inventory")))))))))</f>
        <v/>
      </c>
      <c r="I430" s="88">
        <f>IF($H430&lt;&gt;"OK","",$D430*INDEX('Lists'!$D$6:$D$30,MATCH($E430,'Lists'!$B$6:$B$30,0))/INDEX('Lists'!$D$6:$D$30,MATCH($G430,'Lists'!$B$6:$B$30,0)))</f>
        <v/>
      </c>
      <c r="J430" s="71">
        <f>IF($H430&lt;&gt;"OK","",$I430*INDEX('Inventory'!$G$7:$G$106,MATCH($C430,'Inventory'!$B$7:$B$106,0)))</f>
        <v/>
      </c>
    </row>
    <row r="431" ht="17" customHeight="1">
      <c r="B431" s="66" t="n"/>
      <c r="C431" s="60" t="n"/>
      <c r="D431" s="86" t="n"/>
      <c r="E431" s="60" t="n"/>
      <c r="F431" s="60" t="n"/>
      <c r="G431" s="13">
        <f>IF($C431="","",IFERROR(INDEX('Inventory'!$D$7:$D$106,MATCH($C431,'Inventory'!$B$7:$B$106,0))&amp;"","?"))</f>
        <v/>
      </c>
      <c r="H431" s="80">
        <f>IF(AND($B431="",$C431="",$D431=""),"",IF(NOT(ISNUMBER($B431)),"Enter a valid date",IF($C431="","Pick ingredient",IF($G431="?","Not in Inventory",IF($G431="","Set stock unit in Inventory",IF(N($D431)&lt;=0,"Enter quantity",IF($E431="","Pick unit",IF(IFERROR(INDEX('Lists'!$C$6:$C$30,MATCH($E431,'Lists'!$B$6:$B$30,0)),"?")&lt;&gt;IFERROR(INDEX('Lists'!$C$6:$C$30,MATCH($G431,'Lists'!$B$6:$B$30,0)),"?"),"Unit mismatch",IF(ISNUMBER(INDEX('Inventory'!$G$7:$G$106,MATCH($C431,'Inventory'!$B$7:$B$106,0))),"OK","Add price in Inventory")))))))))</f>
        <v/>
      </c>
      <c r="I431" s="88">
        <f>IF($H431&lt;&gt;"OK","",$D431*INDEX('Lists'!$D$6:$D$30,MATCH($E431,'Lists'!$B$6:$B$30,0))/INDEX('Lists'!$D$6:$D$30,MATCH($G431,'Lists'!$B$6:$B$30,0)))</f>
        <v/>
      </c>
      <c r="J431" s="71">
        <f>IF($H431&lt;&gt;"OK","",$I431*INDEX('Inventory'!$G$7:$G$106,MATCH($C431,'Inventory'!$B$7:$B$106,0)))</f>
        <v/>
      </c>
    </row>
    <row r="432" ht="17" customHeight="1">
      <c r="B432" s="66" t="n"/>
      <c r="C432" s="60" t="n"/>
      <c r="D432" s="86" t="n"/>
      <c r="E432" s="60" t="n"/>
      <c r="F432" s="60" t="n"/>
      <c r="G432" s="13">
        <f>IF($C432="","",IFERROR(INDEX('Inventory'!$D$7:$D$106,MATCH($C432,'Inventory'!$B$7:$B$106,0))&amp;"","?"))</f>
        <v/>
      </c>
      <c r="H432" s="80">
        <f>IF(AND($B432="",$C432="",$D432=""),"",IF(NOT(ISNUMBER($B432)),"Enter a valid date",IF($C432="","Pick ingredient",IF($G432="?","Not in Inventory",IF($G432="","Set stock unit in Inventory",IF(N($D432)&lt;=0,"Enter quantity",IF($E432="","Pick unit",IF(IFERROR(INDEX('Lists'!$C$6:$C$30,MATCH($E432,'Lists'!$B$6:$B$30,0)),"?")&lt;&gt;IFERROR(INDEX('Lists'!$C$6:$C$30,MATCH($G432,'Lists'!$B$6:$B$30,0)),"?"),"Unit mismatch",IF(ISNUMBER(INDEX('Inventory'!$G$7:$G$106,MATCH($C432,'Inventory'!$B$7:$B$106,0))),"OK","Add price in Inventory")))))))))</f>
        <v/>
      </c>
      <c r="I432" s="88">
        <f>IF($H432&lt;&gt;"OK","",$D432*INDEX('Lists'!$D$6:$D$30,MATCH($E432,'Lists'!$B$6:$B$30,0))/INDEX('Lists'!$D$6:$D$30,MATCH($G432,'Lists'!$B$6:$B$30,0)))</f>
        <v/>
      </c>
      <c r="J432" s="71">
        <f>IF($H432&lt;&gt;"OK","",$I432*INDEX('Inventory'!$G$7:$G$106,MATCH($C432,'Inventory'!$B$7:$B$106,0)))</f>
        <v/>
      </c>
    </row>
    <row r="433" ht="17" customHeight="1">
      <c r="B433" s="66" t="n"/>
      <c r="C433" s="60" t="n"/>
      <c r="D433" s="86" t="n"/>
      <c r="E433" s="60" t="n"/>
      <c r="F433" s="60" t="n"/>
      <c r="G433" s="13">
        <f>IF($C433="","",IFERROR(INDEX('Inventory'!$D$7:$D$106,MATCH($C433,'Inventory'!$B$7:$B$106,0))&amp;"","?"))</f>
        <v/>
      </c>
      <c r="H433" s="80">
        <f>IF(AND($B433="",$C433="",$D433=""),"",IF(NOT(ISNUMBER($B433)),"Enter a valid date",IF($C433="","Pick ingredient",IF($G433="?","Not in Inventory",IF($G433="","Set stock unit in Inventory",IF(N($D433)&lt;=0,"Enter quantity",IF($E433="","Pick unit",IF(IFERROR(INDEX('Lists'!$C$6:$C$30,MATCH($E433,'Lists'!$B$6:$B$30,0)),"?")&lt;&gt;IFERROR(INDEX('Lists'!$C$6:$C$30,MATCH($G433,'Lists'!$B$6:$B$30,0)),"?"),"Unit mismatch",IF(ISNUMBER(INDEX('Inventory'!$G$7:$G$106,MATCH($C433,'Inventory'!$B$7:$B$106,0))),"OK","Add price in Inventory")))))))))</f>
        <v/>
      </c>
      <c r="I433" s="88">
        <f>IF($H433&lt;&gt;"OK","",$D433*INDEX('Lists'!$D$6:$D$30,MATCH($E433,'Lists'!$B$6:$B$30,0))/INDEX('Lists'!$D$6:$D$30,MATCH($G433,'Lists'!$B$6:$B$30,0)))</f>
        <v/>
      </c>
      <c r="J433" s="71">
        <f>IF($H433&lt;&gt;"OK","",$I433*INDEX('Inventory'!$G$7:$G$106,MATCH($C433,'Inventory'!$B$7:$B$106,0)))</f>
        <v/>
      </c>
    </row>
    <row r="434" ht="17" customHeight="1">
      <c r="B434" s="66" t="n"/>
      <c r="C434" s="60" t="n"/>
      <c r="D434" s="86" t="n"/>
      <c r="E434" s="60" t="n"/>
      <c r="F434" s="60" t="n"/>
      <c r="G434" s="13">
        <f>IF($C434="","",IFERROR(INDEX('Inventory'!$D$7:$D$106,MATCH($C434,'Inventory'!$B$7:$B$106,0))&amp;"","?"))</f>
        <v/>
      </c>
      <c r="H434" s="80">
        <f>IF(AND($B434="",$C434="",$D434=""),"",IF(NOT(ISNUMBER($B434)),"Enter a valid date",IF($C434="","Pick ingredient",IF($G434="?","Not in Inventory",IF($G434="","Set stock unit in Inventory",IF(N($D434)&lt;=0,"Enter quantity",IF($E434="","Pick unit",IF(IFERROR(INDEX('Lists'!$C$6:$C$30,MATCH($E434,'Lists'!$B$6:$B$30,0)),"?")&lt;&gt;IFERROR(INDEX('Lists'!$C$6:$C$30,MATCH($G434,'Lists'!$B$6:$B$30,0)),"?"),"Unit mismatch",IF(ISNUMBER(INDEX('Inventory'!$G$7:$G$106,MATCH($C434,'Inventory'!$B$7:$B$106,0))),"OK","Add price in Inventory")))))))))</f>
        <v/>
      </c>
      <c r="I434" s="88">
        <f>IF($H434&lt;&gt;"OK","",$D434*INDEX('Lists'!$D$6:$D$30,MATCH($E434,'Lists'!$B$6:$B$30,0))/INDEX('Lists'!$D$6:$D$30,MATCH($G434,'Lists'!$B$6:$B$30,0)))</f>
        <v/>
      </c>
      <c r="J434" s="71">
        <f>IF($H434&lt;&gt;"OK","",$I434*INDEX('Inventory'!$G$7:$G$106,MATCH($C434,'Inventory'!$B$7:$B$106,0)))</f>
        <v/>
      </c>
    </row>
    <row r="435" ht="17" customHeight="1">
      <c r="B435" s="66" t="n"/>
      <c r="C435" s="60" t="n"/>
      <c r="D435" s="86" t="n"/>
      <c r="E435" s="60" t="n"/>
      <c r="F435" s="60" t="n"/>
      <c r="G435" s="13">
        <f>IF($C435="","",IFERROR(INDEX('Inventory'!$D$7:$D$106,MATCH($C435,'Inventory'!$B$7:$B$106,0))&amp;"","?"))</f>
        <v/>
      </c>
      <c r="H435" s="80">
        <f>IF(AND($B435="",$C435="",$D435=""),"",IF(NOT(ISNUMBER($B435)),"Enter a valid date",IF($C435="","Pick ingredient",IF($G435="?","Not in Inventory",IF($G435="","Set stock unit in Inventory",IF(N($D435)&lt;=0,"Enter quantity",IF($E435="","Pick unit",IF(IFERROR(INDEX('Lists'!$C$6:$C$30,MATCH($E435,'Lists'!$B$6:$B$30,0)),"?")&lt;&gt;IFERROR(INDEX('Lists'!$C$6:$C$30,MATCH($G435,'Lists'!$B$6:$B$30,0)),"?"),"Unit mismatch",IF(ISNUMBER(INDEX('Inventory'!$G$7:$G$106,MATCH($C435,'Inventory'!$B$7:$B$106,0))),"OK","Add price in Inventory")))))))))</f>
        <v/>
      </c>
      <c r="I435" s="88">
        <f>IF($H435&lt;&gt;"OK","",$D435*INDEX('Lists'!$D$6:$D$30,MATCH($E435,'Lists'!$B$6:$B$30,0))/INDEX('Lists'!$D$6:$D$30,MATCH($G435,'Lists'!$B$6:$B$30,0)))</f>
        <v/>
      </c>
      <c r="J435" s="71">
        <f>IF($H435&lt;&gt;"OK","",$I435*INDEX('Inventory'!$G$7:$G$106,MATCH($C435,'Inventory'!$B$7:$B$106,0)))</f>
        <v/>
      </c>
    </row>
    <row r="436" ht="17" customHeight="1">
      <c r="B436" s="66" t="n"/>
      <c r="C436" s="60" t="n"/>
      <c r="D436" s="86" t="n"/>
      <c r="E436" s="60" t="n"/>
      <c r="F436" s="60" t="n"/>
      <c r="G436" s="13">
        <f>IF($C436="","",IFERROR(INDEX('Inventory'!$D$7:$D$106,MATCH($C436,'Inventory'!$B$7:$B$106,0))&amp;"","?"))</f>
        <v/>
      </c>
      <c r="H436" s="80">
        <f>IF(AND($B436="",$C436="",$D436=""),"",IF(NOT(ISNUMBER($B436)),"Enter a valid date",IF($C436="","Pick ingredient",IF($G436="?","Not in Inventory",IF($G436="","Set stock unit in Inventory",IF(N($D436)&lt;=0,"Enter quantity",IF($E436="","Pick unit",IF(IFERROR(INDEX('Lists'!$C$6:$C$30,MATCH($E436,'Lists'!$B$6:$B$30,0)),"?")&lt;&gt;IFERROR(INDEX('Lists'!$C$6:$C$30,MATCH($G436,'Lists'!$B$6:$B$30,0)),"?"),"Unit mismatch",IF(ISNUMBER(INDEX('Inventory'!$G$7:$G$106,MATCH($C436,'Inventory'!$B$7:$B$106,0))),"OK","Add price in Inventory")))))))))</f>
        <v/>
      </c>
      <c r="I436" s="88">
        <f>IF($H436&lt;&gt;"OK","",$D436*INDEX('Lists'!$D$6:$D$30,MATCH($E436,'Lists'!$B$6:$B$30,0))/INDEX('Lists'!$D$6:$D$30,MATCH($G436,'Lists'!$B$6:$B$30,0)))</f>
        <v/>
      </c>
      <c r="J436" s="71">
        <f>IF($H436&lt;&gt;"OK","",$I436*INDEX('Inventory'!$G$7:$G$106,MATCH($C436,'Inventory'!$B$7:$B$106,0)))</f>
        <v/>
      </c>
    </row>
    <row r="437" ht="17" customHeight="1">
      <c r="B437" s="66" t="n"/>
      <c r="C437" s="60" t="n"/>
      <c r="D437" s="86" t="n"/>
      <c r="E437" s="60" t="n"/>
      <c r="F437" s="60" t="n"/>
      <c r="G437" s="13">
        <f>IF($C437="","",IFERROR(INDEX('Inventory'!$D$7:$D$106,MATCH($C437,'Inventory'!$B$7:$B$106,0))&amp;"","?"))</f>
        <v/>
      </c>
      <c r="H437" s="80">
        <f>IF(AND($B437="",$C437="",$D437=""),"",IF(NOT(ISNUMBER($B437)),"Enter a valid date",IF($C437="","Pick ingredient",IF($G437="?","Not in Inventory",IF($G437="","Set stock unit in Inventory",IF(N($D437)&lt;=0,"Enter quantity",IF($E437="","Pick unit",IF(IFERROR(INDEX('Lists'!$C$6:$C$30,MATCH($E437,'Lists'!$B$6:$B$30,0)),"?")&lt;&gt;IFERROR(INDEX('Lists'!$C$6:$C$30,MATCH($G437,'Lists'!$B$6:$B$30,0)),"?"),"Unit mismatch",IF(ISNUMBER(INDEX('Inventory'!$G$7:$G$106,MATCH($C437,'Inventory'!$B$7:$B$106,0))),"OK","Add price in Inventory")))))))))</f>
        <v/>
      </c>
      <c r="I437" s="88">
        <f>IF($H437&lt;&gt;"OK","",$D437*INDEX('Lists'!$D$6:$D$30,MATCH($E437,'Lists'!$B$6:$B$30,0))/INDEX('Lists'!$D$6:$D$30,MATCH($G437,'Lists'!$B$6:$B$30,0)))</f>
        <v/>
      </c>
      <c r="J437" s="71">
        <f>IF($H437&lt;&gt;"OK","",$I437*INDEX('Inventory'!$G$7:$G$106,MATCH($C437,'Inventory'!$B$7:$B$106,0)))</f>
        <v/>
      </c>
    </row>
    <row r="438" ht="17" customHeight="1">
      <c r="B438" s="66" t="n"/>
      <c r="C438" s="60" t="n"/>
      <c r="D438" s="86" t="n"/>
      <c r="E438" s="60" t="n"/>
      <c r="F438" s="60" t="n"/>
      <c r="G438" s="13">
        <f>IF($C438="","",IFERROR(INDEX('Inventory'!$D$7:$D$106,MATCH($C438,'Inventory'!$B$7:$B$106,0))&amp;"","?"))</f>
        <v/>
      </c>
      <c r="H438" s="80">
        <f>IF(AND($B438="",$C438="",$D438=""),"",IF(NOT(ISNUMBER($B438)),"Enter a valid date",IF($C438="","Pick ingredient",IF($G438="?","Not in Inventory",IF($G438="","Set stock unit in Inventory",IF(N($D438)&lt;=0,"Enter quantity",IF($E438="","Pick unit",IF(IFERROR(INDEX('Lists'!$C$6:$C$30,MATCH($E438,'Lists'!$B$6:$B$30,0)),"?")&lt;&gt;IFERROR(INDEX('Lists'!$C$6:$C$30,MATCH($G438,'Lists'!$B$6:$B$30,0)),"?"),"Unit mismatch",IF(ISNUMBER(INDEX('Inventory'!$G$7:$G$106,MATCH($C438,'Inventory'!$B$7:$B$106,0))),"OK","Add price in Inventory")))))))))</f>
        <v/>
      </c>
      <c r="I438" s="88">
        <f>IF($H438&lt;&gt;"OK","",$D438*INDEX('Lists'!$D$6:$D$30,MATCH($E438,'Lists'!$B$6:$B$30,0))/INDEX('Lists'!$D$6:$D$30,MATCH($G438,'Lists'!$B$6:$B$30,0)))</f>
        <v/>
      </c>
      <c r="J438" s="71">
        <f>IF($H438&lt;&gt;"OK","",$I438*INDEX('Inventory'!$G$7:$G$106,MATCH($C438,'Inventory'!$B$7:$B$106,0)))</f>
        <v/>
      </c>
    </row>
    <row r="439" ht="17" customHeight="1">
      <c r="B439" s="66" t="n"/>
      <c r="C439" s="60" t="n"/>
      <c r="D439" s="86" t="n"/>
      <c r="E439" s="60" t="n"/>
      <c r="F439" s="60" t="n"/>
      <c r="G439" s="13">
        <f>IF($C439="","",IFERROR(INDEX('Inventory'!$D$7:$D$106,MATCH($C439,'Inventory'!$B$7:$B$106,0))&amp;"","?"))</f>
        <v/>
      </c>
      <c r="H439" s="80">
        <f>IF(AND($B439="",$C439="",$D439=""),"",IF(NOT(ISNUMBER($B439)),"Enter a valid date",IF($C439="","Pick ingredient",IF($G439="?","Not in Inventory",IF($G439="","Set stock unit in Inventory",IF(N($D439)&lt;=0,"Enter quantity",IF($E439="","Pick unit",IF(IFERROR(INDEX('Lists'!$C$6:$C$30,MATCH($E439,'Lists'!$B$6:$B$30,0)),"?")&lt;&gt;IFERROR(INDEX('Lists'!$C$6:$C$30,MATCH($G439,'Lists'!$B$6:$B$30,0)),"?"),"Unit mismatch",IF(ISNUMBER(INDEX('Inventory'!$G$7:$G$106,MATCH($C439,'Inventory'!$B$7:$B$106,0))),"OK","Add price in Inventory")))))))))</f>
        <v/>
      </c>
      <c r="I439" s="88">
        <f>IF($H439&lt;&gt;"OK","",$D439*INDEX('Lists'!$D$6:$D$30,MATCH($E439,'Lists'!$B$6:$B$30,0))/INDEX('Lists'!$D$6:$D$30,MATCH($G439,'Lists'!$B$6:$B$30,0)))</f>
        <v/>
      </c>
      <c r="J439" s="71">
        <f>IF($H439&lt;&gt;"OK","",$I439*INDEX('Inventory'!$G$7:$G$106,MATCH($C439,'Inventory'!$B$7:$B$106,0)))</f>
        <v/>
      </c>
    </row>
    <row r="440" ht="17" customHeight="1">
      <c r="B440" s="66" t="n"/>
      <c r="C440" s="60" t="n"/>
      <c r="D440" s="86" t="n"/>
      <c r="E440" s="60" t="n"/>
      <c r="F440" s="60" t="n"/>
      <c r="G440" s="13">
        <f>IF($C440="","",IFERROR(INDEX('Inventory'!$D$7:$D$106,MATCH($C440,'Inventory'!$B$7:$B$106,0))&amp;"","?"))</f>
        <v/>
      </c>
      <c r="H440" s="80">
        <f>IF(AND($B440="",$C440="",$D440=""),"",IF(NOT(ISNUMBER($B440)),"Enter a valid date",IF($C440="","Pick ingredient",IF($G440="?","Not in Inventory",IF($G440="","Set stock unit in Inventory",IF(N($D440)&lt;=0,"Enter quantity",IF($E440="","Pick unit",IF(IFERROR(INDEX('Lists'!$C$6:$C$30,MATCH($E440,'Lists'!$B$6:$B$30,0)),"?")&lt;&gt;IFERROR(INDEX('Lists'!$C$6:$C$30,MATCH($G440,'Lists'!$B$6:$B$30,0)),"?"),"Unit mismatch",IF(ISNUMBER(INDEX('Inventory'!$G$7:$G$106,MATCH($C440,'Inventory'!$B$7:$B$106,0))),"OK","Add price in Inventory")))))))))</f>
        <v/>
      </c>
      <c r="I440" s="88">
        <f>IF($H440&lt;&gt;"OK","",$D440*INDEX('Lists'!$D$6:$D$30,MATCH($E440,'Lists'!$B$6:$B$30,0))/INDEX('Lists'!$D$6:$D$30,MATCH($G440,'Lists'!$B$6:$B$30,0)))</f>
        <v/>
      </c>
      <c r="J440" s="71">
        <f>IF($H440&lt;&gt;"OK","",$I440*INDEX('Inventory'!$G$7:$G$106,MATCH($C440,'Inventory'!$B$7:$B$106,0)))</f>
        <v/>
      </c>
    </row>
    <row r="441" ht="17" customHeight="1">
      <c r="B441" s="66" t="n"/>
      <c r="C441" s="60" t="n"/>
      <c r="D441" s="86" t="n"/>
      <c r="E441" s="60" t="n"/>
      <c r="F441" s="60" t="n"/>
      <c r="G441" s="13">
        <f>IF($C441="","",IFERROR(INDEX('Inventory'!$D$7:$D$106,MATCH($C441,'Inventory'!$B$7:$B$106,0))&amp;"","?"))</f>
        <v/>
      </c>
      <c r="H441" s="80">
        <f>IF(AND($B441="",$C441="",$D441=""),"",IF(NOT(ISNUMBER($B441)),"Enter a valid date",IF($C441="","Pick ingredient",IF($G441="?","Not in Inventory",IF($G441="","Set stock unit in Inventory",IF(N($D441)&lt;=0,"Enter quantity",IF($E441="","Pick unit",IF(IFERROR(INDEX('Lists'!$C$6:$C$30,MATCH($E441,'Lists'!$B$6:$B$30,0)),"?")&lt;&gt;IFERROR(INDEX('Lists'!$C$6:$C$30,MATCH($G441,'Lists'!$B$6:$B$30,0)),"?"),"Unit mismatch",IF(ISNUMBER(INDEX('Inventory'!$G$7:$G$106,MATCH($C441,'Inventory'!$B$7:$B$106,0))),"OK","Add price in Inventory")))))))))</f>
        <v/>
      </c>
      <c r="I441" s="88">
        <f>IF($H441&lt;&gt;"OK","",$D441*INDEX('Lists'!$D$6:$D$30,MATCH($E441,'Lists'!$B$6:$B$30,0))/INDEX('Lists'!$D$6:$D$30,MATCH($G441,'Lists'!$B$6:$B$30,0)))</f>
        <v/>
      </c>
      <c r="J441" s="71">
        <f>IF($H441&lt;&gt;"OK","",$I441*INDEX('Inventory'!$G$7:$G$106,MATCH($C441,'Inventory'!$B$7:$B$106,0)))</f>
        <v/>
      </c>
    </row>
    <row r="442" ht="17" customHeight="1">
      <c r="B442" s="66" t="n"/>
      <c r="C442" s="60" t="n"/>
      <c r="D442" s="86" t="n"/>
      <c r="E442" s="60" t="n"/>
      <c r="F442" s="60" t="n"/>
      <c r="G442" s="13">
        <f>IF($C442="","",IFERROR(INDEX('Inventory'!$D$7:$D$106,MATCH($C442,'Inventory'!$B$7:$B$106,0))&amp;"","?"))</f>
        <v/>
      </c>
      <c r="H442" s="80">
        <f>IF(AND($B442="",$C442="",$D442=""),"",IF(NOT(ISNUMBER($B442)),"Enter a valid date",IF($C442="","Pick ingredient",IF($G442="?","Not in Inventory",IF($G442="","Set stock unit in Inventory",IF(N($D442)&lt;=0,"Enter quantity",IF($E442="","Pick unit",IF(IFERROR(INDEX('Lists'!$C$6:$C$30,MATCH($E442,'Lists'!$B$6:$B$30,0)),"?")&lt;&gt;IFERROR(INDEX('Lists'!$C$6:$C$30,MATCH($G442,'Lists'!$B$6:$B$30,0)),"?"),"Unit mismatch",IF(ISNUMBER(INDEX('Inventory'!$G$7:$G$106,MATCH($C442,'Inventory'!$B$7:$B$106,0))),"OK","Add price in Inventory")))))))))</f>
        <v/>
      </c>
      <c r="I442" s="88">
        <f>IF($H442&lt;&gt;"OK","",$D442*INDEX('Lists'!$D$6:$D$30,MATCH($E442,'Lists'!$B$6:$B$30,0))/INDEX('Lists'!$D$6:$D$30,MATCH($G442,'Lists'!$B$6:$B$30,0)))</f>
        <v/>
      </c>
      <c r="J442" s="71">
        <f>IF($H442&lt;&gt;"OK","",$I442*INDEX('Inventory'!$G$7:$G$106,MATCH($C442,'Inventory'!$B$7:$B$106,0)))</f>
        <v/>
      </c>
    </row>
    <row r="443" ht="17" customHeight="1">
      <c r="B443" s="66" t="n"/>
      <c r="C443" s="60" t="n"/>
      <c r="D443" s="86" t="n"/>
      <c r="E443" s="60" t="n"/>
      <c r="F443" s="60" t="n"/>
      <c r="G443" s="13">
        <f>IF($C443="","",IFERROR(INDEX('Inventory'!$D$7:$D$106,MATCH($C443,'Inventory'!$B$7:$B$106,0))&amp;"","?"))</f>
        <v/>
      </c>
      <c r="H443" s="80">
        <f>IF(AND($B443="",$C443="",$D443=""),"",IF(NOT(ISNUMBER($B443)),"Enter a valid date",IF($C443="","Pick ingredient",IF($G443="?","Not in Inventory",IF($G443="","Set stock unit in Inventory",IF(N($D443)&lt;=0,"Enter quantity",IF($E443="","Pick unit",IF(IFERROR(INDEX('Lists'!$C$6:$C$30,MATCH($E443,'Lists'!$B$6:$B$30,0)),"?")&lt;&gt;IFERROR(INDEX('Lists'!$C$6:$C$30,MATCH($G443,'Lists'!$B$6:$B$30,0)),"?"),"Unit mismatch",IF(ISNUMBER(INDEX('Inventory'!$G$7:$G$106,MATCH($C443,'Inventory'!$B$7:$B$106,0))),"OK","Add price in Inventory")))))))))</f>
        <v/>
      </c>
      <c r="I443" s="88">
        <f>IF($H443&lt;&gt;"OK","",$D443*INDEX('Lists'!$D$6:$D$30,MATCH($E443,'Lists'!$B$6:$B$30,0))/INDEX('Lists'!$D$6:$D$30,MATCH($G443,'Lists'!$B$6:$B$30,0)))</f>
        <v/>
      </c>
      <c r="J443" s="71">
        <f>IF($H443&lt;&gt;"OK","",$I443*INDEX('Inventory'!$G$7:$G$106,MATCH($C443,'Inventory'!$B$7:$B$106,0)))</f>
        <v/>
      </c>
    </row>
    <row r="444" ht="17" customHeight="1">
      <c r="B444" s="66" t="n"/>
      <c r="C444" s="60" t="n"/>
      <c r="D444" s="86" t="n"/>
      <c r="E444" s="60" t="n"/>
      <c r="F444" s="60" t="n"/>
      <c r="G444" s="13">
        <f>IF($C444="","",IFERROR(INDEX('Inventory'!$D$7:$D$106,MATCH($C444,'Inventory'!$B$7:$B$106,0))&amp;"","?"))</f>
        <v/>
      </c>
      <c r="H444" s="80">
        <f>IF(AND($B444="",$C444="",$D444=""),"",IF(NOT(ISNUMBER($B444)),"Enter a valid date",IF($C444="","Pick ingredient",IF($G444="?","Not in Inventory",IF($G444="","Set stock unit in Inventory",IF(N($D444)&lt;=0,"Enter quantity",IF($E444="","Pick unit",IF(IFERROR(INDEX('Lists'!$C$6:$C$30,MATCH($E444,'Lists'!$B$6:$B$30,0)),"?")&lt;&gt;IFERROR(INDEX('Lists'!$C$6:$C$30,MATCH($G444,'Lists'!$B$6:$B$30,0)),"?"),"Unit mismatch",IF(ISNUMBER(INDEX('Inventory'!$G$7:$G$106,MATCH($C444,'Inventory'!$B$7:$B$106,0))),"OK","Add price in Inventory")))))))))</f>
        <v/>
      </c>
      <c r="I444" s="88">
        <f>IF($H444&lt;&gt;"OK","",$D444*INDEX('Lists'!$D$6:$D$30,MATCH($E444,'Lists'!$B$6:$B$30,0))/INDEX('Lists'!$D$6:$D$30,MATCH($G444,'Lists'!$B$6:$B$30,0)))</f>
        <v/>
      </c>
      <c r="J444" s="71">
        <f>IF($H444&lt;&gt;"OK","",$I444*INDEX('Inventory'!$G$7:$G$106,MATCH($C444,'Inventory'!$B$7:$B$106,0)))</f>
        <v/>
      </c>
    </row>
    <row r="445" ht="17" customHeight="1">
      <c r="B445" s="66" t="n"/>
      <c r="C445" s="60" t="n"/>
      <c r="D445" s="86" t="n"/>
      <c r="E445" s="60" t="n"/>
      <c r="F445" s="60" t="n"/>
      <c r="G445" s="13">
        <f>IF($C445="","",IFERROR(INDEX('Inventory'!$D$7:$D$106,MATCH($C445,'Inventory'!$B$7:$B$106,0))&amp;"","?"))</f>
        <v/>
      </c>
      <c r="H445" s="80">
        <f>IF(AND($B445="",$C445="",$D445=""),"",IF(NOT(ISNUMBER($B445)),"Enter a valid date",IF($C445="","Pick ingredient",IF($G445="?","Not in Inventory",IF($G445="","Set stock unit in Inventory",IF(N($D445)&lt;=0,"Enter quantity",IF($E445="","Pick unit",IF(IFERROR(INDEX('Lists'!$C$6:$C$30,MATCH($E445,'Lists'!$B$6:$B$30,0)),"?")&lt;&gt;IFERROR(INDEX('Lists'!$C$6:$C$30,MATCH($G445,'Lists'!$B$6:$B$30,0)),"?"),"Unit mismatch",IF(ISNUMBER(INDEX('Inventory'!$G$7:$G$106,MATCH($C445,'Inventory'!$B$7:$B$106,0))),"OK","Add price in Inventory")))))))))</f>
        <v/>
      </c>
      <c r="I445" s="88">
        <f>IF($H445&lt;&gt;"OK","",$D445*INDEX('Lists'!$D$6:$D$30,MATCH($E445,'Lists'!$B$6:$B$30,0))/INDEX('Lists'!$D$6:$D$30,MATCH($G445,'Lists'!$B$6:$B$30,0)))</f>
        <v/>
      </c>
      <c r="J445" s="71">
        <f>IF($H445&lt;&gt;"OK","",$I445*INDEX('Inventory'!$G$7:$G$106,MATCH($C445,'Inventory'!$B$7:$B$106,0)))</f>
        <v/>
      </c>
    </row>
    <row r="446" ht="17" customHeight="1">
      <c r="B446" s="66" t="n"/>
      <c r="C446" s="60" t="n"/>
      <c r="D446" s="86" t="n"/>
      <c r="E446" s="60" t="n"/>
      <c r="F446" s="60" t="n"/>
      <c r="G446" s="13">
        <f>IF($C446="","",IFERROR(INDEX('Inventory'!$D$7:$D$106,MATCH($C446,'Inventory'!$B$7:$B$106,0))&amp;"","?"))</f>
        <v/>
      </c>
      <c r="H446" s="80">
        <f>IF(AND($B446="",$C446="",$D446=""),"",IF(NOT(ISNUMBER($B446)),"Enter a valid date",IF($C446="","Pick ingredient",IF($G446="?","Not in Inventory",IF($G446="","Set stock unit in Inventory",IF(N($D446)&lt;=0,"Enter quantity",IF($E446="","Pick unit",IF(IFERROR(INDEX('Lists'!$C$6:$C$30,MATCH($E446,'Lists'!$B$6:$B$30,0)),"?")&lt;&gt;IFERROR(INDEX('Lists'!$C$6:$C$30,MATCH($G446,'Lists'!$B$6:$B$30,0)),"?"),"Unit mismatch",IF(ISNUMBER(INDEX('Inventory'!$G$7:$G$106,MATCH($C446,'Inventory'!$B$7:$B$106,0))),"OK","Add price in Inventory")))))))))</f>
        <v/>
      </c>
      <c r="I446" s="88">
        <f>IF($H446&lt;&gt;"OK","",$D446*INDEX('Lists'!$D$6:$D$30,MATCH($E446,'Lists'!$B$6:$B$30,0))/INDEX('Lists'!$D$6:$D$30,MATCH($G446,'Lists'!$B$6:$B$30,0)))</f>
        <v/>
      </c>
      <c r="J446" s="71">
        <f>IF($H446&lt;&gt;"OK","",$I446*INDEX('Inventory'!$G$7:$G$106,MATCH($C446,'Inventory'!$B$7:$B$106,0)))</f>
        <v/>
      </c>
    </row>
    <row r="447" ht="17" customHeight="1">
      <c r="B447" s="66" t="n"/>
      <c r="C447" s="60" t="n"/>
      <c r="D447" s="86" t="n"/>
      <c r="E447" s="60" t="n"/>
      <c r="F447" s="60" t="n"/>
      <c r="G447" s="13">
        <f>IF($C447="","",IFERROR(INDEX('Inventory'!$D$7:$D$106,MATCH($C447,'Inventory'!$B$7:$B$106,0))&amp;"","?"))</f>
        <v/>
      </c>
      <c r="H447" s="80">
        <f>IF(AND($B447="",$C447="",$D447=""),"",IF(NOT(ISNUMBER($B447)),"Enter a valid date",IF($C447="","Pick ingredient",IF($G447="?","Not in Inventory",IF($G447="","Set stock unit in Inventory",IF(N($D447)&lt;=0,"Enter quantity",IF($E447="","Pick unit",IF(IFERROR(INDEX('Lists'!$C$6:$C$30,MATCH($E447,'Lists'!$B$6:$B$30,0)),"?")&lt;&gt;IFERROR(INDEX('Lists'!$C$6:$C$30,MATCH($G447,'Lists'!$B$6:$B$30,0)),"?"),"Unit mismatch",IF(ISNUMBER(INDEX('Inventory'!$G$7:$G$106,MATCH($C447,'Inventory'!$B$7:$B$106,0))),"OK","Add price in Inventory")))))))))</f>
        <v/>
      </c>
      <c r="I447" s="88">
        <f>IF($H447&lt;&gt;"OK","",$D447*INDEX('Lists'!$D$6:$D$30,MATCH($E447,'Lists'!$B$6:$B$30,0))/INDEX('Lists'!$D$6:$D$30,MATCH($G447,'Lists'!$B$6:$B$30,0)))</f>
        <v/>
      </c>
      <c r="J447" s="71">
        <f>IF($H447&lt;&gt;"OK","",$I447*INDEX('Inventory'!$G$7:$G$106,MATCH($C447,'Inventory'!$B$7:$B$106,0)))</f>
        <v/>
      </c>
    </row>
    <row r="448" ht="17" customHeight="1">
      <c r="B448" s="66" t="n"/>
      <c r="C448" s="60" t="n"/>
      <c r="D448" s="86" t="n"/>
      <c r="E448" s="60" t="n"/>
      <c r="F448" s="60" t="n"/>
      <c r="G448" s="13">
        <f>IF($C448="","",IFERROR(INDEX('Inventory'!$D$7:$D$106,MATCH($C448,'Inventory'!$B$7:$B$106,0))&amp;"","?"))</f>
        <v/>
      </c>
      <c r="H448" s="80">
        <f>IF(AND($B448="",$C448="",$D448=""),"",IF(NOT(ISNUMBER($B448)),"Enter a valid date",IF($C448="","Pick ingredient",IF($G448="?","Not in Inventory",IF($G448="","Set stock unit in Inventory",IF(N($D448)&lt;=0,"Enter quantity",IF($E448="","Pick unit",IF(IFERROR(INDEX('Lists'!$C$6:$C$30,MATCH($E448,'Lists'!$B$6:$B$30,0)),"?")&lt;&gt;IFERROR(INDEX('Lists'!$C$6:$C$30,MATCH($G448,'Lists'!$B$6:$B$30,0)),"?"),"Unit mismatch",IF(ISNUMBER(INDEX('Inventory'!$G$7:$G$106,MATCH($C448,'Inventory'!$B$7:$B$106,0))),"OK","Add price in Inventory")))))))))</f>
        <v/>
      </c>
      <c r="I448" s="88">
        <f>IF($H448&lt;&gt;"OK","",$D448*INDEX('Lists'!$D$6:$D$30,MATCH($E448,'Lists'!$B$6:$B$30,0))/INDEX('Lists'!$D$6:$D$30,MATCH($G448,'Lists'!$B$6:$B$30,0)))</f>
        <v/>
      </c>
      <c r="J448" s="71">
        <f>IF($H448&lt;&gt;"OK","",$I448*INDEX('Inventory'!$G$7:$G$106,MATCH($C448,'Inventory'!$B$7:$B$106,0)))</f>
        <v/>
      </c>
    </row>
    <row r="449" ht="17" customHeight="1">
      <c r="B449" s="66" t="n"/>
      <c r="C449" s="60" t="n"/>
      <c r="D449" s="86" t="n"/>
      <c r="E449" s="60" t="n"/>
      <c r="F449" s="60" t="n"/>
      <c r="G449" s="13">
        <f>IF($C449="","",IFERROR(INDEX('Inventory'!$D$7:$D$106,MATCH($C449,'Inventory'!$B$7:$B$106,0))&amp;"","?"))</f>
        <v/>
      </c>
      <c r="H449" s="80">
        <f>IF(AND($B449="",$C449="",$D449=""),"",IF(NOT(ISNUMBER($B449)),"Enter a valid date",IF($C449="","Pick ingredient",IF($G449="?","Not in Inventory",IF($G449="","Set stock unit in Inventory",IF(N($D449)&lt;=0,"Enter quantity",IF($E449="","Pick unit",IF(IFERROR(INDEX('Lists'!$C$6:$C$30,MATCH($E449,'Lists'!$B$6:$B$30,0)),"?")&lt;&gt;IFERROR(INDEX('Lists'!$C$6:$C$30,MATCH($G449,'Lists'!$B$6:$B$30,0)),"?"),"Unit mismatch",IF(ISNUMBER(INDEX('Inventory'!$G$7:$G$106,MATCH($C449,'Inventory'!$B$7:$B$106,0))),"OK","Add price in Inventory")))))))))</f>
        <v/>
      </c>
      <c r="I449" s="88">
        <f>IF($H449&lt;&gt;"OK","",$D449*INDEX('Lists'!$D$6:$D$30,MATCH($E449,'Lists'!$B$6:$B$30,0))/INDEX('Lists'!$D$6:$D$30,MATCH($G449,'Lists'!$B$6:$B$30,0)))</f>
        <v/>
      </c>
      <c r="J449" s="71">
        <f>IF($H449&lt;&gt;"OK","",$I449*INDEX('Inventory'!$G$7:$G$106,MATCH($C449,'Inventory'!$B$7:$B$106,0)))</f>
        <v/>
      </c>
    </row>
    <row r="450" ht="17" customHeight="1">
      <c r="B450" s="66" t="n"/>
      <c r="C450" s="60" t="n"/>
      <c r="D450" s="86" t="n"/>
      <c r="E450" s="60" t="n"/>
      <c r="F450" s="60" t="n"/>
      <c r="G450" s="13">
        <f>IF($C450="","",IFERROR(INDEX('Inventory'!$D$7:$D$106,MATCH($C450,'Inventory'!$B$7:$B$106,0))&amp;"","?"))</f>
        <v/>
      </c>
      <c r="H450" s="80">
        <f>IF(AND($B450="",$C450="",$D450=""),"",IF(NOT(ISNUMBER($B450)),"Enter a valid date",IF($C450="","Pick ingredient",IF($G450="?","Not in Inventory",IF($G450="","Set stock unit in Inventory",IF(N($D450)&lt;=0,"Enter quantity",IF($E450="","Pick unit",IF(IFERROR(INDEX('Lists'!$C$6:$C$30,MATCH($E450,'Lists'!$B$6:$B$30,0)),"?")&lt;&gt;IFERROR(INDEX('Lists'!$C$6:$C$30,MATCH($G450,'Lists'!$B$6:$B$30,0)),"?"),"Unit mismatch",IF(ISNUMBER(INDEX('Inventory'!$G$7:$G$106,MATCH($C450,'Inventory'!$B$7:$B$106,0))),"OK","Add price in Inventory")))))))))</f>
        <v/>
      </c>
      <c r="I450" s="88">
        <f>IF($H450&lt;&gt;"OK","",$D450*INDEX('Lists'!$D$6:$D$30,MATCH($E450,'Lists'!$B$6:$B$30,0))/INDEX('Lists'!$D$6:$D$30,MATCH($G450,'Lists'!$B$6:$B$30,0)))</f>
        <v/>
      </c>
      <c r="J450" s="71">
        <f>IF($H450&lt;&gt;"OK","",$I450*INDEX('Inventory'!$G$7:$G$106,MATCH($C450,'Inventory'!$B$7:$B$106,0)))</f>
        <v/>
      </c>
    </row>
    <row r="451" ht="17" customHeight="1">
      <c r="B451" s="66" t="n"/>
      <c r="C451" s="60" t="n"/>
      <c r="D451" s="86" t="n"/>
      <c r="E451" s="60" t="n"/>
      <c r="F451" s="60" t="n"/>
      <c r="G451" s="13">
        <f>IF($C451="","",IFERROR(INDEX('Inventory'!$D$7:$D$106,MATCH($C451,'Inventory'!$B$7:$B$106,0))&amp;"","?"))</f>
        <v/>
      </c>
      <c r="H451" s="80">
        <f>IF(AND($B451="",$C451="",$D451=""),"",IF(NOT(ISNUMBER($B451)),"Enter a valid date",IF($C451="","Pick ingredient",IF($G451="?","Not in Inventory",IF($G451="","Set stock unit in Inventory",IF(N($D451)&lt;=0,"Enter quantity",IF($E451="","Pick unit",IF(IFERROR(INDEX('Lists'!$C$6:$C$30,MATCH($E451,'Lists'!$B$6:$B$30,0)),"?")&lt;&gt;IFERROR(INDEX('Lists'!$C$6:$C$30,MATCH($G451,'Lists'!$B$6:$B$30,0)),"?"),"Unit mismatch",IF(ISNUMBER(INDEX('Inventory'!$G$7:$G$106,MATCH($C451,'Inventory'!$B$7:$B$106,0))),"OK","Add price in Inventory")))))))))</f>
        <v/>
      </c>
      <c r="I451" s="88">
        <f>IF($H451&lt;&gt;"OK","",$D451*INDEX('Lists'!$D$6:$D$30,MATCH($E451,'Lists'!$B$6:$B$30,0))/INDEX('Lists'!$D$6:$D$30,MATCH($G451,'Lists'!$B$6:$B$30,0)))</f>
        <v/>
      </c>
      <c r="J451" s="71">
        <f>IF($H451&lt;&gt;"OK","",$I451*INDEX('Inventory'!$G$7:$G$106,MATCH($C451,'Inventory'!$B$7:$B$106,0)))</f>
        <v/>
      </c>
    </row>
    <row r="452" ht="17" customHeight="1">
      <c r="B452" s="66" t="n"/>
      <c r="C452" s="60" t="n"/>
      <c r="D452" s="86" t="n"/>
      <c r="E452" s="60" t="n"/>
      <c r="F452" s="60" t="n"/>
      <c r="G452" s="13">
        <f>IF($C452="","",IFERROR(INDEX('Inventory'!$D$7:$D$106,MATCH($C452,'Inventory'!$B$7:$B$106,0))&amp;"","?"))</f>
        <v/>
      </c>
      <c r="H452" s="80">
        <f>IF(AND($B452="",$C452="",$D452=""),"",IF(NOT(ISNUMBER($B452)),"Enter a valid date",IF($C452="","Pick ingredient",IF($G452="?","Not in Inventory",IF($G452="","Set stock unit in Inventory",IF(N($D452)&lt;=0,"Enter quantity",IF($E452="","Pick unit",IF(IFERROR(INDEX('Lists'!$C$6:$C$30,MATCH($E452,'Lists'!$B$6:$B$30,0)),"?")&lt;&gt;IFERROR(INDEX('Lists'!$C$6:$C$30,MATCH($G452,'Lists'!$B$6:$B$30,0)),"?"),"Unit mismatch",IF(ISNUMBER(INDEX('Inventory'!$G$7:$G$106,MATCH($C452,'Inventory'!$B$7:$B$106,0))),"OK","Add price in Inventory")))))))))</f>
        <v/>
      </c>
      <c r="I452" s="88">
        <f>IF($H452&lt;&gt;"OK","",$D452*INDEX('Lists'!$D$6:$D$30,MATCH($E452,'Lists'!$B$6:$B$30,0))/INDEX('Lists'!$D$6:$D$30,MATCH($G452,'Lists'!$B$6:$B$30,0)))</f>
        <v/>
      </c>
      <c r="J452" s="71">
        <f>IF($H452&lt;&gt;"OK","",$I452*INDEX('Inventory'!$G$7:$G$106,MATCH($C452,'Inventory'!$B$7:$B$106,0)))</f>
        <v/>
      </c>
    </row>
    <row r="453" ht="17" customHeight="1">
      <c r="B453" s="66" t="n"/>
      <c r="C453" s="60" t="n"/>
      <c r="D453" s="86" t="n"/>
      <c r="E453" s="60" t="n"/>
      <c r="F453" s="60" t="n"/>
      <c r="G453" s="13">
        <f>IF($C453="","",IFERROR(INDEX('Inventory'!$D$7:$D$106,MATCH($C453,'Inventory'!$B$7:$B$106,0))&amp;"","?"))</f>
        <v/>
      </c>
      <c r="H453" s="80">
        <f>IF(AND($B453="",$C453="",$D453=""),"",IF(NOT(ISNUMBER($B453)),"Enter a valid date",IF($C453="","Pick ingredient",IF($G453="?","Not in Inventory",IF($G453="","Set stock unit in Inventory",IF(N($D453)&lt;=0,"Enter quantity",IF($E453="","Pick unit",IF(IFERROR(INDEX('Lists'!$C$6:$C$30,MATCH($E453,'Lists'!$B$6:$B$30,0)),"?")&lt;&gt;IFERROR(INDEX('Lists'!$C$6:$C$30,MATCH($G453,'Lists'!$B$6:$B$30,0)),"?"),"Unit mismatch",IF(ISNUMBER(INDEX('Inventory'!$G$7:$G$106,MATCH($C453,'Inventory'!$B$7:$B$106,0))),"OK","Add price in Inventory")))))))))</f>
        <v/>
      </c>
      <c r="I453" s="88">
        <f>IF($H453&lt;&gt;"OK","",$D453*INDEX('Lists'!$D$6:$D$30,MATCH($E453,'Lists'!$B$6:$B$30,0))/INDEX('Lists'!$D$6:$D$30,MATCH($G453,'Lists'!$B$6:$B$30,0)))</f>
        <v/>
      </c>
      <c r="J453" s="71">
        <f>IF($H453&lt;&gt;"OK","",$I453*INDEX('Inventory'!$G$7:$G$106,MATCH($C453,'Inventory'!$B$7:$B$106,0)))</f>
        <v/>
      </c>
    </row>
    <row r="454" ht="17" customHeight="1">
      <c r="B454" s="66" t="n"/>
      <c r="C454" s="60" t="n"/>
      <c r="D454" s="86" t="n"/>
      <c r="E454" s="60" t="n"/>
      <c r="F454" s="60" t="n"/>
      <c r="G454" s="13">
        <f>IF($C454="","",IFERROR(INDEX('Inventory'!$D$7:$D$106,MATCH($C454,'Inventory'!$B$7:$B$106,0))&amp;"","?"))</f>
        <v/>
      </c>
      <c r="H454" s="80">
        <f>IF(AND($B454="",$C454="",$D454=""),"",IF(NOT(ISNUMBER($B454)),"Enter a valid date",IF($C454="","Pick ingredient",IF($G454="?","Not in Inventory",IF($G454="","Set stock unit in Inventory",IF(N($D454)&lt;=0,"Enter quantity",IF($E454="","Pick unit",IF(IFERROR(INDEX('Lists'!$C$6:$C$30,MATCH($E454,'Lists'!$B$6:$B$30,0)),"?")&lt;&gt;IFERROR(INDEX('Lists'!$C$6:$C$30,MATCH($G454,'Lists'!$B$6:$B$30,0)),"?"),"Unit mismatch",IF(ISNUMBER(INDEX('Inventory'!$G$7:$G$106,MATCH($C454,'Inventory'!$B$7:$B$106,0))),"OK","Add price in Inventory")))))))))</f>
        <v/>
      </c>
      <c r="I454" s="88">
        <f>IF($H454&lt;&gt;"OK","",$D454*INDEX('Lists'!$D$6:$D$30,MATCH($E454,'Lists'!$B$6:$B$30,0))/INDEX('Lists'!$D$6:$D$30,MATCH($G454,'Lists'!$B$6:$B$30,0)))</f>
        <v/>
      </c>
      <c r="J454" s="71">
        <f>IF($H454&lt;&gt;"OK","",$I454*INDEX('Inventory'!$G$7:$G$106,MATCH($C454,'Inventory'!$B$7:$B$106,0)))</f>
        <v/>
      </c>
    </row>
    <row r="455" ht="17" customHeight="1">
      <c r="B455" s="66" t="n"/>
      <c r="C455" s="60" t="n"/>
      <c r="D455" s="86" t="n"/>
      <c r="E455" s="60" t="n"/>
      <c r="F455" s="60" t="n"/>
      <c r="G455" s="13">
        <f>IF($C455="","",IFERROR(INDEX('Inventory'!$D$7:$D$106,MATCH($C455,'Inventory'!$B$7:$B$106,0))&amp;"","?"))</f>
        <v/>
      </c>
      <c r="H455" s="80">
        <f>IF(AND($B455="",$C455="",$D455=""),"",IF(NOT(ISNUMBER($B455)),"Enter a valid date",IF($C455="","Pick ingredient",IF($G455="?","Not in Inventory",IF($G455="","Set stock unit in Inventory",IF(N($D455)&lt;=0,"Enter quantity",IF($E455="","Pick unit",IF(IFERROR(INDEX('Lists'!$C$6:$C$30,MATCH($E455,'Lists'!$B$6:$B$30,0)),"?")&lt;&gt;IFERROR(INDEX('Lists'!$C$6:$C$30,MATCH($G455,'Lists'!$B$6:$B$30,0)),"?"),"Unit mismatch",IF(ISNUMBER(INDEX('Inventory'!$G$7:$G$106,MATCH($C455,'Inventory'!$B$7:$B$106,0))),"OK","Add price in Inventory")))))))))</f>
        <v/>
      </c>
      <c r="I455" s="88">
        <f>IF($H455&lt;&gt;"OK","",$D455*INDEX('Lists'!$D$6:$D$30,MATCH($E455,'Lists'!$B$6:$B$30,0))/INDEX('Lists'!$D$6:$D$30,MATCH($G455,'Lists'!$B$6:$B$30,0)))</f>
        <v/>
      </c>
      <c r="J455" s="71">
        <f>IF($H455&lt;&gt;"OK","",$I455*INDEX('Inventory'!$G$7:$G$106,MATCH($C455,'Inventory'!$B$7:$B$106,0)))</f>
        <v/>
      </c>
    </row>
    <row r="456" ht="17" customHeight="1">
      <c r="B456" s="66" t="n"/>
      <c r="C456" s="60" t="n"/>
      <c r="D456" s="86" t="n"/>
      <c r="E456" s="60" t="n"/>
      <c r="F456" s="60" t="n"/>
      <c r="G456" s="13">
        <f>IF($C456="","",IFERROR(INDEX('Inventory'!$D$7:$D$106,MATCH($C456,'Inventory'!$B$7:$B$106,0))&amp;"","?"))</f>
        <v/>
      </c>
      <c r="H456" s="80">
        <f>IF(AND($B456="",$C456="",$D456=""),"",IF(NOT(ISNUMBER($B456)),"Enter a valid date",IF($C456="","Pick ingredient",IF($G456="?","Not in Inventory",IF($G456="","Set stock unit in Inventory",IF(N($D456)&lt;=0,"Enter quantity",IF($E456="","Pick unit",IF(IFERROR(INDEX('Lists'!$C$6:$C$30,MATCH($E456,'Lists'!$B$6:$B$30,0)),"?")&lt;&gt;IFERROR(INDEX('Lists'!$C$6:$C$30,MATCH($G456,'Lists'!$B$6:$B$30,0)),"?"),"Unit mismatch",IF(ISNUMBER(INDEX('Inventory'!$G$7:$G$106,MATCH($C456,'Inventory'!$B$7:$B$106,0))),"OK","Add price in Inventory")))))))))</f>
        <v/>
      </c>
      <c r="I456" s="88">
        <f>IF($H456&lt;&gt;"OK","",$D456*INDEX('Lists'!$D$6:$D$30,MATCH($E456,'Lists'!$B$6:$B$30,0))/INDEX('Lists'!$D$6:$D$30,MATCH($G456,'Lists'!$B$6:$B$30,0)))</f>
        <v/>
      </c>
      <c r="J456" s="71">
        <f>IF($H456&lt;&gt;"OK","",$I456*INDEX('Inventory'!$G$7:$G$106,MATCH($C456,'Inventory'!$B$7:$B$106,0)))</f>
        <v/>
      </c>
    </row>
    <row r="457" ht="17" customHeight="1">
      <c r="B457" s="66" t="n"/>
      <c r="C457" s="60" t="n"/>
      <c r="D457" s="86" t="n"/>
      <c r="E457" s="60" t="n"/>
      <c r="F457" s="60" t="n"/>
      <c r="G457" s="13">
        <f>IF($C457="","",IFERROR(INDEX('Inventory'!$D$7:$D$106,MATCH($C457,'Inventory'!$B$7:$B$106,0))&amp;"","?"))</f>
        <v/>
      </c>
      <c r="H457" s="80">
        <f>IF(AND($B457="",$C457="",$D457=""),"",IF(NOT(ISNUMBER($B457)),"Enter a valid date",IF($C457="","Pick ingredient",IF($G457="?","Not in Inventory",IF($G457="","Set stock unit in Inventory",IF(N($D457)&lt;=0,"Enter quantity",IF($E457="","Pick unit",IF(IFERROR(INDEX('Lists'!$C$6:$C$30,MATCH($E457,'Lists'!$B$6:$B$30,0)),"?")&lt;&gt;IFERROR(INDEX('Lists'!$C$6:$C$30,MATCH($G457,'Lists'!$B$6:$B$30,0)),"?"),"Unit mismatch",IF(ISNUMBER(INDEX('Inventory'!$G$7:$G$106,MATCH($C457,'Inventory'!$B$7:$B$106,0))),"OK","Add price in Inventory")))))))))</f>
        <v/>
      </c>
      <c r="I457" s="88">
        <f>IF($H457&lt;&gt;"OK","",$D457*INDEX('Lists'!$D$6:$D$30,MATCH($E457,'Lists'!$B$6:$B$30,0))/INDEX('Lists'!$D$6:$D$30,MATCH($G457,'Lists'!$B$6:$B$30,0)))</f>
        <v/>
      </c>
      <c r="J457" s="71">
        <f>IF($H457&lt;&gt;"OK","",$I457*INDEX('Inventory'!$G$7:$G$106,MATCH($C457,'Inventory'!$B$7:$B$106,0)))</f>
        <v/>
      </c>
    </row>
    <row r="458" ht="17" customHeight="1">
      <c r="B458" s="66" t="n"/>
      <c r="C458" s="60" t="n"/>
      <c r="D458" s="86" t="n"/>
      <c r="E458" s="60" t="n"/>
      <c r="F458" s="60" t="n"/>
      <c r="G458" s="13">
        <f>IF($C458="","",IFERROR(INDEX('Inventory'!$D$7:$D$106,MATCH($C458,'Inventory'!$B$7:$B$106,0))&amp;"","?"))</f>
        <v/>
      </c>
      <c r="H458" s="80">
        <f>IF(AND($B458="",$C458="",$D458=""),"",IF(NOT(ISNUMBER($B458)),"Enter a valid date",IF($C458="","Pick ingredient",IF($G458="?","Not in Inventory",IF($G458="","Set stock unit in Inventory",IF(N($D458)&lt;=0,"Enter quantity",IF($E458="","Pick unit",IF(IFERROR(INDEX('Lists'!$C$6:$C$30,MATCH($E458,'Lists'!$B$6:$B$30,0)),"?")&lt;&gt;IFERROR(INDEX('Lists'!$C$6:$C$30,MATCH($G458,'Lists'!$B$6:$B$30,0)),"?"),"Unit mismatch",IF(ISNUMBER(INDEX('Inventory'!$G$7:$G$106,MATCH($C458,'Inventory'!$B$7:$B$106,0))),"OK","Add price in Inventory")))))))))</f>
        <v/>
      </c>
      <c r="I458" s="88">
        <f>IF($H458&lt;&gt;"OK","",$D458*INDEX('Lists'!$D$6:$D$30,MATCH($E458,'Lists'!$B$6:$B$30,0))/INDEX('Lists'!$D$6:$D$30,MATCH($G458,'Lists'!$B$6:$B$30,0)))</f>
        <v/>
      </c>
      <c r="J458" s="71">
        <f>IF($H458&lt;&gt;"OK","",$I458*INDEX('Inventory'!$G$7:$G$106,MATCH($C458,'Inventory'!$B$7:$B$106,0)))</f>
        <v/>
      </c>
    </row>
    <row r="459" ht="17" customHeight="1">
      <c r="B459" s="66" t="n"/>
      <c r="C459" s="60" t="n"/>
      <c r="D459" s="86" t="n"/>
      <c r="E459" s="60" t="n"/>
      <c r="F459" s="60" t="n"/>
      <c r="G459" s="13">
        <f>IF($C459="","",IFERROR(INDEX('Inventory'!$D$7:$D$106,MATCH($C459,'Inventory'!$B$7:$B$106,0))&amp;"","?"))</f>
        <v/>
      </c>
      <c r="H459" s="80">
        <f>IF(AND($B459="",$C459="",$D459=""),"",IF(NOT(ISNUMBER($B459)),"Enter a valid date",IF($C459="","Pick ingredient",IF($G459="?","Not in Inventory",IF($G459="","Set stock unit in Inventory",IF(N($D459)&lt;=0,"Enter quantity",IF($E459="","Pick unit",IF(IFERROR(INDEX('Lists'!$C$6:$C$30,MATCH($E459,'Lists'!$B$6:$B$30,0)),"?")&lt;&gt;IFERROR(INDEX('Lists'!$C$6:$C$30,MATCH($G459,'Lists'!$B$6:$B$30,0)),"?"),"Unit mismatch",IF(ISNUMBER(INDEX('Inventory'!$G$7:$G$106,MATCH($C459,'Inventory'!$B$7:$B$106,0))),"OK","Add price in Inventory")))))))))</f>
        <v/>
      </c>
      <c r="I459" s="88">
        <f>IF($H459&lt;&gt;"OK","",$D459*INDEX('Lists'!$D$6:$D$30,MATCH($E459,'Lists'!$B$6:$B$30,0))/INDEX('Lists'!$D$6:$D$30,MATCH($G459,'Lists'!$B$6:$B$30,0)))</f>
        <v/>
      </c>
      <c r="J459" s="71">
        <f>IF($H459&lt;&gt;"OK","",$I459*INDEX('Inventory'!$G$7:$G$106,MATCH($C459,'Inventory'!$B$7:$B$106,0)))</f>
        <v/>
      </c>
    </row>
    <row r="460" ht="17" customHeight="1">
      <c r="B460" s="66" t="n"/>
      <c r="C460" s="60" t="n"/>
      <c r="D460" s="86" t="n"/>
      <c r="E460" s="60" t="n"/>
      <c r="F460" s="60" t="n"/>
      <c r="G460" s="13">
        <f>IF($C460="","",IFERROR(INDEX('Inventory'!$D$7:$D$106,MATCH($C460,'Inventory'!$B$7:$B$106,0))&amp;"","?"))</f>
        <v/>
      </c>
      <c r="H460" s="80">
        <f>IF(AND($B460="",$C460="",$D460=""),"",IF(NOT(ISNUMBER($B460)),"Enter a valid date",IF($C460="","Pick ingredient",IF($G460="?","Not in Inventory",IF($G460="","Set stock unit in Inventory",IF(N($D460)&lt;=0,"Enter quantity",IF($E460="","Pick unit",IF(IFERROR(INDEX('Lists'!$C$6:$C$30,MATCH($E460,'Lists'!$B$6:$B$30,0)),"?")&lt;&gt;IFERROR(INDEX('Lists'!$C$6:$C$30,MATCH($G460,'Lists'!$B$6:$B$30,0)),"?"),"Unit mismatch",IF(ISNUMBER(INDEX('Inventory'!$G$7:$G$106,MATCH($C460,'Inventory'!$B$7:$B$106,0))),"OK","Add price in Inventory")))))))))</f>
        <v/>
      </c>
      <c r="I460" s="88">
        <f>IF($H460&lt;&gt;"OK","",$D460*INDEX('Lists'!$D$6:$D$30,MATCH($E460,'Lists'!$B$6:$B$30,0))/INDEX('Lists'!$D$6:$D$30,MATCH($G460,'Lists'!$B$6:$B$30,0)))</f>
        <v/>
      </c>
      <c r="J460" s="71">
        <f>IF($H460&lt;&gt;"OK","",$I460*INDEX('Inventory'!$G$7:$G$106,MATCH($C460,'Inventory'!$B$7:$B$106,0)))</f>
        <v/>
      </c>
    </row>
    <row r="461" ht="17" customHeight="1">
      <c r="B461" s="66" t="n"/>
      <c r="C461" s="60" t="n"/>
      <c r="D461" s="86" t="n"/>
      <c r="E461" s="60" t="n"/>
      <c r="F461" s="60" t="n"/>
      <c r="G461" s="13">
        <f>IF($C461="","",IFERROR(INDEX('Inventory'!$D$7:$D$106,MATCH($C461,'Inventory'!$B$7:$B$106,0))&amp;"","?"))</f>
        <v/>
      </c>
      <c r="H461" s="80">
        <f>IF(AND($B461="",$C461="",$D461=""),"",IF(NOT(ISNUMBER($B461)),"Enter a valid date",IF($C461="","Pick ingredient",IF($G461="?","Not in Inventory",IF($G461="","Set stock unit in Inventory",IF(N($D461)&lt;=0,"Enter quantity",IF($E461="","Pick unit",IF(IFERROR(INDEX('Lists'!$C$6:$C$30,MATCH($E461,'Lists'!$B$6:$B$30,0)),"?")&lt;&gt;IFERROR(INDEX('Lists'!$C$6:$C$30,MATCH($G461,'Lists'!$B$6:$B$30,0)),"?"),"Unit mismatch",IF(ISNUMBER(INDEX('Inventory'!$G$7:$G$106,MATCH($C461,'Inventory'!$B$7:$B$106,0))),"OK","Add price in Inventory")))))))))</f>
        <v/>
      </c>
      <c r="I461" s="88">
        <f>IF($H461&lt;&gt;"OK","",$D461*INDEX('Lists'!$D$6:$D$30,MATCH($E461,'Lists'!$B$6:$B$30,0))/INDEX('Lists'!$D$6:$D$30,MATCH($G461,'Lists'!$B$6:$B$30,0)))</f>
        <v/>
      </c>
      <c r="J461" s="71">
        <f>IF($H461&lt;&gt;"OK","",$I461*INDEX('Inventory'!$G$7:$G$106,MATCH($C461,'Inventory'!$B$7:$B$106,0)))</f>
        <v/>
      </c>
    </row>
    <row r="462" ht="17" customHeight="1">
      <c r="B462" s="66" t="n"/>
      <c r="C462" s="60" t="n"/>
      <c r="D462" s="86" t="n"/>
      <c r="E462" s="60" t="n"/>
      <c r="F462" s="60" t="n"/>
      <c r="G462" s="13">
        <f>IF($C462="","",IFERROR(INDEX('Inventory'!$D$7:$D$106,MATCH($C462,'Inventory'!$B$7:$B$106,0))&amp;"","?"))</f>
        <v/>
      </c>
      <c r="H462" s="80">
        <f>IF(AND($B462="",$C462="",$D462=""),"",IF(NOT(ISNUMBER($B462)),"Enter a valid date",IF($C462="","Pick ingredient",IF($G462="?","Not in Inventory",IF($G462="","Set stock unit in Inventory",IF(N($D462)&lt;=0,"Enter quantity",IF($E462="","Pick unit",IF(IFERROR(INDEX('Lists'!$C$6:$C$30,MATCH($E462,'Lists'!$B$6:$B$30,0)),"?")&lt;&gt;IFERROR(INDEX('Lists'!$C$6:$C$30,MATCH($G462,'Lists'!$B$6:$B$30,0)),"?"),"Unit mismatch",IF(ISNUMBER(INDEX('Inventory'!$G$7:$G$106,MATCH($C462,'Inventory'!$B$7:$B$106,0))),"OK","Add price in Inventory")))))))))</f>
        <v/>
      </c>
      <c r="I462" s="88">
        <f>IF($H462&lt;&gt;"OK","",$D462*INDEX('Lists'!$D$6:$D$30,MATCH($E462,'Lists'!$B$6:$B$30,0))/INDEX('Lists'!$D$6:$D$30,MATCH($G462,'Lists'!$B$6:$B$30,0)))</f>
        <v/>
      </c>
      <c r="J462" s="71">
        <f>IF($H462&lt;&gt;"OK","",$I462*INDEX('Inventory'!$G$7:$G$106,MATCH($C462,'Inventory'!$B$7:$B$106,0)))</f>
        <v/>
      </c>
    </row>
    <row r="463" ht="17" customHeight="1">
      <c r="B463" s="66" t="n"/>
      <c r="C463" s="60" t="n"/>
      <c r="D463" s="86" t="n"/>
      <c r="E463" s="60" t="n"/>
      <c r="F463" s="60" t="n"/>
      <c r="G463" s="13">
        <f>IF($C463="","",IFERROR(INDEX('Inventory'!$D$7:$D$106,MATCH($C463,'Inventory'!$B$7:$B$106,0))&amp;"","?"))</f>
        <v/>
      </c>
      <c r="H463" s="80">
        <f>IF(AND($B463="",$C463="",$D463=""),"",IF(NOT(ISNUMBER($B463)),"Enter a valid date",IF($C463="","Pick ingredient",IF($G463="?","Not in Inventory",IF($G463="","Set stock unit in Inventory",IF(N($D463)&lt;=0,"Enter quantity",IF($E463="","Pick unit",IF(IFERROR(INDEX('Lists'!$C$6:$C$30,MATCH($E463,'Lists'!$B$6:$B$30,0)),"?")&lt;&gt;IFERROR(INDEX('Lists'!$C$6:$C$30,MATCH($G463,'Lists'!$B$6:$B$30,0)),"?"),"Unit mismatch",IF(ISNUMBER(INDEX('Inventory'!$G$7:$G$106,MATCH($C463,'Inventory'!$B$7:$B$106,0))),"OK","Add price in Inventory")))))))))</f>
        <v/>
      </c>
      <c r="I463" s="88">
        <f>IF($H463&lt;&gt;"OK","",$D463*INDEX('Lists'!$D$6:$D$30,MATCH($E463,'Lists'!$B$6:$B$30,0))/INDEX('Lists'!$D$6:$D$30,MATCH($G463,'Lists'!$B$6:$B$30,0)))</f>
        <v/>
      </c>
      <c r="J463" s="71">
        <f>IF($H463&lt;&gt;"OK","",$I463*INDEX('Inventory'!$G$7:$G$106,MATCH($C463,'Inventory'!$B$7:$B$106,0)))</f>
        <v/>
      </c>
    </row>
    <row r="464" ht="17" customHeight="1">
      <c r="B464" s="66" t="n"/>
      <c r="C464" s="60" t="n"/>
      <c r="D464" s="86" t="n"/>
      <c r="E464" s="60" t="n"/>
      <c r="F464" s="60" t="n"/>
      <c r="G464" s="13">
        <f>IF($C464="","",IFERROR(INDEX('Inventory'!$D$7:$D$106,MATCH($C464,'Inventory'!$B$7:$B$106,0))&amp;"","?"))</f>
        <v/>
      </c>
      <c r="H464" s="80">
        <f>IF(AND($B464="",$C464="",$D464=""),"",IF(NOT(ISNUMBER($B464)),"Enter a valid date",IF($C464="","Pick ingredient",IF($G464="?","Not in Inventory",IF($G464="","Set stock unit in Inventory",IF(N($D464)&lt;=0,"Enter quantity",IF($E464="","Pick unit",IF(IFERROR(INDEX('Lists'!$C$6:$C$30,MATCH($E464,'Lists'!$B$6:$B$30,0)),"?")&lt;&gt;IFERROR(INDEX('Lists'!$C$6:$C$30,MATCH($G464,'Lists'!$B$6:$B$30,0)),"?"),"Unit mismatch",IF(ISNUMBER(INDEX('Inventory'!$G$7:$G$106,MATCH($C464,'Inventory'!$B$7:$B$106,0))),"OK","Add price in Inventory")))))))))</f>
        <v/>
      </c>
      <c r="I464" s="88">
        <f>IF($H464&lt;&gt;"OK","",$D464*INDEX('Lists'!$D$6:$D$30,MATCH($E464,'Lists'!$B$6:$B$30,0))/INDEX('Lists'!$D$6:$D$30,MATCH($G464,'Lists'!$B$6:$B$30,0)))</f>
        <v/>
      </c>
      <c r="J464" s="71">
        <f>IF($H464&lt;&gt;"OK","",$I464*INDEX('Inventory'!$G$7:$G$106,MATCH($C464,'Inventory'!$B$7:$B$106,0)))</f>
        <v/>
      </c>
    </row>
    <row r="465" ht="17" customHeight="1">
      <c r="B465" s="66" t="n"/>
      <c r="C465" s="60" t="n"/>
      <c r="D465" s="86" t="n"/>
      <c r="E465" s="60" t="n"/>
      <c r="F465" s="60" t="n"/>
      <c r="G465" s="13">
        <f>IF($C465="","",IFERROR(INDEX('Inventory'!$D$7:$D$106,MATCH($C465,'Inventory'!$B$7:$B$106,0))&amp;"","?"))</f>
        <v/>
      </c>
      <c r="H465" s="80">
        <f>IF(AND($B465="",$C465="",$D465=""),"",IF(NOT(ISNUMBER($B465)),"Enter a valid date",IF($C465="","Pick ingredient",IF($G465="?","Not in Inventory",IF($G465="","Set stock unit in Inventory",IF(N($D465)&lt;=0,"Enter quantity",IF($E465="","Pick unit",IF(IFERROR(INDEX('Lists'!$C$6:$C$30,MATCH($E465,'Lists'!$B$6:$B$30,0)),"?")&lt;&gt;IFERROR(INDEX('Lists'!$C$6:$C$30,MATCH($G465,'Lists'!$B$6:$B$30,0)),"?"),"Unit mismatch",IF(ISNUMBER(INDEX('Inventory'!$G$7:$G$106,MATCH($C465,'Inventory'!$B$7:$B$106,0))),"OK","Add price in Inventory")))))))))</f>
        <v/>
      </c>
      <c r="I465" s="88">
        <f>IF($H465&lt;&gt;"OK","",$D465*INDEX('Lists'!$D$6:$D$30,MATCH($E465,'Lists'!$B$6:$B$30,0))/INDEX('Lists'!$D$6:$D$30,MATCH($G465,'Lists'!$B$6:$B$30,0)))</f>
        <v/>
      </c>
      <c r="J465" s="71">
        <f>IF($H465&lt;&gt;"OK","",$I465*INDEX('Inventory'!$G$7:$G$106,MATCH($C465,'Inventory'!$B$7:$B$106,0)))</f>
        <v/>
      </c>
    </row>
    <row r="466" ht="17" customHeight="1">
      <c r="B466" s="66" t="n"/>
      <c r="C466" s="60" t="n"/>
      <c r="D466" s="86" t="n"/>
      <c r="E466" s="60" t="n"/>
      <c r="F466" s="60" t="n"/>
      <c r="G466" s="13">
        <f>IF($C466="","",IFERROR(INDEX('Inventory'!$D$7:$D$106,MATCH($C466,'Inventory'!$B$7:$B$106,0))&amp;"","?"))</f>
        <v/>
      </c>
      <c r="H466" s="80">
        <f>IF(AND($B466="",$C466="",$D466=""),"",IF(NOT(ISNUMBER($B466)),"Enter a valid date",IF($C466="","Pick ingredient",IF($G466="?","Not in Inventory",IF($G466="","Set stock unit in Inventory",IF(N($D466)&lt;=0,"Enter quantity",IF($E466="","Pick unit",IF(IFERROR(INDEX('Lists'!$C$6:$C$30,MATCH($E466,'Lists'!$B$6:$B$30,0)),"?")&lt;&gt;IFERROR(INDEX('Lists'!$C$6:$C$30,MATCH($G466,'Lists'!$B$6:$B$30,0)),"?"),"Unit mismatch",IF(ISNUMBER(INDEX('Inventory'!$G$7:$G$106,MATCH($C466,'Inventory'!$B$7:$B$106,0))),"OK","Add price in Inventory")))))))))</f>
        <v/>
      </c>
      <c r="I466" s="88">
        <f>IF($H466&lt;&gt;"OK","",$D466*INDEX('Lists'!$D$6:$D$30,MATCH($E466,'Lists'!$B$6:$B$30,0))/INDEX('Lists'!$D$6:$D$30,MATCH($G466,'Lists'!$B$6:$B$30,0)))</f>
        <v/>
      </c>
      <c r="J466" s="71">
        <f>IF($H466&lt;&gt;"OK","",$I466*INDEX('Inventory'!$G$7:$G$106,MATCH($C466,'Inventory'!$B$7:$B$106,0)))</f>
        <v/>
      </c>
    </row>
    <row r="467" ht="17" customHeight="1">
      <c r="B467" s="66" t="n"/>
      <c r="C467" s="60" t="n"/>
      <c r="D467" s="86" t="n"/>
      <c r="E467" s="60" t="n"/>
      <c r="F467" s="60" t="n"/>
      <c r="G467" s="13">
        <f>IF($C467="","",IFERROR(INDEX('Inventory'!$D$7:$D$106,MATCH($C467,'Inventory'!$B$7:$B$106,0))&amp;"","?"))</f>
        <v/>
      </c>
      <c r="H467" s="80">
        <f>IF(AND($B467="",$C467="",$D467=""),"",IF(NOT(ISNUMBER($B467)),"Enter a valid date",IF($C467="","Pick ingredient",IF($G467="?","Not in Inventory",IF($G467="","Set stock unit in Inventory",IF(N($D467)&lt;=0,"Enter quantity",IF($E467="","Pick unit",IF(IFERROR(INDEX('Lists'!$C$6:$C$30,MATCH($E467,'Lists'!$B$6:$B$30,0)),"?")&lt;&gt;IFERROR(INDEX('Lists'!$C$6:$C$30,MATCH($G467,'Lists'!$B$6:$B$30,0)),"?"),"Unit mismatch",IF(ISNUMBER(INDEX('Inventory'!$G$7:$G$106,MATCH($C467,'Inventory'!$B$7:$B$106,0))),"OK","Add price in Inventory")))))))))</f>
        <v/>
      </c>
      <c r="I467" s="88">
        <f>IF($H467&lt;&gt;"OK","",$D467*INDEX('Lists'!$D$6:$D$30,MATCH($E467,'Lists'!$B$6:$B$30,0))/INDEX('Lists'!$D$6:$D$30,MATCH($G467,'Lists'!$B$6:$B$30,0)))</f>
        <v/>
      </c>
      <c r="J467" s="71">
        <f>IF($H467&lt;&gt;"OK","",$I467*INDEX('Inventory'!$G$7:$G$106,MATCH($C467,'Inventory'!$B$7:$B$106,0)))</f>
        <v/>
      </c>
    </row>
    <row r="468" ht="17" customHeight="1">
      <c r="B468" s="66" t="n"/>
      <c r="C468" s="60" t="n"/>
      <c r="D468" s="86" t="n"/>
      <c r="E468" s="60" t="n"/>
      <c r="F468" s="60" t="n"/>
      <c r="G468" s="13">
        <f>IF($C468="","",IFERROR(INDEX('Inventory'!$D$7:$D$106,MATCH($C468,'Inventory'!$B$7:$B$106,0))&amp;"","?"))</f>
        <v/>
      </c>
      <c r="H468" s="80">
        <f>IF(AND($B468="",$C468="",$D468=""),"",IF(NOT(ISNUMBER($B468)),"Enter a valid date",IF($C468="","Pick ingredient",IF($G468="?","Not in Inventory",IF($G468="","Set stock unit in Inventory",IF(N($D468)&lt;=0,"Enter quantity",IF($E468="","Pick unit",IF(IFERROR(INDEX('Lists'!$C$6:$C$30,MATCH($E468,'Lists'!$B$6:$B$30,0)),"?")&lt;&gt;IFERROR(INDEX('Lists'!$C$6:$C$30,MATCH($G468,'Lists'!$B$6:$B$30,0)),"?"),"Unit mismatch",IF(ISNUMBER(INDEX('Inventory'!$G$7:$G$106,MATCH($C468,'Inventory'!$B$7:$B$106,0))),"OK","Add price in Inventory")))))))))</f>
        <v/>
      </c>
      <c r="I468" s="88">
        <f>IF($H468&lt;&gt;"OK","",$D468*INDEX('Lists'!$D$6:$D$30,MATCH($E468,'Lists'!$B$6:$B$30,0))/INDEX('Lists'!$D$6:$D$30,MATCH($G468,'Lists'!$B$6:$B$30,0)))</f>
        <v/>
      </c>
      <c r="J468" s="71">
        <f>IF($H468&lt;&gt;"OK","",$I468*INDEX('Inventory'!$G$7:$G$106,MATCH($C468,'Inventory'!$B$7:$B$106,0)))</f>
        <v/>
      </c>
    </row>
    <row r="469" ht="17" customHeight="1">
      <c r="B469" s="66" t="n"/>
      <c r="C469" s="60" t="n"/>
      <c r="D469" s="86" t="n"/>
      <c r="E469" s="60" t="n"/>
      <c r="F469" s="60" t="n"/>
      <c r="G469" s="13">
        <f>IF($C469="","",IFERROR(INDEX('Inventory'!$D$7:$D$106,MATCH($C469,'Inventory'!$B$7:$B$106,0))&amp;"","?"))</f>
        <v/>
      </c>
      <c r="H469" s="80">
        <f>IF(AND($B469="",$C469="",$D469=""),"",IF(NOT(ISNUMBER($B469)),"Enter a valid date",IF($C469="","Pick ingredient",IF($G469="?","Not in Inventory",IF($G469="","Set stock unit in Inventory",IF(N($D469)&lt;=0,"Enter quantity",IF($E469="","Pick unit",IF(IFERROR(INDEX('Lists'!$C$6:$C$30,MATCH($E469,'Lists'!$B$6:$B$30,0)),"?")&lt;&gt;IFERROR(INDEX('Lists'!$C$6:$C$30,MATCH($G469,'Lists'!$B$6:$B$30,0)),"?"),"Unit mismatch",IF(ISNUMBER(INDEX('Inventory'!$G$7:$G$106,MATCH($C469,'Inventory'!$B$7:$B$106,0))),"OK","Add price in Inventory")))))))))</f>
        <v/>
      </c>
      <c r="I469" s="88">
        <f>IF($H469&lt;&gt;"OK","",$D469*INDEX('Lists'!$D$6:$D$30,MATCH($E469,'Lists'!$B$6:$B$30,0))/INDEX('Lists'!$D$6:$D$30,MATCH($G469,'Lists'!$B$6:$B$30,0)))</f>
        <v/>
      </c>
      <c r="J469" s="71">
        <f>IF($H469&lt;&gt;"OK","",$I469*INDEX('Inventory'!$G$7:$G$106,MATCH($C469,'Inventory'!$B$7:$B$106,0)))</f>
        <v/>
      </c>
    </row>
    <row r="470" ht="17" customHeight="1">
      <c r="B470" s="66" t="n"/>
      <c r="C470" s="60" t="n"/>
      <c r="D470" s="86" t="n"/>
      <c r="E470" s="60" t="n"/>
      <c r="F470" s="60" t="n"/>
      <c r="G470" s="13">
        <f>IF($C470="","",IFERROR(INDEX('Inventory'!$D$7:$D$106,MATCH($C470,'Inventory'!$B$7:$B$106,0))&amp;"","?"))</f>
        <v/>
      </c>
      <c r="H470" s="80">
        <f>IF(AND($B470="",$C470="",$D470=""),"",IF(NOT(ISNUMBER($B470)),"Enter a valid date",IF($C470="","Pick ingredient",IF($G470="?","Not in Inventory",IF($G470="","Set stock unit in Inventory",IF(N($D470)&lt;=0,"Enter quantity",IF($E470="","Pick unit",IF(IFERROR(INDEX('Lists'!$C$6:$C$30,MATCH($E470,'Lists'!$B$6:$B$30,0)),"?")&lt;&gt;IFERROR(INDEX('Lists'!$C$6:$C$30,MATCH($G470,'Lists'!$B$6:$B$30,0)),"?"),"Unit mismatch",IF(ISNUMBER(INDEX('Inventory'!$G$7:$G$106,MATCH($C470,'Inventory'!$B$7:$B$106,0))),"OK","Add price in Inventory")))))))))</f>
        <v/>
      </c>
      <c r="I470" s="88">
        <f>IF($H470&lt;&gt;"OK","",$D470*INDEX('Lists'!$D$6:$D$30,MATCH($E470,'Lists'!$B$6:$B$30,0))/INDEX('Lists'!$D$6:$D$30,MATCH($G470,'Lists'!$B$6:$B$30,0)))</f>
        <v/>
      </c>
      <c r="J470" s="71">
        <f>IF($H470&lt;&gt;"OK","",$I470*INDEX('Inventory'!$G$7:$G$106,MATCH($C470,'Inventory'!$B$7:$B$106,0)))</f>
        <v/>
      </c>
    </row>
    <row r="471" ht="17" customHeight="1">
      <c r="B471" s="66" t="n"/>
      <c r="C471" s="60" t="n"/>
      <c r="D471" s="86" t="n"/>
      <c r="E471" s="60" t="n"/>
      <c r="F471" s="60" t="n"/>
      <c r="G471" s="13">
        <f>IF($C471="","",IFERROR(INDEX('Inventory'!$D$7:$D$106,MATCH($C471,'Inventory'!$B$7:$B$106,0))&amp;"","?"))</f>
        <v/>
      </c>
      <c r="H471" s="80">
        <f>IF(AND($B471="",$C471="",$D471=""),"",IF(NOT(ISNUMBER($B471)),"Enter a valid date",IF($C471="","Pick ingredient",IF($G471="?","Not in Inventory",IF($G471="","Set stock unit in Inventory",IF(N($D471)&lt;=0,"Enter quantity",IF($E471="","Pick unit",IF(IFERROR(INDEX('Lists'!$C$6:$C$30,MATCH($E471,'Lists'!$B$6:$B$30,0)),"?")&lt;&gt;IFERROR(INDEX('Lists'!$C$6:$C$30,MATCH($G471,'Lists'!$B$6:$B$30,0)),"?"),"Unit mismatch",IF(ISNUMBER(INDEX('Inventory'!$G$7:$G$106,MATCH($C471,'Inventory'!$B$7:$B$106,0))),"OK","Add price in Inventory")))))))))</f>
        <v/>
      </c>
      <c r="I471" s="88">
        <f>IF($H471&lt;&gt;"OK","",$D471*INDEX('Lists'!$D$6:$D$30,MATCH($E471,'Lists'!$B$6:$B$30,0))/INDEX('Lists'!$D$6:$D$30,MATCH($G471,'Lists'!$B$6:$B$30,0)))</f>
        <v/>
      </c>
      <c r="J471" s="71">
        <f>IF($H471&lt;&gt;"OK","",$I471*INDEX('Inventory'!$G$7:$G$106,MATCH($C471,'Inventory'!$B$7:$B$106,0)))</f>
        <v/>
      </c>
    </row>
    <row r="472" ht="17" customHeight="1">
      <c r="B472" s="66" t="n"/>
      <c r="C472" s="60" t="n"/>
      <c r="D472" s="86" t="n"/>
      <c r="E472" s="60" t="n"/>
      <c r="F472" s="60" t="n"/>
      <c r="G472" s="13">
        <f>IF($C472="","",IFERROR(INDEX('Inventory'!$D$7:$D$106,MATCH($C472,'Inventory'!$B$7:$B$106,0))&amp;"","?"))</f>
        <v/>
      </c>
      <c r="H472" s="80">
        <f>IF(AND($B472="",$C472="",$D472=""),"",IF(NOT(ISNUMBER($B472)),"Enter a valid date",IF($C472="","Pick ingredient",IF($G472="?","Not in Inventory",IF($G472="","Set stock unit in Inventory",IF(N($D472)&lt;=0,"Enter quantity",IF($E472="","Pick unit",IF(IFERROR(INDEX('Lists'!$C$6:$C$30,MATCH($E472,'Lists'!$B$6:$B$30,0)),"?")&lt;&gt;IFERROR(INDEX('Lists'!$C$6:$C$30,MATCH($G472,'Lists'!$B$6:$B$30,0)),"?"),"Unit mismatch",IF(ISNUMBER(INDEX('Inventory'!$G$7:$G$106,MATCH($C472,'Inventory'!$B$7:$B$106,0))),"OK","Add price in Inventory")))))))))</f>
        <v/>
      </c>
      <c r="I472" s="88">
        <f>IF($H472&lt;&gt;"OK","",$D472*INDEX('Lists'!$D$6:$D$30,MATCH($E472,'Lists'!$B$6:$B$30,0))/INDEX('Lists'!$D$6:$D$30,MATCH($G472,'Lists'!$B$6:$B$30,0)))</f>
        <v/>
      </c>
      <c r="J472" s="71">
        <f>IF($H472&lt;&gt;"OK","",$I472*INDEX('Inventory'!$G$7:$G$106,MATCH($C472,'Inventory'!$B$7:$B$106,0)))</f>
        <v/>
      </c>
    </row>
    <row r="473" ht="17" customHeight="1">
      <c r="B473" s="66" t="n"/>
      <c r="C473" s="60" t="n"/>
      <c r="D473" s="86" t="n"/>
      <c r="E473" s="60" t="n"/>
      <c r="F473" s="60" t="n"/>
      <c r="G473" s="13">
        <f>IF($C473="","",IFERROR(INDEX('Inventory'!$D$7:$D$106,MATCH($C473,'Inventory'!$B$7:$B$106,0))&amp;"","?"))</f>
        <v/>
      </c>
      <c r="H473" s="80">
        <f>IF(AND($B473="",$C473="",$D473=""),"",IF(NOT(ISNUMBER($B473)),"Enter a valid date",IF($C473="","Pick ingredient",IF($G473="?","Not in Inventory",IF($G473="","Set stock unit in Inventory",IF(N($D473)&lt;=0,"Enter quantity",IF($E473="","Pick unit",IF(IFERROR(INDEX('Lists'!$C$6:$C$30,MATCH($E473,'Lists'!$B$6:$B$30,0)),"?")&lt;&gt;IFERROR(INDEX('Lists'!$C$6:$C$30,MATCH($G473,'Lists'!$B$6:$B$30,0)),"?"),"Unit mismatch",IF(ISNUMBER(INDEX('Inventory'!$G$7:$G$106,MATCH($C473,'Inventory'!$B$7:$B$106,0))),"OK","Add price in Inventory")))))))))</f>
        <v/>
      </c>
      <c r="I473" s="88">
        <f>IF($H473&lt;&gt;"OK","",$D473*INDEX('Lists'!$D$6:$D$30,MATCH($E473,'Lists'!$B$6:$B$30,0))/INDEX('Lists'!$D$6:$D$30,MATCH($G473,'Lists'!$B$6:$B$30,0)))</f>
        <v/>
      </c>
      <c r="J473" s="71">
        <f>IF($H473&lt;&gt;"OK","",$I473*INDEX('Inventory'!$G$7:$G$106,MATCH($C473,'Inventory'!$B$7:$B$106,0)))</f>
        <v/>
      </c>
    </row>
    <row r="474" ht="17" customHeight="1">
      <c r="B474" s="66" t="n"/>
      <c r="C474" s="60" t="n"/>
      <c r="D474" s="86" t="n"/>
      <c r="E474" s="60" t="n"/>
      <c r="F474" s="60" t="n"/>
      <c r="G474" s="13">
        <f>IF($C474="","",IFERROR(INDEX('Inventory'!$D$7:$D$106,MATCH($C474,'Inventory'!$B$7:$B$106,0))&amp;"","?"))</f>
        <v/>
      </c>
      <c r="H474" s="80">
        <f>IF(AND($B474="",$C474="",$D474=""),"",IF(NOT(ISNUMBER($B474)),"Enter a valid date",IF($C474="","Pick ingredient",IF($G474="?","Not in Inventory",IF($G474="","Set stock unit in Inventory",IF(N($D474)&lt;=0,"Enter quantity",IF($E474="","Pick unit",IF(IFERROR(INDEX('Lists'!$C$6:$C$30,MATCH($E474,'Lists'!$B$6:$B$30,0)),"?")&lt;&gt;IFERROR(INDEX('Lists'!$C$6:$C$30,MATCH($G474,'Lists'!$B$6:$B$30,0)),"?"),"Unit mismatch",IF(ISNUMBER(INDEX('Inventory'!$G$7:$G$106,MATCH($C474,'Inventory'!$B$7:$B$106,0))),"OK","Add price in Inventory")))))))))</f>
        <v/>
      </c>
      <c r="I474" s="88">
        <f>IF($H474&lt;&gt;"OK","",$D474*INDEX('Lists'!$D$6:$D$30,MATCH($E474,'Lists'!$B$6:$B$30,0))/INDEX('Lists'!$D$6:$D$30,MATCH($G474,'Lists'!$B$6:$B$30,0)))</f>
        <v/>
      </c>
      <c r="J474" s="71">
        <f>IF($H474&lt;&gt;"OK","",$I474*INDEX('Inventory'!$G$7:$G$106,MATCH($C474,'Inventory'!$B$7:$B$106,0)))</f>
        <v/>
      </c>
    </row>
    <row r="475" ht="17" customHeight="1">
      <c r="B475" s="66" t="n"/>
      <c r="C475" s="60" t="n"/>
      <c r="D475" s="86" t="n"/>
      <c r="E475" s="60" t="n"/>
      <c r="F475" s="60" t="n"/>
      <c r="G475" s="13">
        <f>IF($C475="","",IFERROR(INDEX('Inventory'!$D$7:$D$106,MATCH($C475,'Inventory'!$B$7:$B$106,0))&amp;"","?"))</f>
        <v/>
      </c>
      <c r="H475" s="80">
        <f>IF(AND($B475="",$C475="",$D475=""),"",IF(NOT(ISNUMBER($B475)),"Enter a valid date",IF($C475="","Pick ingredient",IF($G475="?","Not in Inventory",IF($G475="","Set stock unit in Inventory",IF(N($D475)&lt;=0,"Enter quantity",IF($E475="","Pick unit",IF(IFERROR(INDEX('Lists'!$C$6:$C$30,MATCH($E475,'Lists'!$B$6:$B$30,0)),"?")&lt;&gt;IFERROR(INDEX('Lists'!$C$6:$C$30,MATCH($G475,'Lists'!$B$6:$B$30,0)),"?"),"Unit mismatch",IF(ISNUMBER(INDEX('Inventory'!$G$7:$G$106,MATCH($C475,'Inventory'!$B$7:$B$106,0))),"OK","Add price in Inventory")))))))))</f>
        <v/>
      </c>
      <c r="I475" s="88">
        <f>IF($H475&lt;&gt;"OK","",$D475*INDEX('Lists'!$D$6:$D$30,MATCH($E475,'Lists'!$B$6:$B$30,0))/INDEX('Lists'!$D$6:$D$30,MATCH($G475,'Lists'!$B$6:$B$30,0)))</f>
        <v/>
      </c>
      <c r="J475" s="71">
        <f>IF($H475&lt;&gt;"OK","",$I475*INDEX('Inventory'!$G$7:$G$106,MATCH($C475,'Inventory'!$B$7:$B$106,0)))</f>
        <v/>
      </c>
    </row>
    <row r="476" ht="17" customHeight="1">
      <c r="B476" s="66" t="n"/>
      <c r="C476" s="60" t="n"/>
      <c r="D476" s="86" t="n"/>
      <c r="E476" s="60" t="n"/>
      <c r="F476" s="60" t="n"/>
      <c r="G476" s="13">
        <f>IF($C476="","",IFERROR(INDEX('Inventory'!$D$7:$D$106,MATCH($C476,'Inventory'!$B$7:$B$106,0))&amp;"","?"))</f>
        <v/>
      </c>
      <c r="H476" s="80">
        <f>IF(AND($B476="",$C476="",$D476=""),"",IF(NOT(ISNUMBER($B476)),"Enter a valid date",IF($C476="","Pick ingredient",IF($G476="?","Not in Inventory",IF($G476="","Set stock unit in Inventory",IF(N($D476)&lt;=0,"Enter quantity",IF($E476="","Pick unit",IF(IFERROR(INDEX('Lists'!$C$6:$C$30,MATCH($E476,'Lists'!$B$6:$B$30,0)),"?")&lt;&gt;IFERROR(INDEX('Lists'!$C$6:$C$30,MATCH($G476,'Lists'!$B$6:$B$30,0)),"?"),"Unit mismatch",IF(ISNUMBER(INDEX('Inventory'!$G$7:$G$106,MATCH($C476,'Inventory'!$B$7:$B$106,0))),"OK","Add price in Inventory")))))))))</f>
        <v/>
      </c>
      <c r="I476" s="88">
        <f>IF($H476&lt;&gt;"OK","",$D476*INDEX('Lists'!$D$6:$D$30,MATCH($E476,'Lists'!$B$6:$B$30,0))/INDEX('Lists'!$D$6:$D$30,MATCH($G476,'Lists'!$B$6:$B$30,0)))</f>
        <v/>
      </c>
      <c r="J476" s="71">
        <f>IF($H476&lt;&gt;"OK","",$I476*INDEX('Inventory'!$G$7:$G$106,MATCH($C476,'Inventory'!$B$7:$B$106,0)))</f>
        <v/>
      </c>
    </row>
    <row r="477" ht="17" customHeight="1">
      <c r="B477" s="66" t="n"/>
      <c r="C477" s="60" t="n"/>
      <c r="D477" s="86" t="n"/>
      <c r="E477" s="60" t="n"/>
      <c r="F477" s="60" t="n"/>
      <c r="G477" s="13">
        <f>IF($C477="","",IFERROR(INDEX('Inventory'!$D$7:$D$106,MATCH($C477,'Inventory'!$B$7:$B$106,0))&amp;"","?"))</f>
        <v/>
      </c>
      <c r="H477" s="80">
        <f>IF(AND($B477="",$C477="",$D477=""),"",IF(NOT(ISNUMBER($B477)),"Enter a valid date",IF($C477="","Pick ingredient",IF($G477="?","Not in Inventory",IF($G477="","Set stock unit in Inventory",IF(N($D477)&lt;=0,"Enter quantity",IF($E477="","Pick unit",IF(IFERROR(INDEX('Lists'!$C$6:$C$30,MATCH($E477,'Lists'!$B$6:$B$30,0)),"?")&lt;&gt;IFERROR(INDEX('Lists'!$C$6:$C$30,MATCH($G477,'Lists'!$B$6:$B$30,0)),"?"),"Unit mismatch",IF(ISNUMBER(INDEX('Inventory'!$G$7:$G$106,MATCH($C477,'Inventory'!$B$7:$B$106,0))),"OK","Add price in Inventory")))))))))</f>
        <v/>
      </c>
      <c r="I477" s="88">
        <f>IF($H477&lt;&gt;"OK","",$D477*INDEX('Lists'!$D$6:$D$30,MATCH($E477,'Lists'!$B$6:$B$30,0))/INDEX('Lists'!$D$6:$D$30,MATCH($G477,'Lists'!$B$6:$B$30,0)))</f>
        <v/>
      </c>
      <c r="J477" s="71">
        <f>IF($H477&lt;&gt;"OK","",$I477*INDEX('Inventory'!$G$7:$G$106,MATCH($C477,'Inventory'!$B$7:$B$106,0)))</f>
        <v/>
      </c>
    </row>
    <row r="478" ht="17" customHeight="1">
      <c r="B478" s="66" t="n"/>
      <c r="C478" s="60" t="n"/>
      <c r="D478" s="86" t="n"/>
      <c r="E478" s="60" t="n"/>
      <c r="F478" s="60" t="n"/>
      <c r="G478" s="13">
        <f>IF($C478="","",IFERROR(INDEX('Inventory'!$D$7:$D$106,MATCH($C478,'Inventory'!$B$7:$B$106,0))&amp;"","?"))</f>
        <v/>
      </c>
      <c r="H478" s="80">
        <f>IF(AND($B478="",$C478="",$D478=""),"",IF(NOT(ISNUMBER($B478)),"Enter a valid date",IF($C478="","Pick ingredient",IF($G478="?","Not in Inventory",IF($G478="","Set stock unit in Inventory",IF(N($D478)&lt;=0,"Enter quantity",IF($E478="","Pick unit",IF(IFERROR(INDEX('Lists'!$C$6:$C$30,MATCH($E478,'Lists'!$B$6:$B$30,0)),"?")&lt;&gt;IFERROR(INDEX('Lists'!$C$6:$C$30,MATCH($G478,'Lists'!$B$6:$B$30,0)),"?"),"Unit mismatch",IF(ISNUMBER(INDEX('Inventory'!$G$7:$G$106,MATCH($C478,'Inventory'!$B$7:$B$106,0))),"OK","Add price in Inventory")))))))))</f>
        <v/>
      </c>
      <c r="I478" s="88">
        <f>IF($H478&lt;&gt;"OK","",$D478*INDEX('Lists'!$D$6:$D$30,MATCH($E478,'Lists'!$B$6:$B$30,0))/INDEX('Lists'!$D$6:$D$30,MATCH($G478,'Lists'!$B$6:$B$30,0)))</f>
        <v/>
      </c>
      <c r="J478" s="71">
        <f>IF($H478&lt;&gt;"OK","",$I478*INDEX('Inventory'!$G$7:$G$106,MATCH($C478,'Inventory'!$B$7:$B$106,0)))</f>
        <v/>
      </c>
    </row>
    <row r="479" ht="17" customHeight="1">
      <c r="B479" s="66" t="n"/>
      <c r="C479" s="60" t="n"/>
      <c r="D479" s="86" t="n"/>
      <c r="E479" s="60" t="n"/>
      <c r="F479" s="60" t="n"/>
      <c r="G479" s="13">
        <f>IF($C479="","",IFERROR(INDEX('Inventory'!$D$7:$D$106,MATCH($C479,'Inventory'!$B$7:$B$106,0))&amp;"","?"))</f>
        <v/>
      </c>
      <c r="H479" s="80">
        <f>IF(AND($B479="",$C479="",$D479=""),"",IF(NOT(ISNUMBER($B479)),"Enter a valid date",IF($C479="","Pick ingredient",IF($G479="?","Not in Inventory",IF($G479="","Set stock unit in Inventory",IF(N($D479)&lt;=0,"Enter quantity",IF($E479="","Pick unit",IF(IFERROR(INDEX('Lists'!$C$6:$C$30,MATCH($E479,'Lists'!$B$6:$B$30,0)),"?")&lt;&gt;IFERROR(INDEX('Lists'!$C$6:$C$30,MATCH($G479,'Lists'!$B$6:$B$30,0)),"?"),"Unit mismatch",IF(ISNUMBER(INDEX('Inventory'!$G$7:$G$106,MATCH($C479,'Inventory'!$B$7:$B$106,0))),"OK","Add price in Inventory")))))))))</f>
        <v/>
      </c>
      <c r="I479" s="88">
        <f>IF($H479&lt;&gt;"OK","",$D479*INDEX('Lists'!$D$6:$D$30,MATCH($E479,'Lists'!$B$6:$B$30,0))/INDEX('Lists'!$D$6:$D$30,MATCH($G479,'Lists'!$B$6:$B$30,0)))</f>
        <v/>
      </c>
      <c r="J479" s="71">
        <f>IF($H479&lt;&gt;"OK","",$I479*INDEX('Inventory'!$G$7:$G$106,MATCH($C479,'Inventory'!$B$7:$B$106,0)))</f>
        <v/>
      </c>
    </row>
    <row r="480" ht="17" customHeight="1">
      <c r="B480" s="66" t="n"/>
      <c r="C480" s="60" t="n"/>
      <c r="D480" s="86" t="n"/>
      <c r="E480" s="60" t="n"/>
      <c r="F480" s="60" t="n"/>
      <c r="G480" s="13">
        <f>IF($C480="","",IFERROR(INDEX('Inventory'!$D$7:$D$106,MATCH($C480,'Inventory'!$B$7:$B$106,0))&amp;"","?"))</f>
        <v/>
      </c>
      <c r="H480" s="80">
        <f>IF(AND($B480="",$C480="",$D480=""),"",IF(NOT(ISNUMBER($B480)),"Enter a valid date",IF($C480="","Pick ingredient",IF($G480="?","Not in Inventory",IF($G480="","Set stock unit in Inventory",IF(N($D480)&lt;=0,"Enter quantity",IF($E480="","Pick unit",IF(IFERROR(INDEX('Lists'!$C$6:$C$30,MATCH($E480,'Lists'!$B$6:$B$30,0)),"?")&lt;&gt;IFERROR(INDEX('Lists'!$C$6:$C$30,MATCH($G480,'Lists'!$B$6:$B$30,0)),"?"),"Unit mismatch",IF(ISNUMBER(INDEX('Inventory'!$G$7:$G$106,MATCH($C480,'Inventory'!$B$7:$B$106,0))),"OK","Add price in Inventory")))))))))</f>
        <v/>
      </c>
      <c r="I480" s="88">
        <f>IF($H480&lt;&gt;"OK","",$D480*INDEX('Lists'!$D$6:$D$30,MATCH($E480,'Lists'!$B$6:$B$30,0))/INDEX('Lists'!$D$6:$D$30,MATCH($G480,'Lists'!$B$6:$B$30,0)))</f>
        <v/>
      </c>
      <c r="J480" s="71">
        <f>IF($H480&lt;&gt;"OK","",$I480*INDEX('Inventory'!$G$7:$G$106,MATCH($C480,'Inventory'!$B$7:$B$106,0)))</f>
        <v/>
      </c>
    </row>
    <row r="481" ht="17" customHeight="1">
      <c r="B481" s="66" t="n"/>
      <c r="C481" s="60" t="n"/>
      <c r="D481" s="86" t="n"/>
      <c r="E481" s="60" t="n"/>
      <c r="F481" s="60" t="n"/>
      <c r="G481" s="13">
        <f>IF($C481="","",IFERROR(INDEX('Inventory'!$D$7:$D$106,MATCH($C481,'Inventory'!$B$7:$B$106,0))&amp;"","?"))</f>
        <v/>
      </c>
      <c r="H481" s="80">
        <f>IF(AND($B481="",$C481="",$D481=""),"",IF(NOT(ISNUMBER($B481)),"Enter a valid date",IF($C481="","Pick ingredient",IF($G481="?","Not in Inventory",IF($G481="","Set stock unit in Inventory",IF(N($D481)&lt;=0,"Enter quantity",IF($E481="","Pick unit",IF(IFERROR(INDEX('Lists'!$C$6:$C$30,MATCH($E481,'Lists'!$B$6:$B$30,0)),"?")&lt;&gt;IFERROR(INDEX('Lists'!$C$6:$C$30,MATCH($G481,'Lists'!$B$6:$B$30,0)),"?"),"Unit mismatch",IF(ISNUMBER(INDEX('Inventory'!$G$7:$G$106,MATCH($C481,'Inventory'!$B$7:$B$106,0))),"OK","Add price in Inventory")))))))))</f>
        <v/>
      </c>
      <c r="I481" s="88">
        <f>IF($H481&lt;&gt;"OK","",$D481*INDEX('Lists'!$D$6:$D$30,MATCH($E481,'Lists'!$B$6:$B$30,0))/INDEX('Lists'!$D$6:$D$30,MATCH($G481,'Lists'!$B$6:$B$30,0)))</f>
        <v/>
      </c>
      <c r="J481" s="71">
        <f>IF($H481&lt;&gt;"OK","",$I481*INDEX('Inventory'!$G$7:$G$106,MATCH($C481,'Inventory'!$B$7:$B$106,0)))</f>
        <v/>
      </c>
    </row>
    <row r="482" ht="17" customHeight="1">
      <c r="B482" s="66" t="n"/>
      <c r="C482" s="60" t="n"/>
      <c r="D482" s="86" t="n"/>
      <c r="E482" s="60" t="n"/>
      <c r="F482" s="60" t="n"/>
      <c r="G482" s="13">
        <f>IF($C482="","",IFERROR(INDEX('Inventory'!$D$7:$D$106,MATCH($C482,'Inventory'!$B$7:$B$106,0))&amp;"","?"))</f>
        <v/>
      </c>
      <c r="H482" s="80">
        <f>IF(AND($B482="",$C482="",$D482=""),"",IF(NOT(ISNUMBER($B482)),"Enter a valid date",IF($C482="","Pick ingredient",IF($G482="?","Not in Inventory",IF($G482="","Set stock unit in Inventory",IF(N($D482)&lt;=0,"Enter quantity",IF($E482="","Pick unit",IF(IFERROR(INDEX('Lists'!$C$6:$C$30,MATCH($E482,'Lists'!$B$6:$B$30,0)),"?")&lt;&gt;IFERROR(INDEX('Lists'!$C$6:$C$30,MATCH($G482,'Lists'!$B$6:$B$30,0)),"?"),"Unit mismatch",IF(ISNUMBER(INDEX('Inventory'!$G$7:$G$106,MATCH($C482,'Inventory'!$B$7:$B$106,0))),"OK","Add price in Inventory")))))))))</f>
        <v/>
      </c>
      <c r="I482" s="88">
        <f>IF($H482&lt;&gt;"OK","",$D482*INDEX('Lists'!$D$6:$D$30,MATCH($E482,'Lists'!$B$6:$B$30,0))/INDEX('Lists'!$D$6:$D$30,MATCH($G482,'Lists'!$B$6:$B$30,0)))</f>
        <v/>
      </c>
      <c r="J482" s="71">
        <f>IF($H482&lt;&gt;"OK","",$I482*INDEX('Inventory'!$G$7:$G$106,MATCH($C482,'Inventory'!$B$7:$B$106,0)))</f>
        <v/>
      </c>
    </row>
    <row r="483" ht="17" customHeight="1">
      <c r="B483" s="66" t="n"/>
      <c r="C483" s="60" t="n"/>
      <c r="D483" s="86" t="n"/>
      <c r="E483" s="60" t="n"/>
      <c r="F483" s="60" t="n"/>
      <c r="G483" s="13">
        <f>IF($C483="","",IFERROR(INDEX('Inventory'!$D$7:$D$106,MATCH($C483,'Inventory'!$B$7:$B$106,0))&amp;"","?"))</f>
        <v/>
      </c>
      <c r="H483" s="80">
        <f>IF(AND($B483="",$C483="",$D483=""),"",IF(NOT(ISNUMBER($B483)),"Enter a valid date",IF($C483="","Pick ingredient",IF($G483="?","Not in Inventory",IF($G483="","Set stock unit in Inventory",IF(N($D483)&lt;=0,"Enter quantity",IF($E483="","Pick unit",IF(IFERROR(INDEX('Lists'!$C$6:$C$30,MATCH($E483,'Lists'!$B$6:$B$30,0)),"?")&lt;&gt;IFERROR(INDEX('Lists'!$C$6:$C$30,MATCH($G483,'Lists'!$B$6:$B$30,0)),"?"),"Unit mismatch",IF(ISNUMBER(INDEX('Inventory'!$G$7:$G$106,MATCH($C483,'Inventory'!$B$7:$B$106,0))),"OK","Add price in Inventory")))))))))</f>
        <v/>
      </c>
      <c r="I483" s="88">
        <f>IF($H483&lt;&gt;"OK","",$D483*INDEX('Lists'!$D$6:$D$30,MATCH($E483,'Lists'!$B$6:$B$30,0))/INDEX('Lists'!$D$6:$D$30,MATCH($G483,'Lists'!$B$6:$B$30,0)))</f>
        <v/>
      </c>
      <c r="J483" s="71">
        <f>IF($H483&lt;&gt;"OK","",$I483*INDEX('Inventory'!$G$7:$G$106,MATCH($C483,'Inventory'!$B$7:$B$106,0)))</f>
        <v/>
      </c>
    </row>
    <row r="484" ht="17" customHeight="1">
      <c r="B484" s="66" t="n"/>
      <c r="C484" s="60" t="n"/>
      <c r="D484" s="86" t="n"/>
      <c r="E484" s="60" t="n"/>
      <c r="F484" s="60" t="n"/>
      <c r="G484" s="13">
        <f>IF($C484="","",IFERROR(INDEX('Inventory'!$D$7:$D$106,MATCH($C484,'Inventory'!$B$7:$B$106,0))&amp;"","?"))</f>
        <v/>
      </c>
      <c r="H484" s="80">
        <f>IF(AND($B484="",$C484="",$D484=""),"",IF(NOT(ISNUMBER($B484)),"Enter a valid date",IF($C484="","Pick ingredient",IF($G484="?","Not in Inventory",IF($G484="","Set stock unit in Inventory",IF(N($D484)&lt;=0,"Enter quantity",IF($E484="","Pick unit",IF(IFERROR(INDEX('Lists'!$C$6:$C$30,MATCH($E484,'Lists'!$B$6:$B$30,0)),"?")&lt;&gt;IFERROR(INDEX('Lists'!$C$6:$C$30,MATCH($G484,'Lists'!$B$6:$B$30,0)),"?"),"Unit mismatch",IF(ISNUMBER(INDEX('Inventory'!$G$7:$G$106,MATCH($C484,'Inventory'!$B$7:$B$106,0))),"OK","Add price in Inventory")))))))))</f>
        <v/>
      </c>
      <c r="I484" s="88">
        <f>IF($H484&lt;&gt;"OK","",$D484*INDEX('Lists'!$D$6:$D$30,MATCH($E484,'Lists'!$B$6:$B$30,0))/INDEX('Lists'!$D$6:$D$30,MATCH($G484,'Lists'!$B$6:$B$30,0)))</f>
        <v/>
      </c>
      <c r="J484" s="71">
        <f>IF($H484&lt;&gt;"OK","",$I484*INDEX('Inventory'!$G$7:$G$106,MATCH($C484,'Inventory'!$B$7:$B$106,0)))</f>
        <v/>
      </c>
    </row>
    <row r="485" ht="17" customHeight="1">
      <c r="B485" s="66" t="n"/>
      <c r="C485" s="60" t="n"/>
      <c r="D485" s="86" t="n"/>
      <c r="E485" s="60" t="n"/>
      <c r="F485" s="60" t="n"/>
      <c r="G485" s="13">
        <f>IF($C485="","",IFERROR(INDEX('Inventory'!$D$7:$D$106,MATCH($C485,'Inventory'!$B$7:$B$106,0))&amp;"","?"))</f>
        <v/>
      </c>
      <c r="H485" s="80">
        <f>IF(AND($B485="",$C485="",$D485=""),"",IF(NOT(ISNUMBER($B485)),"Enter a valid date",IF($C485="","Pick ingredient",IF($G485="?","Not in Inventory",IF($G485="","Set stock unit in Inventory",IF(N($D485)&lt;=0,"Enter quantity",IF($E485="","Pick unit",IF(IFERROR(INDEX('Lists'!$C$6:$C$30,MATCH($E485,'Lists'!$B$6:$B$30,0)),"?")&lt;&gt;IFERROR(INDEX('Lists'!$C$6:$C$30,MATCH($G485,'Lists'!$B$6:$B$30,0)),"?"),"Unit mismatch",IF(ISNUMBER(INDEX('Inventory'!$G$7:$G$106,MATCH($C485,'Inventory'!$B$7:$B$106,0))),"OK","Add price in Inventory")))))))))</f>
        <v/>
      </c>
      <c r="I485" s="88">
        <f>IF($H485&lt;&gt;"OK","",$D485*INDEX('Lists'!$D$6:$D$30,MATCH($E485,'Lists'!$B$6:$B$30,0))/INDEX('Lists'!$D$6:$D$30,MATCH($G485,'Lists'!$B$6:$B$30,0)))</f>
        <v/>
      </c>
      <c r="J485" s="71">
        <f>IF($H485&lt;&gt;"OK","",$I485*INDEX('Inventory'!$G$7:$G$106,MATCH($C485,'Inventory'!$B$7:$B$106,0)))</f>
        <v/>
      </c>
    </row>
    <row r="486" ht="17" customHeight="1">
      <c r="B486" s="66" t="n"/>
      <c r="C486" s="60" t="n"/>
      <c r="D486" s="86" t="n"/>
      <c r="E486" s="60" t="n"/>
      <c r="F486" s="60" t="n"/>
      <c r="G486" s="13">
        <f>IF($C486="","",IFERROR(INDEX('Inventory'!$D$7:$D$106,MATCH($C486,'Inventory'!$B$7:$B$106,0))&amp;"","?"))</f>
        <v/>
      </c>
      <c r="H486" s="80">
        <f>IF(AND($B486="",$C486="",$D486=""),"",IF(NOT(ISNUMBER($B486)),"Enter a valid date",IF($C486="","Pick ingredient",IF($G486="?","Not in Inventory",IF($G486="","Set stock unit in Inventory",IF(N($D486)&lt;=0,"Enter quantity",IF($E486="","Pick unit",IF(IFERROR(INDEX('Lists'!$C$6:$C$30,MATCH($E486,'Lists'!$B$6:$B$30,0)),"?")&lt;&gt;IFERROR(INDEX('Lists'!$C$6:$C$30,MATCH($G486,'Lists'!$B$6:$B$30,0)),"?"),"Unit mismatch",IF(ISNUMBER(INDEX('Inventory'!$G$7:$G$106,MATCH($C486,'Inventory'!$B$7:$B$106,0))),"OK","Add price in Inventory")))))))))</f>
        <v/>
      </c>
      <c r="I486" s="88">
        <f>IF($H486&lt;&gt;"OK","",$D486*INDEX('Lists'!$D$6:$D$30,MATCH($E486,'Lists'!$B$6:$B$30,0))/INDEX('Lists'!$D$6:$D$30,MATCH($G486,'Lists'!$B$6:$B$30,0)))</f>
        <v/>
      </c>
      <c r="J486" s="71">
        <f>IF($H486&lt;&gt;"OK","",$I486*INDEX('Inventory'!$G$7:$G$106,MATCH($C486,'Inventory'!$B$7:$B$106,0)))</f>
        <v/>
      </c>
    </row>
    <row r="487" ht="17" customHeight="1">
      <c r="B487" s="66" t="n"/>
      <c r="C487" s="60" t="n"/>
      <c r="D487" s="86" t="n"/>
      <c r="E487" s="60" t="n"/>
      <c r="F487" s="60" t="n"/>
      <c r="G487" s="13">
        <f>IF($C487="","",IFERROR(INDEX('Inventory'!$D$7:$D$106,MATCH($C487,'Inventory'!$B$7:$B$106,0))&amp;"","?"))</f>
        <v/>
      </c>
      <c r="H487" s="80">
        <f>IF(AND($B487="",$C487="",$D487=""),"",IF(NOT(ISNUMBER($B487)),"Enter a valid date",IF($C487="","Pick ingredient",IF($G487="?","Not in Inventory",IF($G487="","Set stock unit in Inventory",IF(N($D487)&lt;=0,"Enter quantity",IF($E487="","Pick unit",IF(IFERROR(INDEX('Lists'!$C$6:$C$30,MATCH($E487,'Lists'!$B$6:$B$30,0)),"?")&lt;&gt;IFERROR(INDEX('Lists'!$C$6:$C$30,MATCH($G487,'Lists'!$B$6:$B$30,0)),"?"),"Unit mismatch",IF(ISNUMBER(INDEX('Inventory'!$G$7:$G$106,MATCH($C487,'Inventory'!$B$7:$B$106,0))),"OK","Add price in Inventory")))))))))</f>
        <v/>
      </c>
      <c r="I487" s="88">
        <f>IF($H487&lt;&gt;"OK","",$D487*INDEX('Lists'!$D$6:$D$30,MATCH($E487,'Lists'!$B$6:$B$30,0))/INDEX('Lists'!$D$6:$D$30,MATCH($G487,'Lists'!$B$6:$B$30,0)))</f>
        <v/>
      </c>
      <c r="J487" s="71">
        <f>IF($H487&lt;&gt;"OK","",$I487*INDEX('Inventory'!$G$7:$G$106,MATCH($C487,'Inventory'!$B$7:$B$106,0)))</f>
        <v/>
      </c>
    </row>
    <row r="488" ht="17" customHeight="1">
      <c r="B488" s="66" t="n"/>
      <c r="C488" s="60" t="n"/>
      <c r="D488" s="86" t="n"/>
      <c r="E488" s="60" t="n"/>
      <c r="F488" s="60" t="n"/>
      <c r="G488" s="13">
        <f>IF($C488="","",IFERROR(INDEX('Inventory'!$D$7:$D$106,MATCH($C488,'Inventory'!$B$7:$B$106,0))&amp;"","?"))</f>
        <v/>
      </c>
      <c r="H488" s="80">
        <f>IF(AND($B488="",$C488="",$D488=""),"",IF(NOT(ISNUMBER($B488)),"Enter a valid date",IF($C488="","Pick ingredient",IF($G488="?","Not in Inventory",IF($G488="","Set stock unit in Inventory",IF(N($D488)&lt;=0,"Enter quantity",IF($E488="","Pick unit",IF(IFERROR(INDEX('Lists'!$C$6:$C$30,MATCH($E488,'Lists'!$B$6:$B$30,0)),"?")&lt;&gt;IFERROR(INDEX('Lists'!$C$6:$C$30,MATCH($G488,'Lists'!$B$6:$B$30,0)),"?"),"Unit mismatch",IF(ISNUMBER(INDEX('Inventory'!$G$7:$G$106,MATCH($C488,'Inventory'!$B$7:$B$106,0))),"OK","Add price in Inventory")))))))))</f>
        <v/>
      </c>
      <c r="I488" s="88">
        <f>IF($H488&lt;&gt;"OK","",$D488*INDEX('Lists'!$D$6:$D$30,MATCH($E488,'Lists'!$B$6:$B$30,0))/INDEX('Lists'!$D$6:$D$30,MATCH($G488,'Lists'!$B$6:$B$30,0)))</f>
        <v/>
      </c>
      <c r="J488" s="71">
        <f>IF($H488&lt;&gt;"OK","",$I488*INDEX('Inventory'!$G$7:$G$106,MATCH($C488,'Inventory'!$B$7:$B$106,0)))</f>
        <v/>
      </c>
    </row>
    <row r="489" ht="17" customHeight="1">
      <c r="B489" s="66" t="n"/>
      <c r="C489" s="60" t="n"/>
      <c r="D489" s="86" t="n"/>
      <c r="E489" s="60" t="n"/>
      <c r="F489" s="60" t="n"/>
      <c r="G489" s="13">
        <f>IF($C489="","",IFERROR(INDEX('Inventory'!$D$7:$D$106,MATCH($C489,'Inventory'!$B$7:$B$106,0))&amp;"","?"))</f>
        <v/>
      </c>
      <c r="H489" s="80">
        <f>IF(AND($B489="",$C489="",$D489=""),"",IF(NOT(ISNUMBER($B489)),"Enter a valid date",IF($C489="","Pick ingredient",IF($G489="?","Not in Inventory",IF($G489="","Set stock unit in Inventory",IF(N($D489)&lt;=0,"Enter quantity",IF($E489="","Pick unit",IF(IFERROR(INDEX('Lists'!$C$6:$C$30,MATCH($E489,'Lists'!$B$6:$B$30,0)),"?")&lt;&gt;IFERROR(INDEX('Lists'!$C$6:$C$30,MATCH($G489,'Lists'!$B$6:$B$30,0)),"?"),"Unit mismatch",IF(ISNUMBER(INDEX('Inventory'!$G$7:$G$106,MATCH($C489,'Inventory'!$B$7:$B$106,0))),"OK","Add price in Inventory")))))))))</f>
        <v/>
      </c>
      <c r="I489" s="88">
        <f>IF($H489&lt;&gt;"OK","",$D489*INDEX('Lists'!$D$6:$D$30,MATCH($E489,'Lists'!$B$6:$B$30,0))/INDEX('Lists'!$D$6:$D$30,MATCH($G489,'Lists'!$B$6:$B$30,0)))</f>
        <v/>
      </c>
      <c r="J489" s="71">
        <f>IF($H489&lt;&gt;"OK","",$I489*INDEX('Inventory'!$G$7:$G$106,MATCH($C489,'Inventory'!$B$7:$B$106,0)))</f>
        <v/>
      </c>
    </row>
    <row r="490" ht="17" customHeight="1">
      <c r="B490" s="66" t="n"/>
      <c r="C490" s="60" t="n"/>
      <c r="D490" s="86" t="n"/>
      <c r="E490" s="60" t="n"/>
      <c r="F490" s="60" t="n"/>
      <c r="G490" s="13">
        <f>IF($C490="","",IFERROR(INDEX('Inventory'!$D$7:$D$106,MATCH($C490,'Inventory'!$B$7:$B$106,0))&amp;"","?"))</f>
        <v/>
      </c>
      <c r="H490" s="80">
        <f>IF(AND($B490="",$C490="",$D490=""),"",IF(NOT(ISNUMBER($B490)),"Enter a valid date",IF($C490="","Pick ingredient",IF($G490="?","Not in Inventory",IF($G490="","Set stock unit in Inventory",IF(N($D490)&lt;=0,"Enter quantity",IF($E490="","Pick unit",IF(IFERROR(INDEX('Lists'!$C$6:$C$30,MATCH($E490,'Lists'!$B$6:$B$30,0)),"?")&lt;&gt;IFERROR(INDEX('Lists'!$C$6:$C$30,MATCH($G490,'Lists'!$B$6:$B$30,0)),"?"),"Unit mismatch",IF(ISNUMBER(INDEX('Inventory'!$G$7:$G$106,MATCH($C490,'Inventory'!$B$7:$B$106,0))),"OK","Add price in Inventory")))))))))</f>
        <v/>
      </c>
      <c r="I490" s="88">
        <f>IF($H490&lt;&gt;"OK","",$D490*INDEX('Lists'!$D$6:$D$30,MATCH($E490,'Lists'!$B$6:$B$30,0))/INDEX('Lists'!$D$6:$D$30,MATCH($G490,'Lists'!$B$6:$B$30,0)))</f>
        <v/>
      </c>
      <c r="J490" s="71">
        <f>IF($H490&lt;&gt;"OK","",$I490*INDEX('Inventory'!$G$7:$G$106,MATCH($C490,'Inventory'!$B$7:$B$106,0)))</f>
        <v/>
      </c>
    </row>
    <row r="491" ht="17" customHeight="1">
      <c r="B491" s="66" t="n"/>
      <c r="C491" s="60" t="n"/>
      <c r="D491" s="86" t="n"/>
      <c r="E491" s="60" t="n"/>
      <c r="F491" s="60" t="n"/>
      <c r="G491" s="13">
        <f>IF($C491="","",IFERROR(INDEX('Inventory'!$D$7:$D$106,MATCH($C491,'Inventory'!$B$7:$B$106,0))&amp;"","?"))</f>
        <v/>
      </c>
      <c r="H491" s="80">
        <f>IF(AND($B491="",$C491="",$D491=""),"",IF(NOT(ISNUMBER($B491)),"Enter a valid date",IF($C491="","Pick ingredient",IF($G491="?","Not in Inventory",IF($G491="","Set stock unit in Inventory",IF(N($D491)&lt;=0,"Enter quantity",IF($E491="","Pick unit",IF(IFERROR(INDEX('Lists'!$C$6:$C$30,MATCH($E491,'Lists'!$B$6:$B$30,0)),"?")&lt;&gt;IFERROR(INDEX('Lists'!$C$6:$C$30,MATCH($G491,'Lists'!$B$6:$B$30,0)),"?"),"Unit mismatch",IF(ISNUMBER(INDEX('Inventory'!$G$7:$G$106,MATCH($C491,'Inventory'!$B$7:$B$106,0))),"OK","Add price in Inventory")))))))))</f>
        <v/>
      </c>
      <c r="I491" s="88">
        <f>IF($H491&lt;&gt;"OK","",$D491*INDEX('Lists'!$D$6:$D$30,MATCH($E491,'Lists'!$B$6:$B$30,0))/INDEX('Lists'!$D$6:$D$30,MATCH($G491,'Lists'!$B$6:$B$30,0)))</f>
        <v/>
      </c>
      <c r="J491" s="71">
        <f>IF($H491&lt;&gt;"OK","",$I491*INDEX('Inventory'!$G$7:$G$106,MATCH($C491,'Inventory'!$B$7:$B$106,0)))</f>
        <v/>
      </c>
    </row>
    <row r="492" ht="17" customHeight="1">
      <c r="B492" s="66" t="n"/>
      <c r="C492" s="60" t="n"/>
      <c r="D492" s="86" t="n"/>
      <c r="E492" s="60" t="n"/>
      <c r="F492" s="60" t="n"/>
      <c r="G492" s="13">
        <f>IF($C492="","",IFERROR(INDEX('Inventory'!$D$7:$D$106,MATCH($C492,'Inventory'!$B$7:$B$106,0))&amp;"","?"))</f>
        <v/>
      </c>
      <c r="H492" s="80">
        <f>IF(AND($B492="",$C492="",$D492=""),"",IF(NOT(ISNUMBER($B492)),"Enter a valid date",IF($C492="","Pick ingredient",IF($G492="?","Not in Inventory",IF($G492="","Set stock unit in Inventory",IF(N($D492)&lt;=0,"Enter quantity",IF($E492="","Pick unit",IF(IFERROR(INDEX('Lists'!$C$6:$C$30,MATCH($E492,'Lists'!$B$6:$B$30,0)),"?")&lt;&gt;IFERROR(INDEX('Lists'!$C$6:$C$30,MATCH($G492,'Lists'!$B$6:$B$30,0)),"?"),"Unit mismatch",IF(ISNUMBER(INDEX('Inventory'!$G$7:$G$106,MATCH($C492,'Inventory'!$B$7:$B$106,0))),"OK","Add price in Inventory")))))))))</f>
        <v/>
      </c>
      <c r="I492" s="88">
        <f>IF($H492&lt;&gt;"OK","",$D492*INDEX('Lists'!$D$6:$D$30,MATCH($E492,'Lists'!$B$6:$B$30,0))/INDEX('Lists'!$D$6:$D$30,MATCH($G492,'Lists'!$B$6:$B$30,0)))</f>
        <v/>
      </c>
      <c r="J492" s="71">
        <f>IF($H492&lt;&gt;"OK","",$I492*INDEX('Inventory'!$G$7:$G$106,MATCH($C492,'Inventory'!$B$7:$B$106,0)))</f>
        <v/>
      </c>
    </row>
    <row r="493" ht="17" customHeight="1">
      <c r="B493" s="66" t="n"/>
      <c r="C493" s="60" t="n"/>
      <c r="D493" s="86" t="n"/>
      <c r="E493" s="60" t="n"/>
      <c r="F493" s="60" t="n"/>
      <c r="G493" s="13">
        <f>IF($C493="","",IFERROR(INDEX('Inventory'!$D$7:$D$106,MATCH($C493,'Inventory'!$B$7:$B$106,0))&amp;"","?"))</f>
        <v/>
      </c>
      <c r="H493" s="80">
        <f>IF(AND($B493="",$C493="",$D493=""),"",IF(NOT(ISNUMBER($B493)),"Enter a valid date",IF($C493="","Pick ingredient",IF($G493="?","Not in Inventory",IF($G493="","Set stock unit in Inventory",IF(N($D493)&lt;=0,"Enter quantity",IF($E493="","Pick unit",IF(IFERROR(INDEX('Lists'!$C$6:$C$30,MATCH($E493,'Lists'!$B$6:$B$30,0)),"?")&lt;&gt;IFERROR(INDEX('Lists'!$C$6:$C$30,MATCH($G493,'Lists'!$B$6:$B$30,0)),"?"),"Unit mismatch",IF(ISNUMBER(INDEX('Inventory'!$G$7:$G$106,MATCH($C493,'Inventory'!$B$7:$B$106,0))),"OK","Add price in Inventory")))))))))</f>
        <v/>
      </c>
      <c r="I493" s="88">
        <f>IF($H493&lt;&gt;"OK","",$D493*INDEX('Lists'!$D$6:$D$30,MATCH($E493,'Lists'!$B$6:$B$30,0))/INDEX('Lists'!$D$6:$D$30,MATCH($G493,'Lists'!$B$6:$B$30,0)))</f>
        <v/>
      </c>
      <c r="J493" s="71">
        <f>IF($H493&lt;&gt;"OK","",$I493*INDEX('Inventory'!$G$7:$G$106,MATCH($C493,'Inventory'!$B$7:$B$106,0)))</f>
        <v/>
      </c>
    </row>
    <row r="494" ht="17" customHeight="1">
      <c r="B494" s="66" t="n"/>
      <c r="C494" s="60" t="n"/>
      <c r="D494" s="86" t="n"/>
      <c r="E494" s="60" t="n"/>
      <c r="F494" s="60" t="n"/>
      <c r="G494" s="13">
        <f>IF($C494="","",IFERROR(INDEX('Inventory'!$D$7:$D$106,MATCH($C494,'Inventory'!$B$7:$B$106,0))&amp;"","?"))</f>
        <v/>
      </c>
      <c r="H494" s="80">
        <f>IF(AND($B494="",$C494="",$D494=""),"",IF(NOT(ISNUMBER($B494)),"Enter a valid date",IF($C494="","Pick ingredient",IF($G494="?","Not in Inventory",IF($G494="","Set stock unit in Inventory",IF(N($D494)&lt;=0,"Enter quantity",IF($E494="","Pick unit",IF(IFERROR(INDEX('Lists'!$C$6:$C$30,MATCH($E494,'Lists'!$B$6:$B$30,0)),"?")&lt;&gt;IFERROR(INDEX('Lists'!$C$6:$C$30,MATCH($G494,'Lists'!$B$6:$B$30,0)),"?"),"Unit mismatch",IF(ISNUMBER(INDEX('Inventory'!$G$7:$G$106,MATCH($C494,'Inventory'!$B$7:$B$106,0))),"OK","Add price in Inventory")))))))))</f>
        <v/>
      </c>
      <c r="I494" s="88">
        <f>IF($H494&lt;&gt;"OK","",$D494*INDEX('Lists'!$D$6:$D$30,MATCH($E494,'Lists'!$B$6:$B$30,0))/INDEX('Lists'!$D$6:$D$30,MATCH($G494,'Lists'!$B$6:$B$30,0)))</f>
        <v/>
      </c>
      <c r="J494" s="71">
        <f>IF($H494&lt;&gt;"OK","",$I494*INDEX('Inventory'!$G$7:$G$106,MATCH($C494,'Inventory'!$B$7:$B$106,0)))</f>
        <v/>
      </c>
    </row>
    <row r="495" ht="17" customHeight="1">
      <c r="B495" s="66" t="n"/>
      <c r="C495" s="60" t="n"/>
      <c r="D495" s="86" t="n"/>
      <c r="E495" s="60" t="n"/>
      <c r="F495" s="60" t="n"/>
      <c r="G495" s="13">
        <f>IF($C495="","",IFERROR(INDEX('Inventory'!$D$7:$D$106,MATCH($C495,'Inventory'!$B$7:$B$106,0))&amp;"","?"))</f>
        <v/>
      </c>
      <c r="H495" s="80">
        <f>IF(AND($B495="",$C495="",$D495=""),"",IF(NOT(ISNUMBER($B495)),"Enter a valid date",IF($C495="","Pick ingredient",IF($G495="?","Not in Inventory",IF($G495="","Set stock unit in Inventory",IF(N($D495)&lt;=0,"Enter quantity",IF($E495="","Pick unit",IF(IFERROR(INDEX('Lists'!$C$6:$C$30,MATCH($E495,'Lists'!$B$6:$B$30,0)),"?")&lt;&gt;IFERROR(INDEX('Lists'!$C$6:$C$30,MATCH($G495,'Lists'!$B$6:$B$30,0)),"?"),"Unit mismatch",IF(ISNUMBER(INDEX('Inventory'!$G$7:$G$106,MATCH($C495,'Inventory'!$B$7:$B$106,0))),"OK","Add price in Inventory")))))))))</f>
        <v/>
      </c>
      <c r="I495" s="88">
        <f>IF($H495&lt;&gt;"OK","",$D495*INDEX('Lists'!$D$6:$D$30,MATCH($E495,'Lists'!$B$6:$B$30,0))/INDEX('Lists'!$D$6:$D$30,MATCH($G495,'Lists'!$B$6:$B$30,0)))</f>
        <v/>
      </c>
      <c r="J495" s="71">
        <f>IF($H495&lt;&gt;"OK","",$I495*INDEX('Inventory'!$G$7:$G$106,MATCH($C495,'Inventory'!$B$7:$B$106,0)))</f>
        <v/>
      </c>
    </row>
    <row r="496" ht="17" customHeight="1">
      <c r="B496" s="66" t="n"/>
      <c r="C496" s="60" t="n"/>
      <c r="D496" s="86" t="n"/>
      <c r="E496" s="60" t="n"/>
      <c r="F496" s="60" t="n"/>
      <c r="G496" s="13">
        <f>IF($C496="","",IFERROR(INDEX('Inventory'!$D$7:$D$106,MATCH($C496,'Inventory'!$B$7:$B$106,0))&amp;"","?"))</f>
        <v/>
      </c>
      <c r="H496" s="80">
        <f>IF(AND($B496="",$C496="",$D496=""),"",IF(NOT(ISNUMBER($B496)),"Enter a valid date",IF($C496="","Pick ingredient",IF($G496="?","Not in Inventory",IF($G496="","Set stock unit in Inventory",IF(N($D496)&lt;=0,"Enter quantity",IF($E496="","Pick unit",IF(IFERROR(INDEX('Lists'!$C$6:$C$30,MATCH($E496,'Lists'!$B$6:$B$30,0)),"?")&lt;&gt;IFERROR(INDEX('Lists'!$C$6:$C$30,MATCH($G496,'Lists'!$B$6:$B$30,0)),"?"),"Unit mismatch",IF(ISNUMBER(INDEX('Inventory'!$G$7:$G$106,MATCH($C496,'Inventory'!$B$7:$B$106,0))),"OK","Add price in Inventory")))))))))</f>
        <v/>
      </c>
      <c r="I496" s="88">
        <f>IF($H496&lt;&gt;"OK","",$D496*INDEX('Lists'!$D$6:$D$30,MATCH($E496,'Lists'!$B$6:$B$30,0))/INDEX('Lists'!$D$6:$D$30,MATCH($G496,'Lists'!$B$6:$B$30,0)))</f>
        <v/>
      </c>
      <c r="J496" s="71">
        <f>IF($H496&lt;&gt;"OK","",$I496*INDEX('Inventory'!$G$7:$G$106,MATCH($C496,'Inventory'!$B$7:$B$106,0)))</f>
        <v/>
      </c>
    </row>
    <row r="497" ht="17" customHeight="1">
      <c r="B497" s="66" t="n"/>
      <c r="C497" s="60" t="n"/>
      <c r="D497" s="86" t="n"/>
      <c r="E497" s="60" t="n"/>
      <c r="F497" s="60" t="n"/>
      <c r="G497" s="13">
        <f>IF($C497="","",IFERROR(INDEX('Inventory'!$D$7:$D$106,MATCH($C497,'Inventory'!$B$7:$B$106,0))&amp;"","?"))</f>
        <v/>
      </c>
      <c r="H497" s="80">
        <f>IF(AND($B497="",$C497="",$D497=""),"",IF(NOT(ISNUMBER($B497)),"Enter a valid date",IF($C497="","Pick ingredient",IF($G497="?","Not in Inventory",IF($G497="","Set stock unit in Inventory",IF(N($D497)&lt;=0,"Enter quantity",IF($E497="","Pick unit",IF(IFERROR(INDEX('Lists'!$C$6:$C$30,MATCH($E497,'Lists'!$B$6:$B$30,0)),"?")&lt;&gt;IFERROR(INDEX('Lists'!$C$6:$C$30,MATCH($G497,'Lists'!$B$6:$B$30,0)),"?"),"Unit mismatch",IF(ISNUMBER(INDEX('Inventory'!$G$7:$G$106,MATCH($C497,'Inventory'!$B$7:$B$106,0))),"OK","Add price in Inventory")))))))))</f>
        <v/>
      </c>
      <c r="I497" s="88">
        <f>IF($H497&lt;&gt;"OK","",$D497*INDEX('Lists'!$D$6:$D$30,MATCH($E497,'Lists'!$B$6:$B$30,0))/INDEX('Lists'!$D$6:$D$30,MATCH($G497,'Lists'!$B$6:$B$30,0)))</f>
        <v/>
      </c>
      <c r="J497" s="71">
        <f>IF($H497&lt;&gt;"OK","",$I497*INDEX('Inventory'!$G$7:$G$106,MATCH($C497,'Inventory'!$B$7:$B$106,0)))</f>
        <v/>
      </c>
    </row>
    <row r="498" ht="17" customHeight="1">
      <c r="B498" s="66" t="n"/>
      <c r="C498" s="60" t="n"/>
      <c r="D498" s="86" t="n"/>
      <c r="E498" s="60" t="n"/>
      <c r="F498" s="60" t="n"/>
      <c r="G498" s="13">
        <f>IF($C498="","",IFERROR(INDEX('Inventory'!$D$7:$D$106,MATCH($C498,'Inventory'!$B$7:$B$106,0))&amp;"","?"))</f>
        <v/>
      </c>
      <c r="H498" s="80">
        <f>IF(AND($B498="",$C498="",$D498=""),"",IF(NOT(ISNUMBER($B498)),"Enter a valid date",IF($C498="","Pick ingredient",IF($G498="?","Not in Inventory",IF($G498="","Set stock unit in Inventory",IF(N($D498)&lt;=0,"Enter quantity",IF($E498="","Pick unit",IF(IFERROR(INDEX('Lists'!$C$6:$C$30,MATCH($E498,'Lists'!$B$6:$B$30,0)),"?")&lt;&gt;IFERROR(INDEX('Lists'!$C$6:$C$30,MATCH($G498,'Lists'!$B$6:$B$30,0)),"?"),"Unit mismatch",IF(ISNUMBER(INDEX('Inventory'!$G$7:$G$106,MATCH($C498,'Inventory'!$B$7:$B$106,0))),"OK","Add price in Inventory")))))))))</f>
        <v/>
      </c>
      <c r="I498" s="88">
        <f>IF($H498&lt;&gt;"OK","",$D498*INDEX('Lists'!$D$6:$D$30,MATCH($E498,'Lists'!$B$6:$B$30,0))/INDEX('Lists'!$D$6:$D$30,MATCH($G498,'Lists'!$B$6:$B$30,0)))</f>
        <v/>
      </c>
      <c r="J498" s="71">
        <f>IF($H498&lt;&gt;"OK","",$I498*INDEX('Inventory'!$G$7:$G$106,MATCH($C498,'Inventory'!$B$7:$B$106,0)))</f>
        <v/>
      </c>
    </row>
    <row r="499" ht="17" customHeight="1">
      <c r="B499" s="66" t="n"/>
      <c r="C499" s="60" t="n"/>
      <c r="D499" s="86" t="n"/>
      <c r="E499" s="60" t="n"/>
      <c r="F499" s="60" t="n"/>
      <c r="G499" s="13">
        <f>IF($C499="","",IFERROR(INDEX('Inventory'!$D$7:$D$106,MATCH($C499,'Inventory'!$B$7:$B$106,0))&amp;"","?"))</f>
        <v/>
      </c>
      <c r="H499" s="80">
        <f>IF(AND($B499="",$C499="",$D499=""),"",IF(NOT(ISNUMBER($B499)),"Enter a valid date",IF($C499="","Pick ingredient",IF($G499="?","Not in Inventory",IF($G499="","Set stock unit in Inventory",IF(N($D499)&lt;=0,"Enter quantity",IF($E499="","Pick unit",IF(IFERROR(INDEX('Lists'!$C$6:$C$30,MATCH($E499,'Lists'!$B$6:$B$30,0)),"?")&lt;&gt;IFERROR(INDEX('Lists'!$C$6:$C$30,MATCH($G499,'Lists'!$B$6:$B$30,0)),"?"),"Unit mismatch",IF(ISNUMBER(INDEX('Inventory'!$G$7:$G$106,MATCH($C499,'Inventory'!$B$7:$B$106,0))),"OK","Add price in Inventory")))))))))</f>
        <v/>
      </c>
      <c r="I499" s="88">
        <f>IF($H499&lt;&gt;"OK","",$D499*INDEX('Lists'!$D$6:$D$30,MATCH($E499,'Lists'!$B$6:$B$30,0))/INDEX('Lists'!$D$6:$D$30,MATCH($G499,'Lists'!$B$6:$B$30,0)))</f>
        <v/>
      </c>
      <c r="J499" s="71">
        <f>IF($H499&lt;&gt;"OK","",$I499*INDEX('Inventory'!$G$7:$G$106,MATCH($C499,'Inventory'!$B$7:$B$106,0)))</f>
        <v/>
      </c>
    </row>
    <row r="500" ht="17" customHeight="1">
      <c r="B500" s="66" t="n"/>
      <c r="C500" s="60" t="n"/>
      <c r="D500" s="86" t="n"/>
      <c r="E500" s="60" t="n"/>
      <c r="F500" s="60" t="n"/>
      <c r="G500" s="13">
        <f>IF($C500="","",IFERROR(INDEX('Inventory'!$D$7:$D$106,MATCH($C500,'Inventory'!$B$7:$B$106,0))&amp;"","?"))</f>
        <v/>
      </c>
      <c r="H500" s="80">
        <f>IF(AND($B500="",$C500="",$D500=""),"",IF(NOT(ISNUMBER($B500)),"Enter a valid date",IF($C500="","Pick ingredient",IF($G500="?","Not in Inventory",IF($G500="","Set stock unit in Inventory",IF(N($D500)&lt;=0,"Enter quantity",IF($E500="","Pick unit",IF(IFERROR(INDEX('Lists'!$C$6:$C$30,MATCH($E500,'Lists'!$B$6:$B$30,0)),"?")&lt;&gt;IFERROR(INDEX('Lists'!$C$6:$C$30,MATCH($G500,'Lists'!$B$6:$B$30,0)),"?"),"Unit mismatch",IF(ISNUMBER(INDEX('Inventory'!$G$7:$G$106,MATCH($C500,'Inventory'!$B$7:$B$106,0))),"OK","Add price in Inventory")))))))))</f>
        <v/>
      </c>
      <c r="I500" s="88">
        <f>IF($H500&lt;&gt;"OK","",$D500*INDEX('Lists'!$D$6:$D$30,MATCH($E500,'Lists'!$B$6:$B$30,0))/INDEX('Lists'!$D$6:$D$30,MATCH($G500,'Lists'!$B$6:$B$30,0)))</f>
        <v/>
      </c>
      <c r="J500" s="71">
        <f>IF($H500&lt;&gt;"OK","",$I500*INDEX('Inventory'!$G$7:$G$106,MATCH($C500,'Inventory'!$B$7:$B$106,0)))</f>
        <v/>
      </c>
    </row>
    <row r="501" ht="17" customHeight="1">
      <c r="B501" s="66" t="n"/>
      <c r="C501" s="60" t="n"/>
      <c r="D501" s="86" t="n"/>
      <c r="E501" s="60" t="n"/>
      <c r="F501" s="60" t="n"/>
      <c r="G501" s="13">
        <f>IF($C501="","",IFERROR(INDEX('Inventory'!$D$7:$D$106,MATCH($C501,'Inventory'!$B$7:$B$106,0))&amp;"","?"))</f>
        <v/>
      </c>
      <c r="H501" s="80">
        <f>IF(AND($B501="",$C501="",$D501=""),"",IF(NOT(ISNUMBER($B501)),"Enter a valid date",IF($C501="","Pick ingredient",IF($G501="?","Not in Inventory",IF($G501="","Set stock unit in Inventory",IF(N($D501)&lt;=0,"Enter quantity",IF($E501="","Pick unit",IF(IFERROR(INDEX('Lists'!$C$6:$C$30,MATCH($E501,'Lists'!$B$6:$B$30,0)),"?")&lt;&gt;IFERROR(INDEX('Lists'!$C$6:$C$30,MATCH($G501,'Lists'!$B$6:$B$30,0)),"?"),"Unit mismatch",IF(ISNUMBER(INDEX('Inventory'!$G$7:$G$106,MATCH($C501,'Inventory'!$B$7:$B$106,0))),"OK","Add price in Inventory")))))))))</f>
        <v/>
      </c>
      <c r="I501" s="88">
        <f>IF($H501&lt;&gt;"OK","",$D501*INDEX('Lists'!$D$6:$D$30,MATCH($E501,'Lists'!$B$6:$B$30,0))/INDEX('Lists'!$D$6:$D$30,MATCH($G501,'Lists'!$B$6:$B$30,0)))</f>
        <v/>
      </c>
      <c r="J501" s="71">
        <f>IF($H501&lt;&gt;"OK","",$I501*INDEX('Inventory'!$G$7:$G$106,MATCH($C501,'Inventory'!$B$7:$B$106,0)))</f>
        <v/>
      </c>
    </row>
    <row r="502" ht="17" customHeight="1">
      <c r="B502" s="66" t="n"/>
      <c r="C502" s="60" t="n"/>
      <c r="D502" s="86" t="n"/>
      <c r="E502" s="60" t="n"/>
      <c r="F502" s="60" t="n"/>
      <c r="G502" s="13">
        <f>IF($C502="","",IFERROR(INDEX('Inventory'!$D$7:$D$106,MATCH($C502,'Inventory'!$B$7:$B$106,0))&amp;"","?"))</f>
        <v/>
      </c>
      <c r="H502" s="80">
        <f>IF(AND($B502="",$C502="",$D502=""),"",IF(NOT(ISNUMBER($B502)),"Enter a valid date",IF($C502="","Pick ingredient",IF($G502="?","Not in Inventory",IF($G502="","Set stock unit in Inventory",IF(N($D502)&lt;=0,"Enter quantity",IF($E502="","Pick unit",IF(IFERROR(INDEX('Lists'!$C$6:$C$30,MATCH($E502,'Lists'!$B$6:$B$30,0)),"?")&lt;&gt;IFERROR(INDEX('Lists'!$C$6:$C$30,MATCH($G502,'Lists'!$B$6:$B$30,0)),"?"),"Unit mismatch",IF(ISNUMBER(INDEX('Inventory'!$G$7:$G$106,MATCH($C502,'Inventory'!$B$7:$B$106,0))),"OK","Add price in Inventory")))))))))</f>
        <v/>
      </c>
      <c r="I502" s="88">
        <f>IF($H502&lt;&gt;"OK","",$D502*INDEX('Lists'!$D$6:$D$30,MATCH($E502,'Lists'!$B$6:$B$30,0))/INDEX('Lists'!$D$6:$D$30,MATCH($G502,'Lists'!$B$6:$B$30,0)))</f>
        <v/>
      </c>
      <c r="J502" s="71">
        <f>IF($H502&lt;&gt;"OK","",$I502*INDEX('Inventory'!$G$7:$G$106,MATCH($C502,'Inventory'!$B$7:$B$106,0)))</f>
        <v/>
      </c>
    </row>
    <row r="503" ht="17" customHeight="1">
      <c r="B503" s="66" t="n"/>
      <c r="C503" s="60" t="n"/>
      <c r="D503" s="86" t="n"/>
      <c r="E503" s="60" t="n"/>
      <c r="F503" s="60" t="n"/>
      <c r="G503" s="13">
        <f>IF($C503="","",IFERROR(INDEX('Inventory'!$D$7:$D$106,MATCH($C503,'Inventory'!$B$7:$B$106,0))&amp;"","?"))</f>
        <v/>
      </c>
      <c r="H503" s="80">
        <f>IF(AND($B503="",$C503="",$D503=""),"",IF(NOT(ISNUMBER($B503)),"Enter a valid date",IF($C503="","Pick ingredient",IF($G503="?","Not in Inventory",IF($G503="","Set stock unit in Inventory",IF(N($D503)&lt;=0,"Enter quantity",IF($E503="","Pick unit",IF(IFERROR(INDEX('Lists'!$C$6:$C$30,MATCH($E503,'Lists'!$B$6:$B$30,0)),"?")&lt;&gt;IFERROR(INDEX('Lists'!$C$6:$C$30,MATCH($G503,'Lists'!$B$6:$B$30,0)),"?"),"Unit mismatch",IF(ISNUMBER(INDEX('Inventory'!$G$7:$G$106,MATCH($C503,'Inventory'!$B$7:$B$106,0))),"OK","Add price in Inventory")))))))))</f>
        <v/>
      </c>
      <c r="I503" s="88">
        <f>IF($H503&lt;&gt;"OK","",$D503*INDEX('Lists'!$D$6:$D$30,MATCH($E503,'Lists'!$B$6:$B$30,0))/INDEX('Lists'!$D$6:$D$30,MATCH($G503,'Lists'!$B$6:$B$30,0)))</f>
        <v/>
      </c>
      <c r="J503" s="71">
        <f>IF($H503&lt;&gt;"OK","",$I503*INDEX('Inventory'!$G$7:$G$106,MATCH($C503,'Inventory'!$B$7:$B$106,0)))</f>
        <v/>
      </c>
    </row>
    <row r="504" ht="17" customHeight="1">
      <c r="B504" s="66" t="n"/>
      <c r="C504" s="60" t="n"/>
      <c r="D504" s="86" t="n"/>
      <c r="E504" s="60" t="n"/>
      <c r="F504" s="60" t="n"/>
      <c r="G504" s="13">
        <f>IF($C504="","",IFERROR(INDEX('Inventory'!$D$7:$D$106,MATCH($C504,'Inventory'!$B$7:$B$106,0))&amp;"","?"))</f>
        <v/>
      </c>
      <c r="H504" s="80">
        <f>IF(AND($B504="",$C504="",$D504=""),"",IF(NOT(ISNUMBER($B504)),"Enter a valid date",IF($C504="","Pick ingredient",IF($G504="?","Not in Inventory",IF($G504="","Set stock unit in Inventory",IF(N($D504)&lt;=0,"Enter quantity",IF($E504="","Pick unit",IF(IFERROR(INDEX('Lists'!$C$6:$C$30,MATCH($E504,'Lists'!$B$6:$B$30,0)),"?")&lt;&gt;IFERROR(INDEX('Lists'!$C$6:$C$30,MATCH($G504,'Lists'!$B$6:$B$30,0)),"?"),"Unit mismatch",IF(ISNUMBER(INDEX('Inventory'!$G$7:$G$106,MATCH($C504,'Inventory'!$B$7:$B$106,0))),"OK","Add price in Inventory")))))))))</f>
        <v/>
      </c>
      <c r="I504" s="88">
        <f>IF($H504&lt;&gt;"OK","",$D504*INDEX('Lists'!$D$6:$D$30,MATCH($E504,'Lists'!$B$6:$B$30,0))/INDEX('Lists'!$D$6:$D$30,MATCH($G504,'Lists'!$B$6:$B$30,0)))</f>
        <v/>
      </c>
      <c r="J504" s="71">
        <f>IF($H504&lt;&gt;"OK","",$I504*INDEX('Inventory'!$G$7:$G$106,MATCH($C504,'Inventory'!$B$7:$B$106,0)))</f>
        <v/>
      </c>
    </row>
    <row r="505" ht="17" customHeight="1">
      <c r="B505" s="66" t="n"/>
      <c r="C505" s="60" t="n"/>
      <c r="D505" s="86" t="n"/>
      <c r="E505" s="60" t="n"/>
      <c r="F505" s="60" t="n"/>
      <c r="G505" s="13">
        <f>IF($C505="","",IFERROR(INDEX('Inventory'!$D$7:$D$106,MATCH($C505,'Inventory'!$B$7:$B$106,0))&amp;"","?"))</f>
        <v/>
      </c>
      <c r="H505" s="80">
        <f>IF(AND($B505="",$C505="",$D505=""),"",IF(NOT(ISNUMBER($B505)),"Enter a valid date",IF($C505="","Pick ingredient",IF($G505="?","Not in Inventory",IF($G505="","Set stock unit in Inventory",IF(N($D505)&lt;=0,"Enter quantity",IF($E505="","Pick unit",IF(IFERROR(INDEX('Lists'!$C$6:$C$30,MATCH($E505,'Lists'!$B$6:$B$30,0)),"?")&lt;&gt;IFERROR(INDEX('Lists'!$C$6:$C$30,MATCH($G505,'Lists'!$B$6:$B$30,0)),"?"),"Unit mismatch",IF(ISNUMBER(INDEX('Inventory'!$G$7:$G$106,MATCH($C505,'Inventory'!$B$7:$B$106,0))),"OK","Add price in Inventory")))))))))</f>
        <v/>
      </c>
      <c r="I505" s="88">
        <f>IF($H505&lt;&gt;"OK","",$D505*INDEX('Lists'!$D$6:$D$30,MATCH($E505,'Lists'!$B$6:$B$30,0))/INDEX('Lists'!$D$6:$D$30,MATCH($G505,'Lists'!$B$6:$B$30,0)))</f>
        <v/>
      </c>
      <c r="J505" s="71">
        <f>IF($H505&lt;&gt;"OK","",$I505*INDEX('Inventory'!$G$7:$G$106,MATCH($C505,'Inventory'!$B$7:$B$106,0)))</f>
        <v/>
      </c>
    </row>
    <row r="506" ht="17" customHeight="1">
      <c r="B506" s="66" t="n"/>
      <c r="C506" s="60" t="n"/>
      <c r="D506" s="86" t="n"/>
      <c r="E506" s="60" t="n"/>
      <c r="F506" s="60" t="n"/>
      <c r="G506" s="13">
        <f>IF($C506="","",IFERROR(INDEX('Inventory'!$D$7:$D$106,MATCH($C506,'Inventory'!$B$7:$B$106,0))&amp;"","?"))</f>
        <v/>
      </c>
      <c r="H506" s="80">
        <f>IF(AND($B506="",$C506="",$D506=""),"",IF(NOT(ISNUMBER($B506)),"Enter a valid date",IF($C506="","Pick ingredient",IF($G506="?","Not in Inventory",IF($G506="","Set stock unit in Inventory",IF(N($D506)&lt;=0,"Enter quantity",IF($E506="","Pick unit",IF(IFERROR(INDEX('Lists'!$C$6:$C$30,MATCH($E506,'Lists'!$B$6:$B$30,0)),"?")&lt;&gt;IFERROR(INDEX('Lists'!$C$6:$C$30,MATCH($G506,'Lists'!$B$6:$B$30,0)),"?"),"Unit mismatch",IF(ISNUMBER(INDEX('Inventory'!$G$7:$G$106,MATCH($C506,'Inventory'!$B$7:$B$106,0))),"OK","Add price in Inventory")))))))))</f>
        <v/>
      </c>
      <c r="I506" s="88">
        <f>IF($H506&lt;&gt;"OK","",$D506*INDEX('Lists'!$D$6:$D$30,MATCH($E506,'Lists'!$B$6:$B$30,0))/INDEX('Lists'!$D$6:$D$30,MATCH($G506,'Lists'!$B$6:$B$30,0)))</f>
        <v/>
      </c>
      <c r="J506" s="71">
        <f>IF($H506&lt;&gt;"OK","",$I506*INDEX('Inventory'!$G$7:$G$106,MATCH($C506,'Inventory'!$B$7:$B$106,0)))</f>
        <v/>
      </c>
    </row>
  </sheetData>
  <autoFilter ref="B6:J506"/>
  <mergeCells count="2">
    <mergeCell ref="G5:J5"/>
    <mergeCell ref="B5:F5"/>
  </mergeCells>
  <conditionalFormatting sqref="H7:H506">
    <cfRule type="expression" priority="1" dxfId="13">
      <formula>H7="OK"</formula>
    </cfRule>
    <cfRule type="expression" priority="2" dxfId="6">
      <formula>AND($H7&lt;&gt;"",$H7&lt;&gt;"OK")</formula>
    </cfRule>
  </conditionalFormatting>
  <conditionalFormatting sqref="J7:J506">
    <cfRule type="expression" priority="3" dxfId="10">
      <formula>cfg_Currency="USD"</formula>
    </cfRule>
    <cfRule type="expression" priority="4" dxfId="11">
      <formula>cfg_Currency="GBP"</formula>
    </cfRule>
  </conditionalFormatting>
  <dataValidations count="5">
    <dataValidation sqref="B7:B506" showDropDown="0" showInputMessage="1" showErrorMessage="1" allowBlank="1" errorTitle="Invalid date" error="Enter a valid date (2000-2100)." promptTitle="Date" prompt="Enter a date, e.g. 15/03/2026 or 3/15/2026 (your computer's format)." type="date" operator="between">
      <formula1>DATE(2000,1,1)</formula1>
      <formula2>DATE(2100,12,31)</formula2>
    </dataValidation>
    <dataValidation sqref="C7:C506" showDropDown="0" showInputMessage="1" showErrorMessage="1" allowBlank="1" errorTitle="Not in list" error="Please pick a value from the dropdown list." promptTitle="Ingredient" prompt="Pick an ingredient from Inventory." type="list" errorStyle="stop">
      <formula1>'Inventory'!$B$7:$B$106</formula1>
    </dataValidation>
    <dataValidation sqref="E7:E506" showDropDown="0" showInputMessage="1" showErrorMessage="1" allowBlank="1" errorTitle="Not in list" error="Please pick a value from the dropdown list." promptTitle="Unit" prompt="Unit you measured the waste in." type="list" errorStyle="stop">
      <formula1>lst_Units</formula1>
    </dataValidation>
    <dataValidation sqref="F7:F506" showDropDown="0" showInputMessage="0" showErrorMessage="0" allowBlank="1" errorTitle="Not in list" error="Please pick a value from the dropdown list." type="list" errorStyle="warning">
      <formula1>lst_Waste</formula1>
    </dataValidation>
    <dataValidation sqref="D7:D506" showDropDown="0" showInputMessage="1" showErrorMessage="1" allowBlank="1" errorTitle="Invalid number" error="Enter a number greater than 0." promptTitle="Quantity" prompt="Amount thrown away." type="decimal" operator="greaterThan">
      <formula1>0</formula1>
    </dataValidation>
  </dataValidations>
  <hyperlinks>
    <hyperlink ref="B4" location="'Start Here'!A1" display="› Start Here"/>
    <hyperlink ref="D4" location="'Dashboard'!A1" display="› Dashboard"/>
    <hyperlink ref="F4" location="'Inventory'!A1" display="› Inventory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P3006"/>
  <sheetViews>
    <sheetView showGridLines="0" zoomScale="100" workbookViewId="0">
      <pane xSplit="2" ySplit="6" topLeftCell="C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13" customWidth="1" min="2" max="2"/>
    <col width="26" customWidth="1" min="3" max="3"/>
    <col width="8" customWidth="1" min="4" max="4"/>
    <col width="11" customWidth="1" min="5" max="5"/>
    <col width="15" customWidth="1" min="6" max="6"/>
    <col width="24" customWidth="1" min="7" max="7"/>
    <col width="11" customWidth="1" min="8" max="8"/>
    <col width="12" customWidth="1" min="9" max="9"/>
    <col width="11" customWidth="1" min="10" max="10"/>
    <col width="12" customWidth="1" min="11" max="11"/>
    <col width="12" customWidth="1" min="12" max="12"/>
    <col width="12" customWidth="1" min="13" max="13"/>
    <col width="20" customWidth="1" min="14" max="14"/>
    <col hidden="1" width="5" customWidth="1" min="15" max="15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B2" s="54" t="inlineStr">
        <is>
          <t>Sales Log</t>
        </is>
      </c>
      <c r="O2" s="55" t="inlineStr">
        <is>
          <t>NoviraNest</t>
        </is>
      </c>
    </row>
    <row r="3" ht="18" customHeight="1">
      <c r="B3" s="56" t="inlineStr">
        <is>
          <t>Record what you sold: one row per item per day (or per order). Leave 'Price charged' blank to use your menu price.</t>
        </is>
      </c>
    </row>
    <row r="4" ht="18" customHeight="1">
      <c r="B4" s="57" t="inlineStr">
        <is>
          <t>› Start Here</t>
        </is>
      </c>
      <c r="D4" s="57" t="inlineStr">
        <is>
          <t>› Dashboard</t>
        </is>
      </c>
      <c r="F4" s="57" t="inlineStr">
        <is>
          <t>› Menu Pricing</t>
        </is>
      </c>
    </row>
    <row r="5" ht="16" customHeight="1">
      <c r="B5" s="75" t="inlineStr">
        <is>
          <t>YOU TYPE</t>
        </is>
      </c>
      <c r="H5" s="67" t="inlineStr">
        <is>
          <t>AUTOMATIC</t>
        </is>
      </c>
    </row>
    <row r="6" ht="40" customHeight="1">
      <c r="B6" s="58" t="inlineStr">
        <is>
          <t>Date</t>
        </is>
      </c>
      <c r="C6" s="58" t="inlineStr">
        <is>
          <t>Menu item</t>
        </is>
      </c>
      <c r="D6" s="58" t="inlineStr">
        <is>
          <t>Qty</t>
        </is>
      </c>
      <c r="E6" s="58">
        <f>"Price charged
(optional) ("&amp;cfg_Symbol&amp;")"</f>
        <v/>
      </c>
      <c r="F6" s="58" t="inlineStr">
        <is>
          <t>Payment method</t>
        </is>
      </c>
      <c r="G6" s="58" t="inlineStr">
        <is>
          <t>Location / event</t>
        </is>
      </c>
      <c r="H6" s="58">
        <f>"Unit price
used ("&amp;cfg_Symbol&amp;")"</f>
        <v/>
      </c>
      <c r="I6" s="58">
        <f>"Revenue ("&amp;cfg_Symbol&amp;")"</f>
        <v/>
      </c>
      <c r="J6" s="58">
        <f>"Unit cost
(COGS) ("&amp;cfg_Symbol&amp;")"</f>
        <v/>
      </c>
      <c r="K6" s="58">
        <f>"COGS ("&amp;cfg_Symbol&amp;")"</f>
        <v/>
      </c>
      <c r="L6" s="58">
        <f>"Gross
profit ("&amp;cfg_Symbol&amp;")"</f>
        <v/>
      </c>
      <c r="M6" s="58">
        <f>"Ingredient
cost ("&amp;cfg_Symbol&amp;")"</f>
        <v/>
      </c>
      <c r="N6" s="58" t="inlineStr">
        <is>
          <t>Check</t>
        </is>
      </c>
      <c r="O6" s="58" t="inlineStr">
        <is>
          <t>Menu
row</t>
        </is>
      </c>
    </row>
    <row r="7" ht="17" customHeight="1">
      <c r="B7" s="66" t="n"/>
      <c r="C7" s="60" t="n"/>
      <c r="D7" s="86" t="n"/>
      <c r="E7" s="63" t="n"/>
      <c r="F7" s="60" t="n"/>
      <c r="G7" s="60" t="n"/>
      <c r="H7" s="71">
        <f>IF(OR($C7="",$D7=""),"",IF(ISNUMBER($E7),$E7,IF($O7="","",IF(N(INDEX('Menu Pricing'!$O$7:$O$56,$O7))&gt;0,INDEX('Menu Pricing'!$O$7:$O$56,$O7),""))))</f>
        <v/>
      </c>
      <c r="I7" s="71">
        <f>IF($N7&lt;&gt;"OK","",$D7*$H7)</f>
        <v/>
      </c>
      <c r="J7" s="71">
        <f>IF($N7&lt;&gt;"OK","",N(INDEX('Menu Pricing'!$F$7:$F$56,$O7))+N(INDEX('Menu Pricing'!$G$7:$G$56,$O7))+N(INDEX('Menu Pricing'!$J$7:$J$56,$O7)))</f>
        <v/>
      </c>
      <c r="K7" s="71">
        <f>IF($N7&lt;&gt;"OK","",$D7*$J7)</f>
        <v/>
      </c>
      <c r="L7" s="71">
        <f>IF($N7&lt;&gt;"OK","",$I7-$K7)</f>
        <v/>
      </c>
      <c r="M7" s="71">
        <f>IF($N7&lt;&gt;"OK","",$D7*N(INDEX('Menu Pricing'!$F$7:$F$56,$O7)))</f>
        <v/>
      </c>
      <c r="N7" s="80">
        <f>IF(AND($B7="",$C7="",$D7=""),"",IF(NOT(ISNUMBER($B7)),"Enter a valid date",IF($C7="","Pick a menu item",IF($O7="","Item not on Menu Pricing",IF(N($D7)&lt;=0,"Qty must be above 0",IF($H7="","No price on menu","OK"))))))</f>
        <v/>
      </c>
      <c r="O7" s="13">
        <f>IF($C7="","",IFERROR(MATCH($C7,'Menu Pricing'!$B$7:$B$56,0),""))</f>
        <v/>
      </c>
    </row>
    <row r="8" ht="17" customHeight="1">
      <c r="B8" s="66" t="n"/>
      <c r="C8" s="60" t="n"/>
      <c r="D8" s="86" t="n"/>
      <c r="E8" s="63" t="n"/>
      <c r="F8" s="60" t="n"/>
      <c r="G8" s="60" t="n"/>
      <c r="H8" s="71">
        <f>IF(OR($C8="",$D8=""),"",IF(ISNUMBER($E8),$E8,IF($O8="","",IF(N(INDEX('Menu Pricing'!$O$7:$O$56,$O8))&gt;0,INDEX('Menu Pricing'!$O$7:$O$56,$O8),""))))</f>
        <v/>
      </c>
      <c r="I8" s="71">
        <f>IF($N8&lt;&gt;"OK","",$D8*$H8)</f>
        <v/>
      </c>
      <c r="J8" s="71">
        <f>IF($N8&lt;&gt;"OK","",N(INDEX('Menu Pricing'!$F$7:$F$56,$O8))+N(INDEX('Menu Pricing'!$G$7:$G$56,$O8))+N(INDEX('Menu Pricing'!$J$7:$J$56,$O8)))</f>
        <v/>
      </c>
      <c r="K8" s="71">
        <f>IF($N8&lt;&gt;"OK","",$D8*$J8)</f>
        <v/>
      </c>
      <c r="L8" s="71">
        <f>IF($N8&lt;&gt;"OK","",$I8-$K8)</f>
        <v/>
      </c>
      <c r="M8" s="71">
        <f>IF($N8&lt;&gt;"OK","",$D8*N(INDEX('Menu Pricing'!$F$7:$F$56,$O8)))</f>
        <v/>
      </c>
      <c r="N8" s="80">
        <f>IF(AND($B8="",$C8="",$D8=""),"",IF(NOT(ISNUMBER($B8)),"Enter a valid date",IF($C8="","Pick a menu item",IF($O8="","Item not on Menu Pricing",IF(N($D8)&lt;=0,"Qty must be above 0",IF($H8="","No price on menu","OK"))))))</f>
        <v/>
      </c>
      <c r="O8" s="13">
        <f>IF($C8="","",IFERROR(MATCH($C8,'Menu Pricing'!$B$7:$B$56,0),""))</f>
        <v/>
      </c>
    </row>
    <row r="9" ht="17" customHeight="1">
      <c r="B9" s="66" t="n"/>
      <c r="C9" s="60" t="n"/>
      <c r="D9" s="86" t="n"/>
      <c r="E9" s="63" t="n"/>
      <c r="F9" s="60" t="n"/>
      <c r="G9" s="60" t="n"/>
      <c r="H9" s="71">
        <f>IF(OR($C9="",$D9=""),"",IF(ISNUMBER($E9),$E9,IF($O9="","",IF(N(INDEX('Menu Pricing'!$O$7:$O$56,$O9))&gt;0,INDEX('Menu Pricing'!$O$7:$O$56,$O9),""))))</f>
        <v/>
      </c>
      <c r="I9" s="71">
        <f>IF($N9&lt;&gt;"OK","",$D9*$H9)</f>
        <v/>
      </c>
      <c r="J9" s="71">
        <f>IF($N9&lt;&gt;"OK","",N(INDEX('Menu Pricing'!$F$7:$F$56,$O9))+N(INDEX('Menu Pricing'!$G$7:$G$56,$O9))+N(INDEX('Menu Pricing'!$J$7:$J$56,$O9)))</f>
        <v/>
      </c>
      <c r="K9" s="71">
        <f>IF($N9&lt;&gt;"OK","",$D9*$J9)</f>
        <v/>
      </c>
      <c r="L9" s="71">
        <f>IF($N9&lt;&gt;"OK","",$I9-$K9)</f>
        <v/>
      </c>
      <c r="M9" s="71">
        <f>IF($N9&lt;&gt;"OK","",$D9*N(INDEX('Menu Pricing'!$F$7:$F$56,$O9)))</f>
        <v/>
      </c>
      <c r="N9" s="80">
        <f>IF(AND($B9="",$C9="",$D9=""),"",IF(NOT(ISNUMBER($B9)),"Enter a valid date",IF($C9="","Pick a menu item",IF($O9="","Item not on Menu Pricing",IF(N($D9)&lt;=0,"Qty must be above 0",IF($H9="","No price on menu","OK"))))))</f>
        <v/>
      </c>
      <c r="O9" s="13">
        <f>IF($C9="","",IFERROR(MATCH($C9,'Menu Pricing'!$B$7:$B$56,0),""))</f>
        <v/>
      </c>
    </row>
    <row r="10" ht="17" customHeight="1">
      <c r="B10" s="66" t="n"/>
      <c r="C10" s="60" t="n"/>
      <c r="D10" s="86" t="n"/>
      <c r="E10" s="63" t="n"/>
      <c r="F10" s="60" t="n"/>
      <c r="G10" s="60" t="n"/>
      <c r="H10" s="71">
        <f>IF(OR($C10="",$D10=""),"",IF(ISNUMBER($E10),$E10,IF($O10="","",IF(N(INDEX('Menu Pricing'!$O$7:$O$56,$O10))&gt;0,INDEX('Menu Pricing'!$O$7:$O$56,$O10),""))))</f>
        <v/>
      </c>
      <c r="I10" s="71">
        <f>IF($N10&lt;&gt;"OK","",$D10*$H10)</f>
        <v/>
      </c>
      <c r="J10" s="71">
        <f>IF($N10&lt;&gt;"OK","",N(INDEX('Menu Pricing'!$F$7:$F$56,$O10))+N(INDEX('Menu Pricing'!$G$7:$G$56,$O10))+N(INDEX('Menu Pricing'!$J$7:$J$56,$O10)))</f>
        <v/>
      </c>
      <c r="K10" s="71">
        <f>IF($N10&lt;&gt;"OK","",$D10*$J10)</f>
        <v/>
      </c>
      <c r="L10" s="71">
        <f>IF($N10&lt;&gt;"OK","",$I10-$K10)</f>
        <v/>
      </c>
      <c r="M10" s="71">
        <f>IF($N10&lt;&gt;"OK","",$D10*N(INDEX('Menu Pricing'!$F$7:$F$56,$O10)))</f>
        <v/>
      </c>
      <c r="N10" s="80">
        <f>IF(AND($B10="",$C10="",$D10=""),"",IF(NOT(ISNUMBER($B10)),"Enter a valid date",IF($C10="","Pick a menu item",IF($O10="","Item not on Menu Pricing",IF(N($D10)&lt;=0,"Qty must be above 0",IF($H10="","No price on menu","OK"))))))</f>
        <v/>
      </c>
      <c r="O10" s="13">
        <f>IF($C10="","",IFERROR(MATCH($C10,'Menu Pricing'!$B$7:$B$56,0),""))</f>
        <v/>
      </c>
    </row>
    <row r="11" ht="17" customHeight="1">
      <c r="B11" s="66" t="n"/>
      <c r="C11" s="60" t="n"/>
      <c r="D11" s="86" t="n"/>
      <c r="E11" s="63" t="n"/>
      <c r="F11" s="60" t="n"/>
      <c r="G11" s="60" t="n"/>
      <c r="H11" s="71">
        <f>IF(OR($C11="",$D11=""),"",IF(ISNUMBER($E11),$E11,IF($O11="","",IF(N(INDEX('Menu Pricing'!$O$7:$O$56,$O11))&gt;0,INDEX('Menu Pricing'!$O$7:$O$56,$O11),""))))</f>
        <v/>
      </c>
      <c r="I11" s="71">
        <f>IF($N11&lt;&gt;"OK","",$D11*$H11)</f>
        <v/>
      </c>
      <c r="J11" s="71">
        <f>IF($N11&lt;&gt;"OK","",N(INDEX('Menu Pricing'!$F$7:$F$56,$O11))+N(INDEX('Menu Pricing'!$G$7:$G$56,$O11))+N(INDEX('Menu Pricing'!$J$7:$J$56,$O11)))</f>
        <v/>
      </c>
      <c r="K11" s="71">
        <f>IF($N11&lt;&gt;"OK","",$D11*$J11)</f>
        <v/>
      </c>
      <c r="L11" s="71">
        <f>IF($N11&lt;&gt;"OK","",$I11-$K11)</f>
        <v/>
      </c>
      <c r="M11" s="71">
        <f>IF($N11&lt;&gt;"OK","",$D11*N(INDEX('Menu Pricing'!$F$7:$F$56,$O11)))</f>
        <v/>
      </c>
      <c r="N11" s="80">
        <f>IF(AND($B11="",$C11="",$D11=""),"",IF(NOT(ISNUMBER($B11)),"Enter a valid date",IF($C11="","Pick a menu item",IF($O11="","Item not on Menu Pricing",IF(N($D11)&lt;=0,"Qty must be above 0",IF($H11="","No price on menu","OK"))))))</f>
        <v/>
      </c>
      <c r="O11" s="13">
        <f>IF($C11="","",IFERROR(MATCH($C11,'Menu Pricing'!$B$7:$B$56,0),""))</f>
        <v/>
      </c>
    </row>
    <row r="12" ht="17" customHeight="1">
      <c r="B12" s="66" t="n"/>
      <c r="C12" s="60" t="n"/>
      <c r="D12" s="86" t="n"/>
      <c r="E12" s="63" t="n"/>
      <c r="F12" s="60" t="n"/>
      <c r="G12" s="60" t="n"/>
      <c r="H12" s="71">
        <f>IF(OR($C12="",$D12=""),"",IF(ISNUMBER($E12),$E12,IF($O12="","",IF(N(INDEX('Menu Pricing'!$O$7:$O$56,$O12))&gt;0,INDEX('Menu Pricing'!$O$7:$O$56,$O12),""))))</f>
        <v/>
      </c>
      <c r="I12" s="71">
        <f>IF($N12&lt;&gt;"OK","",$D12*$H12)</f>
        <v/>
      </c>
      <c r="J12" s="71">
        <f>IF($N12&lt;&gt;"OK","",N(INDEX('Menu Pricing'!$F$7:$F$56,$O12))+N(INDEX('Menu Pricing'!$G$7:$G$56,$O12))+N(INDEX('Menu Pricing'!$J$7:$J$56,$O12)))</f>
        <v/>
      </c>
      <c r="K12" s="71">
        <f>IF($N12&lt;&gt;"OK","",$D12*$J12)</f>
        <v/>
      </c>
      <c r="L12" s="71">
        <f>IF($N12&lt;&gt;"OK","",$I12-$K12)</f>
        <v/>
      </c>
      <c r="M12" s="71">
        <f>IF($N12&lt;&gt;"OK","",$D12*N(INDEX('Menu Pricing'!$F$7:$F$56,$O12)))</f>
        <v/>
      </c>
      <c r="N12" s="80">
        <f>IF(AND($B12="",$C12="",$D12=""),"",IF(NOT(ISNUMBER($B12)),"Enter a valid date",IF($C12="","Pick a menu item",IF($O12="","Item not on Menu Pricing",IF(N($D12)&lt;=0,"Qty must be above 0",IF($H12="","No price on menu","OK"))))))</f>
        <v/>
      </c>
      <c r="O12" s="13">
        <f>IF($C12="","",IFERROR(MATCH($C12,'Menu Pricing'!$B$7:$B$56,0),""))</f>
        <v/>
      </c>
    </row>
    <row r="13" ht="17" customHeight="1">
      <c r="B13" s="66" t="n"/>
      <c r="C13" s="60" t="n"/>
      <c r="D13" s="86" t="n"/>
      <c r="E13" s="63" t="n"/>
      <c r="F13" s="60" t="n"/>
      <c r="G13" s="60" t="n"/>
      <c r="H13" s="71">
        <f>IF(OR($C13="",$D13=""),"",IF(ISNUMBER($E13),$E13,IF($O13="","",IF(N(INDEX('Menu Pricing'!$O$7:$O$56,$O13))&gt;0,INDEX('Menu Pricing'!$O$7:$O$56,$O13),""))))</f>
        <v/>
      </c>
      <c r="I13" s="71">
        <f>IF($N13&lt;&gt;"OK","",$D13*$H13)</f>
        <v/>
      </c>
      <c r="J13" s="71">
        <f>IF($N13&lt;&gt;"OK","",N(INDEX('Menu Pricing'!$F$7:$F$56,$O13))+N(INDEX('Menu Pricing'!$G$7:$G$56,$O13))+N(INDEX('Menu Pricing'!$J$7:$J$56,$O13)))</f>
        <v/>
      </c>
      <c r="K13" s="71">
        <f>IF($N13&lt;&gt;"OK","",$D13*$J13)</f>
        <v/>
      </c>
      <c r="L13" s="71">
        <f>IF($N13&lt;&gt;"OK","",$I13-$K13)</f>
        <v/>
      </c>
      <c r="M13" s="71">
        <f>IF($N13&lt;&gt;"OK","",$D13*N(INDEX('Menu Pricing'!$F$7:$F$56,$O13)))</f>
        <v/>
      </c>
      <c r="N13" s="80">
        <f>IF(AND($B13="",$C13="",$D13=""),"",IF(NOT(ISNUMBER($B13)),"Enter a valid date",IF($C13="","Pick a menu item",IF($O13="","Item not on Menu Pricing",IF(N($D13)&lt;=0,"Qty must be above 0",IF($H13="","No price on menu","OK"))))))</f>
        <v/>
      </c>
      <c r="O13" s="13">
        <f>IF($C13="","",IFERROR(MATCH($C13,'Menu Pricing'!$B$7:$B$56,0),""))</f>
        <v/>
      </c>
    </row>
    <row r="14" ht="17" customHeight="1">
      <c r="B14" s="66" t="n"/>
      <c r="C14" s="60" t="n"/>
      <c r="D14" s="86" t="n"/>
      <c r="E14" s="63" t="n"/>
      <c r="F14" s="60" t="n"/>
      <c r="G14" s="60" t="n"/>
      <c r="H14" s="71">
        <f>IF(OR($C14="",$D14=""),"",IF(ISNUMBER($E14),$E14,IF($O14="","",IF(N(INDEX('Menu Pricing'!$O$7:$O$56,$O14))&gt;0,INDEX('Menu Pricing'!$O$7:$O$56,$O14),""))))</f>
        <v/>
      </c>
      <c r="I14" s="71">
        <f>IF($N14&lt;&gt;"OK","",$D14*$H14)</f>
        <v/>
      </c>
      <c r="J14" s="71">
        <f>IF($N14&lt;&gt;"OK","",N(INDEX('Menu Pricing'!$F$7:$F$56,$O14))+N(INDEX('Menu Pricing'!$G$7:$G$56,$O14))+N(INDEX('Menu Pricing'!$J$7:$J$56,$O14)))</f>
        <v/>
      </c>
      <c r="K14" s="71">
        <f>IF($N14&lt;&gt;"OK","",$D14*$J14)</f>
        <v/>
      </c>
      <c r="L14" s="71">
        <f>IF($N14&lt;&gt;"OK","",$I14-$K14)</f>
        <v/>
      </c>
      <c r="M14" s="71">
        <f>IF($N14&lt;&gt;"OK","",$D14*N(INDEX('Menu Pricing'!$F$7:$F$56,$O14)))</f>
        <v/>
      </c>
      <c r="N14" s="80">
        <f>IF(AND($B14="",$C14="",$D14=""),"",IF(NOT(ISNUMBER($B14)),"Enter a valid date",IF($C14="","Pick a menu item",IF($O14="","Item not on Menu Pricing",IF(N($D14)&lt;=0,"Qty must be above 0",IF($H14="","No price on menu","OK"))))))</f>
        <v/>
      </c>
      <c r="O14" s="13">
        <f>IF($C14="","",IFERROR(MATCH($C14,'Menu Pricing'!$B$7:$B$56,0),""))</f>
        <v/>
      </c>
    </row>
    <row r="15" ht="17" customHeight="1">
      <c r="B15" s="66" t="n"/>
      <c r="C15" s="60" t="n"/>
      <c r="D15" s="86" t="n"/>
      <c r="E15" s="63" t="n"/>
      <c r="F15" s="60" t="n"/>
      <c r="G15" s="60" t="n"/>
      <c r="H15" s="71">
        <f>IF(OR($C15="",$D15=""),"",IF(ISNUMBER($E15),$E15,IF($O15="","",IF(N(INDEX('Menu Pricing'!$O$7:$O$56,$O15))&gt;0,INDEX('Menu Pricing'!$O$7:$O$56,$O15),""))))</f>
        <v/>
      </c>
      <c r="I15" s="71">
        <f>IF($N15&lt;&gt;"OK","",$D15*$H15)</f>
        <v/>
      </c>
      <c r="J15" s="71">
        <f>IF($N15&lt;&gt;"OK","",N(INDEX('Menu Pricing'!$F$7:$F$56,$O15))+N(INDEX('Menu Pricing'!$G$7:$G$56,$O15))+N(INDEX('Menu Pricing'!$J$7:$J$56,$O15)))</f>
        <v/>
      </c>
      <c r="K15" s="71">
        <f>IF($N15&lt;&gt;"OK","",$D15*$J15)</f>
        <v/>
      </c>
      <c r="L15" s="71">
        <f>IF($N15&lt;&gt;"OK","",$I15-$K15)</f>
        <v/>
      </c>
      <c r="M15" s="71">
        <f>IF($N15&lt;&gt;"OK","",$D15*N(INDEX('Menu Pricing'!$F$7:$F$56,$O15)))</f>
        <v/>
      </c>
      <c r="N15" s="80">
        <f>IF(AND($B15="",$C15="",$D15=""),"",IF(NOT(ISNUMBER($B15)),"Enter a valid date",IF($C15="","Pick a menu item",IF($O15="","Item not on Menu Pricing",IF(N($D15)&lt;=0,"Qty must be above 0",IF($H15="","No price on menu","OK"))))))</f>
        <v/>
      </c>
      <c r="O15" s="13">
        <f>IF($C15="","",IFERROR(MATCH($C15,'Menu Pricing'!$B$7:$B$56,0),""))</f>
        <v/>
      </c>
    </row>
    <row r="16" ht="17" customHeight="1">
      <c r="B16" s="66" t="n"/>
      <c r="C16" s="60" t="n"/>
      <c r="D16" s="86" t="n"/>
      <c r="E16" s="63" t="n"/>
      <c r="F16" s="60" t="n"/>
      <c r="G16" s="60" t="n"/>
      <c r="H16" s="71">
        <f>IF(OR($C16="",$D16=""),"",IF(ISNUMBER($E16),$E16,IF($O16="","",IF(N(INDEX('Menu Pricing'!$O$7:$O$56,$O16))&gt;0,INDEX('Menu Pricing'!$O$7:$O$56,$O16),""))))</f>
        <v/>
      </c>
      <c r="I16" s="71">
        <f>IF($N16&lt;&gt;"OK","",$D16*$H16)</f>
        <v/>
      </c>
      <c r="J16" s="71">
        <f>IF($N16&lt;&gt;"OK","",N(INDEX('Menu Pricing'!$F$7:$F$56,$O16))+N(INDEX('Menu Pricing'!$G$7:$G$56,$O16))+N(INDEX('Menu Pricing'!$J$7:$J$56,$O16)))</f>
        <v/>
      </c>
      <c r="K16" s="71">
        <f>IF($N16&lt;&gt;"OK","",$D16*$J16)</f>
        <v/>
      </c>
      <c r="L16" s="71">
        <f>IF($N16&lt;&gt;"OK","",$I16-$K16)</f>
        <v/>
      </c>
      <c r="M16" s="71">
        <f>IF($N16&lt;&gt;"OK","",$D16*N(INDEX('Menu Pricing'!$F$7:$F$56,$O16)))</f>
        <v/>
      </c>
      <c r="N16" s="80">
        <f>IF(AND($B16="",$C16="",$D16=""),"",IF(NOT(ISNUMBER($B16)),"Enter a valid date",IF($C16="","Pick a menu item",IF($O16="","Item not on Menu Pricing",IF(N($D16)&lt;=0,"Qty must be above 0",IF($H16="","No price on menu","OK"))))))</f>
        <v/>
      </c>
      <c r="O16" s="13">
        <f>IF($C16="","",IFERROR(MATCH($C16,'Menu Pricing'!$B$7:$B$56,0),""))</f>
        <v/>
      </c>
    </row>
    <row r="17" ht="17" customHeight="1">
      <c r="B17" s="66" t="n"/>
      <c r="C17" s="60" t="n"/>
      <c r="D17" s="86" t="n"/>
      <c r="E17" s="63" t="n"/>
      <c r="F17" s="60" t="n"/>
      <c r="G17" s="60" t="n"/>
      <c r="H17" s="71">
        <f>IF(OR($C17="",$D17=""),"",IF(ISNUMBER($E17),$E17,IF($O17="","",IF(N(INDEX('Menu Pricing'!$O$7:$O$56,$O17))&gt;0,INDEX('Menu Pricing'!$O$7:$O$56,$O17),""))))</f>
        <v/>
      </c>
      <c r="I17" s="71">
        <f>IF($N17&lt;&gt;"OK","",$D17*$H17)</f>
        <v/>
      </c>
      <c r="J17" s="71">
        <f>IF($N17&lt;&gt;"OK","",N(INDEX('Menu Pricing'!$F$7:$F$56,$O17))+N(INDEX('Menu Pricing'!$G$7:$G$56,$O17))+N(INDEX('Menu Pricing'!$J$7:$J$56,$O17)))</f>
        <v/>
      </c>
      <c r="K17" s="71">
        <f>IF($N17&lt;&gt;"OK","",$D17*$J17)</f>
        <v/>
      </c>
      <c r="L17" s="71">
        <f>IF($N17&lt;&gt;"OK","",$I17-$K17)</f>
        <v/>
      </c>
      <c r="M17" s="71">
        <f>IF($N17&lt;&gt;"OK","",$D17*N(INDEX('Menu Pricing'!$F$7:$F$56,$O17)))</f>
        <v/>
      </c>
      <c r="N17" s="80">
        <f>IF(AND($B17="",$C17="",$D17=""),"",IF(NOT(ISNUMBER($B17)),"Enter a valid date",IF($C17="","Pick a menu item",IF($O17="","Item not on Menu Pricing",IF(N($D17)&lt;=0,"Qty must be above 0",IF($H17="","No price on menu","OK"))))))</f>
        <v/>
      </c>
      <c r="O17" s="13">
        <f>IF($C17="","",IFERROR(MATCH($C17,'Menu Pricing'!$B$7:$B$56,0),""))</f>
        <v/>
      </c>
    </row>
    <row r="18" ht="17" customHeight="1">
      <c r="B18" s="66" t="n"/>
      <c r="C18" s="60" t="n"/>
      <c r="D18" s="86" t="n"/>
      <c r="E18" s="63" t="n"/>
      <c r="F18" s="60" t="n"/>
      <c r="G18" s="60" t="n"/>
      <c r="H18" s="71">
        <f>IF(OR($C18="",$D18=""),"",IF(ISNUMBER($E18),$E18,IF($O18="","",IF(N(INDEX('Menu Pricing'!$O$7:$O$56,$O18))&gt;0,INDEX('Menu Pricing'!$O$7:$O$56,$O18),""))))</f>
        <v/>
      </c>
      <c r="I18" s="71">
        <f>IF($N18&lt;&gt;"OK","",$D18*$H18)</f>
        <v/>
      </c>
      <c r="J18" s="71">
        <f>IF($N18&lt;&gt;"OK","",N(INDEX('Menu Pricing'!$F$7:$F$56,$O18))+N(INDEX('Menu Pricing'!$G$7:$G$56,$O18))+N(INDEX('Menu Pricing'!$J$7:$J$56,$O18)))</f>
        <v/>
      </c>
      <c r="K18" s="71">
        <f>IF($N18&lt;&gt;"OK","",$D18*$J18)</f>
        <v/>
      </c>
      <c r="L18" s="71">
        <f>IF($N18&lt;&gt;"OK","",$I18-$K18)</f>
        <v/>
      </c>
      <c r="M18" s="71">
        <f>IF($N18&lt;&gt;"OK","",$D18*N(INDEX('Menu Pricing'!$F$7:$F$56,$O18)))</f>
        <v/>
      </c>
      <c r="N18" s="80">
        <f>IF(AND($B18="",$C18="",$D18=""),"",IF(NOT(ISNUMBER($B18)),"Enter a valid date",IF($C18="","Pick a menu item",IF($O18="","Item not on Menu Pricing",IF(N($D18)&lt;=0,"Qty must be above 0",IF($H18="","No price on menu","OK"))))))</f>
        <v/>
      </c>
      <c r="O18" s="13">
        <f>IF($C18="","",IFERROR(MATCH($C18,'Menu Pricing'!$B$7:$B$56,0),""))</f>
        <v/>
      </c>
    </row>
    <row r="19" ht="17" customHeight="1">
      <c r="B19" s="66" t="n"/>
      <c r="C19" s="60" t="n"/>
      <c r="D19" s="86" t="n"/>
      <c r="E19" s="63" t="n"/>
      <c r="F19" s="60" t="n"/>
      <c r="G19" s="60" t="n"/>
      <c r="H19" s="71">
        <f>IF(OR($C19="",$D19=""),"",IF(ISNUMBER($E19),$E19,IF($O19="","",IF(N(INDEX('Menu Pricing'!$O$7:$O$56,$O19))&gt;0,INDEX('Menu Pricing'!$O$7:$O$56,$O19),""))))</f>
        <v/>
      </c>
      <c r="I19" s="71">
        <f>IF($N19&lt;&gt;"OK","",$D19*$H19)</f>
        <v/>
      </c>
      <c r="J19" s="71">
        <f>IF($N19&lt;&gt;"OK","",N(INDEX('Menu Pricing'!$F$7:$F$56,$O19))+N(INDEX('Menu Pricing'!$G$7:$G$56,$O19))+N(INDEX('Menu Pricing'!$J$7:$J$56,$O19)))</f>
        <v/>
      </c>
      <c r="K19" s="71">
        <f>IF($N19&lt;&gt;"OK","",$D19*$J19)</f>
        <v/>
      </c>
      <c r="L19" s="71">
        <f>IF($N19&lt;&gt;"OK","",$I19-$K19)</f>
        <v/>
      </c>
      <c r="M19" s="71">
        <f>IF($N19&lt;&gt;"OK","",$D19*N(INDEX('Menu Pricing'!$F$7:$F$56,$O19)))</f>
        <v/>
      </c>
      <c r="N19" s="80">
        <f>IF(AND($B19="",$C19="",$D19=""),"",IF(NOT(ISNUMBER($B19)),"Enter a valid date",IF($C19="","Pick a menu item",IF($O19="","Item not on Menu Pricing",IF(N($D19)&lt;=0,"Qty must be above 0",IF($H19="","No price on menu","OK"))))))</f>
        <v/>
      </c>
      <c r="O19" s="13">
        <f>IF($C19="","",IFERROR(MATCH($C19,'Menu Pricing'!$B$7:$B$56,0),""))</f>
        <v/>
      </c>
    </row>
    <row r="20" ht="17" customHeight="1">
      <c r="B20" s="66" t="n"/>
      <c r="C20" s="60" t="n"/>
      <c r="D20" s="86" t="n"/>
      <c r="E20" s="63" t="n"/>
      <c r="F20" s="60" t="n"/>
      <c r="G20" s="60" t="n"/>
      <c r="H20" s="71">
        <f>IF(OR($C20="",$D20=""),"",IF(ISNUMBER($E20),$E20,IF($O20="","",IF(N(INDEX('Menu Pricing'!$O$7:$O$56,$O20))&gt;0,INDEX('Menu Pricing'!$O$7:$O$56,$O20),""))))</f>
        <v/>
      </c>
      <c r="I20" s="71">
        <f>IF($N20&lt;&gt;"OK","",$D20*$H20)</f>
        <v/>
      </c>
      <c r="J20" s="71">
        <f>IF($N20&lt;&gt;"OK","",N(INDEX('Menu Pricing'!$F$7:$F$56,$O20))+N(INDEX('Menu Pricing'!$G$7:$G$56,$O20))+N(INDEX('Menu Pricing'!$J$7:$J$56,$O20)))</f>
        <v/>
      </c>
      <c r="K20" s="71">
        <f>IF($N20&lt;&gt;"OK","",$D20*$J20)</f>
        <v/>
      </c>
      <c r="L20" s="71">
        <f>IF($N20&lt;&gt;"OK","",$I20-$K20)</f>
        <v/>
      </c>
      <c r="M20" s="71">
        <f>IF($N20&lt;&gt;"OK","",$D20*N(INDEX('Menu Pricing'!$F$7:$F$56,$O20)))</f>
        <v/>
      </c>
      <c r="N20" s="80">
        <f>IF(AND($B20="",$C20="",$D20=""),"",IF(NOT(ISNUMBER($B20)),"Enter a valid date",IF($C20="","Pick a menu item",IF($O20="","Item not on Menu Pricing",IF(N($D20)&lt;=0,"Qty must be above 0",IF($H20="","No price on menu","OK"))))))</f>
        <v/>
      </c>
      <c r="O20" s="13">
        <f>IF($C20="","",IFERROR(MATCH($C20,'Menu Pricing'!$B$7:$B$56,0),""))</f>
        <v/>
      </c>
    </row>
    <row r="21" ht="17" customHeight="1">
      <c r="B21" s="66" t="n"/>
      <c r="C21" s="60" t="n"/>
      <c r="D21" s="86" t="n"/>
      <c r="E21" s="63" t="n"/>
      <c r="F21" s="60" t="n"/>
      <c r="G21" s="60" t="n"/>
      <c r="H21" s="71">
        <f>IF(OR($C21="",$D21=""),"",IF(ISNUMBER($E21),$E21,IF($O21="","",IF(N(INDEX('Menu Pricing'!$O$7:$O$56,$O21))&gt;0,INDEX('Menu Pricing'!$O$7:$O$56,$O21),""))))</f>
        <v/>
      </c>
      <c r="I21" s="71">
        <f>IF($N21&lt;&gt;"OK","",$D21*$H21)</f>
        <v/>
      </c>
      <c r="J21" s="71">
        <f>IF($N21&lt;&gt;"OK","",N(INDEX('Menu Pricing'!$F$7:$F$56,$O21))+N(INDEX('Menu Pricing'!$G$7:$G$56,$O21))+N(INDEX('Menu Pricing'!$J$7:$J$56,$O21)))</f>
        <v/>
      </c>
      <c r="K21" s="71">
        <f>IF($N21&lt;&gt;"OK","",$D21*$J21)</f>
        <v/>
      </c>
      <c r="L21" s="71">
        <f>IF($N21&lt;&gt;"OK","",$I21-$K21)</f>
        <v/>
      </c>
      <c r="M21" s="71">
        <f>IF($N21&lt;&gt;"OK","",$D21*N(INDEX('Menu Pricing'!$F$7:$F$56,$O21)))</f>
        <v/>
      </c>
      <c r="N21" s="80">
        <f>IF(AND($B21="",$C21="",$D21=""),"",IF(NOT(ISNUMBER($B21)),"Enter a valid date",IF($C21="","Pick a menu item",IF($O21="","Item not on Menu Pricing",IF(N($D21)&lt;=0,"Qty must be above 0",IF($H21="","No price on menu","OK"))))))</f>
        <v/>
      </c>
      <c r="O21" s="13">
        <f>IF($C21="","",IFERROR(MATCH($C21,'Menu Pricing'!$B$7:$B$56,0),""))</f>
        <v/>
      </c>
    </row>
    <row r="22" ht="17" customHeight="1">
      <c r="B22" s="66" t="n"/>
      <c r="C22" s="60" t="n"/>
      <c r="D22" s="86" t="n"/>
      <c r="E22" s="63" t="n"/>
      <c r="F22" s="60" t="n"/>
      <c r="G22" s="60" t="n"/>
      <c r="H22" s="71">
        <f>IF(OR($C22="",$D22=""),"",IF(ISNUMBER($E22),$E22,IF($O22="","",IF(N(INDEX('Menu Pricing'!$O$7:$O$56,$O22))&gt;0,INDEX('Menu Pricing'!$O$7:$O$56,$O22),""))))</f>
        <v/>
      </c>
      <c r="I22" s="71">
        <f>IF($N22&lt;&gt;"OK","",$D22*$H22)</f>
        <v/>
      </c>
      <c r="J22" s="71">
        <f>IF($N22&lt;&gt;"OK","",N(INDEX('Menu Pricing'!$F$7:$F$56,$O22))+N(INDEX('Menu Pricing'!$G$7:$G$56,$O22))+N(INDEX('Menu Pricing'!$J$7:$J$56,$O22)))</f>
        <v/>
      </c>
      <c r="K22" s="71">
        <f>IF($N22&lt;&gt;"OK","",$D22*$J22)</f>
        <v/>
      </c>
      <c r="L22" s="71">
        <f>IF($N22&lt;&gt;"OK","",$I22-$K22)</f>
        <v/>
      </c>
      <c r="M22" s="71">
        <f>IF($N22&lt;&gt;"OK","",$D22*N(INDEX('Menu Pricing'!$F$7:$F$56,$O22)))</f>
        <v/>
      </c>
      <c r="N22" s="80">
        <f>IF(AND($B22="",$C22="",$D22=""),"",IF(NOT(ISNUMBER($B22)),"Enter a valid date",IF($C22="","Pick a menu item",IF($O22="","Item not on Menu Pricing",IF(N($D22)&lt;=0,"Qty must be above 0",IF($H22="","No price on menu","OK"))))))</f>
        <v/>
      </c>
      <c r="O22" s="13">
        <f>IF($C22="","",IFERROR(MATCH($C22,'Menu Pricing'!$B$7:$B$56,0),""))</f>
        <v/>
      </c>
    </row>
    <row r="23" ht="17" customHeight="1">
      <c r="B23" s="66" t="n"/>
      <c r="C23" s="60" t="n"/>
      <c r="D23" s="86" t="n"/>
      <c r="E23" s="63" t="n"/>
      <c r="F23" s="60" t="n"/>
      <c r="G23" s="60" t="n"/>
      <c r="H23" s="71">
        <f>IF(OR($C23="",$D23=""),"",IF(ISNUMBER($E23),$E23,IF($O23="","",IF(N(INDEX('Menu Pricing'!$O$7:$O$56,$O23))&gt;0,INDEX('Menu Pricing'!$O$7:$O$56,$O23),""))))</f>
        <v/>
      </c>
      <c r="I23" s="71">
        <f>IF($N23&lt;&gt;"OK","",$D23*$H23)</f>
        <v/>
      </c>
      <c r="J23" s="71">
        <f>IF($N23&lt;&gt;"OK","",N(INDEX('Menu Pricing'!$F$7:$F$56,$O23))+N(INDEX('Menu Pricing'!$G$7:$G$56,$O23))+N(INDEX('Menu Pricing'!$J$7:$J$56,$O23)))</f>
        <v/>
      </c>
      <c r="K23" s="71">
        <f>IF($N23&lt;&gt;"OK","",$D23*$J23)</f>
        <v/>
      </c>
      <c r="L23" s="71">
        <f>IF($N23&lt;&gt;"OK","",$I23-$K23)</f>
        <v/>
      </c>
      <c r="M23" s="71">
        <f>IF($N23&lt;&gt;"OK","",$D23*N(INDEX('Menu Pricing'!$F$7:$F$56,$O23)))</f>
        <v/>
      </c>
      <c r="N23" s="80">
        <f>IF(AND($B23="",$C23="",$D23=""),"",IF(NOT(ISNUMBER($B23)),"Enter a valid date",IF($C23="","Pick a menu item",IF($O23="","Item not on Menu Pricing",IF(N($D23)&lt;=0,"Qty must be above 0",IF($H23="","No price on menu","OK"))))))</f>
        <v/>
      </c>
      <c r="O23" s="13">
        <f>IF($C23="","",IFERROR(MATCH($C23,'Menu Pricing'!$B$7:$B$56,0),""))</f>
        <v/>
      </c>
    </row>
    <row r="24" ht="17" customHeight="1">
      <c r="B24" s="66" t="n"/>
      <c r="C24" s="60" t="n"/>
      <c r="D24" s="86" t="n"/>
      <c r="E24" s="63" t="n"/>
      <c r="F24" s="60" t="n"/>
      <c r="G24" s="60" t="n"/>
      <c r="H24" s="71">
        <f>IF(OR($C24="",$D24=""),"",IF(ISNUMBER($E24),$E24,IF($O24="","",IF(N(INDEX('Menu Pricing'!$O$7:$O$56,$O24))&gt;0,INDEX('Menu Pricing'!$O$7:$O$56,$O24),""))))</f>
        <v/>
      </c>
      <c r="I24" s="71">
        <f>IF($N24&lt;&gt;"OK","",$D24*$H24)</f>
        <v/>
      </c>
      <c r="J24" s="71">
        <f>IF($N24&lt;&gt;"OK","",N(INDEX('Menu Pricing'!$F$7:$F$56,$O24))+N(INDEX('Menu Pricing'!$G$7:$G$56,$O24))+N(INDEX('Menu Pricing'!$J$7:$J$56,$O24)))</f>
        <v/>
      </c>
      <c r="K24" s="71">
        <f>IF($N24&lt;&gt;"OK","",$D24*$J24)</f>
        <v/>
      </c>
      <c r="L24" s="71">
        <f>IF($N24&lt;&gt;"OK","",$I24-$K24)</f>
        <v/>
      </c>
      <c r="M24" s="71">
        <f>IF($N24&lt;&gt;"OK","",$D24*N(INDEX('Menu Pricing'!$F$7:$F$56,$O24)))</f>
        <v/>
      </c>
      <c r="N24" s="80">
        <f>IF(AND($B24="",$C24="",$D24=""),"",IF(NOT(ISNUMBER($B24)),"Enter a valid date",IF($C24="","Pick a menu item",IF($O24="","Item not on Menu Pricing",IF(N($D24)&lt;=0,"Qty must be above 0",IF($H24="","No price on menu","OK"))))))</f>
        <v/>
      </c>
      <c r="O24" s="13">
        <f>IF($C24="","",IFERROR(MATCH($C24,'Menu Pricing'!$B$7:$B$56,0),""))</f>
        <v/>
      </c>
    </row>
    <row r="25" ht="17" customHeight="1">
      <c r="B25" s="66" t="n"/>
      <c r="C25" s="60" t="n"/>
      <c r="D25" s="86" t="n"/>
      <c r="E25" s="63" t="n"/>
      <c r="F25" s="60" t="n"/>
      <c r="G25" s="60" t="n"/>
      <c r="H25" s="71">
        <f>IF(OR($C25="",$D25=""),"",IF(ISNUMBER($E25),$E25,IF($O25="","",IF(N(INDEX('Menu Pricing'!$O$7:$O$56,$O25))&gt;0,INDEX('Menu Pricing'!$O$7:$O$56,$O25),""))))</f>
        <v/>
      </c>
      <c r="I25" s="71">
        <f>IF($N25&lt;&gt;"OK","",$D25*$H25)</f>
        <v/>
      </c>
      <c r="J25" s="71">
        <f>IF($N25&lt;&gt;"OK","",N(INDEX('Menu Pricing'!$F$7:$F$56,$O25))+N(INDEX('Menu Pricing'!$G$7:$G$56,$O25))+N(INDEX('Menu Pricing'!$J$7:$J$56,$O25)))</f>
        <v/>
      </c>
      <c r="K25" s="71">
        <f>IF($N25&lt;&gt;"OK","",$D25*$J25)</f>
        <v/>
      </c>
      <c r="L25" s="71">
        <f>IF($N25&lt;&gt;"OK","",$I25-$K25)</f>
        <v/>
      </c>
      <c r="M25" s="71">
        <f>IF($N25&lt;&gt;"OK","",$D25*N(INDEX('Menu Pricing'!$F$7:$F$56,$O25)))</f>
        <v/>
      </c>
      <c r="N25" s="80">
        <f>IF(AND($B25="",$C25="",$D25=""),"",IF(NOT(ISNUMBER($B25)),"Enter a valid date",IF($C25="","Pick a menu item",IF($O25="","Item not on Menu Pricing",IF(N($D25)&lt;=0,"Qty must be above 0",IF($H25="","No price on menu","OK"))))))</f>
        <v/>
      </c>
      <c r="O25" s="13">
        <f>IF($C25="","",IFERROR(MATCH($C25,'Menu Pricing'!$B$7:$B$56,0),""))</f>
        <v/>
      </c>
    </row>
    <row r="26" ht="17" customHeight="1">
      <c r="B26" s="66" t="n"/>
      <c r="C26" s="60" t="n"/>
      <c r="D26" s="86" t="n"/>
      <c r="E26" s="63" t="n"/>
      <c r="F26" s="60" t="n"/>
      <c r="G26" s="60" t="n"/>
      <c r="H26" s="71">
        <f>IF(OR($C26="",$D26=""),"",IF(ISNUMBER($E26),$E26,IF($O26="","",IF(N(INDEX('Menu Pricing'!$O$7:$O$56,$O26))&gt;0,INDEX('Menu Pricing'!$O$7:$O$56,$O26),""))))</f>
        <v/>
      </c>
      <c r="I26" s="71">
        <f>IF($N26&lt;&gt;"OK","",$D26*$H26)</f>
        <v/>
      </c>
      <c r="J26" s="71">
        <f>IF($N26&lt;&gt;"OK","",N(INDEX('Menu Pricing'!$F$7:$F$56,$O26))+N(INDEX('Menu Pricing'!$G$7:$G$56,$O26))+N(INDEX('Menu Pricing'!$J$7:$J$56,$O26)))</f>
        <v/>
      </c>
      <c r="K26" s="71">
        <f>IF($N26&lt;&gt;"OK","",$D26*$J26)</f>
        <v/>
      </c>
      <c r="L26" s="71">
        <f>IF($N26&lt;&gt;"OK","",$I26-$K26)</f>
        <v/>
      </c>
      <c r="M26" s="71">
        <f>IF($N26&lt;&gt;"OK","",$D26*N(INDEX('Menu Pricing'!$F$7:$F$56,$O26)))</f>
        <v/>
      </c>
      <c r="N26" s="80">
        <f>IF(AND($B26="",$C26="",$D26=""),"",IF(NOT(ISNUMBER($B26)),"Enter a valid date",IF($C26="","Pick a menu item",IF($O26="","Item not on Menu Pricing",IF(N($D26)&lt;=0,"Qty must be above 0",IF($H26="","No price on menu","OK"))))))</f>
        <v/>
      </c>
      <c r="O26" s="13">
        <f>IF($C26="","",IFERROR(MATCH($C26,'Menu Pricing'!$B$7:$B$56,0),""))</f>
        <v/>
      </c>
    </row>
    <row r="27" ht="17" customHeight="1">
      <c r="B27" s="66" t="n"/>
      <c r="C27" s="60" t="n"/>
      <c r="D27" s="86" t="n"/>
      <c r="E27" s="63" t="n"/>
      <c r="F27" s="60" t="n"/>
      <c r="G27" s="60" t="n"/>
      <c r="H27" s="71">
        <f>IF(OR($C27="",$D27=""),"",IF(ISNUMBER($E27),$E27,IF($O27="","",IF(N(INDEX('Menu Pricing'!$O$7:$O$56,$O27))&gt;0,INDEX('Menu Pricing'!$O$7:$O$56,$O27),""))))</f>
        <v/>
      </c>
      <c r="I27" s="71">
        <f>IF($N27&lt;&gt;"OK","",$D27*$H27)</f>
        <v/>
      </c>
      <c r="J27" s="71">
        <f>IF($N27&lt;&gt;"OK","",N(INDEX('Menu Pricing'!$F$7:$F$56,$O27))+N(INDEX('Menu Pricing'!$G$7:$G$56,$O27))+N(INDEX('Menu Pricing'!$J$7:$J$56,$O27)))</f>
        <v/>
      </c>
      <c r="K27" s="71">
        <f>IF($N27&lt;&gt;"OK","",$D27*$J27)</f>
        <v/>
      </c>
      <c r="L27" s="71">
        <f>IF($N27&lt;&gt;"OK","",$I27-$K27)</f>
        <v/>
      </c>
      <c r="M27" s="71">
        <f>IF($N27&lt;&gt;"OK","",$D27*N(INDEX('Menu Pricing'!$F$7:$F$56,$O27)))</f>
        <v/>
      </c>
      <c r="N27" s="80">
        <f>IF(AND($B27="",$C27="",$D27=""),"",IF(NOT(ISNUMBER($B27)),"Enter a valid date",IF($C27="","Pick a menu item",IF($O27="","Item not on Menu Pricing",IF(N($D27)&lt;=0,"Qty must be above 0",IF($H27="","No price on menu","OK"))))))</f>
        <v/>
      </c>
      <c r="O27" s="13">
        <f>IF($C27="","",IFERROR(MATCH($C27,'Menu Pricing'!$B$7:$B$56,0),""))</f>
        <v/>
      </c>
    </row>
    <row r="28" ht="17" customHeight="1">
      <c r="B28" s="66" t="n"/>
      <c r="C28" s="60" t="n"/>
      <c r="D28" s="86" t="n"/>
      <c r="E28" s="63" t="n"/>
      <c r="F28" s="60" t="n"/>
      <c r="G28" s="60" t="n"/>
      <c r="H28" s="71">
        <f>IF(OR($C28="",$D28=""),"",IF(ISNUMBER($E28),$E28,IF($O28="","",IF(N(INDEX('Menu Pricing'!$O$7:$O$56,$O28))&gt;0,INDEX('Menu Pricing'!$O$7:$O$56,$O28),""))))</f>
        <v/>
      </c>
      <c r="I28" s="71">
        <f>IF($N28&lt;&gt;"OK","",$D28*$H28)</f>
        <v/>
      </c>
      <c r="J28" s="71">
        <f>IF($N28&lt;&gt;"OK","",N(INDEX('Menu Pricing'!$F$7:$F$56,$O28))+N(INDEX('Menu Pricing'!$G$7:$G$56,$O28))+N(INDEX('Menu Pricing'!$J$7:$J$56,$O28)))</f>
        <v/>
      </c>
      <c r="K28" s="71">
        <f>IF($N28&lt;&gt;"OK","",$D28*$J28)</f>
        <v/>
      </c>
      <c r="L28" s="71">
        <f>IF($N28&lt;&gt;"OK","",$I28-$K28)</f>
        <v/>
      </c>
      <c r="M28" s="71">
        <f>IF($N28&lt;&gt;"OK","",$D28*N(INDEX('Menu Pricing'!$F$7:$F$56,$O28)))</f>
        <v/>
      </c>
      <c r="N28" s="80">
        <f>IF(AND($B28="",$C28="",$D28=""),"",IF(NOT(ISNUMBER($B28)),"Enter a valid date",IF($C28="","Pick a menu item",IF($O28="","Item not on Menu Pricing",IF(N($D28)&lt;=0,"Qty must be above 0",IF($H28="","No price on menu","OK"))))))</f>
        <v/>
      </c>
      <c r="O28" s="13">
        <f>IF($C28="","",IFERROR(MATCH($C28,'Menu Pricing'!$B$7:$B$56,0),""))</f>
        <v/>
      </c>
    </row>
    <row r="29" ht="17" customHeight="1">
      <c r="B29" s="66" t="n"/>
      <c r="C29" s="60" t="n"/>
      <c r="D29" s="86" t="n"/>
      <c r="E29" s="63" t="n"/>
      <c r="F29" s="60" t="n"/>
      <c r="G29" s="60" t="n"/>
      <c r="H29" s="71">
        <f>IF(OR($C29="",$D29=""),"",IF(ISNUMBER($E29),$E29,IF($O29="","",IF(N(INDEX('Menu Pricing'!$O$7:$O$56,$O29))&gt;0,INDEX('Menu Pricing'!$O$7:$O$56,$O29),""))))</f>
        <v/>
      </c>
      <c r="I29" s="71">
        <f>IF($N29&lt;&gt;"OK","",$D29*$H29)</f>
        <v/>
      </c>
      <c r="J29" s="71">
        <f>IF($N29&lt;&gt;"OK","",N(INDEX('Menu Pricing'!$F$7:$F$56,$O29))+N(INDEX('Menu Pricing'!$G$7:$G$56,$O29))+N(INDEX('Menu Pricing'!$J$7:$J$56,$O29)))</f>
        <v/>
      </c>
      <c r="K29" s="71">
        <f>IF($N29&lt;&gt;"OK","",$D29*$J29)</f>
        <v/>
      </c>
      <c r="L29" s="71">
        <f>IF($N29&lt;&gt;"OK","",$I29-$K29)</f>
        <v/>
      </c>
      <c r="M29" s="71">
        <f>IF($N29&lt;&gt;"OK","",$D29*N(INDEX('Menu Pricing'!$F$7:$F$56,$O29)))</f>
        <v/>
      </c>
      <c r="N29" s="80">
        <f>IF(AND($B29="",$C29="",$D29=""),"",IF(NOT(ISNUMBER($B29)),"Enter a valid date",IF($C29="","Pick a menu item",IF($O29="","Item not on Menu Pricing",IF(N($D29)&lt;=0,"Qty must be above 0",IF($H29="","No price on menu","OK"))))))</f>
        <v/>
      </c>
      <c r="O29" s="13">
        <f>IF($C29="","",IFERROR(MATCH($C29,'Menu Pricing'!$B$7:$B$56,0),""))</f>
        <v/>
      </c>
    </row>
    <row r="30" ht="17" customHeight="1">
      <c r="B30" s="66" t="n"/>
      <c r="C30" s="60" t="n"/>
      <c r="D30" s="86" t="n"/>
      <c r="E30" s="63" t="n"/>
      <c r="F30" s="60" t="n"/>
      <c r="G30" s="60" t="n"/>
      <c r="H30" s="71">
        <f>IF(OR($C30="",$D30=""),"",IF(ISNUMBER($E30),$E30,IF($O30="","",IF(N(INDEX('Menu Pricing'!$O$7:$O$56,$O30))&gt;0,INDEX('Menu Pricing'!$O$7:$O$56,$O30),""))))</f>
        <v/>
      </c>
      <c r="I30" s="71">
        <f>IF($N30&lt;&gt;"OK","",$D30*$H30)</f>
        <v/>
      </c>
      <c r="J30" s="71">
        <f>IF($N30&lt;&gt;"OK","",N(INDEX('Menu Pricing'!$F$7:$F$56,$O30))+N(INDEX('Menu Pricing'!$G$7:$G$56,$O30))+N(INDEX('Menu Pricing'!$J$7:$J$56,$O30)))</f>
        <v/>
      </c>
      <c r="K30" s="71">
        <f>IF($N30&lt;&gt;"OK","",$D30*$J30)</f>
        <v/>
      </c>
      <c r="L30" s="71">
        <f>IF($N30&lt;&gt;"OK","",$I30-$K30)</f>
        <v/>
      </c>
      <c r="M30" s="71">
        <f>IF($N30&lt;&gt;"OK","",$D30*N(INDEX('Menu Pricing'!$F$7:$F$56,$O30)))</f>
        <v/>
      </c>
      <c r="N30" s="80">
        <f>IF(AND($B30="",$C30="",$D30=""),"",IF(NOT(ISNUMBER($B30)),"Enter a valid date",IF($C30="","Pick a menu item",IF($O30="","Item not on Menu Pricing",IF(N($D30)&lt;=0,"Qty must be above 0",IF($H30="","No price on menu","OK"))))))</f>
        <v/>
      </c>
      <c r="O30" s="13">
        <f>IF($C30="","",IFERROR(MATCH($C30,'Menu Pricing'!$B$7:$B$56,0),""))</f>
        <v/>
      </c>
    </row>
    <row r="31" ht="17" customHeight="1">
      <c r="B31" s="66" t="n"/>
      <c r="C31" s="60" t="n"/>
      <c r="D31" s="86" t="n"/>
      <c r="E31" s="63" t="n"/>
      <c r="F31" s="60" t="n"/>
      <c r="G31" s="60" t="n"/>
      <c r="H31" s="71">
        <f>IF(OR($C31="",$D31=""),"",IF(ISNUMBER($E31),$E31,IF($O31="","",IF(N(INDEX('Menu Pricing'!$O$7:$O$56,$O31))&gt;0,INDEX('Menu Pricing'!$O$7:$O$56,$O31),""))))</f>
        <v/>
      </c>
      <c r="I31" s="71">
        <f>IF($N31&lt;&gt;"OK","",$D31*$H31)</f>
        <v/>
      </c>
      <c r="J31" s="71">
        <f>IF($N31&lt;&gt;"OK","",N(INDEX('Menu Pricing'!$F$7:$F$56,$O31))+N(INDEX('Menu Pricing'!$G$7:$G$56,$O31))+N(INDEX('Menu Pricing'!$J$7:$J$56,$O31)))</f>
        <v/>
      </c>
      <c r="K31" s="71">
        <f>IF($N31&lt;&gt;"OK","",$D31*$J31)</f>
        <v/>
      </c>
      <c r="L31" s="71">
        <f>IF($N31&lt;&gt;"OK","",$I31-$K31)</f>
        <v/>
      </c>
      <c r="M31" s="71">
        <f>IF($N31&lt;&gt;"OK","",$D31*N(INDEX('Menu Pricing'!$F$7:$F$56,$O31)))</f>
        <v/>
      </c>
      <c r="N31" s="80">
        <f>IF(AND($B31="",$C31="",$D31=""),"",IF(NOT(ISNUMBER($B31)),"Enter a valid date",IF($C31="","Pick a menu item",IF($O31="","Item not on Menu Pricing",IF(N($D31)&lt;=0,"Qty must be above 0",IF($H31="","No price on menu","OK"))))))</f>
        <v/>
      </c>
      <c r="O31" s="13">
        <f>IF($C31="","",IFERROR(MATCH($C31,'Menu Pricing'!$B$7:$B$56,0),""))</f>
        <v/>
      </c>
    </row>
    <row r="32" ht="17" customHeight="1">
      <c r="B32" s="66" t="n"/>
      <c r="C32" s="60" t="n"/>
      <c r="D32" s="86" t="n"/>
      <c r="E32" s="63" t="n"/>
      <c r="F32" s="60" t="n"/>
      <c r="G32" s="60" t="n"/>
      <c r="H32" s="71">
        <f>IF(OR($C32="",$D32=""),"",IF(ISNUMBER($E32),$E32,IF($O32="","",IF(N(INDEX('Menu Pricing'!$O$7:$O$56,$O32))&gt;0,INDEX('Menu Pricing'!$O$7:$O$56,$O32),""))))</f>
        <v/>
      </c>
      <c r="I32" s="71">
        <f>IF($N32&lt;&gt;"OK","",$D32*$H32)</f>
        <v/>
      </c>
      <c r="J32" s="71">
        <f>IF($N32&lt;&gt;"OK","",N(INDEX('Menu Pricing'!$F$7:$F$56,$O32))+N(INDEX('Menu Pricing'!$G$7:$G$56,$O32))+N(INDEX('Menu Pricing'!$J$7:$J$56,$O32)))</f>
        <v/>
      </c>
      <c r="K32" s="71">
        <f>IF($N32&lt;&gt;"OK","",$D32*$J32)</f>
        <v/>
      </c>
      <c r="L32" s="71">
        <f>IF($N32&lt;&gt;"OK","",$I32-$K32)</f>
        <v/>
      </c>
      <c r="M32" s="71">
        <f>IF($N32&lt;&gt;"OK","",$D32*N(INDEX('Menu Pricing'!$F$7:$F$56,$O32)))</f>
        <v/>
      </c>
      <c r="N32" s="80">
        <f>IF(AND($B32="",$C32="",$D32=""),"",IF(NOT(ISNUMBER($B32)),"Enter a valid date",IF($C32="","Pick a menu item",IF($O32="","Item not on Menu Pricing",IF(N($D32)&lt;=0,"Qty must be above 0",IF($H32="","No price on menu","OK"))))))</f>
        <v/>
      </c>
      <c r="O32" s="13">
        <f>IF($C32="","",IFERROR(MATCH($C32,'Menu Pricing'!$B$7:$B$56,0),""))</f>
        <v/>
      </c>
    </row>
    <row r="33" ht="17" customHeight="1">
      <c r="B33" s="66" t="n"/>
      <c r="C33" s="60" t="n"/>
      <c r="D33" s="86" t="n"/>
      <c r="E33" s="63" t="n"/>
      <c r="F33" s="60" t="n"/>
      <c r="G33" s="60" t="n"/>
      <c r="H33" s="71">
        <f>IF(OR($C33="",$D33=""),"",IF(ISNUMBER($E33),$E33,IF($O33="","",IF(N(INDEX('Menu Pricing'!$O$7:$O$56,$O33))&gt;0,INDEX('Menu Pricing'!$O$7:$O$56,$O33),""))))</f>
        <v/>
      </c>
      <c r="I33" s="71">
        <f>IF($N33&lt;&gt;"OK","",$D33*$H33)</f>
        <v/>
      </c>
      <c r="J33" s="71">
        <f>IF($N33&lt;&gt;"OK","",N(INDEX('Menu Pricing'!$F$7:$F$56,$O33))+N(INDEX('Menu Pricing'!$G$7:$G$56,$O33))+N(INDEX('Menu Pricing'!$J$7:$J$56,$O33)))</f>
        <v/>
      </c>
      <c r="K33" s="71">
        <f>IF($N33&lt;&gt;"OK","",$D33*$J33)</f>
        <v/>
      </c>
      <c r="L33" s="71">
        <f>IF($N33&lt;&gt;"OK","",$I33-$K33)</f>
        <v/>
      </c>
      <c r="M33" s="71">
        <f>IF($N33&lt;&gt;"OK","",$D33*N(INDEX('Menu Pricing'!$F$7:$F$56,$O33)))</f>
        <v/>
      </c>
      <c r="N33" s="80">
        <f>IF(AND($B33="",$C33="",$D33=""),"",IF(NOT(ISNUMBER($B33)),"Enter a valid date",IF($C33="","Pick a menu item",IF($O33="","Item not on Menu Pricing",IF(N($D33)&lt;=0,"Qty must be above 0",IF($H33="","No price on menu","OK"))))))</f>
        <v/>
      </c>
      <c r="O33" s="13">
        <f>IF($C33="","",IFERROR(MATCH($C33,'Menu Pricing'!$B$7:$B$56,0),""))</f>
        <v/>
      </c>
    </row>
    <row r="34" ht="17" customHeight="1">
      <c r="B34" s="66" t="n"/>
      <c r="C34" s="60" t="n"/>
      <c r="D34" s="86" t="n"/>
      <c r="E34" s="63" t="n"/>
      <c r="F34" s="60" t="n"/>
      <c r="G34" s="60" t="n"/>
      <c r="H34" s="71">
        <f>IF(OR($C34="",$D34=""),"",IF(ISNUMBER($E34),$E34,IF($O34="","",IF(N(INDEX('Menu Pricing'!$O$7:$O$56,$O34))&gt;0,INDEX('Menu Pricing'!$O$7:$O$56,$O34),""))))</f>
        <v/>
      </c>
      <c r="I34" s="71">
        <f>IF($N34&lt;&gt;"OK","",$D34*$H34)</f>
        <v/>
      </c>
      <c r="J34" s="71">
        <f>IF($N34&lt;&gt;"OK","",N(INDEX('Menu Pricing'!$F$7:$F$56,$O34))+N(INDEX('Menu Pricing'!$G$7:$G$56,$O34))+N(INDEX('Menu Pricing'!$J$7:$J$56,$O34)))</f>
        <v/>
      </c>
      <c r="K34" s="71">
        <f>IF($N34&lt;&gt;"OK","",$D34*$J34)</f>
        <v/>
      </c>
      <c r="L34" s="71">
        <f>IF($N34&lt;&gt;"OK","",$I34-$K34)</f>
        <v/>
      </c>
      <c r="M34" s="71">
        <f>IF($N34&lt;&gt;"OK","",$D34*N(INDEX('Menu Pricing'!$F$7:$F$56,$O34)))</f>
        <v/>
      </c>
      <c r="N34" s="80">
        <f>IF(AND($B34="",$C34="",$D34=""),"",IF(NOT(ISNUMBER($B34)),"Enter a valid date",IF($C34="","Pick a menu item",IF($O34="","Item not on Menu Pricing",IF(N($D34)&lt;=0,"Qty must be above 0",IF($H34="","No price on menu","OK"))))))</f>
        <v/>
      </c>
      <c r="O34" s="13">
        <f>IF($C34="","",IFERROR(MATCH($C34,'Menu Pricing'!$B$7:$B$56,0),""))</f>
        <v/>
      </c>
    </row>
    <row r="35" ht="17" customHeight="1">
      <c r="B35" s="66" t="n"/>
      <c r="C35" s="60" t="n"/>
      <c r="D35" s="86" t="n"/>
      <c r="E35" s="63" t="n"/>
      <c r="F35" s="60" t="n"/>
      <c r="G35" s="60" t="n"/>
      <c r="H35" s="71">
        <f>IF(OR($C35="",$D35=""),"",IF(ISNUMBER($E35),$E35,IF($O35="","",IF(N(INDEX('Menu Pricing'!$O$7:$O$56,$O35))&gt;0,INDEX('Menu Pricing'!$O$7:$O$56,$O35),""))))</f>
        <v/>
      </c>
      <c r="I35" s="71">
        <f>IF($N35&lt;&gt;"OK","",$D35*$H35)</f>
        <v/>
      </c>
      <c r="J35" s="71">
        <f>IF($N35&lt;&gt;"OK","",N(INDEX('Menu Pricing'!$F$7:$F$56,$O35))+N(INDEX('Menu Pricing'!$G$7:$G$56,$O35))+N(INDEX('Menu Pricing'!$J$7:$J$56,$O35)))</f>
        <v/>
      </c>
      <c r="K35" s="71">
        <f>IF($N35&lt;&gt;"OK","",$D35*$J35)</f>
        <v/>
      </c>
      <c r="L35" s="71">
        <f>IF($N35&lt;&gt;"OK","",$I35-$K35)</f>
        <v/>
      </c>
      <c r="M35" s="71">
        <f>IF($N35&lt;&gt;"OK","",$D35*N(INDEX('Menu Pricing'!$F$7:$F$56,$O35)))</f>
        <v/>
      </c>
      <c r="N35" s="80">
        <f>IF(AND($B35="",$C35="",$D35=""),"",IF(NOT(ISNUMBER($B35)),"Enter a valid date",IF($C35="","Pick a menu item",IF($O35="","Item not on Menu Pricing",IF(N($D35)&lt;=0,"Qty must be above 0",IF($H35="","No price on menu","OK"))))))</f>
        <v/>
      </c>
      <c r="O35" s="13">
        <f>IF($C35="","",IFERROR(MATCH($C35,'Menu Pricing'!$B$7:$B$56,0),""))</f>
        <v/>
      </c>
    </row>
    <row r="36" ht="17" customHeight="1">
      <c r="B36" s="66" t="n"/>
      <c r="C36" s="60" t="n"/>
      <c r="D36" s="86" t="n"/>
      <c r="E36" s="63" t="n"/>
      <c r="F36" s="60" t="n"/>
      <c r="G36" s="60" t="n"/>
      <c r="H36" s="71">
        <f>IF(OR($C36="",$D36=""),"",IF(ISNUMBER($E36),$E36,IF($O36="","",IF(N(INDEX('Menu Pricing'!$O$7:$O$56,$O36))&gt;0,INDEX('Menu Pricing'!$O$7:$O$56,$O36),""))))</f>
        <v/>
      </c>
      <c r="I36" s="71">
        <f>IF($N36&lt;&gt;"OK","",$D36*$H36)</f>
        <v/>
      </c>
      <c r="J36" s="71">
        <f>IF($N36&lt;&gt;"OK","",N(INDEX('Menu Pricing'!$F$7:$F$56,$O36))+N(INDEX('Menu Pricing'!$G$7:$G$56,$O36))+N(INDEX('Menu Pricing'!$J$7:$J$56,$O36)))</f>
        <v/>
      </c>
      <c r="K36" s="71">
        <f>IF($N36&lt;&gt;"OK","",$D36*$J36)</f>
        <v/>
      </c>
      <c r="L36" s="71">
        <f>IF($N36&lt;&gt;"OK","",$I36-$K36)</f>
        <v/>
      </c>
      <c r="M36" s="71">
        <f>IF($N36&lt;&gt;"OK","",$D36*N(INDEX('Menu Pricing'!$F$7:$F$56,$O36)))</f>
        <v/>
      </c>
      <c r="N36" s="80">
        <f>IF(AND($B36="",$C36="",$D36=""),"",IF(NOT(ISNUMBER($B36)),"Enter a valid date",IF($C36="","Pick a menu item",IF($O36="","Item not on Menu Pricing",IF(N($D36)&lt;=0,"Qty must be above 0",IF($H36="","No price on menu","OK"))))))</f>
        <v/>
      </c>
      <c r="O36" s="13">
        <f>IF($C36="","",IFERROR(MATCH($C36,'Menu Pricing'!$B$7:$B$56,0),""))</f>
        <v/>
      </c>
    </row>
    <row r="37" ht="17" customHeight="1">
      <c r="B37" s="66" t="n"/>
      <c r="C37" s="60" t="n"/>
      <c r="D37" s="86" t="n"/>
      <c r="E37" s="63" t="n"/>
      <c r="F37" s="60" t="n"/>
      <c r="G37" s="60" t="n"/>
      <c r="H37" s="71">
        <f>IF(OR($C37="",$D37=""),"",IF(ISNUMBER($E37),$E37,IF($O37="","",IF(N(INDEX('Menu Pricing'!$O$7:$O$56,$O37))&gt;0,INDEX('Menu Pricing'!$O$7:$O$56,$O37),""))))</f>
        <v/>
      </c>
      <c r="I37" s="71">
        <f>IF($N37&lt;&gt;"OK","",$D37*$H37)</f>
        <v/>
      </c>
      <c r="J37" s="71">
        <f>IF($N37&lt;&gt;"OK","",N(INDEX('Menu Pricing'!$F$7:$F$56,$O37))+N(INDEX('Menu Pricing'!$G$7:$G$56,$O37))+N(INDEX('Menu Pricing'!$J$7:$J$56,$O37)))</f>
        <v/>
      </c>
      <c r="K37" s="71">
        <f>IF($N37&lt;&gt;"OK","",$D37*$J37)</f>
        <v/>
      </c>
      <c r="L37" s="71">
        <f>IF($N37&lt;&gt;"OK","",$I37-$K37)</f>
        <v/>
      </c>
      <c r="M37" s="71">
        <f>IF($N37&lt;&gt;"OK","",$D37*N(INDEX('Menu Pricing'!$F$7:$F$56,$O37)))</f>
        <v/>
      </c>
      <c r="N37" s="80">
        <f>IF(AND($B37="",$C37="",$D37=""),"",IF(NOT(ISNUMBER($B37)),"Enter a valid date",IF($C37="","Pick a menu item",IF($O37="","Item not on Menu Pricing",IF(N($D37)&lt;=0,"Qty must be above 0",IF($H37="","No price on menu","OK"))))))</f>
        <v/>
      </c>
      <c r="O37" s="13">
        <f>IF($C37="","",IFERROR(MATCH($C37,'Menu Pricing'!$B$7:$B$56,0),""))</f>
        <v/>
      </c>
    </row>
    <row r="38" ht="17" customHeight="1">
      <c r="B38" s="66" t="n"/>
      <c r="C38" s="60" t="n"/>
      <c r="D38" s="86" t="n"/>
      <c r="E38" s="63" t="n"/>
      <c r="F38" s="60" t="n"/>
      <c r="G38" s="60" t="n"/>
      <c r="H38" s="71">
        <f>IF(OR($C38="",$D38=""),"",IF(ISNUMBER($E38),$E38,IF($O38="","",IF(N(INDEX('Menu Pricing'!$O$7:$O$56,$O38))&gt;0,INDEX('Menu Pricing'!$O$7:$O$56,$O38),""))))</f>
        <v/>
      </c>
      <c r="I38" s="71">
        <f>IF($N38&lt;&gt;"OK","",$D38*$H38)</f>
        <v/>
      </c>
      <c r="J38" s="71">
        <f>IF($N38&lt;&gt;"OK","",N(INDEX('Menu Pricing'!$F$7:$F$56,$O38))+N(INDEX('Menu Pricing'!$G$7:$G$56,$O38))+N(INDEX('Menu Pricing'!$J$7:$J$56,$O38)))</f>
        <v/>
      </c>
      <c r="K38" s="71">
        <f>IF($N38&lt;&gt;"OK","",$D38*$J38)</f>
        <v/>
      </c>
      <c r="L38" s="71">
        <f>IF($N38&lt;&gt;"OK","",$I38-$K38)</f>
        <v/>
      </c>
      <c r="M38" s="71">
        <f>IF($N38&lt;&gt;"OK","",$D38*N(INDEX('Menu Pricing'!$F$7:$F$56,$O38)))</f>
        <v/>
      </c>
      <c r="N38" s="80">
        <f>IF(AND($B38="",$C38="",$D38=""),"",IF(NOT(ISNUMBER($B38)),"Enter a valid date",IF($C38="","Pick a menu item",IF($O38="","Item not on Menu Pricing",IF(N($D38)&lt;=0,"Qty must be above 0",IF($H38="","No price on menu","OK"))))))</f>
        <v/>
      </c>
      <c r="O38" s="13">
        <f>IF($C38="","",IFERROR(MATCH($C38,'Menu Pricing'!$B$7:$B$56,0),""))</f>
        <v/>
      </c>
    </row>
    <row r="39" ht="17" customHeight="1">
      <c r="B39" s="66" t="n"/>
      <c r="C39" s="60" t="n"/>
      <c r="D39" s="86" t="n"/>
      <c r="E39" s="63" t="n"/>
      <c r="F39" s="60" t="n"/>
      <c r="G39" s="60" t="n"/>
      <c r="H39" s="71">
        <f>IF(OR($C39="",$D39=""),"",IF(ISNUMBER($E39),$E39,IF($O39="","",IF(N(INDEX('Menu Pricing'!$O$7:$O$56,$O39))&gt;0,INDEX('Menu Pricing'!$O$7:$O$56,$O39),""))))</f>
        <v/>
      </c>
      <c r="I39" s="71">
        <f>IF($N39&lt;&gt;"OK","",$D39*$H39)</f>
        <v/>
      </c>
      <c r="J39" s="71">
        <f>IF($N39&lt;&gt;"OK","",N(INDEX('Menu Pricing'!$F$7:$F$56,$O39))+N(INDEX('Menu Pricing'!$G$7:$G$56,$O39))+N(INDEX('Menu Pricing'!$J$7:$J$56,$O39)))</f>
        <v/>
      </c>
      <c r="K39" s="71">
        <f>IF($N39&lt;&gt;"OK","",$D39*$J39)</f>
        <v/>
      </c>
      <c r="L39" s="71">
        <f>IF($N39&lt;&gt;"OK","",$I39-$K39)</f>
        <v/>
      </c>
      <c r="M39" s="71">
        <f>IF($N39&lt;&gt;"OK","",$D39*N(INDEX('Menu Pricing'!$F$7:$F$56,$O39)))</f>
        <v/>
      </c>
      <c r="N39" s="80">
        <f>IF(AND($B39="",$C39="",$D39=""),"",IF(NOT(ISNUMBER($B39)),"Enter a valid date",IF($C39="","Pick a menu item",IF($O39="","Item not on Menu Pricing",IF(N($D39)&lt;=0,"Qty must be above 0",IF($H39="","No price on menu","OK"))))))</f>
        <v/>
      </c>
      <c r="O39" s="13">
        <f>IF($C39="","",IFERROR(MATCH($C39,'Menu Pricing'!$B$7:$B$56,0),""))</f>
        <v/>
      </c>
    </row>
    <row r="40" ht="17" customHeight="1">
      <c r="B40" s="66" t="n"/>
      <c r="C40" s="60" t="n"/>
      <c r="D40" s="86" t="n"/>
      <c r="E40" s="63" t="n"/>
      <c r="F40" s="60" t="n"/>
      <c r="G40" s="60" t="n"/>
      <c r="H40" s="71">
        <f>IF(OR($C40="",$D40=""),"",IF(ISNUMBER($E40),$E40,IF($O40="","",IF(N(INDEX('Menu Pricing'!$O$7:$O$56,$O40))&gt;0,INDEX('Menu Pricing'!$O$7:$O$56,$O40),""))))</f>
        <v/>
      </c>
      <c r="I40" s="71">
        <f>IF($N40&lt;&gt;"OK","",$D40*$H40)</f>
        <v/>
      </c>
      <c r="J40" s="71">
        <f>IF($N40&lt;&gt;"OK","",N(INDEX('Menu Pricing'!$F$7:$F$56,$O40))+N(INDEX('Menu Pricing'!$G$7:$G$56,$O40))+N(INDEX('Menu Pricing'!$J$7:$J$56,$O40)))</f>
        <v/>
      </c>
      <c r="K40" s="71">
        <f>IF($N40&lt;&gt;"OK","",$D40*$J40)</f>
        <v/>
      </c>
      <c r="L40" s="71">
        <f>IF($N40&lt;&gt;"OK","",$I40-$K40)</f>
        <v/>
      </c>
      <c r="M40" s="71">
        <f>IF($N40&lt;&gt;"OK","",$D40*N(INDEX('Menu Pricing'!$F$7:$F$56,$O40)))</f>
        <v/>
      </c>
      <c r="N40" s="80">
        <f>IF(AND($B40="",$C40="",$D40=""),"",IF(NOT(ISNUMBER($B40)),"Enter a valid date",IF($C40="","Pick a menu item",IF($O40="","Item not on Menu Pricing",IF(N($D40)&lt;=0,"Qty must be above 0",IF($H40="","No price on menu","OK"))))))</f>
        <v/>
      </c>
      <c r="O40" s="13">
        <f>IF($C40="","",IFERROR(MATCH($C40,'Menu Pricing'!$B$7:$B$56,0),""))</f>
        <v/>
      </c>
    </row>
    <row r="41" ht="17" customHeight="1">
      <c r="B41" s="66" t="n"/>
      <c r="C41" s="60" t="n"/>
      <c r="D41" s="86" t="n"/>
      <c r="E41" s="63" t="n"/>
      <c r="F41" s="60" t="n"/>
      <c r="G41" s="60" t="n"/>
      <c r="H41" s="71">
        <f>IF(OR($C41="",$D41=""),"",IF(ISNUMBER($E41),$E41,IF($O41="","",IF(N(INDEX('Menu Pricing'!$O$7:$O$56,$O41))&gt;0,INDEX('Menu Pricing'!$O$7:$O$56,$O41),""))))</f>
        <v/>
      </c>
      <c r="I41" s="71">
        <f>IF($N41&lt;&gt;"OK","",$D41*$H41)</f>
        <v/>
      </c>
      <c r="J41" s="71">
        <f>IF($N41&lt;&gt;"OK","",N(INDEX('Menu Pricing'!$F$7:$F$56,$O41))+N(INDEX('Menu Pricing'!$G$7:$G$56,$O41))+N(INDEX('Menu Pricing'!$J$7:$J$56,$O41)))</f>
        <v/>
      </c>
      <c r="K41" s="71">
        <f>IF($N41&lt;&gt;"OK","",$D41*$J41)</f>
        <v/>
      </c>
      <c r="L41" s="71">
        <f>IF($N41&lt;&gt;"OK","",$I41-$K41)</f>
        <v/>
      </c>
      <c r="M41" s="71">
        <f>IF($N41&lt;&gt;"OK","",$D41*N(INDEX('Menu Pricing'!$F$7:$F$56,$O41)))</f>
        <v/>
      </c>
      <c r="N41" s="80">
        <f>IF(AND($B41="",$C41="",$D41=""),"",IF(NOT(ISNUMBER($B41)),"Enter a valid date",IF($C41="","Pick a menu item",IF($O41="","Item not on Menu Pricing",IF(N($D41)&lt;=0,"Qty must be above 0",IF($H41="","No price on menu","OK"))))))</f>
        <v/>
      </c>
      <c r="O41" s="13">
        <f>IF($C41="","",IFERROR(MATCH($C41,'Menu Pricing'!$B$7:$B$56,0),""))</f>
        <v/>
      </c>
    </row>
    <row r="42" ht="17" customHeight="1">
      <c r="B42" s="66" t="n"/>
      <c r="C42" s="60" t="n"/>
      <c r="D42" s="86" t="n"/>
      <c r="E42" s="63" t="n"/>
      <c r="F42" s="60" t="n"/>
      <c r="G42" s="60" t="n"/>
      <c r="H42" s="71">
        <f>IF(OR($C42="",$D42=""),"",IF(ISNUMBER($E42),$E42,IF($O42="","",IF(N(INDEX('Menu Pricing'!$O$7:$O$56,$O42))&gt;0,INDEX('Menu Pricing'!$O$7:$O$56,$O42),""))))</f>
        <v/>
      </c>
      <c r="I42" s="71">
        <f>IF($N42&lt;&gt;"OK","",$D42*$H42)</f>
        <v/>
      </c>
      <c r="J42" s="71">
        <f>IF($N42&lt;&gt;"OK","",N(INDEX('Menu Pricing'!$F$7:$F$56,$O42))+N(INDEX('Menu Pricing'!$G$7:$G$56,$O42))+N(INDEX('Menu Pricing'!$J$7:$J$56,$O42)))</f>
        <v/>
      </c>
      <c r="K42" s="71">
        <f>IF($N42&lt;&gt;"OK","",$D42*$J42)</f>
        <v/>
      </c>
      <c r="L42" s="71">
        <f>IF($N42&lt;&gt;"OK","",$I42-$K42)</f>
        <v/>
      </c>
      <c r="M42" s="71">
        <f>IF($N42&lt;&gt;"OK","",$D42*N(INDEX('Menu Pricing'!$F$7:$F$56,$O42)))</f>
        <v/>
      </c>
      <c r="N42" s="80">
        <f>IF(AND($B42="",$C42="",$D42=""),"",IF(NOT(ISNUMBER($B42)),"Enter a valid date",IF($C42="","Pick a menu item",IF($O42="","Item not on Menu Pricing",IF(N($D42)&lt;=0,"Qty must be above 0",IF($H42="","No price on menu","OK"))))))</f>
        <v/>
      </c>
      <c r="O42" s="13">
        <f>IF($C42="","",IFERROR(MATCH($C42,'Menu Pricing'!$B$7:$B$56,0),""))</f>
        <v/>
      </c>
    </row>
    <row r="43" ht="17" customHeight="1">
      <c r="B43" s="66" t="n"/>
      <c r="C43" s="60" t="n"/>
      <c r="D43" s="86" t="n"/>
      <c r="E43" s="63" t="n"/>
      <c r="F43" s="60" t="n"/>
      <c r="G43" s="60" t="n"/>
      <c r="H43" s="71">
        <f>IF(OR($C43="",$D43=""),"",IF(ISNUMBER($E43),$E43,IF($O43="","",IF(N(INDEX('Menu Pricing'!$O$7:$O$56,$O43))&gt;0,INDEX('Menu Pricing'!$O$7:$O$56,$O43),""))))</f>
        <v/>
      </c>
      <c r="I43" s="71">
        <f>IF($N43&lt;&gt;"OK","",$D43*$H43)</f>
        <v/>
      </c>
      <c r="J43" s="71">
        <f>IF($N43&lt;&gt;"OK","",N(INDEX('Menu Pricing'!$F$7:$F$56,$O43))+N(INDEX('Menu Pricing'!$G$7:$G$56,$O43))+N(INDEX('Menu Pricing'!$J$7:$J$56,$O43)))</f>
        <v/>
      </c>
      <c r="K43" s="71">
        <f>IF($N43&lt;&gt;"OK","",$D43*$J43)</f>
        <v/>
      </c>
      <c r="L43" s="71">
        <f>IF($N43&lt;&gt;"OK","",$I43-$K43)</f>
        <v/>
      </c>
      <c r="M43" s="71">
        <f>IF($N43&lt;&gt;"OK","",$D43*N(INDEX('Menu Pricing'!$F$7:$F$56,$O43)))</f>
        <v/>
      </c>
      <c r="N43" s="80">
        <f>IF(AND($B43="",$C43="",$D43=""),"",IF(NOT(ISNUMBER($B43)),"Enter a valid date",IF($C43="","Pick a menu item",IF($O43="","Item not on Menu Pricing",IF(N($D43)&lt;=0,"Qty must be above 0",IF($H43="","No price on menu","OK"))))))</f>
        <v/>
      </c>
      <c r="O43" s="13">
        <f>IF($C43="","",IFERROR(MATCH($C43,'Menu Pricing'!$B$7:$B$56,0),""))</f>
        <v/>
      </c>
    </row>
    <row r="44" ht="17" customHeight="1">
      <c r="B44" s="66" t="n"/>
      <c r="C44" s="60" t="n"/>
      <c r="D44" s="86" t="n"/>
      <c r="E44" s="63" t="n"/>
      <c r="F44" s="60" t="n"/>
      <c r="G44" s="60" t="n"/>
      <c r="H44" s="71">
        <f>IF(OR($C44="",$D44=""),"",IF(ISNUMBER($E44),$E44,IF($O44="","",IF(N(INDEX('Menu Pricing'!$O$7:$O$56,$O44))&gt;0,INDEX('Menu Pricing'!$O$7:$O$56,$O44),""))))</f>
        <v/>
      </c>
      <c r="I44" s="71">
        <f>IF($N44&lt;&gt;"OK","",$D44*$H44)</f>
        <v/>
      </c>
      <c r="J44" s="71">
        <f>IF($N44&lt;&gt;"OK","",N(INDEX('Menu Pricing'!$F$7:$F$56,$O44))+N(INDEX('Menu Pricing'!$G$7:$G$56,$O44))+N(INDEX('Menu Pricing'!$J$7:$J$56,$O44)))</f>
        <v/>
      </c>
      <c r="K44" s="71">
        <f>IF($N44&lt;&gt;"OK","",$D44*$J44)</f>
        <v/>
      </c>
      <c r="L44" s="71">
        <f>IF($N44&lt;&gt;"OK","",$I44-$K44)</f>
        <v/>
      </c>
      <c r="M44" s="71">
        <f>IF($N44&lt;&gt;"OK","",$D44*N(INDEX('Menu Pricing'!$F$7:$F$56,$O44)))</f>
        <v/>
      </c>
      <c r="N44" s="80">
        <f>IF(AND($B44="",$C44="",$D44=""),"",IF(NOT(ISNUMBER($B44)),"Enter a valid date",IF($C44="","Pick a menu item",IF($O44="","Item not on Menu Pricing",IF(N($D44)&lt;=0,"Qty must be above 0",IF($H44="","No price on menu","OK"))))))</f>
        <v/>
      </c>
      <c r="O44" s="13">
        <f>IF($C44="","",IFERROR(MATCH($C44,'Menu Pricing'!$B$7:$B$56,0),""))</f>
        <v/>
      </c>
    </row>
    <row r="45" ht="17" customHeight="1">
      <c r="B45" s="66" t="n"/>
      <c r="C45" s="60" t="n"/>
      <c r="D45" s="86" t="n"/>
      <c r="E45" s="63" t="n"/>
      <c r="F45" s="60" t="n"/>
      <c r="G45" s="60" t="n"/>
      <c r="H45" s="71">
        <f>IF(OR($C45="",$D45=""),"",IF(ISNUMBER($E45),$E45,IF($O45="","",IF(N(INDEX('Menu Pricing'!$O$7:$O$56,$O45))&gt;0,INDEX('Menu Pricing'!$O$7:$O$56,$O45),""))))</f>
        <v/>
      </c>
      <c r="I45" s="71">
        <f>IF($N45&lt;&gt;"OK","",$D45*$H45)</f>
        <v/>
      </c>
      <c r="J45" s="71">
        <f>IF($N45&lt;&gt;"OK","",N(INDEX('Menu Pricing'!$F$7:$F$56,$O45))+N(INDEX('Menu Pricing'!$G$7:$G$56,$O45))+N(INDEX('Menu Pricing'!$J$7:$J$56,$O45)))</f>
        <v/>
      </c>
      <c r="K45" s="71">
        <f>IF($N45&lt;&gt;"OK","",$D45*$J45)</f>
        <v/>
      </c>
      <c r="L45" s="71">
        <f>IF($N45&lt;&gt;"OK","",$I45-$K45)</f>
        <v/>
      </c>
      <c r="M45" s="71">
        <f>IF($N45&lt;&gt;"OK","",$D45*N(INDEX('Menu Pricing'!$F$7:$F$56,$O45)))</f>
        <v/>
      </c>
      <c r="N45" s="80">
        <f>IF(AND($B45="",$C45="",$D45=""),"",IF(NOT(ISNUMBER($B45)),"Enter a valid date",IF($C45="","Pick a menu item",IF($O45="","Item not on Menu Pricing",IF(N($D45)&lt;=0,"Qty must be above 0",IF($H45="","No price on menu","OK"))))))</f>
        <v/>
      </c>
      <c r="O45" s="13">
        <f>IF($C45="","",IFERROR(MATCH($C45,'Menu Pricing'!$B$7:$B$56,0),""))</f>
        <v/>
      </c>
    </row>
    <row r="46" ht="17" customHeight="1">
      <c r="B46" s="66" t="n"/>
      <c r="C46" s="60" t="n"/>
      <c r="D46" s="86" t="n"/>
      <c r="E46" s="63" t="n"/>
      <c r="F46" s="60" t="n"/>
      <c r="G46" s="60" t="n"/>
      <c r="H46" s="71">
        <f>IF(OR($C46="",$D46=""),"",IF(ISNUMBER($E46),$E46,IF($O46="","",IF(N(INDEX('Menu Pricing'!$O$7:$O$56,$O46))&gt;0,INDEX('Menu Pricing'!$O$7:$O$56,$O46),""))))</f>
        <v/>
      </c>
      <c r="I46" s="71">
        <f>IF($N46&lt;&gt;"OK","",$D46*$H46)</f>
        <v/>
      </c>
      <c r="J46" s="71">
        <f>IF($N46&lt;&gt;"OK","",N(INDEX('Menu Pricing'!$F$7:$F$56,$O46))+N(INDEX('Menu Pricing'!$G$7:$G$56,$O46))+N(INDEX('Menu Pricing'!$J$7:$J$56,$O46)))</f>
        <v/>
      </c>
      <c r="K46" s="71">
        <f>IF($N46&lt;&gt;"OK","",$D46*$J46)</f>
        <v/>
      </c>
      <c r="L46" s="71">
        <f>IF($N46&lt;&gt;"OK","",$I46-$K46)</f>
        <v/>
      </c>
      <c r="M46" s="71">
        <f>IF($N46&lt;&gt;"OK","",$D46*N(INDEX('Menu Pricing'!$F$7:$F$56,$O46)))</f>
        <v/>
      </c>
      <c r="N46" s="80">
        <f>IF(AND($B46="",$C46="",$D46=""),"",IF(NOT(ISNUMBER($B46)),"Enter a valid date",IF($C46="","Pick a menu item",IF($O46="","Item not on Menu Pricing",IF(N($D46)&lt;=0,"Qty must be above 0",IF($H46="","No price on menu","OK"))))))</f>
        <v/>
      </c>
      <c r="O46" s="13">
        <f>IF($C46="","",IFERROR(MATCH($C46,'Menu Pricing'!$B$7:$B$56,0),""))</f>
        <v/>
      </c>
    </row>
    <row r="47" ht="17" customHeight="1">
      <c r="B47" s="66" t="n"/>
      <c r="C47" s="60" t="n"/>
      <c r="D47" s="86" t="n"/>
      <c r="E47" s="63" t="n"/>
      <c r="F47" s="60" t="n"/>
      <c r="G47" s="60" t="n"/>
      <c r="H47" s="71">
        <f>IF(OR($C47="",$D47=""),"",IF(ISNUMBER($E47),$E47,IF($O47="","",IF(N(INDEX('Menu Pricing'!$O$7:$O$56,$O47))&gt;0,INDEX('Menu Pricing'!$O$7:$O$56,$O47),""))))</f>
        <v/>
      </c>
      <c r="I47" s="71">
        <f>IF($N47&lt;&gt;"OK","",$D47*$H47)</f>
        <v/>
      </c>
      <c r="J47" s="71">
        <f>IF($N47&lt;&gt;"OK","",N(INDEX('Menu Pricing'!$F$7:$F$56,$O47))+N(INDEX('Menu Pricing'!$G$7:$G$56,$O47))+N(INDEX('Menu Pricing'!$J$7:$J$56,$O47)))</f>
        <v/>
      </c>
      <c r="K47" s="71">
        <f>IF($N47&lt;&gt;"OK","",$D47*$J47)</f>
        <v/>
      </c>
      <c r="L47" s="71">
        <f>IF($N47&lt;&gt;"OK","",$I47-$K47)</f>
        <v/>
      </c>
      <c r="M47" s="71">
        <f>IF($N47&lt;&gt;"OK","",$D47*N(INDEX('Menu Pricing'!$F$7:$F$56,$O47)))</f>
        <v/>
      </c>
      <c r="N47" s="80">
        <f>IF(AND($B47="",$C47="",$D47=""),"",IF(NOT(ISNUMBER($B47)),"Enter a valid date",IF($C47="","Pick a menu item",IF($O47="","Item not on Menu Pricing",IF(N($D47)&lt;=0,"Qty must be above 0",IF($H47="","No price on menu","OK"))))))</f>
        <v/>
      </c>
      <c r="O47" s="13">
        <f>IF($C47="","",IFERROR(MATCH($C47,'Menu Pricing'!$B$7:$B$56,0),""))</f>
        <v/>
      </c>
    </row>
    <row r="48" ht="17" customHeight="1">
      <c r="B48" s="66" t="n"/>
      <c r="C48" s="60" t="n"/>
      <c r="D48" s="86" t="n"/>
      <c r="E48" s="63" t="n"/>
      <c r="F48" s="60" t="n"/>
      <c r="G48" s="60" t="n"/>
      <c r="H48" s="71">
        <f>IF(OR($C48="",$D48=""),"",IF(ISNUMBER($E48),$E48,IF($O48="","",IF(N(INDEX('Menu Pricing'!$O$7:$O$56,$O48))&gt;0,INDEX('Menu Pricing'!$O$7:$O$56,$O48),""))))</f>
        <v/>
      </c>
      <c r="I48" s="71">
        <f>IF($N48&lt;&gt;"OK","",$D48*$H48)</f>
        <v/>
      </c>
      <c r="J48" s="71">
        <f>IF($N48&lt;&gt;"OK","",N(INDEX('Menu Pricing'!$F$7:$F$56,$O48))+N(INDEX('Menu Pricing'!$G$7:$G$56,$O48))+N(INDEX('Menu Pricing'!$J$7:$J$56,$O48)))</f>
        <v/>
      </c>
      <c r="K48" s="71">
        <f>IF($N48&lt;&gt;"OK","",$D48*$J48)</f>
        <v/>
      </c>
      <c r="L48" s="71">
        <f>IF($N48&lt;&gt;"OK","",$I48-$K48)</f>
        <v/>
      </c>
      <c r="M48" s="71">
        <f>IF($N48&lt;&gt;"OK","",$D48*N(INDEX('Menu Pricing'!$F$7:$F$56,$O48)))</f>
        <v/>
      </c>
      <c r="N48" s="80">
        <f>IF(AND($B48="",$C48="",$D48=""),"",IF(NOT(ISNUMBER($B48)),"Enter a valid date",IF($C48="","Pick a menu item",IF($O48="","Item not on Menu Pricing",IF(N($D48)&lt;=0,"Qty must be above 0",IF($H48="","No price on menu","OK"))))))</f>
        <v/>
      </c>
      <c r="O48" s="13">
        <f>IF($C48="","",IFERROR(MATCH($C48,'Menu Pricing'!$B$7:$B$56,0),""))</f>
        <v/>
      </c>
    </row>
    <row r="49" ht="17" customHeight="1">
      <c r="B49" s="66" t="n"/>
      <c r="C49" s="60" t="n"/>
      <c r="D49" s="86" t="n"/>
      <c r="E49" s="63" t="n"/>
      <c r="F49" s="60" t="n"/>
      <c r="G49" s="60" t="n"/>
      <c r="H49" s="71">
        <f>IF(OR($C49="",$D49=""),"",IF(ISNUMBER($E49),$E49,IF($O49="","",IF(N(INDEX('Menu Pricing'!$O$7:$O$56,$O49))&gt;0,INDEX('Menu Pricing'!$O$7:$O$56,$O49),""))))</f>
        <v/>
      </c>
      <c r="I49" s="71">
        <f>IF($N49&lt;&gt;"OK","",$D49*$H49)</f>
        <v/>
      </c>
      <c r="J49" s="71">
        <f>IF($N49&lt;&gt;"OK","",N(INDEX('Menu Pricing'!$F$7:$F$56,$O49))+N(INDEX('Menu Pricing'!$G$7:$G$56,$O49))+N(INDEX('Menu Pricing'!$J$7:$J$56,$O49)))</f>
        <v/>
      </c>
      <c r="K49" s="71">
        <f>IF($N49&lt;&gt;"OK","",$D49*$J49)</f>
        <v/>
      </c>
      <c r="L49" s="71">
        <f>IF($N49&lt;&gt;"OK","",$I49-$K49)</f>
        <v/>
      </c>
      <c r="M49" s="71">
        <f>IF($N49&lt;&gt;"OK","",$D49*N(INDEX('Menu Pricing'!$F$7:$F$56,$O49)))</f>
        <v/>
      </c>
      <c r="N49" s="80">
        <f>IF(AND($B49="",$C49="",$D49=""),"",IF(NOT(ISNUMBER($B49)),"Enter a valid date",IF($C49="","Pick a menu item",IF($O49="","Item not on Menu Pricing",IF(N($D49)&lt;=0,"Qty must be above 0",IF($H49="","No price on menu","OK"))))))</f>
        <v/>
      </c>
      <c r="O49" s="13">
        <f>IF($C49="","",IFERROR(MATCH($C49,'Menu Pricing'!$B$7:$B$56,0),""))</f>
        <v/>
      </c>
    </row>
    <row r="50" ht="17" customHeight="1">
      <c r="B50" s="66" t="n"/>
      <c r="C50" s="60" t="n"/>
      <c r="D50" s="86" t="n"/>
      <c r="E50" s="63" t="n"/>
      <c r="F50" s="60" t="n"/>
      <c r="G50" s="60" t="n"/>
      <c r="H50" s="71">
        <f>IF(OR($C50="",$D50=""),"",IF(ISNUMBER($E50),$E50,IF($O50="","",IF(N(INDEX('Menu Pricing'!$O$7:$O$56,$O50))&gt;0,INDEX('Menu Pricing'!$O$7:$O$56,$O50),""))))</f>
        <v/>
      </c>
      <c r="I50" s="71">
        <f>IF($N50&lt;&gt;"OK","",$D50*$H50)</f>
        <v/>
      </c>
      <c r="J50" s="71">
        <f>IF($N50&lt;&gt;"OK","",N(INDEX('Menu Pricing'!$F$7:$F$56,$O50))+N(INDEX('Menu Pricing'!$G$7:$G$56,$O50))+N(INDEX('Menu Pricing'!$J$7:$J$56,$O50)))</f>
        <v/>
      </c>
      <c r="K50" s="71">
        <f>IF($N50&lt;&gt;"OK","",$D50*$J50)</f>
        <v/>
      </c>
      <c r="L50" s="71">
        <f>IF($N50&lt;&gt;"OK","",$I50-$K50)</f>
        <v/>
      </c>
      <c r="M50" s="71">
        <f>IF($N50&lt;&gt;"OK","",$D50*N(INDEX('Menu Pricing'!$F$7:$F$56,$O50)))</f>
        <v/>
      </c>
      <c r="N50" s="80">
        <f>IF(AND($B50="",$C50="",$D50=""),"",IF(NOT(ISNUMBER($B50)),"Enter a valid date",IF($C50="","Pick a menu item",IF($O50="","Item not on Menu Pricing",IF(N($D50)&lt;=0,"Qty must be above 0",IF($H50="","No price on menu","OK"))))))</f>
        <v/>
      </c>
      <c r="O50" s="13">
        <f>IF($C50="","",IFERROR(MATCH($C50,'Menu Pricing'!$B$7:$B$56,0),""))</f>
        <v/>
      </c>
    </row>
    <row r="51" ht="17" customHeight="1">
      <c r="B51" s="66" t="n"/>
      <c r="C51" s="60" t="n"/>
      <c r="D51" s="86" t="n"/>
      <c r="E51" s="63" t="n"/>
      <c r="F51" s="60" t="n"/>
      <c r="G51" s="60" t="n"/>
      <c r="H51" s="71">
        <f>IF(OR($C51="",$D51=""),"",IF(ISNUMBER($E51),$E51,IF($O51="","",IF(N(INDEX('Menu Pricing'!$O$7:$O$56,$O51))&gt;0,INDEX('Menu Pricing'!$O$7:$O$56,$O51),""))))</f>
        <v/>
      </c>
      <c r="I51" s="71">
        <f>IF($N51&lt;&gt;"OK","",$D51*$H51)</f>
        <v/>
      </c>
      <c r="J51" s="71">
        <f>IF($N51&lt;&gt;"OK","",N(INDEX('Menu Pricing'!$F$7:$F$56,$O51))+N(INDEX('Menu Pricing'!$G$7:$G$56,$O51))+N(INDEX('Menu Pricing'!$J$7:$J$56,$O51)))</f>
        <v/>
      </c>
      <c r="K51" s="71">
        <f>IF($N51&lt;&gt;"OK","",$D51*$J51)</f>
        <v/>
      </c>
      <c r="L51" s="71">
        <f>IF($N51&lt;&gt;"OK","",$I51-$K51)</f>
        <v/>
      </c>
      <c r="M51" s="71">
        <f>IF($N51&lt;&gt;"OK","",$D51*N(INDEX('Menu Pricing'!$F$7:$F$56,$O51)))</f>
        <v/>
      </c>
      <c r="N51" s="80">
        <f>IF(AND($B51="",$C51="",$D51=""),"",IF(NOT(ISNUMBER($B51)),"Enter a valid date",IF($C51="","Pick a menu item",IF($O51="","Item not on Menu Pricing",IF(N($D51)&lt;=0,"Qty must be above 0",IF($H51="","No price on menu","OK"))))))</f>
        <v/>
      </c>
      <c r="O51" s="13">
        <f>IF($C51="","",IFERROR(MATCH($C51,'Menu Pricing'!$B$7:$B$56,0),""))</f>
        <v/>
      </c>
    </row>
    <row r="52" ht="17" customHeight="1">
      <c r="B52" s="66" t="n"/>
      <c r="C52" s="60" t="n"/>
      <c r="D52" s="86" t="n"/>
      <c r="E52" s="63" t="n"/>
      <c r="F52" s="60" t="n"/>
      <c r="G52" s="60" t="n"/>
      <c r="H52" s="71">
        <f>IF(OR($C52="",$D52=""),"",IF(ISNUMBER($E52),$E52,IF($O52="","",IF(N(INDEX('Menu Pricing'!$O$7:$O$56,$O52))&gt;0,INDEX('Menu Pricing'!$O$7:$O$56,$O52),""))))</f>
        <v/>
      </c>
      <c r="I52" s="71">
        <f>IF($N52&lt;&gt;"OK","",$D52*$H52)</f>
        <v/>
      </c>
      <c r="J52" s="71">
        <f>IF($N52&lt;&gt;"OK","",N(INDEX('Menu Pricing'!$F$7:$F$56,$O52))+N(INDEX('Menu Pricing'!$G$7:$G$56,$O52))+N(INDEX('Menu Pricing'!$J$7:$J$56,$O52)))</f>
        <v/>
      </c>
      <c r="K52" s="71">
        <f>IF($N52&lt;&gt;"OK","",$D52*$J52)</f>
        <v/>
      </c>
      <c r="L52" s="71">
        <f>IF($N52&lt;&gt;"OK","",$I52-$K52)</f>
        <v/>
      </c>
      <c r="M52" s="71">
        <f>IF($N52&lt;&gt;"OK","",$D52*N(INDEX('Menu Pricing'!$F$7:$F$56,$O52)))</f>
        <v/>
      </c>
      <c r="N52" s="80">
        <f>IF(AND($B52="",$C52="",$D52=""),"",IF(NOT(ISNUMBER($B52)),"Enter a valid date",IF($C52="","Pick a menu item",IF($O52="","Item not on Menu Pricing",IF(N($D52)&lt;=0,"Qty must be above 0",IF($H52="","No price on menu","OK"))))))</f>
        <v/>
      </c>
      <c r="O52" s="13">
        <f>IF($C52="","",IFERROR(MATCH($C52,'Menu Pricing'!$B$7:$B$56,0),""))</f>
        <v/>
      </c>
    </row>
    <row r="53" ht="17" customHeight="1">
      <c r="B53" s="66" t="n"/>
      <c r="C53" s="60" t="n"/>
      <c r="D53" s="86" t="n"/>
      <c r="E53" s="63" t="n"/>
      <c r="F53" s="60" t="n"/>
      <c r="G53" s="60" t="n"/>
      <c r="H53" s="71">
        <f>IF(OR($C53="",$D53=""),"",IF(ISNUMBER($E53),$E53,IF($O53="","",IF(N(INDEX('Menu Pricing'!$O$7:$O$56,$O53))&gt;0,INDEX('Menu Pricing'!$O$7:$O$56,$O53),""))))</f>
        <v/>
      </c>
      <c r="I53" s="71">
        <f>IF($N53&lt;&gt;"OK","",$D53*$H53)</f>
        <v/>
      </c>
      <c r="J53" s="71">
        <f>IF($N53&lt;&gt;"OK","",N(INDEX('Menu Pricing'!$F$7:$F$56,$O53))+N(INDEX('Menu Pricing'!$G$7:$G$56,$O53))+N(INDEX('Menu Pricing'!$J$7:$J$56,$O53)))</f>
        <v/>
      </c>
      <c r="K53" s="71">
        <f>IF($N53&lt;&gt;"OK","",$D53*$J53)</f>
        <v/>
      </c>
      <c r="L53" s="71">
        <f>IF($N53&lt;&gt;"OK","",$I53-$K53)</f>
        <v/>
      </c>
      <c r="M53" s="71">
        <f>IF($N53&lt;&gt;"OK","",$D53*N(INDEX('Menu Pricing'!$F$7:$F$56,$O53)))</f>
        <v/>
      </c>
      <c r="N53" s="80">
        <f>IF(AND($B53="",$C53="",$D53=""),"",IF(NOT(ISNUMBER($B53)),"Enter a valid date",IF($C53="","Pick a menu item",IF($O53="","Item not on Menu Pricing",IF(N($D53)&lt;=0,"Qty must be above 0",IF($H53="","No price on menu","OK"))))))</f>
        <v/>
      </c>
      <c r="O53" s="13">
        <f>IF($C53="","",IFERROR(MATCH($C53,'Menu Pricing'!$B$7:$B$56,0),""))</f>
        <v/>
      </c>
    </row>
    <row r="54" ht="17" customHeight="1">
      <c r="B54" s="66" t="n"/>
      <c r="C54" s="60" t="n"/>
      <c r="D54" s="86" t="n"/>
      <c r="E54" s="63" t="n"/>
      <c r="F54" s="60" t="n"/>
      <c r="G54" s="60" t="n"/>
      <c r="H54" s="71">
        <f>IF(OR($C54="",$D54=""),"",IF(ISNUMBER($E54),$E54,IF($O54="","",IF(N(INDEX('Menu Pricing'!$O$7:$O$56,$O54))&gt;0,INDEX('Menu Pricing'!$O$7:$O$56,$O54),""))))</f>
        <v/>
      </c>
      <c r="I54" s="71">
        <f>IF($N54&lt;&gt;"OK","",$D54*$H54)</f>
        <v/>
      </c>
      <c r="J54" s="71">
        <f>IF($N54&lt;&gt;"OK","",N(INDEX('Menu Pricing'!$F$7:$F$56,$O54))+N(INDEX('Menu Pricing'!$G$7:$G$56,$O54))+N(INDEX('Menu Pricing'!$J$7:$J$56,$O54)))</f>
        <v/>
      </c>
      <c r="K54" s="71">
        <f>IF($N54&lt;&gt;"OK","",$D54*$J54)</f>
        <v/>
      </c>
      <c r="L54" s="71">
        <f>IF($N54&lt;&gt;"OK","",$I54-$K54)</f>
        <v/>
      </c>
      <c r="M54" s="71">
        <f>IF($N54&lt;&gt;"OK","",$D54*N(INDEX('Menu Pricing'!$F$7:$F$56,$O54)))</f>
        <v/>
      </c>
      <c r="N54" s="80">
        <f>IF(AND($B54="",$C54="",$D54=""),"",IF(NOT(ISNUMBER($B54)),"Enter a valid date",IF($C54="","Pick a menu item",IF($O54="","Item not on Menu Pricing",IF(N($D54)&lt;=0,"Qty must be above 0",IF($H54="","No price on menu","OK"))))))</f>
        <v/>
      </c>
      <c r="O54" s="13">
        <f>IF($C54="","",IFERROR(MATCH($C54,'Menu Pricing'!$B$7:$B$56,0),""))</f>
        <v/>
      </c>
    </row>
    <row r="55" ht="17" customHeight="1">
      <c r="B55" s="66" t="n"/>
      <c r="C55" s="60" t="n"/>
      <c r="D55" s="86" t="n"/>
      <c r="E55" s="63" t="n"/>
      <c r="F55" s="60" t="n"/>
      <c r="G55" s="60" t="n"/>
      <c r="H55" s="71">
        <f>IF(OR($C55="",$D55=""),"",IF(ISNUMBER($E55),$E55,IF($O55="","",IF(N(INDEX('Menu Pricing'!$O$7:$O$56,$O55))&gt;0,INDEX('Menu Pricing'!$O$7:$O$56,$O55),""))))</f>
        <v/>
      </c>
      <c r="I55" s="71">
        <f>IF($N55&lt;&gt;"OK","",$D55*$H55)</f>
        <v/>
      </c>
      <c r="J55" s="71">
        <f>IF($N55&lt;&gt;"OK","",N(INDEX('Menu Pricing'!$F$7:$F$56,$O55))+N(INDEX('Menu Pricing'!$G$7:$G$56,$O55))+N(INDEX('Menu Pricing'!$J$7:$J$56,$O55)))</f>
        <v/>
      </c>
      <c r="K55" s="71">
        <f>IF($N55&lt;&gt;"OK","",$D55*$J55)</f>
        <v/>
      </c>
      <c r="L55" s="71">
        <f>IF($N55&lt;&gt;"OK","",$I55-$K55)</f>
        <v/>
      </c>
      <c r="M55" s="71">
        <f>IF($N55&lt;&gt;"OK","",$D55*N(INDEX('Menu Pricing'!$F$7:$F$56,$O55)))</f>
        <v/>
      </c>
      <c r="N55" s="80">
        <f>IF(AND($B55="",$C55="",$D55=""),"",IF(NOT(ISNUMBER($B55)),"Enter a valid date",IF($C55="","Pick a menu item",IF($O55="","Item not on Menu Pricing",IF(N($D55)&lt;=0,"Qty must be above 0",IF($H55="","No price on menu","OK"))))))</f>
        <v/>
      </c>
      <c r="O55" s="13">
        <f>IF($C55="","",IFERROR(MATCH($C55,'Menu Pricing'!$B$7:$B$56,0),""))</f>
        <v/>
      </c>
    </row>
    <row r="56" ht="17" customHeight="1">
      <c r="B56" s="66" t="n"/>
      <c r="C56" s="60" t="n"/>
      <c r="D56" s="86" t="n"/>
      <c r="E56" s="63" t="n"/>
      <c r="F56" s="60" t="n"/>
      <c r="G56" s="60" t="n"/>
      <c r="H56" s="71">
        <f>IF(OR($C56="",$D56=""),"",IF(ISNUMBER($E56),$E56,IF($O56="","",IF(N(INDEX('Menu Pricing'!$O$7:$O$56,$O56))&gt;0,INDEX('Menu Pricing'!$O$7:$O$56,$O56),""))))</f>
        <v/>
      </c>
      <c r="I56" s="71">
        <f>IF($N56&lt;&gt;"OK","",$D56*$H56)</f>
        <v/>
      </c>
      <c r="J56" s="71">
        <f>IF($N56&lt;&gt;"OK","",N(INDEX('Menu Pricing'!$F$7:$F$56,$O56))+N(INDEX('Menu Pricing'!$G$7:$G$56,$O56))+N(INDEX('Menu Pricing'!$J$7:$J$56,$O56)))</f>
        <v/>
      </c>
      <c r="K56" s="71">
        <f>IF($N56&lt;&gt;"OK","",$D56*$J56)</f>
        <v/>
      </c>
      <c r="L56" s="71">
        <f>IF($N56&lt;&gt;"OK","",$I56-$K56)</f>
        <v/>
      </c>
      <c r="M56" s="71">
        <f>IF($N56&lt;&gt;"OK","",$D56*N(INDEX('Menu Pricing'!$F$7:$F$56,$O56)))</f>
        <v/>
      </c>
      <c r="N56" s="80">
        <f>IF(AND($B56="",$C56="",$D56=""),"",IF(NOT(ISNUMBER($B56)),"Enter a valid date",IF($C56="","Pick a menu item",IF($O56="","Item not on Menu Pricing",IF(N($D56)&lt;=0,"Qty must be above 0",IF($H56="","No price on menu","OK"))))))</f>
        <v/>
      </c>
      <c r="O56" s="13">
        <f>IF($C56="","",IFERROR(MATCH($C56,'Menu Pricing'!$B$7:$B$56,0),""))</f>
        <v/>
      </c>
    </row>
    <row r="57" ht="17" customHeight="1">
      <c r="B57" s="66" t="n"/>
      <c r="C57" s="60" t="n"/>
      <c r="D57" s="86" t="n"/>
      <c r="E57" s="63" t="n"/>
      <c r="F57" s="60" t="n"/>
      <c r="G57" s="60" t="n"/>
      <c r="H57" s="71">
        <f>IF(OR($C57="",$D57=""),"",IF(ISNUMBER($E57),$E57,IF($O57="","",IF(N(INDEX('Menu Pricing'!$O$7:$O$56,$O57))&gt;0,INDEX('Menu Pricing'!$O$7:$O$56,$O57),""))))</f>
        <v/>
      </c>
      <c r="I57" s="71">
        <f>IF($N57&lt;&gt;"OK","",$D57*$H57)</f>
        <v/>
      </c>
      <c r="J57" s="71">
        <f>IF($N57&lt;&gt;"OK","",N(INDEX('Menu Pricing'!$F$7:$F$56,$O57))+N(INDEX('Menu Pricing'!$G$7:$G$56,$O57))+N(INDEX('Menu Pricing'!$J$7:$J$56,$O57)))</f>
        <v/>
      </c>
      <c r="K57" s="71">
        <f>IF($N57&lt;&gt;"OK","",$D57*$J57)</f>
        <v/>
      </c>
      <c r="L57" s="71">
        <f>IF($N57&lt;&gt;"OK","",$I57-$K57)</f>
        <v/>
      </c>
      <c r="M57" s="71">
        <f>IF($N57&lt;&gt;"OK","",$D57*N(INDEX('Menu Pricing'!$F$7:$F$56,$O57)))</f>
        <v/>
      </c>
      <c r="N57" s="80">
        <f>IF(AND($B57="",$C57="",$D57=""),"",IF(NOT(ISNUMBER($B57)),"Enter a valid date",IF($C57="","Pick a menu item",IF($O57="","Item not on Menu Pricing",IF(N($D57)&lt;=0,"Qty must be above 0",IF($H57="","No price on menu","OK"))))))</f>
        <v/>
      </c>
      <c r="O57" s="13">
        <f>IF($C57="","",IFERROR(MATCH($C57,'Menu Pricing'!$B$7:$B$56,0),""))</f>
        <v/>
      </c>
    </row>
    <row r="58" ht="17" customHeight="1">
      <c r="B58" s="66" t="n"/>
      <c r="C58" s="60" t="n"/>
      <c r="D58" s="86" t="n"/>
      <c r="E58" s="63" t="n"/>
      <c r="F58" s="60" t="n"/>
      <c r="G58" s="60" t="n"/>
      <c r="H58" s="71">
        <f>IF(OR($C58="",$D58=""),"",IF(ISNUMBER($E58),$E58,IF($O58="","",IF(N(INDEX('Menu Pricing'!$O$7:$O$56,$O58))&gt;0,INDEX('Menu Pricing'!$O$7:$O$56,$O58),""))))</f>
        <v/>
      </c>
      <c r="I58" s="71">
        <f>IF($N58&lt;&gt;"OK","",$D58*$H58)</f>
        <v/>
      </c>
      <c r="J58" s="71">
        <f>IF($N58&lt;&gt;"OK","",N(INDEX('Menu Pricing'!$F$7:$F$56,$O58))+N(INDEX('Menu Pricing'!$G$7:$G$56,$O58))+N(INDEX('Menu Pricing'!$J$7:$J$56,$O58)))</f>
        <v/>
      </c>
      <c r="K58" s="71">
        <f>IF($N58&lt;&gt;"OK","",$D58*$J58)</f>
        <v/>
      </c>
      <c r="L58" s="71">
        <f>IF($N58&lt;&gt;"OK","",$I58-$K58)</f>
        <v/>
      </c>
      <c r="M58" s="71">
        <f>IF($N58&lt;&gt;"OK","",$D58*N(INDEX('Menu Pricing'!$F$7:$F$56,$O58)))</f>
        <v/>
      </c>
      <c r="N58" s="80">
        <f>IF(AND($B58="",$C58="",$D58=""),"",IF(NOT(ISNUMBER($B58)),"Enter a valid date",IF($C58="","Pick a menu item",IF($O58="","Item not on Menu Pricing",IF(N($D58)&lt;=0,"Qty must be above 0",IF($H58="","No price on menu","OK"))))))</f>
        <v/>
      </c>
      <c r="O58" s="13">
        <f>IF($C58="","",IFERROR(MATCH($C58,'Menu Pricing'!$B$7:$B$56,0),""))</f>
        <v/>
      </c>
    </row>
    <row r="59" ht="17" customHeight="1">
      <c r="B59" s="66" t="n"/>
      <c r="C59" s="60" t="n"/>
      <c r="D59" s="86" t="n"/>
      <c r="E59" s="63" t="n"/>
      <c r="F59" s="60" t="n"/>
      <c r="G59" s="60" t="n"/>
      <c r="H59" s="71">
        <f>IF(OR($C59="",$D59=""),"",IF(ISNUMBER($E59),$E59,IF($O59="","",IF(N(INDEX('Menu Pricing'!$O$7:$O$56,$O59))&gt;0,INDEX('Menu Pricing'!$O$7:$O$56,$O59),""))))</f>
        <v/>
      </c>
      <c r="I59" s="71">
        <f>IF($N59&lt;&gt;"OK","",$D59*$H59)</f>
        <v/>
      </c>
      <c r="J59" s="71">
        <f>IF($N59&lt;&gt;"OK","",N(INDEX('Menu Pricing'!$F$7:$F$56,$O59))+N(INDEX('Menu Pricing'!$G$7:$G$56,$O59))+N(INDEX('Menu Pricing'!$J$7:$J$56,$O59)))</f>
        <v/>
      </c>
      <c r="K59" s="71">
        <f>IF($N59&lt;&gt;"OK","",$D59*$J59)</f>
        <v/>
      </c>
      <c r="L59" s="71">
        <f>IF($N59&lt;&gt;"OK","",$I59-$K59)</f>
        <v/>
      </c>
      <c r="M59" s="71">
        <f>IF($N59&lt;&gt;"OK","",$D59*N(INDEX('Menu Pricing'!$F$7:$F$56,$O59)))</f>
        <v/>
      </c>
      <c r="N59" s="80">
        <f>IF(AND($B59="",$C59="",$D59=""),"",IF(NOT(ISNUMBER($B59)),"Enter a valid date",IF($C59="","Pick a menu item",IF($O59="","Item not on Menu Pricing",IF(N($D59)&lt;=0,"Qty must be above 0",IF($H59="","No price on menu","OK"))))))</f>
        <v/>
      </c>
      <c r="O59" s="13">
        <f>IF($C59="","",IFERROR(MATCH($C59,'Menu Pricing'!$B$7:$B$56,0),""))</f>
        <v/>
      </c>
    </row>
    <row r="60" ht="17" customHeight="1">
      <c r="B60" s="66" t="n"/>
      <c r="C60" s="60" t="n"/>
      <c r="D60" s="86" t="n"/>
      <c r="E60" s="63" t="n"/>
      <c r="F60" s="60" t="n"/>
      <c r="G60" s="60" t="n"/>
      <c r="H60" s="71">
        <f>IF(OR($C60="",$D60=""),"",IF(ISNUMBER($E60),$E60,IF($O60="","",IF(N(INDEX('Menu Pricing'!$O$7:$O$56,$O60))&gt;0,INDEX('Menu Pricing'!$O$7:$O$56,$O60),""))))</f>
        <v/>
      </c>
      <c r="I60" s="71">
        <f>IF($N60&lt;&gt;"OK","",$D60*$H60)</f>
        <v/>
      </c>
      <c r="J60" s="71">
        <f>IF($N60&lt;&gt;"OK","",N(INDEX('Menu Pricing'!$F$7:$F$56,$O60))+N(INDEX('Menu Pricing'!$G$7:$G$56,$O60))+N(INDEX('Menu Pricing'!$J$7:$J$56,$O60)))</f>
        <v/>
      </c>
      <c r="K60" s="71">
        <f>IF($N60&lt;&gt;"OK","",$D60*$J60)</f>
        <v/>
      </c>
      <c r="L60" s="71">
        <f>IF($N60&lt;&gt;"OK","",$I60-$K60)</f>
        <v/>
      </c>
      <c r="M60" s="71">
        <f>IF($N60&lt;&gt;"OK","",$D60*N(INDEX('Menu Pricing'!$F$7:$F$56,$O60)))</f>
        <v/>
      </c>
      <c r="N60" s="80">
        <f>IF(AND($B60="",$C60="",$D60=""),"",IF(NOT(ISNUMBER($B60)),"Enter a valid date",IF($C60="","Pick a menu item",IF($O60="","Item not on Menu Pricing",IF(N($D60)&lt;=0,"Qty must be above 0",IF($H60="","No price on menu","OK"))))))</f>
        <v/>
      </c>
      <c r="O60" s="13">
        <f>IF($C60="","",IFERROR(MATCH($C60,'Menu Pricing'!$B$7:$B$56,0),""))</f>
        <v/>
      </c>
    </row>
    <row r="61" ht="17" customHeight="1">
      <c r="B61" s="66" t="n"/>
      <c r="C61" s="60" t="n"/>
      <c r="D61" s="86" t="n"/>
      <c r="E61" s="63" t="n"/>
      <c r="F61" s="60" t="n"/>
      <c r="G61" s="60" t="n"/>
      <c r="H61" s="71">
        <f>IF(OR($C61="",$D61=""),"",IF(ISNUMBER($E61),$E61,IF($O61="","",IF(N(INDEX('Menu Pricing'!$O$7:$O$56,$O61))&gt;0,INDEX('Menu Pricing'!$O$7:$O$56,$O61),""))))</f>
        <v/>
      </c>
      <c r="I61" s="71">
        <f>IF($N61&lt;&gt;"OK","",$D61*$H61)</f>
        <v/>
      </c>
      <c r="J61" s="71">
        <f>IF($N61&lt;&gt;"OK","",N(INDEX('Menu Pricing'!$F$7:$F$56,$O61))+N(INDEX('Menu Pricing'!$G$7:$G$56,$O61))+N(INDEX('Menu Pricing'!$J$7:$J$56,$O61)))</f>
        <v/>
      </c>
      <c r="K61" s="71">
        <f>IF($N61&lt;&gt;"OK","",$D61*$J61)</f>
        <v/>
      </c>
      <c r="L61" s="71">
        <f>IF($N61&lt;&gt;"OK","",$I61-$K61)</f>
        <v/>
      </c>
      <c r="M61" s="71">
        <f>IF($N61&lt;&gt;"OK","",$D61*N(INDEX('Menu Pricing'!$F$7:$F$56,$O61)))</f>
        <v/>
      </c>
      <c r="N61" s="80">
        <f>IF(AND($B61="",$C61="",$D61=""),"",IF(NOT(ISNUMBER($B61)),"Enter a valid date",IF($C61="","Pick a menu item",IF($O61="","Item not on Menu Pricing",IF(N($D61)&lt;=0,"Qty must be above 0",IF($H61="","No price on menu","OK"))))))</f>
        <v/>
      </c>
      <c r="O61" s="13">
        <f>IF($C61="","",IFERROR(MATCH($C61,'Menu Pricing'!$B$7:$B$56,0),""))</f>
        <v/>
      </c>
    </row>
    <row r="62" ht="17" customHeight="1">
      <c r="B62" s="66" t="n"/>
      <c r="C62" s="60" t="n"/>
      <c r="D62" s="86" t="n"/>
      <c r="E62" s="63" t="n"/>
      <c r="F62" s="60" t="n"/>
      <c r="G62" s="60" t="n"/>
      <c r="H62" s="71">
        <f>IF(OR($C62="",$D62=""),"",IF(ISNUMBER($E62),$E62,IF($O62="","",IF(N(INDEX('Menu Pricing'!$O$7:$O$56,$O62))&gt;0,INDEX('Menu Pricing'!$O$7:$O$56,$O62),""))))</f>
        <v/>
      </c>
      <c r="I62" s="71">
        <f>IF($N62&lt;&gt;"OK","",$D62*$H62)</f>
        <v/>
      </c>
      <c r="J62" s="71">
        <f>IF($N62&lt;&gt;"OK","",N(INDEX('Menu Pricing'!$F$7:$F$56,$O62))+N(INDEX('Menu Pricing'!$G$7:$G$56,$O62))+N(INDEX('Menu Pricing'!$J$7:$J$56,$O62)))</f>
        <v/>
      </c>
      <c r="K62" s="71">
        <f>IF($N62&lt;&gt;"OK","",$D62*$J62)</f>
        <v/>
      </c>
      <c r="L62" s="71">
        <f>IF($N62&lt;&gt;"OK","",$I62-$K62)</f>
        <v/>
      </c>
      <c r="M62" s="71">
        <f>IF($N62&lt;&gt;"OK","",$D62*N(INDEX('Menu Pricing'!$F$7:$F$56,$O62)))</f>
        <v/>
      </c>
      <c r="N62" s="80">
        <f>IF(AND($B62="",$C62="",$D62=""),"",IF(NOT(ISNUMBER($B62)),"Enter a valid date",IF($C62="","Pick a menu item",IF($O62="","Item not on Menu Pricing",IF(N($D62)&lt;=0,"Qty must be above 0",IF($H62="","No price on menu","OK"))))))</f>
        <v/>
      </c>
      <c r="O62" s="13">
        <f>IF($C62="","",IFERROR(MATCH($C62,'Menu Pricing'!$B$7:$B$56,0),""))</f>
        <v/>
      </c>
    </row>
    <row r="63" ht="17" customHeight="1">
      <c r="B63" s="66" t="n"/>
      <c r="C63" s="60" t="n"/>
      <c r="D63" s="86" t="n"/>
      <c r="E63" s="63" t="n"/>
      <c r="F63" s="60" t="n"/>
      <c r="G63" s="60" t="n"/>
      <c r="H63" s="71">
        <f>IF(OR($C63="",$D63=""),"",IF(ISNUMBER($E63),$E63,IF($O63="","",IF(N(INDEX('Menu Pricing'!$O$7:$O$56,$O63))&gt;0,INDEX('Menu Pricing'!$O$7:$O$56,$O63),""))))</f>
        <v/>
      </c>
      <c r="I63" s="71">
        <f>IF($N63&lt;&gt;"OK","",$D63*$H63)</f>
        <v/>
      </c>
      <c r="J63" s="71">
        <f>IF($N63&lt;&gt;"OK","",N(INDEX('Menu Pricing'!$F$7:$F$56,$O63))+N(INDEX('Menu Pricing'!$G$7:$G$56,$O63))+N(INDEX('Menu Pricing'!$J$7:$J$56,$O63)))</f>
        <v/>
      </c>
      <c r="K63" s="71">
        <f>IF($N63&lt;&gt;"OK","",$D63*$J63)</f>
        <v/>
      </c>
      <c r="L63" s="71">
        <f>IF($N63&lt;&gt;"OK","",$I63-$K63)</f>
        <v/>
      </c>
      <c r="M63" s="71">
        <f>IF($N63&lt;&gt;"OK","",$D63*N(INDEX('Menu Pricing'!$F$7:$F$56,$O63)))</f>
        <v/>
      </c>
      <c r="N63" s="80">
        <f>IF(AND($B63="",$C63="",$D63=""),"",IF(NOT(ISNUMBER($B63)),"Enter a valid date",IF($C63="","Pick a menu item",IF($O63="","Item not on Menu Pricing",IF(N($D63)&lt;=0,"Qty must be above 0",IF($H63="","No price on menu","OK"))))))</f>
        <v/>
      </c>
      <c r="O63" s="13">
        <f>IF($C63="","",IFERROR(MATCH($C63,'Menu Pricing'!$B$7:$B$56,0),""))</f>
        <v/>
      </c>
    </row>
    <row r="64" ht="17" customHeight="1">
      <c r="B64" s="66" t="n"/>
      <c r="C64" s="60" t="n"/>
      <c r="D64" s="86" t="n"/>
      <c r="E64" s="63" t="n"/>
      <c r="F64" s="60" t="n"/>
      <c r="G64" s="60" t="n"/>
      <c r="H64" s="71">
        <f>IF(OR($C64="",$D64=""),"",IF(ISNUMBER($E64),$E64,IF($O64="","",IF(N(INDEX('Menu Pricing'!$O$7:$O$56,$O64))&gt;0,INDEX('Menu Pricing'!$O$7:$O$56,$O64),""))))</f>
        <v/>
      </c>
      <c r="I64" s="71">
        <f>IF($N64&lt;&gt;"OK","",$D64*$H64)</f>
        <v/>
      </c>
      <c r="J64" s="71">
        <f>IF($N64&lt;&gt;"OK","",N(INDEX('Menu Pricing'!$F$7:$F$56,$O64))+N(INDEX('Menu Pricing'!$G$7:$G$56,$O64))+N(INDEX('Menu Pricing'!$J$7:$J$56,$O64)))</f>
        <v/>
      </c>
      <c r="K64" s="71">
        <f>IF($N64&lt;&gt;"OK","",$D64*$J64)</f>
        <v/>
      </c>
      <c r="L64" s="71">
        <f>IF($N64&lt;&gt;"OK","",$I64-$K64)</f>
        <v/>
      </c>
      <c r="M64" s="71">
        <f>IF($N64&lt;&gt;"OK","",$D64*N(INDEX('Menu Pricing'!$F$7:$F$56,$O64)))</f>
        <v/>
      </c>
      <c r="N64" s="80">
        <f>IF(AND($B64="",$C64="",$D64=""),"",IF(NOT(ISNUMBER($B64)),"Enter a valid date",IF($C64="","Pick a menu item",IF($O64="","Item not on Menu Pricing",IF(N($D64)&lt;=0,"Qty must be above 0",IF($H64="","No price on menu","OK"))))))</f>
        <v/>
      </c>
      <c r="O64" s="13">
        <f>IF($C64="","",IFERROR(MATCH($C64,'Menu Pricing'!$B$7:$B$56,0),""))</f>
        <v/>
      </c>
    </row>
    <row r="65" ht="17" customHeight="1">
      <c r="B65" s="66" t="n"/>
      <c r="C65" s="60" t="n"/>
      <c r="D65" s="86" t="n"/>
      <c r="E65" s="63" t="n"/>
      <c r="F65" s="60" t="n"/>
      <c r="G65" s="60" t="n"/>
      <c r="H65" s="71">
        <f>IF(OR($C65="",$D65=""),"",IF(ISNUMBER($E65),$E65,IF($O65="","",IF(N(INDEX('Menu Pricing'!$O$7:$O$56,$O65))&gt;0,INDEX('Menu Pricing'!$O$7:$O$56,$O65),""))))</f>
        <v/>
      </c>
      <c r="I65" s="71">
        <f>IF($N65&lt;&gt;"OK","",$D65*$H65)</f>
        <v/>
      </c>
      <c r="J65" s="71">
        <f>IF($N65&lt;&gt;"OK","",N(INDEX('Menu Pricing'!$F$7:$F$56,$O65))+N(INDEX('Menu Pricing'!$G$7:$G$56,$O65))+N(INDEX('Menu Pricing'!$J$7:$J$56,$O65)))</f>
        <v/>
      </c>
      <c r="K65" s="71">
        <f>IF($N65&lt;&gt;"OK","",$D65*$J65)</f>
        <v/>
      </c>
      <c r="L65" s="71">
        <f>IF($N65&lt;&gt;"OK","",$I65-$K65)</f>
        <v/>
      </c>
      <c r="M65" s="71">
        <f>IF($N65&lt;&gt;"OK","",$D65*N(INDEX('Menu Pricing'!$F$7:$F$56,$O65)))</f>
        <v/>
      </c>
      <c r="N65" s="80">
        <f>IF(AND($B65="",$C65="",$D65=""),"",IF(NOT(ISNUMBER($B65)),"Enter a valid date",IF($C65="","Pick a menu item",IF($O65="","Item not on Menu Pricing",IF(N($D65)&lt;=0,"Qty must be above 0",IF($H65="","No price on menu","OK"))))))</f>
        <v/>
      </c>
      <c r="O65" s="13">
        <f>IF($C65="","",IFERROR(MATCH($C65,'Menu Pricing'!$B$7:$B$56,0),""))</f>
        <v/>
      </c>
    </row>
    <row r="66" ht="17" customHeight="1">
      <c r="B66" s="66" t="n"/>
      <c r="C66" s="60" t="n"/>
      <c r="D66" s="86" t="n"/>
      <c r="E66" s="63" t="n"/>
      <c r="F66" s="60" t="n"/>
      <c r="G66" s="60" t="n"/>
      <c r="H66" s="71">
        <f>IF(OR($C66="",$D66=""),"",IF(ISNUMBER($E66),$E66,IF($O66="","",IF(N(INDEX('Menu Pricing'!$O$7:$O$56,$O66))&gt;0,INDEX('Menu Pricing'!$O$7:$O$56,$O66),""))))</f>
        <v/>
      </c>
      <c r="I66" s="71">
        <f>IF($N66&lt;&gt;"OK","",$D66*$H66)</f>
        <v/>
      </c>
      <c r="J66" s="71">
        <f>IF($N66&lt;&gt;"OK","",N(INDEX('Menu Pricing'!$F$7:$F$56,$O66))+N(INDEX('Menu Pricing'!$G$7:$G$56,$O66))+N(INDEX('Menu Pricing'!$J$7:$J$56,$O66)))</f>
        <v/>
      </c>
      <c r="K66" s="71">
        <f>IF($N66&lt;&gt;"OK","",$D66*$J66)</f>
        <v/>
      </c>
      <c r="L66" s="71">
        <f>IF($N66&lt;&gt;"OK","",$I66-$K66)</f>
        <v/>
      </c>
      <c r="M66" s="71">
        <f>IF($N66&lt;&gt;"OK","",$D66*N(INDEX('Menu Pricing'!$F$7:$F$56,$O66)))</f>
        <v/>
      </c>
      <c r="N66" s="80">
        <f>IF(AND($B66="",$C66="",$D66=""),"",IF(NOT(ISNUMBER($B66)),"Enter a valid date",IF($C66="","Pick a menu item",IF($O66="","Item not on Menu Pricing",IF(N($D66)&lt;=0,"Qty must be above 0",IF($H66="","No price on menu","OK"))))))</f>
        <v/>
      </c>
      <c r="O66" s="13">
        <f>IF($C66="","",IFERROR(MATCH($C66,'Menu Pricing'!$B$7:$B$56,0),""))</f>
        <v/>
      </c>
    </row>
    <row r="67" ht="17" customHeight="1">
      <c r="B67" s="66" t="n"/>
      <c r="C67" s="60" t="n"/>
      <c r="D67" s="86" t="n"/>
      <c r="E67" s="63" t="n"/>
      <c r="F67" s="60" t="n"/>
      <c r="G67" s="60" t="n"/>
      <c r="H67" s="71">
        <f>IF(OR($C67="",$D67=""),"",IF(ISNUMBER($E67),$E67,IF($O67="","",IF(N(INDEX('Menu Pricing'!$O$7:$O$56,$O67))&gt;0,INDEX('Menu Pricing'!$O$7:$O$56,$O67),""))))</f>
        <v/>
      </c>
      <c r="I67" s="71">
        <f>IF($N67&lt;&gt;"OK","",$D67*$H67)</f>
        <v/>
      </c>
      <c r="J67" s="71">
        <f>IF($N67&lt;&gt;"OK","",N(INDEX('Menu Pricing'!$F$7:$F$56,$O67))+N(INDEX('Menu Pricing'!$G$7:$G$56,$O67))+N(INDEX('Menu Pricing'!$J$7:$J$56,$O67)))</f>
        <v/>
      </c>
      <c r="K67" s="71">
        <f>IF($N67&lt;&gt;"OK","",$D67*$J67)</f>
        <v/>
      </c>
      <c r="L67" s="71">
        <f>IF($N67&lt;&gt;"OK","",$I67-$K67)</f>
        <v/>
      </c>
      <c r="M67" s="71">
        <f>IF($N67&lt;&gt;"OK","",$D67*N(INDEX('Menu Pricing'!$F$7:$F$56,$O67)))</f>
        <v/>
      </c>
      <c r="N67" s="80">
        <f>IF(AND($B67="",$C67="",$D67=""),"",IF(NOT(ISNUMBER($B67)),"Enter a valid date",IF($C67="","Pick a menu item",IF($O67="","Item not on Menu Pricing",IF(N($D67)&lt;=0,"Qty must be above 0",IF($H67="","No price on menu","OK"))))))</f>
        <v/>
      </c>
      <c r="O67" s="13">
        <f>IF($C67="","",IFERROR(MATCH($C67,'Menu Pricing'!$B$7:$B$56,0),""))</f>
        <v/>
      </c>
    </row>
    <row r="68" ht="17" customHeight="1">
      <c r="B68" s="66" t="n"/>
      <c r="C68" s="60" t="n"/>
      <c r="D68" s="86" t="n"/>
      <c r="E68" s="63" t="n"/>
      <c r="F68" s="60" t="n"/>
      <c r="G68" s="60" t="n"/>
      <c r="H68" s="71">
        <f>IF(OR($C68="",$D68=""),"",IF(ISNUMBER($E68),$E68,IF($O68="","",IF(N(INDEX('Menu Pricing'!$O$7:$O$56,$O68))&gt;0,INDEX('Menu Pricing'!$O$7:$O$56,$O68),""))))</f>
        <v/>
      </c>
      <c r="I68" s="71">
        <f>IF($N68&lt;&gt;"OK","",$D68*$H68)</f>
        <v/>
      </c>
      <c r="J68" s="71">
        <f>IF($N68&lt;&gt;"OK","",N(INDEX('Menu Pricing'!$F$7:$F$56,$O68))+N(INDEX('Menu Pricing'!$G$7:$G$56,$O68))+N(INDEX('Menu Pricing'!$J$7:$J$56,$O68)))</f>
        <v/>
      </c>
      <c r="K68" s="71">
        <f>IF($N68&lt;&gt;"OK","",$D68*$J68)</f>
        <v/>
      </c>
      <c r="L68" s="71">
        <f>IF($N68&lt;&gt;"OK","",$I68-$K68)</f>
        <v/>
      </c>
      <c r="M68" s="71">
        <f>IF($N68&lt;&gt;"OK","",$D68*N(INDEX('Menu Pricing'!$F$7:$F$56,$O68)))</f>
        <v/>
      </c>
      <c r="N68" s="80">
        <f>IF(AND($B68="",$C68="",$D68=""),"",IF(NOT(ISNUMBER($B68)),"Enter a valid date",IF($C68="","Pick a menu item",IF($O68="","Item not on Menu Pricing",IF(N($D68)&lt;=0,"Qty must be above 0",IF($H68="","No price on menu","OK"))))))</f>
        <v/>
      </c>
      <c r="O68" s="13">
        <f>IF($C68="","",IFERROR(MATCH($C68,'Menu Pricing'!$B$7:$B$56,0),""))</f>
        <v/>
      </c>
    </row>
    <row r="69" ht="17" customHeight="1">
      <c r="B69" s="66" t="n"/>
      <c r="C69" s="60" t="n"/>
      <c r="D69" s="86" t="n"/>
      <c r="E69" s="63" t="n"/>
      <c r="F69" s="60" t="n"/>
      <c r="G69" s="60" t="n"/>
      <c r="H69" s="71">
        <f>IF(OR($C69="",$D69=""),"",IF(ISNUMBER($E69),$E69,IF($O69="","",IF(N(INDEX('Menu Pricing'!$O$7:$O$56,$O69))&gt;0,INDEX('Menu Pricing'!$O$7:$O$56,$O69),""))))</f>
        <v/>
      </c>
      <c r="I69" s="71">
        <f>IF($N69&lt;&gt;"OK","",$D69*$H69)</f>
        <v/>
      </c>
      <c r="J69" s="71">
        <f>IF($N69&lt;&gt;"OK","",N(INDEX('Menu Pricing'!$F$7:$F$56,$O69))+N(INDEX('Menu Pricing'!$G$7:$G$56,$O69))+N(INDEX('Menu Pricing'!$J$7:$J$56,$O69)))</f>
        <v/>
      </c>
      <c r="K69" s="71">
        <f>IF($N69&lt;&gt;"OK","",$D69*$J69)</f>
        <v/>
      </c>
      <c r="L69" s="71">
        <f>IF($N69&lt;&gt;"OK","",$I69-$K69)</f>
        <v/>
      </c>
      <c r="M69" s="71">
        <f>IF($N69&lt;&gt;"OK","",$D69*N(INDEX('Menu Pricing'!$F$7:$F$56,$O69)))</f>
        <v/>
      </c>
      <c r="N69" s="80">
        <f>IF(AND($B69="",$C69="",$D69=""),"",IF(NOT(ISNUMBER($B69)),"Enter a valid date",IF($C69="","Pick a menu item",IF($O69="","Item not on Menu Pricing",IF(N($D69)&lt;=0,"Qty must be above 0",IF($H69="","No price on menu","OK"))))))</f>
        <v/>
      </c>
      <c r="O69" s="13">
        <f>IF($C69="","",IFERROR(MATCH($C69,'Menu Pricing'!$B$7:$B$56,0),""))</f>
        <v/>
      </c>
    </row>
    <row r="70" ht="17" customHeight="1">
      <c r="B70" s="66" t="n"/>
      <c r="C70" s="60" t="n"/>
      <c r="D70" s="86" t="n"/>
      <c r="E70" s="63" t="n"/>
      <c r="F70" s="60" t="n"/>
      <c r="G70" s="60" t="n"/>
      <c r="H70" s="71">
        <f>IF(OR($C70="",$D70=""),"",IF(ISNUMBER($E70),$E70,IF($O70="","",IF(N(INDEX('Menu Pricing'!$O$7:$O$56,$O70))&gt;0,INDEX('Menu Pricing'!$O$7:$O$56,$O70),""))))</f>
        <v/>
      </c>
      <c r="I70" s="71">
        <f>IF($N70&lt;&gt;"OK","",$D70*$H70)</f>
        <v/>
      </c>
      <c r="J70" s="71">
        <f>IF($N70&lt;&gt;"OK","",N(INDEX('Menu Pricing'!$F$7:$F$56,$O70))+N(INDEX('Menu Pricing'!$G$7:$G$56,$O70))+N(INDEX('Menu Pricing'!$J$7:$J$56,$O70)))</f>
        <v/>
      </c>
      <c r="K70" s="71">
        <f>IF($N70&lt;&gt;"OK","",$D70*$J70)</f>
        <v/>
      </c>
      <c r="L70" s="71">
        <f>IF($N70&lt;&gt;"OK","",$I70-$K70)</f>
        <v/>
      </c>
      <c r="M70" s="71">
        <f>IF($N70&lt;&gt;"OK","",$D70*N(INDEX('Menu Pricing'!$F$7:$F$56,$O70)))</f>
        <v/>
      </c>
      <c r="N70" s="80">
        <f>IF(AND($B70="",$C70="",$D70=""),"",IF(NOT(ISNUMBER($B70)),"Enter a valid date",IF($C70="","Pick a menu item",IF($O70="","Item not on Menu Pricing",IF(N($D70)&lt;=0,"Qty must be above 0",IF($H70="","No price on menu","OK"))))))</f>
        <v/>
      </c>
      <c r="O70" s="13">
        <f>IF($C70="","",IFERROR(MATCH($C70,'Menu Pricing'!$B$7:$B$56,0),""))</f>
        <v/>
      </c>
    </row>
    <row r="71" ht="17" customHeight="1">
      <c r="B71" s="66" t="n"/>
      <c r="C71" s="60" t="n"/>
      <c r="D71" s="86" t="n"/>
      <c r="E71" s="63" t="n"/>
      <c r="F71" s="60" t="n"/>
      <c r="G71" s="60" t="n"/>
      <c r="H71" s="71">
        <f>IF(OR($C71="",$D71=""),"",IF(ISNUMBER($E71),$E71,IF($O71="","",IF(N(INDEX('Menu Pricing'!$O$7:$O$56,$O71))&gt;0,INDEX('Menu Pricing'!$O$7:$O$56,$O71),""))))</f>
        <v/>
      </c>
      <c r="I71" s="71">
        <f>IF($N71&lt;&gt;"OK","",$D71*$H71)</f>
        <v/>
      </c>
      <c r="J71" s="71">
        <f>IF($N71&lt;&gt;"OK","",N(INDEX('Menu Pricing'!$F$7:$F$56,$O71))+N(INDEX('Menu Pricing'!$G$7:$G$56,$O71))+N(INDEX('Menu Pricing'!$J$7:$J$56,$O71)))</f>
        <v/>
      </c>
      <c r="K71" s="71">
        <f>IF($N71&lt;&gt;"OK","",$D71*$J71)</f>
        <v/>
      </c>
      <c r="L71" s="71">
        <f>IF($N71&lt;&gt;"OK","",$I71-$K71)</f>
        <v/>
      </c>
      <c r="M71" s="71">
        <f>IF($N71&lt;&gt;"OK","",$D71*N(INDEX('Menu Pricing'!$F$7:$F$56,$O71)))</f>
        <v/>
      </c>
      <c r="N71" s="80">
        <f>IF(AND($B71="",$C71="",$D71=""),"",IF(NOT(ISNUMBER($B71)),"Enter a valid date",IF($C71="","Pick a menu item",IF($O71="","Item not on Menu Pricing",IF(N($D71)&lt;=0,"Qty must be above 0",IF($H71="","No price on menu","OK"))))))</f>
        <v/>
      </c>
      <c r="O71" s="13">
        <f>IF($C71="","",IFERROR(MATCH($C71,'Menu Pricing'!$B$7:$B$56,0),""))</f>
        <v/>
      </c>
    </row>
    <row r="72" ht="17" customHeight="1">
      <c r="B72" s="66" t="n"/>
      <c r="C72" s="60" t="n"/>
      <c r="D72" s="86" t="n"/>
      <c r="E72" s="63" t="n"/>
      <c r="F72" s="60" t="n"/>
      <c r="G72" s="60" t="n"/>
      <c r="H72" s="71">
        <f>IF(OR($C72="",$D72=""),"",IF(ISNUMBER($E72),$E72,IF($O72="","",IF(N(INDEX('Menu Pricing'!$O$7:$O$56,$O72))&gt;0,INDEX('Menu Pricing'!$O$7:$O$56,$O72),""))))</f>
        <v/>
      </c>
      <c r="I72" s="71">
        <f>IF($N72&lt;&gt;"OK","",$D72*$H72)</f>
        <v/>
      </c>
      <c r="J72" s="71">
        <f>IF($N72&lt;&gt;"OK","",N(INDEX('Menu Pricing'!$F$7:$F$56,$O72))+N(INDEX('Menu Pricing'!$G$7:$G$56,$O72))+N(INDEX('Menu Pricing'!$J$7:$J$56,$O72)))</f>
        <v/>
      </c>
      <c r="K72" s="71">
        <f>IF($N72&lt;&gt;"OK","",$D72*$J72)</f>
        <v/>
      </c>
      <c r="L72" s="71">
        <f>IF($N72&lt;&gt;"OK","",$I72-$K72)</f>
        <v/>
      </c>
      <c r="M72" s="71">
        <f>IF($N72&lt;&gt;"OK","",$D72*N(INDEX('Menu Pricing'!$F$7:$F$56,$O72)))</f>
        <v/>
      </c>
      <c r="N72" s="80">
        <f>IF(AND($B72="",$C72="",$D72=""),"",IF(NOT(ISNUMBER($B72)),"Enter a valid date",IF($C72="","Pick a menu item",IF($O72="","Item not on Menu Pricing",IF(N($D72)&lt;=0,"Qty must be above 0",IF($H72="","No price on menu","OK"))))))</f>
        <v/>
      </c>
      <c r="O72" s="13">
        <f>IF($C72="","",IFERROR(MATCH($C72,'Menu Pricing'!$B$7:$B$56,0),""))</f>
        <v/>
      </c>
    </row>
    <row r="73" ht="17" customHeight="1">
      <c r="B73" s="66" t="n"/>
      <c r="C73" s="60" t="n"/>
      <c r="D73" s="86" t="n"/>
      <c r="E73" s="63" t="n"/>
      <c r="F73" s="60" t="n"/>
      <c r="G73" s="60" t="n"/>
      <c r="H73" s="71">
        <f>IF(OR($C73="",$D73=""),"",IF(ISNUMBER($E73),$E73,IF($O73="","",IF(N(INDEX('Menu Pricing'!$O$7:$O$56,$O73))&gt;0,INDEX('Menu Pricing'!$O$7:$O$56,$O73),""))))</f>
        <v/>
      </c>
      <c r="I73" s="71">
        <f>IF($N73&lt;&gt;"OK","",$D73*$H73)</f>
        <v/>
      </c>
      <c r="J73" s="71">
        <f>IF($N73&lt;&gt;"OK","",N(INDEX('Menu Pricing'!$F$7:$F$56,$O73))+N(INDEX('Menu Pricing'!$G$7:$G$56,$O73))+N(INDEX('Menu Pricing'!$J$7:$J$56,$O73)))</f>
        <v/>
      </c>
      <c r="K73" s="71">
        <f>IF($N73&lt;&gt;"OK","",$D73*$J73)</f>
        <v/>
      </c>
      <c r="L73" s="71">
        <f>IF($N73&lt;&gt;"OK","",$I73-$K73)</f>
        <v/>
      </c>
      <c r="M73" s="71">
        <f>IF($N73&lt;&gt;"OK","",$D73*N(INDEX('Menu Pricing'!$F$7:$F$56,$O73)))</f>
        <v/>
      </c>
      <c r="N73" s="80">
        <f>IF(AND($B73="",$C73="",$D73=""),"",IF(NOT(ISNUMBER($B73)),"Enter a valid date",IF($C73="","Pick a menu item",IF($O73="","Item not on Menu Pricing",IF(N($D73)&lt;=0,"Qty must be above 0",IF($H73="","No price on menu","OK"))))))</f>
        <v/>
      </c>
      <c r="O73" s="13">
        <f>IF($C73="","",IFERROR(MATCH($C73,'Menu Pricing'!$B$7:$B$56,0),""))</f>
        <v/>
      </c>
    </row>
    <row r="74" ht="17" customHeight="1">
      <c r="B74" s="66" t="n"/>
      <c r="C74" s="60" t="n"/>
      <c r="D74" s="86" t="n"/>
      <c r="E74" s="63" t="n"/>
      <c r="F74" s="60" t="n"/>
      <c r="G74" s="60" t="n"/>
      <c r="H74" s="71">
        <f>IF(OR($C74="",$D74=""),"",IF(ISNUMBER($E74),$E74,IF($O74="","",IF(N(INDEX('Menu Pricing'!$O$7:$O$56,$O74))&gt;0,INDEX('Menu Pricing'!$O$7:$O$56,$O74),""))))</f>
        <v/>
      </c>
      <c r="I74" s="71">
        <f>IF($N74&lt;&gt;"OK","",$D74*$H74)</f>
        <v/>
      </c>
      <c r="J74" s="71">
        <f>IF($N74&lt;&gt;"OK","",N(INDEX('Menu Pricing'!$F$7:$F$56,$O74))+N(INDEX('Menu Pricing'!$G$7:$G$56,$O74))+N(INDEX('Menu Pricing'!$J$7:$J$56,$O74)))</f>
        <v/>
      </c>
      <c r="K74" s="71">
        <f>IF($N74&lt;&gt;"OK","",$D74*$J74)</f>
        <v/>
      </c>
      <c r="L74" s="71">
        <f>IF($N74&lt;&gt;"OK","",$I74-$K74)</f>
        <v/>
      </c>
      <c r="M74" s="71">
        <f>IF($N74&lt;&gt;"OK","",$D74*N(INDEX('Menu Pricing'!$F$7:$F$56,$O74)))</f>
        <v/>
      </c>
      <c r="N74" s="80">
        <f>IF(AND($B74="",$C74="",$D74=""),"",IF(NOT(ISNUMBER($B74)),"Enter a valid date",IF($C74="","Pick a menu item",IF($O74="","Item not on Menu Pricing",IF(N($D74)&lt;=0,"Qty must be above 0",IF($H74="","No price on menu","OK"))))))</f>
        <v/>
      </c>
      <c r="O74" s="13">
        <f>IF($C74="","",IFERROR(MATCH($C74,'Menu Pricing'!$B$7:$B$56,0),""))</f>
        <v/>
      </c>
    </row>
    <row r="75" ht="17" customHeight="1">
      <c r="B75" s="66" t="n"/>
      <c r="C75" s="60" t="n"/>
      <c r="D75" s="86" t="n"/>
      <c r="E75" s="63" t="n"/>
      <c r="F75" s="60" t="n"/>
      <c r="G75" s="60" t="n"/>
      <c r="H75" s="71">
        <f>IF(OR($C75="",$D75=""),"",IF(ISNUMBER($E75),$E75,IF($O75="","",IF(N(INDEX('Menu Pricing'!$O$7:$O$56,$O75))&gt;0,INDEX('Menu Pricing'!$O$7:$O$56,$O75),""))))</f>
        <v/>
      </c>
      <c r="I75" s="71">
        <f>IF($N75&lt;&gt;"OK","",$D75*$H75)</f>
        <v/>
      </c>
      <c r="J75" s="71">
        <f>IF($N75&lt;&gt;"OK","",N(INDEX('Menu Pricing'!$F$7:$F$56,$O75))+N(INDEX('Menu Pricing'!$G$7:$G$56,$O75))+N(INDEX('Menu Pricing'!$J$7:$J$56,$O75)))</f>
        <v/>
      </c>
      <c r="K75" s="71">
        <f>IF($N75&lt;&gt;"OK","",$D75*$J75)</f>
        <v/>
      </c>
      <c r="L75" s="71">
        <f>IF($N75&lt;&gt;"OK","",$I75-$K75)</f>
        <v/>
      </c>
      <c r="M75" s="71">
        <f>IF($N75&lt;&gt;"OK","",$D75*N(INDEX('Menu Pricing'!$F$7:$F$56,$O75)))</f>
        <v/>
      </c>
      <c r="N75" s="80">
        <f>IF(AND($B75="",$C75="",$D75=""),"",IF(NOT(ISNUMBER($B75)),"Enter a valid date",IF($C75="","Pick a menu item",IF($O75="","Item not on Menu Pricing",IF(N($D75)&lt;=0,"Qty must be above 0",IF($H75="","No price on menu","OK"))))))</f>
        <v/>
      </c>
      <c r="O75" s="13">
        <f>IF($C75="","",IFERROR(MATCH($C75,'Menu Pricing'!$B$7:$B$56,0),""))</f>
        <v/>
      </c>
    </row>
    <row r="76" ht="17" customHeight="1">
      <c r="B76" s="66" t="n"/>
      <c r="C76" s="60" t="n"/>
      <c r="D76" s="86" t="n"/>
      <c r="E76" s="63" t="n"/>
      <c r="F76" s="60" t="n"/>
      <c r="G76" s="60" t="n"/>
      <c r="H76" s="71">
        <f>IF(OR($C76="",$D76=""),"",IF(ISNUMBER($E76),$E76,IF($O76="","",IF(N(INDEX('Menu Pricing'!$O$7:$O$56,$O76))&gt;0,INDEX('Menu Pricing'!$O$7:$O$56,$O76),""))))</f>
        <v/>
      </c>
      <c r="I76" s="71">
        <f>IF($N76&lt;&gt;"OK","",$D76*$H76)</f>
        <v/>
      </c>
      <c r="J76" s="71">
        <f>IF($N76&lt;&gt;"OK","",N(INDEX('Menu Pricing'!$F$7:$F$56,$O76))+N(INDEX('Menu Pricing'!$G$7:$G$56,$O76))+N(INDEX('Menu Pricing'!$J$7:$J$56,$O76)))</f>
        <v/>
      </c>
      <c r="K76" s="71">
        <f>IF($N76&lt;&gt;"OK","",$D76*$J76)</f>
        <v/>
      </c>
      <c r="L76" s="71">
        <f>IF($N76&lt;&gt;"OK","",$I76-$K76)</f>
        <v/>
      </c>
      <c r="M76" s="71">
        <f>IF($N76&lt;&gt;"OK","",$D76*N(INDEX('Menu Pricing'!$F$7:$F$56,$O76)))</f>
        <v/>
      </c>
      <c r="N76" s="80">
        <f>IF(AND($B76="",$C76="",$D76=""),"",IF(NOT(ISNUMBER($B76)),"Enter a valid date",IF($C76="","Pick a menu item",IF($O76="","Item not on Menu Pricing",IF(N($D76)&lt;=0,"Qty must be above 0",IF($H76="","No price on menu","OK"))))))</f>
        <v/>
      </c>
      <c r="O76" s="13">
        <f>IF($C76="","",IFERROR(MATCH($C76,'Menu Pricing'!$B$7:$B$56,0),""))</f>
        <v/>
      </c>
    </row>
    <row r="77" ht="17" customHeight="1">
      <c r="B77" s="66" t="n"/>
      <c r="C77" s="60" t="n"/>
      <c r="D77" s="86" t="n"/>
      <c r="E77" s="63" t="n"/>
      <c r="F77" s="60" t="n"/>
      <c r="G77" s="60" t="n"/>
      <c r="H77" s="71">
        <f>IF(OR($C77="",$D77=""),"",IF(ISNUMBER($E77),$E77,IF($O77="","",IF(N(INDEX('Menu Pricing'!$O$7:$O$56,$O77))&gt;0,INDEX('Menu Pricing'!$O$7:$O$56,$O77),""))))</f>
        <v/>
      </c>
      <c r="I77" s="71">
        <f>IF($N77&lt;&gt;"OK","",$D77*$H77)</f>
        <v/>
      </c>
      <c r="J77" s="71">
        <f>IF($N77&lt;&gt;"OK","",N(INDEX('Menu Pricing'!$F$7:$F$56,$O77))+N(INDEX('Menu Pricing'!$G$7:$G$56,$O77))+N(INDEX('Menu Pricing'!$J$7:$J$56,$O77)))</f>
        <v/>
      </c>
      <c r="K77" s="71">
        <f>IF($N77&lt;&gt;"OK","",$D77*$J77)</f>
        <v/>
      </c>
      <c r="L77" s="71">
        <f>IF($N77&lt;&gt;"OK","",$I77-$K77)</f>
        <v/>
      </c>
      <c r="M77" s="71">
        <f>IF($N77&lt;&gt;"OK","",$D77*N(INDEX('Menu Pricing'!$F$7:$F$56,$O77)))</f>
        <v/>
      </c>
      <c r="N77" s="80">
        <f>IF(AND($B77="",$C77="",$D77=""),"",IF(NOT(ISNUMBER($B77)),"Enter a valid date",IF($C77="","Pick a menu item",IF($O77="","Item not on Menu Pricing",IF(N($D77)&lt;=0,"Qty must be above 0",IF($H77="","No price on menu","OK"))))))</f>
        <v/>
      </c>
      <c r="O77" s="13">
        <f>IF($C77="","",IFERROR(MATCH($C77,'Menu Pricing'!$B$7:$B$56,0),""))</f>
        <v/>
      </c>
    </row>
    <row r="78" ht="17" customHeight="1">
      <c r="B78" s="66" t="n"/>
      <c r="C78" s="60" t="n"/>
      <c r="D78" s="86" t="n"/>
      <c r="E78" s="63" t="n"/>
      <c r="F78" s="60" t="n"/>
      <c r="G78" s="60" t="n"/>
      <c r="H78" s="71">
        <f>IF(OR($C78="",$D78=""),"",IF(ISNUMBER($E78),$E78,IF($O78="","",IF(N(INDEX('Menu Pricing'!$O$7:$O$56,$O78))&gt;0,INDEX('Menu Pricing'!$O$7:$O$56,$O78),""))))</f>
        <v/>
      </c>
      <c r="I78" s="71">
        <f>IF($N78&lt;&gt;"OK","",$D78*$H78)</f>
        <v/>
      </c>
      <c r="J78" s="71">
        <f>IF($N78&lt;&gt;"OK","",N(INDEX('Menu Pricing'!$F$7:$F$56,$O78))+N(INDEX('Menu Pricing'!$G$7:$G$56,$O78))+N(INDEX('Menu Pricing'!$J$7:$J$56,$O78)))</f>
        <v/>
      </c>
      <c r="K78" s="71">
        <f>IF($N78&lt;&gt;"OK","",$D78*$J78)</f>
        <v/>
      </c>
      <c r="L78" s="71">
        <f>IF($N78&lt;&gt;"OK","",$I78-$K78)</f>
        <v/>
      </c>
      <c r="M78" s="71">
        <f>IF($N78&lt;&gt;"OK","",$D78*N(INDEX('Menu Pricing'!$F$7:$F$56,$O78)))</f>
        <v/>
      </c>
      <c r="N78" s="80">
        <f>IF(AND($B78="",$C78="",$D78=""),"",IF(NOT(ISNUMBER($B78)),"Enter a valid date",IF($C78="","Pick a menu item",IF($O78="","Item not on Menu Pricing",IF(N($D78)&lt;=0,"Qty must be above 0",IF($H78="","No price on menu","OK"))))))</f>
        <v/>
      </c>
      <c r="O78" s="13">
        <f>IF($C78="","",IFERROR(MATCH($C78,'Menu Pricing'!$B$7:$B$56,0),""))</f>
        <v/>
      </c>
    </row>
    <row r="79" ht="17" customHeight="1">
      <c r="B79" s="66" t="n"/>
      <c r="C79" s="60" t="n"/>
      <c r="D79" s="86" t="n"/>
      <c r="E79" s="63" t="n"/>
      <c r="F79" s="60" t="n"/>
      <c r="G79" s="60" t="n"/>
      <c r="H79" s="71">
        <f>IF(OR($C79="",$D79=""),"",IF(ISNUMBER($E79),$E79,IF($O79="","",IF(N(INDEX('Menu Pricing'!$O$7:$O$56,$O79))&gt;0,INDEX('Menu Pricing'!$O$7:$O$56,$O79),""))))</f>
        <v/>
      </c>
      <c r="I79" s="71">
        <f>IF($N79&lt;&gt;"OK","",$D79*$H79)</f>
        <v/>
      </c>
      <c r="J79" s="71">
        <f>IF($N79&lt;&gt;"OK","",N(INDEX('Menu Pricing'!$F$7:$F$56,$O79))+N(INDEX('Menu Pricing'!$G$7:$G$56,$O79))+N(INDEX('Menu Pricing'!$J$7:$J$56,$O79)))</f>
        <v/>
      </c>
      <c r="K79" s="71">
        <f>IF($N79&lt;&gt;"OK","",$D79*$J79)</f>
        <v/>
      </c>
      <c r="L79" s="71">
        <f>IF($N79&lt;&gt;"OK","",$I79-$K79)</f>
        <v/>
      </c>
      <c r="M79" s="71">
        <f>IF($N79&lt;&gt;"OK","",$D79*N(INDEX('Menu Pricing'!$F$7:$F$56,$O79)))</f>
        <v/>
      </c>
      <c r="N79" s="80">
        <f>IF(AND($B79="",$C79="",$D79=""),"",IF(NOT(ISNUMBER($B79)),"Enter a valid date",IF($C79="","Pick a menu item",IF($O79="","Item not on Menu Pricing",IF(N($D79)&lt;=0,"Qty must be above 0",IF($H79="","No price on menu","OK"))))))</f>
        <v/>
      </c>
      <c r="O79" s="13">
        <f>IF($C79="","",IFERROR(MATCH($C79,'Menu Pricing'!$B$7:$B$56,0),""))</f>
        <v/>
      </c>
    </row>
    <row r="80" ht="17" customHeight="1">
      <c r="B80" s="66" t="n"/>
      <c r="C80" s="60" t="n"/>
      <c r="D80" s="86" t="n"/>
      <c r="E80" s="63" t="n"/>
      <c r="F80" s="60" t="n"/>
      <c r="G80" s="60" t="n"/>
      <c r="H80" s="71">
        <f>IF(OR($C80="",$D80=""),"",IF(ISNUMBER($E80),$E80,IF($O80="","",IF(N(INDEX('Menu Pricing'!$O$7:$O$56,$O80))&gt;0,INDEX('Menu Pricing'!$O$7:$O$56,$O80),""))))</f>
        <v/>
      </c>
      <c r="I80" s="71">
        <f>IF($N80&lt;&gt;"OK","",$D80*$H80)</f>
        <v/>
      </c>
      <c r="J80" s="71">
        <f>IF($N80&lt;&gt;"OK","",N(INDEX('Menu Pricing'!$F$7:$F$56,$O80))+N(INDEX('Menu Pricing'!$G$7:$G$56,$O80))+N(INDEX('Menu Pricing'!$J$7:$J$56,$O80)))</f>
        <v/>
      </c>
      <c r="K80" s="71">
        <f>IF($N80&lt;&gt;"OK","",$D80*$J80)</f>
        <v/>
      </c>
      <c r="L80" s="71">
        <f>IF($N80&lt;&gt;"OK","",$I80-$K80)</f>
        <v/>
      </c>
      <c r="M80" s="71">
        <f>IF($N80&lt;&gt;"OK","",$D80*N(INDEX('Menu Pricing'!$F$7:$F$56,$O80)))</f>
        <v/>
      </c>
      <c r="N80" s="80">
        <f>IF(AND($B80="",$C80="",$D80=""),"",IF(NOT(ISNUMBER($B80)),"Enter a valid date",IF($C80="","Pick a menu item",IF($O80="","Item not on Menu Pricing",IF(N($D80)&lt;=0,"Qty must be above 0",IF($H80="","No price on menu","OK"))))))</f>
        <v/>
      </c>
      <c r="O80" s="13">
        <f>IF($C80="","",IFERROR(MATCH($C80,'Menu Pricing'!$B$7:$B$56,0),""))</f>
        <v/>
      </c>
    </row>
    <row r="81" ht="17" customHeight="1">
      <c r="B81" s="66" t="n"/>
      <c r="C81" s="60" t="n"/>
      <c r="D81" s="86" t="n"/>
      <c r="E81" s="63" t="n"/>
      <c r="F81" s="60" t="n"/>
      <c r="G81" s="60" t="n"/>
      <c r="H81" s="71">
        <f>IF(OR($C81="",$D81=""),"",IF(ISNUMBER($E81),$E81,IF($O81="","",IF(N(INDEX('Menu Pricing'!$O$7:$O$56,$O81))&gt;0,INDEX('Menu Pricing'!$O$7:$O$56,$O81),""))))</f>
        <v/>
      </c>
      <c r="I81" s="71">
        <f>IF($N81&lt;&gt;"OK","",$D81*$H81)</f>
        <v/>
      </c>
      <c r="J81" s="71">
        <f>IF($N81&lt;&gt;"OK","",N(INDEX('Menu Pricing'!$F$7:$F$56,$O81))+N(INDEX('Menu Pricing'!$G$7:$G$56,$O81))+N(INDEX('Menu Pricing'!$J$7:$J$56,$O81)))</f>
        <v/>
      </c>
      <c r="K81" s="71">
        <f>IF($N81&lt;&gt;"OK","",$D81*$J81)</f>
        <v/>
      </c>
      <c r="L81" s="71">
        <f>IF($N81&lt;&gt;"OK","",$I81-$K81)</f>
        <v/>
      </c>
      <c r="M81" s="71">
        <f>IF($N81&lt;&gt;"OK","",$D81*N(INDEX('Menu Pricing'!$F$7:$F$56,$O81)))</f>
        <v/>
      </c>
      <c r="N81" s="80">
        <f>IF(AND($B81="",$C81="",$D81=""),"",IF(NOT(ISNUMBER($B81)),"Enter a valid date",IF($C81="","Pick a menu item",IF($O81="","Item not on Menu Pricing",IF(N($D81)&lt;=0,"Qty must be above 0",IF($H81="","No price on menu","OK"))))))</f>
        <v/>
      </c>
      <c r="O81" s="13">
        <f>IF($C81="","",IFERROR(MATCH($C81,'Menu Pricing'!$B$7:$B$56,0),""))</f>
        <v/>
      </c>
    </row>
    <row r="82" ht="17" customHeight="1">
      <c r="B82" s="66" t="n"/>
      <c r="C82" s="60" t="n"/>
      <c r="D82" s="86" t="n"/>
      <c r="E82" s="63" t="n"/>
      <c r="F82" s="60" t="n"/>
      <c r="G82" s="60" t="n"/>
      <c r="H82" s="71">
        <f>IF(OR($C82="",$D82=""),"",IF(ISNUMBER($E82),$E82,IF($O82="","",IF(N(INDEX('Menu Pricing'!$O$7:$O$56,$O82))&gt;0,INDEX('Menu Pricing'!$O$7:$O$56,$O82),""))))</f>
        <v/>
      </c>
      <c r="I82" s="71">
        <f>IF($N82&lt;&gt;"OK","",$D82*$H82)</f>
        <v/>
      </c>
      <c r="J82" s="71">
        <f>IF($N82&lt;&gt;"OK","",N(INDEX('Menu Pricing'!$F$7:$F$56,$O82))+N(INDEX('Menu Pricing'!$G$7:$G$56,$O82))+N(INDEX('Menu Pricing'!$J$7:$J$56,$O82)))</f>
        <v/>
      </c>
      <c r="K82" s="71">
        <f>IF($N82&lt;&gt;"OK","",$D82*$J82)</f>
        <v/>
      </c>
      <c r="L82" s="71">
        <f>IF($N82&lt;&gt;"OK","",$I82-$K82)</f>
        <v/>
      </c>
      <c r="M82" s="71">
        <f>IF($N82&lt;&gt;"OK","",$D82*N(INDEX('Menu Pricing'!$F$7:$F$56,$O82)))</f>
        <v/>
      </c>
      <c r="N82" s="80">
        <f>IF(AND($B82="",$C82="",$D82=""),"",IF(NOT(ISNUMBER($B82)),"Enter a valid date",IF($C82="","Pick a menu item",IF($O82="","Item not on Menu Pricing",IF(N($D82)&lt;=0,"Qty must be above 0",IF($H82="","No price on menu","OK"))))))</f>
        <v/>
      </c>
      <c r="O82" s="13">
        <f>IF($C82="","",IFERROR(MATCH($C82,'Menu Pricing'!$B$7:$B$56,0),""))</f>
        <v/>
      </c>
    </row>
    <row r="83" ht="17" customHeight="1">
      <c r="B83" s="66" t="n"/>
      <c r="C83" s="60" t="n"/>
      <c r="D83" s="86" t="n"/>
      <c r="E83" s="63" t="n"/>
      <c r="F83" s="60" t="n"/>
      <c r="G83" s="60" t="n"/>
      <c r="H83" s="71">
        <f>IF(OR($C83="",$D83=""),"",IF(ISNUMBER($E83),$E83,IF($O83="","",IF(N(INDEX('Menu Pricing'!$O$7:$O$56,$O83))&gt;0,INDEX('Menu Pricing'!$O$7:$O$56,$O83),""))))</f>
        <v/>
      </c>
      <c r="I83" s="71">
        <f>IF($N83&lt;&gt;"OK","",$D83*$H83)</f>
        <v/>
      </c>
      <c r="J83" s="71">
        <f>IF($N83&lt;&gt;"OK","",N(INDEX('Menu Pricing'!$F$7:$F$56,$O83))+N(INDEX('Menu Pricing'!$G$7:$G$56,$O83))+N(INDEX('Menu Pricing'!$J$7:$J$56,$O83)))</f>
        <v/>
      </c>
      <c r="K83" s="71">
        <f>IF($N83&lt;&gt;"OK","",$D83*$J83)</f>
        <v/>
      </c>
      <c r="L83" s="71">
        <f>IF($N83&lt;&gt;"OK","",$I83-$K83)</f>
        <v/>
      </c>
      <c r="M83" s="71">
        <f>IF($N83&lt;&gt;"OK","",$D83*N(INDEX('Menu Pricing'!$F$7:$F$56,$O83)))</f>
        <v/>
      </c>
      <c r="N83" s="80">
        <f>IF(AND($B83="",$C83="",$D83=""),"",IF(NOT(ISNUMBER($B83)),"Enter a valid date",IF($C83="","Pick a menu item",IF($O83="","Item not on Menu Pricing",IF(N($D83)&lt;=0,"Qty must be above 0",IF($H83="","No price on menu","OK"))))))</f>
        <v/>
      </c>
      <c r="O83" s="13">
        <f>IF($C83="","",IFERROR(MATCH($C83,'Menu Pricing'!$B$7:$B$56,0),""))</f>
        <v/>
      </c>
    </row>
    <row r="84" ht="17" customHeight="1">
      <c r="B84" s="66" t="n"/>
      <c r="C84" s="60" t="n"/>
      <c r="D84" s="86" t="n"/>
      <c r="E84" s="63" t="n"/>
      <c r="F84" s="60" t="n"/>
      <c r="G84" s="60" t="n"/>
      <c r="H84" s="71">
        <f>IF(OR($C84="",$D84=""),"",IF(ISNUMBER($E84),$E84,IF($O84="","",IF(N(INDEX('Menu Pricing'!$O$7:$O$56,$O84))&gt;0,INDEX('Menu Pricing'!$O$7:$O$56,$O84),""))))</f>
        <v/>
      </c>
      <c r="I84" s="71">
        <f>IF($N84&lt;&gt;"OK","",$D84*$H84)</f>
        <v/>
      </c>
      <c r="J84" s="71">
        <f>IF($N84&lt;&gt;"OK","",N(INDEX('Menu Pricing'!$F$7:$F$56,$O84))+N(INDEX('Menu Pricing'!$G$7:$G$56,$O84))+N(INDEX('Menu Pricing'!$J$7:$J$56,$O84)))</f>
        <v/>
      </c>
      <c r="K84" s="71">
        <f>IF($N84&lt;&gt;"OK","",$D84*$J84)</f>
        <v/>
      </c>
      <c r="L84" s="71">
        <f>IF($N84&lt;&gt;"OK","",$I84-$K84)</f>
        <v/>
      </c>
      <c r="M84" s="71">
        <f>IF($N84&lt;&gt;"OK","",$D84*N(INDEX('Menu Pricing'!$F$7:$F$56,$O84)))</f>
        <v/>
      </c>
      <c r="N84" s="80">
        <f>IF(AND($B84="",$C84="",$D84=""),"",IF(NOT(ISNUMBER($B84)),"Enter a valid date",IF($C84="","Pick a menu item",IF($O84="","Item not on Menu Pricing",IF(N($D84)&lt;=0,"Qty must be above 0",IF($H84="","No price on menu","OK"))))))</f>
        <v/>
      </c>
      <c r="O84" s="13">
        <f>IF($C84="","",IFERROR(MATCH($C84,'Menu Pricing'!$B$7:$B$56,0),""))</f>
        <v/>
      </c>
    </row>
    <row r="85" ht="17" customHeight="1">
      <c r="B85" s="66" t="n"/>
      <c r="C85" s="60" t="n"/>
      <c r="D85" s="86" t="n"/>
      <c r="E85" s="63" t="n"/>
      <c r="F85" s="60" t="n"/>
      <c r="G85" s="60" t="n"/>
      <c r="H85" s="71">
        <f>IF(OR($C85="",$D85=""),"",IF(ISNUMBER($E85),$E85,IF($O85="","",IF(N(INDEX('Menu Pricing'!$O$7:$O$56,$O85))&gt;0,INDEX('Menu Pricing'!$O$7:$O$56,$O85),""))))</f>
        <v/>
      </c>
      <c r="I85" s="71">
        <f>IF($N85&lt;&gt;"OK","",$D85*$H85)</f>
        <v/>
      </c>
      <c r="J85" s="71">
        <f>IF($N85&lt;&gt;"OK","",N(INDEX('Menu Pricing'!$F$7:$F$56,$O85))+N(INDEX('Menu Pricing'!$G$7:$G$56,$O85))+N(INDEX('Menu Pricing'!$J$7:$J$56,$O85)))</f>
        <v/>
      </c>
      <c r="K85" s="71">
        <f>IF($N85&lt;&gt;"OK","",$D85*$J85)</f>
        <v/>
      </c>
      <c r="L85" s="71">
        <f>IF($N85&lt;&gt;"OK","",$I85-$K85)</f>
        <v/>
      </c>
      <c r="M85" s="71">
        <f>IF($N85&lt;&gt;"OK","",$D85*N(INDEX('Menu Pricing'!$F$7:$F$56,$O85)))</f>
        <v/>
      </c>
      <c r="N85" s="80">
        <f>IF(AND($B85="",$C85="",$D85=""),"",IF(NOT(ISNUMBER($B85)),"Enter a valid date",IF($C85="","Pick a menu item",IF($O85="","Item not on Menu Pricing",IF(N($D85)&lt;=0,"Qty must be above 0",IF($H85="","No price on menu","OK"))))))</f>
        <v/>
      </c>
      <c r="O85" s="13">
        <f>IF($C85="","",IFERROR(MATCH($C85,'Menu Pricing'!$B$7:$B$56,0),""))</f>
        <v/>
      </c>
    </row>
    <row r="86" ht="17" customHeight="1">
      <c r="B86" s="66" t="n"/>
      <c r="C86" s="60" t="n"/>
      <c r="D86" s="86" t="n"/>
      <c r="E86" s="63" t="n"/>
      <c r="F86" s="60" t="n"/>
      <c r="G86" s="60" t="n"/>
      <c r="H86" s="71">
        <f>IF(OR($C86="",$D86=""),"",IF(ISNUMBER($E86),$E86,IF($O86="","",IF(N(INDEX('Menu Pricing'!$O$7:$O$56,$O86))&gt;0,INDEX('Menu Pricing'!$O$7:$O$56,$O86),""))))</f>
        <v/>
      </c>
      <c r="I86" s="71">
        <f>IF($N86&lt;&gt;"OK","",$D86*$H86)</f>
        <v/>
      </c>
      <c r="J86" s="71">
        <f>IF($N86&lt;&gt;"OK","",N(INDEX('Menu Pricing'!$F$7:$F$56,$O86))+N(INDEX('Menu Pricing'!$G$7:$G$56,$O86))+N(INDEX('Menu Pricing'!$J$7:$J$56,$O86)))</f>
        <v/>
      </c>
      <c r="K86" s="71">
        <f>IF($N86&lt;&gt;"OK","",$D86*$J86)</f>
        <v/>
      </c>
      <c r="L86" s="71">
        <f>IF($N86&lt;&gt;"OK","",$I86-$K86)</f>
        <v/>
      </c>
      <c r="M86" s="71">
        <f>IF($N86&lt;&gt;"OK","",$D86*N(INDEX('Menu Pricing'!$F$7:$F$56,$O86)))</f>
        <v/>
      </c>
      <c r="N86" s="80">
        <f>IF(AND($B86="",$C86="",$D86=""),"",IF(NOT(ISNUMBER($B86)),"Enter a valid date",IF($C86="","Pick a menu item",IF($O86="","Item not on Menu Pricing",IF(N($D86)&lt;=0,"Qty must be above 0",IF($H86="","No price on menu","OK"))))))</f>
        <v/>
      </c>
      <c r="O86" s="13">
        <f>IF($C86="","",IFERROR(MATCH($C86,'Menu Pricing'!$B$7:$B$56,0),""))</f>
        <v/>
      </c>
    </row>
    <row r="87" ht="17" customHeight="1">
      <c r="B87" s="66" t="n"/>
      <c r="C87" s="60" t="n"/>
      <c r="D87" s="86" t="n"/>
      <c r="E87" s="63" t="n"/>
      <c r="F87" s="60" t="n"/>
      <c r="G87" s="60" t="n"/>
      <c r="H87" s="71">
        <f>IF(OR($C87="",$D87=""),"",IF(ISNUMBER($E87),$E87,IF($O87="","",IF(N(INDEX('Menu Pricing'!$O$7:$O$56,$O87))&gt;0,INDEX('Menu Pricing'!$O$7:$O$56,$O87),""))))</f>
        <v/>
      </c>
      <c r="I87" s="71">
        <f>IF($N87&lt;&gt;"OK","",$D87*$H87)</f>
        <v/>
      </c>
      <c r="J87" s="71">
        <f>IF($N87&lt;&gt;"OK","",N(INDEX('Menu Pricing'!$F$7:$F$56,$O87))+N(INDEX('Menu Pricing'!$G$7:$G$56,$O87))+N(INDEX('Menu Pricing'!$J$7:$J$56,$O87)))</f>
        <v/>
      </c>
      <c r="K87" s="71">
        <f>IF($N87&lt;&gt;"OK","",$D87*$J87)</f>
        <v/>
      </c>
      <c r="L87" s="71">
        <f>IF($N87&lt;&gt;"OK","",$I87-$K87)</f>
        <v/>
      </c>
      <c r="M87" s="71">
        <f>IF($N87&lt;&gt;"OK","",$D87*N(INDEX('Menu Pricing'!$F$7:$F$56,$O87)))</f>
        <v/>
      </c>
      <c r="N87" s="80">
        <f>IF(AND($B87="",$C87="",$D87=""),"",IF(NOT(ISNUMBER($B87)),"Enter a valid date",IF($C87="","Pick a menu item",IF($O87="","Item not on Menu Pricing",IF(N($D87)&lt;=0,"Qty must be above 0",IF($H87="","No price on menu","OK"))))))</f>
        <v/>
      </c>
      <c r="O87" s="13">
        <f>IF($C87="","",IFERROR(MATCH($C87,'Menu Pricing'!$B$7:$B$56,0),""))</f>
        <v/>
      </c>
    </row>
    <row r="88" ht="17" customHeight="1">
      <c r="B88" s="66" t="n"/>
      <c r="C88" s="60" t="n"/>
      <c r="D88" s="86" t="n"/>
      <c r="E88" s="63" t="n"/>
      <c r="F88" s="60" t="n"/>
      <c r="G88" s="60" t="n"/>
      <c r="H88" s="71">
        <f>IF(OR($C88="",$D88=""),"",IF(ISNUMBER($E88),$E88,IF($O88="","",IF(N(INDEX('Menu Pricing'!$O$7:$O$56,$O88))&gt;0,INDEX('Menu Pricing'!$O$7:$O$56,$O88),""))))</f>
        <v/>
      </c>
      <c r="I88" s="71">
        <f>IF($N88&lt;&gt;"OK","",$D88*$H88)</f>
        <v/>
      </c>
      <c r="J88" s="71">
        <f>IF($N88&lt;&gt;"OK","",N(INDEX('Menu Pricing'!$F$7:$F$56,$O88))+N(INDEX('Menu Pricing'!$G$7:$G$56,$O88))+N(INDEX('Menu Pricing'!$J$7:$J$56,$O88)))</f>
        <v/>
      </c>
      <c r="K88" s="71">
        <f>IF($N88&lt;&gt;"OK","",$D88*$J88)</f>
        <v/>
      </c>
      <c r="L88" s="71">
        <f>IF($N88&lt;&gt;"OK","",$I88-$K88)</f>
        <v/>
      </c>
      <c r="M88" s="71">
        <f>IF($N88&lt;&gt;"OK","",$D88*N(INDEX('Menu Pricing'!$F$7:$F$56,$O88)))</f>
        <v/>
      </c>
      <c r="N88" s="80">
        <f>IF(AND($B88="",$C88="",$D88=""),"",IF(NOT(ISNUMBER($B88)),"Enter a valid date",IF($C88="","Pick a menu item",IF($O88="","Item not on Menu Pricing",IF(N($D88)&lt;=0,"Qty must be above 0",IF($H88="","No price on menu","OK"))))))</f>
        <v/>
      </c>
      <c r="O88" s="13">
        <f>IF($C88="","",IFERROR(MATCH($C88,'Menu Pricing'!$B$7:$B$56,0),""))</f>
        <v/>
      </c>
    </row>
    <row r="89" ht="17" customHeight="1">
      <c r="B89" s="66" t="n"/>
      <c r="C89" s="60" t="n"/>
      <c r="D89" s="86" t="n"/>
      <c r="E89" s="63" t="n"/>
      <c r="F89" s="60" t="n"/>
      <c r="G89" s="60" t="n"/>
      <c r="H89" s="71">
        <f>IF(OR($C89="",$D89=""),"",IF(ISNUMBER($E89),$E89,IF($O89="","",IF(N(INDEX('Menu Pricing'!$O$7:$O$56,$O89))&gt;0,INDEX('Menu Pricing'!$O$7:$O$56,$O89),""))))</f>
        <v/>
      </c>
      <c r="I89" s="71">
        <f>IF($N89&lt;&gt;"OK","",$D89*$H89)</f>
        <v/>
      </c>
      <c r="J89" s="71">
        <f>IF($N89&lt;&gt;"OK","",N(INDEX('Menu Pricing'!$F$7:$F$56,$O89))+N(INDEX('Menu Pricing'!$G$7:$G$56,$O89))+N(INDEX('Menu Pricing'!$J$7:$J$56,$O89)))</f>
        <v/>
      </c>
      <c r="K89" s="71">
        <f>IF($N89&lt;&gt;"OK","",$D89*$J89)</f>
        <v/>
      </c>
      <c r="L89" s="71">
        <f>IF($N89&lt;&gt;"OK","",$I89-$K89)</f>
        <v/>
      </c>
      <c r="M89" s="71">
        <f>IF($N89&lt;&gt;"OK","",$D89*N(INDEX('Menu Pricing'!$F$7:$F$56,$O89)))</f>
        <v/>
      </c>
      <c r="N89" s="80">
        <f>IF(AND($B89="",$C89="",$D89=""),"",IF(NOT(ISNUMBER($B89)),"Enter a valid date",IF($C89="","Pick a menu item",IF($O89="","Item not on Menu Pricing",IF(N($D89)&lt;=0,"Qty must be above 0",IF($H89="","No price on menu","OK"))))))</f>
        <v/>
      </c>
      <c r="O89" s="13">
        <f>IF($C89="","",IFERROR(MATCH($C89,'Menu Pricing'!$B$7:$B$56,0),""))</f>
        <v/>
      </c>
    </row>
    <row r="90" ht="17" customHeight="1">
      <c r="B90" s="66" t="n"/>
      <c r="C90" s="60" t="n"/>
      <c r="D90" s="86" t="n"/>
      <c r="E90" s="63" t="n"/>
      <c r="F90" s="60" t="n"/>
      <c r="G90" s="60" t="n"/>
      <c r="H90" s="71">
        <f>IF(OR($C90="",$D90=""),"",IF(ISNUMBER($E90),$E90,IF($O90="","",IF(N(INDEX('Menu Pricing'!$O$7:$O$56,$O90))&gt;0,INDEX('Menu Pricing'!$O$7:$O$56,$O90),""))))</f>
        <v/>
      </c>
      <c r="I90" s="71">
        <f>IF($N90&lt;&gt;"OK","",$D90*$H90)</f>
        <v/>
      </c>
      <c r="J90" s="71">
        <f>IF($N90&lt;&gt;"OK","",N(INDEX('Menu Pricing'!$F$7:$F$56,$O90))+N(INDEX('Menu Pricing'!$G$7:$G$56,$O90))+N(INDEX('Menu Pricing'!$J$7:$J$56,$O90)))</f>
        <v/>
      </c>
      <c r="K90" s="71">
        <f>IF($N90&lt;&gt;"OK","",$D90*$J90)</f>
        <v/>
      </c>
      <c r="L90" s="71">
        <f>IF($N90&lt;&gt;"OK","",$I90-$K90)</f>
        <v/>
      </c>
      <c r="M90" s="71">
        <f>IF($N90&lt;&gt;"OK","",$D90*N(INDEX('Menu Pricing'!$F$7:$F$56,$O90)))</f>
        <v/>
      </c>
      <c r="N90" s="80">
        <f>IF(AND($B90="",$C90="",$D90=""),"",IF(NOT(ISNUMBER($B90)),"Enter a valid date",IF($C90="","Pick a menu item",IF($O90="","Item not on Menu Pricing",IF(N($D90)&lt;=0,"Qty must be above 0",IF($H90="","No price on menu","OK"))))))</f>
        <v/>
      </c>
      <c r="O90" s="13">
        <f>IF($C90="","",IFERROR(MATCH($C90,'Menu Pricing'!$B$7:$B$56,0),""))</f>
        <v/>
      </c>
    </row>
    <row r="91" ht="17" customHeight="1">
      <c r="B91" s="66" t="n"/>
      <c r="C91" s="60" t="n"/>
      <c r="D91" s="86" t="n"/>
      <c r="E91" s="63" t="n"/>
      <c r="F91" s="60" t="n"/>
      <c r="G91" s="60" t="n"/>
      <c r="H91" s="71">
        <f>IF(OR($C91="",$D91=""),"",IF(ISNUMBER($E91),$E91,IF($O91="","",IF(N(INDEX('Menu Pricing'!$O$7:$O$56,$O91))&gt;0,INDEX('Menu Pricing'!$O$7:$O$56,$O91),""))))</f>
        <v/>
      </c>
      <c r="I91" s="71">
        <f>IF($N91&lt;&gt;"OK","",$D91*$H91)</f>
        <v/>
      </c>
      <c r="J91" s="71">
        <f>IF($N91&lt;&gt;"OK","",N(INDEX('Menu Pricing'!$F$7:$F$56,$O91))+N(INDEX('Menu Pricing'!$G$7:$G$56,$O91))+N(INDEX('Menu Pricing'!$J$7:$J$56,$O91)))</f>
        <v/>
      </c>
      <c r="K91" s="71">
        <f>IF($N91&lt;&gt;"OK","",$D91*$J91)</f>
        <v/>
      </c>
      <c r="L91" s="71">
        <f>IF($N91&lt;&gt;"OK","",$I91-$K91)</f>
        <v/>
      </c>
      <c r="M91" s="71">
        <f>IF($N91&lt;&gt;"OK","",$D91*N(INDEX('Menu Pricing'!$F$7:$F$56,$O91)))</f>
        <v/>
      </c>
      <c r="N91" s="80">
        <f>IF(AND($B91="",$C91="",$D91=""),"",IF(NOT(ISNUMBER($B91)),"Enter a valid date",IF($C91="","Pick a menu item",IF($O91="","Item not on Menu Pricing",IF(N($D91)&lt;=0,"Qty must be above 0",IF($H91="","No price on menu","OK"))))))</f>
        <v/>
      </c>
      <c r="O91" s="13">
        <f>IF($C91="","",IFERROR(MATCH($C91,'Menu Pricing'!$B$7:$B$56,0),""))</f>
        <v/>
      </c>
    </row>
    <row r="92" ht="17" customHeight="1">
      <c r="B92" s="66" t="n"/>
      <c r="C92" s="60" t="n"/>
      <c r="D92" s="86" t="n"/>
      <c r="E92" s="63" t="n"/>
      <c r="F92" s="60" t="n"/>
      <c r="G92" s="60" t="n"/>
      <c r="H92" s="71">
        <f>IF(OR($C92="",$D92=""),"",IF(ISNUMBER($E92),$E92,IF($O92="","",IF(N(INDEX('Menu Pricing'!$O$7:$O$56,$O92))&gt;0,INDEX('Menu Pricing'!$O$7:$O$56,$O92),""))))</f>
        <v/>
      </c>
      <c r="I92" s="71">
        <f>IF($N92&lt;&gt;"OK","",$D92*$H92)</f>
        <v/>
      </c>
      <c r="J92" s="71">
        <f>IF($N92&lt;&gt;"OK","",N(INDEX('Menu Pricing'!$F$7:$F$56,$O92))+N(INDEX('Menu Pricing'!$G$7:$G$56,$O92))+N(INDEX('Menu Pricing'!$J$7:$J$56,$O92)))</f>
        <v/>
      </c>
      <c r="K92" s="71">
        <f>IF($N92&lt;&gt;"OK","",$D92*$J92)</f>
        <v/>
      </c>
      <c r="L92" s="71">
        <f>IF($N92&lt;&gt;"OK","",$I92-$K92)</f>
        <v/>
      </c>
      <c r="M92" s="71">
        <f>IF($N92&lt;&gt;"OK","",$D92*N(INDEX('Menu Pricing'!$F$7:$F$56,$O92)))</f>
        <v/>
      </c>
      <c r="N92" s="80">
        <f>IF(AND($B92="",$C92="",$D92=""),"",IF(NOT(ISNUMBER($B92)),"Enter a valid date",IF($C92="","Pick a menu item",IF($O92="","Item not on Menu Pricing",IF(N($D92)&lt;=0,"Qty must be above 0",IF($H92="","No price on menu","OK"))))))</f>
        <v/>
      </c>
      <c r="O92" s="13">
        <f>IF($C92="","",IFERROR(MATCH($C92,'Menu Pricing'!$B$7:$B$56,0),""))</f>
        <v/>
      </c>
    </row>
    <row r="93" ht="17" customHeight="1">
      <c r="B93" s="66" t="n"/>
      <c r="C93" s="60" t="n"/>
      <c r="D93" s="86" t="n"/>
      <c r="E93" s="63" t="n"/>
      <c r="F93" s="60" t="n"/>
      <c r="G93" s="60" t="n"/>
      <c r="H93" s="71">
        <f>IF(OR($C93="",$D93=""),"",IF(ISNUMBER($E93),$E93,IF($O93="","",IF(N(INDEX('Menu Pricing'!$O$7:$O$56,$O93))&gt;0,INDEX('Menu Pricing'!$O$7:$O$56,$O93),""))))</f>
        <v/>
      </c>
      <c r="I93" s="71">
        <f>IF($N93&lt;&gt;"OK","",$D93*$H93)</f>
        <v/>
      </c>
      <c r="J93" s="71">
        <f>IF($N93&lt;&gt;"OK","",N(INDEX('Menu Pricing'!$F$7:$F$56,$O93))+N(INDEX('Menu Pricing'!$G$7:$G$56,$O93))+N(INDEX('Menu Pricing'!$J$7:$J$56,$O93)))</f>
        <v/>
      </c>
      <c r="K93" s="71">
        <f>IF($N93&lt;&gt;"OK","",$D93*$J93)</f>
        <v/>
      </c>
      <c r="L93" s="71">
        <f>IF($N93&lt;&gt;"OK","",$I93-$K93)</f>
        <v/>
      </c>
      <c r="M93" s="71">
        <f>IF($N93&lt;&gt;"OK","",$D93*N(INDEX('Menu Pricing'!$F$7:$F$56,$O93)))</f>
        <v/>
      </c>
      <c r="N93" s="80">
        <f>IF(AND($B93="",$C93="",$D93=""),"",IF(NOT(ISNUMBER($B93)),"Enter a valid date",IF($C93="","Pick a menu item",IF($O93="","Item not on Menu Pricing",IF(N($D93)&lt;=0,"Qty must be above 0",IF($H93="","No price on menu","OK"))))))</f>
        <v/>
      </c>
      <c r="O93" s="13">
        <f>IF($C93="","",IFERROR(MATCH($C93,'Menu Pricing'!$B$7:$B$56,0),""))</f>
        <v/>
      </c>
    </row>
    <row r="94" ht="17" customHeight="1">
      <c r="B94" s="66" t="n"/>
      <c r="C94" s="60" t="n"/>
      <c r="D94" s="86" t="n"/>
      <c r="E94" s="63" t="n"/>
      <c r="F94" s="60" t="n"/>
      <c r="G94" s="60" t="n"/>
      <c r="H94" s="71">
        <f>IF(OR($C94="",$D94=""),"",IF(ISNUMBER($E94),$E94,IF($O94="","",IF(N(INDEX('Menu Pricing'!$O$7:$O$56,$O94))&gt;0,INDEX('Menu Pricing'!$O$7:$O$56,$O94),""))))</f>
        <v/>
      </c>
      <c r="I94" s="71">
        <f>IF($N94&lt;&gt;"OK","",$D94*$H94)</f>
        <v/>
      </c>
      <c r="J94" s="71">
        <f>IF($N94&lt;&gt;"OK","",N(INDEX('Menu Pricing'!$F$7:$F$56,$O94))+N(INDEX('Menu Pricing'!$G$7:$G$56,$O94))+N(INDEX('Menu Pricing'!$J$7:$J$56,$O94)))</f>
        <v/>
      </c>
      <c r="K94" s="71">
        <f>IF($N94&lt;&gt;"OK","",$D94*$J94)</f>
        <v/>
      </c>
      <c r="L94" s="71">
        <f>IF($N94&lt;&gt;"OK","",$I94-$K94)</f>
        <v/>
      </c>
      <c r="M94" s="71">
        <f>IF($N94&lt;&gt;"OK","",$D94*N(INDEX('Menu Pricing'!$F$7:$F$56,$O94)))</f>
        <v/>
      </c>
      <c r="N94" s="80">
        <f>IF(AND($B94="",$C94="",$D94=""),"",IF(NOT(ISNUMBER($B94)),"Enter a valid date",IF($C94="","Pick a menu item",IF($O94="","Item not on Menu Pricing",IF(N($D94)&lt;=0,"Qty must be above 0",IF($H94="","No price on menu","OK"))))))</f>
        <v/>
      </c>
      <c r="O94" s="13">
        <f>IF($C94="","",IFERROR(MATCH($C94,'Menu Pricing'!$B$7:$B$56,0),""))</f>
        <v/>
      </c>
    </row>
    <row r="95" ht="17" customHeight="1">
      <c r="B95" s="66" t="n"/>
      <c r="C95" s="60" t="n"/>
      <c r="D95" s="86" t="n"/>
      <c r="E95" s="63" t="n"/>
      <c r="F95" s="60" t="n"/>
      <c r="G95" s="60" t="n"/>
      <c r="H95" s="71">
        <f>IF(OR($C95="",$D95=""),"",IF(ISNUMBER($E95),$E95,IF($O95="","",IF(N(INDEX('Menu Pricing'!$O$7:$O$56,$O95))&gt;0,INDEX('Menu Pricing'!$O$7:$O$56,$O95),""))))</f>
        <v/>
      </c>
      <c r="I95" s="71">
        <f>IF($N95&lt;&gt;"OK","",$D95*$H95)</f>
        <v/>
      </c>
      <c r="J95" s="71">
        <f>IF($N95&lt;&gt;"OK","",N(INDEX('Menu Pricing'!$F$7:$F$56,$O95))+N(INDEX('Menu Pricing'!$G$7:$G$56,$O95))+N(INDEX('Menu Pricing'!$J$7:$J$56,$O95)))</f>
        <v/>
      </c>
      <c r="K95" s="71">
        <f>IF($N95&lt;&gt;"OK","",$D95*$J95)</f>
        <v/>
      </c>
      <c r="L95" s="71">
        <f>IF($N95&lt;&gt;"OK","",$I95-$K95)</f>
        <v/>
      </c>
      <c r="M95" s="71">
        <f>IF($N95&lt;&gt;"OK","",$D95*N(INDEX('Menu Pricing'!$F$7:$F$56,$O95)))</f>
        <v/>
      </c>
      <c r="N95" s="80">
        <f>IF(AND($B95="",$C95="",$D95=""),"",IF(NOT(ISNUMBER($B95)),"Enter a valid date",IF($C95="","Pick a menu item",IF($O95="","Item not on Menu Pricing",IF(N($D95)&lt;=0,"Qty must be above 0",IF($H95="","No price on menu","OK"))))))</f>
        <v/>
      </c>
      <c r="O95" s="13">
        <f>IF($C95="","",IFERROR(MATCH($C95,'Menu Pricing'!$B$7:$B$56,0),""))</f>
        <v/>
      </c>
    </row>
    <row r="96" ht="17" customHeight="1">
      <c r="B96" s="66" t="n"/>
      <c r="C96" s="60" t="n"/>
      <c r="D96" s="86" t="n"/>
      <c r="E96" s="63" t="n"/>
      <c r="F96" s="60" t="n"/>
      <c r="G96" s="60" t="n"/>
      <c r="H96" s="71">
        <f>IF(OR($C96="",$D96=""),"",IF(ISNUMBER($E96),$E96,IF($O96="","",IF(N(INDEX('Menu Pricing'!$O$7:$O$56,$O96))&gt;0,INDEX('Menu Pricing'!$O$7:$O$56,$O96),""))))</f>
        <v/>
      </c>
      <c r="I96" s="71">
        <f>IF($N96&lt;&gt;"OK","",$D96*$H96)</f>
        <v/>
      </c>
      <c r="J96" s="71">
        <f>IF($N96&lt;&gt;"OK","",N(INDEX('Menu Pricing'!$F$7:$F$56,$O96))+N(INDEX('Menu Pricing'!$G$7:$G$56,$O96))+N(INDEX('Menu Pricing'!$J$7:$J$56,$O96)))</f>
        <v/>
      </c>
      <c r="K96" s="71">
        <f>IF($N96&lt;&gt;"OK","",$D96*$J96)</f>
        <v/>
      </c>
      <c r="L96" s="71">
        <f>IF($N96&lt;&gt;"OK","",$I96-$K96)</f>
        <v/>
      </c>
      <c r="M96" s="71">
        <f>IF($N96&lt;&gt;"OK","",$D96*N(INDEX('Menu Pricing'!$F$7:$F$56,$O96)))</f>
        <v/>
      </c>
      <c r="N96" s="80">
        <f>IF(AND($B96="",$C96="",$D96=""),"",IF(NOT(ISNUMBER($B96)),"Enter a valid date",IF($C96="","Pick a menu item",IF($O96="","Item not on Menu Pricing",IF(N($D96)&lt;=0,"Qty must be above 0",IF($H96="","No price on menu","OK"))))))</f>
        <v/>
      </c>
      <c r="O96" s="13">
        <f>IF($C96="","",IFERROR(MATCH($C96,'Menu Pricing'!$B$7:$B$56,0),""))</f>
        <v/>
      </c>
    </row>
    <row r="97" ht="17" customHeight="1">
      <c r="B97" s="66" t="n"/>
      <c r="C97" s="60" t="n"/>
      <c r="D97" s="86" t="n"/>
      <c r="E97" s="63" t="n"/>
      <c r="F97" s="60" t="n"/>
      <c r="G97" s="60" t="n"/>
      <c r="H97" s="71">
        <f>IF(OR($C97="",$D97=""),"",IF(ISNUMBER($E97),$E97,IF($O97="","",IF(N(INDEX('Menu Pricing'!$O$7:$O$56,$O97))&gt;0,INDEX('Menu Pricing'!$O$7:$O$56,$O97),""))))</f>
        <v/>
      </c>
      <c r="I97" s="71">
        <f>IF($N97&lt;&gt;"OK","",$D97*$H97)</f>
        <v/>
      </c>
      <c r="J97" s="71">
        <f>IF($N97&lt;&gt;"OK","",N(INDEX('Menu Pricing'!$F$7:$F$56,$O97))+N(INDEX('Menu Pricing'!$G$7:$G$56,$O97))+N(INDEX('Menu Pricing'!$J$7:$J$56,$O97)))</f>
        <v/>
      </c>
      <c r="K97" s="71">
        <f>IF($N97&lt;&gt;"OK","",$D97*$J97)</f>
        <v/>
      </c>
      <c r="L97" s="71">
        <f>IF($N97&lt;&gt;"OK","",$I97-$K97)</f>
        <v/>
      </c>
      <c r="M97" s="71">
        <f>IF($N97&lt;&gt;"OK","",$D97*N(INDEX('Menu Pricing'!$F$7:$F$56,$O97)))</f>
        <v/>
      </c>
      <c r="N97" s="80">
        <f>IF(AND($B97="",$C97="",$D97=""),"",IF(NOT(ISNUMBER($B97)),"Enter a valid date",IF($C97="","Pick a menu item",IF($O97="","Item not on Menu Pricing",IF(N($D97)&lt;=0,"Qty must be above 0",IF($H97="","No price on menu","OK"))))))</f>
        <v/>
      </c>
      <c r="O97" s="13">
        <f>IF($C97="","",IFERROR(MATCH($C97,'Menu Pricing'!$B$7:$B$56,0),""))</f>
        <v/>
      </c>
    </row>
    <row r="98" ht="17" customHeight="1">
      <c r="B98" s="66" t="n"/>
      <c r="C98" s="60" t="n"/>
      <c r="D98" s="86" t="n"/>
      <c r="E98" s="63" t="n"/>
      <c r="F98" s="60" t="n"/>
      <c r="G98" s="60" t="n"/>
      <c r="H98" s="71">
        <f>IF(OR($C98="",$D98=""),"",IF(ISNUMBER($E98),$E98,IF($O98="","",IF(N(INDEX('Menu Pricing'!$O$7:$O$56,$O98))&gt;0,INDEX('Menu Pricing'!$O$7:$O$56,$O98),""))))</f>
        <v/>
      </c>
      <c r="I98" s="71">
        <f>IF($N98&lt;&gt;"OK","",$D98*$H98)</f>
        <v/>
      </c>
      <c r="J98" s="71">
        <f>IF($N98&lt;&gt;"OK","",N(INDEX('Menu Pricing'!$F$7:$F$56,$O98))+N(INDEX('Menu Pricing'!$G$7:$G$56,$O98))+N(INDEX('Menu Pricing'!$J$7:$J$56,$O98)))</f>
        <v/>
      </c>
      <c r="K98" s="71">
        <f>IF($N98&lt;&gt;"OK","",$D98*$J98)</f>
        <v/>
      </c>
      <c r="L98" s="71">
        <f>IF($N98&lt;&gt;"OK","",$I98-$K98)</f>
        <v/>
      </c>
      <c r="M98" s="71">
        <f>IF($N98&lt;&gt;"OK","",$D98*N(INDEX('Menu Pricing'!$F$7:$F$56,$O98)))</f>
        <v/>
      </c>
      <c r="N98" s="80">
        <f>IF(AND($B98="",$C98="",$D98=""),"",IF(NOT(ISNUMBER($B98)),"Enter a valid date",IF($C98="","Pick a menu item",IF($O98="","Item not on Menu Pricing",IF(N($D98)&lt;=0,"Qty must be above 0",IF($H98="","No price on menu","OK"))))))</f>
        <v/>
      </c>
      <c r="O98" s="13">
        <f>IF($C98="","",IFERROR(MATCH($C98,'Menu Pricing'!$B$7:$B$56,0),""))</f>
        <v/>
      </c>
    </row>
    <row r="99" ht="17" customHeight="1">
      <c r="B99" s="66" t="n"/>
      <c r="C99" s="60" t="n"/>
      <c r="D99" s="86" t="n"/>
      <c r="E99" s="63" t="n"/>
      <c r="F99" s="60" t="n"/>
      <c r="G99" s="60" t="n"/>
      <c r="H99" s="71">
        <f>IF(OR($C99="",$D99=""),"",IF(ISNUMBER($E99),$E99,IF($O99="","",IF(N(INDEX('Menu Pricing'!$O$7:$O$56,$O99))&gt;0,INDEX('Menu Pricing'!$O$7:$O$56,$O99),""))))</f>
        <v/>
      </c>
      <c r="I99" s="71">
        <f>IF($N99&lt;&gt;"OK","",$D99*$H99)</f>
        <v/>
      </c>
      <c r="J99" s="71">
        <f>IF($N99&lt;&gt;"OK","",N(INDEX('Menu Pricing'!$F$7:$F$56,$O99))+N(INDEX('Menu Pricing'!$G$7:$G$56,$O99))+N(INDEX('Menu Pricing'!$J$7:$J$56,$O99)))</f>
        <v/>
      </c>
      <c r="K99" s="71">
        <f>IF($N99&lt;&gt;"OK","",$D99*$J99)</f>
        <v/>
      </c>
      <c r="L99" s="71">
        <f>IF($N99&lt;&gt;"OK","",$I99-$K99)</f>
        <v/>
      </c>
      <c r="M99" s="71">
        <f>IF($N99&lt;&gt;"OK","",$D99*N(INDEX('Menu Pricing'!$F$7:$F$56,$O99)))</f>
        <v/>
      </c>
      <c r="N99" s="80">
        <f>IF(AND($B99="",$C99="",$D99=""),"",IF(NOT(ISNUMBER($B99)),"Enter a valid date",IF($C99="","Pick a menu item",IF($O99="","Item not on Menu Pricing",IF(N($D99)&lt;=0,"Qty must be above 0",IF($H99="","No price on menu","OK"))))))</f>
        <v/>
      </c>
      <c r="O99" s="13">
        <f>IF($C99="","",IFERROR(MATCH($C99,'Menu Pricing'!$B$7:$B$56,0),""))</f>
        <v/>
      </c>
    </row>
    <row r="100" ht="17" customHeight="1">
      <c r="B100" s="66" t="n"/>
      <c r="C100" s="60" t="n"/>
      <c r="D100" s="86" t="n"/>
      <c r="E100" s="63" t="n"/>
      <c r="F100" s="60" t="n"/>
      <c r="G100" s="60" t="n"/>
      <c r="H100" s="71">
        <f>IF(OR($C100="",$D100=""),"",IF(ISNUMBER($E100),$E100,IF($O100="","",IF(N(INDEX('Menu Pricing'!$O$7:$O$56,$O100))&gt;0,INDEX('Menu Pricing'!$O$7:$O$56,$O100),""))))</f>
        <v/>
      </c>
      <c r="I100" s="71">
        <f>IF($N100&lt;&gt;"OK","",$D100*$H100)</f>
        <v/>
      </c>
      <c r="J100" s="71">
        <f>IF($N100&lt;&gt;"OK","",N(INDEX('Menu Pricing'!$F$7:$F$56,$O100))+N(INDEX('Menu Pricing'!$G$7:$G$56,$O100))+N(INDEX('Menu Pricing'!$J$7:$J$56,$O100)))</f>
        <v/>
      </c>
      <c r="K100" s="71">
        <f>IF($N100&lt;&gt;"OK","",$D100*$J100)</f>
        <v/>
      </c>
      <c r="L100" s="71">
        <f>IF($N100&lt;&gt;"OK","",$I100-$K100)</f>
        <v/>
      </c>
      <c r="M100" s="71">
        <f>IF($N100&lt;&gt;"OK","",$D100*N(INDEX('Menu Pricing'!$F$7:$F$56,$O100)))</f>
        <v/>
      </c>
      <c r="N100" s="80">
        <f>IF(AND($B100="",$C100="",$D100=""),"",IF(NOT(ISNUMBER($B100)),"Enter a valid date",IF($C100="","Pick a menu item",IF($O100="","Item not on Menu Pricing",IF(N($D100)&lt;=0,"Qty must be above 0",IF($H100="","No price on menu","OK"))))))</f>
        <v/>
      </c>
      <c r="O100" s="13">
        <f>IF($C100="","",IFERROR(MATCH($C100,'Menu Pricing'!$B$7:$B$56,0),""))</f>
        <v/>
      </c>
    </row>
    <row r="101" ht="17" customHeight="1">
      <c r="B101" s="66" t="n"/>
      <c r="C101" s="60" t="n"/>
      <c r="D101" s="86" t="n"/>
      <c r="E101" s="63" t="n"/>
      <c r="F101" s="60" t="n"/>
      <c r="G101" s="60" t="n"/>
      <c r="H101" s="71">
        <f>IF(OR($C101="",$D101=""),"",IF(ISNUMBER($E101),$E101,IF($O101="","",IF(N(INDEX('Menu Pricing'!$O$7:$O$56,$O101))&gt;0,INDEX('Menu Pricing'!$O$7:$O$56,$O101),""))))</f>
        <v/>
      </c>
      <c r="I101" s="71">
        <f>IF($N101&lt;&gt;"OK","",$D101*$H101)</f>
        <v/>
      </c>
      <c r="J101" s="71">
        <f>IF($N101&lt;&gt;"OK","",N(INDEX('Menu Pricing'!$F$7:$F$56,$O101))+N(INDEX('Menu Pricing'!$G$7:$G$56,$O101))+N(INDEX('Menu Pricing'!$J$7:$J$56,$O101)))</f>
        <v/>
      </c>
      <c r="K101" s="71">
        <f>IF($N101&lt;&gt;"OK","",$D101*$J101)</f>
        <v/>
      </c>
      <c r="L101" s="71">
        <f>IF($N101&lt;&gt;"OK","",$I101-$K101)</f>
        <v/>
      </c>
      <c r="M101" s="71">
        <f>IF($N101&lt;&gt;"OK","",$D101*N(INDEX('Menu Pricing'!$F$7:$F$56,$O101)))</f>
        <v/>
      </c>
      <c r="N101" s="80">
        <f>IF(AND($B101="",$C101="",$D101=""),"",IF(NOT(ISNUMBER($B101)),"Enter a valid date",IF($C101="","Pick a menu item",IF($O101="","Item not on Menu Pricing",IF(N($D101)&lt;=0,"Qty must be above 0",IF($H101="","No price on menu","OK"))))))</f>
        <v/>
      </c>
      <c r="O101" s="13">
        <f>IF($C101="","",IFERROR(MATCH($C101,'Menu Pricing'!$B$7:$B$56,0),""))</f>
        <v/>
      </c>
    </row>
    <row r="102" ht="17" customHeight="1">
      <c r="B102" s="66" t="n"/>
      <c r="C102" s="60" t="n"/>
      <c r="D102" s="86" t="n"/>
      <c r="E102" s="63" t="n"/>
      <c r="F102" s="60" t="n"/>
      <c r="G102" s="60" t="n"/>
      <c r="H102" s="71">
        <f>IF(OR($C102="",$D102=""),"",IF(ISNUMBER($E102),$E102,IF($O102="","",IF(N(INDEX('Menu Pricing'!$O$7:$O$56,$O102))&gt;0,INDEX('Menu Pricing'!$O$7:$O$56,$O102),""))))</f>
        <v/>
      </c>
      <c r="I102" s="71">
        <f>IF($N102&lt;&gt;"OK","",$D102*$H102)</f>
        <v/>
      </c>
      <c r="J102" s="71">
        <f>IF($N102&lt;&gt;"OK","",N(INDEX('Menu Pricing'!$F$7:$F$56,$O102))+N(INDEX('Menu Pricing'!$G$7:$G$56,$O102))+N(INDEX('Menu Pricing'!$J$7:$J$56,$O102)))</f>
        <v/>
      </c>
      <c r="K102" s="71">
        <f>IF($N102&lt;&gt;"OK","",$D102*$J102)</f>
        <v/>
      </c>
      <c r="L102" s="71">
        <f>IF($N102&lt;&gt;"OK","",$I102-$K102)</f>
        <v/>
      </c>
      <c r="M102" s="71">
        <f>IF($N102&lt;&gt;"OK","",$D102*N(INDEX('Menu Pricing'!$F$7:$F$56,$O102)))</f>
        <v/>
      </c>
      <c r="N102" s="80">
        <f>IF(AND($B102="",$C102="",$D102=""),"",IF(NOT(ISNUMBER($B102)),"Enter a valid date",IF($C102="","Pick a menu item",IF($O102="","Item not on Menu Pricing",IF(N($D102)&lt;=0,"Qty must be above 0",IF($H102="","No price on menu","OK"))))))</f>
        <v/>
      </c>
      <c r="O102" s="13">
        <f>IF($C102="","",IFERROR(MATCH($C102,'Menu Pricing'!$B$7:$B$56,0),""))</f>
        <v/>
      </c>
    </row>
    <row r="103" ht="17" customHeight="1">
      <c r="B103" s="66" t="n"/>
      <c r="C103" s="60" t="n"/>
      <c r="D103" s="86" t="n"/>
      <c r="E103" s="63" t="n"/>
      <c r="F103" s="60" t="n"/>
      <c r="G103" s="60" t="n"/>
      <c r="H103" s="71">
        <f>IF(OR($C103="",$D103=""),"",IF(ISNUMBER($E103),$E103,IF($O103="","",IF(N(INDEX('Menu Pricing'!$O$7:$O$56,$O103))&gt;0,INDEX('Menu Pricing'!$O$7:$O$56,$O103),""))))</f>
        <v/>
      </c>
      <c r="I103" s="71">
        <f>IF($N103&lt;&gt;"OK","",$D103*$H103)</f>
        <v/>
      </c>
      <c r="J103" s="71">
        <f>IF($N103&lt;&gt;"OK","",N(INDEX('Menu Pricing'!$F$7:$F$56,$O103))+N(INDEX('Menu Pricing'!$G$7:$G$56,$O103))+N(INDEX('Menu Pricing'!$J$7:$J$56,$O103)))</f>
        <v/>
      </c>
      <c r="K103" s="71">
        <f>IF($N103&lt;&gt;"OK","",$D103*$J103)</f>
        <v/>
      </c>
      <c r="L103" s="71">
        <f>IF($N103&lt;&gt;"OK","",$I103-$K103)</f>
        <v/>
      </c>
      <c r="M103" s="71">
        <f>IF($N103&lt;&gt;"OK","",$D103*N(INDEX('Menu Pricing'!$F$7:$F$56,$O103)))</f>
        <v/>
      </c>
      <c r="N103" s="80">
        <f>IF(AND($B103="",$C103="",$D103=""),"",IF(NOT(ISNUMBER($B103)),"Enter a valid date",IF($C103="","Pick a menu item",IF($O103="","Item not on Menu Pricing",IF(N($D103)&lt;=0,"Qty must be above 0",IF($H103="","No price on menu","OK"))))))</f>
        <v/>
      </c>
      <c r="O103" s="13">
        <f>IF($C103="","",IFERROR(MATCH($C103,'Menu Pricing'!$B$7:$B$56,0),""))</f>
        <v/>
      </c>
    </row>
    <row r="104" ht="17" customHeight="1">
      <c r="B104" s="66" t="n"/>
      <c r="C104" s="60" t="n"/>
      <c r="D104" s="86" t="n"/>
      <c r="E104" s="63" t="n"/>
      <c r="F104" s="60" t="n"/>
      <c r="G104" s="60" t="n"/>
      <c r="H104" s="71">
        <f>IF(OR($C104="",$D104=""),"",IF(ISNUMBER($E104),$E104,IF($O104="","",IF(N(INDEX('Menu Pricing'!$O$7:$O$56,$O104))&gt;0,INDEX('Menu Pricing'!$O$7:$O$56,$O104),""))))</f>
        <v/>
      </c>
      <c r="I104" s="71">
        <f>IF($N104&lt;&gt;"OK","",$D104*$H104)</f>
        <v/>
      </c>
      <c r="J104" s="71">
        <f>IF($N104&lt;&gt;"OK","",N(INDEX('Menu Pricing'!$F$7:$F$56,$O104))+N(INDEX('Menu Pricing'!$G$7:$G$56,$O104))+N(INDEX('Menu Pricing'!$J$7:$J$56,$O104)))</f>
        <v/>
      </c>
      <c r="K104" s="71">
        <f>IF($N104&lt;&gt;"OK","",$D104*$J104)</f>
        <v/>
      </c>
      <c r="L104" s="71">
        <f>IF($N104&lt;&gt;"OK","",$I104-$K104)</f>
        <v/>
      </c>
      <c r="M104" s="71">
        <f>IF($N104&lt;&gt;"OK","",$D104*N(INDEX('Menu Pricing'!$F$7:$F$56,$O104)))</f>
        <v/>
      </c>
      <c r="N104" s="80">
        <f>IF(AND($B104="",$C104="",$D104=""),"",IF(NOT(ISNUMBER($B104)),"Enter a valid date",IF($C104="","Pick a menu item",IF($O104="","Item not on Menu Pricing",IF(N($D104)&lt;=0,"Qty must be above 0",IF($H104="","No price on menu","OK"))))))</f>
        <v/>
      </c>
      <c r="O104" s="13">
        <f>IF($C104="","",IFERROR(MATCH($C104,'Menu Pricing'!$B$7:$B$56,0),""))</f>
        <v/>
      </c>
    </row>
    <row r="105" ht="17" customHeight="1">
      <c r="B105" s="66" t="n"/>
      <c r="C105" s="60" t="n"/>
      <c r="D105" s="86" t="n"/>
      <c r="E105" s="63" t="n"/>
      <c r="F105" s="60" t="n"/>
      <c r="G105" s="60" t="n"/>
      <c r="H105" s="71">
        <f>IF(OR($C105="",$D105=""),"",IF(ISNUMBER($E105),$E105,IF($O105="","",IF(N(INDEX('Menu Pricing'!$O$7:$O$56,$O105))&gt;0,INDEX('Menu Pricing'!$O$7:$O$56,$O105),""))))</f>
        <v/>
      </c>
      <c r="I105" s="71">
        <f>IF($N105&lt;&gt;"OK","",$D105*$H105)</f>
        <v/>
      </c>
      <c r="J105" s="71">
        <f>IF($N105&lt;&gt;"OK","",N(INDEX('Menu Pricing'!$F$7:$F$56,$O105))+N(INDEX('Menu Pricing'!$G$7:$G$56,$O105))+N(INDEX('Menu Pricing'!$J$7:$J$56,$O105)))</f>
        <v/>
      </c>
      <c r="K105" s="71">
        <f>IF($N105&lt;&gt;"OK","",$D105*$J105)</f>
        <v/>
      </c>
      <c r="L105" s="71">
        <f>IF($N105&lt;&gt;"OK","",$I105-$K105)</f>
        <v/>
      </c>
      <c r="M105" s="71">
        <f>IF($N105&lt;&gt;"OK","",$D105*N(INDEX('Menu Pricing'!$F$7:$F$56,$O105)))</f>
        <v/>
      </c>
      <c r="N105" s="80">
        <f>IF(AND($B105="",$C105="",$D105=""),"",IF(NOT(ISNUMBER($B105)),"Enter a valid date",IF($C105="","Pick a menu item",IF($O105="","Item not on Menu Pricing",IF(N($D105)&lt;=0,"Qty must be above 0",IF($H105="","No price on menu","OK"))))))</f>
        <v/>
      </c>
      <c r="O105" s="13">
        <f>IF($C105="","",IFERROR(MATCH($C105,'Menu Pricing'!$B$7:$B$56,0),""))</f>
        <v/>
      </c>
    </row>
    <row r="106" ht="17" customHeight="1">
      <c r="B106" s="66" t="n"/>
      <c r="C106" s="60" t="n"/>
      <c r="D106" s="86" t="n"/>
      <c r="E106" s="63" t="n"/>
      <c r="F106" s="60" t="n"/>
      <c r="G106" s="60" t="n"/>
      <c r="H106" s="71">
        <f>IF(OR($C106="",$D106=""),"",IF(ISNUMBER($E106),$E106,IF($O106="","",IF(N(INDEX('Menu Pricing'!$O$7:$O$56,$O106))&gt;0,INDEX('Menu Pricing'!$O$7:$O$56,$O106),""))))</f>
        <v/>
      </c>
      <c r="I106" s="71">
        <f>IF($N106&lt;&gt;"OK","",$D106*$H106)</f>
        <v/>
      </c>
      <c r="J106" s="71">
        <f>IF($N106&lt;&gt;"OK","",N(INDEX('Menu Pricing'!$F$7:$F$56,$O106))+N(INDEX('Menu Pricing'!$G$7:$G$56,$O106))+N(INDEX('Menu Pricing'!$J$7:$J$56,$O106)))</f>
        <v/>
      </c>
      <c r="K106" s="71">
        <f>IF($N106&lt;&gt;"OK","",$D106*$J106)</f>
        <v/>
      </c>
      <c r="L106" s="71">
        <f>IF($N106&lt;&gt;"OK","",$I106-$K106)</f>
        <v/>
      </c>
      <c r="M106" s="71">
        <f>IF($N106&lt;&gt;"OK","",$D106*N(INDEX('Menu Pricing'!$F$7:$F$56,$O106)))</f>
        <v/>
      </c>
      <c r="N106" s="80">
        <f>IF(AND($B106="",$C106="",$D106=""),"",IF(NOT(ISNUMBER($B106)),"Enter a valid date",IF($C106="","Pick a menu item",IF($O106="","Item not on Menu Pricing",IF(N($D106)&lt;=0,"Qty must be above 0",IF($H106="","No price on menu","OK"))))))</f>
        <v/>
      </c>
      <c r="O106" s="13">
        <f>IF($C106="","",IFERROR(MATCH($C106,'Menu Pricing'!$B$7:$B$56,0),""))</f>
        <v/>
      </c>
    </row>
    <row r="107" ht="17" customHeight="1">
      <c r="B107" s="66" t="n"/>
      <c r="C107" s="60" t="n"/>
      <c r="D107" s="86" t="n"/>
      <c r="E107" s="63" t="n"/>
      <c r="F107" s="60" t="n"/>
      <c r="G107" s="60" t="n"/>
      <c r="H107" s="71">
        <f>IF(OR($C107="",$D107=""),"",IF(ISNUMBER($E107),$E107,IF($O107="","",IF(N(INDEX('Menu Pricing'!$O$7:$O$56,$O107))&gt;0,INDEX('Menu Pricing'!$O$7:$O$56,$O107),""))))</f>
        <v/>
      </c>
      <c r="I107" s="71">
        <f>IF($N107&lt;&gt;"OK","",$D107*$H107)</f>
        <v/>
      </c>
      <c r="J107" s="71">
        <f>IF($N107&lt;&gt;"OK","",N(INDEX('Menu Pricing'!$F$7:$F$56,$O107))+N(INDEX('Menu Pricing'!$G$7:$G$56,$O107))+N(INDEX('Menu Pricing'!$J$7:$J$56,$O107)))</f>
        <v/>
      </c>
      <c r="K107" s="71">
        <f>IF($N107&lt;&gt;"OK","",$D107*$J107)</f>
        <v/>
      </c>
      <c r="L107" s="71">
        <f>IF($N107&lt;&gt;"OK","",$I107-$K107)</f>
        <v/>
      </c>
      <c r="M107" s="71">
        <f>IF($N107&lt;&gt;"OK","",$D107*N(INDEX('Menu Pricing'!$F$7:$F$56,$O107)))</f>
        <v/>
      </c>
      <c r="N107" s="80">
        <f>IF(AND($B107="",$C107="",$D107=""),"",IF(NOT(ISNUMBER($B107)),"Enter a valid date",IF($C107="","Pick a menu item",IF($O107="","Item not on Menu Pricing",IF(N($D107)&lt;=0,"Qty must be above 0",IF($H107="","No price on menu","OK"))))))</f>
        <v/>
      </c>
      <c r="O107" s="13">
        <f>IF($C107="","",IFERROR(MATCH($C107,'Menu Pricing'!$B$7:$B$56,0),""))</f>
        <v/>
      </c>
    </row>
    <row r="108" ht="17" customHeight="1">
      <c r="B108" s="66" t="n"/>
      <c r="C108" s="60" t="n"/>
      <c r="D108" s="86" t="n"/>
      <c r="E108" s="63" t="n"/>
      <c r="F108" s="60" t="n"/>
      <c r="G108" s="60" t="n"/>
      <c r="H108" s="71">
        <f>IF(OR($C108="",$D108=""),"",IF(ISNUMBER($E108),$E108,IF($O108="","",IF(N(INDEX('Menu Pricing'!$O$7:$O$56,$O108))&gt;0,INDEX('Menu Pricing'!$O$7:$O$56,$O108),""))))</f>
        <v/>
      </c>
      <c r="I108" s="71">
        <f>IF($N108&lt;&gt;"OK","",$D108*$H108)</f>
        <v/>
      </c>
      <c r="J108" s="71">
        <f>IF($N108&lt;&gt;"OK","",N(INDEX('Menu Pricing'!$F$7:$F$56,$O108))+N(INDEX('Menu Pricing'!$G$7:$G$56,$O108))+N(INDEX('Menu Pricing'!$J$7:$J$56,$O108)))</f>
        <v/>
      </c>
      <c r="K108" s="71">
        <f>IF($N108&lt;&gt;"OK","",$D108*$J108)</f>
        <v/>
      </c>
      <c r="L108" s="71">
        <f>IF($N108&lt;&gt;"OK","",$I108-$K108)</f>
        <v/>
      </c>
      <c r="M108" s="71">
        <f>IF($N108&lt;&gt;"OK","",$D108*N(INDEX('Menu Pricing'!$F$7:$F$56,$O108)))</f>
        <v/>
      </c>
      <c r="N108" s="80">
        <f>IF(AND($B108="",$C108="",$D108=""),"",IF(NOT(ISNUMBER($B108)),"Enter a valid date",IF($C108="","Pick a menu item",IF($O108="","Item not on Menu Pricing",IF(N($D108)&lt;=0,"Qty must be above 0",IF($H108="","No price on menu","OK"))))))</f>
        <v/>
      </c>
      <c r="O108" s="13">
        <f>IF($C108="","",IFERROR(MATCH($C108,'Menu Pricing'!$B$7:$B$56,0),""))</f>
        <v/>
      </c>
    </row>
    <row r="109" ht="17" customHeight="1">
      <c r="B109" s="66" t="n"/>
      <c r="C109" s="60" t="n"/>
      <c r="D109" s="86" t="n"/>
      <c r="E109" s="63" t="n"/>
      <c r="F109" s="60" t="n"/>
      <c r="G109" s="60" t="n"/>
      <c r="H109" s="71">
        <f>IF(OR($C109="",$D109=""),"",IF(ISNUMBER($E109),$E109,IF($O109="","",IF(N(INDEX('Menu Pricing'!$O$7:$O$56,$O109))&gt;0,INDEX('Menu Pricing'!$O$7:$O$56,$O109),""))))</f>
        <v/>
      </c>
      <c r="I109" s="71">
        <f>IF($N109&lt;&gt;"OK","",$D109*$H109)</f>
        <v/>
      </c>
      <c r="J109" s="71">
        <f>IF($N109&lt;&gt;"OK","",N(INDEX('Menu Pricing'!$F$7:$F$56,$O109))+N(INDEX('Menu Pricing'!$G$7:$G$56,$O109))+N(INDEX('Menu Pricing'!$J$7:$J$56,$O109)))</f>
        <v/>
      </c>
      <c r="K109" s="71">
        <f>IF($N109&lt;&gt;"OK","",$D109*$J109)</f>
        <v/>
      </c>
      <c r="L109" s="71">
        <f>IF($N109&lt;&gt;"OK","",$I109-$K109)</f>
        <v/>
      </c>
      <c r="M109" s="71">
        <f>IF($N109&lt;&gt;"OK","",$D109*N(INDEX('Menu Pricing'!$F$7:$F$56,$O109)))</f>
        <v/>
      </c>
      <c r="N109" s="80">
        <f>IF(AND($B109="",$C109="",$D109=""),"",IF(NOT(ISNUMBER($B109)),"Enter a valid date",IF($C109="","Pick a menu item",IF($O109="","Item not on Menu Pricing",IF(N($D109)&lt;=0,"Qty must be above 0",IF($H109="","No price on menu","OK"))))))</f>
        <v/>
      </c>
      <c r="O109" s="13">
        <f>IF($C109="","",IFERROR(MATCH($C109,'Menu Pricing'!$B$7:$B$56,0),""))</f>
        <v/>
      </c>
    </row>
    <row r="110" ht="17" customHeight="1">
      <c r="B110" s="66" t="n"/>
      <c r="C110" s="60" t="n"/>
      <c r="D110" s="86" t="n"/>
      <c r="E110" s="63" t="n"/>
      <c r="F110" s="60" t="n"/>
      <c r="G110" s="60" t="n"/>
      <c r="H110" s="71">
        <f>IF(OR($C110="",$D110=""),"",IF(ISNUMBER($E110),$E110,IF($O110="","",IF(N(INDEX('Menu Pricing'!$O$7:$O$56,$O110))&gt;0,INDEX('Menu Pricing'!$O$7:$O$56,$O110),""))))</f>
        <v/>
      </c>
      <c r="I110" s="71">
        <f>IF($N110&lt;&gt;"OK","",$D110*$H110)</f>
        <v/>
      </c>
      <c r="J110" s="71">
        <f>IF($N110&lt;&gt;"OK","",N(INDEX('Menu Pricing'!$F$7:$F$56,$O110))+N(INDEX('Menu Pricing'!$G$7:$G$56,$O110))+N(INDEX('Menu Pricing'!$J$7:$J$56,$O110)))</f>
        <v/>
      </c>
      <c r="K110" s="71">
        <f>IF($N110&lt;&gt;"OK","",$D110*$J110)</f>
        <v/>
      </c>
      <c r="L110" s="71">
        <f>IF($N110&lt;&gt;"OK","",$I110-$K110)</f>
        <v/>
      </c>
      <c r="M110" s="71">
        <f>IF($N110&lt;&gt;"OK","",$D110*N(INDEX('Menu Pricing'!$F$7:$F$56,$O110)))</f>
        <v/>
      </c>
      <c r="N110" s="80">
        <f>IF(AND($B110="",$C110="",$D110=""),"",IF(NOT(ISNUMBER($B110)),"Enter a valid date",IF($C110="","Pick a menu item",IF($O110="","Item not on Menu Pricing",IF(N($D110)&lt;=0,"Qty must be above 0",IF($H110="","No price on menu","OK"))))))</f>
        <v/>
      </c>
      <c r="O110" s="13">
        <f>IF($C110="","",IFERROR(MATCH($C110,'Menu Pricing'!$B$7:$B$56,0),""))</f>
        <v/>
      </c>
    </row>
    <row r="111" ht="17" customHeight="1">
      <c r="B111" s="66" t="n"/>
      <c r="C111" s="60" t="n"/>
      <c r="D111" s="86" t="n"/>
      <c r="E111" s="63" t="n"/>
      <c r="F111" s="60" t="n"/>
      <c r="G111" s="60" t="n"/>
      <c r="H111" s="71">
        <f>IF(OR($C111="",$D111=""),"",IF(ISNUMBER($E111),$E111,IF($O111="","",IF(N(INDEX('Menu Pricing'!$O$7:$O$56,$O111))&gt;0,INDEX('Menu Pricing'!$O$7:$O$56,$O111),""))))</f>
        <v/>
      </c>
      <c r="I111" s="71">
        <f>IF($N111&lt;&gt;"OK","",$D111*$H111)</f>
        <v/>
      </c>
      <c r="J111" s="71">
        <f>IF($N111&lt;&gt;"OK","",N(INDEX('Menu Pricing'!$F$7:$F$56,$O111))+N(INDEX('Menu Pricing'!$G$7:$G$56,$O111))+N(INDEX('Menu Pricing'!$J$7:$J$56,$O111)))</f>
        <v/>
      </c>
      <c r="K111" s="71">
        <f>IF($N111&lt;&gt;"OK","",$D111*$J111)</f>
        <v/>
      </c>
      <c r="L111" s="71">
        <f>IF($N111&lt;&gt;"OK","",$I111-$K111)</f>
        <v/>
      </c>
      <c r="M111" s="71">
        <f>IF($N111&lt;&gt;"OK","",$D111*N(INDEX('Menu Pricing'!$F$7:$F$56,$O111)))</f>
        <v/>
      </c>
      <c r="N111" s="80">
        <f>IF(AND($B111="",$C111="",$D111=""),"",IF(NOT(ISNUMBER($B111)),"Enter a valid date",IF($C111="","Pick a menu item",IF($O111="","Item not on Menu Pricing",IF(N($D111)&lt;=0,"Qty must be above 0",IF($H111="","No price on menu","OK"))))))</f>
        <v/>
      </c>
      <c r="O111" s="13">
        <f>IF($C111="","",IFERROR(MATCH($C111,'Menu Pricing'!$B$7:$B$56,0),""))</f>
        <v/>
      </c>
    </row>
    <row r="112" ht="17" customHeight="1">
      <c r="B112" s="66" t="n"/>
      <c r="C112" s="60" t="n"/>
      <c r="D112" s="86" t="n"/>
      <c r="E112" s="63" t="n"/>
      <c r="F112" s="60" t="n"/>
      <c r="G112" s="60" t="n"/>
      <c r="H112" s="71">
        <f>IF(OR($C112="",$D112=""),"",IF(ISNUMBER($E112),$E112,IF($O112="","",IF(N(INDEX('Menu Pricing'!$O$7:$O$56,$O112))&gt;0,INDEX('Menu Pricing'!$O$7:$O$56,$O112),""))))</f>
        <v/>
      </c>
      <c r="I112" s="71">
        <f>IF($N112&lt;&gt;"OK","",$D112*$H112)</f>
        <v/>
      </c>
      <c r="J112" s="71">
        <f>IF($N112&lt;&gt;"OK","",N(INDEX('Menu Pricing'!$F$7:$F$56,$O112))+N(INDEX('Menu Pricing'!$G$7:$G$56,$O112))+N(INDEX('Menu Pricing'!$J$7:$J$56,$O112)))</f>
        <v/>
      </c>
      <c r="K112" s="71">
        <f>IF($N112&lt;&gt;"OK","",$D112*$J112)</f>
        <v/>
      </c>
      <c r="L112" s="71">
        <f>IF($N112&lt;&gt;"OK","",$I112-$K112)</f>
        <v/>
      </c>
      <c r="M112" s="71">
        <f>IF($N112&lt;&gt;"OK","",$D112*N(INDEX('Menu Pricing'!$F$7:$F$56,$O112)))</f>
        <v/>
      </c>
      <c r="N112" s="80">
        <f>IF(AND($B112="",$C112="",$D112=""),"",IF(NOT(ISNUMBER($B112)),"Enter a valid date",IF($C112="","Pick a menu item",IF($O112="","Item not on Menu Pricing",IF(N($D112)&lt;=0,"Qty must be above 0",IF($H112="","No price on menu","OK"))))))</f>
        <v/>
      </c>
      <c r="O112" s="13">
        <f>IF($C112="","",IFERROR(MATCH($C112,'Menu Pricing'!$B$7:$B$56,0),""))</f>
        <v/>
      </c>
    </row>
    <row r="113" ht="17" customHeight="1">
      <c r="B113" s="66" t="n"/>
      <c r="C113" s="60" t="n"/>
      <c r="D113" s="86" t="n"/>
      <c r="E113" s="63" t="n"/>
      <c r="F113" s="60" t="n"/>
      <c r="G113" s="60" t="n"/>
      <c r="H113" s="71">
        <f>IF(OR($C113="",$D113=""),"",IF(ISNUMBER($E113),$E113,IF($O113="","",IF(N(INDEX('Menu Pricing'!$O$7:$O$56,$O113))&gt;0,INDEX('Menu Pricing'!$O$7:$O$56,$O113),""))))</f>
        <v/>
      </c>
      <c r="I113" s="71">
        <f>IF($N113&lt;&gt;"OK","",$D113*$H113)</f>
        <v/>
      </c>
      <c r="J113" s="71">
        <f>IF($N113&lt;&gt;"OK","",N(INDEX('Menu Pricing'!$F$7:$F$56,$O113))+N(INDEX('Menu Pricing'!$G$7:$G$56,$O113))+N(INDEX('Menu Pricing'!$J$7:$J$56,$O113)))</f>
        <v/>
      </c>
      <c r="K113" s="71">
        <f>IF($N113&lt;&gt;"OK","",$D113*$J113)</f>
        <v/>
      </c>
      <c r="L113" s="71">
        <f>IF($N113&lt;&gt;"OK","",$I113-$K113)</f>
        <v/>
      </c>
      <c r="M113" s="71">
        <f>IF($N113&lt;&gt;"OK","",$D113*N(INDEX('Menu Pricing'!$F$7:$F$56,$O113)))</f>
        <v/>
      </c>
      <c r="N113" s="80">
        <f>IF(AND($B113="",$C113="",$D113=""),"",IF(NOT(ISNUMBER($B113)),"Enter a valid date",IF($C113="","Pick a menu item",IF($O113="","Item not on Menu Pricing",IF(N($D113)&lt;=0,"Qty must be above 0",IF($H113="","No price on menu","OK"))))))</f>
        <v/>
      </c>
      <c r="O113" s="13">
        <f>IF($C113="","",IFERROR(MATCH($C113,'Menu Pricing'!$B$7:$B$56,0),""))</f>
        <v/>
      </c>
    </row>
    <row r="114" ht="17" customHeight="1">
      <c r="B114" s="66" t="n"/>
      <c r="C114" s="60" t="n"/>
      <c r="D114" s="86" t="n"/>
      <c r="E114" s="63" t="n"/>
      <c r="F114" s="60" t="n"/>
      <c r="G114" s="60" t="n"/>
      <c r="H114" s="71">
        <f>IF(OR($C114="",$D114=""),"",IF(ISNUMBER($E114),$E114,IF($O114="","",IF(N(INDEX('Menu Pricing'!$O$7:$O$56,$O114))&gt;0,INDEX('Menu Pricing'!$O$7:$O$56,$O114),""))))</f>
        <v/>
      </c>
      <c r="I114" s="71">
        <f>IF($N114&lt;&gt;"OK","",$D114*$H114)</f>
        <v/>
      </c>
      <c r="J114" s="71">
        <f>IF($N114&lt;&gt;"OK","",N(INDEX('Menu Pricing'!$F$7:$F$56,$O114))+N(INDEX('Menu Pricing'!$G$7:$G$56,$O114))+N(INDEX('Menu Pricing'!$J$7:$J$56,$O114)))</f>
        <v/>
      </c>
      <c r="K114" s="71">
        <f>IF($N114&lt;&gt;"OK","",$D114*$J114)</f>
        <v/>
      </c>
      <c r="L114" s="71">
        <f>IF($N114&lt;&gt;"OK","",$I114-$K114)</f>
        <v/>
      </c>
      <c r="M114" s="71">
        <f>IF($N114&lt;&gt;"OK","",$D114*N(INDEX('Menu Pricing'!$F$7:$F$56,$O114)))</f>
        <v/>
      </c>
      <c r="N114" s="80">
        <f>IF(AND($B114="",$C114="",$D114=""),"",IF(NOT(ISNUMBER($B114)),"Enter a valid date",IF($C114="","Pick a menu item",IF($O114="","Item not on Menu Pricing",IF(N($D114)&lt;=0,"Qty must be above 0",IF($H114="","No price on menu","OK"))))))</f>
        <v/>
      </c>
      <c r="O114" s="13">
        <f>IF($C114="","",IFERROR(MATCH($C114,'Menu Pricing'!$B$7:$B$56,0),""))</f>
        <v/>
      </c>
    </row>
    <row r="115" ht="17" customHeight="1">
      <c r="B115" s="66" t="n"/>
      <c r="C115" s="60" t="n"/>
      <c r="D115" s="86" t="n"/>
      <c r="E115" s="63" t="n"/>
      <c r="F115" s="60" t="n"/>
      <c r="G115" s="60" t="n"/>
      <c r="H115" s="71">
        <f>IF(OR($C115="",$D115=""),"",IF(ISNUMBER($E115),$E115,IF($O115="","",IF(N(INDEX('Menu Pricing'!$O$7:$O$56,$O115))&gt;0,INDEX('Menu Pricing'!$O$7:$O$56,$O115),""))))</f>
        <v/>
      </c>
      <c r="I115" s="71">
        <f>IF($N115&lt;&gt;"OK","",$D115*$H115)</f>
        <v/>
      </c>
      <c r="J115" s="71">
        <f>IF($N115&lt;&gt;"OK","",N(INDEX('Menu Pricing'!$F$7:$F$56,$O115))+N(INDEX('Menu Pricing'!$G$7:$G$56,$O115))+N(INDEX('Menu Pricing'!$J$7:$J$56,$O115)))</f>
        <v/>
      </c>
      <c r="K115" s="71">
        <f>IF($N115&lt;&gt;"OK","",$D115*$J115)</f>
        <v/>
      </c>
      <c r="L115" s="71">
        <f>IF($N115&lt;&gt;"OK","",$I115-$K115)</f>
        <v/>
      </c>
      <c r="M115" s="71">
        <f>IF($N115&lt;&gt;"OK","",$D115*N(INDEX('Menu Pricing'!$F$7:$F$56,$O115)))</f>
        <v/>
      </c>
      <c r="N115" s="80">
        <f>IF(AND($B115="",$C115="",$D115=""),"",IF(NOT(ISNUMBER($B115)),"Enter a valid date",IF($C115="","Pick a menu item",IF($O115="","Item not on Menu Pricing",IF(N($D115)&lt;=0,"Qty must be above 0",IF($H115="","No price on menu","OK"))))))</f>
        <v/>
      </c>
      <c r="O115" s="13">
        <f>IF($C115="","",IFERROR(MATCH($C115,'Menu Pricing'!$B$7:$B$56,0),""))</f>
        <v/>
      </c>
    </row>
    <row r="116" ht="17" customHeight="1">
      <c r="B116" s="66" t="n"/>
      <c r="C116" s="60" t="n"/>
      <c r="D116" s="86" t="n"/>
      <c r="E116" s="63" t="n"/>
      <c r="F116" s="60" t="n"/>
      <c r="G116" s="60" t="n"/>
      <c r="H116" s="71">
        <f>IF(OR($C116="",$D116=""),"",IF(ISNUMBER($E116),$E116,IF($O116="","",IF(N(INDEX('Menu Pricing'!$O$7:$O$56,$O116))&gt;0,INDEX('Menu Pricing'!$O$7:$O$56,$O116),""))))</f>
        <v/>
      </c>
      <c r="I116" s="71">
        <f>IF($N116&lt;&gt;"OK","",$D116*$H116)</f>
        <v/>
      </c>
      <c r="J116" s="71">
        <f>IF($N116&lt;&gt;"OK","",N(INDEX('Menu Pricing'!$F$7:$F$56,$O116))+N(INDEX('Menu Pricing'!$G$7:$G$56,$O116))+N(INDEX('Menu Pricing'!$J$7:$J$56,$O116)))</f>
        <v/>
      </c>
      <c r="K116" s="71">
        <f>IF($N116&lt;&gt;"OK","",$D116*$J116)</f>
        <v/>
      </c>
      <c r="L116" s="71">
        <f>IF($N116&lt;&gt;"OK","",$I116-$K116)</f>
        <v/>
      </c>
      <c r="M116" s="71">
        <f>IF($N116&lt;&gt;"OK","",$D116*N(INDEX('Menu Pricing'!$F$7:$F$56,$O116)))</f>
        <v/>
      </c>
      <c r="N116" s="80">
        <f>IF(AND($B116="",$C116="",$D116=""),"",IF(NOT(ISNUMBER($B116)),"Enter a valid date",IF($C116="","Pick a menu item",IF($O116="","Item not on Menu Pricing",IF(N($D116)&lt;=0,"Qty must be above 0",IF($H116="","No price on menu","OK"))))))</f>
        <v/>
      </c>
      <c r="O116" s="13">
        <f>IF($C116="","",IFERROR(MATCH($C116,'Menu Pricing'!$B$7:$B$56,0),""))</f>
        <v/>
      </c>
    </row>
    <row r="117" ht="17" customHeight="1">
      <c r="B117" s="66" t="n"/>
      <c r="C117" s="60" t="n"/>
      <c r="D117" s="86" t="n"/>
      <c r="E117" s="63" t="n"/>
      <c r="F117" s="60" t="n"/>
      <c r="G117" s="60" t="n"/>
      <c r="H117" s="71">
        <f>IF(OR($C117="",$D117=""),"",IF(ISNUMBER($E117),$E117,IF($O117="","",IF(N(INDEX('Menu Pricing'!$O$7:$O$56,$O117))&gt;0,INDEX('Menu Pricing'!$O$7:$O$56,$O117),""))))</f>
        <v/>
      </c>
      <c r="I117" s="71">
        <f>IF($N117&lt;&gt;"OK","",$D117*$H117)</f>
        <v/>
      </c>
      <c r="J117" s="71">
        <f>IF($N117&lt;&gt;"OK","",N(INDEX('Menu Pricing'!$F$7:$F$56,$O117))+N(INDEX('Menu Pricing'!$G$7:$G$56,$O117))+N(INDEX('Menu Pricing'!$J$7:$J$56,$O117)))</f>
        <v/>
      </c>
      <c r="K117" s="71">
        <f>IF($N117&lt;&gt;"OK","",$D117*$J117)</f>
        <v/>
      </c>
      <c r="L117" s="71">
        <f>IF($N117&lt;&gt;"OK","",$I117-$K117)</f>
        <v/>
      </c>
      <c r="M117" s="71">
        <f>IF($N117&lt;&gt;"OK","",$D117*N(INDEX('Menu Pricing'!$F$7:$F$56,$O117)))</f>
        <v/>
      </c>
      <c r="N117" s="80">
        <f>IF(AND($B117="",$C117="",$D117=""),"",IF(NOT(ISNUMBER($B117)),"Enter a valid date",IF($C117="","Pick a menu item",IF($O117="","Item not on Menu Pricing",IF(N($D117)&lt;=0,"Qty must be above 0",IF($H117="","No price on menu","OK"))))))</f>
        <v/>
      </c>
      <c r="O117" s="13">
        <f>IF($C117="","",IFERROR(MATCH($C117,'Menu Pricing'!$B$7:$B$56,0),""))</f>
        <v/>
      </c>
    </row>
    <row r="118" ht="17" customHeight="1">
      <c r="B118" s="66" t="n"/>
      <c r="C118" s="60" t="n"/>
      <c r="D118" s="86" t="n"/>
      <c r="E118" s="63" t="n"/>
      <c r="F118" s="60" t="n"/>
      <c r="G118" s="60" t="n"/>
      <c r="H118" s="71">
        <f>IF(OR($C118="",$D118=""),"",IF(ISNUMBER($E118),$E118,IF($O118="","",IF(N(INDEX('Menu Pricing'!$O$7:$O$56,$O118))&gt;0,INDEX('Menu Pricing'!$O$7:$O$56,$O118),""))))</f>
        <v/>
      </c>
      <c r="I118" s="71">
        <f>IF($N118&lt;&gt;"OK","",$D118*$H118)</f>
        <v/>
      </c>
      <c r="J118" s="71">
        <f>IF($N118&lt;&gt;"OK","",N(INDEX('Menu Pricing'!$F$7:$F$56,$O118))+N(INDEX('Menu Pricing'!$G$7:$G$56,$O118))+N(INDEX('Menu Pricing'!$J$7:$J$56,$O118)))</f>
        <v/>
      </c>
      <c r="K118" s="71">
        <f>IF($N118&lt;&gt;"OK","",$D118*$J118)</f>
        <v/>
      </c>
      <c r="L118" s="71">
        <f>IF($N118&lt;&gt;"OK","",$I118-$K118)</f>
        <v/>
      </c>
      <c r="M118" s="71">
        <f>IF($N118&lt;&gt;"OK","",$D118*N(INDEX('Menu Pricing'!$F$7:$F$56,$O118)))</f>
        <v/>
      </c>
      <c r="N118" s="80">
        <f>IF(AND($B118="",$C118="",$D118=""),"",IF(NOT(ISNUMBER($B118)),"Enter a valid date",IF($C118="","Pick a menu item",IF($O118="","Item not on Menu Pricing",IF(N($D118)&lt;=0,"Qty must be above 0",IF($H118="","No price on menu","OK"))))))</f>
        <v/>
      </c>
      <c r="O118" s="13">
        <f>IF($C118="","",IFERROR(MATCH($C118,'Menu Pricing'!$B$7:$B$56,0),""))</f>
        <v/>
      </c>
    </row>
    <row r="119" ht="17" customHeight="1">
      <c r="B119" s="66" t="n"/>
      <c r="C119" s="60" t="n"/>
      <c r="D119" s="86" t="n"/>
      <c r="E119" s="63" t="n"/>
      <c r="F119" s="60" t="n"/>
      <c r="G119" s="60" t="n"/>
      <c r="H119" s="71">
        <f>IF(OR($C119="",$D119=""),"",IF(ISNUMBER($E119),$E119,IF($O119="","",IF(N(INDEX('Menu Pricing'!$O$7:$O$56,$O119))&gt;0,INDEX('Menu Pricing'!$O$7:$O$56,$O119),""))))</f>
        <v/>
      </c>
      <c r="I119" s="71">
        <f>IF($N119&lt;&gt;"OK","",$D119*$H119)</f>
        <v/>
      </c>
      <c r="J119" s="71">
        <f>IF($N119&lt;&gt;"OK","",N(INDEX('Menu Pricing'!$F$7:$F$56,$O119))+N(INDEX('Menu Pricing'!$G$7:$G$56,$O119))+N(INDEX('Menu Pricing'!$J$7:$J$56,$O119)))</f>
        <v/>
      </c>
      <c r="K119" s="71">
        <f>IF($N119&lt;&gt;"OK","",$D119*$J119)</f>
        <v/>
      </c>
      <c r="L119" s="71">
        <f>IF($N119&lt;&gt;"OK","",$I119-$K119)</f>
        <v/>
      </c>
      <c r="M119" s="71">
        <f>IF($N119&lt;&gt;"OK","",$D119*N(INDEX('Menu Pricing'!$F$7:$F$56,$O119)))</f>
        <v/>
      </c>
      <c r="N119" s="80">
        <f>IF(AND($B119="",$C119="",$D119=""),"",IF(NOT(ISNUMBER($B119)),"Enter a valid date",IF($C119="","Pick a menu item",IF($O119="","Item not on Menu Pricing",IF(N($D119)&lt;=0,"Qty must be above 0",IF($H119="","No price on menu","OK"))))))</f>
        <v/>
      </c>
      <c r="O119" s="13">
        <f>IF($C119="","",IFERROR(MATCH($C119,'Menu Pricing'!$B$7:$B$56,0),""))</f>
        <v/>
      </c>
    </row>
    <row r="120" ht="17" customHeight="1">
      <c r="B120" s="66" t="n"/>
      <c r="C120" s="60" t="n"/>
      <c r="D120" s="86" t="n"/>
      <c r="E120" s="63" t="n"/>
      <c r="F120" s="60" t="n"/>
      <c r="G120" s="60" t="n"/>
      <c r="H120" s="71">
        <f>IF(OR($C120="",$D120=""),"",IF(ISNUMBER($E120),$E120,IF($O120="","",IF(N(INDEX('Menu Pricing'!$O$7:$O$56,$O120))&gt;0,INDEX('Menu Pricing'!$O$7:$O$56,$O120),""))))</f>
        <v/>
      </c>
      <c r="I120" s="71">
        <f>IF($N120&lt;&gt;"OK","",$D120*$H120)</f>
        <v/>
      </c>
      <c r="J120" s="71">
        <f>IF($N120&lt;&gt;"OK","",N(INDEX('Menu Pricing'!$F$7:$F$56,$O120))+N(INDEX('Menu Pricing'!$G$7:$G$56,$O120))+N(INDEX('Menu Pricing'!$J$7:$J$56,$O120)))</f>
        <v/>
      </c>
      <c r="K120" s="71">
        <f>IF($N120&lt;&gt;"OK","",$D120*$J120)</f>
        <v/>
      </c>
      <c r="L120" s="71">
        <f>IF($N120&lt;&gt;"OK","",$I120-$K120)</f>
        <v/>
      </c>
      <c r="M120" s="71">
        <f>IF($N120&lt;&gt;"OK","",$D120*N(INDEX('Menu Pricing'!$F$7:$F$56,$O120)))</f>
        <v/>
      </c>
      <c r="N120" s="80">
        <f>IF(AND($B120="",$C120="",$D120=""),"",IF(NOT(ISNUMBER($B120)),"Enter a valid date",IF($C120="","Pick a menu item",IF($O120="","Item not on Menu Pricing",IF(N($D120)&lt;=0,"Qty must be above 0",IF($H120="","No price on menu","OK"))))))</f>
        <v/>
      </c>
      <c r="O120" s="13">
        <f>IF($C120="","",IFERROR(MATCH($C120,'Menu Pricing'!$B$7:$B$56,0),""))</f>
        <v/>
      </c>
    </row>
    <row r="121" ht="17" customHeight="1">
      <c r="B121" s="66" t="n"/>
      <c r="C121" s="60" t="n"/>
      <c r="D121" s="86" t="n"/>
      <c r="E121" s="63" t="n"/>
      <c r="F121" s="60" t="n"/>
      <c r="G121" s="60" t="n"/>
      <c r="H121" s="71">
        <f>IF(OR($C121="",$D121=""),"",IF(ISNUMBER($E121),$E121,IF($O121="","",IF(N(INDEX('Menu Pricing'!$O$7:$O$56,$O121))&gt;0,INDEX('Menu Pricing'!$O$7:$O$56,$O121),""))))</f>
        <v/>
      </c>
      <c r="I121" s="71">
        <f>IF($N121&lt;&gt;"OK","",$D121*$H121)</f>
        <v/>
      </c>
      <c r="J121" s="71">
        <f>IF($N121&lt;&gt;"OK","",N(INDEX('Menu Pricing'!$F$7:$F$56,$O121))+N(INDEX('Menu Pricing'!$G$7:$G$56,$O121))+N(INDEX('Menu Pricing'!$J$7:$J$56,$O121)))</f>
        <v/>
      </c>
      <c r="K121" s="71">
        <f>IF($N121&lt;&gt;"OK","",$D121*$J121)</f>
        <v/>
      </c>
      <c r="L121" s="71">
        <f>IF($N121&lt;&gt;"OK","",$I121-$K121)</f>
        <v/>
      </c>
      <c r="M121" s="71">
        <f>IF($N121&lt;&gt;"OK","",$D121*N(INDEX('Menu Pricing'!$F$7:$F$56,$O121)))</f>
        <v/>
      </c>
      <c r="N121" s="80">
        <f>IF(AND($B121="",$C121="",$D121=""),"",IF(NOT(ISNUMBER($B121)),"Enter a valid date",IF($C121="","Pick a menu item",IF($O121="","Item not on Menu Pricing",IF(N($D121)&lt;=0,"Qty must be above 0",IF($H121="","No price on menu","OK"))))))</f>
        <v/>
      </c>
      <c r="O121" s="13">
        <f>IF($C121="","",IFERROR(MATCH($C121,'Menu Pricing'!$B$7:$B$56,0),""))</f>
        <v/>
      </c>
    </row>
    <row r="122" ht="17" customHeight="1">
      <c r="B122" s="66" t="n"/>
      <c r="C122" s="60" t="n"/>
      <c r="D122" s="86" t="n"/>
      <c r="E122" s="63" t="n"/>
      <c r="F122" s="60" t="n"/>
      <c r="G122" s="60" t="n"/>
      <c r="H122" s="71">
        <f>IF(OR($C122="",$D122=""),"",IF(ISNUMBER($E122),$E122,IF($O122="","",IF(N(INDEX('Menu Pricing'!$O$7:$O$56,$O122))&gt;0,INDEX('Menu Pricing'!$O$7:$O$56,$O122),""))))</f>
        <v/>
      </c>
      <c r="I122" s="71">
        <f>IF($N122&lt;&gt;"OK","",$D122*$H122)</f>
        <v/>
      </c>
      <c r="J122" s="71">
        <f>IF($N122&lt;&gt;"OK","",N(INDEX('Menu Pricing'!$F$7:$F$56,$O122))+N(INDEX('Menu Pricing'!$G$7:$G$56,$O122))+N(INDEX('Menu Pricing'!$J$7:$J$56,$O122)))</f>
        <v/>
      </c>
      <c r="K122" s="71">
        <f>IF($N122&lt;&gt;"OK","",$D122*$J122)</f>
        <v/>
      </c>
      <c r="L122" s="71">
        <f>IF($N122&lt;&gt;"OK","",$I122-$K122)</f>
        <v/>
      </c>
      <c r="M122" s="71">
        <f>IF($N122&lt;&gt;"OK","",$D122*N(INDEX('Menu Pricing'!$F$7:$F$56,$O122)))</f>
        <v/>
      </c>
      <c r="N122" s="80">
        <f>IF(AND($B122="",$C122="",$D122=""),"",IF(NOT(ISNUMBER($B122)),"Enter a valid date",IF($C122="","Pick a menu item",IF($O122="","Item not on Menu Pricing",IF(N($D122)&lt;=0,"Qty must be above 0",IF($H122="","No price on menu","OK"))))))</f>
        <v/>
      </c>
      <c r="O122" s="13">
        <f>IF($C122="","",IFERROR(MATCH($C122,'Menu Pricing'!$B$7:$B$56,0),""))</f>
        <v/>
      </c>
    </row>
    <row r="123" ht="17" customHeight="1">
      <c r="B123" s="66" t="n"/>
      <c r="C123" s="60" t="n"/>
      <c r="D123" s="86" t="n"/>
      <c r="E123" s="63" t="n"/>
      <c r="F123" s="60" t="n"/>
      <c r="G123" s="60" t="n"/>
      <c r="H123" s="71">
        <f>IF(OR($C123="",$D123=""),"",IF(ISNUMBER($E123),$E123,IF($O123="","",IF(N(INDEX('Menu Pricing'!$O$7:$O$56,$O123))&gt;0,INDEX('Menu Pricing'!$O$7:$O$56,$O123),""))))</f>
        <v/>
      </c>
      <c r="I123" s="71">
        <f>IF($N123&lt;&gt;"OK","",$D123*$H123)</f>
        <v/>
      </c>
      <c r="J123" s="71">
        <f>IF($N123&lt;&gt;"OK","",N(INDEX('Menu Pricing'!$F$7:$F$56,$O123))+N(INDEX('Menu Pricing'!$G$7:$G$56,$O123))+N(INDEX('Menu Pricing'!$J$7:$J$56,$O123)))</f>
        <v/>
      </c>
      <c r="K123" s="71">
        <f>IF($N123&lt;&gt;"OK","",$D123*$J123)</f>
        <v/>
      </c>
      <c r="L123" s="71">
        <f>IF($N123&lt;&gt;"OK","",$I123-$K123)</f>
        <v/>
      </c>
      <c r="M123" s="71">
        <f>IF($N123&lt;&gt;"OK","",$D123*N(INDEX('Menu Pricing'!$F$7:$F$56,$O123)))</f>
        <v/>
      </c>
      <c r="N123" s="80">
        <f>IF(AND($B123="",$C123="",$D123=""),"",IF(NOT(ISNUMBER($B123)),"Enter a valid date",IF($C123="","Pick a menu item",IF($O123="","Item not on Menu Pricing",IF(N($D123)&lt;=0,"Qty must be above 0",IF($H123="","No price on menu","OK"))))))</f>
        <v/>
      </c>
      <c r="O123" s="13">
        <f>IF($C123="","",IFERROR(MATCH($C123,'Menu Pricing'!$B$7:$B$56,0),""))</f>
        <v/>
      </c>
    </row>
    <row r="124" ht="17" customHeight="1">
      <c r="B124" s="66" t="n"/>
      <c r="C124" s="60" t="n"/>
      <c r="D124" s="86" t="n"/>
      <c r="E124" s="63" t="n"/>
      <c r="F124" s="60" t="n"/>
      <c r="G124" s="60" t="n"/>
      <c r="H124" s="71">
        <f>IF(OR($C124="",$D124=""),"",IF(ISNUMBER($E124),$E124,IF($O124="","",IF(N(INDEX('Menu Pricing'!$O$7:$O$56,$O124))&gt;0,INDEX('Menu Pricing'!$O$7:$O$56,$O124),""))))</f>
        <v/>
      </c>
      <c r="I124" s="71">
        <f>IF($N124&lt;&gt;"OK","",$D124*$H124)</f>
        <v/>
      </c>
      <c r="J124" s="71">
        <f>IF($N124&lt;&gt;"OK","",N(INDEX('Menu Pricing'!$F$7:$F$56,$O124))+N(INDEX('Menu Pricing'!$G$7:$G$56,$O124))+N(INDEX('Menu Pricing'!$J$7:$J$56,$O124)))</f>
        <v/>
      </c>
      <c r="K124" s="71">
        <f>IF($N124&lt;&gt;"OK","",$D124*$J124)</f>
        <v/>
      </c>
      <c r="L124" s="71">
        <f>IF($N124&lt;&gt;"OK","",$I124-$K124)</f>
        <v/>
      </c>
      <c r="M124" s="71">
        <f>IF($N124&lt;&gt;"OK","",$D124*N(INDEX('Menu Pricing'!$F$7:$F$56,$O124)))</f>
        <v/>
      </c>
      <c r="N124" s="80">
        <f>IF(AND($B124="",$C124="",$D124=""),"",IF(NOT(ISNUMBER($B124)),"Enter a valid date",IF($C124="","Pick a menu item",IF($O124="","Item not on Menu Pricing",IF(N($D124)&lt;=0,"Qty must be above 0",IF($H124="","No price on menu","OK"))))))</f>
        <v/>
      </c>
      <c r="O124" s="13">
        <f>IF($C124="","",IFERROR(MATCH($C124,'Menu Pricing'!$B$7:$B$56,0),""))</f>
        <v/>
      </c>
    </row>
    <row r="125" ht="17" customHeight="1">
      <c r="B125" s="66" t="n"/>
      <c r="C125" s="60" t="n"/>
      <c r="D125" s="86" t="n"/>
      <c r="E125" s="63" t="n"/>
      <c r="F125" s="60" t="n"/>
      <c r="G125" s="60" t="n"/>
      <c r="H125" s="71">
        <f>IF(OR($C125="",$D125=""),"",IF(ISNUMBER($E125),$E125,IF($O125="","",IF(N(INDEX('Menu Pricing'!$O$7:$O$56,$O125))&gt;0,INDEX('Menu Pricing'!$O$7:$O$56,$O125),""))))</f>
        <v/>
      </c>
      <c r="I125" s="71">
        <f>IF($N125&lt;&gt;"OK","",$D125*$H125)</f>
        <v/>
      </c>
      <c r="J125" s="71">
        <f>IF($N125&lt;&gt;"OK","",N(INDEX('Menu Pricing'!$F$7:$F$56,$O125))+N(INDEX('Menu Pricing'!$G$7:$G$56,$O125))+N(INDEX('Menu Pricing'!$J$7:$J$56,$O125)))</f>
        <v/>
      </c>
      <c r="K125" s="71">
        <f>IF($N125&lt;&gt;"OK","",$D125*$J125)</f>
        <v/>
      </c>
      <c r="L125" s="71">
        <f>IF($N125&lt;&gt;"OK","",$I125-$K125)</f>
        <v/>
      </c>
      <c r="M125" s="71">
        <f>IF($N125&lt;&gt;"OK","",$D125*N(INDEX('Menu Pricing'!$F$7:$F$56,$O125)))</f>
        <v/>
      </c>
      <c r="N125" s="80">
        <f>IF(AND($B125="",$C125="",$D125=""),"",IF(NOT(ISNUMBER($B125)),"Enter a valid date",IF($C125="","Pick a menu item",IF($O125="","Item not on Menu Pricing",IF(N($D125)&lt;=0,"Qty must be above 0",IF($H125="","No price on menu","OK"))))))</f>
        <v/>
      </c>
      <c r="O125" s="13">
        <f>IF($C125="","",IFERROR(MATCH($C125,'Menu Pricing'!$B$7:$B$56,0),""))</f>
        <v/>
      </c>
    </row>
    <row r="126" ht="17" customHeight="1">
      <c r="B126" s="66" t="n"/>
      <c r="C126" s="60" t="n"/>
      <c r="D126" s="86" t="n"/>
      <c r="E126" s="63" t="n"/>
      <c r="F126" s="60" t="n"/>
      <c r="G126" s="60" t="n"/>
      <c r="H126" s="71">
        <f>IF(OR($C126="",$D126=""),"",IF(ISNUMBER($E126),$E126,IF($O126="","",IF(N(INDEX('Menu Pricing'!$O$7:$O$56,$O126))&gt;0,INDEX('Menu Pricing'!$O$7:$O$56,$O126),""))))</f>
        <v/>
      </c>
      <c r="I126" s="71">
        <f>IF($N126&lt;&gt;"OK","",$D126*$H126)</f>
        <v/>
      </c>
      <c r="J126" s="71">
        <f>IF($N126&lt;&gt;"OK","",N(INDEX('Menu Pricing'!$F$7:$F$56,$O126))+N(INDEX('Menu Pricing'!$G$7:$G$56,$O126))+N(INDEX('Menu Pricing'!$J$7:$J$56,$O126)))</f>
        <v/>
      </c>
      <c r="K126" s="71">
        <f>IF($N126&lt;&gt;"OK","",$D126*$J126)</f>
        <v/>
      </c>
      <c r="L126" s="71">
        <f>IF($N126&lt;&gt;"OK","",$I126-$K126)</f>
        <v/>
      </c>
      <c r="M126" s="71">
        <f>IF($N126&lt;&gt;"OK","",$D126*N(INDEX('Menu Pricing'!$F$7:$F$56,$O126)))</f>
        <v/>
      </c>
      <c r="N126" s="80">
        <f>IF(AND($B126="",$C126="",$D126=""),"",IF(NOT(ISNUMBER($B126)),"Enter a valid date",IF($C126="","Pick a menu item",IF($O126="","Item not on Menu Pricing",IF(N($D126)&lt;=0,"Qty must be above 0",IF($H126="","No price on menu","OK"))))))</f>
        <v/>
      </c>
      <c r="O126" s="13">
        <f>IF($C126="","",IFERROR(MATCH($C126,'Menu Pricing'!$B$7:$B$56,0),""))</f>
        <v/>
      </c>
    </row>
    <row r="127" ht="17" customHeight="1">
      <c r="B127" s="66" t="n"/>
      <c r="C127" s="60" t="n"/>
      <c r="D127" s="86" t="n"/>
      <c r="E127" s="63" t="n"/>
      <c r="F127" s="60" t="n"/>
      <c r="G127" s="60" t="n"/>
      <c r="H127" s="71">
        <f>IF(OR($C127="",$D127=""),"",IF(ISNUMBER($E127),$E127,IF($O127="","",IF(N(INDEX('Menu Pricing'!$O$7:$O$56,$O127))&gt;0,INDEX('Menu Pricing'!$O$7:$O$56,$O127),""))))</f>
        <v/>
      </c>
      <c r="I127" s="71">
        <f>IF($N127&lt;&gt;"OK","",$D127*$H127)</f>
        <v/>
      </c>
      <c r="J127" s="71">
        <f>IF($N127&lt;&gt;"OK","",N(INDEX('Menu Pricing'!$F$7:$F$56,$O127))+N(INDEX('Menu Pricing'!$G$7:$G$56,$O127))+N(INDEX('Menu Pricing'!$J$7:$J$56,$O127)))</f>
        <v/>
      </c>
      <c r="K127" s="71">
        <f>IF($N127&lt;&gt;"OK","",$D127*$J127)</f>
        <v/>
      </c>
      <c r="L127" s="71">
        <f>IF($N127&lt;&gt;"OK","",$I127-$K127)</f>
        <v/>
      </c>
      <c r="M127" s="71">
        <f>IF($N127&lt;&gt;"OK","",$D127*N(INDEX('Menu Pricing'!$F$7:$F$56,$O127)))</f>
        <v/>
      </c>
      <c r="N127" s="80">
        <f>IF(AND($B127="",$C127="",$D127=""),"",IF(NOT(ISNUMBER($B127)),"Enter a valid date",IF($C127="","Pick a menu item",IF($O127="","Item not on Menu Pricing",IF(N($D127)&lt;=0,"Qty must be above 0",IF($H127="","No price on menu","OK"))))))</f>
        <v/>
      </c>
      <c r="O127" s="13">
        <f>IF($C127="","",IFERROR(MATCH($C127,'Menu Pricing'!$B$7:$B$56,0),""))</f>
        <v/>
      </c>
    </row>
    <row r="128" ht="17" customHeight="1">
      <c r="B128" s="66" t="n"/>
      <c r="C128" s="60" t="n"/>
      <c r="D128" s="86" t="n"/>
      <c r="E128" s="63" t="n"/>
      <c r="F128" s="60" t="n"/>
      <c r="G128" s="60" t="n"/>
      <c r="H128" s="71">
        <f>IF(OR($C128="",$D128=""),"",IF(ISNUMBER($E128),$E128,IF($O128="","",IF(N(INDEX('Menu Pricing'!$O$7:$O$56,$O128))&gt;0,INDEX('Menu Pricing'!$O$7:$O$56,$O128),""))))</f>
        <v/>
      </c>
      <c r="I128" s="71">
        <f>IF($N128&lt;&gt;"OK","",$D128*$H128)</f>
        <v/>
      </c>
      <c r="J128" s="71">
        <f>IF($N128&lt;&gt;"OK","",N(INDEX('Menu Pricing'!$F$7:$F$56,$O128))+N(INDEX('Menu Pricing'!$G$7:$G$56,$O128))+N(INDEX('Menu Pricing'!$J$7:$J$56,$O128)))</f>
        <v/>
      </c>
      <c r="K128" s="71">
        <f>IF($N128&lt;&gt;"OK","",$D128*$J128)</f>
        <v/>
      </c>
      <c r="L128" s="71">
        <f>IF($N128&lt;&gt;"OK","",$I128-$K128)</f>
        <v/>
      </c>
      <c r="M128" s="71">
        <f>IF($N128&lt;&gt;"OK","",$D128*N(INDEX('Menu Pricing'!$F$7:$F$56,$O128)))</f>
        <v/>
      </c>
      <c r="N128" s="80">
        <f>IF(AND($B128="",$C128="",$D128=""),"",IF(NOT(ISNUMBER($B128)),"Enter a valid date",IF($C128="","Pick a menu item",IF($O128="","Item not on Menu Pricing",IF(N($D128)&lt;=0,"Qty must be above 0",IF($H128="","No price on menu","OK"))))))</f>
        <v/>
      </c>
      <c r="O128" s="13">
        <f>IF($C128="","",IFERROR(MATCH($C128,'Menu Pricing'!$B$7:$B$56,0),""))</f>
        <v/>
      </c>
    </row>
    <row r="129" ht="17" customHeight="1">
      <c r="B129" s="66" t="n"/>
      <c r="C129" s="60" t="n"/>
      <c r="D129" s="86" t="n"/>
      <c r="E129" s="63" t="n"/>
      <c r="F129" s="60" t="n"/>
      <c r="G129" s="60" t="n"/>
      <c r="H129" s="71">
        <f>IF(OR($C129="",$D129=""),"",IF(ISNUMBER($E129),$E129,IF($O129="","",IF(N(INDEX('Menu Pricing'!$O$7:$O$56,$O129))&gt;0,INDEX('Menu Pricing'!$O$7:$O$56,$O129),""))))</f>
        <v/>
      </c>
      <c r="I129" s="71">
        <f>IF($N129&lt;&gt;"OK","",$D129*$H129)</f>
        <v/>
      </c>
      <c r="J129" s="71">
        <f>IF($N129&lt;&gt;"OK","",N(INDEX('Menu Pricing'!$F$7:$F$56,$O129))+N(INDEX('Menu Pricing'!$G$7:$G$56,$O129))+N(INDEX('Menu Pricing'!$J$7:$J$56,$O129)))</f>
        <v/>
      </c>
      <c r="K129" s="71">
        <f>IF($N129&lt;&gt;"OK","",$D129*$J129)</f>
        <v/>
      </c>
      <c r="L129" s="71">
        <f>IF($N129&lt;&gt;"OK","",$I129-$K129)</f>
        <v/>
      </c>
      <c r="M129" s="71">
        <f>IF($N129&lt;&gt;"OK","",$D129*N(INDEX('Menu Pricing'!$F$7:$F$56,$O129)))</f>
        <v/>
      </c>
      <c r="N129" s="80">
        <f>IF(AND($B129="",$C129="",$D129=""),"",IF(NOT(ISNUMBER($B129)),"Enter a valid date",IF($C129="","Pick a menu item",IF($O129="","Item not on Menu Pricing",IF(N($D129)&lt;=0,"Qty must be above 0",IF($H129="","No price on menu","OK"))))))</f>
        <v/>
      </c>
      <c r="O129" s="13">
        <f>IF($C129="","",IFERROR(MATCH($C129,'Menu Pricing'!$B$7:$B$56,0),""))</f>
        <v/>
      </c>
    </row>
    <row r="130" ht="17" customHeight="1">
      <c r="B130" s="66" t="n"/>
      <c r="C130" s="60" t="n"/>
      <c r="D130" s="86" t="n"/>
      <c r="E130" s="63" t="n"/>
      <c r="F130" s="60" t="n"/>
      <c r="G130" s="60" t="n"/>
      <c r="H130" s="71">
        <f>IF(OR($C130="",$D130=""),"",IF(ISNUMBER($E130),$E130,IF($O130="","",IF(N(INDEX('Menu Pricing'!$O$7:$O$56,$O130))&gt;0,INDEX('Menu Pricing'!$O$7:$O$56,$O130),""))))</f>
        <v/>
      </c>
      <c r="I130" s="71">
        <f>IF($N130&lt;&gt;"OK","",$D130*$H130)</f>
        <v/>
      </c>
      <c r="J130" s="71">
        <f>IF($N130&lt;&gt;"OK","",N(INDEX('Menu Pricing'!$F$7:$F$56,$O130))+N(INDEX('Menu Pricing'!$G$7:$G$56,$O130))+N(INDEX('Menu Pricing'!$J$7:$J$56,$O130)))</f>
        <v/>
      </c>
      <c r="K130" s="71">
        <f>IF($N130&lt;&gt;"OK","",$D130*$J130)</f>
        <v/>
      </c>
      <c r="L130" s="71">
        <f>IF($N130&lt;&gt;"OK","",$I130-$K130)</f>
        <v/>
      </c>
      <c r="M130" s="71">
        <f>IF($N130&lt;&gt;"OK","",$D130*N(INDEX('Menu Pricing'!$F$7:$F$56,$O130)))</f>
        <v/>
      </c>
      <c r="N130" s="80">
        <f>IF(AND($B130="",$C130="",$D130=""),"",IF(NOT(ISNUMBER($B130)),"Enter a valid date",IF($C130="","Pick a menu item",IF($O130="","Item not on Menu Pricing",IF(N($D130)&lt;=0,"Qty must be above 0",IF($H130="","No price on menu","OK"))))))</f>
        <v/>
      </c>
      <c r="O130" s="13">
        <f>IF($C130="","",IFERROR(MATCH($C130,'Menu Pricing'!$B$7:$B$56,0),""))</f>
        <v/>
      </c>
    </row>
    <row r="131" ht="17" customHeight="1">
      <c r="B131" s="66" t="n"/>
      <c r="C131" s="60" t="n"/>
      <c r="D131" s="86" t="n"/>
      <c r="E131" s="63" t="n"/>
      <c r="F131" s="60" t="n"/>
      <c r="G131" s="60" t="n"/>
      <c r="H131" s="71">
        <f>IF(OR($C131="",$D131=""),"",IF(ISNUMBER($E131),$E131,IF($O131="","",IF(N(INDEX('Menu Pricing'!$O$7:$O$56,$O131))&gt;0,INDEX('Menu Pricing'!$O$7:$O$56,$O131),""))))</f>
        <v/>
      </c>
      <c r="I131" s="71">
        <f>IF($N131&lt;&gt;"OK","",$D131*$H131)</f>
        <v/>
      </c>
      <c r="J131" s="71">
        <f>IF($N131&lt;&gt;"OK","",N(INDEX('Menu Pricing'!$F$7:$F$56,$O131))+N(INDEX('Menu Pricing'!$G$7:$G$56,$O131))+N(INDEX('Menu Pricing'!$J$7:$J$56,$O131)))</f>
        <v/>
      </c>
      <c r="K131" s="71">
        <f>IF($N131&lt;&gt;"OK","",$D131*$J131)</f>
        <v/>
      </c>
      <c r="L131" s="71">
        <f>IF($N131&lt;&gt;"OK","",$I131-$K131)</f>
        <v/>
      </c>
      <c r="M131" s="71">
        <f>IF($N131&lt;&gt;"OK","",$D131*N(INDEX('Menu Pricing'!$F$7:$F$56,$O131)))</f>
        <v/>
      </c>
      <c r="N131" s="80">
        <f>IF(AND($B131="",$C131="",$D131=""),"",IF(NOT(ISNUMBER($B131)),"Enter a valid date",IF($C131="","Pick a menu item",IF($O131="","Item not on Menu Pricing",IF(N($D131)&lt;=0,"Qty must be above 0",IF($H131="","No price on menu","OK"))))))</f>
        <v/>
      </c>
      <c r="O131" s="13">
        <f>IF($C131="","",IFERROR(MATCH($C131,'Menu Pricing'!$B$7:$B$56,0),""))</f>
        <v/>
      </c>
    </row>
    <row r="132" ht="17" customHeight="1">
      <c r="B132" s="66" t="n"/>
      <c r="C132" s="60" t="n"/>
      <c r="D132" s="86" t="n"/>
      <c r="E132" s="63" t="n"/>
      <c r="F132" s="60" t="n"/>
      <c r="G132" s="60" t="n"/>
      <c r="H132" s="71">
        <f>IF(OR($C132="",$D132=""),"",IF(ISNUMBER($E132),$E132,IF($O132="","",IF(N(INDEX('Menu Pricing'!$O$7:$O$56,$O132))&gt;0,INDEX('Menu Pricing'!$O$7:$O$56,$O132),""))))</f>
        <v/>
      </c>
      <c r="I132" s="71">
        <f>IF($N132&lt;&gt;"OK","",$D132*$H132)</f>
        <v/>
      </c>
      <c r="J132" s="71">
        <f>IF($N132&lt;&gt;"OK","",N(INDEX('Menu Pricing'!$F$7:$F$56,$O132))+N(INDEX('Menu Pricing'!$G$7:$G$56,$O132))+N(INDEX('Menu Pricing'!$J$7:$J$56,$O132)))</f>
        <v/>
      </c>
      <c r="K132" s="71">
        <f>IF($N132&lt;&gt;"OK","",$D132*$J132)</f>
        <v/>
      </c>
      <c r="L132" s="71">
        <f>IF($N132&lt;&gt;"OK","",$I132-$K132)</f>
        <v/>
      </c>
      <c r="M132" s="71">
        <f>IF($N132&lt;&gt;"OK","",$D132*N(INDEX('Menu Pricing'!$F$7:$F$56,$O132)))</f>
        <v/>
      </c>
      <c r="N132" s="80">
        <f>IF(AND($B132="",$C132="",$D132=""),"",IF(NOT(ISNUMBER($B132)),"Enter a valid date",IF($C132="","Pick a menu item",IF($O132="","Item not on Menu Pricing",IF(N($D132)&lt;=0,"Qty must be above 0",IF($H132="","No price on menu","OK"))))))</f>
        <v/>
      </c>
      <c r="O132" s="13">
        <f>IF($C132="","",IFERROR(MATCH($C132,'Menu Pricing'!$B$7:$B$56,0),""))</f>
        <v/>
      </c>
    </row>
    <row r="133" ht="17" customHeight="1">
      <c r="B133" s="66" t="n"/>
      <c r="C133" s="60" t="n"/>
      <c r="D133" s="86" t="n"/>
      <c r="E133" s="63" t="n"/>
      <c r="F133" s="60" t="n"/>
      <c r="G133" s="60" t="n"/>
      <c r="H133" s="71">
        <f>IF(OR($C133="",$D133=""),"",IF(ISNUMBER($E133),$E133,IF($O133="","",IF(N(INDEX('Menu Pricing'!$O$7:$O$56,$O133))&gt;0,INDEX('Menu Pricing'!$O$7:$O$56,$O133),""))))</f>
        <v/>
      </c>
      <c r="I133" s="71">
        <f>IF($N133&lt;&gt;"OK","",$D133*$H133)</f>
        <v/>
      </c>
      <c r="J133" s="71">
        <f>IF($N133&lt;&gt;"OK","",N(INDEX('Menu Pricing'!$F$7:$F$56,$O133))+N(INDEX('Menu Pricing'!$G$7:$G$56,$O133))+N(INDEX('Menu Pricing'!$J$7:$J$56,$O133)))</f>
        <v/>
      </c>
      <c r="K133" s="71">
        <f>IF($N133&lt;&gt;"OK","",$D133*$J133)</f>
        <v/>
      </c>
      <c r="L133" s="71">
        <f>IF($N133&lt;&gt;"OK","",$I133-$K133)</f>
        <v/>
      </c>
      <c r="M133" s="71">
        <f>IF($N133&lt;&gt;"OK","",$D133*N(INDEX('Menu Pricing'!$F$7:$F$56,$O133)))</f>
        <v/>
      </c>
      <c r="N133" s="80">
        <f>IF(AND($B133="",$C133="",$D133=""),"",IF(NOT(ISNUMBER($B133)),"Enter a valid date",IF($C133="","Pick a menu item",IF($O133="","Item not on Menu Pricing",IF(N($D133)&lt;=0,"Qty must be above 0",IF($H133="","No price on menu","OK"))))))</f>
        <v/>
      </c>
      <c r="O133" s="13">
        <f>IF($C133="","",IFERROR(MATCH($C133,'Menu Pricing'!$B$7:$B$56,0),""))</f>
        <v/>
      </c>
    </row>
    <row r="134" ht="17" customHeight="1">
      <c r="B134" s="66" t="n"/>
      <c r="C134" s="60" t="n"/>
      <c r="D134" s="86" t="n"/>
      <c r="E134" s="63" t="n"/>
      <c r="F134" s="60" t="n"/>
      <c r="G134" s="60" t="n"/>
      <c r="H134" s="71">
        <f>IF(OR($C134="",$D134=""),"",IF(ISNUMBER($E134),$E134,IF($O134="","",IF(N(INDEX('Menu Pricing'!$O$7:$O$56,$O134))&gt;0,INDEX('Menu Pricing'!$O$7:$O$56,$O134),""))))</f>
        <v/>
      </c>
      <c r="I134" s="71">
        <f>IF($N134&lt;&gt;"OK","",$D134*$H134)</f>
        <v/>
      </c>
      <c r="J134" s="71">
        <f>IF($N134&lt;&gt;"OK","",N(INDEX('Menu Pricing'!$F$7:$F$56,$O134))+N(INDEX('Menu Pricing'!$G$7:$G$56,$O134))+N(INDEX('Menu Pricing'!$J$7:$J$56,$O134)))</f>
        <v/>
      </c>
      <c r="K134" s="71">
        <f>IF($N134&lt;&gt;"OK","",$D134*$J134)</f>
        <v/>
      </c>
      <c r="L134" s="71">
        <f>IF($N134&lt;&gt;"OK","",$I134-$K134)</f>
        <v/>
      </c>
      <c r="M134" s="71">
        <f>IF($N134&lt;&gt;"OK","",$D134*N(INDEX('Menu Pricing'!$F$7:$F$56,$O134)))</f>
        <v/>
      </c>
      <c r="N134" s="80">
        <f>IF(AND($B134="",$C134="",$D134=""),"",IF(NOT(ISNUMBER($B134)),"Enter a valid date",IF($C134="","Pick a menu item",IF($O134="","Item not on Menu Pricing",IF(N($D134)&lt;=0,"Qty must be above 0",IF($H134="","No price on menu","OK"))))))</f>
        <v/>
      </c>
      <c r="O134" s="13">
        <f>IF($C134="","",IFERROR(MATCH($C134,'Menu Pricing'!$B$7:$B$56,0),""))</f>
        <v/>
      </c>
    </row>
    <row r="135" ht="17" customHeight="1">
      <c r="B135" s="66" t="n"/>
      <c r="C135" s="60" t="n"/>
      <c r="D135" s="86" t="n"/>
      <c r="E135" s="63" t="n"/>
      <c r="F135" s="60" t="n"/>
      <c r="G135" s="60" t="n"/>
      <c r="H135" s="71">
        <f>IF(OR($C135="",$D135=""),"",IF(ISNUMBER($E135),$E135,IF($O135="","",IF(N(INDEX('Menu Pricing'!$O$7:$O$56,$O135))&gt;0,INDEX('Menu Pricing'!$O$7:$O$56,$O135),""))))</f>
        <v/>
      </c>
      <c r="I135" s="71">
        <f>IF($N135&lt;&gt;"OK","",$D135*$H135)</f>
        <v/>
      </c>
      <c r="J135" s="71">
        <f>IF($N135&lt;&gt;"OK","",N(INDEX('Menu Pricing'!$F$7:$F$56,$O135))+N(INDEX('Menu Pricing'!$G$7:$G$56,$O135))+N(INDEX('Menu Pricing'!$J$7:$J$56,$O135)))</f>
        <v/>
      </c>
      <c r="K135" s="71">
        <f>IF($N135&lt;&gt;"OK","",$D135*$J135)</f>
        <v/>
      </c>
      <c r="L135" s="71">
        <f>IF($N135&lt;&gt;"OK","",$I135-$K135)</f>
        <v/>
      </c>
      <c r="M135" s="71">
        <f>IF($N135&lt;&gt;"OK","",$D135*N(INDEX('Menu Pricing'!$F$7:$F$56,$O135)))</f>
        <v/>
      </c>
      <c r="N135" s="80">
        <f>IF(AND($B135="",$C135="",$D135=""),"",IF(NOT(ISNUMBER($B135)),"Enter a valid date",IF($C135="","Pick a menu item",IF($O135="","Item not on Menu Pricing",IF(N($D135)&lt;=0,"Qty must be above 0",IF($H135="","No price on menu","OK"))))))</f>
        <v/>
      </c>
      <c r="O135" s="13">
        <f>IF($C135="","",IFERROR(MATCH($C135,'Menu Pricing'!$B$7:$B$56,0),""))</f>
        <v/>
      </c>
    </row>
    <row r="136" ht="17" customHeight="1">
      <c r="B136" s="66" t="n"/>
      <c r="C136" s="60" t="n"/>
      <c r="D136" s="86" t="n"/>
      <c r="E136" s="63" t="n"/>
      <c r="F136" s="60" t="n"/>
      <c r="G136" s="60" t="n"/>
      <c r="H136" s="71">
        <f>IF(OR($C136="",$D136=""),"",IF(ISNUMBER($E136),$E136,IF($O136="","",IF(N(INDEX('Menu Pricing'!$O$7:$O$56,$O136))&gt;0,INDEX('Menu Pricing'!$O$7:$O$56,$O136),""))))</f>
        <v/>
      </c>
      <c r="I136" s="71">
        <f>IF($N136&lt;&gt;"OK","",$D136*$H136)</f>
        <v/>
      </c>
      <c r="J136" s="71">
        <f>IF($N136&lt;&gt;"OK","",N(INDEX('Menu Pricing'!$F$7:$F$56,$O136))+N(INDEX('Menu Pricing'!$G$7:$G$56,$O136))+N(INDEX('Menu Pricing'!$J$7:$J$56,$O136)))</f>
        <v/>
      </c>
      <c r="K136" s="71">
        <f>IF($N136&lt;&gt;"OK","",$D136*$J136)</f>
        <v/>
      </c>
      <c r="L136" s="71">
        <f>IF($N136&lt;&gt;"OK","",$I136-$K136)</f>
        <v/>
      </c>
      <c r="M136" s="71">
        <f>IF($N136&lt;&gt;"OK","",$D136*N(INDEX('Menu Pricing'!$F$7:$F$56,$O136)))</f>
        <v/>
      </c>
      <c r="N136" s="80">
        <f>IF(AND($B136="",$C136="",$D136=""),"",IF(NOT(ISNUMBER($B136)),"Enter a valid date",IF($C136="","Pick a menu item",IF($O136="","Item not on Menu Pricing",IF(N($D136)&lt;=0,"Qty must be above 0",IF($H136="","No price on menu","OK"))))))</f>
        <v/>
      </c>
      <c r="O136" s="13">
        <f>IF($C136="","",IFERROR(MATCH($C136,'Menu Pricing'!$B$7:$B$56,0),""))</f>
        <v/>
      </c>
    </row>
    <row r="137" ht="17" customHeight="1">
      <c r="B137" s="66" t="n"/>
      <c r="C137" s="60" t="n"/>
      <c r="D137" s="86" t="n"/>
      <c r="E137" s="63" t="n"/>
      <c r="F137" s="60" t="n"/>
      <c r="G137" s="60" t="n"/>
      <c r="H137" s="71">
        <f>IF(OR($C137="",$D137=""),"",IF(ISNUMBER($E137),$E137,IF($O137="","",IF(N(INDEX('Menu Pricing'!$O$7:$O$56,$O137))&gt;0,INDEX('Menu Pricing'!$O$7:$O$56,$O137),""))))</f>
        <v/>
      </c>
      <c r="I137" s="71">
        <f>IF($N137&lt;&gt;"OK","",$D137*$H137)</f>
        <v/>
      </c>
      <c r="J137" s="71">
        <f>IF($N137&lt;&gt;"OK","",N(INDEX('Menu Pricing'!$F$7:$F$56,$O137))+N(INDEX('Menu Pricing'!$G$7:$G$56,$O137))+N(INDEX('Menu Pricing'!$J$7:$J$56,$O137)))</f>
        <v/>
      </c>
      <c r="K137" s="71">
        <f>IF($N137&lt;&gt;"OK","",$D137*$J137)</f>
        <v/>
      </c>
      <c r="L137" s="71">
        <f>IF($N137&lt;&gt;"OK","",$I137-$K137)</f>
        <v/>
      </c>
      <c r="M137" s="71">
        <f>IF($N137&lt;&gt;"OK","",$D137*N(INDEX('Menu Pricing'!$F$7:$F$56,$O137)))</f>
        <v/>
      </c>
      <c r="N137" s="80">
        <f>IF(AND($B137="",$C137="",$D137=""),"",IF(NOT(ISNUMBER($B137)),"Enter a valid date",IF($C137="","Pick a menu item",IF($O137="","Item not on Menu Pricing",IF(N($D137)&lt;=0,"Qty must be above 0",IF($H137="","No price on menu","OK"))))))</f>
        <v/>
      </c>
      <c r="O137" s="13">
        <f>IF($C137="","",IFERROR(MATCH($C137,'Menu Pricing'!$B$7:$B$56,0),""))</f>
        <v/>
      </c>
    </row>
    <row r="138" ht="17" customHeight="1">
      <c r="B138" s="66" t="n"/>
      <c r="C138" s="60" t="n"/>
      <c r="D138" s="86" t="n"/>
      <c r="E138" s="63" t="n"/>
      <c r="F138" s="60" t="n"/>
      <c r="G138" s="60" t="n"/>
      <c r="H138" s="71">
        <f>IF(OR($C138="",$D138=""),"",IF(ISNUMBER($E138),$E138,IF($O138="","",IF(N(INDEX('Menu Pricing'!$O$7:$O$56,$O138))&gt;0,INDEX('Menu Pricing'!$O$7:$O$56,$O138),""))))</f>
        <v/>
      </c>
      <c r="I138" s="71">
        <f>IF($N138&lt;&gt;"OK","",$D138*$H138)</f>
        <v/>
      </c>
      <c r="J138" s="71">
        <f>IF($N138&lt;&gt;"OK","",N(INDEX('Menu Pricing'!$F$7:$F$56,$O138))+N(INDEX('Menu Pricing'!$G$7:$G$56,$O138))+N(INDEX('Menu Pricing'!$J$7:$J$56,$O138)))</f>
        <v/>
      </c>
      <c r="K138" s="71">
        <f>IF($N138&lt;&gt;"OK","",$D138*$J138)</f>
        <v/>
      </c>
      <c r="L138" s="71">
        <f>IF($N138&lt;&gt;"OK","",$I138-$K138)</f>
        <v/>
      </c>
      <c r="M138" s="71">
        <f>IF($N138&lt;&gt;"OK","",$D138*N(INDEX('Menu Pricing'!$F$7:$F$56,$O138)))</f>
        <v/>
      </c>
      <c r="N138" s="80">
        <f>IF(AND($B138="",$C138="",$D138=""),"",IF(NOT(ISNUMBER($B138)),"Enter a valid date",IF($C138="","Pick a menu item",IF($O138="","Item not on Menu Pricing",IF(N($D138)&lt;=0,"Qty must be above 0",IF($H138="","No price on menu","OK"))))))</f>
        <v/>
      </c>
      <c r="O138" s="13">
        <f>IF($C138="","",IFERROR(MATCH($C138,'Menu Pricing'!$B$7:$B$56,0),""))</f>
        <v/>
      </c>
    </row>
    <row r="139" ht="17" customHeight="1">
      <c r="B139" s="66" t="n"/>
      <c r="C139" s="60" t="n"/>
      <c r="D139" s="86" t="n"/>
      <c r="E139" s="63" t="n"/>
      <c r="F139" s="60" t="n"/>
      <c r="G139" s="60" t="n"/>
      <c r="H139" s="71">
        <f>IF(OR($C139="",$D139=""),"",IF(ISNUMBER($E139),$E139,IF($O139="","",IF(N(INDEX('Menu Pricing'!$O$7:$O$56,$O139))&gt;0,INDEX('Menu Pricing'!$O$7:$O$56,$O139),""))))</f>
        <v/>
      </c>
      <c r="I139" s="71">
        <f>IF($N139&lt;&gt;"OK","",$D139*$H139)</f>
        <v/>
      </c>
      <c r="J139" s="71">
        <f>IF($N139&lt;&gt;"OK","",N(INDEX('Menu Pricing'!$F$7:$F$56,$O139))+N(INDEX('Menu Pricing'!$G$7:$G$56,$O139))+N(INDEX('Menu Pricing'!$J$7:$J$56,$O139)))</f>
        <v/>
      </c>
      <c r="K139" s="71">
        <f>IF($N139&lt;&gt;"OK","",$D139*$J139)</f>
        <v/>
      </c>
      <c r="L139" s="71">
        <f>IF($N139&lt;&gt;"OK","",$I139-$K139)</f>
        <v/>
      </c>
      <c r="M139" s="71">
        <f>IF($N139&lt;&gt;"OK","",$D139*N(INDEX('Menu Pricing'!$F$7:$F$56,$O139)))</f>
        <v/>
      </c>
      <c r="N139" s="80">
        <f>IF(AND($B139="",$C139="",$D139=""),"",IF(NOT(ISNUMBER($B139)),"Enter a valid date",IF($C139="","Pick a menu item",IF($O139="","Item not on Menu Pricing",IF(N($D139)&lt;=0,"Qty must be above 0",IF($H139="","No price on menu","OK"))))))</f>
        <v/>
      </c>
      <c r="O139" s="13">
        <f>IF($C139="","",IFERROR(MATCH($C139,'Menu Pricing'!$B$7:$B$56,0),""))</f>
        <v/>
      </c>
    </row>
    <row r="140" ht="17" customHeight="1">
      <c r="B140" s="66" t="n"/>
      <c r="C140" s="60" t="n"/>
      <c r="D140" s="86" t="n"/>
      <c r="E140" s="63" t="n"/>
      <c r="F140" s="60" t="n"/>
      <c r="G140" s="60" t="n"/>
      <c r="H140" s="71">
        <f>IF(OR($C140="",$D140=""),"",IF(ISNUMBER($E140),$E140,IF($O140="","",IF(N(INDEX('Menu Pricing'!$O$7:$O$56,$O140))&gt;0,INDEX('Menu Pricing'!$O$7:$O$56,$O140),""))))</f>
        <v/>
      </c>
      <c r="I140" s="71">
        <f>IF($N140&lt;&gt;"OK","",$D140*$H140)</f>
        <v/>
      </c>
      <c r="J140" s="71">
        <f>IF($N140&lt;&gt;"OK","",N(INDEX('Menu Pricing'!$F$7:$F$56,$O140))+N(INDEX('Menu Pricing'!$G$7:$G$56,$O140))+N(INDEX('Menu Pricing'!$J$7:$J$56,$O140)))</f>
        <v/>
      </c>
      <c r="K140" s="71">
        <f>IF($N140&lt;&gt;"OK","",$D140*$J140)</f>
        <v/>
      </c>
      <c r="L140" s="71">
        <f>IF($N140&lt;&gt;"OK","",$I140-$K140)</f>
        <v/>
      </c>
      <c r="M140" s="71">
        <f>IF($N140&lt;&gt;"OK","",$D140*N(INDEX('Menu Pricing'!$F$7:$F$56,$O140)))</f>
        <v/>
      </c>
      <c r="N140" s="80">
        <f>IF(AND($B140="",$C140="",$D140=""),"",IF(NOT(ISNUMBER($B140)),"Enter a valid date",IF($C140="","Pick a menu item",IF($O140="","Item not on Menu Pricing",IF(N($D140)&lt;=0,"Qty must be above 0",IF($H140="","No price on menu","OK"))))))</f>
        <v/>
      </c>
      <c r="O140" s="13">
        <f>IF($C140="","",IFERROR(MATCH($C140,'Menu Pricing'!$B$7:$B$56,0),""))</f>
        <v/>
      </c>
    </row>
    <row r="141" ht="17" customHeight="1">
      <c r="B141" s="66" t="n"/>
      <c r="C141" s="60" t="n"/>
      <c r="D141" s="86" t="n"/>
      <c r="E141" s="63" t="n"/>
      <c r="F141" s="60" t="n"/>
      <c r="G141" s="60" t="n"/>
      <c r="H141" s="71">
        <f>IF(OR($C141="",$D141=""),"",IF(ISNUMBER($E141),$E141,IF($O141="","",IF(N(INDEX('Menu Pricing'!$O$7:$O$56,$O141))&gt;0,INDEX('Menu Pricing'!$O$7:$O$56,$O141),""))))</f>
        <v/>
      </c>
      <c r="I141" s="71">
        <f>IF($N141&lt;&gt;"OK","",$D141*$H141)</f>
        <v/>
      </c>
      <c r="J141" s="71">
        <f>IF($N141&lt;&gt;"OK","",N(INDEX('Menu Pricing'!$F$7:$F$56,$O141))+N(INDEX('Menu Pricing'!$G$7:$G$56,$O141))+N(INDEX('Menu Pricing'!$J$7:$J$56,$O141)))</f>
        <v/>
      </c>
      <c r="K141" s="71">
        <f>IF($N141&lt;&gt;"OK","",$D141*$J141)</f>
        <v/>
      </c>
      <c r="L141" s="71">
        <f>IF($N141&lt;&gt;"OK","",$I141-$K141)</f>
        <v/>
      </c>
      <c r="M141" s="71">
        <f>IF($N141&lt;&gt;"OK","",$D141*N(INDEX('Menu Pricing'!$F$7:$F$56,$O141)))</f>
        <v/>
      </c>
      <c r="N141" s="80">
        <f>IF(AND($B141="",$C141="",$D141=""),"",IF(NOT(ISNUMBER($B141)),"Enter a valid date",IF($C141="","Pick a menu item",IF($O141="","Item not on Menu Pricing",IF(N($D141)&lt;=0,"Qty must be above 0",IF($H141="","No price on menu","OK"))))))</f>
        <v/>
      </c>
      <c r="O141" s="13">
        <f>IF($C141="","",IFERROR(MATCH($C141,'Menu Pricing'!$B$7:$B$56,0),""))</f>
        <v/>
      </c>
    </row>
    <row r="142" ht="17" customHeight="1">
      <c r="B142" s="66" t="n"/>
      <c r="C142" s="60" t="n"/>
      <c r="D142" s="86" t="n"/>
      <c r="E142" s="63" t="n"/>
      <c r="F142" s="60" t="n"/>
      <c r="G142" s="60" t="n"/>
      <c r="H142" s="71">
        <f>IF(OR($C142="",$D142=""),"",IF(ISNUMBER($E142),$E142,IF($O142="","",IF(N(INDEX('Menu Pricing'!$O$7:$O$56,$O142))&gt;0,INDEX('Menu Pricing'!$O$7:$O$56,$O142),""))))</f>
        <v/>
      </c>
      <c r="I142" s="71">
        <f>IF($N142&lt;&gt;"OK","",$D142*$H142)</f>
        <v/>
      </c>
      <c r="J142" s="71">
        <f>IF($N142&lt;&gt;"OK","",N(INDEX('Menu Pricing'!$F$7:$F$56,$O142))+N(INDEX('Menu Pricing'!$G$7:$G$56,$O142))+N(INDEX('Menu Pricing'!$J$7:$J$56,$O142)))</f>
        <v/>
      </c>
      <c r="K142" s="71">
        <f>IF($N142&lt;&gt;"OK","",$D142*$J142)</f>
        <v/>
      </c>
      <c r="L142" s="71">
        <f>IF($N142&lt;&gt;"OK","",$I142-$K142)</f>
        <v/>
      </c>
      <c r="M142" s="71">
        <f>IF($N142&lt;&gt;"OK","",$D142*N(INDEX('Menu Pricing'!$F$7:$F$56,$O142)))</f>
        <v/>
      </c>
      <c r="N142" s="80">
        <f>IF(AND($B142="",$C142="",$D142=""),"",IF(NOT(ISNUMBER($B142)),"Enter a valid date",IF($C142="","Pick a menu item",IF($O142="","Item not on Menu Pricing",IF(N($D142)&lt;=0,"Qty must be above 0",IF($H142="","No price on menu","OK"))))))</f>
        <v/>
      </c>
      <c r="O142" s="13">
        <f>IF($C142="","",IFERROR(MATCH($C142,'Menu Pricing'!$B$7:$B$56,0),""))</f>
        <v/>
      </c>
    </row>
    <row r="143" ht="17" customHeight="1">
      <c r="B143" s="66" t="n"/>
      <c r="C143" s="60" t="n"/>
      <c r="D143" s="86" t="n"/>
      <c r="E143" s="63" t="n"/>
      <c r="F143" s="60" t="n"/>
      <c r="G143" s="60" t="n"/>
      <c r="H143" s="71">
        <f>IF(OR($C143="",$D143=""),"",IF(ISNUMBER($E143),$E143,IF($O143="","",IF(N(INDEX('Menu Pricing'!$O$7:$O$56,$O143))&gt;0,INDEX('Menu Pricing'!$O$7:$O$56,$O143),""))))</f>
        <v/>
      </c>
      <c r="I143" s="71">
        <f>IF($N143&lt;&gt;"OK","",$D143*$H143)</f>
        <v/>
      </c>
      <c r="J143" s="71">
        <f>IF($N143&lt;&gt;"OK","",N(INDEX('Menu Pricing'!$F$7:$F$56,$O143))+N(INDEX('Menu Pricing'!$G$7:$G$56,$O143))+N(INDEX('Menu Pricing'!$J$7:$J$56,$O143)))</f>
        <v/>
      </c>
      <c r="K143" s="71">
        <f>IF($N143&lt;&gt;"OK","",$D143*$J143)</f>
        <v/>
      </c>
      <c r="L143" s="71">
        <f>IF($N143&lt;&gt;"OK","",$I143-$K143)</f>
        <v/>
      </c>
      <c r="M143" s="71">
        <f>IF($N143&lt;&gt;"OK","",$D143*N(INDEX('Menu Pricing'!$F$7:$F$56,$O143)))</f>
        <v/>
      </c>
      <c r="N143" s="80">
        <f>IF(AND($B143="",$C143="",$D143=""),"",IF(NOT(ISNUMBER($B143)),"Enter a valid date",IF($C143="","Pick a menu item",IF($O143="","Item not on Menu Pricing",IF(N($D143)&lt;=0,"Qty must be above 0",IF($H143="","No price on menu","OK"))))))</f>
        <v/>
      </c>
      <c r="O143" s="13">
        <f>IF($C143="","",IFERROR(MATCH($C143,'Menu Pricing'!$B$7:$B$56,0),""))</f>
        <v/>
      </c>
    </row>
    <row r="144" ht="17" customHeight="1">
      <c r="B144" s="66" t="n"/>
      <c r="C144" s="60" t="n"/>
      <c r="D144" s="86" t="n"/>
      <c r="E144" s="63" t="n"/>
      <c r="F144" s="60" t="n"/>
      <c r="G144" s="60" t="n"/>
      <c r="H144" s="71">
        <f>IF(OR($C144="",$D144=""),"",IF(ISNUMBER($E144),$E144,IF($O144="","",IF(N(INDEX('Menu Pricing'!$O$7:$O$56,$O144))&gt;0,INDEX('Menu Pricing'!$O$7:$O$56,$O144),""))))</f>
        <v/>
      </c>
      <c r="I144" s="71">
        <f>IF($N144&lt;&gt;"OK","",$D144*$H144)</f>
        <v/>
      </c>
      <c r="J144" s="71">
        <f>IF($N144&lt;&gt;"OK","",N(INDEX('Menu Pricing'!$F$7:$F$56,$O144))+N(INDEX('Menu Pricing'!$G$7:$G$56,$O144))+N(INDEX('Menu Pricing'!$J$7:$J$56,$O144)))</f>
        <v/>
      </c>
      <c r="K144" s="71">
        <f>IF($N144&lt;&gt;"OK","",$D144*$J144)</f>
        <v/>
      </c>
      <c r="L144" s="71">
        <f>IF($N144&lt;&gt;"OK","",$I144-$K144)</f>
        <v/>
      </c>
      <c r="M144" s="71">
        <f>IF($N144&lt;&gt;"OK","",$D144*N(INDEX('Menu Pricing'!$F$7:$F$56,$O144)))</f>
        <v/>
      </c>
      <c r="N144" s="80">
        <f>IF(AND($B144="",$C144="",$D144=""),"",IF(NOT(ISNUMBER($B144)),"Enter a valid date",IF($C144="","Pick a menu item",IF($O144="","Item not on Menu Pricing",IF(N($D144)&lt;=0,"Qty must be above 0",IF($H144="","No price on menu","OK"))))))</f>
        <v/>
      </c>
      <c r="O144" s="13">
        <f>IF($C144="","",IFERROR(MATCH($C144,'Menu Pricing'!$B$7:$B$56,0),""))</f>
        <v/>
      </c>
    </row>
    <row r="145" ht="17" customHeight="1">
      <c r="B145" s="66" t="n"/>
      <c r="C145" s="60" t="n"/>
      <c r="D145" s="86" t="n"/>
      <c r="E145" s="63" t="n"/>
      <c r="F145" s="60" t="n"/>
      <c r="G145" s="60" t="n"/>
      <c r="H145" s="71">
        <f>IF(OR($C145="",$D145=""),"",IF(ISNUMBER($E145),$E145,IF($O145="","",IF(N(INDEX('Menu Pricing'!$O$7:$O$56,$O145))&gt;0,INDEX('Menu Pricing'!$O$7:$O$56,$O145),""))))</f>
        <v/>
      </c>
      <c r="I145" s="71">
        <f>IF($N145&lt;&gt;"OK","",$D145*$H145)</f>
        <v/>
      </c>
      <c r="J145" s="71">
        <f>IF($N145&lt;&gt;"OK","",N(INDEX('Menu Pricing'!$F$7:$F$56,$O145))+N(INDEX('Menu Pricing'!$G$7:$G$56,$O145))+N(INDEX('Menu Pricing'!$J$7:$J$56,$O145)))</f>
        <v/>
      </c>
      <c r="K145" s="71">
        <f>IF($N145&lt;&gt;"OK","",$D145*$J145)</f>
        <v/>
      </c>
      <c r="L145" s="71">
        <f>IF($N145&lt;&gt;"OK","",$I145-$K145)</f>
        <v/>
      </c>
      <c r="M145" s="71">
        <f>IF($N145&lt;&gt;"OK","",$D145*N(INDEX('Menu Pricing'!$F$7:$F$56,$O145)))</f>
        <v/>
      </c>
      <c r="N145" s="80">
        <f>IF(AND($B145="",$C145="",$D145=""),"",IF(NOT(ISNUMBER($B145)),"Enter a valid date",IF($C145="","Pick a menu item",IF($O145="","Item not on Menu Pricing",IF(N($D145)&lt;=0,"Qty must be above 0",IF($H145="","No price on menu","OK"))))))</f>
        <v/>
      </c>
      <c r="O145" s="13">
        <f>IF($C145="","",IFERROR(MATCH($C145,'Menu Pricing'!$B$7:$B$56,0),""))</f>
        <v/>
      </c>
    </row>
    <row r="146" ht="17" customHeight="1">
      <c r="B146" s="66" t="n"/>
      <c r="C146" s="60" t="n"/>
      <c r="D146" s="86" t="n"/>
      <c r="E146" s="63" t="n"/>
      <c r="F146" s="60" t="n"/>
      <c r="G146" s="60" t="n"/>
      <c r="H146" s="71">
        <f>IF(OR($C146="",$D146=""),"",IF(ISNUMBER($E146),$E146,IF($O146="","",IF(N(INDEX('Menu Pricing'!$O$7:$O$56,$O146))&gt;0,INDEX('Menu Pricing'!$O$7:$O$56,$O146),""))))</f>
        <v/>
      </c>
      <c r="I146" s="71">
        <f>IF($N146&lt;&gt;"OK","",$D146*$H146)</f>
        <v/>
      </c>
      <c r="J146" s="71">
        <f>IF($N146&lt;&gt;"OK","",N(INDEX('Menu Pricing'!$F$7:$F$56,$O146))+N(INDEX('Menu Pricing'!$G$7:$G$56,$O146))+N(INDEX('Menu Pricing'!$J$7:$J$56,$O146)))</f>
        <v/>
      </c>
      <c r="K146" s="71">
        <f>IF($N146&lt;&gt;"OK","",$D146*$J146)</f>
        <v/>
      </c>
      <c r="L146" s="71">
        <f>IF($N146&lt;&gt;"OK","",$I146-$K146)</f>
        <v/>
      </c>
      <c r="M146" s="71">
        <f>IF($N146&lt;&gt;"OK","",$D146*N(INDEX('Menu Pricing'!$F$7:$F$56,$O146)))</f>
        <v/>
      </c>
      <c r="N146" s="80">
        <f>IF(AND($B146="",$C146="",$D146=""),"",IF(NOT(ISNUMBER($B146)),"Enter a valid date",IF($C146="","Pick a menu item",IF($O146="","Item not on Menu Pricing",IF(N($D146)&lt;=0,"Qty must be above 0",IF($H146="","No price on menu","OK"))))))</f>
        <v/>
      </c>
      <c r="O146" s="13">
        <f>IF($C146="","",IFERROR(MATCH($C146,'Menu Pricing'!$B$7:$B$56,0),""))</f>
        <v/>
      </c>
    </row>
    <row r="147" ht="17" customHeight="1">
      <c r="B147" s="66" t="n"/>
      <c r="C147" s="60" t="n"/>
      <c r="D147" s="86" t="n"/>
      <c r="E147" s="63" t="n"/>
      <c r="F147" s="60" t="n"/>
      <c r="G147" s="60" t="n"/>
      <c r="H147" s="71">
        <f>IF(OR($C147="",$D147=""),"",IF(ISNUMBER($E147),$E147,IF($O147="","",IF(N(INDEX('Menu Pricing'!$O$7:$O$56,$O147))&gt;0,INDEX('Menu Pricing'!$O$7:$O$56,$O147),""))))</f>
        <v/>
      </c>
      <c r="I147" s="71">
        <f>IF($N147&lt;&gt;"OK","",$D147*$H147)</f>
        <v/>
      </c>
      <c r="J147" s="71">
        <f>IF($N147&lt;&gt;"OK","",N(INDEX('Menu Pricing'!$F$7:$F$56,$O147))+N(INDEX('Menu Pricing'!$G$7:$G$56,$O147))+N(INDEX('Menu Pricing'!$J$7:$J$56,$O147)))</f>
        <v/>
      </c>
      <c r="K147" s="71">
        <f>IF($N147&lt;&gt;"OK","",$D147*$J147)</f>
        <v/>
      </c>
      <c r="L147" s="71">
        <f>IF($N147&lt;&gt;"OK","",$I147-$K147)</f>
        <v/>
      </c>
      <c r="M147" s="71">
        <f>IF($N147&lt;&gt;"OK","",$D147*N(INDEX('Menu Pricing'!$F$7:$F$56,$O147)))</f>
        <v/>
      </c>
      <c r="N147" s="80">
        <f>IF(AND($B147="",$C147="",$D147=""),"",IF(NOT(ISNUMBER($B147)),"Enter a valid date",IF($C147="","Pick a menu item",IF($O147="","Item not on Menu Pricing",IF(N($D147)&lt;=0,"Qty must be above 0",IF($H147="","No price on menu","OK"))))))</f>
        <v/>
      </c>
      <c r="O147" s="13">
        <f>IF($C147="","",IFERROR(MATCH($C147,'Menu Pricing'!$B$7:$B$56,0),""))</f>
        <v/>
      </c>
    </row>
    <row r="148" ht="17" customHeight="1">
      <c r="B148" s="66" t="n"/>
      <c r="C148" s="60" t="n"/>
      <c r="D148" s="86" t="n"/>
      <c r="E148" s="63" t="n"/>
      <c r="F148" s="60" t="n"/>
      <c r="G148" s="60" t="n"/>
      <c r="H148" s="71">
        <f>IF(OR($C148="",$D148=""),"",IF(ISNUMBER($E148),$E148,IF($O148="","",IF(N(INDEX('Menu Pricing'!$O$7:$O$56,$O148))&gt;0,INDEX('Menu Pricing'!$O$7:$O$56,$O148),""))))</f>
        <v/>
      </c>
      <c r="I148" s="71">
        <f>IF($N148&lt;&gt;"OK","",$D148*$H148)</f>
        <v/>
      </c>
      <c r="J148" s="71">
        <f>IF($N148&lt;&gt;"OK","",N(INDEX('Menu Pricing'!$F$7:$F$56,$O148))+N(INDEX('Menu Pricing'!$G$7:$G$56,$O148))+N(INDEX('Menu Pricing'!$J$7:$J$56,$O148)))</f>
        <v/>
      </c>
      <c r="K148" s="71">
        <f>IF($N148&lt;&gt;"OK","",$D148*$J148)</f>
        <v/>
      </c>
      <c r="L148" s="71">
        <f>IF($N148&lt;&gt;"OK","",$I148-$K148)</f>
        <v/>
      </c>
      <c r="M148" s="71">
        <f>IF($N148&lt;&gt;"OK","",$D148*N(INDEX('Menu Pricing'!$F$7:$F$56,$O148)))</f>
        <v/>
      </c>
      <c r="N148" s="80">
        <f>IF(AND($B148="",$C148="",$D148=""),"",IF(NOT(ISNUMBER($B148)),"Enter a valid date",IF($C148="","Pick a menu item",IF($O148="","Item not on Menu Pricing",IF(N($D148)&lt;=0,"Qty must be above 0",IF($H148="","No price on menu","OK"))))))</f>
        <v/>
      </c>
      <c r="O148" s="13">
        <f>IF($C148="","",IFERROR(MATCH($C148,'Menu Pricing'!$B$7:$B$56,0),""))</f>
        <v/>
      </c>
    </row>
    <row r="149" ht="17" customHeight="1">
      <c r="B149" s="66" t="n"/>
      <c r="C149" s="60" t="n"/>
      <c r="D149" s="86" t="n"/>
      <c r="E149" s="63" t="n"/>
      <c r="F149" s="60" t="n"/>
      <c r="G149" s="60" t="n"/>
      <c r="H149" s="71">
        <f>IF(OR($C149="",$D149=""),"",IF(ISNUMBER($E149),$E149,IF($O149="","",IF(N(INDEX('Menu Pricing'!$O$7:$O$56,$O149))&gt;0,INDEX('Menu Pricing'!$O$7:$O$56,$O149),""))))</f>
        <v/>
      </c>
      <c r="I149" s="71">
        <f>IF($N149&lt;&gt;"OK","",$D149*$H149)</f>
        <v/>
      </c>
      <c r="J149" s="71">
        <f>IF($N149&lt;&gt;"OK","",N(INDEX('Menu Pricing'!$F$7:$F$56,$O149))+N(INDEX('Menu Pricing'!$G$7:$G$56,$O149))+N(INDEX('Menu Pricing'!$J$7:$J$56,$O149)))</f>
        <v/>
      </c>
      <c r="K149" s="71">
        <f>IF($N149&lt;&gt;"OK","",$D149*$J149)</f>
        <v/>
      </c>
      <c r="L149" s="71">
        <f>IF($N149&lt;&gt;"OK","",$I149-$K149)</f>
        <v/>
      </c>
      <c r="M149" s="71">
        <f>IF($N149&lt;&gt;"OK","",$D149*N(INDEX('Menu Pricing'!$F$7:$F$56,$O149)))</f>
        <v/>
      </c>
      <c r="N149" s="80">
        <f>IF(AND($B149="",$C149="",$D149=""),"",IF(NOT(ISNUMBER($B149)),"Enter a valid date",IF($C149="","Pick a menu item",IF($O149="","Item not on Menu Pricing",IF(N($D149)&lt;=0,"Qty must be above 0",IF($H149="","No price on menu","OK"))))))</f>
        <v/>
      </c>
      <c r="O149" s="13">
        <f>IF($C149="","",IFERROR(MATCH($C149,'Menu Pricing'!$B$7:$B$56,0),""))</f>
        <v/>
      </c>
    </row>
    <row r="150" ht="17" customHeight="1">
      <c r="B150" s="66" t="n"/>
      <c r="C150" s="60" t="n"/>
      <c r="D150" s="86" t="n"/>
      <c r="E150" s="63" t="n"/>
      <c r="F150" s="60" t="n"/>
      <c r="G150" s="60" t="n"/>
      <c r="H150" s="71">
        <f>IF(OR($C150="",$D150=""),"",IF(ISNUMBER($E150),$E150,IF($O150="","",IF(N(INDEX('Menu Pricing'!$O$7:$O$56,$O150))&gt;0,INDEX('Menu Pricing'!$O$7:$O$56,$O150),""))))</f>
        <v/>
      </c>
      <c r="I150" s="71">
        <f>IF($N150&lt;&gt;"OK","",$D150*$H150)</f>
        <v/>
      </c>
      <c r="J150" s="71">
        <f>IF($N150&lt;&gt;"OK","",N(INDEX('Menu Pricing'!$F$7:$F$56,$O150))+N(INDEX('Menu Pricing'!$G$7:$G$56,$O150))+N(INDEX('Menu Pricing'!$J$7:$J$56,$O150)))</f>
        <v/>
      </c>
      <c r="K150" s="71">
        <f>IF($N150&lt;&gt;"OK","",$D150*$J150)</f>
        <v/>
      </c>
      <c r="L150" s="71">
        <f>IF($N150&lt;&gt;"OK","",$I150-$K150)</f>
        <v/>
      </c>
      <c r="M150" s="71">
        <f>IF($N150&lt;&gt;"OK","",$D150*N(INDEX('Menu Pricing'!$F$7:$F$56,$O150)))</f>
        <v/>
      </c>
      <c r="N150" s="80">
        <f>IF(AND($B150="",$C150="",$D150=""),"",IF(NOT(ISNUMBER($B150)),"Enter a valid date",IF($C150="","Pick a menu item",IF($O150="","Item not on Menu Pricing",IF(N($D150)&lt;=0,"Qty must be above 0",IF($H150="","No price on menu","OK"))))))</f>
        <v/>
      </c>
      <c r="O150" s="13">
        <f>IF($C150="","",IFERROR(MATCH($C150,'Menu Pricing'!$B$7:$B$56,0),""))</f>
        <v/>
      </c>
    </row>
    <row r="151" ht="17" customHeight="1">
      <c r="B151" s="66" t="n"/>
      <c r="C151" s="60" t="n"/>
      <c r="D151" s="86" t="n"/>
      <c r="E151" s="63" t="n"/>
      <c r="F151" s="60" t="n"/>
      <c r="G151" s="60" t="n"/>
      <c r="H151" s="71">
        <f>IF(OR($C151="",$D151=""),"",IF(ISNUMBER($E151),$E151,IF($O151="","",IF(N(INDEX('Menu Pricing'!$O$7:$O$56,$O151))&gt;0,INDEX('Menu Pricing'!$O$7:$O$56,$O151),""))))</f>
        <v/>
      </c>
      <c r="I151" s="71">
        <f>IF($N151&lt;&gt;"OK","",$D151*$H151)</f>
        <v/>
      </c>
      <c r="J151" s="71">
        <f>IF($N151&lt;&gt;"OK","",N(INDEX('Menu Pricing'!$F$7:$F$56,$O151))+N(INDEX('Menu Pricing'!$G$7:$G$56,$O151))+N(INDEX('Menu Pricing'!$J$7:$J$56,$O151)))</f>
        <v/>
      </c>
      <c r="K151" s="71">
        <f>IF($N151&lt;&gt;"OK","",$D151*$J151)</f>
        <v/>
      </c>
      <c r="L151" s="71">
        <f>IF($N151&lt;&gt;"OK","",$I151-$K151)</f>
        <v/>
      </c>
      <c r="M151" s="71">
        <f>IF($N151&lt;&gt;"OK","",$D151*N(INDEX('Menu Pricing'!$F$7:$F$56,$O151)))</f>
        <v/>
      </c>
      <c r="N151" s="80">
        <f>IF(AND($B151="",$C151="",$D151=""),"",IF(NOT(ISNUMBER($B151)),"Enter a valid date",IF($C151="","Pick a menu item",IF($O151="","Item not on Menu Pricing",IF(N($D151)&lt;=0,"Qty must be above 0",IF($H151="","No price on menu","OK"))))))</f>
        <v/>
      </c>
      <c r="O151" s="13">
        <f>IF($C151="","",IFERROR(MATCH($C151,'Menu Pricing'!$B$7:$B$56,0),""))</f>
        <v/>
      </c>
    </row>
    <row r="152" ht="17" customHeight="1">
      <c r="B152" s="66" t="n"/>
      <c r="C152" s="60" t="n"/>
      <c r="D152" s="86" t="n"/>
      <c r="E152" s="63" t="n"/>
      <c r="F152" s="60" t="n"/>
      <c r="G152" s="60" t="n"/>
      <c r="H152" s="71">
        <f>IF(OR($C152="",$D152=""),"",IF(ISNUMBER($E152),$E152,IF($O152="","",IF(N(INDEX('Menu Pricing'!$O$7:$O$56,$O152))&gt;0,INDEX('Menu Pricing'!$O$7:$O$56,$O152),""))))</f>
        <v/>
      </c>
      <c r="I152" s="71">
        <f>IF($N152&lt;&gt;"OK","",$D152*$H152)</f>
        <v/>
      </c>
      <c r="J152" s="71">
        <f>IF($N152&lt;&gt;"OK","",N(INDEX('Menu Pricing'!$F$7:$F$56,$O152))+N(INDEX('Menu Pricing'!$G$7:$G$56,$O152))+N(INDEX('Menu Pricing'!$J$7:$J$56,$O152)))</f>
        <v/>
      </c>
      <c r="K152" s="71">
        <f>IF($N152&lt;&gt;"OK","",$D152*$J152)</f>
        <v/>
      </c>
      <c r="L152" s="71">
        <f>IF($N152&lt;&gt;"OK","",$I152-$K152)</f>
        <v/>
      </c>
      <c r="M152" s="71">
        <f>IF($N152&lt;&gt;"OK","",$D152*N(INDEX('Menu Pricing'!$F$7:$F$56,$O152)))</f>
        <v/>
      </c>
      <c r="N152" s="80">
        <f>IF(AND($B152="",$C152="",$D152=""),"",IF(NOT(ISNUMBER($B152)),"Enter a valid date",IF($C152="","Pick a menu item",IF($O152="","Item not on Menu Pricing",IF(N($D152)&lt;=0,"Qty must be above 0",IF($H152="","No price on menu","OK"))))))</f>
        <v/>
      </c>
      <c r="O152" s="13">
        <f>IF($C152="","",IFERROR(MATCH($C152,'Menu Pricing'!$B$7:$B$56,0),""))</f>
        <v/>
      </c>
    </row>
    <row r="153" ht="17" customHeight="1">
      <c r="B153" s="66" t="n"/>
      <c r="C153" s="60" t="n"/>
      <c r="D153" s="86" t="n"/>
      <c r="E153" s="63" t="n"/>
      <c r="F153" s="60" t="n"/>
      <c r="G153" s="60" t="n"/>
      <c r="H153" s="71">
        <f>IF(OR($C153="",$D153=""),"",IF(ISNUMBER($E153),$E153,IF($O153="","",IF(N(INDEX('Menu Pricing'!$O$7:$O$56,$O153))&gt;0,INDEX('Menu Pricing'!$O$7:$O$56,$O153),""))))</f>
        <v/>
      </c>
      <c r="I153" s="71">
        <f>IF($N153&lt;&gt;"OK","",$D153*$H153)</f>
        <v/>
      </c>
      <c r="J153" s="71">
        <f>IF($N153&lt;&gt;"OK","",N(INDEX('Menu Pricing'!$F$7:$F$56,$O153))+N(INDEX('Menu Pricing'!$G$7:$G$56,$O153))+N(INDEX('Menu Pricing'!$J$7:$J$56,$O153)))</f>
        <v/>
      </c>
      <c r="K153" s="71">
        <f>IF($N153&lt;&gt;"OK","",$D153*$J153)</f>
        <v/>
      </c>
      <c r="L153" s="71">
        <f>IF($N153&lt;&gt;"OK","",$I153-$K153)</f>
        <v/>
      </c>
      <c r="M153" s="71">
        <f>IF($N153&lt;&gt;"OK","",$D153*N(INDEX('Menu Pricing'!$F$7:$F$56,$O153)))</f>
        <v/>
      </c>
      <c r="N153" s="80">
        <f>IF(AND($B153="",$C153="",$D153=""),"",IF(NOT(ISNUMBER($B153)),"Enter a valid date",IF($C153="","Pick a menu item",IF($O153="","Item not on Menu Pricing",IF(N($D153)&lt;=0,"Qty must be above 0",IF($H153="","No price on menu","OK"))))))</f>
        <v/>
      </c>
      <c r="O153" s="13">
        <f>IF($C153="","",IFERROR(MATCH($C153,'Menu Pricing'!$B$7:$B$56,0),""))</f>
        <v/>
      </c>
    </row>
    <row r="154" ht="17" customHeight="1">
      <c r="B154" s="66" t="n"/>
      <c r="C154" s="60" t="n"/>
      <c r="D154" s="86" t="n"/>
      <c r="E154" s="63" t="n"/>
      <c r="F154" s="60" t="n"/>
      <c r="G154" s="60" t="n"/>
      <c r="H154" s="71">
        <f>IF(OR($C154="",$D154=""),"",IF(ISNUMBER($E154),$E154,IF($O154="","",IF(N(INDEX('Menu Pricing'!$O$7:$O$56,$O154))&gt;0,INDEX('Menu Pricing'!$O$7:$O$56,$O154),""))))</f>
        <v/>
      </c>
      <c r="I154" s="71">
        <f>IF($N154&lt;&gt;"OK","",$D154*$H154)</f>
        <v/>
      </c>
      <c r="J154" s="71">
        <f>IF($N154&lt;&gt;"OK","",N(INDEX('Menu Pricing'!$F$7:$F$56,$O154))+N(INDEX('Menu Pricing'!$G$7:$G$56,$O154))+N(INDEX('Menu Pricing'!$J$7:$J$56,$O154)))</f>
        <v/>
      </c>
      <c r="K154" s="71">
        <f>IF($N154&lt;&gt;"OK","",$D154*$J154)</f>
        <v/>
      </c>
      <c r="L154" s="71">
        <f>IF($N154&lt;&gt;"OK","",$I154-$K154)</f>
        <v/>
      </c>
      <c r="M154" s="71">
        <f>IF($N154&lt;&gt;"OK","",$D154*N(INDEX('Menu Pricing'!$F$7:$F$56,$O154)))</f>
        <v/>
      </c>
      <c r="N154" s="80">
        <f>IF(AND($B154="",$C154="",$D154=""),"",IF(NOT(ISNUMBER($B154)),"Enter a valid date",IF($C154="","Pick a menu item",IF($O154="","Item not on Menu Pricing",IF(N($D154)&lt;=0,"Qty must be above 0",IF($H154="","No price on menu","OK"))))))</f>
        <v/>
      </c>
      <c r="O154" s="13">
        <f>IF($C154="","",IFERROR(MATCH($C154,'Menu Pricing'!$B$7:$B$56,0),""))</f>
        <v/>
      </c>
    </row>
    <row r="155" ht="17" customHeight="1">
      <c r="B155" s="66" t="n"/>
      <c r="C155" s="60" t="n"/>
      <c r="D155" s="86" t="n"/>
      <c r="E155" s="63" t="n"/>
      <c r="F155" s="60" t="n"/>
      <c r="G155" s="60" t="n"/>
      <c r="H155" s="71">
        <f>IF(OR($C155="",$D155=""),"",IF(ISNUMBER($E155),$E155,IF($O155="","",IF(N(INDEX('Menu Pricing'!$O$7:$O$56,$O155))&gt;0,INDEX('Menu Pricing'!$O$7:$O$56,$O155),""))))</f>
        <v/>
      </c>
      <c r="I155" s="71">
        <f>IF($N155&lt;&gt;"OK","",$D155*$H155)</f>
        <v/>
      </c>
      <c r="J155" s="71">
        <f>IF($N155&lt;&gt;"OK","",N(INDEX('Menu Pricing'!$F$7:$F$56,$O155))+N(INDEX('Menu Pricing'!$G$7:$G$56,$O155))+N(INDEX('Menu Pricing'!$J$7:$J$56,$O155)))</f>
        <v/>
      </c>
      <c r="K155" s="71">
        <f>IF($N155&lt;&gt;"OK","",$D155*$J155)</f>
        <v/>
      </c>
      <c r="L155" s="71">
        <f>IF($N155&lt;&gt;"OK","",$I155-$K155)</f>
        <v/>
      </c>
      <c r="M155" s="71">
        <f>IF($N155&lt;&gt;"OK","",$D155*N(INDEX('Menu Pricing'!$F$7:$F$56,$O155)))</f>
        <v/>
      </c>
      <c r="N155" s="80">
        <f>IF(AND($B155="",$C155="",$D155=""),"",IF(NOT(ISNUMBER($B155)),"Enter a valid date",IF($C155="","Pick a menu item",IF($O155="","Item not on Menu Pricing",IF(N($D155)&lt;=0,"Qty must be above 0",IF($H155="","No price on menu","OK"))))))</f>
        <v/>
      </c>
      <c r="O155" s="13">
        <f>IF($C155="","",IFERROR(MATCH($C155,'Menu Pricing'!$B$7:$B$56,0),""))</f>
        <v/>
      </c>
    </row>
    <row r="156" ht="17" customHeight="1">
      <c r="B156" s="66" t="n"/>
      <c r="C156" s="60" t="n"/>
      <c r="D156" s="86" t="n"/>
      <c r="E156" s="63" t="n"/>
      <c r="F156" s="60" t="n"/>
      <c r="G156" s="60" t="n"/>
      <c r="H156" s="71">
        <f>IF(OR($C156="",$D156=""),"",IF(ISNUMBER($E156),$E156,IF($O156="","",IF(N(INDEX('Menu Pricing'!$O$7:$O$56,$O156))&gt;0,INDEX('Menu Pricing'!$O$7:$O$56,$O156),""))))</f>
        <v/>
      </c>
      <c r="I156" s="71">
        <f>IF($N156&lt;&gt;"OK","",$D156*$H156)</f>
        <v/>
      </c>
      <c r="J156" s="71">
        <f>IF($N156&lt;&gt;"OK","",N(INDEX('Menu Pricing'!$F$7:$F$56,$O156))+N(INDEX('Menu Pricing'!$G$7:$G$56,$O156))+N(INDEX('Menu Pricing'!$J$7:$J$56,$O156)))</f>
        <v/>
      </c>
      <c r="K156" s="71">
        <f>IF($N156&lt;&gt;"OK","",$D156*$J156)</f>
        <v/>
      </c>
      <c r="L156" s="71">
        <f>IF($N156&lt;&gt;"OK","",$I156-$K156)</f>
        <v/>
      </c>
      <c r="M156" s="71">
        <f>IF($N156&lt;&gt;"OK","",$D156*N(INDEX('Menu Pricing'!$F$7:$F$56,$O156)))</f>
        <v/>
      </c>
      <c r="N156" s="80">
        <f>IF(AND($B156="",$C156="",$D156=""),"",IF(NOT(ISNUMBER($B156)),"Enter a valid date",IF($C156="","Pick a menu item",IF($O156="","Item not on Menu Pricing",IF(N($D156)&lt;=0,"Qty must be above 0",IF($H156="","No price on menu","OK"))))))</f>
        <v/>
      </c>
      <c r="O156" s="13">
        <f>IF($C156="","",IFERROR(MATCH($C156,'Menu Pricing'!$B$7:$B$56,0),""))</f>
        <v/>
      </c>
    </row>
    <row r="157" ht="17" customHeight="1">
      <c r="B157" s="66" t="n"/>
      <c r="C157" s="60" t="n"/>
      <c r="D157" s="86" t="n"/>
      <c r="E157" s="63" t="n"/>
      <c r="F157" s="60" t="n"/>
      <c r="G157" s="60" t="n"/>
      <c r="H157" s="71">
        <f>IF(OR($C157="",$D157=""),"",IF(ISNUMBER($E157),$E157,IF($O157="","",IF(N(INDEX('Menu Pricing'!$O$7:$O$56,$O157))&gt;0,INDEX('Menu Pricing'!$O$7:$O$56,$O157),""))))</f>
        <v/>
      </c>
      <c r="I157" s="71">
        <f>IF($N157&lt;&gt;"OK","",$D157*$H157)</f>
        <v/>
      </c>
      <c r="J157" s="71">
        <f>IF($N157&lt;&gt;"OK","",N(INDEX('Menu Pricing'!$F$7:$F$56,$O157))+N(INDEX('Menu Pricing'!$G$7:$G$56,$O157))+N(INDEX('Menu Pricing'!$J$7:$J$56,$O157)))</f>
        <v/>
      </c>
      <c r="K157" s="71">
        <f>IF($N157&lt;&gt;"OK","",$D157*$J157)</f>
        <v/>
      </c>
      <c r="L157" s="71">
        <f>IF($N157&lt;&gt;"OK","",$I157-$K157)</f>
        <v/>
      </c>
      <c r="M157" s="71">
        <f>IF($N157&lt;&gt;"OK","",$D157*N(INDEX('Menu Pricing'!$F$7:$F$56,$O157)))</f>
        <v/>
      </c>
      <c r="N157" s="80">
        <f>IF(AND($B157="",$C157="",$D157=""),"",IF(NOT(ISNUMBER($B157)),"Enter a valid date",IF($C157="","Pick a menu item",IF($O157="","Item not on Menu Pricing",IF(N($D157)&lt;=0,"Qty must be above 0",IF($H157="","No price on menu","OK"))))))</f>
        <v/>
      </c>
      <c r="O157" s="13">
        <f>IF($C157="","",IFERROR(MATCH($C157,'Menu Pricing'!$B$7:$B$56,0),""))</f>
        <v/>
      </c>
    </row>
    <row r="158" ht="17" customHeight="1">
      <c r="B158" s="66" t="n"/>
      <c r="C158" s="60" t="n"/>
      <c r="D158" s="86" t="n"/>
      <c r="E158" s="63" t="n"/>
      <c r="F158" s="60" t="n"/>
      <c r="G158" s="60" t="n"/>
      <c r="H158" s="71">
        <f>IF(OR($C158="",$D158=""),"",IF(ISNUMBER($E158),$E158,IF($O158="","",IF(N(INDEX('Menu Pricing'!$O$7:$O$56,$O158))&gt;0,INDEX('Menu Pricing'!$O$7:$O$56,$O158),""))))</f>
        <v/>
      </c>
      <c r="I158" s="71">
        <f>IF($N158&lt;&gt;"OK","",$D158*$H158)</f>
        <v/>
      </c>
      <c r="J158" s="71">
        <f>IF($N158&lt;&gt;"OK","",N(INDEX('Menu Pricing'!$F$7:$F$56,$O158))+N(INDEX('Menu Pricing'!$G$7:$G$56,$O158))+N(INDEX('Menu Pricing'!$J$7:$J$56,$O158)))</f>
        <v/>
      </c>
      <c r="K158" s="71">
        <f>IF($N158&lt;&gt;"OK","",$D158*$J158)</f>
        <v/>
      </c>
      <c r="L158" s="71">
        <f>IF($N158&lt;&gt;"OK","",$I158-$K158)</f>
        <v/>
      </c>
      <c r="M158" s="71">
        <f>IF($N158&lt;&gt;"OK","",$D158*N(INDEX('Menu Pricing'!$F$7:$F$56,$O158)))</f>
        <v/>
      </c>
      <c r="N158" s="80">
        <f>IF(AND($B158="",$C158="",$D158=""),"",IF(NOT(ISNUMBER($B158)),"Enter a valid date",IF($C158="","Pick a menu item",IF($O158="","Item not on Menu Pricing",IF(N($D158)&lt;=0,"Qty must be above 0",IF($H158="","No price on menu","OK"))))))</f>
        <v/>
      </c>
      <c r="O158" s="13">
        <f>IF($C158="","",IFERROR(MATCH($C158,'Menu Pricing'!$B$7:$B$56,0),""))</f>
        <v/>
      </c>
    </row>
    <row r="159" ht="17" customHeight="1">
      <c r="B159" s="66" t="n"/>
      <c r="C159" s="60" t="n"/>
      <c r="D159" s="86" t="n"/>
      <c r="E159" s="63" t="n"/>
      <c r="F159" s="60" t="n"/>
      <c r="G159" s="60" t="n"/>
      <c r="H159" s="71">
        <f>IF(OR($C159="",$D159=""),"",IF(ISNUMBER($E159),$E159,IF($O159="","",IF(N(INDEX('Menu Pricing'!$O$7:$O$56,$O159))&gt;0,INDEX('Menu Pricing'!$O$7:$O$56,$O159),""))))</f>
        <v/>
      </c>
      <c r="I159" s="71">
        <f>IF($N159&lt;&gt;"OK","",$D159*$H159)</f>
        <v/>
      </c>
      <c r="J159" s="71">
        <f>IF($N159&lt;&gt;"OK","",N(INDEX('Menu Pricing'!$F$7:$F$56,$O159))+N(INDEX('Menu Pricing'!$G$7:$G$56,$O159))+N(INDEX('Menu Pricing'!$J$7:$J$56,$O159)))</f>
        <v/>
      </c>
      <c r="K159" s="71">
        <f>IF($N159&lt;&gt;"OK","",$D159*$J159)</f>
        <v/>
      </c>
      <c r="L159" s="71">
        <f>IF($N159&lt;&gt;"OK","",$I159-$K159)</f>
        <v/>
      </c>
      <c r="M159" s="71">
        <f>IF($N159&lt;&gt;"OK","",$D159*N(INDEX('Menu Pricing'!$F$7:$F$56,$O159)))</f>
        <v/>
      </c>
      <c r="N159" s="80">
        <f>IF(AND($B159="",$C159="",$D159=""),"",IF(NOT(ISNUMBER($B159)),"Enter a valid date",IF($C159="","Pick a menu item",IF($O159="","Item not on Menu Pricing",IF(N($D159)&lt;=0,"Qty must be above 0",IF($H159="","No price on menu","OK"))))))</f>
        <v/>
      </c>
      <c r="O159" s="13">
        <f>IF($C159="","",IFERROR(MATCH($C159,'Menu Pricing'!$B$7:$B$56,0),""))</f>
        <v/>
      </c>
    </row>
    <row r="160" ht="17" customHeight="1">
      <c r="B160" s="66" t="n"/>
      <c r="C160" s="60" t="n"/>
      <c r="D160" s="86" t="n"/>
      <c r="E160" s="63" t="n"/>
      <c r="F160" s="60" t="n"/>
      <c r="G160" s="60" t="n"/>
      <c r="H160" s="71">
        <f>IF(OR($C160="",$D160=""),"",IF(ISNUMBER($E160),$E160,IF($O160="","",IF(N(INDEX('Menu Pricing'!$O$7:$O$56,$O160))&gt;0,INDEX('Menu Pricing'!$O$7:$O$56,$O160),""))))</f>
        <v/>
      </c>
      <c r="I160" s="71">
        <f>IF($N160&lt;&gt;"OK","",$D160*$H160)</f>
        <v/>
      </c>
      <c r="J160" s="71">
        <f>IF($N160&lt;&gt;"OK","",N(INDEX('Menu Pricing'!$F$7:$F$56,$O160))+N(INDEX('Menu Pricing'!$G$7:$G$56,$O160))+N(INDEX('Menu Pricing'!$J$7:$J$56,$O160)))</f>
        <v/>
      </c>
      <c r="K160" s="71">
        <f>IF($N160&lt;&gt;"OK","",$D160*$J160)</f>
        <v/>
      </c>
      <c r="L160" s="71">
        <f>IF($N160&lt;&gt;"OK","",$I160-$K160)</f>
        <v/>
      </c>
      <c r="M160" s="71">
        <f>IF($N160&lt;&gt;"OK","",$D160*N(INDEX('Menu Pricing'!$F$7:$F$56,$O160)))</f>
        <v/>
      </c>
      <c r="N160" s="80">
        <f>IF(AND($B160="",$C160="",$D160=""),"",IF(NOT(ISNUMBER($B160)),"Enter a valid date",IF($C160="","Pick a menu item",IF($O160="","Item not on Menu Pricing",IF(N($D160)&lt;=0,"Qty must be above 0",IF($H160="","No price on menu","OK"))))))</f>
        <v/>
      </c>
      <c r="O160" s="13">
        <f>IF($C160="","",IFERROR(MATCH($C160,'Menu Pricing'!$B$7:$B$56,0),""))</f>
        <v/>
      </c>
    </row>
    <row r="161" ht="17" customHeight="1">
      <c r="B161" s="66" t="n"/>
      <c r="C161" s="60" t="n"/>
      <c r="D161" s="86" t="n"/>
      <c r="E161" s="63" t="n"/>
      <c r="F161" s="60" t="n"/>
      <c r="G161" s="60" t="n"/>
      <c r="H161" s="71">
        <f>IF(OR($C161="",$D161=""),"",IF(ISNUMBER($E161),$E161,IF($O161="","",IF(N(INDEX('Menu Pricing'!$O$7:$O$56,$O161))&gt;0,INDEX('Menu Pricing'!$O$7:$O$56,$O161),""))))</f>
        <v/>
      </c>
      <c r="I161" s="71">
        <f>IF($N161&lt;&gt;"OK","",$D161*$H161)</f>
        <v/>
      </c>
      <c r="J161" s="71">
        <f>IF($N161&lt;&gt;"OK","",N(INDEX('Menu Pricing'!$F$7:$F$56,$O161))+N(INDEX('Menu Pricing'!$G$7:$G$56,$O161))+N(INDEX('Menu Pricing'!$J$7:$J$56,$O161)))</f>
        <v/>
      </c>
      <c r="K161" s="71">
        <f>IF($N161&lt;&gt;"OK","",$D161*$J161)</f>
        <v/>
      </c>
      <c r="L161" s="71">
        <f>IF($N161&lt;&gt;"OK","",$I161-$K161)</f>
        <v/>
      </c>
      <c r="M161" s="71">
        <f>IF($N161&lt;&gt;"OK","",$D161*N(INDEX('Menu Pricing'!$F$7:$F$56,$O161)))</f>
        <v/>
      </c>
      <c r="N161" s="80">
        <f>IF(AND($B161="",$C161="",$D161=""),"",IF(NOT(ISNUMBER($B161)),"Enter a valid date",IF($C161="","Pick a menu item",IF($O161="","Item not on Menu Pricing",IF(N($D161)&lt;=0,"Qty must be above 0",IF($H161="","No price on menu","OK"))))))</f>
        <v/>
      </c>
      <c r="O161" s="13">
        <f>IF($C161="","",IFERROR(MATCH($C161,'Menu Pricing'!$B$7:$B$56,0),""))</f>
        <v/>
      </c>
    </row>
    <row r="162" ht="17" customHeight="1">
      <c r="B162" s="66" t="n"/>
      <c r="C162" s="60" t="n"/>
      <c r="D162" s="86" t="n"/>
      <c r="E162" s="63" t="n"/>
      <c r="F162" s="60" t="n"/>
      <c r="G162" s="60" t="n"/>
      <c r="H162" s="71">
        <f>IF(OR($C162="",$D162=""),"",IF(ISNUMBER($E162),$E162,IF($O162="","",IF(N(INDEX('Menu Pricing'!$O$7:$O$56,$O162))&gt;0,INDEX('Menu Pricing'!$O$7:$O$56,$O162),""))))</f>
        <v/>
      </c>
      <c r="I162" s="71">
        <f>IF($N162&lt;&gt;"OK","",$D162*$H162)</f>
        <v/>
      </c>
      <c r="J162" s="71">
        <f>IF($N162&lt;&gt;"OK","",N(INDEX('Menu Pricing'!$F$7:$F$56,$O162))+N(INDEX('Menu Pricing'!$G$7:$G$56,$O162))+N(INDEX('Menu Pricing'!$J$7:$J$56,$O162)))</f>
        <v/>
      </c>
      <c r="K162" s="71">
        <f>IF($N162&lt;&gt;"OK","",$D162*$J162)</f>
        <v/>
      </c>
      <c r="L162" s="71">
        <f>IF($N162&lt;&gt;"OK","",$I162-$K162)</f>
        <v/>
      </c>
      <c r="M162" s="71">
        <f>IF($N162&lt;&gt;"OK","",$D162*N(INDEX('Menu Pricing'!$F$7:$F$56,$O162)))</f>
        <v/>
      </c>
      <c r="N162" s="80">
        <f>IF(AND($B162="",$C162="",$D162=""),"",IF(NOT(ISNUMBER($B162)),"Enter a valid date",IF($C162="","Pick a menu item",IF($O162="","Item not on Menu Pricing",IF(N($D162)&lt;=0,"Qty must be above 0",IF($H162="","No price on menu","OK"))))))</f>
        <v/>
      </c>
      <c r="O162" s="13">
        <f>IF($C162="","",IFERROR(MATCH($C162,'Menu Pricing'!$B$7:$B$56,0),""))</f>
        <v/>
      </c>
    </row>
    <row r="163" ht="17" customHeight="1">
      <c r="B163" s="66" t="n"/>
      <c r="C163" s="60" t="n"/>
      <c r="D163" s="86" t="n"/>
      <c r="E163" s="63" t="n"/>
      <c r="F163" s="60" t="n"/>
      <c r="G163" s="60" t="n"/>
      <c r="H163" s="71">
        <f>IF(OR($C163="",$D163=""),"",IF(ISNUMBER($E163),$E163,IF($O163="","",IF(N(INDEX('Menu Pricing'!$O$7:$O$56,$O163))&gt;0,INDEX('Menu Pricing'!$O$7:$O$56,$O163),""))))</f>
        <v/>
      </c>
      <c r="I163" s="71">
        <f>IF($N163&lt;&gt;"OK","",$D163*$H163)</f>
        <v/>
      </c>
      <c r="J163" s="71">
        <f>IF($N163&lt;&gt;"OK","",N(INDEX('Menu Pricing'!$F$7:$F$56,$O163))+N(INDEX('Menu Pricing'!$G$7:$G$56,$O163))+N(INDEX('Menu Pricing'!$J$7:$J$56,$O163)))</f>
        <v/>
      </c>
      <c r="K163" s="71">
        <f>IF($N163&lt;&gt;"OK","",$D163*$J163)</f>
        <v/>
      </c>
      <c r="L163" s="71">
        <f>IF($N163&lt;&gt;"OK","",$I163-$K163)</f>
        <v/>
      </c>
      <c r="M163" s="71">
        <f>IF($N163&lt;&gt;"OK","",$D163*N(INDEX('Menu Pricing'!$F$7:$F$56,$O163)))</f>
        <v/>
      </c>
      <c r="N163" s="80">
        <f>IF(AND($B163="",$C163="",$D163=""),"",IF(NOT(ISNUMBER($B163)),"Enter a valid date",IF($C163="","Pick a menu item",IF($O163="","Item not on Menu Pricing",IF(N($D163)&lt;=0,"Qty must be above 0",IF($H163="","No price on menu","OK"))))))</f>
        <v/>
      </c>
      <c r="O163" s="13">
        <f>IF($C163="","",IFERROR(MATCH($C163,'Menu Pricing'!$B$7:$B$56,0),""))</f>
        <v/>
      </c>
    </row>
    <row r="164" ht="17" customHeight="1">
      <c r="B164" s="66" t="n"/>
      <c r="C164" s="60" t="n"/>
      <c r="D164" s="86" t="n"/>
      <c r="E164" s="63" t="n"/>
      <c r="F164" s="60" t="n"/>
      <c r="G164" s="60" t="n"/>
      <c r="H164" s="71">
        <f>IF(OR($C164="",$D164=""),"",IF(ISNUMBER($E164),$E164,IF($O164="","",IF(N(INDEX('Menu Pricing'!$O$7:$O$56,$O164))&gt;0,INDEX('Menu Pricing'!$O$7:$O$56,$O164),""))))</f>
        <v/>
      </c>
      <c r="I164" s="71">
        <f>IF($N164&lt;&gt;"OK","",$D164*$H164)</f>
        <v/>
      </c>
      <c r="J164" s="71">
        <f>IF($N164&lt;&gt;"OK","",N(INDEX('Menu Pricing'!$F$7:$F$56,$O164))+N(INDEX('Menu Pricing'!$G$7:$G$56,$O164))+N(INDEX('Menu Pricing'!$J$7:$J$56,$O164)))</f>
        <v/>
      </c>
      <c r="K164" s="71">
        <f>IF($N164&lt;&gt;"OK","",$D164*$J164)</f>
        <v/>
      </c>
      <c r="L164" s="71">
        <f>IF($N164&lt;&gt;"OK","",$I164-$K164)</f>
        <v/>
      </c>
      <c r="M164" s="71">
        <f>IF($N164&lt;&gt;"OK","",$D164*N(INDEX('Menu Pricing'!$F$7:$F$56,$O164)))</f>
        <v/>
      </c>
      <c r="N164" s="80">
        <f>IF(AND($B164="",$C164="",$D164=""),"",IF(NOT(ISNUMBER($B164)),"Enter a valid date",IF($C164="","Pick a menu item",IF($O164="","Item not on Menu Pricing",IF(N($D164)&lt;=0,"Qty must be above 0",IF($H164="","No price on menu","OK"))))))</f>
        <v/>
      </c>
      <c r="O164" s="13">
        <f>IF($C164="","",IFERROR(MATCH($C164,'Menu Pricing'!$B$7:$B$56,0),""))</f>
        <v/>
      </c>
    </row>
    <row r="165" ht="17" customHeight="1">
      <c r="B165" s="66" t="n"/>
      <c r="C165" s="60" t="n"/>
      <c r="D165" s="86" t="n"/>
      <c r="E165" s="63" t="n"/>
      <c r="F165" s="60" t="n"/>
      <c r="G165" s="60" t="n"/>
      <c r="H165" s="71">
        <f>IF(OR($C165="",$D165=""),"",IF(ISNUMBER($E165),$E165,IF($O165="","",IF(N(INDEX('Menu Pricing'!$O$7:$O$56,$O165))&gt;0,INDEX('Menu Pricing'!$O$7:$O$56,$O165),""))))</f>
        <v/>
      </c>
      <c r="I165" s="71">
        <f>IF($N165&lt;&gt;"OK","",$D165*$H165)</f>
        <v/>
      </c>
      <c r="J165" s="71">
        <f>IF($N165&lt;&gt;"OK","",N(INDEX('Menu Pricing'!$F$7:$F$56,$O165))+N(INDEX('Menu Pricing'!$G$7:$G$56,$O165))+N(INDEX('Menu Pricing'!$J$7:$J$56,$O165)))</f>
        <v/>
      </c>
      <c r="K165" s="71">
        <f>IF($N165&lt;&gt;"OK","",$D165*$J165)</f>
        <v/>
      </c>
      <c r="L165" s="71">
        <f>IF($N165&lt;&gt;"OK","",$I165-$K165)</f>
        <v/>
      </c>
      <c r="M165" s="71">
        <f>IF($N165&lt;&gt;"OK","",$D165*N(INDEX('Menu Pricing'!$F$7:$F$56,$O165)))</f>
        <v/>
      </c>
      <c r="N165" s="80">
        <f>IF(AND($B165="",$C165="",$D165=""),"",IF(NOT(ISNUMBER($B165)),"Enter a valid date",IF($C165="","Pick a menu item",IF($O165="","Item not on Menu Pricing",IF(N($D165)&lt;=0,"Qty must be above 0",IF($H165="","No price on menu","OK"))))))</f>
        <v/>
      </c>
      <c r="O165" s="13">
        <f>IF($C165="","",IFERROR(MATCH($C165,'Menu Pricing'!$B$7:$B$56,0),""))</f>
        <v/>
      </c>
    </row>
    <row r="166" ht="17" customHeight="1">
      <c r="B166" s="66" t="n"/>
      <c r="C166" s="60" t="n"/>
      <c r="D166" s="86" t="n"/>
      <c r="E166" s="63" t="n"/>
      <c r="F166" s="60" t="n"/>
      <c r="G166" s="60" t="n"/>
      <c r="H166" s="71">
        <f>IF(OR($C166="",$D166=""),"",IF(ISNUMBER($E166),$E166,IF($O166="","",IF(N(INDEX('Menu Pricing'!$O$7:$O$56,$O166))&gt;0,INDEX('Menu Pricing'!$O$7:$O$56,$O166),""))))</f>
        <v/>
      </c>
      <c r="I166" s="71">
        <f>IF($N166&lt;&gt;"OK","",$D166*$H166)</f>
        <v/>
      </c>
      <c r="J166" s="71">
        <f>IF($N166&lt;&gt;"OK","",N(INDEX('Menu Pricing'!$F$7:$F$56,$O166))+N(INDEX('Menu Pricing'!$G$7:$G$56,$O166))+N(INDEX('Menu Pricing'!$J$7:$J$56,$O166)))</f>
        <v/>
      </c>
      <c r="K166" s="71">
        <f>IF($N166&lt;&gt;"OK","",$D166*$J166)</f>
        <v/>
      </c>
      <c r="L166" s="71">
        <f>IF($N166&lt;&gt;"OK","",$I166-$K166)</f>
        <v/>
      </c>
      <c r="M166" s="71">
        <f>IF($N166&lt;&gt;"OK","",$D166*N(INDEX('Menu Pricing'!$F$7:$F$56,$O166)))</f>
        <v/>
      </c>
      <c r="N166" s="80">
        <f>IF(AND($B166="",$C166="",$D166=""),"",IF(NOT(ISNUMBER($B166)),"Enter a valid date",IF($C166="","Pick a menu item",IF($O166="","Item not on Menu Pricing",IF(N($D166)&lt;=0,"Qty must be above 0",IF($H166="","No price on menu","OK"))))))</f>
        <v/>
      </c>
      <c r="O166" s="13">
        <f>IF($C166="","",IFERROR(MATCH($C166,'Menu Pricing'!$B$7:$B$56,0),""))</f>
        <v/>
      </c>
    </row>
    <row r="167" ht="17" customHeight="1">
      <c r="B167" s="66" t="n"/>
      <c r="C167" s="60" t="n"/>
      <c r="D167" s="86" t="n"/>
      <c r="E167" s="63" t="n"/>
      <c r="F167" s="60" t="n"/>
      <c r="G167" s="60" t="n"/>
      <c r="H167" s="71">
        <f>IF(OR($C167="",$D167=""),"",IF(ISNUMBER($E167),$E167,IF($O167="","",IF(N(INDEX('Menu Pricing'!$O$7:$O$56,$O167))&gt;0,INDEX('Menu Pricing'!$O$7:$O$56,$O167),""))))</f>
        <v/>
      </c>
      <c r="I167" s="71">
        <f>IF($N167&lt;&gt;"OK","",$D167*$H167)</f>
        <v/>
      </c>
      <c r="J167" s="71">
        <f>IF($N167&lt;&gt;"OK","",N(INDEX('Menu Pricing'!$F$7:$F$56,$O167))+N(INDEX('Menu Pricing'!$G$7:$G$56,$O167))+N(INDEX('Menu Pricing'!$J$7:$J$56,$O167)))</f>
        <v/>
      </c>
      <c r="K167" s="71">
        <f>IF($N167&lt;&gt;"OK","",$D167*$J167)</f>
        <v/>
      </c>
      <c r="L167" s="71">
        <f>IF($N167&lt;&gt;"OK","",$I167-$K167)</f>
        <v/>
      </c>
      <c r="M167" s="71">
        <f>IF($N167&lt;&gt;"OK","",$D167*N(INDEX('Menu Pricing'!$F$7:$F$56,$O167)))</f>
        <v/>
      </c>
      <c r="N167" s="80">
        <f>IF(AND($B167="",$C167="",$D167=""),"",IF(NOT(ISNUMBER($B167)),"Enter a valid date",IF($C167="","Pick a menu item",IF($O167="","Item not on Menu Pricing",IF(N($D167)&lt;=0,"Qty must be above 0",IF($H167="","No price on menu","OK"))))))</f>
        <v/>
      </c>
      <c r="O167" s="13">
        <f>IF($C167="","",IFERROR(MATCH($C167,'Menu Pricing'!$B$7:$B$56,0),""))</f>
        <v/>
      </c>
    </row>
    <row r="168" ht="17" customHeight="1">
      <c r="B168" s="66" t="n"/>
      <c r="C168" s="60" t="n"/>
      <c r="D168" s="86" t="n"/>
      <c r="E168" s="63" t="n"/>
      <c r="F168" s="60" t="n"/>
      <c r="G168" s="60" t="n"/>
      <c r="H168" s="71">
        <f>IF(OR($C168="",$D168=""),"",IF(ISNUMBER($E168),$E168,IF($O168="","",IF(N(INDEX('Menu Pricing'!$O$7:$O$56,$O168))&gt;0,INDEX('Menu Pricing'!$O$7:$O$56,$O168),""))))</f>
        <v/>
      </c>
      <c r="I168" s="71">
        <f>IF($N168&lt;&gt;"OK","",$D168*$H168)</f>
        <v/>
      </c>
      <c r="J168" s="71">
        <f>IF($N168&lt;&gt;"OK","",N(INDEX('Menu Pricing'!$F$7:$F$56,$O168))+N(INDEX('Menu Pricing'!$G$7:$G$56,$O168))+N(INDEX('Menu Pricing'!$J$7:$J$56,$O168)))</f>
        <v/>
      </c>
      <c r="K168" s="71">
        <f>IF($N168&lt;&gt;"OK","",$D168*$J168)</f>
        <v/>
      </c>
      <c r="L168" s="71">
        <f>IF($N168&lt;&gt;"OK","",$I168-$K168)</f>
        <v/>
      </c>
      <c r="M168" s="71">
        <f>IF($N168&lt;&gt;"OK","",$D168*N(INDEX('Menu Pricing'!$F$7:$F$56,$O168)))</f>
        <v/>
      </c>
      <c r="N168" s="80">
        <f>IF(AND($B168="",$C168="",$D168=""),"",IF(NOT(ISNUMBER($B168)),"Enter a valid date",IF($C168="","Pick a menu item",IF($O168="","Item not on Menu Pricing",IF(N($D168)&lt;=0,"Qty must be above 0",IF($H168="","No price on menu","OK"))))))</f>
        <v/>
      </c>
      <c r="O168" s="13">
        <f>IF($C168="","",IFERROR(MATCH($C168,'Menu Pricing'!$B$7:$B$56,0),""))</f>
        <v/>
      </c>
    </row>
    <row r="169" ht="17" customHeight="1">
      <c r="B169" s="66" t="n"/>
      <c r="C169" s="60" t="n"/>
      <c r="D169" s="86" t="n"/>
      <c r="E169" s="63" t="n"/>
      <c r="F169" s="60" t="n"/>
      <c r="G169" s="60" t="n"/>
      <c r="H169" s="71">
        <f>IF(OR($C169="",$D169=""),"",IF(ISNUMBER($E169),$E169,IF($O169="","",IF(N(INDEX('Menu Pricing'!$O$7:$O$56,$O169))&gt;0,INDEX('Menu Pricing'!$O$7:$O$56,$O169),""))))</f>
        <v/>
      </c>
      <c r="I169" s="71">
        <f>IF($N169&lt;&gt;"OK","",$D169*$H169)</f>
        <v/>
      </c>
      <c r="J169" s="71">
        <f>IF($N169&lt;&gt;"OK","",N(INDEX('Menu Pricing'!$F$7:$F$56,$O169))+N(INDEX('Menu Pricing'!$G$7:$G$56,$O169))+N(INDEX('Menu Pricing'!$J$7:$J$56,$O169)))</f>
        <v/>
      </c>
      <c r="K169" s="71">
        <f>IF($N169&lt;&gt;"OK","",$D169*$J169)</f>
        <v/>
      </c>
      <c r="L169" s="71">
        <f>IF($N169&lt;&gt;"OK","",$I169-$K169)</f>
        <v/>
      </c>
      <c r="M169" s="71">
        <f>IF($N169&lt;&gt;"OK","",$D169*N(INDEX('Menu Pricing'!$F$7:$F$56,$O169)))</f>
        <v/>
      </c>
      <c r="N169" s="80">
        <f>IF(AND($B169="",$C169="",$D169=""),"",IF(NOT(ISNUMBER($B169)),"Enter a valid date",IF($C169="","Pick a menu item",IF($O169="","Item not on Menu Pricing",IF(N($D169)&lt;=0,"Qty must be above 0",IF($H169="","No price on menu","OK"))))))</f>
        <v/>
      </c>
      <c r="O169" s="13">
        <f>IF($C169="","",IFERROR(MATCH($C169,'Menu Pricing'!$B$7:$B$56,0),""))</f>
        <v/>
      </c>
    </row>
    <row r="170" ht="17" customHeight="1">
      <c r="B170" s="66" t="n"/>
      <c r="C170" s="60" t="n"/>
      <c r="D170" s="86" t="n"/>
      <c r="E170" s="63" t="n"/>
      <c r="F170" s="60" t="n"/>
      <c r="G170" s="60" t="n"/>
      <c r="H170" s="71">
        <f>IF(OR($C170="",$D170=""),"",IF(ISNUMBER($E170),$E170,IF($O170="","",IF(N(INDEX('Menu Pricing'!$O$7:$O$56,$O170))&gt;0,INDEX('Menu Pricing'!$O$7:$O$56,$O170),""))))</f>
        <v/>
      </c>
      <c r="I170" s="71">
        <f>IF($N170&lt;&gt;"OK","",$D170*$H170)</f>
        <v/>
      </c>
      <c r="J170" s="71">
        <f>IF($N170&lt;&gt;"OK","",N(INDEX('Menu Pricing'!$F$7:$F$56,$O170))+N(INDEX('Menu Pricing'!$G$7:$G$56,$O170))+N(INDEX('Menu Pricing'!$J$7:$J$56,$O170)))</f>
        <v/>
      </c>
      <c r="K170" s="71">
        <f>IF($N170&lt;&gt;"OK","",$D170*$J170)</f>
        <v/>
      </c>
      <c r="L170" s="71">
        <f>IF($N170&lt;&gt;"OK","",$I170-$K170)</f>
        <v/>
      </c>
      <c r="M170" s="71">
        <f>IF($N170&lt;&gt;"OK","",$D170*N(INDEX('Menu Pricing'!$F$7:$F$56,$O170)))</f>
        <v/>
      </c>
      <c r="N170" s="80">
        <f>IF(AND($B170="",$C170="",$D170=""),"",IF(NOT(ISNUMBER($B170)),"Enter a valid date",IF($C170="","Pick a menu item",IF($O170="","Item not on Menu Pricing",IF(N($D170)&lt;=0,"Qty must be above 0",IF($H170="","No price on menu","OK"))))))</f>
        <v/>
      </c>
      <c r="O170" s="13">
        <f>IF($C170="","",IFERROR(MATCH($C170,'Menu Pricing'!$B$7:$B$56,0),""))</f>
        <v/>
      </c>
    </row>
    <row r="171" ht="17" customHeight="1">
      <c r="B171" s="66" t="n"/>
      <c r="C171" s="60" t="n"/>
      <c r="D171" s="86" t="n"/>
      <c r="E171" s="63" t="n"/>
      <c r="F171" s="60" t="n"/>
      <c r="G171" s="60" t="n"/>
      <c r="H171" s="71">
        <f>IF(OR($C171="",$D171=""),"",IF(ISNUMBER($E171),$E171,IF($O171="","",IF(N(INDEX('Menu Pricing'!$O$7:$O$56,$O171))&gt;0,INDEX('Menu Pricing'!$O$7:$O$56,$O171),""))))</f>
        <v/>
      </c>
      <c r="I171" s="71">
        <f>IF($N171&lt;&gt;"OK","",$D171*$H171)</f>
        <v/>
      </c>
      <c r="J171" s="71">
        <f>IF($N171&lt;&gt;"OK","",N(INDEX('Menu Pricing'!$F$7:$F$56,$O171))+N(INDEX('Menu Pricing'!$G$7:$G$56,$O171))+N(INDEX('Menu Pricing'!$J$7:$J$56,$O171)))</f>
        <v/>
      </c>
      <c r="K171" s="71">
        <f>IF($N171&lt;&gt;"OK","",$D171*$J171)</f>
        <v/>
      </c>
      <c r="L171" s="71">
        <f>IF($N171&lt;&gt;"OK","",$I171-$K171)</f>
        <v/>
      </c>
      <c r="M171" s="71">
        <f>IF($N171&lt;&gt;"OK","",$D171*N(INDEX('Menu Pricing'!$F$7:$F$56,$O171)))</f>
        <v/>
      </c>
      <c r="N171" s="80">
        <f>IF(AND($B171="",$C171="",$D171=""),"",IF(NOT(ISNUMBER($B171)),"Enter a valid date",IF($C171="","Pick a menu item",IF($O171="","Item not on Menu Pricing",IF(N($D171)&lt;=0,"Qty must be above 0",IF($H171="","No price on menu","OK"))))))</f>
        <v/>
      </c>
      <c r="O171" s="13">
        <f>IF($C171="","",IFERROR(MATCH($C171,'Menu Pricing'!$B$7:$B$56,0),""))</f>
        <v/>
      </c>
    </row>
    <row r="172" ht="17" customHeight="1">
      <c r="B172" s="66" t="n"/>
      <c r="C172" s="60" t="n"/>
      <c r="D172" s="86" t="n"/>
      <c r="E172" s="63" t="n"/>
      <c r="F172" s="60" t="n"/>
      <c r="G172" s="60" t="n"/>
      <c r="H172" s="71">
        <f>IF(OR($C172="",$D172=""),"",IF(ISNUMBER($E172),$E172,IF($O172="","",IF(N(INDEX('Menu Pricing'!$O$7:$O$56,$O172))&gt;0,INDEX('Menu Pricing'!$O$7:$O$56,$O172),""))))</f>
        <v/>
      </c>
      <c r="I172" s="71">
        <f>IF($N172&lt;&gt;"OK","",$D172*$H172)</f>
        <v/>
      </c>
      <c r="J172" s="71">
        <f>IF($N172&lt;&gt;"OK","",N(INDEX('Menu Pricing'!$F$7:$F$56,$O172))+N(INDEX('Menu Pricing'!$G$7:$G$56,$O172))+N(INDEX('Menu Pricing'!$J$7:$J$56,$O172)))</f>
        <v/>
      </c>
      <c r="K172" s="71">
        <f>IF($N172&lt;&gt;"OK","",$D172*$J172)</f>
        <v/>
      </c>
      <c r="L172" s="71">
        <f>IF($N172&lt;&gt;"OK","",$I172-$K172)</f>
        <v/>
      </c>
      <c r="M172" s="71">
        <f>IF($N172&lt;&gt;"OK","",$D172*N(INDEX('Menu Pricing'!$F$7:$F$56,$O172)))</f>
        <v/>
      </c>
      <c r="N172" s="80">
        <f>IF(AND($B172="",$C172="",$D172=""),"",IF(NOT(ISNUMBER($B172)),"Enter a valid date",IF($C172="","Pick a menu item",IF($O172="","Item not on Menu Pricing",IF(N($D172)&lt;=0,"Qty must be above 0",IF($H172="","No price on menu","OK"))))))</f>
        <v/>
      </c>
      <c r="O172" s="13">
        <f>IF($C172="","",IFERROR(MATCH($C172,'Menu Pricing'!$B$7:$B$56,0),""))</f>
        <v/>
      </c>
    </row>
    <row r="173" ht="17" customHeight="1">
      <c r="B173" s="66" t="n"/>
      <c r="C173" s="60" t="n"/>
      <c r="D173" s="86" t="n"/>
      <c r="E173" s="63" t="n"/>
      <c r="F173" s="60" t="n"/>
      <c r="G173" s="60" t="n"/>
      <c r="H173" s="71">
        <f>IF(OR($C173="",$D173=""),"",IF(ISNUMBER($E173),$E173,IF($O173="","",IF(N(INDEX('Menu Pricing'!$O$7:$O$56,$O173))&gt;0,INDEX('Menu Pricing'!$O$7:$O$56,$O173),""))))</f>
        <v/>
      </c>
      <c r="I173" s="71">
        <f>IF($N173&lt;&gt;"OK","",$D173*$H173)</f>
        <v/>
      </c>
      <c r="J173" s="71">
        <f>IF($N173&lt;&gt;"OK","",N(INDEX('Menu Pricing'!$F$7:$F$56,$O173))+N(INDEX('Menu Pricing'!$G$7:$G$56,$O173))+N(INDEX('Menu Pricing'!$J$7:$J$56,$O173)))</f>
        <v/>
      </c>
      <c r="K173" s="71">
        <f>IF($N173&lt;&gt;"OK","",$D173*$J173)</f>
        <v/>
      </c>
      <c r="L173" s="71">
        <f>IF($N173&lt;&gt;"OK","",$I173-$K173)</f>
        <v/>
      </c>
      <c r="M173" s="71">
        <f>IF($N173&lt;&gt;"OK","",$D173*N(INDEX('Menu Pricing'!$F$7:$F$56,$O173)))</f>
        <v/>
      </c>
      <c r="N173" s="80">
        <f>IF(AND($B173="",$C173="",$D173=""),"",IF(NOT(ISNUMBER($B173)),"Enter a valid date",IF($C173="","Pick a menu item",IF($O173="","Item not on Menu Pricing",IF(N($D173)&lt;=0,"Qty must be above 0",IF($H173="","No price on menu","OK"))))))</f>
        <v/>
      </c>
      <c r="O173" s="13">
        <f>IF($C173="","",IFERROR(MATCH($C173,'Menu Pricing'!$B$7:$B$56,0),""))</f>
        <v/>
      </c>
    </row>
    <row r="174" ht="17" customHeight="1">
      <c r="B174" s="66" t="n"/>
      <c r="C174" s="60" t="n"/>
      <c r="D174" s="86" t="n"/>
      <c r="E174" s="63" t="n"/>
      <c r="F174" s="60" t="n"/>
      <c r="G174" s="60" t="n"/>
      <c r="H174" s="71">
        <f>IF(OR($C174="",$D174=""),"",IF(ISNUMBER($E174),$E174,IF($O174="","",IF(N(INDEX('Menu Pricing'!$O$7:$O$56,$O174))&gt;0,INDEX('Menu Pricing'!$O$7:$O$56,$O174),""))))</f>
        <v/>
      </c>
      <c r="I174" s="71">
        <f>IF($N174&lt;&gt;"OK","",$D174*$H174)</f>
        <v/>
      </c>
      <c r="J174" s="71">
        <f>IF($N174&lt;&gt;"OK","",N(INDEX('Menu Pricing'!$F$7:$F$56,$O174))+N(INDEX('Menu Pricing'!$G$7:$G$56,$O174))+N(INDEX('Menu Pricing'!$J$7:$J$56,$O174)))</f>
        <v/>
      </c>
      <c r="K174" s="71">
        <f>IF($N174&lt;&gt;"OK","",$D174*$J174)</f>
        <v/>
      </c>
      <c r="L174" s="71">
        <f>IF($N174&lt;&gt;"OK","",$I174-$K174)</f>
        <v/>
      </c>
      <c r="M174" s="71">
        <f>IF($N174&lt;&gt;"OK","",$D174*N(INDEX('Menu Pricing'!$F$7:$F$56,$O174)))</f>
        <v/>
      </c>
      <c r="N174" s="80">
        <f>IF(AND($B174="",$C174="",$D174=""),"",IF(NOT(ISNUMBER($B174)),"Enter a valid date",IF($C174="","Pick a menu item",IF($O174="","Item not on Menu Pricing",IF(N($D174)&lt;=0,"Qty must be above 0",IF($H174="","No price on menu","OK"))))))</f>
        <v/>
      </c>
      <c r="O174" s="13">
        <f>IF($C174="","",IFERROR(MATCH($C174,'Menu Pricing'!$B$7:$B$56,0),""))</f>
        <v/>
      </c>
    </row>
    <row r="175" ht="17" customHeight="1">
      <c r="B175" s="66" t="n"/>
      <c r="C175" s="60" t="n"/>
      <c r="D175" s="86" t="n"/>
      <c r="E175" s="63" t="n"/>
      <c r="F175" s="60" t="n"/>
      <c r="G175" s="60" t="n"/>
      <c r="H175" s="71">
        <f>IF(OR($C175="",$D175=""),"",IF(ISNUMBER($E175),$E175,IF($O175="","",IF(N(INDEX('Menu Pricing'!$O$7:$O$56,$O175))&gt;0,INDEX('Menu Pricing'!$O$7:$O$56,$O175),""))))</f>
        <v/>
      </c>
      <c r="I175" s="71">
        <f>IF($N175&lt;&gt;"OK","",$D175*$H175)</f>
        <v/>
      </c>
      <c r="J175" s="71">
        <f>IF($N175&lt;&gt;"OK","",N(INDEX('Menu Pricing'!$F$7:$F$56,$O175))+N(INDEX('Menu Pricing'!$G$7:$G$56,$O175))+N(INDEX('Menu Pricing'!$J$7:$J$56,$O175)))</f>
        <v/>
      </c>
      <c r="K175" s="71">
        <f>IF($N175&lt;&gt;"OK","",$D175*$J175)</f>
        <v/>
      </c>
      <c r="L175" s="71">
        <f>IF($N175&lt;&gt;"OK","",$I175-$K175)</f>
        <v/>
      </c>
      <c r="M175" s="71">
        <f>IF($N175&lt;&gt;"OK","",$D175*N(INDEX('Menu Pricing'!$F$7:$F$56,$O175)))</f>
        <v/>
      </c>
      <c r="N175" s="80">
        <f>IF(AND($B175="",$C175="",$D175=""),"",IF(NOT(ISNUMBER($B175)),"Enter a valid date",IF($C175="","Pick a menu item",IF($O175="","Item not on Menu Pricing",IF(N($D175)&lt;=0,"Qty must be above 0",IF($H175="","No price on menu","OK"))))))</f>
        <v/>
      </c>
      <c r="O175" s="13">
        <f>IF($C175="","",IFERROR(MATCH($C175,'Menu Pricing'!$B$7:$B$56,0),""))</f>
        <v/>
      </c>
    </row>
    <row r="176" ht="17" customHeight="1">
      <c r="B176" s="66" t="n"/>
      <c r="C176" s="60" t="n"/>
      <c r="D176" s="86" t="n"/>
      <c r="E176" s="63" t="n"/>
      <c r="F176" s="60" t="n"/>
      <c r="G176" s="60" t="n"/>
      <c r="H176" s="71">
        <f>IF(OR($C176="",$D176=""),"",IF(ISNUMBER($E176),$E176,IF($O176="","",IF(N(INDEX('Menu Pricing'!$O$7:$O$56,$O176))&gt;0,INDEX('Menu Pricing'!$O$7:$O$56,$O176),""))))</f>
        <v/>
      </c>
      <c r="I176" s="71">
        <f>IF($N176&lt;&gt;"OK","",$D176*$H176)</f>
        <v/>
      </c>
      <c r="J176" s="71">
        <f>IF($N176&lt;&gt;"OK","",N(INDEX('Menu Pricing'!$F$7:$F$56,$O176))+N(INDEX('Menu Pricing'!$G$7:$G$56,$O176))+N(INDEX('Menu Pricing'!$J$7:$J$56,$O176)))</f>
        <v/>
      </c>
      <c r="K176" s="71">
        <f>IF($N176&lt;&gt;"OK","",$D176*$J176)</f>
        <v/>
      </c>
      <c r="L176" s="71">
        <f>IF($N176&lt;&gt;"OK","",$I176-$K176)</f>
        <v/>
      </c>
      <c r="M176" s="71">
        <f>IF($N176&lt;&gt;"OK","",$D176*N(INDEX('Menu Pricing'!$F$7:$F$56,$O176)))</f>
        <v/>
      </c>
      <c r="N176" s="80">
        <f>IF(AND($B176="",$C176="",$D176=""),"",IF(NOT(ISNUMBER($B176)),"Enter a valid date",IF($C176="","Pick a menu item",IF($O176="","Item not on Menu Pricing",IF(N($D176)&lt;=0,"Qty must be above 0",IF($H176="","No price on menu","OK"))))))</f>
        <v/>
      </c>
      <c r="O176" s="13">
        <f>IF($C176="","",IFERROR(MATCH($C176,'Menu Pricing'!$B$7:$B$56,0),""))</f>
        <v/>
      </c>
    </row>
    <row r="177" ht="17" customHeight="1">
      <c r="B177" s="66" t="n"/>
      <c r="C177" s="60" t="n"/>
      <c r="D177" s="86" t="n"/>
      <c r="E177" s="63" t="n"/>
      <c r="F177" s="60" t="n"/>
      <c r="G177" s="60" t="n"/>
      <c r="H177" s="71">
        <f>IF(OR($C177="",$D177=""),"",IF(ISNUMBER($E177),$E177,IF($O177="","",IF(N(INDEX('Menu Pricing'!$O$7:$O$56,$O177))&gt;0,INDEX('Menu Pricing'!$O$7:$O$56,$O177),""))))</f>
        <v/>
      </c>
      <c r="I177" s="71">
        <f>IF($N177&lt;&gt;"OK","",$D177*$H177)</f>
        <v/>
      </c>
      <c r="J177" s="71">
        <f>IF($N177&lt;&gt;"OK","",N(INDEX('Menu Pricing'!$F$7:$F$56,$O177))+N(INDEX('Menu Pricing'!$G$7:$G$56,$O177))+N(INDEX('Menu Pricing'!$J$7:$J$56,$O177)))</f>
        <v/>
      </c>
      <c r="K177" s="71">
        <f>IF($N177&lt;&gt;"OK","",$D177*$J177)</f>
        <v/>
      </c>
      <c r="L177" s="71">
        <f>IF($N177&lt;&gt;"OK","",$I177-$K177)</f>
        <v/>
      </c>
      <c r="M177" s="71">
        <f>IF($N177&lt;&gt;"OK","",$D177*N(INDEX('Menu Pricing'!$F$7:$F$56,$O177)))</f>
        <v/>
      </c>
      <c r="N177" s="80">
        <f>IF(AND($B177="",$C177="",$D177=""),"",IF(NOT(ISNUMBER($B177)),"Enter a valid date",IF($C177="","Pick a menu item",IF($O177="","Item not on Menu Pricing",IF(N($D177)&lt;=0,"Qty must be above 0",IF($H177="","No price on menu","OK"))))))</f>
        <v/>
      </c>
      <c r="O177" s="13">
        <f>IF($C177="","",IFERROR(MATCH($C177,'Menu Pricing'!$B$7:$B$56,0),""))</f>
        <v/>
      </c>
    </row>
    <row r="178" ht="17" customHeight="1">
      <c r="B178" s="66" t="n"/>
      <c r="C178" s="60" t="n"/>
      <c r="D178" s="86" t="n"/>
      <c r="E178" s="63" t="n"/>
      <c r="F178" s="60" t="n"/>
      <c r="G178" s="60" t="n"/>
      <c r="H178" s="71">
        <f>IF(OR($C178="",$D178=""),"",IF(ISNUMBER($E178),$E178,IF($O178="","",IF(N(INDEX('Menu Pricing'!$O$7:$O$56,$O178))&gt;0,INDEX('Menu Pricing'!$O$7:$O$56,$O178),""))))</f>
        <v/>
      </c>
      <c r="I178" s="71">
        <f>IF($N178&lt;&gt;"OK","",$D178*$H178)</f>
        <v/>
      </c>
      <c r="J178" s="71">
        <f>IF($N178&lt;&gt;"OK","",N(INDEX('Menu Pricing'!$F$7:$F$56,$O178))+N(INDEX('Menu Pricing'!$G$7:$G$56,$O178))+N(INDEX('Menu Pricing'!$J$7:$J$56,$O178)))</f>
        <v/>
      </c>
      <c r="K178" s="71">
        <f>IF($N178&lt;&gt;"OK","",$D178*$J178)</f>
        <v/>
      </c>
      <c r="L178" s="71">
        <f>IF($N178&lt;&gt;"OK","",$I178-$K178)</f>
        <v/>
      </c>
      <c r="M178" s="71">
        <f>IF($N178&lt;&gt;"OK","",$D178*N(INDEX('Menu Pricing'!$F$7:$F$56,$O178)))</f>
        <v/>
      </c>
      <c r="N178" s="80">
        <f>IF(AND($B178="",$C178="",$D178=""),"",IF(NOT(ISNUMBER($B178)),"Enter a valid date",IF($C178="","Pick a menu item",IF($O178="","Item not on Menu Pricing",IF(N($D178)&lt;=0,"Qty must be above 0",IF($H178="","No price on menu","OK"))))))</f>
        <v/>
      </c>
      <c r="O178" s="13">
        <f>IF($C178="","",IFERROR(MATCH($C178,'Menu Pricing'!$B$7:$B$56,0),""))</f>
        <v/>
      </c>
    </row>
    <row r="179" ht="17" customHeight="1">
      <c r="B179" s="66" t="n"/>
      <c r="C179" s="60" t="n"/>
      <c r="D179" s="86" t="n"/>
      <c r="E179" s="63" t="n"/>
      <c r="F179" s="60" t="n"/>
      <c r="G179" s="60" t="n"/>
      <c r="H179" s="71">
        <f>IF(OR($C179="",$D179=""),"",IF(ISNUMBER($E179),$E179,IF($O179="","",IF(N(INDEX('Menu Pricing'!$O$7:$O$56,$O179))&gt;0,INDEX('Menu Pricing'!$O$7:$O$56,$O179),""))))</f>
        <v/>
      </c>
      <c r="I179" s="71">
        <f>IF($N179&lt;&gt;"OK","",$D179*$H179)</f>
        <v/>
      </c>
      <c r="J179" s="71">
        <f>IF($N179&lt;&gt;"OK","",N(INDEX('Menu Pricing'!$F$7:$F$56,$O179))+N(INDEX('Menu Pricing'!$G$7:$G$56,$O179))+N(INDEX('Menu Pricing'!$J$7:$J$56,$O179)))</f>
        <v/>
      </c>
      <c r="K179" s="71">
        <f>IF($N179&lt;&gt;"OK","",$D179*$J179)</f>
        <v/>
      </c>
      <c r="L179" s="71">
        <f>IF($N179&lt;&gt;"OK","",$I179-$K179)</f>
        <v/>
      </c>
      <c r="M179" s="71">
        <f>IF($N179&lt;&gt;"OK","",$D179*N(INDEX('Menu Pricing'!$F$7:$F$56,$O179)))</f>
        <v/>
      </c>
      <c r="N179" s="80">
        <f>IF(AND($B179="",$C179="",$D179=""),"",IF(NOT(ISNUMBER($B179)),"Enter a valid date",IF($C179="","Pick a menu item",IF($O179="","Item not on Menu Pricing",IF(N($D179)&lt;=0,"Qty must be above 0",IF($H179="","No price on menu","OK"))))))</f>
        <v/>
      </c>
      <c r="O179" s="13">
        <f>IF($C179="","",IFERROR(MATCH($C179,'Menu Pricing'!$B$7:$B$56,0),""))</f>
        <v/>
      </c>
    </row>
    <row r="180" ht="17" customHeight="1">
      <c r="B180" s="66" t="n"/>
      <c r="C180" s="60" t="n"/>
      <c r="D180" s="86" t="n"/>
      <c r="E180" s="63" t="n"/>
      <c r="F180" s="60" t="n"/>
      <c r="G180" s="60" t="n"/>
      <c r="H180" s="71">
        <f>IF(OR($C180="",$D180=""),"",IF(ISNUMBER($E180),$E180,IF($O180="","",IF(N(INDEX('Menu Pricing'!$O$7:$O$56,$O180))&gt;0,INDEX('Menu Pricing'!$O$7:$O$56,$O180),""))))</f>
        <v/>
      </c>
      <c r="I180" s="71">
        <f>IF($N180&lt;&gt;"OK","",$D180*$H180)</f>
        <v/>
      </c>
      <c r="J180" s="71">
        <f>IF($N180&lt;&gt;"OK","",N(INDEX('Menu Pricing'!$F$7:$F$56,$O180))+N(INDEX('Menu Pricing'!$G$7:$G$56,$O180))+N(INDEX('Menu Pricing'!$J$7:$J$56,$O180)))</f>
        <v/>
      </c>
      <c r="K180" s="71">
        <f>IF($N180&lt;&gt;"OK","",$D180*$J180)</f>
        <v/>
      </c>
      <c r="L180" s="71">
        <f>IF($N180&lt;&gt;"OK","",$I180-$K180)</f>
        <v/>
      </c>
      <c r="M180" s="71">
        <f>IF($N180&lt;&gt;"OK","",$D180*N(INDEX('Menu Pricing'!$F$7:$F$56,$O180)))</f>
        <v/>
      </c>
      <c r="N180" s="80">
        <f>IF(AND($B180="",$C180="",$D180=""),"",IF(NOT(ISNUMBER($B180)),"Enter a valid date",IF($C180="","Pick a menu item",IF($O180="","Item not on Menu Pricing",IF(N($D180)&lt;=0,"Qty must be above 0",IF($H180="","No price on menu","OK"))))))</f>
        <v/>
      </c>
      <c r="O180" s="13">
        <f>IF($C180="","",IFERROR(MATCH($C180,'Menu Pricing'!$B$7:$B$56,0),""))</f>
        <v/>
      </c>
    </row>
    <row r="181" ht="17" customHeight="1">
      <c r="B181" s="66" t="n"/>
      <c r="C181" s="60" t="n"/>
      <c r="D181" s="86" t="n"/>
      <c r="E181" s="63" t="n"/>
      <c r="F181" s="60" t="n"/>
      <c r="G181" s="60" t="n"/>
      <c r="H181" s="71">
        <f>IF(OR($C181="",$D181=""),"",IF(ISNUMBER($E181),$E181,IF($O181="","",IF(N(INDEX('Menu Pricing'!$O$7:$O$56,$O181))&gt;0,INDEX('Menu Pricing'!$O$7:$O$56,$O181),""))))</f>
        <v/>
      </c>
      <c r="I181" s="71">
        <f>IF($N181&lt;&gt;"OK","",$D181*$H181)</f>
        <v/>
      </c>
      <c r="J181" s="71">
        <f>IF($N181&lt;&gt;"OK","",N(INDEX('Menu Pricing'!$F$7:$F$56,$O181))+N(INDEX('Menu Pricing'!$G$7:$G$56,$O181))+N(INDEX('Menu Pricing'!$J$7:$J$56,$O181)))</f>
        <v/>
      </c>
      <c r="K181" s="71">
        <f>IF($N181&lt;&gt;"OK","",$D181*$J181)</f>
        <v/>
      </c>
      <c r="L181" s="71">
        <f>IF($N181&lt;&gt;"OK","",$I181-$K181)</f>
        <v/>
      </c>
      <c r="M181" s="71">
        <f>IF($N181&lt;&gt;"OK","",$D181*N(INDEX('Menu Pricing'!$F$7:$F$56,$O181)))</f>
        <v/>
      </c>
      <c r="N181" s="80">
        <f>IF(AND($B181="",$C181="",$D181=""),"",IF(NOT(ISNUMBER($B181)),"Enter a valid date",IF($C181="","Pick a menu item",IF($O181="","Item not on Menu Pricing",IF(N($D181)&lt;=0,"Qty must be above 0",IF($H181="","No price on menu","OK"))))))</f>
        <v/>
      </c>
      <c r="O181" s="13">
        <f>IF($C181="","",IFERROR(MATCH($C181,'Menu Pricing'!$B$7:$B$56,0),""))</f>
        <v/>
      </c>
    </row>
    <row r="182" ht="17" customHeight="1">
      <c r="B182" s="66" t="n"/>
      <c r="C182" s="60" t="n"/>
      <c r="D182" s="86" t="n"/>
      <c r="E182" s="63" t="n"/>
      <c r="F182" s="60" t="n"/>
      <c r="G182" s="60" t="n"/>
      <c r="H182" s="71">
        <f>IF(OR($C182="",$D182=""),"",IF(ISNUMBER($E182),$E182,IF($O182="","",IF(N(INDEX('Menu Pricing'!$O$7:$O$56,$O182))&gt;0,INDEX('Menu Pricing'!$O$7:$O$56,$O182),""))))</f>
        <v/>
      </c>
      <c r="I182" s="71">
        <f>IF($N182&lt;&gt;"OK","",$D182*$H182)</f>
        <v/>
      </c>
      <c r="J182" s="71">
        <f>IF($N182&lt;&gt;"OK","",N(INDEX('Menu Pricing'!$F$7:$F$56,$O182))+N(INDEX('Menu Pricing'!$G$7:$G$56,$O182))+N(INDEX('Menu Pricing'!$J$7:$J$56,$O182)))</f>
        <v/>
      </c>
      <c r="K182" s="71">
        <f>IF($N182&lt;&gt;"OK","",$D182*$J182)</f>
        <v/>
      </c>
      <c r="L182" s="71">
        <f>IF($N182&lt;&gt;"OK","",$I182-$K182)</f>
        <v/>
      </c>
      <c r="M182" s="71">
        <f>IF($N182&lt;&gt;"OK","",$D182*N(INDEX('Menu Pricing'!$F$7:$F$56,$O182)))</f>
        <v/>
      </c>
      <c r="N182" s="80">
        <f>IF(AND($B182="",$C182="",$D182=""),"",IF(NOT(ISNUMBER($B182)),"Enter a valid date",IF($C182="","Pick a menu item",IF($O182="","Item not on Menu Pricing",IF(N($D182)&lt;=0,"Qty must be above 0",IF($H182="","No price on menu","OK"))))))</f>
        <v/>
      </c>
      <c r="O182" s="13">
        <f>IF($C182="","",IFERROR(MATCH($C182,'Menu Pricing'!$B$7:$B$56,0),""))</f>
        <v/>
      </c>
    </row>
    <row r="183" ht="17" customHeight="1">
      <c r="B183" s="66" t="n"/>
      <c r="C183" s="60" t="n"/>
      <c r="D183" s="86" t="n"/>
      <c r="E183" s="63" t="n"/>
      <c r="F183" s="60" t="n"/>
      <c r="G183" s="60" t="n"/>
      <c r="H183" s="71">
        <f>IF(OR($C183="",$D183=""),"",IF(ISNUMBER($E183),$E183,IF($O183="","",IF(N(INDEX('Menu Pricing'!$O$7:$O$56,$O183))&gt;0,INDEX('Menu Pricing'!$O$7:$O$56,$O183),""))))</f>
        <v/>
      </c>
      <c r="I183" s="71">
        <f>IF($N183&lt;&gt;"OK","",$D183*$H183)</f>
        <v/>
      </c>
      <c r="J183" s="71">
        <f>IF($N183&lt;&gt;"OK","",N(INDEX('Menu Pricing'!$F$7:$F$56,$O183))+N(INDEX('Menu Pricing'!$G$7:$G$56,$O183))+N(INDEX('Menu Pricing'!$J$7:$J$56,$O183)))</f>
        <v/>
      </c>
      <c r="K183" s="71">
        <f>IF($N183&lt;&gt;"OK","",$D183*$J183)</f>
        <v/>
      </c>
      <c r="L183" s="71">
        <f>IF($N183&lt;&gt;"OK","",$I183-$K183)</f>
        <v/>
      </c>
      <c r="M183" s="71">
        <f>IF($N183&lt;&gt;"OK","",$D183*N(INDEX('Menu Pricing'!$F$7:$F$56,$O183)))</f>
        <v/>
      </c>
      <c r="N183" s="80">
        <f>IF(AND($B183="",$C183="",$D183=""),"",IF(NOT(ISNUMBER($B183)),"Enter a valid date",IF($C183="","Pick a menu item",IF($O183="","Item not on Menu Pricing",IF(N($D183)&lt;=0,"Qty must be above 0",IF($H183="","No price on menu","OK"))))))</f>
        <v/>
      </c>
      <c r="O183" s="13">
        <f>IF($C183="","",IFERROR(MATCH($C183,'Menu Pricing'!$B$7:$B$56,0),""))</f>
        <v/>
      </c>
    </row>
    <row r="184" ht="17" customHeight="1">
      <c r="B184" s="66" t="n"/>
      <c r="C184" s="60" t="n"/>
      <c r="D184" s="86" t="n"/>
      <c r="E184" s="63" t="n"/>
      <c r="F184" s="60" t="n"/>
      <c r="G184" s="60" t="n"/>
      <c r="H184" s="71">
        <f>IF(OR($C184="",$D184=""),"",IF(ISNUMBER($E184),$E184,IF($O184="","",IF(N(INDEX('Menu Pricing'!$O$7:$O$56,$O184))&gt;0,INDEX('Menu Pricing'!$O$7:$O$56,$O184),""))))</f>
        <v/>
      </c>
      <c r="I184" s="71">
        <f>IF($N184&lt;&gt;"OK","",$D184*$H184)</f>
        <v/>
      </c>
      <c r="J184" s="71">
        <f>IF($N184&lt;&gt;"OK","",N(INDEX('Menu Pricing'!$F$7:$F$56,$O184))+N(INDEX('Menu Pricing'!$G$7:$G$56,$O184))+N(INDEX('Menu Pricing'!$J$7:$J$56,$O184)))</f>
        <v/>
      </c>
      <c r="K184" s="71">
        <f>IF($N184&lt;&gt;"OK","",$D184*$J184)</f>
        <v/>
      </c>
      <c r="L184" s="71">
        <f>IF($N184&lt;&gt;"OK","",$I184-$K184)</f>
        <v/>
      </c>
      <c r="M184" s="71">
        <f>IF($N184&lt;&gt;"OK","",$D184*N(INDEX('Menu Pricing'!$F$7:$F$56,$O184)))</f>
        <v/>
      </c>
      <c r="N184" s="80">
        <f>IF(AND($B184="",$C184="",$D184=""),"",IF(NOT(ISNUMBER($B184)),"Enter a valid date",IF($C184="","Pick a menu item",IF($O184="","Item not on Menu Pricing",IF(N($D184)&lt;=0,"Qty must be above 0",IF($H184="","No price on menu","OK"))))))</f>
        <v/>
      </c>
      <c r="O184" s="13">
        <f>IF($C184="","",IFERROR(MATCH($C184,'Menu Pricing'!$B$7:$B$56,0),""))</f>
        <v/>
      </c>
    </row>
    <row r="185" ht="17" customHeight="1">
      <c r="B185" s="66" t="n"/>
      <c r="C185" s="60" t="n"/>
      <c r="D185" s="86" t="n"/>
      <c r="E185" s="63" t="n"/>
      <c r="F185" s="60" t="n"/>
      <c r="G185" s="60" t="n"/>
      <c r="H185" s="71">
        <f>IF(OR($C185="",$D185=""),"",IF(ISNUMBER($E185),$E185,IF($O185="","",IF(N(INDEX('Menu Pricing'!$O$7:$O$56,$O185))&gt;0,INDEX('Menu Pricing'!$O$7:$O$56,$O185),""))))</f>
        <v/>
      </c>
      <c r="I185" s="71">
        <f>IF($N185&lt;&gt;"OK","",$D185*$H185)</f>
        <v/>
      </c>
      <c r="J185" s="71">
        <f>IF($N185&lt;&gt;"OK","",N(INDEX('Menu Pricing'!$F$7:$F$56,$O185))+N(INDEX('Menu Pricing'!$G$7:$G$56,$O185))+N(INDEX('Menu Pricing'!$J$7:$J$56,$O185)))</f>
        <v/>
      </c>
      <c r="K185" s="71">
        <f>IF($N185&lt;&gt;"OK","",$D185*$J185)</f>
        <v/>
      </c>
      <c r="L185" s="71">
        <f>IF($N185&lt;&gt;"OK","",$I185-$K185)</f>
        <v/>
      </c>
      <c r="M185" s="71">
        <f>IF($N185&lt;&gt;"OK","",$D185*N(INDEX('Menu Pricing'!$F$7:$F$56,$O185)))</f>
        <v/>
      </c>
      <c r="N185" s="80">
        <f>IF(AND($B185="",$C185="",$D185=""),"",IF(NOT(ISNUMBER($B185)),"Enter a valid date",IF($C185="","Pick a menu item",IF($O185="","Item not on Menu Pricing",IF(N($D185)&lt;=0,"Qty must be above 0",IF($H185="","No price on menu","OK"))))))</f>
        <v/>
      </c>
      <c r="O185" s="13">
        <f>IF($C185="","",IFERROR(MATCH($C185,'Menu Pricing'!$B$7:$B$56,0),""))</f>
        <v/>
      </c>
    </row>
    <row r="186" ht="17" customHeight="1">
      <c r="B186" s="66" t="n"/>
      <c r="C186" s="60" t="n"/>
      <c r="D186" s="86" t="n"/>
      <c r="E186" s="63" t="n"/>
      <c r="F186" s="60" t="n"/>
      <c r="G186" s="60" t="n"/>
      <c r="H186" s="71">
        <f>IF(OR($C186="",$D186=""),"",IF(ISNUMBER($E186),$E186,IF($O186="","",IF(N(INDEX('Menu Pricing'!$O$7:$O$56,$O186))&gt;0,INDEX('Menu Pricing'!$O$7:$O$56,$O186),""))))</f>
        <v/>
      </c>
      <c r="I186" s="71">
        <f>IF($N186&lt;&gt;"OK","",$D186*$H186)</f>
        <v/>
      </c>
      <c r="J186" s="71">
        <f>IF($N186&lt;&gt;"OK","",N(INDEX('Menu Pricing'!$F$7:$F$56,$O186))+N(INDEX('Menu Pricing'!$G$7:$G$56,$O186))+N(INDEX('Menu Pricing'!$J$7:$J$56,$O186)))</f>
        <v/>
      </c>
      <c r="K186" s="71">
        <f>IF($N186&lt;&gt;"OK","",$D186*$J186)</f>
        <v/>
      </c>
      <c r="L186" s="71">
        <f>IF($N186&lt;&gt;"OK","",$I186-$K186)</f>
        <v/>
      </c>
      <c r="M186" s="71">
        <f>IF($N186&lt;&gt;"OK","",$D186*N(INDEX('Menu Pricing'!$F$7:$F$56,$O186)))</f>
        <v/>
      </c>
      <c r="N186" s="80">
        <f>IF(AND($B186="",$C186="",$D186=""),"",IF(NOT(ISNUMBER($B186)),"Enter a valid date",IF($C186="","Pick a menu item",IF($O186="","Item not on Menu Pricing",IF(N($D186)&lt;=0,"Qty must be above 0",IF($H186="","No price on menu","OK"))))))</f>
        <v/>
      </c>
      <c r="O186" s="13">
        <f>IF($C186="","",IFERROR(MATCH($C186,'Menu Pricing'!$B$7:$B$56,0),""))</f>
        <v/>
      </c>
    </row>
    <row r="187" ht="17" customHeight="1">
      <c r="B187" s="66" t="n"/>
      <c r="C187" s="60" t="n"/>
      <c r="D187" s="86" t="n"/>
      <c r="E187" s="63" t="n"/>
      <c r="F187" s="60" t="n"/>
      <c r="G187" s="60" t="n"/>
      <c r="H187" s="71">
        <f>IF(OR($C187="",$D187=""),"",IF(ISNUMBER($E187),$E187,IF($O187="","",IF(N(INDEX('Menu Pricing'!$O$7:$O$56,$O187))&gt;0,INDEX('Menu Pricing'!$O$7:$O$56,$O187),""))))</f>
        <v/>
      </c>
      <c r="I187" s="71">
        <f>IF($N187&lt;&gt;"OK","",$D187*$H187)</f>
        <v/>
      </c>
      <c r="J187" s="71">
        <f>IF($N187&lt;&gt;"OK","",N(INDEX('Menu Pricing'!$F$7:$F$56,$O187))+N(INDEX('Menu Pricing'!$G$7:$G$56,$O187))+N(INDEX('Menu Pricing'!$J$7:$J$56,$O187)))</f>
        <v/>
      </c>
      <c r="K187" s="71">
        <f>IF($N187&lt;&gt;"OK","",$D187*$J187)</f>
        <v/>
      </c>
      <c r="L187" s="71">
        <f>IF($N187&lt;&gt;"OK","",$I187-$K187)</f>
        <v/>
      </c>
      <c r="M187" s="71">
        <f>IF($N187&lt;&gt;"OK","",$D187*N(INDEX('Menu Pricing'!$F$7:$F$56,$O187)))</f>
        <v/>
      </c>
      <c r="N187" s="80">
        <f>IF(AND($B187="",$C187="",$D187=""),"",IF(NOT(ISNUMBER($B187)),"Enter a valid date",IF($C187="","Pick a menu item",IF($O187="","Item not on Menu Pricing",IF(N($D187)&lt;=0,"Qty must be above 0",IF($H187="","No price on menu","OK"))))))</f>
        <v/>
      </c>
      <c r="O187" s="13">
        <f>IF($C187="","",IFERROR(MATCH($C187,'Menu Pricing'!$B$7:$B$56,0),""))</f>
        <v/>
      </c>
    </row>
    <row r="188" ht="17" customHeight="1">
      <c r="B188" s="66" t="n"/>
      <c r="C188" s="60" t="n"/>
      <c r="D188" s="86" t="n"/>
      <c r="E188" s="63" t="n"/>
      <c r="F188" s="60" t="n"/>
      <c r="G188" s="60" t="n"/>
      <c r="H188" s="71">
        <f>IF(OR($C188="",$D188=""),"",IF(ISNUMBER($E188),$E188,IF($O188="","",IF(N(INDEX('Menu Pricing'!$O$7:$O$56,$O188))&gt;0,INDEX('Menu Pricing'!$O$7:$O$56,$O188),""))))</f>
        <v/>
      </c>
      <c r="I188" s="71">
        <f>IF($N188&lt;&gt;"OK","",$D188*$H188)</f>
        <v/>
      </c>
      <c r="J188" s="71">
        <f>IF($N188&lt;&gt;"OK","",N(INDEX('Menu Pricing'!$F$7:$F$56,$O188))+N(INDEX('Menu Pricing'!$G$7:$G$56,$O188))+N(INDEX('Menu Pricing'!$J$7:$J$56,$O188)))</f>
        <v/>
      </c>
      <c r="K188" s="71">
        <f>IF($N188&lt;&gt;"OK","",$D188*$J188)</f>
        <v/>
      </c>
      <c r="L188" s="71">
        <f>IF($N188&lt;&gt;"OK","",$I188-$K188)</f>
        <v/>
      </c>
      <c r="M188" s="71">
        <f>IF($N188&lt;&gt;"OK","",$D188*N(INDEX('Menu Pricing'!$F$7:$F$56,$O188)))</f>
        <v/>
      </c>
      <c r="N188" s="80">
        <f>IF(AND($B188="",$C188="",$D188=""),"",IF(NOT(ISNUMBER($B188)),"Enter a valid date",IF($C188="","Pick a menu item",IF($O188="","Item not on Menu Pricing",IF(N($D188)&lt;=0,"Qty must be above 0",IF($H188="","No price on menu","OK"))))))</f>
        <v/>
      </c>
      <c r="O188" s="13">
        <f>IF($C188="","",IFERROR(MATCH($C188,'Menu Pricing'!$B$7:$B$56,0),""))</f>
        <v/>
      </c>
    </row>
    <row r="189" ht="17" customHeight="1">
      <c r="B189" s="66" t="n"/>
      <c r="C189" s="60" t="n"/>
      <c r="D189" s="86" t="n"/>
      <c r="E189" s="63" t="n"/>
      <c r="F189" s="60" t="n"/>
      <c r="G189" s="60" t="n"/>
      <c r="H189" s="71">
        <f>IF(OR($C189="",$D189=""),"",IF(ISNUMBER($E189),$E189,IF($O189="","",IF(N(INDEX('Menu Pricing'!$O$7:$O$56,$O189))&gt;0,INDEX('Menu Pricing'!$O$7:$O$56,$O189),""))))</f>
        <v/>
      </c>
      <c r="I189" s="71">
        <f>IF($N189&lt;&gt;"OK","",$D189*$H189)</f>
        <v/>
      </c>
      <c r="J189" s="71">
        <f>IF($N189&lt;&gt;"OK","",N(INDEX('Menu Pricing'!$F$7:$F$56,$O189))+N(INDEX('Menu Pricing'!$G$7:$G$56,$O189))+N(INDEX('Menu Pricing'!$J$7:$J$56,$O189)))</f>
        <v/>
      </c>
      <c r="K189" s="71">
        <f>IF($N189&lt;&gt;"OK","",$D189*$J189)</f>
        <v/>
      </c>
      <c r="L189" s="71">
        <f>IF($N189&lt;&gt;"OK","",$I189-$K189)</f>
        <v/>
      </c>
      <c r="M189" s="71">
        <f>IF($N189&lt;&gt;"OK","",$D189*N(INDEX('Menu Pricing'!$F$7:$F$56,$O189)))</f>
        <v/>
      </c>
      <c r="N189" s="80">
        <f>IF(AND($B189="",$C189="",$D189=""),"",IF(NOT(ISNUMBER($B189)),"Enter a valid date",IF($C189="","Pick a menu item",IF($O189="","Item not on Menu Pricing",IF(N($D189)&lt;=0,"Qty must be above 0",IF($H189="","No price on menu","OK"))))))</f>
        <v/>
      </c>
      <c r="O189" s="13">
        <f>IF($C189="","",IFERROR(MATCH($C189,'Menu Pricing'!$B$7:$B$56,0),""))</f>
        <v/>
      </c>
    </row>
    <row r="190" ht="17" customHeight="1">
      <c r="B190" s="66" t="n"/>
      <c r="C190" s="60" t="n"/>
      <c r="D190" s="86" t="n"/>
      <c r="E190" s="63" t="n"/>
      <c r="F190" s="60" t="n"/>
      <c r="G190" s="60" t="n"/>
      <c r="H190" s="71">
        <f>IF(OR($C190="",$D190=""),"",IF(ISNUMBER($E190),$E190,IF($O190="","",IF(N(INDEX('Menu Pricing'!$O$7:$O$56,$O190))&gt;0,INDEX('Menu Pricing'!$O$7:$O$56,$O190),""))))</f>
        <v/>
      </c>
      <c r="I190" s="71">
        <f>IF($N190&lt;&gt;"OK","",$D190*$H190)</f>
        <v/>
      </c>
      <c r="J190" s="71">
        <f>IF($N190&lt;&gt;"OK","",N(INDEX('Menu Pricing'!$F$7:$F$56,$O190))+N(INDEX('Menu Pricing'!$G$7:$G$56,$O190))+N(INDEX('Menu Pricing'!$J$7:$J$56,$O190)))</f>
        <v/>
      </c>
      <c r="K190" s="71">
        <f>IF($N190&lt;&gt;"OK","",$D190*$J190)</f>
        <v/>
      </c>
      <c r="L190" s="71">
        <f>IF($N190&lt;&gt;"OK","",$I190-$K190)</f>
        <v/>
      </c>
      <c r="M190" s="71">
        <f>IF($N190&lt;&gt;"OK","",$D190*N(INDEX('Menu Pricing'!$F$7:$F$56,$O190)))</f>
        <v/>
      </c>
      <c r="N190" s="80">
        <f>IF(AND($B190="",$C190="",$D190=""),"",IF(NOT(ISNUMBER($B190)),"Enter a valid date",IF($C190="","Pick a menu item",IF($O190="","Item not on Menu Pricing",IF(N($D190)&lt;=0,"Qty must be above 0",IF($H190="","No price on menu","OK"))))))</f>
        <v/>
      </c>
      <c r="O190" s="13">
        <f>IF($C190="","",IFERROR(MATCH($C190,'Menu Pricing'!$B$7:$B$56,0),""))</f>
        <v/>
      </c>
    </row>
    <row r="191" ht="17" customHeight="1">
      <c r="B191" s="66" t="n"/>
      <c r="C191" s="60" t="n"/>
      <c r="D191" s="86" t="n"/>
      <c r="E191" s="63" t="n"/>
      <c r="F191" s="60" t="n"/>
      <c r="G191" s="60" t="n"/>
      <c r="H191" s="71">
        <f>IF(OR($C191="",$D191=""),"",IF(ISNUMBER($E191),$E191,IF($O191="","",IF(N(INDEX('Menu Pricing'!$O$7:$O$56,$O191))&gt;0,INDEX('Menu Pricing'!$O$7:$O$56,$O191),""))))</f>
        <v/>
      </c>
      <c r="I191" s="71">
        <f>IF($N191&lt;&gt;"OK","",$D191*$H191)</f>
        <v/>
      </c>
      <c r="J191" s="71">
        <f>IF($N191&lt;&gt;"OK","",N(INDEX('Menu Pricing'!$F$7:$F$56,$O191))+N(INDEX('Menu Pricing'!$G$7:$G$56,$O191))+N(INDEX('Menu Pricing'!$J$7:$J$56,$O191)))</f>
        <v/>
      </c>
      <c r="K191" s="71">
        <f>IF($N191&lt;&gt;"OK","",$D191*$J191)</f>
        <v/>
      </c>
      <c r="L191" s="71">
        <f>IF($N191&lt;&gt;"OK","",$I191-$K191)</f>
        <v/>
      </c>
      <c r="M191" s="71">
        <f>IF($N191&lt;&gt;"OK","",$D191*N(INDEX('Menu Pricing'!$F$7:$F$56,$O191)))</f>
        <v/>
      </c>
      <c r="N191" s="80">
        <f>IF(AND($B191="",$C191="",$D191=""),"",IF(NOT(ISNUMBER($B191)),"Enter a valid date",IF($C191="","Pick a menu item",IF($O191="","Item not on Menu Pricing",IF(N($D191)&lt;=0,"Qty must be above 0",IF($H191="","No price on menu","OK"))))))</f>
        <v/>
      </c>
      <c r="O191" s="13">
        <f>IF($C191="","",IFERROR(MATCH($C191,'Menu Pricing'!$B$7:$B$56,0),""))</f>
        <v/>
      </c>
    </row>
    <row r="192" ht="17" customHeight="1">
      <c r="B192" s="66" t="n"/>
      <c r="C192" s="60" t="n"/>
      <c r="D192" s="86" t="n"/>
      <c r="E192" s="63" t="n"/>
      <c r="F192" s="60" t="n"/>
      <c r="G192" s="60" t="n"/>
      <c r="H192" s="71">
        <f>IF(OR($C192="",$D192=""),"",IF(ISNUMBER($E192),$E192,IF($O192="","",IF(N(INDEX('Menu Pricing'!$O$7:$O$56,$O192))&gt;0,INDEX('Menu Pricing'!$O$7:$O$56,$O192),""))))</f>
        <v/>
      </c>
      <c r="I192" s="71">
        <f>IF($N192&lt;&gt;"OK","",$D192*$H192)</f>
        <v/>
      </c>
      <c r="J192" s="71">
        <f>IF($N192&lt;&gt;"OK","",N(INDEX('Menu Pricing'!$F$7:$F$56,$O192))+N(INDEX('Menu Pricing'!$G$7:$G$56,$O192))+N(INDEX('Menu Pricing'!$J$7:$J$56,$O192)))</f>
        <v/>
      </c>
      <c r="K192" s="71">
        <f>IF($N192&lt;&gt;"OK","",$D192*$J192)</f>
        <v/>
      </c>
      <c r="L192" s="71">
        <f>IF($N192&lt;&gt;"OK","",$I192-$K192)</f>
        <v/>
      </c>
      <c r="M192" s="71">
        <f>IF($N192&lt;&gt;"OK","",$D192*N(INDEX('Menu Pricing'!$F$7:$F$56,$O192)))</f>
        <v/>
      </c>
      <c r="N192" s="80">
        <f>IF(AND($B192="",$C192="",$D192=""),"",IF(NOT(ISNUMBER($B192)),"Enter a valid date",IF($C192="","Pick a menu item",IF($O192="","Item not on Menu Pricing",IF(N($D192)&lt;=0,"Qty must be above 0",IF($H192="","No price on menu","OK"))))))</f>
        <v/>
      </c>
      <c r="O192" s="13">
        <f>IF($C192="","",IFERROR(MATCH($C192,'Menu Pricing'!$B$7:$B$56,0),""))</f>
        <v/>
      </c>
    </row>
    <row r="193" ht="17" customHeight="1">
      <c r="B193" s="66" t="n"/>
      <c r="C193" s="60" t="n"/>
      <c r="D193" s="86" t="n"/>
      <c r="E193" s="63" t="n"/>
      <c r="F193" s="60" t="n"/>
      <c r="G193" s="60" t="n"/>
      <c r="H193" s="71">
        <f>IF(OR($C193="",$D193=""),"",IF(ISNUMBER($E193),$E193,IF($O193="","",IF(N(INDEX('Menu Pricing'!$O$7:$O$56,$O193))&gt;0,INDEX('Menu Pricing'!$O$7:$O$56,$O193),""))))</f>
        <v/>
      </c>
      <c r="I193" s="71">
        <f>IF($N193&lt;&gt;"OK","",$D193*$H193)</f>
        <v/>
      </c>
      <c r="J193" s="71">
        <f>IF($N193&lt;&gt;"OK","",N(INDEX('Menu Pricing'!$F$7:$F$56,$O193))+N(INDEX('Menu Pricing'!$G$7:$G$56,$O193))+N(INDEX('Menu Pricing'!$J$7:$J$56,$O193)))</f>
        <v/>
      </c>
      <c r="K193" s="71">
        <f>IF($N193&lt;&gt;"OK","",$D193*$J193)</f>
        <v/>
      </c>
      <c r="L193" s="71">
        <f>IF($N193&lt;&gt;"OK","",$I193-$K193)</f>
        <v/>
      </c>
      <c r="M193" s="71">
        <f>IF($N193&lt;&gt;"OK","",$D193*N(INDEX('Menu Pricing'!$F$7:$F$56,$O193)))</f>
        <v/>
      </c>
      <c r="N193" s="80">
        <f>IF(AND($B193="",$C193="",$D193=""),"",IF(NOT(ISNUMBER($B193)),"Enter a valid date",IF($C193="","Pick a menu item",IF($O193="","Item not on Menu Pricing",IF(N($D193)&lt;=0,"Qty must be above 0",IF($H193="","No price on menu","OK"))))))</f>
        <v/>
      </c>
      <c r="O193" s="13">
        <f>IF($C193="","",IFERROR(MATCH($C193,'Menu Pricing'!$B$7:$B$56,0),""))</f>
        <v/>
      </c>
    </row>
    <row r="194" ht="17" customHeight="1">
      <c r="B194" s="66" t="n"/>
      <c r="C194" s="60" t="n"/>
      <c r="D194" s="86" t="n"/>
      <c r="E194" s="63" t="n"/>
      <c r="F194" s="60" t="n"/>
      <c r="G194" s="60" t="n"/>
      <c r="H194" s="71">
        <f>IF(OR($C194="",$D194=""),"",IF(ISNUMBER($E194),$E194,IF($O194="","",IF(N(INDEX('Menu Pricing'!$O$7:$O$56,$O194))&gt;0,INDEX('Menu Pricing'!$O$7:$O$56,$O194),""))))</f>
        <v/>
      </c>
      <c r="I194" s="71">
        <f>IF($N194&lt;&gt;"OK","",$D194*$H194)</f>
        <v/>
      </c>
      <c r="J194" s="71">
        <f>IF($N194&lt;&gt;"OK","",N(INDEX('Menu Pricing'!$F$7:$F$56,$O194))+N(INDEX('Menu Pricing'!$G$7:$G$56,$O194))+N(INDEX('Menu Pricing'!$J$7:$J$56,$O194)))</f>
        <v/>
      </c>
      <c r="K194" s="71">
        <f>IF($N194&lt;&gt;"OK","",$D194*$J194)</f>
        <v/>
      </c>
      <c r="L194" s="71">
        <f>IF($N194&lt;&gt;"OK","",$I194-$K194)</f>
        <v/>
      </c>
      <c r="M194" s="71">
        <f>IF($N194&lt;&gt;"OK","",$D194*N(INDEX('Menu Pricing'!$F$7:$F$56,$O194)))</f>
        <v/>
      </c>
      <c r="N194" s="80">
        <f>IF(AND($B194="",$C194="",$D194=""),"",IF(NOT(ISNUMBER($B194)),"Enter a valid date",IF($C194="","Pick a menu item",IF($O194="","Item not on Menu Pricing",IF(N($D194)&lt;=0,"Qty must be above 0",IF($H194="","No price on menu","OK"))))))</f>
        <v/>
      </c>
      <c r="O194" s="13">
        <f>IF($C194="","",IFERROR(MATCH($C194,'Menu Pricing'!$B$7:$B$56,0),""))</f>
        <v/>
      </c>
    </row>
    <row r="195" ht="17" customHeight="1">
      <c r="B195" s="66" t="n"/>
      <c r="C195" s="60" t="n"/>
      <c r="D195" s="86" t="n"/>
      <c r="E195" s="63" t="n"/>
      <c r="F195" s="60" t="n"/>
      <c r="G195" s="60" t="n"/>
      <c r="H195" s="71">
        <f>IF(OR($C195="",$D195=""),"",IF(ISNUMBER($E195),$E195,IF($O195="","",IF(N(INDEX('Menu Pricing'!$O$7:$O$56,$O195))&gt;0,INDEX('Menu Pricing'!$O$7:$O$56,$O195),""))))</f>
        <v/>
      </c>
      <c r="I195" s="71">
        <f>IF($N195&lt;&gt;"OK","",$D195*$H195)</f>
        <v/>
      </c>
      <c r="J195" s="71">
        <f>IF($N195&lt;&gt;"OK","",N(INDEX('Menu Pricing'!$F$7:$F$56,$O195))+N(INDEX('Menu Pricing'!$G$7:$G$56,$O195))+N(INDEX('Menu Pricing'!$J$7:$J$56,$O195)))</f>
        <v/>
      </c>
      <c r="K195" s="71">
        <f>IF($N195&lt;&gt;"OK","",$D195*$J195)</f>
        <v/>
      </c>
      <c r="L195" s="71">
        <f>IF($N195&lt;&gt;"OK","",$I195-$K195)</f>
        <v/>
      </c>
      <c r="M195" s="71">
        <f>IF($N195&lt;&gt;"OK","",$D195*N(INDEX('Menu Pricing'!$F$7:$F$56,$O195)))</f>
        <v/>
      </c>
      <c r="N195" s="80">
        <f>IF(AND($B195="",$C195="",$D195=""),"",IF(NOT(ISNUMBER($B195)),"Enter a valid date",IF($C195="","Pick a menu item",IF($O195="","Item not on Menu Pricing",IF(N($D195)&lt;=0,"Qty must be above 0",IF($H195="","No price on menu","OK"))))))</f>
        <v/>
      </c>
      <c r="O195" s="13">
        <f>IF($C195="","",IFERROR(MATCH($C195,'Menu Pricing'!$B$7:$B$56,0),""))</f>
        <v/>
      </c>
    </row>
    <row r="196" ht="17" customHeight="1">
      <c r="B196" s="66" t="n"/>
      <c r="C196" s="60" t="n"/>
      <c r="D196" s="86" t="n"/>
      <c r="E196" s="63" t="n"/>
      <c r="F196" s="60" t="n"/>
      <c r="G196" s="60" t="n"/>
      <c r="H196" s="71">
        <f>IF(OR($C196="",$D196=""),"",IF(ISNUMBER($E196),$E196,IF($O196="","",IF(N(INDEX('Menu Pricing'!$O$7:$O$56,$O196))&gt;0,INDEX('Menu Pricing'!$O$7:$O$56,$O196),""))))</f>
        <v/>
      </c>
      <c r="I196" s="71">
        <f>IF($N196&lt;&gt;"OK","",$D196*$H196)</f>
        <v/>
      </c>
      <c r="J196" s="71">
        <f>IF($N196&lt;&gt;"OK","",N(INDEX('Menu Pricing'!$F$7:$F$56,$O196))+N(INDEX('Menu Pricing'!$G$7:$G$56,$O196))+N(INDEX('Menu Pricing'!$J$7:$J$56,$O196)))</f>
        <v/>
      </c>
      <c r="K196" s="71">
        <f>IF($N196&lt;&gt;"OK","",$D196*$J196)</f>
        <v/>
      </c>
      <c r="L196" s="71">
        <f>IF($N196&lt;&gt;"OK","",$I196-$K196)</f>
        <v/>
      </c>
      <c r="M196" s="71">
        <f>IF($N196&lt;&gt;"OK","",$D196*N(INDEX('Menu Pricing'!$F$7:$F$56,$O196)))</f>
        <v/>
      </c>
      <c r="N196" s="80">
        <f>IF(AND($B196="",$C196="",$D196=""),"",IF(NOT(ISNUMBER($B196)),"Enter a valid date",IF($C196="","Pick a menu item",IF($O196="","Item not on Menu Pricing",IF(N($D196)&lt;=0,"Qty must be above 0",IF($H196="","No price on menu","OK"))))))</f>
        <v/>
      </c>
      <c r="O196" s="13">
        <f>IF($C196="","",IFERROR(MATCH($C196,'Menu Pricing'!$B$7:$B$56,0),""))</f>
        <v/>
      </c>
    </row>
    <row r="197" ht="17" customHeight="1">
      <c r="B197" s="66" t="n"/>
      <c r="C197" s="60" t="n"/>
      <c r="D197" s="86" t="n"/>
      <c r="E197" s="63" t="n"/>
      <c r="F197" s="60" t="n"/>
      <c r="G197" s="60" t="n"/>
      <c r="H197" s="71">
        <f>IF(OR($C197="",$D197=""),"",IF(ISNUMBER($E197),$E197,IF($O197="","",IF(N(INDEX('Menu Pricing'!$O$7:$O$56,$O197))&gt;0,INDEX('Menu Pricing'!$O$7:$O$56,$O197),""))))</f>
        <v/>
      </c>
      <c r="I197" s="71">
        <f>IF($N197&lt;&gt;"OK","",$D197*$H197)</f>
        <v/>
      </c>
      <c r="J197" s="71">
        <f>IF($N197&lt;&gt;"OK","",N(INDEX('Menu Pricing'!$F$7:$F$56,$O197))+N(INDEX('Menu Pricing'!$G$7:$G$56,$O197))+N(INDEX('Menu Pricing'!$J$7:$J$56,$O197)))</f>
        <v/>
      </c>
      <c r="K197" s="71">
        <f>IF($N197&lt;&gt;"OK","",$D197*$J197)</f>
        <v/>
      </c>
      <c r="L197" s="71">
        <f>IF($N197&lt;&gt;"OK","",$I197-$K197)</f>
        <v/>
      </c>
      <c r="M197" s="71">
        <f>IF($N197&lt;&gt;"OK","",$D197*N(INDEX('Menu Pricing'!$F$7:$F$56,$O197)))</f>
        <v/>
      </c>
      <c r="N197" s="80">
        <f>IF(AND($B197="",$C197="",$D197=""),"",IF(NOT(ISNUMBER($B197)),"Enter a valid date",IF($C197="","Pick a menu item",IF($O197="","Item not on Menu Pricing",IF(N($D197)&lt;=0,"Qty must be above 0",IF($H197="","No price on menu","OK"))))))</f>
        <v/>
      </c>
      <c r="O197" s="13">
        <f>IF($C197="","",IFERROR(MATCH($C197,'Menu Pricing'!$B$7:$B$56,0),""))</f>
        <v/>
      </c>
    </row>
    <row r="198" ht="17" customHeight="1">
      <c r="B198" s="66" t="n"/>
      <c r="C198" s="60" t="n"/>
      <c r="D198" s="86" t="n"/>
      <c r="E198" s="63" t="n"/>
      <c r="F198" s="60" t="n"/>
      <c r="G198" s="60" t="n"/>
      <c r="H198" s="71">
        <f>IF(OR($C198="",$D198=""),"",IF(ISNUMBER($E198),$E198,IF($O198="","",IF(N(INDEX('Menu Pricing'!$O$7:$O$56,$O198))&gt;0,INDEX('Menu Pricing'!$O$7:$O$56,$O198),""))))</f>
        <v/>
      </c>
      <c r="I198" s="71">
        <f>IF($N198&lt;&gt;"OK","",$D198*$H198)</f>
        <v/>
      </c>
      <c r="J198" s="71">
        <f>IF($N198&lt;&gt;"OK","",N(INDEX('Menu Pricing'!$F$7:$F$56,$O198))+N(INDEX('Menu Pricing'!$G$7:$G$56,$O198))+N(INDEX('Menu Pricing'!$J$7:$J$56,$O198)))</f>
        <v/>
      </c>
      <c r="K198" s="71">
        <f>IF($N198&lt;&gt;"OK","",$D198*$J198)</f>
        <v/>
      </c>
      <c r="L198" s="71">
        <f>IF($N198&lt;&gt;"OK","",$I198-$K198)</f>
        <v/>
      </c>
      <c r="M198" s="71">
        <f>IF($N198&lt;&gt;"OK","",$D198*N(INDEX('Menu Pricing'!$F$7:$F$56,$O198)))</f>
        <v/>
      </c>
      <c r="N198" s="80">
        <f>IF(AND($B198="",$C198="",$D198=""),"",IF(NOT(ISNUMBER($B198)),"Enter a valid date",IF($C198="","Pick a menu item",IF($O198="","Item not on Menu Pricing",IF(N($D198)&lt;=0,"Qty must be above 0",IF($H198="","No price on menu","OK"))))))</f>
        <v/>
      </c>
      <c r="O198" s="13">
        <f>IF($C198="","",IFERROR(MATCH($C198,'Menu Pricing'!$B$7:$B$56,0),""))</f>
        <v/>
      </c>
    </row>
    <row r="199" ht="17" customHeight="1">
      <c r="B199" s="66" t="n"/>
      <c r="C199" s="60" t="n"/>
      <c r="D199" s="86" t="n"/>
      <c r="E199" s="63" t="n"/>
      <c r="F199" s="60" t="n"/>
      <c r="G199" s="60" t="n"/>
      <c r="H199" s="71">
        <f>IF(OR($C199="",$D199=""),"",IF(ISNUMBER($E199),$E199,IF($O199="","",IF(N(INDEX('Menu Pricing'!$O$7:$O$56,$O199))&gt;0,INDEX('Menu Pricing'!$O$7:$O$56,$O199),""))))</f>
        <v/>
      </c>
      <c r="I199" s="71">
        <f>IF($N199&lt;&gt;"OK","",$D199*$H199)</f>
        <v/>
      </c>
      <c r="J199" s="71">
        <f>IF($N199&lt;&gt;"OK","",N(INDEX('Menu Pricing'!$F$7:$F$56,$O199))+N(INDEX('Menu Pricing'!$G$7:$G$56,$O199))+N(INDEX('Menu Pricing'!$J$7:$J$56,$O199)))</f>
        <v/>
      </c>
      <c r="K199" s="71">
        <f>IF($N199&lt;&gt;"OK","",$D199*$J199)</f>
        <v/>
      </c>
      <c r="L199" s="71">
        <f>IF($N199&lt;&gt;"OK","",$I199-$K199)</f>
        <v/>
      </c>
      <c r="M199" s="71">
        <f>IF($N199&lt;&gt;"OK","",$D199*N(INDEX('Menu Pricing'!$F$7:$F$56,$O199)))</f>
        <v/>
      </c>
      <c r="N199" s="80">
        <f>IF(AND($B199="",$C199="",$D199=""),"",IF(NOT(ISNUMBER($B199)),"Enter a valid date",IF($C199="","Pick a menu item",IF($O199="","Item not on Menu Pricing",IF(N($D199)&lt;=0,"Qty must be above 0",IF($H199="","No price on menu","OK"))))))</f>
        <v/>
      </c>
      <c r="O199" s="13">
        <f>IF($C199="","",IFERROR(MATCH($C199,'Menu Pricing'!$B$7:$B$56,0),""))</f>
        <v/>
      </c>
    </row>
    <row r="200" ht="17" customHeight="1">
      <c r="B200" s="66" t="n"/>
      <c r="C200" s="60" t="n"/>
      <c r="D200" s="86" t="n"/>
      <c r="E200" s="63" t="n"/>
      <c r="F200" s="60" t="n"/>
      <c r="G200" s="60" t="n"/>
      <c r="H200" s="71">
        <f>IF(OR($C200="",$D200=""),"",IF(ISNUMBER($E200),$E200,IF($O200="","",IF(N(INDEX('Menu Pricing'!$O$7:$O$56,$O200))&gt;0,INDEX('Menu Pricing'!$O$7:$O$56,$O200),""))))</f>
        <v/>
      </c>
      <c r="I200" s="71">
        <f>IF($N200&lt;&gt;"OK","",$D200*$H200)</f>
        <v/>
      </c>
      <c r="J200" s="71">
        <f>IF($N200&lt;&gt;"OK","",N(INDEX('Menu Pricing'!$F$7:$F$56,$O200))+N(INDEX('Menu Pricing'!$G$7:$G$56,$O200))+N(INDEX('Menu Pricing'!$J$7:$J$56,$O200)))</f>
        <v/>
      </c>
      <c r="K200" s="71">
        <f>IF($N200&lt;&gt;"OK","",$D200*$J200)</f>
        <v/>
      </c>
      <c r="L200" s="71">
        <f>IF($N200&lt;&gt;"OK","",$I200-$K200)</f>
        <v/>
      </c>
      <c r="M200" s="71">
        <f>IF($N200&lt;&gt;"OK","",$D200*N(INDEX('Menu Pricing'!$F$7:$F$56,$O200)))</f>
        <v/>
      </c>
      <c r="N200" s="80">
        <f>IF(AND($B200="",$C200="",$D200=""),"",IF(NOT(ISNUMBER($B200)),"Enter a valid date",IF($C200="","Pick a menu item",IF($O200="","Item not on Menu Pricing",IF(N($D200)&lt;=0,"Qty must be above 0",IF($H200="","No price on menu","OK"))))))</f>
        <v/>
      </c>
      <c r="O200" s="13">
        <f>IF($C200="","",IFERROR(MATCH($C200,'Menu Pricing'!$B$7:$B$56,0),""))</f>
        <v/>
      </c>
    </row>
    <row r="201" ht="17" customHeight="1">
      <c r="B201" s="66" t="n"/>
      <c r="C201" s="60" t="n"/>
      <c r="D201" s="86" t="n"/>
      <c r="E201" s="63" t="n"/>
      <c r="F201" s="60" t="n"/>
      <c r="G201" s="60" t="n"/>
      <c r="H201" s="71">
        <f>IF(OR($C201="",$D201=""),"",IF(ISNUMBER($E201),$E201,IF($O201="","",IF(N(INDEX('Menu Pricing'!$O$7:$O$56,$O201))&gt;0,INDEX('Menu Pricing'!$O$7:$O$56,$O201),""))))</f>
        <v/>
      </c>
      <c r="I201" s="71">
        <f>IF($N201&lt;&gt;"OK","",$D201*$H201)</f>
        <v/>
      </c>
      <c r="J201" s="71">
        <f>IF($N201&lt;&gt;"OK","",N(INDEX('Menu Pricing'!$F$7:$F$56,$O201))+N(INDEX('Menu Pricing'!$G$7:$G$56,$O201))+N(INDEX('Menu Pricing'!$J$7:$J$56,$O201)))</f>
        <v/>
      </c>
      <c r="K201" s="71">
        <f>IF($N201&lt;&gt;"OK","",$D201*$J201)</f>
        <v/>
      </c>
      <c r="L201" s="71">
        <f>IF($N201&lt;&gt;"OK","",$I201-$K201)</f>
        <v/>
      </c>
      <c r="M201" s="71">
        <f>IF($N201&lt;&gt;"OK","",$D201*N(INDEX('Menu Pricing'!$F$7:$F$56,$O201)))</f>
        <v/>
      </c>
      <c r="N201" s="80">
        <f>IF(AND($B201="",$C201="",$D201=""),"",IF(NOT(ISNUMBER($B201)),"Enter a valid date",IF($C201="","Pick a menu item",IF($O201="","Item not on Menu Pricing",IF(N($D201)&lt;=0,"Qty must be above 0",IF($H201="","No price on menu","OK"))))))</f>
        <v/>
      </c>
      <c r="O201" s="13">
        <f>IF($C201="","",IFERROR(MATCH($C201,'Menu Pricing'!$B$7:$B$56,0),""))</f>
        <v/>
      </c>
    </row>
    <row r="202" ht="17" customHeight="1">
      <c r="B202" s="66" t="n"/>
      <c r="C202" s="60" t="n"/>
      <c r="D202" s="86" t="n"/>
      <c r="E202" s="63" t="n"/>
      <c r="F202" s="60" t="n"/>
      <c r="G202" s="60" t="n"/>
      <c r="H202" s="71">
        <f>IF(OR($C202="",$D202=""),"",IF(ISNUMBER($E202),$E202,IF($O202="","",IF(N(INDEX('Menu Pricing'!$O$7:$O$56,$O202))&gt;0,INDEX('Menu Pricing'!$O$7:$O$56,$O202),""))))</f>
        <v/>
      </c>
      <c r="I202" s="71">
        <f>IF($N202&lt;&gt;"OK","",$D202*$H202)</f>
        <v/>
      </c>
      <c r="J202" s="71">
        <f>IF($N202&lt;&gt;"OK","",N(INDEX('Menu Pricing'!$F$7:$F$56,$O202))+N(INDEX('Menu Pricing'!$G$7:$G$56,$O202))+N(INDEX('Menu Pricing'!$J$7:$J$56,$O202)))</f>
        <v/>
      </c>
      <c r="K202" s="71">
        <f>IF($N202&lt;&gt;"OK","",$D202*$J202)</f>
        <v/>
      </c>
      <c r="L202" s="71">
        <f>IF($N202&lt;&gt;"OK","",$I202-$K202)</f>
        <v/>
      </c>
      <c r="M202" s="71">
        <f>IF($N202&lt;&gt;"OK","",$D202*N(INDEX('Menu Pricing'!$F$7:$F$56,$O202)))</f>
        <v/>
      </c>
      <c r="N202" s="80">
        <f>IF(AND($B202="",$C202="",$D202=""),"",IF(NOT(ISNUMBER($B202)),"Enter a valid date",IF($C202="","Pick a menu item",IF($O202="","Item not on Menu Pricing",IF(N($D202)&lt;=0,"Qty must be above 0",IF($H202="","No price on menu","OK"))))))</f>
        <v/>
      </c>
      <c r="O202" s="13">
        <f>IF($C202="","",IFERROR(MATCH($C202,'Menu Pricing'!$B$7:$B$56,0),""))</f>
        <v/>
      </c>
    </row>
    <row r="203" ht="17" customHeight="1">
      <c r="B203" s="66" t="n"/>
      <c r="C203" s="60" t="n"/>
      <c r="D203" s="86" t="n"/>
      <c r="E203" s="63" t="n"/>
      <c r="F203" s="60" t="n"/>
      <c r="G203" s="60" t="n"/>
      <c r="H203" s="71">
        <f>IF(OR($C203="",$D203=""),"",IF(ISNUMBER($E203),$E203,IF($O203="","",IF(N(INDEX('Menu Pricing'!$O$7:$O$56,$O203))&gt;0,INDEX('Menu Pricing'!$O$7:$O$56,$O203),""))))</f>
        <v/>
      </c>
      <c r="I203" s="71">
        <f>IF($N203&lt;&gt;"OK","",$D203*$H203)</f>
        <v/>
      </c>
      <c r="J203" s="71">
        <f>IF($N203&lt;&gt;"OK","",N(INDEX('Menu Pricing'!$F$7:$F$56,$O203))+N(INDEX('Menu Pricing'!$G$7:$G$56,$O203))+N(INDEX('Menu Pricing'!$J$7:$J$56,$O203)))</f>
        <v/>
      </c>
      <c r="K203" s="71">
        <f>IF($N203&lt;&gt;"OK","",$D203*$J203)</f>
        <v/>
      </c>
      <c r="L203" s="71">
        <f>IF($N203&lt;&gt;"OK","",$I203-$K203)</f>
        <v/>
      </c>
      <c r="M203" s="71">
        <f>IF($N203&lt;&gt;"OK","",$D203*N(INDEX('Menu Pricing'!$F$7:$F$56,$O203)))</f>
        <v/>
      </c>
      <c r="N203" s="80">
        <f>IF(AND($B203="",$C203="",$D203=""),"",IF(NOT(ISNUMBER($B203)),"Enter a valid date",IF($C203="","Pick a menu item",IF($O203="","Item not on Menu Pricing",IF(N($D203)&lt;=0,"Qty must be above 0",IF($H203="","No price on menu","OK"))))))</f>
        <v/>
      </c>
      <c r="O203" s="13">
        <f>IF($C203="","",IFERROR(MATCH($C203,'Menu Pricing'!$B$7:$B$56,0),""))</f>
        <v/>
      </c>
    </row>
    <row r="204" ht="17" customHeight="1">
      <c r="B204" s="66" t="n"/>
      <c r="C204" s="60" t="n"/>
      <c r="D204" s="86" t="n"/>
      <c r="E204" s="63" t="n"/>
      <c r="F204" s="60" t="n"/>
      <c r="G204" s="60" t="n"/>
      <c r="H204" s="71">
        <f>IF(OR($C204="",$D204=""),"",IF(ISNUMBER($E204),$E204,IF($O204="","",IF(N(INDEX('Menu Pricing'!$O$7:$O$56,$O204))&gt;0,INDEX('Menu Pricing'!$O$7:$O$56,$O204),""))))</f>
        <v/>
      </c>
      <c r="I204" s="71">
        <f>IF($N204&lt;&gt;"OK","",$D204*$H204)</f>
        <v/>
      </c>
      <c r="J204" s="71">
        <f>IF($N204&lt;&gt;"OK","",N(INDEX('Menu Pricing'!$F$7:$F$56,$O204))+N(INDEX('Menu Pricing'!$G$7:$G$56,$O204))+N(INDEX('Menu Pricing'!$J$7:$J$56,$O204)))</f>
        <v/>
      </c>
      <c r="K204" s="71">
        <f>IF($N204&lt;&gt;"OK","",$D204*$J204)</f>
        <v/>
      </c>
      <c r="L204" s="71">
        <f>IF($N204&lt;&gt;"OK","",$I204-$K204)</f>
        <v/>
      </c>
      <c r="M204" s="71">
        <f>IF($N204&lt;&gt;"OK","",$D204*N(INDEX('Menu Pricing'!$F$7:$F$56,$O204)))</f>
        <v/>
      </c>
      <c r="N204" s="80">
        <f>IF(AND($B204="",$C204="",$D204=""),"",IF(NOT(ISNUMBER($B204)),"Enter a valid date",IF($C204="","Pick a menu item",IF($O204="","Item not on Menu Pricing",IF(N($D204)&lt;=0,"Qty must be above 0",IF($H204="","No price on menu","OK"))))))</f>
        <v/>
      </c>
      <c r="O204" s="13">
        <f>IF($C204="","",IFERROR(MATCH($C204,'Menu Pricing'!$B$7:$B$56,0),""))</f>
        <v/>
      </c>
    </row>
    <row r="205" ht="17" customHeight="1">
      <c r="B205" s="66" t="n"/>
      <c r="C205" s="60" t="n"/>
      <c r="D205" s="86" t="n"/>
      <c r="E205" s="63" t="n"/>
      <c r="F205" s="60" t="n"/>
      <c r="G205" s="60" t="n"/>
      <c r="H205" s="71">
        <f>IF(OR($C205="",$D205=""),"",IF(ISNUMBER($E205),$E205,IF($O205="","",IF(N(INDEX('Menu Pricing'!$O$7:$O$56,$O205))&gt;0,INDEX('Menu Pricing'!$O$7:$O$56,$O205),""))))</f>
        <v/>
      </c>
      <c r="I205" s="71">
        <f>IF($N205&lt;&gt;"OK","",$D205*$H205)</f>
        <v/>
      </c>
      <c r="J205" s="71">
        <f>IF($N205&lt;&gt;"OK","",N(INDEX('Menu Pricing'!$F$7:$F$56,$O205))+N(INDEX('Menu Pricing'!$G$7:$G$56,$O205))+N(INDEX('Menu Pricing'!$J$7:$J$56,$O205)))</f>
        <v/>
      </c>
      <c r="K205" s="71">
        <f>IF($N205&lt;&gt;"OK","",$D205*$J205)</f>
        <v/>
      </c>
      <c r="L205" s="71">
        <f>IF($N205&lt;&gt;"OK","",$I205-$K205)</f>
        <v/>
      </c>
      <c r="M205" s="71">
        <f>IF($N205&lt;&gt;"OK","",$D205*N(INDEX('Menu Pricing'!$F$7:$F$56,$O205)))</f>
        <v/>
      </c>
      <c r="N205" s="80">
        <f>IF(AND($B205="",$C205="",$D205=""),"",IF(NOT(ISNUMBER($B205)),"Enter a valid date",IF($C205="","Pick a menu item",IF($O205="","Item not on Menu Pricing",IF(N($D205)&lt;=0,"Qty must be above 0",IF($H205="","No price on menu","OK"))))))</f>
        <v/>
      </c>
      <c r="O205" s="13">
        <f>IF($C205="","",IFERROR(MATCH($C205,'Menu Pricing'!$B$7:$B$56,0),""))</f>
        <v/>
      </c>
    </row>
    <row r="206" ht="17" customHeight="1">
      <c r="B206" s="66" t="n"/>
      <c r="C206" s="60" t="n"/>
      <c r="D206" s="86" t="n"/>
      <c r="E206" s="63" t="n"/>
      <c r="F206" s="60" t="n"/>
      <c r="G206" s="60" t="n"/>
      <c r="H206" s="71">
        <f>IF(OR($C206="",$D206=""),"",IF(ISNUMBER($E206),$E206,IF($O206="","",IF(N(INDEX('Menu Pricing'!$O$7:$O$56,$O206))&gt;0,INDEX('Menu Pricing'!$O$7:$O$56,$O206),""))))</f>
        <v/>
      </c>
      <c r="I206" s="71">
        <f>IF($N206&lt;&gt;"OK","",$D206*$H206)</f>
        <v/>
      </c>
      <c r="J206" s="71">
        <f>IF($N206&lt;&gt;"OK","",N(INDEX('Menu Pricing'!$F$7:$F$56,$O206))+N(INDEX('Menu Pricing'!$G$7:$G$56,$O206))+N(INDEX('Menu Pricing'!$J$7:$J$56,$O206)))</f>
        <v/>
      </c>
      <c r="K206" s="71">
        <f>IF($N206&lt;&gt;"OK","",$D206*$J206)</f>
        <v/>
      </c>
      <c r="L206" s="71">
        <f>IF($N206&lt;&gt;"OK","",$I206-$K206)</f>
        <v/>
      </c>
      <c r="M206" s="71">
        <f>IF($N206&lt;&gt;"OK","",$D206*N(INDEX('Menu Pricing'!$F$7:$F$56,$O206)))</f>
        <v/>
      </c>
      <c r="N206" s="80">
        <f>IF(AND($B206="",$C206="",$D206=""),"",IF(NOT(ISNUMBER($B206)),"Enter a valid date",IF($C206="","Pick a menu item",IF($O206="","Item not on Menu Pricing",IF(N($D206)&lt;=0,"Qty must be above 0",IF($H206="","No price on menu","OK"))))))</f>
        <v/>
      </c>
      <c r="O206" s="13">
        <f>IF($C206="","",IFERROR(MATCH($C206,'Menu Pricing'!$B$7:$B$56,0),""))</f>
        <v/>
      </c>
    </row>
    <row r="207" ht="17" customHeight="1">
      <c r="B207" s="66" t="n"/>
      <c r="C207" s="60" t="n"/>
      <c r="D207" s="86" t="n"/>
      <c r="E207" s="63" t="n"/>
      <c r="F207" s="60" t="n"/>
      <c r="G207" s="60" t="n"/>
      <c r="H207" s="71">
        <f>IF(OR($C207="",$D207=""),"",IF(ISNUMBER($E207),$E207,IF($O207="","",IF(N(INDEX('Menu Pricing'!$O$7:$O$56,$O207))&gt;0,INDEX('Menu Pricing'!$O$7:$O$56,$O207),""))))</f>
        <v/>
      </c>
      <c r="I207" s="71">
        <f>IF($N207&lt;&gt;"OK","",$D207*$H207)</f>
        <v/>
      </c>
      <c r="J207" s="71">
        <f>IF($N207&lt;&gt;"OK","",N(INDEX('Menu Pricing'!$F$7:$F$56,$O207))+N(INDEX('Menu Pricing'!$G$7:$G$56,$O207))+N(INDEX('Menu Pricing'!$J$7:$J$56,$O207)))</f>
        <v/>
      </c>
      <c r="K207" s="71">
        <f>IF($N207&lt;&gt;"OK","",$D207*$J207)</f>
        <v/>
      </c>
      <c r="L207" s="71">
        <f>IF($N207&lt;&gt;"OK","",$I207-$K207)</f>
        <v/>
      </c>
      <c r="M207" s="71">
        <f>IF($N207&lt;&gt;"OK","",$D207*N(INDEX('Menu Pricing'!$F$7:$F$56,$O207)))</f>
        <v/>
      </c>
      <c r="N207" s="80">
        <f>IF(AND($B207="",$C207="",$D207=""),"",IF(NOT(ISNUMBER($B207)),"Enter a valid date",IF($C207="","Pick a menu item",IF($O207="","Item not on Menu Pricing",IF(N($D207)&lt;=0,"Qty must be above 0",IF($H207="","No price on menu","OK"))))))</f>
        <v/>
      </c>
      <c r="O207" s="13">
        <f>IF($C207="","",IFERROR(MATCH($C207,'Menu Pricing'!$B$7:$B$56,0),""))</f>
        <v/>
      </c>
    </row>
    <row r="208" ht="17" customHeight="1">
      <c r="B208" s="66" t="n"/>
      <c r="C208" s="60" t="n"/>
      <c r="D208" s="86" t="n"/>
      <c r="E208" s="63" t="n"/>
      <c r="F208" s="60" t="n"/>
      <c r="G208" s="60" t="n"/>
      <c r="H208" s="71">
        <f>IF(OR($C208="",$D208=""),"",IF(ISNUMBER($E208),$E208,IF($O208="","",IF(N(INDEX('Menu Pricing'!$O$7:$O$56,$O208))&gt;0,INDEX('Menu Pricing'!$O$7:$O$56,$O208),""))))</f>
        <v/>
      </c>
      <c r="I208" s="71">
        <f>IF($N208&lt;&gt;"OK","",$D208*$H208)</f>
        <v/>
      </c>
      <c r="J208" s="71">
        <f>IF($N208&lt;&gt;"OK","",N(INDEX('Menu Pricing'!$F$7:$F$56,$O208))+N(INDEX('Menu Pricing'!$G$7:$G$56,$O208))+N(INDEX('Menu Pricing'!$J$7:$J$56,$O208)))</f>
        <v/>
      </c>
      <c r="K208" s="71">
        <f>IF($N208&lt;&gt;"OK","",$D208*$J208)</f>
        <v/>
      </c>
      <c r="L208" s="71">
        <f>IF($N208&lt;&gt;"OK","",$I208-$K208)</f>
        <v/>
      </c>
      <c r="M208" s="71">
        <f>IF($N208&lt;&gt;"OK","",$D208*N(INDEX('Menu Pricing'!$F$7:$F$56,$O208)))</f>
        <v/>
      </c>
      <c r="N208" s="80">
        <f>IF(AND($B208="",$C208="",$D208=""),"",IF(NOT(ISNUMBER($B208)),"Enter a valid date",IF($C208="","Pick a menu item",IF($O208="","Item not on Menu Pricing",IF(N($D208)&lt;=0,"Qty must be above 0",IF($H208="","No price on menu","OK"))))))</f>
        <v/>
      </c>
      <c r="O208" s="13">
        <f>IF($C208="","",IFERROR(MATCH($C208,'Menu Pricing'!$B$7:$B$56,0),""))</f>
        <v/>
      </c>
    </row>
    <row r="209" ht="17" customHeight="1">
      <c r="B209" s="66" t="n"/>
      <c r="C209" s="60" t="n"/>
      <c r="D209" s="86" t="n"/>
      <c r="E209" s="63" t="n"/>
      <c r="F209" s="60" t="n"/>
      <c r="G209" s="60" t="n"/>
      <c r="H209" s="71">
        <f>IF(OR($C209="",$D209=""),"",IF(ISNUMBER($E209),$E209,IF($O209="","",IF(N(INDEX('Menu Pricing'!$O$7:$O$56,$O209))&gt;0,INDEX('Menu Pricing'!$O$7:$O$56,$O209),""))))</f>
        <v/>
      </c>
      <c r="I209" s="71">
        <f>IF($N209&lt;&gt;"OK","",$D209*$H209)</f>
        <v/>
      </c>
      <c r="J209" s="71">
        <f>IF($N209&lt;&gt;"OK","",N(INDEX('Menu Pricing'!$F$7:$F$56,$O209))+N(INDEX('Menu Pricing'!$G$7:$G$56,$O209))+N(INDEX('Menu Pricing'!$J$7:$J$56,$O209)))</f>
        <v/>
      </c>
      <c r="K209" s="71">
        <f>IF($N209&lt;&gt;"OK","",$D209*$J209)</f>
        <v/>
      </c>
      <c r="L209" s="71">
        <f>IF($N209&lt;&gt;"OK","",$I209-$K209)</f>
        <v/>
      </c>
      <c r="M209" s="71">
        <f>IF($N209&lt;&gt;"OK","",$D209*N(INDEX('Menu Pricing'!$F$7:$F$56,$O209)))</f>
        <v/>
      </c>
      <c r="N209" s="80">
        <f>IF(AND($B209="",$C209="",$D209=""),"",IF(NOT(ISNUMBER($B209)),"Enter a valid date",IF($C209="","Pick a menu item",IF($O209="","Item not on Menu Pricing",IF(N($D209)&lt;=0,"Qty must be above 0",IF($H209="","No price on menu","OK"))))))</f>
        <v/>
      </c>
      <c r="O209" s="13">
        <f>IF($C209="","",IFERROR(MATCH($C209,'Menu Pricing'!$B$7:$B$56,0),""))</f>
        <v/>
      </c>
    </row>
    <row r="210" ht="17" customHeight="1">
      <c r="B210" s="66" t="n"/>
      <c r="C210" s="60" t="n"/>
      <c r="D210" s="86" t="n"/>
      <c r="E210" s="63" t="n"/>
      <c r="F210" s="60" t="n"/>
      <c r="G210" s="60" t="n"/>
      <c r="H210" s="71">
        <f>IF(OR($C210="",$D210=""),"",IF(ISNUMBER($E210),$E210,IF($O210="","",IF(N(INDEX('Menu Pricing'!$O$7:$O$56,$O210))&gt;0,INDEX('Menu Pricing'!$O$7:$O$56,$O210),""))))</f>
        <v/>
      </c>
      <c r="I210" s="71">
        <f>IF($N210&lt;&gt;"OK","",$D210*$H210)</f>
        <v/>
      </c>
      <c r="J210" s="71">
        <f>IF($N210&lt;&gt;"OK","",N(INDEX('Menu Pricing'!$F$7:$F$56,$O210))+N(INDEX('Menu Pricing'!$G$7:$G$56,$O210))+N(INDEX('Menu Pricing'!$J$7:$J$56,$O210)))</f>
        <v/>
      </c>
      <c r="K210" s="71">
        <f>IF($N210&lt;&gt;"OK","",$D210*$J210)</f>
        <v/>
      </c>
      <c r="L210" s="71">
        <f>IF($N210&lt;&gt;"OK","",$I210-$K210)</f>
        <v/>
      </c>
      <c r="M210" s="71">
        <f>IF($N210&lt;&gt;"OK","",$D210*N(INDEX('Menu Pricing'!$F$7:$F$56,$O210)))</f>
        <v/>
      </c>
      <c r="N210" s="80">
        <f>IF(AND($B210="",$C210="",$D210=""),"",IF(NOT(ISNUMBER($B210)),"Enter a valid date",IF($C210="","Pick a menu item",IF($O210="","Item not on Menu Pricing",IF(N($D210)&lt;=0,"Qty must be above 0",IF($H210="","No price on menu","OK"))))))</f>
        <v/>
      </c>
      <c r="O210" s="13">
        <f>IF($C210="","",IFERROR(MATCH($C210,'Menu Pricing'!$B$7:$B$56,0),""))</f>
        <v/>
      </c>
    </row>
    <row r="211" ht="17" customHeight="1">
      <c r="B211" s="66" t="n"/>
      <c r="C211" s="60" t="n"/>
      <c r="D211" s="86" t="n"/>
      <c r="E211" s="63" t="n"/>
      <c r="F211" s="60" t="n"/>
      <c r="G211" s="60" t="n"/>
      <c r="H211" s="71">
        <f>IF(OR($C211="",$D211=""),"",IF(ISNUMBER($E211),$E211,IF($O211="","",IF(N(INDEX('Menu Pricing'!$O$7:$O$56,$O211))&gt;0,INDEX('Menu Pricing'!$O$7:$O$56,$O211),""))))</f>
        <v/>
      </c>
      <c r="I211" s="71">
        <f>IF($N211&lt;&gt;"OK","",$D211*$H211)</f>
        <v/>
      </c>
      <c r="J211" s="71">
        <f>IF($N211&lt;&gt;"OK","",N(INDEX('Menu Pricing'!$F$7:$F$56,$O211))+N(INDEX('Menu Pricing'!$G$7:$G$56,$O211))+N(INDEX('Menu Pricing'!$J$7:$J$56,$O211)))</f>
        <v/>
      </c>
      <c r="K211" s="71">
        <f>IF($N211&lt;&gt;"OK","",$D211*$J211)</f>
        <v/>
      </c>
      <c r="L211" s="71">
        <f>IF($N211&lt;&gt;"OK","",$I211-$K211)</f>
        <v/>
      </c>
      <c r="M211" s="71">
        <f>IF($N211&lt;&gt;"OK","",$D211*N(INDEX('Menu Pricing'!$F$7:$F$56,$O211)))</f>
        <v/>
      </c>
      <c r="N211" s="80">
        <f>IF(AND($B211="",$C211="",$D211=""),"",IF(NOT(ISNUMBER($B211)),"Enter a valid date",IF($C211="","Pick a menu item",IF($O211="","Item not on Menu Pricing",IF(N($D211)&lt;=0,"Qty must be above 0",IF($H211="","No price on menu","OK"))))))</f>
        <v/>
      </c>
      <c r="O211" s="13">
        <f>IF($C211="","",IFERROR(MATCH($C211,'Menu Pricing'!$B$7:$B$56,0),""))</f>
        <v/>
      </c>
    </row>
    <row r="212" ht="17" customHeight="1">
      <c r="B212" s="66" t="n"/>
      <c r="C212" s="60" t="n"/>
      <c r="D212" s="86" t="n"/>
      <c r="E212" s="63" t="n"/>
      <c r="F212" s="60" t="n"/>
      <c r="G212" s="60" t="n"/>
      <c r="H212" s="71">
        <f>IF(OR($C212="",$D212=""),"",IF(ISNUMBER($E212),$E212,IF($O212="","",IF(N(INDEX('Menu Pricing'!$O$7:$O$56,$O212))&gt;0,INDEX('Menu Pricing'!$O$7:$O$56,$O212),""))))</f>
        <v/>
      </c>
      <c r="I212" s="71">
        <f>IF($N212&lt;&gt;"OK","",$D212*$H212)</f>
        <v/>
      </c>
      <c r="J212" s="71">
        <f>IF($N212&lt;&gt;"OK","",N(INDEX('Menu Pricing'!$F$7:$F$56,$O212))+N(INDEX('Menu Pricing'!$G$7:$G$56,$O212))+N(INDEX('Menu Pricing'!$J$7:$J$56,$O212)))</f>
        <v/>
      </c>
      <c r="K212" s="71">
        <f>IF($N212&lt;&gt;"OK","",$D212*$J212)</f>
        <v/>
      </c>
      <c r="L212" s="71">
        <f>IF($N212&lt;&gt;"OK","",$I212-$K212)</f>
        <v/>
      </c>
      <c r="M212" s="71">
        <f>IF($N212&lt;&gt;"OK","",$D212*N(INDEX('Menu Pricing'!$F$7:$F$56,$O212)))</f>
        <v/>
      </c>
      <c r="N212" s="80">
        <f>IF(AND($B212="",$C212="",$D212=""),"",IF(NOT(ISNUMBER($B212)),"Enter a valid date",IF($C212="","Pick a menu item",IF($O212="","Item not on Menu Pricing",IF(N($D212)&lt;=0,"Qty must be above 0",IF($H212="","No price on menu","OK"))))))</f>
        <v/>
      </c>
      <c r="O212" s="13">
        <f>IF($C212="","",IFERROR(MATCH($C212,'Menu Pricing'!$B$7:$B$56,0),""))</f>
        <v/>
      </c>
    </row>
    <row r="213" ht="17" customHeight="1">
      <c r="B213" s="66" t="n"/>
      <c r="C213" s="60" t="n"/>
      <c r="D213" s="86" t="n"/>
      <c r="E213" s="63" t="n"/>
      <c r="F213" s="60" t="n"/>
      <c r="G213" s="60" t="n"/>
      <c r="H213" s="71">
        <f>IF(OR($C213="",$D213=""),"",IF(ISNUMBER($E213),$E213,IF($O213="","",IF(N(INDEX('Menu Pricing'!$O$7:$O$56,$O213))&gt;0,INDEX('Menu Pricing'!$O$7:$O$56,$O213),""))))</f>
        <v/>
      </c>
      <c r="I213" s="71">
        <f>IF($N213&lt;&gt;"OK","",$D213*$H213)</f>
        <v/>
      </c>
      <c r="J213" s="71">
        <f>IF($N213&lt;&gt;"OK","",N(INDEX('Menu Pricing'!$F$7:$F$56,$O213))+N(INDEX('Menu Pricing'!$G$7:$G$56,$O213))+N(INDEX('Menu Pricing'!$J$7:$J$56,$O213)))</f>
        <v/>
      </c>
      <c r="K213" s="71">
        <f>IF($N213&lt;&gt;"OK","",$D213*$J213)</f>
        <v/>
      </c>
      <c r="L213" s="71">
        <f>IF($N213&lt;&gt;"OK","",$I213-$K213)</f>
        <v/>
      </c>
      <c r="M213" s="71">
        <f>IF($N213&lt;&gt;"OK","",$D213*N(INDEX('Menu Pricing'!$F$7:$F$56,$O213)))</f>
        <v/>
      </c>
      <c r="N213" s="80">
        <f>IF(AND($B213="",$C213="",$D213=""),"",IF(NOT(ISNUMBER($B213)),"Enter a valid date",IF($C213="","Pick a menu item",IF($O213="","Item not on Menu Pricing",IF(N($D213)&lt;=0,"Qty must be above 0",IF($H213="","No price on menu","OK"))))))</f>
        <v/>
      </c>
      <c r="O213" s="13">
        <f>IF($C213="","",IFERROR(MATCH($C213,'Menu Pricing'!$B$7:$B$56,0),""))</f>
        <v/>
      </c>
    </row>
    <row r="214" ht="17" customHeight="1">
      <c r="B214" s="66" t="n"/>
      <c r="C214" s="60" t="n"/>
      <c r="D214" s="86" t="n"/>
      <c r="E214" s="63" t="n"/>
      <c r="F214" s="60" t="n"/>
      <c r="G214" s="60" t="n"/>
      <c r="H214" s="71">
        <f>IF(OR($C214="",$D214=""),"",IF(ISNUMBER($E214),$E214,IF($O214="","",IF(N(INDEX('Menu Pricing'!$O$7:$O$56,$O214))&gt;0,INDEX('Menu Pricing'!$O$7:$O$56,$O214),""))))</f>
        <v/>
      </c>
      <c r="I214" s="71">
        <f>IF($N214&lt;&gt;"OK","",$D214*$H214)</f>
        <v/>
      </c>
      <c r="J214" s="71">
        <f>IF($N214&lt;&gt;"OK","",N(INDEX('Menu Pricing'!$F$7:$F$56,$O214))+N(INDEX('Menu Pricing'!$G$7:$G$56,$O214))+N(INDEX('Menu Pricing'!$J$7:$J$56,$O214)))</f>
        <v/>
      </c>
      <c r="K214" s="71">
        <f>IF($N214&lt;&gt;"OK","",$D214*$J214)</f>
        <v/>
      </c>
      <c r="L214" s="71">
        <f>IF($N214&lt;&gt;"OK","",$I214-$K214)</f>
        <v/>
      </c>
      <c r="M214" s="71">
        <f>IF($N214&lt;&gt;"OK","",$D214*N(INDEX('Menu Pricing'!$F$7:$F$56,$O214)))</f>
        <v/>
      </c>
      <c r="N214" s="80">
        <f>IF(AND($B214="",$C214="",$D214=""),"",IF(NOT(ISNUMBER($B214)),"Enter a valid date",IF($C214="","Pick a menu item",IF($O214="","Item not on Menu Pricing",IF(N($D214)&lt;=0,"Qty must be above 0",IF($H214="","No price on menu","OK"))))))</f>
        <v/>
      </c>
      <c r="O214" s="13">
        <f>IF($C214="","",IFERROR(MATCH($C214,'Menu Pricing'!$B$7:$B$56,0),""))</f>
        <v/>
      </c>
    </row>
    <row r="215" ht="17" customHeight="1">
      <c r="B215" s="66" t="n"/>
      <c r="C215" s="60" t="n"/>
      <c r="D215" s="86" t="n"/>
      <c r="E215" s="63" t="n"/>
      <c r="F215" s="60" t="n"/>
      <c r="G215" s="60" t="n"/>
      <c r="H215" s="71">
        <f>IF(OR($C215="",$D215=""),"",IF(ISNUMBER($E215),$E215,IF($O215="","",IF(N(INDEX('Menu Pricing'!$O$7:$O$56,$O215))&gt;0,INDEX('Menu Pricing'!$O$7:$O$56,$O215),""))))</f>
        <v/>
      </c>
      <c r="I215" s="71">
        <f>IF($N215&lt;&gt;"OK","",$D215*$H215)</f>
        <v/>
      </c>
      <c r="J215" s="71">
        <f>IF($N215&lt;&gt;"OK","",N(INDEX('Menu Pricing'!$F$7:$F$56,$O215))+N(INDEX('Menu Pricing'!$G$7:$G$56,$O215))+N(INDEX('Menu Pricing'!$J$7:$J$56,$O215)))</f>
        <v/>
      </c>
      <c r="K215" s="71">
        <f>IF($N215&lt;&gt;"OK","",$D215*$J215)</f>
        <v/>
      </c>
      <c r="L215" s="71">
        <f>IF($N215&lt;&gt;"OK","",$I215-$K215)</f>
        <v/>
      </c>
      <c r="M215" s="71">
        <f>IF($N215&lt;&gt;"OK","",$D215*N(INDEX('Menu Pricing'!$F$7:$F$56,$O215)))</f>
        <v/>
      </c>
      <c r="N215" s="80">
        <f>IF(AND($B215="",$C215="",$D215=""),"",IF(NOT(ISNUMBER($B215)),"Enter a valid date",IF($C215="","Pick a menu item",IF($O215="","Item not on Menu Pricing",IF(N($D215)&lt;=0,"Qty must be above 0",IF($H215="","No price on menu","OK"))))))</f>
        <v/>
      </c>
      <c r="O215" s="13">
        <f>IF($C215="","",IFERROR(MATCH($C215,'Menu Pricing'!$B$7:$B$56,0),""))</f>
        <v/>
      </c>
    </row>
    <row r="216" ht="17" customHeight="1">
      <c r="B216" s="66" t="n"/>
      <c r="C216" s="60" t="n"/>
      <c r="D216" s="86" t="n"/>
      <c r="E216" s="63" t="n"/>
      <c r="F216" s="60" t="n"/>
      <c r="G216" s="60" t="n"/>
      <c r="H216" s="71">
        <f>IF(OR($C216="",$D216=""),"",IF(ISNUMBER($E216),$E216,IF($O216="","",IF(N(INDEX('Menu Pricing'!$O$7:$O$56,$O216))&gt;0,INDEX('Menu Pricing'!$O$7:$O$56,$O216),""))))</f>
        <v/>
      </c>
      <c r="I216" s="71">
        <f>IF($N216&lt;&gt;"OK","",$D216*$H216)</f>
        <v/>
      </c>
      <c r="J216" s="71">
        <f>IF($N216&lt;&gt;"OK","",N(INDEX('Menu Pricing'!$F$7:$F$56,$O216))+N(INDEX('Menu Pricing'!$G$7:$G$56,$O216))+N(INDEX('Menu Pricing'!$J$7:$J$56,$O216)))</f>
        <v/>
      </c>
      <c r="K216" s="71">
        <f>IF($N216&lt;&gt;"OK","",$D216*$J216)</f>
        <v/>
      </c>
      <c r="L216" s="71">
        <f>IF($N216&lt;&gt;"OK","",$I216-$K216)</f>
        <v/>
      </c>
      <c r="M216" s="71">
        <f>IF($N216&lt;&gt;"OK","",$D216*N(INDEX('Menu Pricing'!$F$7:$F$56,$O216)))</f>
        <v/>
      </c>
      <c r="N216" s="80">
        <f>IF(AND($B216="",$C216="",$D216=""),"",IF(NOT(ISNUMBER($B216)),"Enter a valid date",IF($C216="","Pick a menu item",IF($O216="","Item not on Menu Pricing",IF(N($D216)&lt;=0,"Qty must be above 0",IF($H216="","No price on menu","OK"))))))</f>
        <v/>
      </c>
      <c r="O216" s="13">
        <f>IF($C216="","",IFERROR(MATCH($C216,'Menu Pricing'!$B$7:$B$56,0),""))</f>
        <v/>
      </c>
    </row>
    <row r="217" ht="17" customHeight="1">
      <c r="B217" s="66" t="n"/>
      <c r="C217" s="60" t="n"/>
      <c r="D217" s="86" t="n"/>
      <c r="E217" s="63" t="n"/>
      <c r="F217" s="60" t="n"/>
      <c r="G217" s="60" t="n"/>
      <c r="H217" s="71">
        <f>IF(OR($C217="",$D217=""),"",IF(ISNUMBER($E217),$E217,IF($O217="","",IF(N(INDEX('Menu Pricing'!$O$7:$O$56,$O217))&gt;0,INDEX('Menu Pricing'!$O$7:$O$56,$O217),""))))</f>
        <v/>
      </c>
      <c r="I217" s="71">
        <f>IF($N217&lt;&gt;"OK","",$D217*$H217)</f>
        <v/>
      </c>
      <c r="J217" s="71">
        <f>IF($N217&lt;&gt;"OK","",N(INDEX('Menu Pricing'!$F$7:$F$56,$O217))+N(INDEX('Menu Pricing'!$G$7:$G$56,$O217))+N(INDEX('Menu Pricing'!$J$7:$J$56,$O217)))</f>
        <v/>
      </c>
      <c r="K217" s="71">
        <f>IF($N217&lt;&gt;"OK","",$D217*$J217)</f>
        <v/>
      </c>
      <c r="L217" s="71">
        <f>IF($N217&lt;&gt;"OK","",$I217-$K217)</f>
        <v/>
      </c>
      <c r="M217" s="71">
        <f>IF($N217&lt;&gt;"OK","",$D217*N(INDEX('Menu Pricing'!$F$7:$F$56,$O217)))</f>
        <v/>
      </c>
      <c r="N217" s="80">
        <f>IF(AND($B217="",$C217="",$D217=""),"",IF(NOT(ISNUMBER($B217)),"Enter a valid date",IF($C217="","Pick a menu item",IF($O217="","Item not on Menu Pricing",IF(N($D217)&lt;=0,"Qty must be above 0",IF($H217="","No price on menu","OK"))))))</f>
        <v/>
      </c>
      <c r="O217" s="13">
        <f>IF($C217="","",IFERROR(MATCH($C217,'Menu Pricing'!$B$7:$B$56,0),""))</f>
        <v/>
      </c>
    </row>
    <row r="218" ht="17" customHeight="1">
      <c r="B218" s="66" t="n"/>
      <c r="C218" s="60" t="n"/>
      <c r="D218" s="86" t="n"/>
      <c r="E218" s="63" t="n"/>
      <c r="F218" s="60" t="n"/>
      <c r="G218" s="60" t="n"/>
      <c r="H218" s="71">
        <f>IF(OR($C218="",$D218=""),"",IF(ISNUMBER($E218),$E218,IF($O218="","",IF(N(INDEX('Menu Pricing'!$O$7:$O$56,$O218))&gt;0,INDEX('Menu Pricing'!$O$7:$O$56,$O218),""))))</f>
        <v/>
      </c>
      <c r="I218" s="71">
        <f>IF($N218&lt;&gt;"OK","",$D218*$H218)</f>
        <v/>
      </c>
      <c r="J218" s="71">
        <f>IF($N218&lt;&gt;"OK","",N(INDEX('Menu Pricing'!$F$7:$F$56,$O218))+N(INDEX('Menu Pricing'!$G$7:$G$56,$O218))+N(INDEX('Menu Pricing'!$J$7:$J$56,$O218)))</f>
        <v/>
      </c>
      <c r="K218" s="71">
        <f>IF($N218&lt;&gt;"OK","",$D218*$J218)</f>
        <v/>
      </c>
      <c r="L218" s="71">
        <f>IF($N218&lt;&gt;"OK","",$I218-$K218)</f>
        <v/>
      </c>
      <c r="M218" s="71">
        <f>IF($N218&lt;&gt;"OK","",$D218*N(INDEX('Menu Pricing'!$F$7:$F$56,$O218)))</f>
        <v/>
      </c>
      <c r="N218" s="80">
        <f>IF(AND($B218="",$C218="",$D218=""),"",IF(NOT(ISNUMBER($B218)),"Enter a valid date",IF($C218="","Pick a menu item",IF($O218="","Item not on Menu Pricing",IF(N($D218)&lt;=0,"Qty must be above 0",IF($H218="","No price on menu","OK"))))))</f>
        <v/>
      </c>
      <c r="O218" s="13">
        <f>IF($C218="","",IFERROR(MATCH($C218,'Menu Pricing'!$B$7:$B$56,0),""))</f>
        <v/>
      </c>
    </row>
    <row r="219" ht="17" customHeight="1">
      <c r="B219" s="66" t="n"/>
      <c r="C219" s="60" t="n"/>
      <c r="D219" s="86" t="n"/>
      <c r="E219" s="63" t="n"/>
      <c r="F219" s="60" t="n"/>
      <c r="G219" s="60" t="n"/>
      <c r="H219" s="71">
        <f>IF(OR($C219="",$D219=""),"",IF(ISNUMBER($E219),$E219,IF($O219="","",IF(N(INDEX('Menu Pricing'!$O$7:$O$56,$O219))&gt;0,INDEX('Menu Pricing'!$O$7:$O$56,$O219),""))))</f>
        <v/>
      </c>
      <c r="I219" s="71">
        <f>IF($N219&lt;&gt;"OK","",$D219*$H219)</f>
        <v/>
      </c>
      <c r="J219" s="71">
        <f>IF($N219&lt;&gt;"OK","",N(INDEX('Menu Pricing'!$F$7:$F$56,$O219))+N(INDEX('Menu Pricing'!$G$7:$G$56,$O219))+N(INDEX('Menu Pricing'!$J$7:$J$56,$O219)))</f>
        <v/>
      </c>
      <c r="K219" s="71">
        <f>IF($N219&lt;&gt;"OK","",$D219*$J219)</f>
        <v/>
      </c>
      <c r="L219" s="71">
        <f>IF($N219&lt;&gt;"OK","",$I219-$K219)</f>
        <v/>
      </c>
      <c r="M219" s="71">
        <f>IF($N219&lt;&gt;"OK","",$D219*N(INDEX('Menu Pricing'!$F$7:$F$56,$O219)))</f>
        <v/>
      </c>
      <c r="N219" s="80">
        <f>IF(AND($B219="",$C219="",$D219=""),"",IF(NOT(ISNUMBER($B219)),"Enter a valid date",IF($C219="","Pick a menu item",IF($O219="","Item not on Menu Pricing",IF(N($D219)&lt;=0,"Qty must be above 0",IF($H219="","No price on menu","OK"))))))</f>
        <v/>
      </c>
      <c r="O219" s="13">
        <f>IF($C219="","",IFERROR(MATCH($C219,'Menu Pricing'!$B$7:$B$56,0),""))</f>
        <v/>
      </c>
    </row>
    <row r="220" ht="17" customHeight="1">
      <c r="B220" s="66" t="n"/>
      <c r="C220" s="60" t="n"/>
      <c r="D220" s="86" t="n"/>
      <c r="E220" s="63" t="n"/>
      <c r="F220" s="60" t="n"/>
      <c r="G220" s="60" t="n"/>
      <c r="H220" s="71">
        <f>IF(OR($C220="",$D220=""),"",IF(ISNUMBER($E220),$E220,IF($O220="","",IF(N(INDEX('Menu Pricing'!$O$7:$O$56,$O220))&gt;0,INDEX('Menu Pricing'!$O$7:$O$56,$O220),""))))</f>
        <v/>
      </c>
      <c r="I220" s="71">
        <f>IF($N220&lt;&gt;"OK","",$D220*$H220)</f>
        <v/>
      </c>
      <c r="J220" s="71">
        <f>IF($N220&lt;&gt;"OK","",N(INDEX('Menu Pricing'!$F$7:$F$56,$O220))+N(INDEX('Menu Pricing'!$G$7:$G$56,$O220))+N(INDEX('Menu Pricing'!$J$7:$J$56,$O220)))</f>
        <v/>
      </c>
      <c r="K220" s="71">
        <f>IF($N220&lt;&gt;"OK","",$D220*$J220)</f>
        <v/>
      </c>
      <c r="L220" s="71">
        <f>IF($N220&lt;&gt;"OK","",$I220-$K220)</f>
        <v/>
      </c>
      <c r="M220" s="71">
        <f>IF($N220&lt;&gt;"OK","",$D220*N(INDEX('Menu Pricing'!$F$7:$F$56,$O220)))</f>
        <v/>
      </c>
      <c r="N220" s="80">
        <f>IF(AND($B220="",$C220="",$D220=""),"",IF(NOT(ISNUMBER($B220)),"Enter a valid date",IF($C220="","Pick a menu item",IF($O220="","Item not on Menu Pricing",IF(N($D220)&lt;=0,"Qty must be above 0",IF($H220="","No price on menu","OK"))))))</f>
        <v/>
      </c>
      <c r="O220" s="13">
        <f>IF($C220="","",IFERROR(MATCH($C220,'Menu Pricing'!$B$7:$B$56,0),""))</f>
        <v/>
      </c>
    </row>
    <row r="221" ht="17" customHeight="1">
      <c r="B221" s="66" t="n"/>
      <c r="C221" s="60" t="n"/>
      <c r="D221" s="86" t="n"/>
      <c r="E221" s="63" t="n"/>
      <c r="F221" s="60" t="n"/>
      <c r="G221" s="60" t="n"/>
      <c r="H221" s="71">
        <f>IF(OR($C221="",$D221=""),"",IF(ISNUMBER($E221),$E221,IF($O221="","",IF(N(INDEX('Menu Pricing'!$O$7:$O$56,$O221))&gt;0,INDEX('Menu Pricing'!$O$7:$O$56,$O221),""))))</f>
        <v/>
      </c>
      <c r="I221" s="71">
        <f>IF($N221&lt;&gt;"OK","",$D221*$H221)</f>
        <v/>
      </c>
      <c r="J221" s="71">
        <f>IF($N221&lt;&gt;"OK","",N(INDEX('Menu Pricing'!$F$7:$F$56,$O221))+N(INDEX('Menu Pricing'!$G$7:$G$56,$O221))+N(INDEX('Menu Pricing'!$J$7:$J$56,$O221)))</f>
        <v/>
      </c>
      <c r="K221" s="71">
        <f>IF($N221&lt;&gt;"OK","",$D221*$J221)</f>
        <v/>
      </c>
      <c r="L221" s="71">
        <f>IF($N221&lt;&gt;"OK","",$I221-$K221)</f>
        <v/>
      </c>
      <c r="M221" s="71">
        <f>IF($N221&lt;&gt;"OK","",$D221*N(INDEX('Menu Pricing'!$F$7:$F$56,$O221)))</f>
        <v/>
      </c>
      <c r="N221" s="80">
        <f>IF(AND($B221="",$C221="",$D221=""),"",IF(NOT(ISNUMBER($B221)),"Enter a valid date",IF($C221="","Pick a menu item",IF($O221="","Item not on Menu Pricing",IF(N($D221)&lt;=0,"Qty must be above 0",IF($H221="","No price on menu","OK"))))))</f>
        <v/>
      </c>
      <c r="O221" s="13">
        <f>IF($C221="","",IFERROR(MATCH($C221,'Menu Pricing'!$B$7:$B$56,0),""))</f>
        <v/>
      </c>
    </row>
    <row r="222" ht="17" customHeight="1">
      <c r="B222" s="66" t="n"/>
      <c r="C222" s="60" t="n"/>
      <c r="D222" s="86" t="n"/>
      <c r="E222" s="63" t="n"/>
      <c r="F222" s="60" t="n"/>
      <c r="G222" s="60" t="n"/>
      <c r="H222" s="71">
        <f>IF(OR($C222="",$D222=""),"",IF(ISNUMBER($E222),$E222,IF($O222="","",IF(N(INDEX('Menu Pricing'!$O$7:$O$56,$O222))&gt;0,INDEX('Menu Pricing'!$O$7:$O$56,$O222),""))))</f>
        <v/>
      </c>
      <c r="I222" s="71">
        <f>IF($N222&lt;&gt;"OK","",$D222*$H222)</f>
        <v/>
      </c>
      <c r="J222" s="71">
        <f>IF($N222&lt;&gt;"OK","",N(INDEX('Menu Pricing'!$F$7:$F$56,$O222))+N(INDEX('Menu Pricing'!$G$7:$G$56,$O222))+N(INDEX('Menu Pricing'!$J$7:$J$56,$O222)))</f>
        <v/>
      </c>
      <c r="K222" s="71">
        <f>IF($N222&lt;&gt;"OK","",$D222*$J222)</f>
        <v/>
      </c>
      <c r="L222" s="71">
        <f>IF($N222&lt;&gt;"OK","",$I222-$K222)</f>
        <v/>
      </c>
      <c r="M222" s="71">
        <f>IF($N222&lt;&gt;"OK","",$D222*N(INDEX('Menu Pricing'!$F$7:$F$56,$O222)))</f>
        <v/>
      </c>
      <c r="N222" s="80">
        <f>IF(AND($B222="",$C222="",$D222=""),"",IF(NOT(ISNUMBER($B222)),"Enter a valid date",IF($C222="","Pick a menu item",IF($O222="","Item not on Menu Pricing",IF(N($D222)&lt;=0,"Qty must be above 0",IF($H222="","No price on menu","OK"))))))</f>
        <v/>
      </c>
      <c r="O222" s="13">
        <f>IF($C222="","",IFERROR(MATCH($C222,'Menu Pricing'!$B$7:$B$56,0),""))</f>
        <v/>
      </c>
    </row>
    <row r="223" ht="17" customHeight="1">
      <c r="B223" s="66" t="n"/>
      <c r="C223" s="60" t="n"/>
      <c r="D223" s="86" t="n"/>
      <c r="E223" s="63" t="n"/>
      <c r="F223" s="60" t="n"/>
      <c r="G223" s="60" t="n"/>
      <c r="H223" s="71">
        <f>IF(OR($C223="",$D223=""),"",IF(ISNUMBER($E223),$E223,IF($O223="","",IF(N(INDEX('Menu Pricing'!$O$7:$O$56,$O223))&gt;0,INDEX('Menu Pricing'!$O$7:$O$56,$O223),""))))</f>
        <v/>
      </c>
      <c r="I223" s="71">
        <f>IF($N223&lt;&gt;"OK","",$D223*$H223)</f>
        <v/>
      </c>
      <c r="J223" s="71">
        <f>IF($N223&lt;&gt;"OK","",N(INDEX('Menu Pricing'!$F$7:$F$56,$O223))+N(INDEX('Menu Pricing'!$G$7:$G$56,$O223))+N(INDEX('Menu Pricing'!$J$7:$J$56,$O223)))</f>
        <v/>
      </c>
      <c r="K223" s="71">
        <f>IF($N223&lt;&gt;"OK","",$D223*$J223)</f>
        <v/>
      </c>
      <c r="L223" s="71">
        <f>IF($N223&lt;&gt;"OK","",$I223-$K223)</f>
        <v/>
      </c>
      <c r="M223" s="71">
        <f>IF($N223&lt;&gt;"OK","",$D223*N(INDEX('Menu Pricing'!$F$7:$F$56,$O223)))</f>
        <v/>
      </c>
      <c r="N223" s="80">
        <f>IF(AND($B223="",$C223="",$D223=""),"",IF(NOT(ISNUMBER($B223)),"Enter a valid date",IF($C223="","Pick a menu item",IF($O223="","Item not on Menu Pricing",IF(N($D223)&lt;=0,"Qty must be above 0",IF($H223="","No price on menu","OK"))))))</f>
        <v/>
      </c>
      <c r="O223" s="13">
        <f>IF($C223="","",IFERROR(MATCH($C223,'Menu Pricing'!$B$7:$B$56,0),""))</f>
        <v/>
      </c>
    </row>
    <row r="224" ht="17" customHeight="1">
      <c r="B224" s="66" t="n"/>
      <c r="C224" s="60" t="n"/>
      <c r="D224" s="86" t="n"/>
      <c r="E224" s="63" t="n"/>
      <c r="F224" s="60" t="n"/>
      <c r="G224" s="60" t="n"/>
      <c r="H224" s="71">
        <f>IF(OR($C224="",$D224=""),"",IF(ISNUMBER($E224),$E224,IF($O224="","",IF(N(INDEX('Menu Pricing'!$O$7:$O$56,$O224))&gt;0,INDEX('Menu Pricing'!$O$7:$O$56,$O224),""))))</f>
        <v/>
      </c>
      <c r="I224" s="71">
        <f>IF($N224&lt;&gt;"OK","",$D224*$H224)</f>
        <v/>
      </c>
      <c r="J224" s="71">
        <f>IF($N224&lt;&gt;"OK","",N(INDEX('Menu Pricing'!$F$7:$F$56,$O224))+N(INDEX('Menu Pricing'!$G$7:$G$56,$O224))+N(INDEX('Menu Pricing'!$J$7:$J$56,$O224)))</f>
        <v/>
      </c>
      <c r="K224" s="71">
        <f>IF($N224&lt;&gt;"OK","",$D224*$J224)</f>
        <v/>
      </c>
      <c r="L224" s="71">
        <f>IF($N224&lt;&gt;"OK","",$I224-$K224)</f>
        <v/>
      </c>
      <c r="M224" s="71">
        <f>IF($N224&lt;&gt;"OK","",$D224*N(INDEX('Menu Pricing'!$F$7:$F$56,$O224)))</f>
        <v/>
      </c>
      <c r="N224" s="80">
        <f>IF(AND($B224="",$C224="",$D224=""),"",IF(NOT(ISNUMBER($B224)),"Enter a valid date",IF($C224="","Pick a menu item",IF($O224="","Item not on Menu Pricing",IF(N($D224)&lt;=0,"Qty must be above 0",IF($H224="","No price on menu","OK"))))))</f>
        <v/>
      </c>
      <c r="O224" s="13">
        <f>IF($C224="","",IFERROR(MATCH($C224,'Menu Pricing'!$B$7:$B$56,0),""))</f>
        <v/>
      </c>
    </row>
    <row r="225" ht="17" customHeight="1">
      <c r="B225" s="66" t="n"/>
      <c r="C225" s="60" t="n"/>
      <c r="D225" s="86" t="n"/>
      <c r="E225" s="63" t="n"/>
      <c r="F225" s="60" t="n"/>
      <c r="G225" s="60" t="n"/>
      <c r="H225" s="71">
        <f>IF(OR($C225="",$D225=""),"",IF(ISNUMBER($E225),$E225,IF($O225="","",IF(N(INDEX('Menu Pricing'!$O$7:$O$56,$O225))&gt;0,INDEX('Menu Pricing'!$O$7:$O$56,$O225),""))))</f>
        <v/>
      </c>
      <c r="I225" s="71">
        <f>IF($N225&lt;&gt;"OK","",$D225*$H225)</f>
        <v/>
      </c>
      <c r="J225" s="71">
        <f>IF($N225&lt;&gt;"OK","",N(INDEX('Menu Pricing'!$F$7:$F$56,$O225))+N(INDEX('Menu Pricing'!$G$7:$G$56,$O225))+N(INDEX('Menu Pricing'!$J$7:$J$56,$O225)))</f>
        <v/>
      </c>
      <c r="K225" s="71">
        <f>IF($N225&lt;&gt;"OK","",$D225*$J225)</f>
        <v/>
      </c>
      <c r="L225" s="71">
        <f>IF($N225&lt;&gt;"OK","",$I225-$K225)</f>
        <v/>
      </c>
      <c r="M225" s="71">
        <f>IF($N225&lt;&gt;"OK","",$D225*N(INDEX('Menu Pricing'!$F$7:$F$56,$O225)))</f>
        <v/>
      </c>
      <c r="N225" s="80">
        <f>IF(AND($B225="",$C225="",$D225=""),"",IF(NOT(ISNUMBER($B225)),"Enter a valid date",IF($C225="","Pick a menu item",IF($O225="","Item not on Menu Pricing",IF(N($D225)&lt;=0,"Qty must be above 0",IF($H225="","No price on menu","OK"))))))</f>
        <v/>
      </c>
      <c r="O225" s="13">
        <f>IF($C225="","",IFERROR(MATCH($C225,'Menu Pricing'!$B$7:$B$56,0),""))</f>
        <v/>
      </c>
    </row>
    <row r="226" ht="17" customHeight="1">
      <c r="B226" s="66" t="n"/>
      <c r="C226" s="60" t="n"/>
      <c r="D226" s="86" t="n"/>
      <c r="E226" s="63" t="n"/>
      <c r="F226" s="60" t="n"/>
      <c r="G226" s="60" t="n"/>
      <c r="H226" s="71">
        <f>IF(OR($C226="",$D226=""),"",IF(ISNUMBER($E226),$E226,IF($O226="","",IF(N(INDEX('Menu Pricing'!$O$7:$O$56,$O226))&gt;0,INDEX('Menu Pricing'!$O$7:$O$56,$O226),""))))</f>
        <v/>
      </c>
      <c r="I226" s="71">
        <f>IF($N226&lt;&gt;"OK","",$D226*$H226)</f>
        <v/>
      </c>
      <c r="J226" s="71">
        <f>IF($N226&lt;&gt;"OK","",N(INDEX('Menu Pricing'!$F$7:$F$56,$O226))+N(INDEX('Menu Pricing'!$G$7:$G$56,$O226))+N(INDEX('Menu Pricing'!$J$7:$J$56,$O226)))</f>
        <v/>
      </c>
      <c r="K226" s="71">
        <f>IF($N226&lt;&gt;"OK","",$D226*$J226)</f>
        <v/>
      </c>
      <c r="L226" s="71">
        <f>IF($N226&lt;&gt;"OK","",$I226-$K226)</f>
        <v/>
      </c>
      <c r="M226" s="71">
        <f>IF($N226&lt;&gt;"OK","",$D226*N(INDEX('Menu Pricing'!$F$7:$F$56,$O226)))</f>
        <v/>
      </c>
      <c r="N226" s="80">
        <f>IF(AND($B226="",$C226="",$D226=""),"",IF(NOT(ISNUMBER($B226)),"Enter a valid date",IF($C226="","Pick a menu item",IF($O226="","Item not on Menu Pricing",IF(N($D226)&lt;=0,"Qty must be above 0",IF($H226="","No price on menu","OK"))))))</f>
        <v/>
      </c>
      <c r="O226" s="13">
        <f>IF($C226="","",IFERROR(MATCH($C226,'Menu Pricing'!$B$7:$B$56,0),""))</f>
        <v/>
      </c>
    </row>
    <row r="227" ht="17" customHeight="1">
      <c r="B227" s="66" t="n"/>
      <c r="C227" s="60" t="n"/>
      <c r="D227" s="86" t="n"/>
      <c r="E227" s="63" t="n"/>
      <c r="F227" s="60" t="n"/>
      <c r="G227" s="60" t="n"/>
      <c r="H227" s="71">
        <f>IF(OR($C227="",$D227=""),"",IF(ISNUMBER($E227),$E227,IF($O227="","",IF(N(INDEX('Menu Pricing'!$O$7:$O$56,$O227))&gt;0,INDEX('Menu Pricing'!$O$7:$O$56,$O227),""))))</f>
        <v/>
      </c>
      <c r="I227" s="71">
        <f>IF($N227&lt;&gt;"OK","",$D227*$H227)</f>
        <v/>
      </c>
      <c r="J227" s="71">
        <f>IF($N227&lt;&gt;"OK","",N(INDEX('Menu Pricing'!$F$7:$F$56,$O227))+N(INDEX('Menu Pricing'!$G$7:$G$56,$O227))+N(INDEX('Menu Pricing'!$J$7:$J$56,$O227)))</f>
        <v/>
      </c>
      <c r="K227" s="71">
        <f>IF($N227&lt;&gt;"OK","",$D227*$J227)</f>
        <v/>
      </c>
      <c r="L227" s="71">
        <f>IF($N227&lt;&gt;"OK","",$I227-$K227)</f>
        <v/>
      </c>
      <c r="M227" s="71">
        <f>IF($N227&lt;&gt;"OK","",$D227*N(INDEX('Menu Pricing'!$F$7:$F$56,$O227)))</f>
        <v/>
      </c>
      <c r="N227" s="80">
        <f>IF(AND($B227="",$C227="",$D227=""),"",IF(NOT(ISNUMBER($B227)),"Enter a valid date",IF($C227="","Pick a menu item",IF($O227="","Item not on Menu Pricing",IF(N($D227)&lt;=0,"Qty must be above 0",IF($H227="","No price on menu","OK"))))))</f>
        <v/>
      </c>
      <c r="O227" s="13">
        <f>IF($C227="","",IFERROR(MATCH($C227,'Menu Pricing'!$B$7:$B$56,0),""))</f>
        <v/>
      </c>
    </row>
    <row r="228" ht="17" customHeight="1">
      <c r="B228" s="66" t="n"/>
      <c r="C228" s="60" t="n"/>
      <c r="D228" s="86" t="n"/>
      <c r="E228" s="63" t="n"/>
      <c r="F228" s="60" t="n"/>
      <c r="G228" s="60" t="n"/>
      <c r="H228" s="71">
        <f>IF(OR($C228="",$D228=""),"",IF(ISNUMBER($E228),$E228,IF($O228="","",IF(N(INDEX('Menu Pricing'!$O$7:$O$56,$O228))&gt;0,INDEX('Menu Pricing'!$O$7:$O$56,$O228),""))))</f>
        <v/>
      </c>
      <c r="I228" s="71">
        <f>IF($N228&lt;&gt;"OK","",$D228*$H228)</f>
        <v/>
      </c>
      <c r="J228" s="71">
        <f>IF($N228&lt;&gt;"OK","",N(INDEX('Menu Pricing'!$F$7:$F$56,$O228))+N(INDEX('Menu Pricing'!$G$7:$G$56,$O228))+N(INDEX('Menu Pricing'!$J$7:$J$56,$O228)))</f>
        <v/>
      </c>
      <c r="K228" s="71">
        <f>IF($N228&lt;&gt;"OK","",$D228*$J228)</f>
        <v/>
      </c>
      <c r="L228" s="71">
        <f>IF($N228&lt;&gt;"OK","",$I228-$K228)</f>
        <v/>
      </c>
      <c r="M228" s="71">
        <f>IF($N228&lt;&gt;"OK","",$D228*N(INDEX('Menu Pricing'!$F$7:$F$56,$O228)))</f>
        <v/>
      </c>
      <c r="N228" s="80">
        <f>IF(AND($B228="",$C228="",$D228=""),"",IF(NOT(ISNUMBER($B228)),"Enter a valid date",IF($C228="","Pick a menu item",IF($O228="","Item not on Menu Pricing",IF(N($D228)&lt;=0,"Qty must be above 0",IF($H228="","No price on menu","OK"))))))</f>
        <v/>
      </c>
      <c r="O228" s="13">
        <f>IF($C228="","",IFERROR(MATCH($C228,'Menu Pricing'!$B$7:$B$56,0),""))</f>
        <v/>
      </c>
    </row>
    <row r="229" ht="17" customHeight="1">
      <c r="B229" s="66" t="n"/>
      <c r="C229" s="60" t="n"/>
      <c r="D229" s="86" t="n"/>
      <c r="E229" s="63" t="n"/>
      <c r="F229" s="60" t="n"/>
      <c r="G229" s="60" t="n"/>
      <c r="H229" s="71">
        <f>IF(OR($C229="",$D229=""),"",IF(ISNUMBER($E229),$E229,IF($O229="","",IF(N(INDEX('Menu Pricing'!$O$7:$O$56,$O229))&gt;0,INDEX('Menu Pricing'!$O$7:$O$56,$O229),""))))</f>
        <v/>
      </c>
      <c r="I229" s="71">
        <f>IF($N229&lt;&gt;"OK","",$D229*$H229)</f>
        <v/>
      </c>
      <c r="J229" s="71">
        <f>IF($N229&lt;&gt;"OK","",N(INDEX('Menu Pricing'!$F$7:$F$56,$O229))+N(INDEX('Menu Pricing'!$G$7:$G$56,$O229))+N(INDEX('Menu Pricing'!$J$7:$J$56,$O229)))</f>
        <v/>
      </c>
      <c r="K229" s="71">
        <f>IF($N229&lt;&gt;"OK","",$D229*$J229)</f>
        <v/>
      </c>
      <c r="L229" s="71">
        <f>IF($N229&lt;&gt;"OK","",$I229-$K229)</f>
        <v/>
      </c>
      <c r="M229" s="71">
        <f>IF($N229&lt;&gt;"OK","",$D229*N(INDEX('Menu Pricing'!$F$7:$F$56,$O229)))</f>
        <v/>
      </c>
      <c r="N229" s="80">
        <f>IF(AND($B229="",$C229="",$D229=""),"",IF(NOT(ISNUMBER($B229)),"Enter a valid date",IF($C229="","Pick a menu item",IF($O229="","Item not on Menu Pricing",IF(N($D229)&lt;=0,"Qty must be above 0",IF($H229="","No price on menu","OK"))))))</f>
        <v/>
      </c>
      <c r="O229" s="13">
        <f>IF($C229="","",IFERROR(MATCH($C229,'Menu Pricing'!$B$7:$B$56,0),""))</f>
        <v/>
      </c>
    </row>
    <row r="230" ht="17" customHeight="1">
      <c r="B230" s="66" t="n"/>
      <c r="C230" s="60" t="n"/>
      <c r="D230" s="86" t="n"/>
      <c r="E230" s="63" t="n"/>
      <c r="F230" s="60" t="n"/>
      <c r="G230" s="60" t="n"/>
      <c r="H230" s="71">
        <f>IF(OR($C230="",$D230=""),"",IF(ISNUMBER($E230),$E230,IF($O230="","",IF(N(INDEX('Menu Pricing'!$O$7:$O$56,$O230))&gt;0,INDEX('Menu Pricing'!$O$7:$O$56,$O230),""))))</f>
        <v/>
      </c>
      <c r="I230" s="71">
        <f>IF($N230&lt;&gt;"OK","",$D230*$H230)</f>
        <v/>
      </c>
      <c r="J230" s="71">
        <f>IF($N230&lt;&gt;"OK","",N(INDEX('Menu Pricing'!$F$7:$F$56,$O230))+N(INDEX('Menu Pricing'!$G$7:$G$56,$O230))+N(INDEX('Menu Pricing'!$J$7:$J$56,$O230)))</f>
        <v/>
      </c>
      <c r="K230" s="71">
        <f>IF($N230&lt;&gt;"OK","",$D230*$J230)</f>
        <v/>
      </c>
      <c r="L230" s="71">
        <f>IF($N230&lt;&gt;"OK","",$I230-$K230)</f>
        <v/>
      </c>
      <c r="M230" s="71">
        <f>IF($N230&lt;&gt;"OK","",$D230*N(INDEX('Menu Pricing'!$F$7:$F$56,$O230)))</f>
        <v/>
      </c>
      <c r="N230" s="80">
        <f>IF(AND($B230="",$C230="",$D230=""),"",IF(NOT(ISNUMBER($B230)),"Enter a valid date",IF($C230="","Pick a menu item",IF($O230="","Item not on Menu Pricing",IF(N($D230)&lt;=0,"Qty must be above 0",IF($H230="","No price on menu","OK"))))))</f>
        <v/>
      </c>
      <c r="O230" s="13">
        <f>IF($C230="","",IFERROR(MATCH($C230,'Menu Pricing'!$B$7:$B$56,0),""))</f>
        <v/>
      </c>
    </row>
    <row r="231" ht="17" customHeight="1">
      <c r="B231" s="66" t="n"/>
      <c r="C231" s="60" t="n"/>
      <c r="D231" s="86" t="n"/>
      <c r="E231" s="63" t="n"/>
      <c r="F231" s="60" t="n"/>
      <c r="G231" s="60" t="n"/>
      <c r="H231" s="71">
        <f>IF(OR($C231="",$D231=""),"",IF(ISNUMBER($E231),$E231,IF($O231="","",IF(N(INDEX('Menu Pricing'!$O$7:$O$56,$O231))&gt;0,INDEX('Menu Pricing'!$O$7:$O$56,$O231),""))))</f>
        <v/>
      </c>
      <c r="I231" s="71">
        <f>IF($N231&lt;&gt;"OK","",$D231*$H231)</f>
        <v/>
      </c>
      <c r="J231" s="71">
        <f>IF($N231&lt;&gt;"OK","",N(INDEX('Menu Pricing'!$F$7:$F$56,$O231))+N(INDEX('Menu Pricing'!$G$7:$G$56,$O231))+N(INDEX('Menu Pricing'!$J$7:$J$56,$O231)))</f>
        <v/>
      </c>
      <c r="K231" s="71">
        <f>IF($N231&lt;&gt;"OK","",$D231*$J231)</f>
        <v/>
      </c>
      <c r="L231" s="71">
        <f>IF($N231&lt;&gt;"OK","",$I231-$K231)</f>
        <v/>
      </c>
      <c r="M231" s="71">
        <f>IF($N231&lt;&gt;"OK","",$D231*N(INDEX('Menu Pricing'!$F$7:$F$56,$O231)))</f>
        <v/>
      </c>
      <c r="N231" s="80">
        <f>IF(AND($B231="",$C231="",$D231=""),"",IF(NOT(ISNUMBER($B231)),"Enter a valid date",IF($C231="","Pick a menu item",IF($O231="","Item not on Menu Pricing",IF(N($D231)&lt;=0,"Qty must be above 0",IF($H231="","No price on menu","OK"))))))</f>
        <v/>
      </c>
      <c r="O231" s="13">
        <f>IF($C231="","",IFERROR(MATCH($C231,'Menu Pricing'!$B$7:$B$56,0),""))</f>
        <v/>
      </c>
    </row>
    <row r="232" ht="17" customHeight="1">
      <c r="B232" s="66" t="n"/>
      <c r="C232" s="60" t="n"/>
      <c r="D232" s="86" t="n"/>
      <c r="E232" s="63" t="n"/>
      <c r="F232" s="60" t="n"/>
      <c r="G232" s="60" t="n"/>
      <c r="H232" s="71">
        <f>IF(OR($C232="",$D232=""),"",IF(ISNUMBER($E232),$E232,IF($O232="","",IF(N(INDEX('Menu Pricing'!$O$7:$O$56,$O232))&gt;0,INDEX('Menu Pricing'!$O$7:$O$56,$O232),""))))</f>
        <v/>
      </c>
      <c r="I232" s="71">
        <f>IF($N232&lt;&gt;"OK","",$D232*$H232)</f>
        <v/>
      </c>
      <c r="J232" s="71">
        <f>IF($N232&lt;&gt;"OK","",N(INDEX('Menu Pricing'!$F$7:$F$56,$O232))+N(INDEX('Menu Pricing'!$G$7:$G$56,$O232))+N(INDEX('Menu Pricing'!$J$7:$J$56,$O232)))</f>
        <v/>
      </c>
      <c r="K232" s="71">
        <f>IF($N232&lt;&gt;"OK","",$D232*$J232)</f>
        <v/>
      </c>
      <c r="L232" s="71">
        <f>IF($N232&lt;&gt;"OK","",$I232-$K232)</f>
        <v/>
      </c>
      <c r="M232" s="71">
        <f>IF($N232&lt;&gt;"OK","",$D232*N(INDEX('Menu Pricing'!$F$7:$F$56,$O232)))</f>
        <v/>
      </c>
      <c r="N232" s="80">
        <f>IF(AND($B232="",$C232="",$D232=""),"",IF(NOT(ISNUMBER($B232)),"Enter a valid date",IF($C232="","Pick a menu item",IF($O232="","Item not on Menu Pricing",IF(N($D232)&lt;=0,"Qty must be above 0",IF($H232="","No price on menu","OK"))))))</f>
        <v/>
      </c>
      <c r="O232" s="13">
        <f>IF($C232="","",IFERROR(MATCH($C232,'Menu Pricing'!$B$7:$B$56,0),""))</f>
        <v/>
      </c>
    </row>
    <row r="233" ht="17" customHeight="1">
      <c r="B233" s="66" t="n"/>
      <c r="C233" s="60" t="n"/>
      <c r="D233" s="86" t="n"/>
      <c r="E233" s="63" t="n"/>
      <c r="F233" s="60" t="n"/>
      <c r="G233" s="60" t="n"/>
      <c r="H233" s="71">
        <f>IF(OR($C233="",$D233=""),"",IF(ISNUMBER($E233),$E233,IF($O233="","",IF(N(INDEX('Menu Pricing'!$O$7:$O$56,$O233))&gt;0,INDEX('Menu Pricing'!$O$7:$O$56,$O233),""))))</f>
        <v/>
      </c>
      <c r="I233" s="71">
        <f>IF($N233&lt;&gt;"OK","",$D233*$H233)</f>
        <v/>
      </c>
      <c r="J233" s="71">
        <f>IF($N233&lt;&gt;"OK","",N(INDEX('Menu Pricing'!$F$7:$F$56,$O233))+N(INDEX('Menu Pricing'!$G$7:$G$56,$O233))+N(INDEX('Menu Pricing'!$J$7:$J$56,$O233)))</f>
        <v/>
      </c>
      <c r="K233" s="71">
        <f>IF($N233&lt;&gt;"OK","",$D233*$J233)</f>
        <v/>
      </c>
      <c r="L233" s="71">
        <f>IF($N233&lt;&gt;"OK","",$I233-$K233)</f>
        <v/>
      </c>
      <c r="M233" s="71">
        <f>IF($N233&lt;&gt;"OK","",$D233*N(INDEX('Menu Pricing'!$F$7:$F$56,$O233)))</f>
        <v/>
      </c>
      <c r="N233" s="80">
        <f>IF(AND($B233="",$C233="",$D233=""),"",IF(NOT(ISNUMBER($B233)),"Enter a valid date",IF($C233="","Pick a menu item",IF($O233="","Item not on Menu Pricing",IF(N($D233)&lt;=0,"Qty must be above 0",IF($H233="","No price on menu","OK"))))))</f>
        <v/>
      </c>
      <c r="O233" s="13">
        <f>IF($C233="","",IFERROR(MATCH($C233,'Menu Pricing'!$B$7:$B$56,0),""))</f>
        <v/>
      </c>
    </row>
    <row r="234" ht="17" customHeight="1">
      <c r="B234" s="66" t="n"/>
      <c r="C234" s="60" t="n"/>
      <c r="D234" s="86" t="n"/>
      <c r="E234" s="63" t="n"/>
      <c r="F234" s="60" t="n"/>
      <c r="G234" s="60" t="n"/>
      <c r="H234" s="71">
        <f>IF(OR($C234="",$D234=""),"",IF(ISNUMBER($E234),$E234,IF($O234="","",IF(N(INDEX('Menu Pricing'!$O$7:$O$56,$O234))&gt;0,INDEX('Menu Pricing'!$O$7:$O$56,$O234),""))))</f>
        <v/>
      </c>
      <c r="I234" s="71">
        <f>IF($N234&lt;&gt;"OK","",$D234*$H234)</f>
        <v/>
      </c>
      <c r="J234" s="71">
        <f>IF($N234&lt;&gt;"OK","",N(INDEX('Menu Pricing'!$F$7:$F$56,$O234))+N(INDEX('Menu Pricing'!$G$7:$G$56,$O234))+N(INDEX('Menu Pricing'!$J$7:$J$56,$O234)))</f>
        <v/>
      </c>
      <c r="K234" s="71">
        <f>IF($N234&lt;&gt;"OK","",$D234*$J234)</f>
        <v/>
      </c>
      <c r="L234" s="71">
        <f>IF($N234&lt;&gt;"OK","",$I234-$K234)</f>
        <v/>
      </c>
      <c r="M234" s="71">
        <f>IF($N234&lt;&gt;"OK","",$D234*N(INDEX('Menu Pricing'!$F$7:$F$56,$O234)))</f>
        <v/>
      </c>
      <c r="N234" s="80">
        <f>IF(AND($B234="",$C234="",$D234=""),"",IF(NOT(ISNUMBER($B234)),"Enter a valid date",IF($C234="","Pick a menu item",IF($O234="","Item not on Menu Pricing",IF(N($D234)&lt;=0,"Qty must be above 0",IF($H234="","No price on menu","OK"))))))</f>
        <v/>
      </c>
      <c r="O234" s="13">
        <f>IF($C234="","",IFERROR(MATCH($C234,'Menu Pricing'!$B$7:$B$56,0),""))</f>
        <v/>
      </c>
    </row>
    <row r="235" ht="17" customHeight="1">
      <c r="B235" s="66" t="n"/>
      <c r="C235" s="60" t="n"/>
      <c r="D235" s="86" t="n"/>
      <c r="E235" s="63" t="n"/>
      <c r="F235" s="60" t="n"/>
      <c r="G235" s="60" t="n"/>
      <c r="H235" s="71">
        <f>IF(OR($C235="",$D235=""),"",IF(ISNUMBER($E235),$E235,IF($O235="","",IF(N(INDEX('Menu Pricing'!$O$7:$O$56,$O235))&gt;0,INDEX('Menu Pricing'!$O$7:$O$56,$O235),""))))</f>
        <v/>
      </c>
      <c r="I235" s="71">
        <f>IF($N235&lt;&gt;"OK","",$D235*$H235)</f>
        <v/>
      </c>
      <c r="J235" s="71">
        <f>IF($N235&lt;&gt;"OK","",N(INDEX('Menu Pricing'!$F$7:$F$56,$O235))+N(INDEX('Menu Pricing'!$G$7:$G$56,$O235))+N(INDEX('Menu Pricing'!$J$7:$J$56,$O235)))</f>
        <v/>
      </c>
      <c r="K235" s="71">
        <f>IF($N235&lt;&gt;"OK","",$D235*$J235)</f>
        <v/>
      </c>
      <c r="L235" s="71">
        <f>IF($N235&lt;&gt;"OK","",$I235-$K235)</f>
        <v/>
      </c>
      <c r="M235" s="71">
        <f>IF($N235&lt;&gt;"OK","",$D235*N(INDEX('Menu Pricing'!$F$7:$F$56,$O235)))</f>
        <v/>
      </c>
      <c r="N235" s="80">
        <f>IF(AND($B235="",$C235="",$D235=""),"",IF(NOT(ISNUMBER($B235)),"Enter a valid date",IF($C235="","Pick a menu item",IF($O235="","Item not on Menu Pricing",IF(N($D235)&lt;=0,"Qty must be above 0",IF($H235="","No price on menu","OK"))))))</f>
        <v/>
      </c>
      <c r="O235" s="13">
        <f>IF($C235="","",IFERROR(MATCH($C235,'Menu Pricing'!$B$7:$B$56,0),""))</f>
        <v/>
      </c>
    </row>
    <row r="236" ht="17" customHeight="1">
      <c r="B236" s="66" t="n"/>
      <c r="C236" s="60" t="n"/>
      <c r="D236" s="86" t="n"/>
      <c r="E236" s="63" t="n"/>
      <c r="F236" s="60" t="n"/>
      <c r="G236" s="60" t="n"/>
      <c r="H236" s="71">
        <f>IF(OR($C236="",$D236=""),"",IF(ISNUMBER($E236),$E236,IF($O236="","",IF(N(INDEX('Menu Pricing'!$O$7:$O$56,$O236))&gt;0,INDEX('Menu Pricing'!$O$7:$O$56,$O236),""))))</f>
        <v/>
      </c>
      <c r="I236" s="71">
        <f>IF($N236&lt;&gt;"OK","",$D236*$H236)</f>
        <v/>
      </c>
      <c r="J236" s="71">
        <f>IF($N236&lt;&gt;"OK","",N(INDEX('Menu Pricing'!$F$7:$F$56,$O236))+N(INDEX('Menu Pricing'!$G$7:$G$56,$O236))+N(INDEX('Menu Pricing'!$J$7:$J$56,$O236)))</f>
        <v/>
      </c>
      <c r="K236" s="71">
        <f>IF($N236&lt;&gt;"OK","",$D236*$J236)</f>
        <v/>
      </c>
      <c r="L236" s="71">
        <f>IF($N236&lt;&gt;"OK","",$I236-$K236)</f>
        <v/>
      </c>
      <c r="M236" s="71">
        <f>IF($N236&lt;&gt;"OK","",$D236*N(INDEX('Menu Pricing'!$F$7:$F$56,$O236)))</f>
        <v/>
      </c>
      <c r="N236" s="80">
        <f>IF(AND($B236="",$C236="",$D236=""),"",IF(NOT(ISNUMBER($B236)),"Enter a valid date",IF($C236="","Pick a menu item",IF($O236="","Item not on Menu Pricing",IF(N($D236)&lt;=0,"Qty must be above 0",IF($H236="","No price on menu","OK"))))))</f>
        <v/>
      </c>
      <c r="O236" s="13">
        <f>IF($C236="","",IFERROR(MATCH($C236,'Menu Pricing'!$B$7:$B$56,0),""))</f>
        <v/>
      </c>
    </row>
    <row r="237" ht="17" customHeight="1">
      <c r="B237" s="66" t="n"/>
      <c r="C237" s="60" t="n"/>
      <c r="D237" s="86" t="n"/>
      <c r="E237" s="63" t="n"/>
      <c r="F237" s="60" t="n"/>
      <c r="G237" s="60" t="n"/>
      <c r="H237" s="71">
        <f>IF(OR($C237="",$D237=""),"",IF(ISNUMBER($E237),$E237,IF($O237="","",IF(N(INDEX('Menu Pricing'!$O$7:$O$56,$O237))&gt;0,INDEX('Menu Pricing'!$O$7:$O$56,$O237),""))))</f>
        <v/>
      </c>
      <c r="I237" s="71">
        <f>IF($N237&lt;&gt;"OK","",$D237*$H237)</f>
        <v/>
      </c>
      <c r="J237" s="71">
        <f>IF($N237&lt;&gt;"OK","",N(INDEX('Menu Pricing'!$F$7:$F$56,$O237))+N(INDEX('Menu Pricing'!$G$7:$G$56,$O237))+N(INDEX('Menu Pricing'!$J$7:$J$56,$O237)))</f>
        <v/>
      </c>
      <c r="K237" s="71">
        <f>IF($N237&lt;&gt;"OK","",$D237*$J237)</f>
        <v/>
      </c>
      <c r="L237" s="71">
        <f>IF($N237&lt;&gt;"OK","",$I237-$K237)</f>
        <v/>
      </c>
      <c r="M237" s="71">
        <f>IF($N237&lt;&gt;"OK","",$D237*N(INDEX('Menu Pricing'!$F$7:$F$56,$O237)))</f>
        <v/>
      </c>
      <c r="N237" s="80">
        <f>IF(AND($B237="",$C237="",$D237=""),"",IF(NOT(ISNUMBER($B237)),"Enter a valid date",IF($C237="","Pick a menu item",IF($O237="","Item not on Menu Pricing",IF(N($D237)&lt;=0,"Qty must be above 0",IF($H237="","No price on menu","OK"))))))</f>
        <v/>
      </c>
      <c r="O237" s="13">
        <f>IF($C237="","",IFERROR(MATCH($C237,'Menu Pricing'!$B$7:$B$56,0),""))</f>
        <v/>
      </c>
    </row>
    <row r="238" ht="17" customHeight="1">
      <c r="B238" s="66" t="n"/>
      <c r="C238" s="60" t="n"/>
      <c r="D238" s="86" t="n"/>
      <c r="E238" s="63" t="n"/>
      <c r="F238" s="60" t="n"/>
      <c r="G238" s="60" t="n"/>
      <c r="H238" s="71">
        <f>IF(OR($C238="",$D238=""),"",IF(ISNUMBER($E238),$E238,IF($O238="","",IF(N(INDEX('Menu Pricing'!$O$7:$O$56,$O238))&gt;0,INDEX('Menu Pricing'!$O$7:$O$56,$O238),""))))</f>
        <v/>
      </c>
      <c r="I238" s="71">
        <f>IF($N238&lt;&gt;"OK","",$D238*$H238)</f>
        <v/>
      </c>
      <c r="J238" s="71">
        <f>IF($N238&lt;&gt;"OK","",N(INDEX('Menu Pricing'!$F$7:$F$56,$O238))+N(INDEX('Menu Pricing'!$G$7:$G$56,$O238))+N(INDEX('Menu Pricing'!$J$7:$J$56,$O238)))</f>
        <v/>
      </c>
      <c r="K238" s="71">
        <f>IF($N238&lt;&gt;"OK","",$D238*$J238)</f>
        <v/>
      </c>
      <c r="L238" s="71">
        <f>IF($N238&lt;&gt;"OK","",$I238-$K238)</f>
        <v/>
      </c>
      <c r="M238" s="71">
        <f>IF($N238&lt;&gt;"OK","",$D238*N(INDEX('Menu Pricing'!$F$7:$F$56,$O238)))</f>
        <v/>
      </c>
      <c r="N238" s="80">
        <f>IF(AND($B238="",$C238="",$D238=""),"",IF(NOT(ISNUMBER($B238)),"Enter a valid date",IF($C238="","Pick a menu item",IF($O238="","Item not on Menu Pricing",IF(N($D238)&lt;=0,"Qty must be above 0",IF($H238="","No price on menu","OK"))))))</f>
        <v/>
      </c>
      <c r="O238" s="13">
        <f>IF($C238="","",IFERROR(MATCH($C238,'Menu Pricing'!$B$7:$B$56,0),""))</f>
        <v/>
      </c>
    </row>
    <row r="239" ht="17" customHeight="1">
      <c r="B239" s="66" t="n"/>
      <c r="C239" s="60" t="n"/>
      <c r="D239" s="86" t="n"/>
      <c r="E239" s="63" t="n"/>
      <c r="F239" s="60" t="n"/>
      <c r="G239" s="60" t="n"/>
      <c r="H239" s="71">
        <f>IF(OR($C239="",$D239=""),"",IF(ISNUMBER($E239),$E239,IF($O239="","",IF(N(INDEX('Menu Pricing'!$O$7:$O$56,$O239))&gt;0,INDEX('Menu Pricing'!$O$7:$O$56,$O239),""))))</f>
        <v/>
      </c>
      <c r="I239" s="71">
        <f>IF($N239&lt;&gt;"OK","",$D239*$H239)</f>
        <v/>
      </c>
      <c r="J239" s="71">
        <f>IF($N239&lt;&gt;"OK","",N(INDEX('Menu Pricing'!$F$7:$F$56,$O239))+N(INDEX('Menu Pricing'!$G$7:$G$56,$O239))+N(INDEX('Menu Pricing'!$J$7:$J$56,$O239)))</f>
        <v/>
      </c>
      <c r="K239" s="71">
        <f>IF($N239&lt;&gt;"OK","",$D239*$J239)</f>
        <v/>
      </c>
      <c r="L239" s="71">
        <f>IF($N239&lt;&gt;"OK","",$I239-$K239)</f>
        <v/>
      </c>
      <c r="M239" s="71">
        <f>IF($N239&lt;&gt;"OK","",$D239*N(INDEX('Menu Pricing'!$F$7:$F$56,$O239)))</f>
        <v/>
      </c>
      <c r="N239" s="80">
        <f>IF(AND($B239="",$C239="",$D239=""),"",IF(NOT(ISNUMBER($B239)),"Enter a valid date",IF($C239="","Pick a menu item",IF($O239="","Item not on Menu Pricing",IF(N($D239)&lt;=0,"Qty must be above 0",IF($H239="","No price on menu","OK"))))))</f>
        <v/>
      </c>
      <c r="O239" s="13">
        <f>IF($C239="","",IFERROR(MATCH($C239,'Menu Pricing'!$B$7:$B$56,0),""))</f>
        <v/>
      </c>
    </row>
    <row r="240" ht="17" customHeight="1">
      <c r="B240" s="66" t="n"/>
      <c r="C240" s="60" t="n"/>
      <c r="D240" s="86" t="n"/>
      <c r="E240" s="63" t="n"/>
      <c r="F240" s="60" t="n"/>
      <c r="G240" s="60" t="n"/>
      <c r="H240" s="71">
        <f>IF(OR($C240="",$D240=""),"",IF(ISNUMBER($E240),$E240,IF($O240="","",IF(N(INDEX('Menu Pricing'!$O$7:$O$56,$O240))&gt;0,INDEX('Menu Pricing'!$O$7:$O$56,$O240),""))))</f>
        <v/>
      </c>
      <c r="I240" s="71">
        <f>IF($N240&lt;&gt;"OK","",$D240*$H240)</f>
        <v/>
      </c>
      <c r="J240" s="71">
        <f>IF($N240&lt;&gt;"OK","",N(INDEX('Menu Pricing'!$F$7:$F$56,$O240))+N(INDEX('Menu Pricing'!$G$7:$G$56,$O240))+N(INDEX('Menu Pricing'!$J$7:$J$56,$O240)))</f>
        <v/>
      </c>
      <c r="K240" s="71">
        <f>IF($N240&lt;&gt;"OK","",$D240*$J240)</f>
        <v/>
      </c>
      <c r="L240" s="71">
        <f>IF($N240&lt;&gt;"OK","",$I240-$K240)</f>
        <v/>
      </c>
      <c r="M240" s="71">
        <f>IF($N240&lt;&gt;"OK","",$D240*N(INDEX('Menu Pricing'!$F$7:$F$56,$O240)))</f>
        <v/>
      </c>
      <c r="N240" s="80">
        <f>IF(AND($B240="",$C240="",$D240=""),"",IF(NOT(ISNUMBER($B240)),"Enter a valid date",IF($C240="","Pick a menu item",IF($O240="","Item not on Menu Pricing",IF(N($D240)&lt;=0,"Qty must be above 0",IF($H240="","No price on menu","OK"))))))</f>
        <v/>
      </c>
      <c r="O240" s="13">
        <f>IF($C240="","",IFERROR(MATCH($C240,'Menu Pricing'!$B$7:$B$56,0),""))</f>
        <v/>
      </c>
    </row>
    <row r="241" ht="17" customHeight="1">
      <c r="B241" s="66" t="n"/>
      <c r="C241" s="60" t="n"/>
      <c r="D241" s="86" t="n"/>
      <c r="E241" s="63" t="n"/>
      <c r="F241" s="60" t="n"/>
      <c r="G241" s="60" t="n"/>
      <c r="H241" s="71">
        <f>IF(OR($C241="",$D241=""),"",IF(ISNUMBER($E241),$E241,IF($O241="","",IF(N(INDEX('Menu Pricing'!$O$7:$O$56,$O241))&gt;0,INDEX('Menu Pricing'!$O$7:$O$56,$O241),""))))</f>
        <v/>
      </c>
      <c r="I241" s="71">
        <f>IF($N241&lt;&gt;"OK","",$D241*$H241)</f>
        <v/>
      </c>
      <c r="J241" s="71">
        <f>IF($N241&lt;&gt;"OK","",N(INDEX('Menu Pricing'!$F$7:$F$56,$O241))+N(INDEX('Menu Pricing'!$G$7:$G$56,$O241))+N(INDEX('Menu Pricing'!$J$7:$J$56,$O241)))</f>
        <v/>
      </c>
      <c r="K241" s="71">
        <f>IF($N241&lt;&gt;"OK","",$D241*$J241)</f>
        <v/>
      </c>
      <c r="L241" s="71">
        <f>IF($N241&lt;&gt;"OK","",$I241-$K241)</f>
        <v/>
      </c>
      <c r="M241" s="71">
        <f>IF($N241&lt;&gt;"OK","",$D241*N(INDEX('Menu Pricing'!$F$7:$F$56,$O241)))</f>
        <v/>
      </c>
      <c r="N241" s="80">
        <f>IF(AND($B241="",$C241="",$D241=""),"",IF(NOT(ISNUMBER($B241)),"Enter a valid date",IF($C241="","Pick a menu item",IF($O241="","Item not on Menu Pricing",IF(N($D241)&lt;=0,"Qty must be above 0",IF($H241="","No price on menu","OK"))))))</f>
        <v/>
      </c>
      <c r="O241" s="13">
        <f>IF($C241="","",IFERROR(MATCH($C241,'Menu Pricing'!$B$7:$B$56,0),""))</f>
        <v/>
      </c>
    </row>
    <row r="242" ht="17" customHeight="1">
      <c r="B242" s="66" t="n"/>
      <c r="C242" s="60" t="n"/>
      <c r="D242" s="86" t="n"/>
      <c r="E242" s="63" t="n"/>
      <c r="F242" s="60" t="n"/>
      <c r="G242" s="60" t="n"/>
      <c r="H242" s="71">
        <f>IF(OR($C242="",$D242=""),"",IF(ISNUMBER($E242),$E242,IF($O242="","",IF(N(INDEX('Menu Pricing'!$O$7:$O$56,$O242))&gt;0,INDEX('Menu Pricing'!$O$7:$O$56,$O242),""))))</f>
        <v/>
      </c>
      <c r="I242" s="71">
        <f>IF($N242&lt;&gt;"OK","",$D242*$H242)</f>
        <v/>
      </c>
      <c r="J242" s="71">
        <f>IF($N242&lt;&gt;"OK","",N(INDEX('Menu Pricing'!$F$7:$F$56,$O242))+N(INDEX('Menu Pricing'!$G$7:$G$56,$O242))+N(INDEX('Menu Pricing'!$J$7:$J$56,$O242)))</f>
        <v/>
      </c>
      <c r="K242" s="71">
        <f>IF($N242&lt;&gt;"OK","",$D242*$J242)</f>
        <v/>
      </c>
      <c r="L242" s="71">
        <f>IF($N242&lt;&gt;"OK","",$I242-$K242)</f>
        <v/>
      </c>
      <c r="M242" s="71">
        <f>IF($N242&lt;&gt;"OK","",$D242*N(INDEX('Menu Pricing'!$F$7:$F$56,$O242)))</f>
        <v/>
      </c>
      <c r="N242" s="80">
        <f>IF(AND($B242="",$C242="",$D242=""),"",IF(NOT(ISNUMBER($B242)),"Enter a valid date",IF($C242="","Pick a menu item",IF($O242="","Item not on Menu Pricing",IF(N($D242)&lt;=0,"Qty must be above 0",IF($H242="","No price on menu","OK"))))))</f>
        <v/>
      </c>
      <c r="O242" s="13">
        <f>IF($C242="","",IFERROR(MATCH($C242,'Menu Pricing'!$B$7:$B$56,0),""))</f>
        <v/>
      </c>
    </row>
    <row r="243" ht="17" customHeight="1">
      <c r="B243" s="66" t="n"/>
      <c r="C243" s="60" t="n"/>
      <c r="D243" s="86" t="n"/>
      <c r="E243" s="63" t="n"/>
      <c r="F243" s="60" t="n"/>
      <c r="G243" s="60" t="n"/>
      <c r="H243" s="71">
        <f>IF(OR($C243="",$D243=""),"",IF(ISNUMBER($E243),$E243,IF($O243="","",IF(N(INDEX('Menu Pricing'!$O$7:$O$56,$O243))&gt;0,INDEX('Menu Pricing'!$O$7:$O$56,$O243),""))))</f>
        <v/>
      </c>
      <c r="I243" s="71">
        <f>IF($N243&lt;&gt;"OK","",$D243*$H243)</f>
        <v/>
      </c>
      <c r="J243" s="71">
        <f>IF($N243&lt;&gt;"OK","",N(INDEX('Menu Pricing'!$F$7:$F$56,$O243))+N(INDEX('Menu Pricing'!$G$7:$G$56,$O243))+N(INDEX('Menu Pricing'!$J$7:$J$56,$O243)))</f>
        <v/>
      </c>
      <c r="K243" s="71">
        <f>IF($N243&lt;&gt;"OK","",$D243*$J243)</f>
        <v/>
      </c>
      <c r="L243" s="71">
        <f>IF($N243&lt;&gt;"OK","",$I243-$K243)</f>
        <v/>
      </c>
      <c r="M243" s="71">
        <f>IF($N243&lt;&gt;"OK","",$D243*N(INDEX('Menu Pricing'!$F$7:$F$56,$O243)))</f>
        <v/>
      </c>
      <c r="N243" s="80">
        <f>IF(AND($B243="",$C243="",$D243=""),"",IF(NOT(ISNUMBER($B243)),"Enter a valid date",IF($C243="","Pick a menu item",IF($O243="","Item not on Menu Pricing",IF(N($D243)&lt;=0,"Qty must be above 0",IF($H243="","No price on menu","OK"))))))</f>
        <v/>
      </c>
      <c r="O243" s="13">
        <f>IF($C243="","",IFERROR(MATCH($C243,'Menu Pricing'!$B$7:$B$56,0),""))</f>
        <v/>
      </c>
    </row>
    <row r="244" ht="17" customHeight="1">
      <c r="B244" s="66" t="n"/>
      <c r="C244" s="60" t="n"/>
      <c r="D244" s="86" t="n"/>
      <c r="E244" s="63" t="n"/>
      <c r="F244" s="60" t="n"/>
      <c r="G244" s="60" t="n"/>
      <c r="H244" s="71">
        <f>IF(OR($C244="",$D244=""),"",IF(ISNUMBER($E244),$E244,IF($O244="","",IF(N(INDEX('Menu Pricing'!$O$7:$O$56,$O244))&gt;0,INDEX('Menu Pricing'!$O$7:$O$56,$O244),""))))</f>
        <v/>
      </c>
      <c r="I244" s="71">
        <f>IF($N244&lt;&gt;"OK","",$D244*$H244)</f>
        <v/>
      </c>
      <c r="J244" s="71">
        <f>IF($N244&lt;&gt;"OK","",N(INDEX('Menu Pricing'!$F$7:$F$56,$O244))+N(INDEX('Menu Pricing'!$G$7:$G$56,$O244))+N(INDEX('Menu Pricing'!$J$7:$J$56,$O244)))</f>
        <v/>
      </c>
      <c r="K244" s="71">
        <f>IF($N244&lt;&gt;"OK","",$D244*$J244)</f>
        <v/>
      </c>
      <c r="L244" s="71">
        <f>IF($N244&lt;&gt;"OK","",$I244-$K244)</f>
        <v/>
      </c>
      <c r="M244" s="71">
        <f>IF($N244&lt;&gt;"OK","",$D244*N(INDEX('Menu Pricing'!$F$7:$F$56,$O244)))</f>
        <v/>
      </c>
      <c r="N244" s="80">
        <f>IF(AND($B244="",$C244="",$D244=""),"",IF(NOT(ISNUMBER($B244)),"Enter a valid date",IF($C244="","Pick a menu item",IF($O244="","Item not on Menu Pricing",IF(N($D244)&lt;=0,"Qty must be above 0",IF($H244="","No price on menu","OK"))))))</f>
        <v/>
      </c>
      <c r="O244" s="13">
        <f>IF($C244="","",IFERROR(MATCH($C244,'Menu Pricing'!$B$7:$B$56,0),""))</f>
        <v/>
      </c>
    </row>
    <row r="245" ht="17" customHeight="1">
      <c r="B245" s="66" t="n"/>
      <c r="C245" s="60" t="n"/>
      <c r="D245" s="86" t="n"/>
      <c r="E245" s="63" t="n"/>
      <c r="F245" s="60" t="n"/>
      <c r="G245" s="60" t="n"/>
      <c r="H245" s="71">
        <f>IF(OR($C245="",$D245=""),"",IF(ISNUMBER($E245),$E245,IF($O245="","",IF(N(INDEX('Menu Pricing'!$O$7:$O$56,$O245))&gt;0,INDEX('Menu Pricing'!$O$7:$O$56,$O245),""))))</f>
        <v/>
      </c>
      <c r="I245" s="71">
        <f>IF($N245&lt;&gt;"OK","",$D245*$H245)</f>
        <v/>
      </c>
      <c r="J245" s="71">
        <f>IF($N245&lt;&gt;"OK","",N(INDEX('Menu Pricing'!$F$7:$F$56,$O245))+N(INDEX('Menu Pricing'!$G$7:$G$56,$O245))+N(INDEX('Menu Pricing'!$J$7:$J$56,$O245)))</f>
        <v/>
      </c>
      <c r="K245" s="71">
        <f>IF($N245&lt;&gt;"OK","",$D245*$J245)</f>
        <v/>
      </c>
      <c r="L245" s="71">
        <f>IF($N245&lt;&gt;"OK","",$I245-$K245)</f>
        <v/>
      </c>
      <c r="M245" s="71">
        <f>IF($N245&lt;&gt;"OK","",$D245*N(INDEX('Menu Pricing'!$F$7:$F$56,$O245)))</f>
        <v/>
      </c>
      <c r="N245" s="80">
        <f>IF(AND($B245="",$C245="",$D245=""),"",IF(NOT(ISNUMBER($B245)),"Enter a valid date",IF($C245="","Pick a menu item",IF($O245="","Item not on Menu Pricing",IF(N($D245)&lt;=0,"Qty must be above 0",IF($H245="","No price on menu","OK"))))))</f>
        <v/>
      </c>
      <c r="O245" s="13">
        <f>IF($C245="","",IFERROR(MATCH($C245,'Menu Pricing'!$B$7:$B$56,0),""))</f>
        <v/>
      </c>
    </row>
    <row r="246" ht="17" customHeight="1">
      <c r="B246" s="66" t="n"/>
      <c r="C246" s="60" t="n"/>
      <c r="D246" s="86" t="n"/>
      <c r="E246" s="63" t="n"/>
      <c r="F246" s="60" t="n"/>
      <c r="G246" s="60" t="n"/>
      <c r="H246" s="71">
        <f>IF(OR($C246="",$D246=""),"",IF(ISNUMBER($E246),$E246,IF($O246="","",IF(N(INDEX('Menu Pricing'!$O$7:$O$56,$O246))&gt;0,INDEX('Menu Pricing'!$O$7:$O$56,$O246),""))))</f>
        <v/>
      </c>
      <c r="I246" s="71">
        <f>IF($N246&lt;&gt;"OK","",$D246*$H246)</f>
        <v/>
      </c>
      <c r="J246" s="71">
        <f>IF($N246&lt;&gt;"OK","",N(INDEX('Menu Pricing'!$F$7:$F$56,$O246))+N(INDEX('Menu Pricing'!$G$7:$G$56,$O246))+N(INDEX('Menu Pricing'!$J$7:$J$56,$O246)))</f>
        <v/>
      </c>
      <c r="K246" s="71">
        <f>IF($N246&lt;&gt;"OK","",$D246*$J246)</f>
        <v/>
      </c>
      <c r="L246" s="71">
        <f>IF($N246&lt;&gt;"OK","",$I246-$K246)</f>
        <v/>
      </c>
      <c r="M246" s="71">
        <f>IF($N246&lt;&gt;"OK","",$D246*N(INDEX('Menu Pricing'!$F$7:$F$56,$O246)))</f>
        <v/>
      </c>
      <c r="N246" s="80">
        <f>IF(AND($B246="",$C246="",$D246=""),"",IF(NOT(ISNUMBER($B246)),"Enter a valid date",IF($C246="","Pick a menu item",IF($O246="","Item not on Menu Pricing",IF(N($D246)&lt;=0,"Qty must be above 0",IF($H246="","No price on menu","OK"))))))</f>
        <v/>
      </c>
      <c r="O246" s="13">
        <f>IF($C246="","",IFERROR(MATCH($C246,'Menu Pricing'!$B$7:$B$56,0),""))</f>
        <v/>
      </c>
    </row>
    <row r="247" ht="17" customHeight="1">
      <c r="B247" s="66" t="n"/>
      <c r="C247" s="60" t="n"/>
      <c r="D247" s="86" t="n"/>
      <c r="E247" s="63" t="n"/>
      <c r="F247" s="60" t="n"/>
      <c r="G247" s="60" t="n"/>
      <c r="H247" s="71">
        <f>IF(OR($C247="",$D247=""),"",IF(ISNUMBER($E247),$E247,IF($O247="","",IF(N(INDEX('Menu Pricing'!$O$7:$O$56,$O247))&gt;0,INDEX('Menu Pricing'!$O$7:$O$56,$O247),""))))</f>
        <v/>
      </c>
      <c r="I247" s="71">
        <f>IF($N247&lt;&gt;"OK","",$D247*$H247)</f>
        <v/>
      </c>
      <c r="J247" s="71">
        <f>IF($N247&lt;&gt;"OK","",N(INDEX('Menu Pricing'!$F$7:$F$56,$O247))+N(INDEX('Menu Pricing'!$G$7:$G$56,$O247))+N(INDEX('Menu Pricing'!$J$7:$J$56,$O247)))</f>
        <v/>
      </c>
      <c r="K247" s="71">
        <f>IF($N247&lt;&gt;"OK","",$D247*$J247)</f>
        <v/>
      </c>
      <c r="L247" s="71">
        <f>IF($N247&lt;&gt;"OK","",$I247-$K247)</f>
        <v/>
      </c>
      <c r="M247" s="71">
        <f>IF($N247&lt;&gt;"OK","",$D247*N(INDEX('Menu Pricing'!$F$7:$F$56,$O247)))</f>
        <v/>
      </c>
      <c r="N247" s="80">
        <f>IF(AND($B247="",$C247="",$D247=""),"",IF(NOT(ISNUMBER($B247)),"Enter a valid date",IF($C247="","Pick a menu item",IF($O247="","Item not on Menu Pricing",IF(N($D247)&lt;=0,"Qty must be above 0",IF($H247="","No price on menu","OK"))))))</f>
        <v/>
      </c>
      <c r="O247" s="13">
        <f>IF($C247="","",IFERROR(MATCH($C247,'Menu Pricing'!$B$7:$B$56,0),""))</f>
        <v/>
      </c>
    </row>
    <row r="248" ht="17" customHeight="1">
      <c r="B248" s="66" t="n"/>
      <c r="C248" s="60" t="n"/>
      <c r="D248" s="86" t="n"/>
      <c r="E248" s="63" t="n"/>
      <c r="F248" s="60" t="n"/>
      <c r="G248" s="60" t="n"/>
      <c r="H248" s="71">
        <f>IF(OR($C248="",$D248=""),"",IF(ISNUMBER($E248),$E248,IF($O248="","",IF(N(INDEX('Menu Pricing'!$O$7:$O$56,$O248))&gt;0,INDEX('Menu Pricing'!$O$7:$O$56,$O248),""))))</f>
        <v/>
      </c>
      <c r="I248" s="71">
        <f>IF($N248&lt;&gt;"OK","",$D248*$H248)</f>
        <v/>
      </c>
      <c r="J248" s="71">
        <f>IF($N248&lt;&gt;"OK","",N(INDEX('Menu Pricing'!$F$7:$F$56,$O248))+N(INDEX('Menu Pricing'!$G$7:$G$56,$O248))+N(INDEX('Menu Pricing'!$J$7:$J$56,$O248)))</f>
        <v/>
      </c>
      <c r="K248" s="71">
        <f>IF($N248&lt;&gt;"OK","",$D248*$J248)</f>
        <v/>
      </c>
      <c r="L248" s="71">
        <f>IF($N248&lt;&gt;"OK","",$I248-$K248)</f>
        <v/>
      </c>
      <c r="M248" s="71">
        <f>IF($N248&lt;&gt;"OK","",$D248*N(INDEX('Menu Pricing'!$F$7:$F$56,$O248)))</f>
        <v/>
      </c>
      <c r="N248" s="80">
        <f>IF(AND($B248="",$C248="",$D248=""),"",IF(NOT(ISNUMBER($B248)),"Enter a valid date",IF($C248="","Pick a menu item",IF($O248="","Item not on Menu Pricing",IF(N($D248)&lt;=0,"Qty must be above 0",IF($H248="","No price on menu","OK"))))))</f>
        <v/>
      </c>
      <c r="O248" s="13">
        <f>IF($C248="","",IFERROR(MATCH($C248,'Menu Pricing'!$B$7:$B$56,0),""))</f>
        <v/>
      </c>
    </row>
    <row r="249" ht="17" customHeight="1">
      <c r="B249" s="66" t="n"/>
      <c r="C249" s="60" t="n"/>
      <c r="D249" s="86" t="n"/>
      <c r="E249" s="63" t="n"/>
      <c r="F249" s="60" t="n"/>
      <c r="G249" s="60" t="n"/>
      <c r="H249" s="71">
        <f>IF(OR($C249="",$D249=""),"",IF(ISNUMBER($E249),$E249,IF($O249="","",IF(N(INDEX('Menu Pricing'!$O$7:$O$56,$O249))&gt;0,INDEX('Menu Pricing'!$O$7:$O$56,$O249),""))))</f>
        <v/>
      </c>
      <c r="I249" s="71">
        <f>IF($N249&lt;&gt;"OK","",$D249*$H249)</f>
        <v/>
      </c>
      <c r="J249" s="71">
        <f>IF($N249&lt;&gt;"OK","",N(INDEX('Menu Pricing'!$F$7:$F$56,$O249))+N(INDEX('Menu Pricing'!$G$7:$G$56,$O249))+N(INDEX('Menu Pricing'!$J$7:$J$56,$O249)))</f>
        <v/>
      </c>
      <c r="K249" s="71">
        <f>IF($N249&lt;&gt;"OK","",$D249*$J249)</f>
        <v/>
      </c>
      <c r="L249" s="71">
        <f>IF($N249&lt;&gt;"OK","",$I249-$K249)</f>
        <v/>
      </c>
      <c r="M249" s="71">
        <f>IF($N249&lt;&gt;"OK","",$D249*N(INDEX('Menu Pricing'!$F$7:$F$56,$O249)))</f>
        <v/>
      </c>
      <c r="N249" s="80">
        <f>IF(AND($B249="",$C249="",$D249=""),"",IF(NOT(ISNUMBER($B249)),"Enter a valid date",IF($C249="","Pick a menu item",IF($O249="","Item not on Menu Pricing",IF(N($D249)&lt;=0,"Qty must be above 0",IF($H249="","No price on menu","OK"))))))</f>
        <v/>
      </c>
      <c r="O249" s="13">
        <f>IF($C249="","",IFERROR(MATCH($C249,'Menu Pricing'!$B$7:$B$56,0),""))</f>
        <v/>
      </c>
    </row>
    <row r="250" ht="17" customHeight="1">
      <c r="B250" s="66" t="n"/>
      <c r="C250" s="60" t="n"/>
      <c r="D250" s="86" t="n"/>
      <c r="E250" s="63" t="n"/>
      <c r="F250" s="60" t="n"/>
      <c r="G250" s="60" t="n"/>
      <c r="H250" s="71">
        <f>IF(OR($C250="",$D250=""),"",IF(ISNUMBER($E250),$E250,IF($O250="","",IF(N(INDEX('Menu Pricing'!$O$7:$O$56,$O250))&gt;0,INDEX('Menu Pricing'!$O$7:$O$56,$O250),""))))</f>
        <v/>
      </c>
      <c r="I250" s="71">
        <f>IF($N250&lt;&gt;"OK","",$D250*$H250)</f>
        <v/>
      </c>
      <c r="J250" s="71">
        <f>IF($N250&lt;&gt;"OK","",N(INDEX('Menu Pricing'!$F$7:$F$56,$O250))+N(INDEX('Menu Pricing'!$G$7:$G$56,$O250))+N(INDEX('Menu Pricing'!$J$7:$J$56,$O250)))</f>
        <v/>
      </c>
      <c r="K250" s="71">
        <f>IF($N250&lt;&gt;"OK","",$D250*$J250)</f>
        <v/>
      </c>
      <c r="L250" s="71">
        <f>IF($N250&lt;&gt;"OK","",$I250-$K250)</f>
        <v/>
      </c>
      <c r="M250" s="71">
        <f>IF($N250&lt;&gt;"OK","",$D250*N(INDEX('Menu Pricing'!$F$7:$F$56,$O250)))</f>
        <v/>
      </c>
      <c r="N250" s="80">
        <f>IF(AND($B250="",$C250="",$D250=""),"",IF(NOT(ISNUMBER($B250)),"Enter a valid date",IF($C250="","Pick a menu item",IF($O250="","Item not on Menu Pricing",IF(N($D250)&lt;=0,"Qty must be above 0",IF($H250="","No price on menu","OK"))))))</f>
        <v/>
      </c>
      <c r="O250" s="13">
        <f>IF($C250="","",IFERROR(MATCH($C250,'Menu Pricing'!$B$7:$B$56,0),""))</f>
        <v/>
      </c>
    </row>
    <row r="251" ht="17" customHeight="1">
      <c r="B251" s="66" t="n"/>
      <c r="C251" s="60" t="n"/>
      <c r="D251" s="86" t="n"/>
      <c r="E251" s="63" t="n"/>
      <c r="F251" s="60" t="n"/>
      <c r="G251" s="60" t="n"/>
      <c r="H251" s="71">
        <f>IF(OR($C251="",$D251=""),"",IF(ISNUMBER($E251),$E251,IF($O251="","",IF(N(INDEX('Menu Pricing'!$O$7:$O$56,$O251))&gt;0,INDEX('Menu Pricing'!$O$7:$O$56,$O251),""))))</f>
        <v/>
      </c>
      <c r="I251" s="71">
        <f>IF($N251&lt;&gt;"OK","",$D251*$H251)</f>
        <v/>
      </c>
      <c r="J251" s="71">
        <f>IF($N251&lt;&gt;"OK","",N(INDEX('Menu Pricing'!$F$7:$F$56,$O251))+N(INDEX('Menu Pricing'!$G$7:$G$56,$O251))+N(INDEX('Menu Pricing'!$J$7:$J$56,$O251)))</f>
        <v/>
      </c>
      <c r="K251" s="71">
        <f>IF($N251&lt;&gt;"OK","",$D251*$J251)</f>
        <v/>
      </c>
      <c r="L251" s="71">
        <f>IF($N251&lt;&gt;"OK","",$I251-$K251)</f>
        <v/>
      </c>
      <c r="M251" s="71">
        <f>IF($N251&lt;&gt;"OK","",$D251*N(INDEX('Menu Pricing'!$F$7:$F$56,$O251)))</f>
        <v/>
      </c>
      <c r="N251" s="80">
        <f>IF(AND($B251="",$C251="",$D251=""),"",IF(NOT(ISNUMBER($B251)),"Enter a valid date",IF($C251="","Pick a menu item",IF($O251="","Item not on Menu Pricing",IF(N($D251)&lt;=0,"Qty must be above 0",IF($H251="","No price on menu","OK"))))))</f>
        <v/>
      </c>
      <c r="O251" s="13">
        <f>IF($C251="","",IFERROR(MATCH($C251,'Menu Pricing'!$B$7:$B$56,0),""))</f>
        <v/>
      </c>
    </row>
    <row r="252" ht="17" customHeight="1">
      <c r="B252" s="66" t="n"/>
      <c r="C252" s="60" t="n"/>
      <c r="D252" s="86" t="n"/>
      <c r="E252" s="63" t="n"/>
      <c r="F252" s="60" t="n"/>
      <c r="G252" s="60" t="n"/>
      <c r="H252" s="71">
        <f>IF(OR($C252="",$D252=""),"",IF(ISNUMBER($E252),$E252,IF($O252="","",IF(N(INDEX('Menu Pricing'!$O$7:$O$56,$O252))&gt;0,INDEX('Menu Pricing'!$O$7:$O$56,$O252),""))))</f>
        <v/>
      </c>
      <c r="I252" s="71">
        <f>IF($N252&lt;&gt;"OK","",$D252*$H252)</f>
        <v/>
      </c>
      <c r="J252" s="71">
        <f>IF($N252&lt;&gt;"OK","",N(INDEX('Menu Pricing'!$F$7:$F$56,$O252))+N(INDEX('Menu Pricing'!$G$7:$G$56,$O252))+N(INDEX('Menu Pricing'!$J$7:$J$56,$O252)))</f>
        <v/>
      </c>
      <c r="K252" s="71">
        <f>IF($N252&lt;&gt;"OK","",$D252*$J252)</f>
        <v/>
      </c>
      <c r="L252" s="71">
        <f>IF($N252&lt;&gt;"OK","",$I252-$K252)</f>
        <v/>
      </c>
      <c r="M252" s="71">
        <f>IF($N252&lt;&gt;"OK","",$D252*N(INDEX('Menu Pricing'!$F$7:$F$56,$O252)))</f>
        <v/>
      </c>
      <c r="N252" s="80">
        <f>IF(AND($B252="",$C252="",$D252=""),"",IF(NOT(ISNUMBER($B252)),"Enter a valid date",IF($C252="","Pick a menu item",IF($O252="","Item not on Menu Pricing",IF(N($D252)&lt;=0,"Qty must be above 0",IF($H252="","No price on menu","OK"))))))</f>
        <v/>
      </c>
      <c r="O252" s="13">
        <f>IF($C252="","",IFERROR(MATCH($C252,'Menu Pricing'!$B$7:$B$56,0),""))</f>
        <v/>
      </c>
    </row>
    <row r="253" ht="17" customHeight="1">
      <c r="B253" s="66" t="n"/>
      <c r="C253" s="60" t="n"/>
      <c r="D253" s="86" t="n"/>
      <c r="E253" s="63" t="n"/>
      <c r="F253" s="60" t="n"/>
      <c r="G253" s="60" t="n"/>
      <c r="H253" s="71">
        <f>IF(OR($C253="",$D253=""),"",IF(ISNUMBER($E253),$E253,IF($O253="","",IF(N(INDEX('Menu Pricing'!$O$7:$O$56,$O253))&gt;0,INDEX('Menu Pricing'!$O$7:$O$56,$O253),""))))</f>
        <v/>
      </c>
      <c r="I253" s="71">
        <f>IF($N253&lt;&gt;"OK","",$D253*$H253)</f>
        <v/>
      </c>
      <c r="J253" s="71">
        <f>IF($N253&lt;&gt;"OK","",N(INDEX('Menu Pricing'!$F$7:$F$56,$O253))+N(INDEX('Menu Pricing'!$G$7:$G$56,$O253))+N(INDEX('Menu Pricing'!$J$7:$J$56,$O253)))</f>
        <v/>
      </c>
      <c r="K253" s="71">
        <f>IF($N253&lt;&gt;"OK","",$D253*$J253)</f>
        <v/>
      </c>
      <c r="L253" s="71">
        <f>IF($N253&lt;&gt;"OK","",$I253-$K253)</f>
        <v/>
      </c>
      <c r="M253" s="71">
        <f>IF($N253&lt;&gt;"OK","",$D253*N(INDEX('Menu Pricing'!$F$7:$F$56,$O253)))</f>
        <v/>
      </c>
      <c r="N253" s="80">
        <f>IF(AND($B253="",$C253="",$D253=""),"",IF(NOT(ISNUMBER($B253)),"Enter a valid date",IF($C253="","Pick a menu item",IF($O253="","Item not on Menu Pricing",IF(N($D253)&lt;=0,"Qty must be above 0",IF($H253="","No price on menu","OK"))))))</f>
        <v/>
      </c>
      <c r="O253" s="13">
        <f>IF($C253="","",IFERROR(MATCH($C253,'Menu Pricing'!$B$7:$B$56,0),""))</f>
        <v/>
      </c>
    </row>
    <row r="254" ht="17" customHeight="1">
      <c r="B254" s="66" t="n"/>
      <c r="C254" s="60" t="n"/>
      <c r="D254" s="86" t="n"/>
      <c r="E254" s="63" t="n"/>
      <c r="F254" s="60" t="n"/>
      <c r="G254" s="60" t="n"/>
      <c r="H254" s="71">
        <f>IF(OR($C254="",$D254=""),"",IF(ISNUMBER($E254),$E254,IF($O254="","",IF(N(INDEX('Menu Pricing'!$O$7:$O$56,$O254))&gt;0,INDEX('Menu Pricing'!$O$7:$O$56,$O254),""))))</f>
        <v/>
      </c>
      <c r="I254" s="71">
        <f>IF($N254&lt;&gt;"OK","",$D254*$H254)</f>
        <v/>
      </c>
      <c r="J254" s="71">
        <f>IF($N254&lt;&gt;"OK","",N(INDEX('Menu Pricing'!$F$7:$F$56,$O254))+N(INDEX('Menu Pricing'!$G$7:$G$56,$O254))+N(INDEX('Menu Pricing'!$J$7:$J$56,$O254)))</f>
        <v/>
      </c>
      <c r="K254" s="71">
        <f>IF($N254&lt;&gt;"OK","",$D254*$J254)</f>
        <v/>
      </c>
      <c r="L254" s="71">
        <f>IF($N254&lt;&gt;"OK","",$I254-$K254)</f>
        <v/>
      </c>
      <c r="M254" s="71">
        <f>IF($N254&lt;&gt;"OK","",$D254*N(INDEX('Menu Pricing'!$F$7:$F$56,$O254)))</f>
        <v/>
      </c>
      <c r="N254" s="80">
        <f>IF(AND($B254="",$C254="",$D254=""),"",IF(NOT(ISNUMBER($B254)),"Enter a valid date",IF($C254="","Pick a menu item",IF($O254="","Item not on Menu Pricing",IF(N($D254)&lt;=0,"Qty must be above 0",IF($H254="","No price on menu","OK"))))))</f>
        <v/>
      </c>
      <c r="O254" s="13">
        <f>IF($C254="","",IFERROR(MATCH($C254,'Menu Pricing'!$B$7:$B$56,0),""))</f>
        <v/>
      </c>
    </row>
    <row r="255" ht="17" customHeight="1">
      <c r="B255" s="66" t="n"/>
      <c r="C255" s="60" t="n"/>
      <c r="D255" s="86" t="n"/>
      <c r="E255" s="63" t="n"/>
      <c r="F255" s="60" t="n"/>
      <c r="G255" s="60" t="n"/>
      <c r="H255" s="71">
        <f>IF(OR($C255="",$D255=""),"",IF(ISNUMBER($E255),$E255,IF($O255="","",IF(N(INDEX('Menu Pricing'!$O$7:$O$56,$O255))&gt;0,INDEX('Menu Pricing'!$O$7:$O$56,$O255),""))))</f>
        <v/>
      </c>
      <c r="I255" s="71">
        <f>IF($N255&lt;&gt;"OK","",$D255*$H255)</f>
        <v/>
      </c>
      <c r="J255" s="71">
        <f>IF($N255&lt;&gt;"OK","",N(INDEX('Menu Pricing'!$F$7:$F$56,$O255))+N(INDEX('Menu Pricing'!$G$7:$G$56,$O255))+N(INDEX('Menu Pricing'!$J$7:$J$56,$O255)))</f>
        <v/>
      </c>
      <c r="K255" s="71">
        <f>IF($N255&lt;&gt;"OK","",$D255*$J255)</f>
        <v/>
      </c>
      <c r="L255" s="71">
        <f>IF($N255&lt;&gt;"OK","",$I255-$K255)</f>
        <v/>
      </c>
      <c r="M255" s="71">
        <f>IF($N255&lt;&gt;"OK","",$D255*N(INDEX('Menu Pricing'!$F$7:$F$56,$O255)))</f>
        <v/>
      </c>
      <c r="N255" s="80">
        <f>IF(AND($B255="",$C255="",$D255=""),"",IF(NOT(ISNUMBER($B255)),"Enter a valid date",IF($C255="","Pick a menu item",IF($O255="","Item not on Menu Pricing",IF(N($D255)&lt;=0,"Qty must be above 0",IF($H255="","No price on menu","OK"))))))</f>
        <v/>
      </c>
      <c r="O255" s="13">
        <f>IF($C255="","",IFERROR(MATCH($C255,'Menu Pricing'!$B$7:$B$56,0),""))</f>
        <v/>
      </c>
    </row>
    <row r="256" ht="17" customHeight="1">
      <c r="B256" s="66" t="n"/>
      <c r="C256" s="60" t="n"/>
      <c r="D256" s="86" t="n"/>
      <c r="E256" s="63" t="n"/>
      <c r="F256" s="60" t="n"/>
      <c r="G256" s="60" t="n"/>
      <c r="H256" s="71">
        <f>IF(OR($C256="",$D256=""),"",IF(ISNUMBER($E256),$E256,IF($O256="","",IF(N(INDEX('Menu Pricing'!$O$7:$O$56,$O256))&gt;0,INDEX('Menu Pricing'!$O$7:$O$56,$O256),""))))</f>
        <v/>
      </c>
      <c r="I256" s="71">
        <f>IF($N256&lt;&gt;"OK","",$D256*$H256)</f>
        <v/>
      </c>
      <c r="J256" s="71">
        <f>IF($N256&lt;&gt;"OK","",N(INDEX('Menu Pricing'!$F$7:$F$56,$O256))+N(INDEX('Menu Pricing'!$G$7:$G$56,$O256))+N(INDEX('Menu Pricing'!$J$7:$J$56,$O256)))</f>
        <v/>
      </c>
      <c r="K256" s="71">
        <f>IF($N256&lt;&gt;"OK","",$D256*$J256)</f>
        <v/>
      </c>
      <c r="L256" s="71">
        <f>IF($N256&lt;&gt;"OK","",$I256-$K256)</f>
        <v/>
      </c>
      <c r="M256" s="71">
        <f>IF($N256&lt;&gt;"OK","",$D256*N(INDEX('Menu Pricing'!$F$7:$F$56,$O256)))</f>
        <v/>
      </c>
      <c r="N256" s="80">
        <f>IF(AND($B256="",$C256="",$D256=""),"",IF(NOT(ISNUMBER($B256)),"Enter a valid date",IF($C256="","Pick a menu item",IF($O256="","Item not on Menu Pricing",IF(N($D256)&lt;=0,"Qty must be above 0",IF($H256="","No price on menu","OK"))))))</f>
        <v/>
      </c>
      <c r="O256" s="13">
        <f>IF($C256="","",IFERROR(MATCH($C256,'Menu Pricing'!$B$7:$B$56,0),""))</f>
        <v/>
      </c>
    </row>
    <row r="257" ht="17" customHeight="1">
      <c r="B257" s="66" t="n"/>
      <c r="C257" s="60" t="n"/>
      <c r="D257" s="86" t="n"/>
      <c r="E257" s="63" t="n"/>
      <c r="F257" s="60" t="n"/>
      <c r="G257" s="60" t="n"/>
      <c r="H257" s="71">
        <f>IF(OR($C257="",$D257=""),"",IF(ISNUMBER($E257),$E257,IF($O257="","",IF(N(INDEX('Menu Pricing'!$O$7:$O$56,$O257))&gt;0,INDEX('Menu Pricing'!$O$7:$O$56,$O257),""))))</f>
        <v/>
      </c>
      <c r="I257" s="71">
        <f>IF($N257&lt;&gt;"OK","",$D257*$H257)</f>
        <v/>
      </c>
      <c r="J257" s="71">
        <f>IF($N257&lt;&gt;"OK","",N(INDEX('Menu Pricing'!$F$7:$F$56,$O257))+N(INDEX('Menu Pricing'!$G$7:$G$56,$O257))+N(INDEX('Menu Pricing'!$J$7:$J$56,$O257)))</f>
        <v/>
      </c>
      <c r="K257" s="71">
        <f>IF($N257&lt;&gt;"OK","",$D257*$J257)</f>
        <v/>
      </c>
      <c r="L257" s="71">
        <f>IF($N257&lt;&gt;"OK","",$I257-$K257)</f>
        <v/>
      </c>
      <c r="M257" s="71">
        <f>IF($N257&lt;&gt;"OK","",$D257*N(INDEX('Menu Pricing'!$F$7:$F$56,$O257)))</f>
        <v/>
      </c>
      <c r="N257" s="80">
        <f>IF(AND($B257="",$C257="",$D257=""),"",IF(NOT(ISNUMBER($B257)),"Enter a valid date",IF($C257="","Pick a menu item",IF($O257="","Item not on Menu Pricing",IF(N($D257)&lt;=0,"Qty must be above 0",IF($H257="","No price on menu","OK"))))))</f>
        <v/>
      </c>
      <c r="O257" s="13">
        <f>IF($C257="","",IFERROR(MATCH($C257,'Menu Pricing'!$B$7:$B$56,0),""))</f>
        <v/>
      </c>
    </row>
    <row r="258" ht="17" customHeight="1">
      <c r="B258" s="66" t="n"/>
      <c r="C258" s="60" t="n"/>
      <c r="D258" s="86" t="n"/>
      <c r="E258" s="63" t="n"/>
      <c r="F258" s="60" t="n"/>
      <c r="G258" s="60" t="n"/>
      <c r="H258" s="71">
        <f>IF(OR($C258="",$D258=""),"",IF(ISNUMBER($E258),$E258,IF($O258="","",IF(N(INDEX('Menu Pricing'!$O$7:$O$56,$O258))&gt;0,INDEX('Menu Pricing'!$O$7:$O$56,$O258),""))))</f>
        <v/>
      </c>
      <c r="I258" s="71">
        <f>IF($N258&lt;&gt;"OK","",$D258*$H258)</f>
        <v/>
      </c>
      <c r="J258" s="71">
        <f>IF($N258&lt;&gt;"OK","",N(INDEX('Menu Pricing'!$F$7:$F$56,$O258))+N(INDEX('Menu Pricing'!$G$7:$G$56,$O258))+N(INDEX('Menu Pricing'!$J$7:$J$56,$O258)))</f>
        <v/>
      </c>
      <c r="K258" s="71">
        <f>IF($N258&lt;&gt;"OK","",$D258*$J258)</f>
        <v/>
      </c>
      <c r="L258" s="71">
        <f>IF($N258&lt;&gt;"OK","",$I258-$K258)</f>
        <v/>
      </c>
      <c r="M258" s="71">
        <f>IF($N258&lt;&gt;"OK","",$D258*N(INDEX('Menu Pricing'!$F$7:$F$56,$O258)))</f>
        <v/>
      </c>
      <c r="N258" s="80">
        <f>IF(AND($B258="",$C258="",$D258=""),"",IF(NOT(ISNUMBER($B258)),"Enter a valid date",IF($C258="","Pick a menu item",IF($O258="","Item not on Menu Pricing",IF(N($D258)&lt;=0,"Qty must be above 0",IF($H258="","No price on menu","OK"))))))</f>
        <v/>
      </c>
      <c r="O258" s="13">
        <f>IF($C258="","",IFERROR(MATCH($C258,'Menu Pricing'!$B$7:$B$56,0),""))</f>
        <v/>
      </c>
    </row>
    <row r="259" ht="17" customHeight="1">
      <c r="B259" s="66" t="n"/>
      <c r="C259" s="60" t="n"/>
      <c r="D259" s="86" t="n"/>
      <c r="E259" s="63" t="n"/>
      <c r="F259" s="60" t="n"/>
      <c r="G259" s="60" t="n"/>
      <c r="H259" s="71">
        <f>IF(OR($C259="",$D259=""),"",IF(ISNUMBER($E259),$E259,IF($O259="","",IF(N(INDEX('Menu Pricing'!$O$7:$O$56,$O259))&gt;0,INDEX('Menu Pricing'!$O$7:$O$56,$O259),""))))</f>
        <v/>
      </c>
      <c r="I259" s="71">
        <f>IF($N259&lt;&gt;"OK","",$D259*$H259)</f>
        <v/>
      </c>
      <c r="J259" s="71">
        <f>IF($N259&lt;&gt;"OK","",N(INDEX('Menu Pricing'!$F$7:$F$56,$O259))+N(INDEX('Menu Pricing'!$G$7:$G$56,$O259))+N(INDEX('Menu Pricing'!$J$7:$J$56,$O259)))</f>
        <v/>
      </c>
      <c r="K259" s="71">
        <f>IF($N259&lt;&gt;"OK","",$D259*$J259)</f>
        <v/>
      </c>
      <c r="L259" s="71">
        <f>IF($N259&lt;&gt;"OK","",$I259-$K259)</f>
        <v/>
      </c>
      <c r="M259" s="71">
        <f>IF($N259&lt;&gt;"OK","",$D259*N(INDEX('Menu Pricing'!$F$7:$F$56,$O259)))</f>
        <v/>
      </c>
      <c r="N259" s="80">
        <f>IF(AND($B259="",$C259="",$D259=""),"",IF(NOT(ISNUMBER($B259)),"Enter a valid date",IF($C259="","Pick a menu item",IF($O259="","Item not on Menu Pricing",IF(N($D259)&lt;=0,"Qty must be above 0",IF($H259="","No price on menu","OK"))))))</f>
        <v/>
      </c>
      <c r="O259" s="13">
        <f>IF($C259="","",IFERROR(MATCH($C259,'Menu Pricing'!$B$7:$B$56,0),""))</f>
        <v/>
      </c>
    </row>
    <row r="260" ht="17" customHeight="1">
      <c r="B260" s="66" t="n"/>
      <c r="C260" s="60" t="n"/>
      <c r="D260" s="86" t="n"/>
      <c r="E260" s="63" t="n"/>
      <c r="F260" s="60" t="n"/>
      <c r="G260" s="60" t="n"/>
      <c r="H260" s="71">
        <f>IF(OR($C260="",$D260=""),"",IF(ISNUMBER($E260),$E260,IF($O260="","",IF(N(INDEX('Menu Pricing'!$O$7:$O$56,$O260))&gt;0,INDEX('Menu Pricing'!$O$7:$O$56,$O260),""))))</f>
        <v/>
      </c>
      <c r="I260" s="71">
        <f>IF($N260&lt;&gt;"OK","",$D260*$H260)</f>
        <v/>
      </c>
      <c r="J260" s="71">
        <f>IF($N260&lt;&gt;"OK","",N(INDEX('Menu Pricing'!$F$7:$F$56,$O260))+N(INDEX('Menu Pricing'!$G$7:$G$56,$O260))+N(INDEX('Menu Pricing'!$J$7:$J$56,$O260)))</f>
        <v/>
      </c>
      <c r="K260" s="71">
        <f>IF($N260&lt;&gt;"OK","",$D260*$J260)</f>
        <v/>
      </c>
      <c r="L260" s="71">
        <f>IF($N260&lt;&gt;"OK","",$I260-$K260)</f>
        <v/>
      </c>
      <c r="M260" s="71">
        <f>IF($N260&lt;&gt;"OK","",$D260*N(INDEX('Menu Pricing'!$F$7:$F$56,$O260)))</f>
        <v/>
      </c>
      <c r="N260" s="80">
        <f>IF(AND($B260="",$C260="",$D260=""),"",IF(NOT(ISNUMBER($B260)),"Enter a valid date",IF($C260="","Pick a menu item",IF($O260="","Item not on Menu Pricing",IF(N($D260)&lt;=0,"Qty must be above 0",IF($H260="","No price on menu","OK"))))))</f>
        <v/>
      </c>
      <c r="O260" s="13">
        <f>IF($C260="","",IFERROR(MATCH($C260,'Menu Pricing'!$B$7:$B$56,0),""))</f>
        <v/>
      </c>
    </row>
    <row r="261" ht="17" customHeight="1">
      <c r="B261" s="66" t="n"/>
      <c r="C261" s="60" t="n"/>
      <c r="D261" s="86" t="n"/>
      <c r="E261" s="63" t="n"/>
      <c r="F261" s="60" t="n"/>
      <c r="G261" s="60" t="n"/>
      <c r="H261" s="71">
        <f>IF(OR($C261="",$D261=""),"",IF(ISNUMBER($E261),$E261,IF($O261="","",IF(N(INDEX('Menu Pricing'!$O$7:$O$56,$O261))&gt;0,INDEX('Menu Pricing'!$O$7:$O$56,$O261),""))))</f>
        <v/>
      </c>
      <c r="I261" s="71">
        <f>IF($N261&lt;&gt;"OK","",$D261*$H261)</f>
        <v/>
      </c>
      <c r="J261" s="71">
        <f>IF($N261&lt;&gt;"OK","",N(INDEX('Menu Pricing'!$F$7:$F$56,$O261))+N(INDEX('Menu Pricing'!$G$7:$G$56,$O261))+N(INDEX('Menu Pricing'!$J$7:$J$56,$O261)))</f>
        <v/>
      </c>
      <c r="K261" s="71">
        <f>IF($N261&lt;&gt;"OK","",$D261*$J261)</f>
        <v/>
      </c>
      <c r="L261" s="71">
        <f>IF($N261&lt;&gt;"OK","",$I261-$K261)</f>
        <v/>
      </c>
      <c r="M261" s="71">
        <f>IF($N261&lt;&gt;"OK","",$D261*N(INDEX('Menu Pricing'!$F$7:$F$56,$O261)))</f>
        <v/>
      </c>
      <c r="N261" s="80">
        <f>IF(AND($B261="",$C261="",$D261=""),"",IF(NOT(ISNUMBER($B261)),"Enter a valid date",IF($C261="","Pick a menu item",IF($O261="","Item not on Menu Pricing",IF(N($D261)&lt;=0,"Qty must be above 0",IF($H261="","No price on menu","OK"))))))</f>
        <v/>
      </c>
      <c r="O261" s="13">
        <f>IF($C261="","",IFERROR(MATCH($C261,'Menu Pricing'!$B$7:$B$56,0),""))</f>
        <v/>
      </c>
    </row>
    <row r="262" ht="17" customHeight="1">
      <c r="B262" s="66" t="n"/>
      <c r="C262" s="60" t="n"/>
      <c r="D262" s="86" t="n"/>
      <c r="E262" s="63" t="n"/>
      <c r="F262" s="60" t="n"/>
      <c r="G262" s="60" t="n"/>
      <c r="H262" s="71">
        <f>IF(OR($C262="",$D262=""),"",IF(ISNUMBER($E262),$E262,IF($O262="","",IF(N(INDEX('Menu Pricing'!$O$7:$O$56,$O262))&gt;0,INDEX('Menu Pricing'!$O$7:$O$56,$O262),""))))</f>
        <v/>
      </c>
      <c r="I262" s="71">
        <f>IF($N262&lt;&gt;"OK","",$D262*$H262)</f>
        <v/>
      </c>
      <c r="J262" s="71">
        <f>IF($N262&lt;&gt;"OK","",N(INDEX('Menu Pricing'!$F$7:$F$56,$O262))+N(INDEX('Menu Pricing'!$G$7:$G$56,$O262))+N(INDEX('Menu Pricing'!$J$7:$J$56,$O262)))</f>
        <v/>
      </c>
      <c r="K262" s="71">
        <f>IF($N262&lt;&gt;"OK","",$D262*$J262)</f>
        <v/>
      </c>
      <c r="L262" s="71">
        <f>IF($N262&lt;&gt;"OK","",$I262-$K262)</f>
        <v/>
      </c>
      <c r="M262" s="71">
        <f>IF($N262&lt;&gt;"OK","",$D262*N(INDEX('Menu Pricing'!$F$7:$F$56,$O262)))</f>
        <v/>
      </c>
      <c r="N262" s="80">
        <f>IF(AND($B262="",$C262="",$D262=""),"",IF(NOT(ISNUMBER($B262)),"Enter a valid date",IF($C262="","Pick a menu item",IF($O262="","Item not on Menu Pricing",IF(N($D262)&lt;=0,"Qty must be above 0",IF($H262="","No price on menu","OK"))))))</f>
        <v/>
      </c>
      <c r="O262" s="13">
        <f>IF($C262="","",IFERROR(MATCH($C262,'Menu Pricing'!$B$7:$B$56,0),""))</f>
        <v/>
      </c>
    </row>
    <row r="263" ht="17" customHeight="1">
      <c r="B263" s="66" t="n"/>
      <c r="C263" s="60" t="n"/>
      <c r="D263" s="86" t="n"/>
      <c r="E263" s="63" t="n"/>
      <c r="F263" s="60" t="n"/>
      <c r="G263" s="60" t="n"/>
      <c r="H263" s="71">
        <f>IF(OR($C263="",$D263=""),"",IF(ISNUMBER($E263),$E263,IF($O263="","",IF(N(INDEX('Menu Pricing'!$O$7:$O$56,$O263))&gt;0,INDEX('Menu Pricing'!$O$7:$O$56,$O263),""))))</f>
        <v/>
      </c>
      <c r="I263" s="71">
        <f>IF($N263&lt;&gt;"OK","",$D263*$H263)</f>
        <v/>
      </c>
      <c r="J263" s="71">
        <f>IF($N263&lt;&gt;"OK","",N(INDEX('Menu Pricing'!$F$7:$F$56,$O263))+N(INDEX('Menu Pricing'!$G$7:$G$56,$O263))+N(INDEX('Menu Pricing'!$J$7:$J$56,$O263)))</f>
        <v/>
      </c>
      <c r="K263" s="71">
        <f>IF($N263&lt;&gt;"OK","",$D263*$J263)</f>
        <v/>
      </c>
      <c r="L263" s="71">
        <f>IF($N263&lt;&gt;"OK","",$I263-$K263)</f>
        <v/>
      </c>
      <c r="M263" s="71">
        <f>IF($N263&lt;&gt;"OK","",$D263*N(INDEX('Menu Pricing'!$F$7:$F$56,$O263)))</f>
        <v/>
      </c>
      <c r="N263" s="80">
        <f>IF(AND($B263="",$C263="",$D263=""),"",IF(NOT(ISNUMBER($B263)),"Enter a valid date",IF($C263="","Pick a menu item",IF($O263="","Item not on Menu Pricing",IF(N($D263)&lt;=0,"Qty must be above 0",IF($H263="","No price on menu","OK"))))))</f>
        <v/>
      </c>
      <c r="O263" s="13">
        <f>IF($C263="","",IFERROR(MATCH($C263,'Menu Pricing'!$B$7:$B$56,0),""))</f>
        <v/>
      </c>
    </row>
    <row r="264" ht="17" customHeight="1">
      <c r="B264" s="66" t="n"/>
      <c r="C264" s="60" t="n"/>
      <c r="D264" s="86" t="n"/>
      <c r="E264" s="63" t="n"/>
      <c r="F264" s="60" t="n"/>
      <c r="G264" s="60" t="n"/>
      <c r="H264" s="71">
        <f>IF(OR($C264="",$D264=""),"",IF(ISNUMBER($E264),$E264,IF($O264="","",IF(N(INDEX('Menu Pricing'!$O$7:$O$56,$O264))&gt;0,INDEX('Menu Pricing'!$O$7:$O$56,$O264),""))))</f>
        <v/>
      </c>
      <c r="I264" s="71">
        <f>IF($N264&lt;&gt;"OK","",$D264*$H264)</f>
        <v/>
      </c>
      <c r="J264" s="71">
        <f>IF($N264&lt;&gt;"OK","",N(INDEX('Menu Pricing'!$F$7:$F$56,$O264))+N(INDEX('Menu Pricing'!$G$7:$G$56,$O264))+N(INDEX('Menu Pricing'!$J$7:$J$56,$O264)))</f>
        <v/>
      </c>
      <c r="K264" s="71">
        <f>IF($N264&lt;&gt;"OK","",$D264*$J264)</f>
        <v/>
      </c>
      <c r="L264" s="71">
        <f>IF($N264&lt;&gt;"OK","",$I264-$K264)</f>
        <v/>
      </c>
      <c r="M264" s="71">
        <f>IF($N264&lt;&gt;"OK","",$D264*N(INDEX('Menu Pricing'!$F$7:$F$56,$O264)))</f>
        <v/>
      </c>
      <c r="N264" s="80">
        <f>IF(AND($B264="",$C264="",$D264=""),"",IF(NOT(ISNUMBER($B264)),"Enter a valid date",IF($C264="","Pick a menu item",IF($O264="","Item not on Menu Pricing",IF(N($D264)&lt;=0,"Qty must be above 0",IF($H264="","No price on menu","OK"))))))</f>
        <v/>
      </c>
      <c r="O264" s="13">
        <f>IF($C264="","",IFERROR(MATCH($C264,'Menu Pricing'!$B$7:$B$56,0),""))</f>
        <v/>
      </c>
    </row>
    <row r="265" ht="17" customHeight="1">
      <c r="B265" s="66" t="n"/>
      <c r="C265" s="60" t="n"/>
      <c r="D265" s="86" t="n"/>
      <c r="E265" s="63" t="n"/>
      <c r="F265" s="60" t="n"/>
      <c r="G265" s="60" t="n"/>
      <c r="H265" s="71">
        <f>IF(OR($C265="",$D265=""),"",IF(ISNUMBER($E265),$E265,IF($O265="","",IF(N(INDEX('Menu Pricing'!$O$7:$O$56,$O265))&gt;0,INDEX('Menu Pricing'!$O$7:$O$56,$O265),""))))</f>
        <v/>
      </c>
      <c r="I265" s="71">
        <f>IF($N265&lt;&gt;"OK","",$D265*$H265)</f>
        <v/>
      </c>
      <c r="J265" s="71">
        <f>IF($N265&lt;&gt;"OK","",N(INDEX('Menu Pricing'!$F$7:$F$56,$O265))+N(INDEX('Menu Pricing'!$G$7:$G$56,$O265))+N(INDEX('Menu Pricing'!$J$7:$J$56,$O265)))</f>
        <v/>
      </c>
      <c r="K265" s="71">
        <f>IF($N265&lt;&gt;"OK","",$D265*$J265)</f>
        <v/>
      </c>
      <c r="L265" s="71">
        <f>IF($N265&lt;&gt;"OK","",$I265-$K265)</f>
        <v/>
      </c>
      <c r="M265" s="71">
        <f>IF($N265&lt;&gt;"OK","",$D265*N(INDEX('Menu Pricing'!$F$7:$F$56,$O265)))</f>
        <v/>
      </c>
      <c r="N265" s="80">
        <f>IF(AND($B265="",$C265="",$D265=""),"",IF(NOT(ISNUMBER($B265)),"Enter a valid date",IF($C265="","Pick a menu item",IF($O265="","Item not on Menu Pricing",IF(N($D265)&lt;=0,"Qty must be above 0",IF($H265="","No price on menu","OK"))))))</f>
        <v/>
      </c>
      <c r="O265" s="13">
        <f>IF($C265="","",IFERROR(MATCH($C265,'Menu Pricing'!$B$7:$B$56,0),""))</f>
        <v/>
      </c>
    </row>
    <row r="266" ht="17" customHeight="1">
      <c r="B266" s="66" t="n"/>
      <c r="C266" s="60" t="n"/>
      <c r="D266" s="86" t="n"/>
      <c r="E266" s="63" t="n"/>
      <c r="F266" s="60" t="n"/>
      <c r="G266" s="60" t="n"/>
      <c r="H266" s="71">
        <f>IF(OR($C266="",$D266=""),"",IF(ISNUMBER($E266),$E266,IF($O266="","",IF(N(INDEX('Menu Pricing'!$O$7:$O$56,$O266))&gt;0,INDEX('Menu Pricing'!$O$7:$O$56,$O266),""))))</f>
        <v/>
      </c>
      <c r="I266" s="71">
        <f>IF($N266&lt;&gt;"OK","",$D266*$H266)</f>
        <v/>
      </c>
      <c r="J266" s="71">
        <f>IF($N266&lt;&gt;"OK","",N(INDEX('Menu Pricing'!$F$7:$F$56,$O266))+N(INDEX('Menu Pricing'!$G$7:$G$56,$O266))+N(INDEX('Menu Pricing'!$J$7:$J$56,$O266)))</f>
        <v/>
      </c>
      <c r="K266" s="71">
        <f>IF($N266&lt;&gt;"OK","",$D266*$J266)</f>
        <v/>
      </c>
      <c r="L266" s="71">
        <f>IF($N266&lt;&gt;"OK","",$I266-$K266)</f>
        <v/>
      </c>
      <c r="M266" s="71">
        <f>IF($N266&lt;&gt;"OK","",$D266*N(INDEX('Menu Pricing'!$F$7:$F$56,$O266)))</f>
        <v/>
      </c>
      <c r="N266" s="80">
        <f>IF(AND($B266="",$C266="",$D266=""),"",IF(NOT(ISNUMBER($B266)),"Enter a valid date",IF($C266="","Pick a menu item",IF($O266="","Item not on Menu Pricing",IF(N($D266)&lt;=0,"Qty must be above 0",IF($H266="","No price on menu","OK"))))))</f>
        <v/>
      </c>
      <c r="O266" s="13">
        <f>IF($C266="","",IFERROR(MATCH($C266,'Menu Pricing'!$B$7:$B$56,0),""))</f>
        <v/>
      </c>
    </row>
    <row r="267" ht="17" customHeight="1">
      <c r="B267" s="66" t="n"/>
      <c r="C267" s="60" t="n"/>
      <c r="D267" s="86" t="n"/>
      <c r="E267" s="63" t="n"/>
      <c r="F267" s="60" t="n"/>
      <c r="G267" s="60" t="n"/>
      <c r="H267" s="71">
        <f>IF(OR($C267="",$D267=""),"",IF(ISNUMBER($E267),$E267,IF($O267="","",IF(N(INDEX('Menu Pricing'!$O$7:$O$56,$O267))&gt;0,INDEX('Menu Pricing'!$O$7:$O$56,$O267),""))))</f>
        <v/>
      </c>
      <c r="I267" s="71">
        <f>IF($N267&lt;&gt;"OK","",$D267*$H267)</f>
        <v/>
      </c>
      <c r="J267" s="71">
        <f>IF($N267&lt;&gt;"OK","",N(INDEX('Menu Pricing'!$F$7:$F$56,$O267))+N(INDEX('Menu Pricing'!$G$7:$G$56,$O267))+N(INDEX('Menu Pricing'!$J$7:$J$56,$O267)))</f>
        <v/>
      </c>
      <c r="K267" s="71">
        <f>IF($N267&lt;&gt;"OK","",$D267*$J267)</f>
        <v/>
      </c>
      <c r="L267" s="71">
        <f>IF($N267&lt;&gt;"OK","",$I267-$K267)</f>
        <v/>
      </c>
      <c r="M267" s="71">
        <f>IF($N267&lt;&gt;"OK","",$D267*N(INDEX('Menu Pricing'!$F$7:$F$56,$O267)))</f>
        <v/>
      </c>
      <c r="N267" s="80">
        <f>IF(AND($B267="",$C267="",$D267=""),"",IF(NOT(ISNUMBER($B267)),"Enter a valid date",IF($C267="","Pick a menu item",IF($O267="","Item not on Menu Pricing",IF(N($D267)&lt;=0,"Qty must be above 0",IF($H267="","No price on menu","OK"))))))</f>
        <v/>
      </c>
      <c r="O267" s="13">
        <f>IF($C267="","",IFERROR(MATCH($C267,'Menu Pricing'!$B$7:$B$56,0),""))</f>
        <v/>
      </c>
    </row>
    <row r="268" ht="17" customHeight="1">
      <c r="B268" s="66" t="n"/>
      <c r="C268" s="60" t="n"/>
      <c r="D268" s="86" t="n"/>
      <c r="E268" s="63" t="n"/>
      <c r="F268" s="60" t="n"/>
      <c r="G268" s="60" t="n"/>
      <c r="H268" s="71">
        <f>IF(OR($C268="",$D268=""),"",IF(ISNUMBER($E268),$E268,IF($O268="","",IF(N(INDEX('Menu Pricing'!$O$7:$O$56,$O268))&gt;0,INDEX('Menu Pricing'!$O$7:$O$56,$O268),""))))</f>
        <v/>
      </c>
      <c r="I268" s="71">
        <f>IF($N268&lt;&gt;"OK","",$D268*$H268)</f>
        <v/>
      </c>
      <c r="J268" s="71">
        <f>IF($N268&lt;&gt;"OK","",N(INDEX('Menu Pricing'!$F$7:$F$56,$O268))+N(INDEX('Menu Pricing'!$G$7:$G$56,$O268))+N(INDEX('Menu Pricing'!$J$7:$J$56,$O268)))</f>
        <v/>
      </c>
      <c r="K268" s="71">
        <f>IF($N268&lt;&gt;"OK","",$D268*$J268)</f>
        <v/>
      </c>
      <c r="L268" s="71">
        <f>IF($N268&lt;&gt;"OK","",$I268-$K268)</f>
        <v/>
      </c>
      <c r="M268" s="71">
        <f>IF($N268&lt;&gt;"OK","",$D268*N(INDEX('Menu Pricing'!$F$7:$F$56,$O268)))</f>
        <v/>
      </c>
      <c r="N268" s="80">
        <f>IF(AND($B268="",$C268="",$D268=""),"",IF(NOT(ISNUMBER($B268)),"Enter a valid date",IF($C268="","Pick a menu item",IF($O268="","Item not on Menu Pricing",IF(N($D268)&lt;=0,"Qty must be above 0",IF($H268="","No price on menu","OK"))))))</f>
        <v/>
      </c>
      <c r="O268" s="13">
        <f>IF($C268="","",IFERROR(MATCH($C268,'Menu Pricing'!$B$7:$B$56,0),""))</f>
        <v/>
      </c>
    </row>
    <row r="269" ht="17" customHeight="1">
      <c r="B269" s="66" t="n"/>
      <c r="C269" s="60" t="n"/>
      <c r="D269" s="86" t="n"/>
      <c r="E269" s="63" t="n"/>
      <c r="F269" s="60" t="n"/>
      <c r="G269" s="60" t="n"/>
      <c r="H269" s="71">
        <f>IF(OR($C269="",$D269=""),"",IF(ISNUMBER($E269),$E269,IF($O269="","",IF(N(INDEX('Menu Pricing'!$O$7:$O$56,$O269))&gt;0,INDEX('Menu Pricing'!$O$7:$O$56,$O269),""))))</f>
        <v/>
      </c>
      <c r="I269" s="71">
        <f>IF($N269&lt;&gt;"OK","",$D269*$H269)</f>
        <v/>
      </c>
      <c r="J269" s="71">
        <f>IF($N269&lt;&gt;"OK","",N(INDEX('Menu Pricing'!$F$7:$F$56,$O269))+N(INDEX('Menu Pricing'!$G$7:$G$56,$O269))+N(INDEX('Menu Pricing'!$J$7:$J$56,$O269)))</f>
        <v/>
      </c>
      <c r="K269" s="71">
        <f>IF($N269&lt;&gt;"OK","",$D269*$J269)</f>
        <v/>
      </c>
      <c r="L269" s="71">
        <f>IF($N269&lt;&gt;"OK","",$I269-$K269)</f>
        <v/>
      </c>
      <c r="M269" s="71">
        <f>IF($N269&lt;&gt;"OK","",$D269*N(INDEX('Menu Pricing'!$F$7:$F$56,$O269)))</f>
        <v/>
      </c>
      <c r="N269" s="80">
        <f>IF(AND($B269="",$C269="",$D269=""),"",IF(NOT(ISNUMBER($B269)),"Enter a valid date",IF($C269="","Pick a menu item",IF($O269="","Item not on Menu Pricing",IF(N($D269)&lt;=0,"Qty must be above 0",IF($H269="","No price on menu","OK"))))))</f>
        <v/>
      </c>
      <c r="O269" s="13">
        <f>IF($C269="","",IFERROR(MATCH($C269,'Menu Pricing'!$B$7:$B$56,0),""))</f>
        <v/>
      </c>
    </row>
    <row r="270" ht="17" customHeight="1">
      <c r="B270" s="66" t="n"/>
      <c r="C270" s="60" t="n"/>
      <c r="D270" s="86" t="n"/>
      <c r="E270" s="63" t="n"/>
      <c r="F270" s="60" t="n"/>
      <c r="G270" s="60" t="n"/>
      <c r="H270" s="71">
        <f>IF(OR($C270="",$D270=""),"",IF(ISNUMBER($E270),$E270,IF($O270="","",IF(N(INDEX('Menu Pricing'!$O$7:$O$56,$O270))&gt;0,INDEX('Menu Pricing'!$O$7:$O$56,$O270),""))))</f>
        <v/>
      </c>
      <c r="I270" s="71">
        <f>IF($N270&lt;&gt;"OK","",$D270*$H270)</f>
        <v/>
      </c>
      <c r="J270" s="71">
        <f>IF($N270&lt;&gt;"OK","",N(INDEX('Menu Pricing'!$F$7:$F$56,$O270))+N(INDEX('Menu Pricing'!$G$7:$G$56,$O270))+N(INDEX('Menu Pricing'!$J$7:$J$56,$O270)))</f>
        <v/>
      </c>
      <c r="K270" s="71">
        <f>IF($N270&lt;&gt;"OK","",$D270*$J270)</f>
        <v/>
      </c>
      <c r="L270" s="71">
        <f>IF($N270&lt;&gt;"OK","",$I270-$K270)</f>
        <v/>
      </c>
      <c r="M270" s="71">
        <f>IF($N270&lt;&gt;"OK","",$D270*N(INDEX('Menu Pricing'!$F$7:$F$56,$O270)))</f>
        <v/>
      </c>
      <c r="N270" s="80">
        <f>IF(AND($B270="",$C270="",$D270=""),"",IF(NOT(ISNUMBER($B270)),"Enter a valid date",IF($C270="","Pick a menu item",IF($O270="","Item not on Menu Pricing",IF(N($D270)&lt;=0,"Qty must be above 0",IF($H270="","No price on menu","OK"))))))</f>
        <v/>
      </c>
      <c r="O270" s="13">
        <f>IF($C270="","",IFERROR(MATCH($C270,'Menu Pricing'!$B$7:$B$56,0),""))</f>
        <v/>
      </c>
    </row>
    <row r="271" ht="17" customHeight="1">
      <c r="B271" s="66" t="n"/>
      <c r="C271" s="60" t="n"/>
      <c r="D271" s="86" t="n"/>
      <c r="E271" s="63" t="n"/>
      <c r="F271" s="60" t="n"/>
      <c r="G271" s="60" t="n"/>
      <c r="H271" s="71">
        <f>IF(OR($C271="",$D271=""),"",IF(ISNUMBER($E271),$E271,IF($O271="","",IF(N(INDEX('Menu Pricing'!$O$7:$O$56,$O271))&gt;0,INDEX('Menu Pricing'!$O$7:$O$56,$O271),""))))</f>
        <v/>
      </c>
      <c r="I271" s="71">
        <f>IF($N271&lt;&gt;"OK","",$D271*$H271)</f>
        <v/>
      </c>
      <c r="J271" s="71">
        <f>IF($N271&lt;&gt;"OK","",N(INDEX('Menu Pricing'!$F$7:$F$56,$O271))+N(INDEX('Menu Pricing'!$G$7:$G$56,$O271))+N(INDEX('Menu Pricing'!$J$7:$J$56,$O271)))</f>
        <v/>
      </c>
      <c r="K271" s="71">
        <f>IF($N271&lt;&gt;"OK","",$D271*$J271)</f>
        <v/>
      </c>
      <c r="L271" s="71">
        <f>IF($N271&lt;&gt;"OK","",$I271-$K271)</f>
        <v/>
      </c>
      <c r="M271" s="71">
        <f>IF($N271&lt;&gt;"OK","",$D271*N(INDEX('Menu Pricing'!$F$7:$F$56,$O271)))</f>
        <v/>
      </c>
      <c r="N271" s="80">
        <f>IF(AND($B271="",$C271="",$D271=""),"",IF(NOT(ISNUMBER($B271)),"Enter a valid date",IF($C271="","Pick a menu item",IF($O271="","Item not on Menu Pricing",IF(N($D271)&lt;=0,"Qty must be above 0",IF($H271="","No price on menu","OK"))))))</f>
        <v/>
      </c>
      <c r="O271" s="13">
        <f>IF($C271="","",IFERROR(MATCH($C271,'Menu Pricing'!$B$7:$B$56,0),""))</f>
        <v/>
      </c>
    </row>
    <row r="272" ht="17" customHeight="1">
      <c r="B272" s="66" t="n"/>
      <c r="C272" s="60" t="n"/>
      <c r="D272" s="86" t="n"/>
      <c r="E272" s="63" t="n"/>
      <c r="F272" s="60" t="n"/>
      <c r="G272" s="60" t="n"/>
      <c r="H272" s="71">
        <f>IF(OR($C272="",$D272=""),"",IF(ISNUMBER($E272),$E272,IF($O272="","",IF(N(INDEX('Menu Pricing'!$O$7:$O$56,$O272))&gt;0,INDEX('Menu Pricing'!$O$7:$O$56,$O272),""))))</f>
        <v/>
      </c>
      <c r="I272" s="71">
        <f>IF($N272&lt;&gt;"OK","",$D272*$H272)</f>
        <v/>
      </c>
      <c r="J272" s="71">
        <f>IF($N272&lt;&gt;"OK","",N(INDEX('Menu Pricing'!$F$7:$F$56,$O272))+N(INDEX('Menu Pricing'!$G$7:$G$56,$O272))+N(INDEX('Menu Pricing'!$J$7:$J$56,$O272)))</f>
        <v/>
      </c>
      <c r="K272" s="71">
        <f>IF($N272&lt;&gt;"OK","",$D272*$J272)</f>
        <v/>
      </c>
      <c r="L272" s="71">
        <f>IF($N272&lt;&gt;"OK","",$I272-$K272)</f>
        <v/>
      </c>
      <c r="M272" s="71">
        <f>IF($N272&lt;&gt;"OK","",$D272*N(INDEX('Menu Pricing'!$F$7:$F$56,$O272)))</f>
        <v/>
      </c>
      <c r="N272" s="80">
        <f>IF(AND($B272="",$C272="",$D272=""),"",IF(NOT(ISNUMBER($B272)),"Enter a valid date",IF($C272="","Pick a menu item",IF($O272="","Item not on Menu Pricing",IF(N($D272)&lt;=0,"Qty must be above 0",IF($H272="","No price on menu","OK"))))))</f>
        <v/>
      </c>
      <c r="O272" s="13">
        <f>IF($C272="","",IFERROR(MATCH($C272,'Menu Pricing'!$B$7:$B$56,0),""))</f>
        <v/>
      </c>
    </row>
    <row r="273" ht="17" customHeight="1">
      <c r="B273" s="66" t="n"/>
      <c r="C273" s="60" t="n"/>
      <c r="D273" s="86" t="n"/>
      <c r="E273" s="63" t="n"/>
      <c r="F273" s="60" t="n"/>
      <c r="G273" s="60" t="n"/>
      <c r="H273" s="71">
        <f>IF(OR($C273="",$D273=""),"",IF(ISNUMBER($E273),$E273,IF($O273="","",IF(N(INDEX('Menu Pricing'!$O$7:$O$56,$O273))&gt;0,INDEX('Menu Pricing'!$O$7:$O$56,$O273),""))))</f>
        <v/>
      </c>
      <c r="I273" s="71">
        <f>IF($N273&lt;&gt;"OK","",$D273*$H273)</f>
        <v/>
      </c>
      <c r="J273" s="71">
        <f>IF($N273&lt;&gt;"OK","",N(INDEX('Menu Pricing'!$F$7:$F$56,$O273))+N(INDEX('Menu Pricing'!$G$7:$G$56,$O273))+N(INDEX('Menu Pricing'!$J$7:$J$56,$O273)))</f>
        <v/>
      </c>
      <c r="K273" s="71">
        <f>IF($N273&lt;&gt;"OK","",$D273*$J273)</f>
        <v/>
      </c>
      <c r="L273" s="71">
        <f>IF($N273&lt;&gt;"OK","",$I273-$K273)</f>
        <v/>
      </c>
      <c r="M273" s="71">
        <f>IF($N273&lt;&gt;"OK","",$D273*N(INDEX('Menu Pricing'!$F$7:$F$56,$O273)))</f>
        <v/>
      </c>
      <c r="N273" s="80">
        <f>IF(AND($B273="",$C273="",$D273=""),"",IF(NOT(ISNUMBER($B273)),"Enter a valid date",IF($C273="","Pick a menu item",IF($O273="","Item not on Menu Pricing",IF(N($D273)&lt;=0,"Qty must be above 0",IF($H273="","No price on menu","OK"))))))</f>
        <v/>
      </c>
      <c r="O273" s="13">
        <f>IF($C273="","",IFERROR(MATCH($C273,'Menu Pricing'!$B$7:$B$56,0),""))</f>
        <v/>
      </c>
    </row>
    <row r="274" ht="17" customHeight="1">
      <c r="B274" s="66" t="n"/>
      <c r="C274" s="60" t="n"/>
      <c r="D274" s="86" t="n"/>
      <c r="E274" s="63" t="n"/>
      <c r="F274" s="60" t="n"/>
      <c r="G274" s="60" t="n"/>
      <c r="H274" s="71">
        <f>IF(OR($C274="",$D274=""),"",IF(ISNUMBER($E274),$E274,IF($O274="","",IF(N(INDEX('Menu Pricing'!$O$7:$O$56,$O274))&gt;0,INDEX('Menu Pricing'!$O$7:$O$56,$O274),""))))</f>
        <v/>
      </c>
      <c r="I274" s="71">
        <f>IF($N274&lt;&gt;"OK","",$D274*$H274)</f>
        <v/>
      </c>
      <c r="J274" s="71">
        <f>IF($N274&lt;&gt;"OK","",N(INDEX('Menu Pricing'!$F$7:$F$56,$O274))+N(INDEX('Menu Pricing'!$G$7:$G$56,$O274))+N(INDEX('Menu Pricing'!$J$7:$J$56,$O274)))</f>
        <v/>
      </c>
      <c r="K274" s="71">
        <f>IF($N274&lt;&gt;"OK","",$D274*$J274)</f>
        <v/>
      </c>
      <c r="L274" s="71">
        <f>IF($N274&lt;&gt;"OK","",$I274-$K274)</f>
        <v/>
      </c>
      <c r="M274" s="71">
        <f>IF($N274&lt;&gt;"OK","",$D274*N(INDEX('Menu Pricing'!$F$7:$F$56,$O274)))</f>
        <v/>
      </c>
      <c r="N274" s="80">
        <f>IF(AND($B274="",$C274="",$D274=""),"",IF(NOT(ISNUMBER($B274)),"Enter a valid date",IF($C274="","Pick a menu item",IF($O274="","Item not on Menu Pricing",IF(N($D274)&lt;=0,"Qty must be above 0",IF($H274="","No price on menu","OK"))))))</f>
        <v/>
      </c>
      <c r="O274" s="13">
        <f>IF($C274="","",IFERROR(MATCH($C274,'Menu Pricing'!$B$7:$B$56,0),""))</f>
        <v/>
      </c>
    </row>
    <row r="275" ht="17" customHeight="1">
      <c r="B275" s="66" t="n"/>
      <c r="C275" s="60" t="n"/>
      <c r="D275" s="86" t="n"/>
      <c r="E275" s="63" t="n"/>
      <c r="F275" s="60" t="n"/>
      <c r="G275" s="60" t="n"/>
      <c r="H275" s="71">
        <f>IF(OR($C275="",$D275=""),"",IF(ISNUMBER($E275),$E275,IF($O275="","",IF(N(INDEX('Menu Pricing'!$O$7:$O$56,$O275))&gt;0,INDEX('Menu Pricing'!$O$7:$O$56,$O275),""))))</f>
        <v/>
      </c>
      <c r="I275" s="71">
        <f>IF($N275&lt;&gt;"OK","",$D275*$H275)</f>
        <v/>
      </c>
      <c r="J275" s="71">
        <f>IF($N275&lt;&gt;"OK","",N(INDEX('Menu Pricing'!$F$7:$F$56,$O275))+N(INDEX('Menu Pricing'!$G$7:$G$56,$O275))+N(INDEX('Menu Pricing'!$J$7:$J$56,$O275)))</f>
        <v/>
      </c>
      <c r="K275" s="71">
        <f>IF($N275&lt;&gt;"OK","",$D275*$J275)</f>
        <v/>
      </c>
      <c r="L275" s="71">
        <f>IF($N275&lt;&gt;"OK","",$I275-$K275)</f>
        <v/>
      </c>
      <c r="M275" s="71">
        <f>IF($N275&lt;&gt;"OK","",$D275*N(INDEX('Menu Pricing'!$F$7:$F$56,$O275)))</f>
        <v/>
      </c>
      <c r="N275" s="80">
        <f>IF(AND($B275="",$C275="",$D275=""),"",IF(NOT(ISNUMBER($B275)),"Enter a valid date",IF($C275="","Pick a menu item",IF($O275="","Item not on Menu Pricing",IF(N($D275)&lt;=0,"Qty must be above 0",IF($H275="","No price on menu","OK"))))))</f>
        <v/>
      </c>
      <c r="O275" s="13">
        <f>IF($C275="","",IFERROR(MATCH($C275,'Menu Pricing'!$B$7:$B$56,0),""))</f>
        <v/>
      </c>
    </row>
    <row r="276" ht="17" customHeight="1">
      <c r="B276" s="66" t="n"/>
      <c r="C276" s="60" t="n"/>
      <c r="D276" s="86" t="n"/>
      <c r="E276" s="63" t="n"/>
      <c r="F276" s="60" t="n"/>
      <c r="G276" s="60" t="n"/>
      <c r="H276" s="71">
        <f>IF(OR($C276="",$D276=""),"",IF(ISNUMBER($E276),$E276,IF($O276="","",IF(N(INDEX('Menu Pricing'!$O$7:$O$56,$O276))&gt;0,INDEX('Menu Pricing'!$O$7:$O$56,$O276),""))))</f>
        <v/>
      </c>
      <c r="I276" s="71">
        <f>IF($N276&lt;&gt;"OK","",$D276*$H276)</f>
        <v/>
      </c>
      <c r="J276" s="71">
        <f>IF($N276&lt;&gt;"OK","",N(INDEX('Menu Pricing'!$F$7:$F$56,$O276))+N(INDEX('Menu Pricing'!$G$7:$G$56,$O276))+N(INDEX('Menu Pricing'!$J$7:$J$56,$O276)))</f>
        <v/>
      </c>
      <c r="K276" s="71">
        <f>IF($N276&lt;&gt;"OK","",$D276*$J276)</f>
        <v/>
      </c>
      <c r="L276" s="71">
        <f>IF($N276&lt;&gt;"OK","",$I276-$K276)</f>
        <v/>
      </c>
      <c r="M276" s="71">
        <f>IF($N276&lt;&gt;"OK","",$D276*N(INDEX('Menu Pricing'!$F$7:$F$56,$O276)))</f>
        <v/>
      </c>
      <c r="N276" s="80">
        <f>IF(AND($B276="",$C276="",$D276=""),"",IF(NOT(ISNUMBER($B276)),"Enter a valid date",IF($C276="","Pick a menu item",IF($O276="","Item not on Menu Pricing",IF(N($D276)&lt;=0,"Qty must be above 0",IF($H276="","No price on menu","OK"))))))</f>
        <v/>
      </c>
      <c r="O276" s="13">
        <f>IF($C276="","",IFERROR(MATCH($C276,'Menu Pricing'!$B$7:$B$56,0),""))</f>
        <v/>
      </c>
    </row>
    <row r="277" ht="17" customHeight="1">
      <c r="B277" s="66" t="n"/>
      <c r="C277" s="60" t="n"/>
      <c r="D277" s="86" t="n"/>
      <c r="E277" s="63" t="n"/>
      <c r="F277" s="60" t="n"/>
      <c r="G277" s="60" t="n"/>
      <c r="H277" s="71">
        <f>IF(OR($C277="",$D277=""),"",IF(ISNUMBER($E277),$E277,IF($O277="","",IF(N(INDEX('Menu Pricing'!$O$7:$O$56,$O277))&gt;0,INDEX('Menu Pricing'!$O$7:$O$56,$O277),""))))</f>
        <v/>
      </c>
      <c r="I277" s="71">
        <f>IF($N277&lt;&gt;"OK","",$D277*$H277)</f>
        <v/>
      </c>
      <c r="J277" s="71">
        <f>IF($N277&lt;&gt;"OK","",N(INDEX('Menu Pricing'!$F$7:$F$56,$O277))+N(INDEX('Menu Pricing'!$G$7:$G$56,$O277))+N(INDEX('Menu Pricing'!$J$7:$J$56,$O277)))</f>
        <v/>
      </c>
      <c r="K277" s="71">
        <f>IF($N277&lt;&gt;"OK","",$D277*$J277)</f>
        <v/>
      </c>
      <c r="L277" s="71">
        <f>IF($N277&lt;&gt;"OK","",$I277-$K277)</f>
        <v/>
      </c>
      <c r="M277" s="71">
        <f>IF($N277&lt;&gt;"OK","",$D277*N(INDEX('Menu Pricing'!$F$7:$F$56,$O277)))</f>
        <v/>
      </c>
      <c r="N277" s="80">
        <f>IF(AND($B277="",$C277="",$D277=""),"",IF(NOT(ISNUMBER($B277)),"Enter a valid date",IF($C277="","Pick a menu item",IF($O277="","Item not on Menu Pricing",IF(N($D277)&lt;=0,"Qty must be above 0",IF($H277="","No price on menu","OK"))))))</f>
        <v/>
      </c>
      <c r="O277" s="13">
        <f>IF($C277="","",IFERROR(MATCH($C277,'Menu Pricing'!$B$7:$B$56,0),""))</f>
        <v/>
      </c>
    </row>
    <row r="278" ht="17" customHeight="1">
      <c r="B278" s="66" t="n"/>
      <c r="C278" s="60" t="n"/>
      <c r="D278" s="86" t="n"/>
      <c r="E278" s="63" t="n"/>
      <c r="F278" s="60" t="n"/>
      <c r="G278" s="60" t="n"/>
      <c r="H278" s="71">
        <f>IF(OR($C278="",$D278=""),"",IF(ISNUMBER($E278),$E278,IF($O278="","",IF(N(INDEX('Menu Pricing'!$O$7:$O$56,$O278))&gt;0,INDEX('Menu Pricing'!$O$7:$O$56,$O278),""))))</f>
        <v/>
      </c>
      <c r="I278" s="71">
        <f>IF($N278&lt;&gt;"OK","",$D278*$H278)</f>
        <v/>
      </c>
      <c r="J278" s="71">
        <f>IF($N278&lt;&gt;"OK","",N(INDEX('Menu Pricing'!$F$7:$F$56,$O278))+N(INDEX('Menu Pricing'!$G$7:$G$56,$O278))+N(INDEX('Menu Pricing'!$J$7:$J$56,$O278)))</f>
        <v/>
      </c>
      <c r="K278" s="71">
        <f>IF($N278&lt;&gt;"OK","",$D278*$J278)</f>
        <v/>
      </c>
      <c r="L278" s="71">
        <f>IF($N278&lt;&gt;"OK","",$I278-$K278)</f>
        <v/>
      </c>
      <c r="M278" s="71">
        <f>IF($N278&lt;&gt;"OK","",$D278*N(INDEX('Menu Pricing'!$F$7:$F$56,$O278)))</f>
        <v/>
      </c>
      <c r="N278" s="80">
        <f>IF(AND($B278="",$C278="",$D278=""),"",IF(NOT(ISNUMBER($B278)),"Enter a valid date",IF($C278="","Pick a menu item",IF($O278="","Item not on Menu Pricing",IF(N($D278)&lt;=0,"Qty must be above 0",IF($H278="","No price on menu","OK"))))))</f>
        <v/>
      </c>
      <c r="O278" s="13">
        <f>IF($C278="","",IFERROR(MATCH($C278,'Menu Pricing'!$B$7:$B$56,0),""))</f>
        <v/>
      </c>
    </row>
    <row r="279" ht="17" customHeight="1">
      <c r="B279" s="66" t="n"/>
      <c r="C279" s="60" t="n"/>
      <c r="D279" s="86" t="n"/>
      <c r="E279" s="63" t="n"/>
      <c r="F279" s="60" t="n"/>
      <c r="G279" s="60" t="n"/>
      <c r="H279" s="71">
        <f>IF(OR($C279="",$D279=""),"",IF(ISNUMBER($E279),$E279,IF($O279="","",IF(N(INDEX('Menu Pricing'!$O$7:$O$56,$O279))&gt;0,INDEX('Menu Pricing'!$O$7:$O$56,$O279),""))))</f>
        <v/>
      </c>
      <c r="I279" s="71">
        <f>IF($N279&lt;&gt;"OK","",$D279*$H279)</f>
        <v/>
      </c>
      <c r="J279" s="71">
        <f>IF($N279&lt;&gt;"OK","",N(INDEX('Menu Pricing'!$F$7:$F$56,$O279))+N(INDEX('Menu Pricing'!$G$7:$G$56,$O279))+N(INDEX('Menu Pricing'!$J$7:$J$56,$O279)))</f>
        <v/>
      </c>
      <c r="K279" s="71">
        <f>IF($N279&lt;&gt;"OK","",$D279*$J279)</f>
        <v/>
      </c>
      <c r="L279" s="71">
        <f>IF($N279&lt;&gt;"OK","",$I279-$K279)</f>
        <v/>
      </c>
      <c r="M279" s="71">
        <f>IF($N279&lt;&gt;"OK","",$D279*N(INDEX('Menu Pricing'!$F$7:$F$56,$O279)))</f>
        <v/>
      </c>
      <c r="N279" s="80">
        <f>IF(AND($B279="",$C279="",$D279=""),"",IF(NOT(ISNUMBER($B279)),"Enter a valid date",IF($C279="","Pick a menu item",IF($O279="","Item not on Menu Pricing",IF(N($D279)&lt;=0,"Qty must be above 0",IF($H279="","No price on menu","OK"))))))</f>
        <v/>
      </c>
      <c r="O279" s="13">
        <f>IF($C279="","",IFERROR(MATCH($C279,'Menu Pricing'!$B$7:$B$56,0),""))</f>
        <v/>
      </c>
    </row>
    <row r="280" ht="17" customHeight="1">
      <c r="B280" s="66" t="n"/>
      <c r="C280" s="60" t="n"/>
      <c r="D280" s="86" t="n"/>
      <c r="E280" s="63" t="n"/>
      <c r="F280" s="60" t="n"/>
      <c r="G280" s="60" t="n"/>
      <c r="H280" s="71">
        <f>IF(OR($C280="",$D280=""),"",IF(ISNUMBER($E280),$E280,IF($O280="","",IF(N(INDEX('Menu Pricing'!$O$7:$O$56,$O280))&gt;0,INDEX('Menu Pricing'!$O$7:$O$56,$O280),""))))</f>
        <v/>
      </c>
      <c r="I280" s="71">
        <f>IF($N280&lt;&gt;"OK","",$D280*$H280)</f>
        <v/>
      </c>
      <c r="J280" s="71">
        <f>IF($N280&lt;&gt;"OK","",N(INDEX('Menu Pricing'!$F$7:$F$56,$O280))+N(INDEX('Menu Pricing'!$G$7:$G$56,$O280))+N(INDEX('Menu Pricing'!$J$7:$J$56,$O280)))</f>
        <v/>
      </c>
      <c r="K280" s="71">
        <f>IF($N280&lt;&gt;"OK","",$D280*$J280)</f>
        <v/>
      </c>
      <c r="L280" s="71">
        <f>IF($N280&lt;&gt;"OK","",$I280-$K280)</f>
        <v/>
      </c>
      <c r="M280" s="71">
        <f>IF($N280&lt;&gt;"OK","",$D280*N(INDEX('Menu Pricing'!$F$7:$F$56,$O280)))</f>
        <v/>
      </c>
      <c r="N280" s="80">
        <f>IF(AND($B280="",$C280="",$D280=""),"",IF(NOT(ISNUMBER($B280)),"Enter a valid date",IF($C280="","Pick a menu item",IF($O280="","Item not on Menu Pricing",IF(N($D280)&lt;=0,"Qty must be above 0",IF($H280="","No price on menu","OK"))))))</f>
        <v/>
      </c>
      <c r="O280" s="13">
        <f>IF($C280="","",IFERROR(MATCH($C280,'Menu Pricing'!$B$7:$B$56,0),""))</f>
        <v/>
      </c>
    </row>
    <row r="281" ht="17" customHeight="1">
      <c r="B281" s="66" t="n"/>
      <c r="C281" s="60" t="n"/>
      <c r="D281" s="86" t="n"/>
      <c r="E281" s="63" t="n"/>
      <c r="F281" s="60" t="n"/>
      <c r="G281" s="60" t="n"/>
      <c r="H281" s="71">
        <f>IF(OR($C281="",$D281=""),"",IF(ISNUMBER($E281),$E281,IF($O281="","",IF(N(INDEX('Menu Pricing'!$O$7:$O$56,$O281))&gt;0,INDEX('Menu Pricing'!$O$7:$O$56,$O281),""))))</f>
        <v/>
      </c>
      <c r="I281" s="71">
        <f>IF($N281&lt;&gt;"OK","",$D281*$H281)</f>
        <v/>
      </c>
      <c r="J281" s="71">
        <f>IF($N281&lt;&gt;"OK","",N(INDEX('Menu Pricing'!$F$7:$F$56,$O281))+N(INDEX('Menu Pricing'!$G$7:$G$56,$O281))+N(INDEX('Menu Pricing'!$J$7:$J$56,$O281)))</f>
        <v/>
      </c>
      <c r="K281" s="71">
        <f>IF($N281&lt;&gt;"OK","",$D281*$J281)</f>
        <v/>
      </c>
      <c r="L281" s="71">
        <f>IF($N281&lt;&gt;"OK","",$I281-$K281)</f>
        <v/>
      </c>
      <c r="M281" s="71">
        <f>IF($N281&lt;&gt;"OK","",$D281*N(INDEX('Menu Pricing'!$F$7:$F$56,$O281)))</f>
        <v/>
      </c>
      <c r="N281" s="80">
        <f>IF(AND($B281="",$C281="",$D281=""),"",IF(NOT(ISNUMBER($B281)),"Enter a valid date",IF($C281="","Pick a menu item",IF($O281="","Item not on Menu Pricing",IF(N($D281)&lt;=0,"Qty must be above 0",IF($H281="","No price on menu","OK"))))))</f>
        <v/>
      </c>
      <c r="O281" s="13">
        <f>IF($C281="","",IFERROR(MATCH($C281,'Menu Pricing'!$B$7:$B$56,0),""))</f>
        <v/>
      </c>
    </row>
    <row r="282" ht="17" customHeight="1">
      <c r="B282" s="66" t="n"/>
      <c r="C282" s="60" t="n"/>
      <c r="D282" s="86" t="n"/>
      <c r="E282" s="63" t="n"/>
      <c r="F282" s="60" t="n"/>
      <c r="G282" s="60" t="n"/>
      <c r="H282" s="71">
        <f>IF(OR($C282="",$D282=""),"",IF(ISNUMBER($E282),$E282,IF($O282="","",IF(N(INDEX('Menu Pricing'!$O$7:$O$56,$O282))&gt;0,INDEX('Menu Pricing'!$O$7:$O$56,$O282),""))))</f>
        <v/>
      </c>
      <c r="I282" s="71">
        <f>IF($N282&lt;&gt;"OK","",$D282*$H282)</f>
        <v/>
      </c>
      <c r="J282" s="71">
        <f>IF($N282&lt;&gt;"OK","",N(INDEX('Menu Pricing'!$F$7:$F$56,$O282))+N(INDEX('Menu Pricing'!$G$7:$G$56,$O282))+N(INDEX('Menu Pricing'!$J$7:$J$56,$O282)))</f>
        <v/>
      </c>
      <c r="K282" s="71">
        <f>IF($N282&lt;&gt;"OK","",$D282*$J282)</f>
        <v/>
      </c>
      <c r="L282" s="71">
        <f>IF($N282&lt;&gt;"OK","",$I282-$K282)</f>
        <v/>
      </c>
      <c r="M282" s="71">
        <f>IF($N282&lt;&gt;"OK","",$D282*N(INDEX('Menu Pricing'!$F$7:$F$56,$O282)))</f>
        <v/>
      </c>
      <c r="N282" s="80">
        <f>IF(AND($B282="",$C282="",$D282=""),"",IF(NOT(ISNUMBER($B282)),"Enter a valid date",IF($C282="","Pick a menu item",IF($O282="","Item not on Menu Pricing",IF(N($D282)&lt;=0,"Qty must be above 0",IF($H282="","No price on menu","OK"))))))</f>
        <v/>
      </c>
      <c r="O282" s="13">
        <f>IF($C282="","",IFERROR(MATCH($C282,'Menu Pricing'!$B$7:$B$56,0),""))</f>
        <v/>
      </c>
    </row>
    <row r="283" ht="17" customHeight="1">
      <c r="B283" s="66" t="n"/>
      <c r="C283" s="60" t="n"/>
      <c r="D283" s="86" t="n"/>
      <c r="E283" s="63" t="n"/>
      <c r="F283" s="60" t="n"/>
      <c r="G283" s="60" t="n"/>
      <c r="H283" s="71">
        <f>IF(OR($C283="",$D283=""),"",IF(ISNUMBER($E283),$E283,IF($O283="","",IF(N(INDEX('Menu Pricing'!$O$7:$O$56,$O283))&gt;0,INDEX('Menu Pricing'!$O$7:$O$56,$O283),""))))</f>
        <v/>
      </c>
      <c r="I283" s="71">
        <f>IF($N283&lt;&gt;"OK","",$D283*$H283)</f>
        <v/>
      </c>
      <c r="J283" s="71">
        <f>IF($N283&lt;&gt;"OK","",N(INDEX('Menu Pricing'!$F$7:$F$56,$O283))+N(INDEX('Menu Pricing'!$G$7:$G$56,$O283))+N(INDEX('Menu Pricing'!$J$7:$J$56,$O283)))</f>
        <v/>
      </c>
      <c r="K283" s="71">
        <f>IF($N283&lt;&gt;"OK","",$D283*$J283)</f>
        <v/>
      </c>
      <c r="L283" s="71">
        <f>IF($N283&lt;&gt;"OK","",$I283-$K283)</f>
        <v/>
      </c>
      <c r="M283" s="71">
        <f>IF($N283&lt;&gt;"OK","",$D283*N(INDEX('Menu Pricing'!$F$7:$F$56,$O283)))</f>
        <v/>
      </c>
      <c r="N283" s="80">
        <f>IF(AND($B283="",$C283="",$D283=""),"",IF(NOT(ISNUMBER($B283)),"Enter a valid date",IF($C283="","Pick a menu item",IF($O283="","Item not on Menu Pricing",IF(N($D283)&lt;=0,"Qty must be above 0",IF($H283="","No price on menu","OK"))))))</f>
        <v/>
      </c>
      <c r="O283" s="13">
        <f>IF($C283="","",IFERROR(MATCH($C283,'Menu Pricing'!$B$7:$B$56,0),""))</f>
        <v/>
      </c>
    </row>
    <row r="284" ht="17" customHeight="1">
      <c r="B284" s="66" t="n"/>
      <c r="C284" s="60" t="n"/>
      <c r="D284" s="86" t="n"/>
      <c r="E284" s="63" t="n"/>
      <c r="F284" s="60" t="n"/>
      <c r="G284" s="60" t="n"/>
      <c r="H284" s="71">
        <f>IF(OR($C284="",$D284=""),"",IF(ISNUMBER($E284),$E284,IF($O284="","",IF(N(INDEX('Menu Pricing'!$O$7:$O$56,$O284))&gt;0,INDEX('Menu Pricing'!$O$7:$O$56,$O284),""))))</f>
        <v/>
      </c>
      <c r="I284" s="71">
        <f>IF($N284&lt;&gt;"OK","",$D284*$H284)</f>
        <v/>
      </c>
      <c r="J284" s="71">
        <f>IF($N284&lt;&gt;"OK","",N(INDEX('Menu Pricing'!$F$7:$F$56,$O284))+N(INDEX('Menu Pricing'!$G$7:$G$56,$O284))+N(INDEX('Menu Pricing'!$J$7:$J$56,$O284)))</f>
        <v/>
      </c>
      <c r="K284" s="71">
        <f>IF($N284&lt;&gt;"OK","",$D284*$J284)</f>
        <v/>
      </c>
      <c r="L284" s="71">
        <f>IF($N284&lt;&gt;"OK","",$I284-$K284)</f>
        <v/>
      </c>
      <c r="M284" s="71">
        <f>IF($N284&lt;&gt;"OK","",$D284*N(INDEX('Menu Pricing'!$F$7:$F$56,$O284)))</f>
        <v/>
      </c>
      <c r="N284" s="80">
        <f>IF(AND($B284="",$C284="",$D284=""),"",IF(NOT(ISNUMBER($B284)),"Enter a valid date",IF($C284="","Pick a menu item",IF($O284="","Item not on Menu Pricing",IF(N($D284)&lt;=0,"Qty must be above 0",IF($H284="","No price on menu","OK"))))))</f>
        <v/>
      </c>
      <c r="O284" s="13">
        <f>IF($C284="","",IFERROR(MATCH($C284,'Menu Pricing'!$B$7:$B$56,0),""))</f>
        <v/>
      </c>
    </row>
    <row r="285" ht="17" customHeight="1">
      <c r="B285" s="66" t="n"/>
      <c r="C285" s="60" t="n"/>
      <c r="D285" s="86" t="n"/>
      <c r="E285" s="63" t="n"/>
      <c r="F285" s="60" t="n"/>
      <c r="G285" s="60" t="n"/>
      <c r="H285" s="71">
        <f>IF(OR($C285="",$D285=""),"",IF(ISNUMBER($E285),$E285,IF($O285="","",IF(N(INDEX('Menu Pricing'!$O$7:$O$56,$O285))&gt;0,INDEX('Menu Pricing'!$O$7:$O$56,$O285),""))))</f>
        <v/>
      </c>
      <c r="I285" s="71">
        <f>IF($N285&lt;&gt;"OK","",$D285*$H285)</f>
        <v/>
      </c>
      <c r="J285" s="71">
        <f>IF($N285&lt;&gt;"OK","",N(INDEX('Menu Pricing'!$F$7:$F$56,$O285))+N(INDEX('Menu Pricing'!$G$7:$G$56,$O285))+N(INDEX('Menu Pricing'!$J$7:$J$56,$O285)))</f>
        <v/>
      </c>
      <c r="K285" s="71">
        <f>IF($N285&lt;&gt;"OK","",$D285*$J285)</f>
        <v/>
      </c>
      <c r="L285" s="71">
        <f>IF($N285&lt;&gt;"OK","",$I285-$K285)</f>
        <v/>
      </c>
      <c r="M285" s="71">
        <f>IF($N285&lt;&gt;"OK","",$D285*N(INDEX('Menu Pricing'!$F$7:$F$56,$O285)))</f>
        <v/>
      </c>
      <c r="N285" s="80">
        <f>IF(AND($B285="",$C285="",$D285=""),"",IF(NOT(ISNUMBER($B285)),"Enter a valid date",IF($C285="","Pick a menu item",IF($O285="","Item not on Menu Pricing",IF(N($D285)&lt;=0,"Qty must be above 0",IF($H285="","No price on menu","OK"))))))</f>
        <v/>
      </c>
      <c r="O285" s="13">
        <f>IF($C285="","",IFERROR(MATCH($C285,'Menu Pricing'!$B$7:$B$56,0),""))</f>
        <v/>
      </c>
    </row>
    <row r="286" ht="17" customHeight="1">
      <c r="B286" s="66" t="n"/>
      <c r="C286" s="60" t="n"/>
      <c r="D286" s="86" t="n"/>
      <c r="E286" s="63" t="n"/>
      <c r="F286" s="60" t="n"/>
      <c r="G286" s="60" t="n"/>
      <c r="H286" s="71">
        <f>IF(OR($C286="",$D286=""),"",IF(ISNUMBER($E286),$E286,IF($O286="","",IF(N(INDEX('Menu Pricing'!$O$7:$O$56,$O286))&gt;0,INDEX('Menu Pricing'!$O$7:$O$56,$O286),""))))</f>
        <v/>
      </c>
      <c r="I286" s="71">
        <f>IF($N286&lt;&gt;"OK","",$D286*$H286)</f>
        <v/>
      </c>
      <c r="J286" s="71">
        <f>IF($N286&lt;&gt;"OK","",N(INDEX('Menu Pricing'!$F$7:$F$56,$O286))+N(INDEX('Menu Pricing'!$G$7:$G$56,$O286))+N(INDEX('Menu Pricing'!$J$7:$J$56,$O286)))</f>
        <v/>
      </c>
      <c r="K286" s="71">
        <f>IF($N286&lt;&gt;"OK","",$D286*$J286)</f>
        <v/>
      </c>
      <c r="L286" s="71">
        <f>IF($N286&lt;&gt;"OK","",$I286-$K286)</f>
        <v/>
      </c>
      <c r="M286" s="71">
        <f>IF($N286&lt;&gt;"OK","",$D286*N(INDEX('Menu Pricing'!$F$7:$F$56,$O286)))</f>
        <v/>
      </c>
      <c r="N286" s="80">
        <f>IF(AND($B286="",$C286="",$D286=""),"",IF(NOT(ISNUMBER($B286)),"Enter a valid date",IF($C286="","Pick a menu item",IF($O286="","Item not on Menu Pricing",IF(N($D286)&lt;=0,"Qty must be above 0",IF($H286="","No price on menu","OK"))))))</f>
        <v/>
      </c>
      <c r="O286" s="13">
        <f>IF($C286="","",IFERROR(MATCH($C286,'Menu Pricing'!$B$7:$B$56,0),""))</f>
        <v/>
      </c>
    </row>
    <row r="287" ht="17" customHeight="1">
      <c r="B287" s="66" t="n"/>
      <c r="C287" s="60" t="n"/>
      <c r="D287" s="86" t="n"/>
      <c r="E287" s="63" t="n"/>
      <c r="F287" s="60" t="n"/>
      <c r="G287" s="60" t="n"/>
      <c r="H287" s="71">
        <f>IF(OR($C287="",$D287=""),"",IF(ISNUMBER($E287),$E287,IF($O287="","",IF(N(INDEX('Menu Pricing'!$O$7:$O$56,$O287))&gt;0,INDEX('Menu Pricing'!$O$7:$O$56,$O287),""))))</f>
        <v/>
      </c>
      <c r="I287" s="71">
        <f>IF($N287&lt;&gt;"OK","",$D287*$H287)</f>
        <v/>
      </c>
      <c r="J287" s="71">
        <f>IF($N287&lt;&gt;"OK","",N(INDEX('Menu Pricing'!$F$7:$F$56,$O287))+N(INDEX('Menu Pricing'!$G$7:$G$56,$O287))+N(INDEX('Menu Pricing'!$J$7:$J$56,$O287)))</f>
        <v/>
      </c>
      <c r="K287" s="71">
        <f>IF($N287&lt;&gt;"OK","",$D287*$J287)</f>
        <v/>
      </c>
      <c r="L287" s="71">
        <f>IF($N287&lt;&gt;"OK","",$I287-$K287)</f>
        <v/>
      </c>
      <c r="M287" s="71">
        <f>IF($N287&lt;&gt;"OK","",$D287*N(INDEX('Menu Pricing'!$F$7:$F$56,$O287)))</f>
        <v/>
      </c>
      <c r="N287" s="80">
        <f>IF(AND($B287="",$C287="",$D287=""),"",IF(NOT(ISNUMBER($B287)),"Enter a valid date",IF($C287="","Pick a menu item",IF($O287="","Item not on Menu Pricing",IF(N($D287)&lt;=0,"Qty must be above 0",IF($H287="","No price on menu","OK"))))))</f>
        <v/>
      </c>
      <c r="O287" s="13">
        <f>IF($C287="","",IFERROR(MATCH($C287,'Menu Pricing'!$B$7:$B$56,0),""))</f>
        <v/>
      </c>
    </row>
    <row r="288" ht="17" customHeight="1">
      <c r="B288" s="66" t="n"/>
      <c r="C288" s="60" t="n"/>
      <c r="D288" s="86" t="n"/>
      <c r="E288" s="63" t="n"/>
      <c r="F288" s="60" t="n"/>
      <c r="G288" s="60" t="n"/>
      <c r="H288" s="71">
        <f>IF(OR($C288="",$D288=""),"",IF(ISNUMBER($E288),$E288,IF($O288="","",IF(N(INDEX('Menu Pricing'!$O$7:$O$56,$O288))&gt;0,INDEX('Menu Pricing'!$O$7:$O$56,$O288),""))))</f>
        <v/>
      </c>
      <c r="I288" s="71">
        <f>IF($N288&lt;&gt;"OK","",$D288*$H288)</f>
        <v/>
      </c>
      <c r="J288" s="71">
        <f>IF($N288&lt;&gt;"OK","",N(INDEX('Menu Pricing'!$F$7:$F$56,$O288))+N(INDEX('Menu Pricing'!$G$7:$G$56,$O288))+N(INDEX('Menu Pricing'!$J$7:$J$56,$O288)))</f>
        <v/>
      </c>
      <c r="K288" s="71">
        <f>IF($N288&lt;&gt;"OK","",$D288*$J288)</f>
        <v/>
      </c>
      <c r="L288" s="71">
        <f>IF($N288&lt;&gt;"OK","",$I288-$K288)</f>
        <v/>
      </c>
      <c r="M288" s="71">
        <f>IF($N288&lt;&gt;"OK","",$D288*N(INDEX('Menu Pricing'!$F$7:$F$56,$O288)))</f>
        <v/>
      </c>
      <c r="N288" s="80">
        <f>IF(AND($B288="",$C288="",$D288=""),"",IF(NOT(ISNUMBER($B288)),"Enter a valid date",IF($C288="","Pick a menu item",IF($O288="","Item not on Menu Pricing",IF(N($D288)&lt;=0,"Qty must be above 0",IF($H288="","No price on menu","OK"))))))</f>
        <v/>
      </c>
      <c r="O288" s="13">
        <f>IF($C288="","",IFERROR(MATCH($C288,'Menu Pricing'!$B$7:$B$56,0),""))</f>
        <v/>
      </c>
    </row>
    <row r="289" ht="17" customHeight="1">
      <c r="B289" s="66" t="n"/>
      <c r="C289" s="60" t="n"/>
      <c r="D289" s="86" t="n"/>
      <c r="E289" s="63" t="n"/>
      <c r="F289" s="60" t="n"/>
      <c r="G289" s="60" t="n"/>
      <c r="H289" s="71">
        <f>IF(OR($C289="",$D289=""),"",IF(ISNUMBER($E289),$E289,IF($O289="","",IF(N(INDEX('Menu Pricing'!$O$7:$O$56,$O289))&gt;0,INDEX('Menu Pricing'!$O$7:$O$56,$O289),""))))</f>
        <v/>
      </c>
      <c r="I289" s="71">
        <f>IF($N289&lt;&gt;"OK","",$D289*$H289)</f>
        <v/>
      </c>
      <c r="J289" s="71">
        <f>IF($N289&lt;&gt;"OK","",N(INDEX('Menu Pricing'!$F$7:$F$56,$O289))+N(INDEX('Menu Pricing'!$G$7:$G$56,$O289))+N(INDEX('Menu Pricing'!$J$7:$J$56,$O289)))</f>
        <v/>
      </c>
      <c r="K289" s="71">
        <f>IF($N289&lt;&gt;"OK","",$D289*$J289)</f>
        <v/>
      </c>
      <c r="L289" s="71">
        <f>IF($N289&lt;&gt;"OK","",$I289-$K289)</f>
        <v/>
      </c>
      <c r="M289" s="71">
        <f>IF($N289&lt;&gt;"OK","",$D289*N(INDEX('Menu Pricing'!$F$7:$F$56,$O289)))</f>
        <v/>
      </c>
      <c r="N289" s="80">
        <f>IF(AND($B289="",$C289="",$D289=""),"",IF(NOT(ISNUMBER($B289)),"Enter a valid date",IF($C289="","Pick a menu item",IF($O289="","Item not on Menu Pricing",IF(N($D289)&lt;=0,"Qty must be above 0",IF($H289="","No price on menu","OK"))))))</f>
        <v/>
      </c>
      <c r="O289" s="13">
        <f>IF($C289="","",IFERROR(MATCH($C289,'Menu Pricing'!$B$7:$B$56,0),""))</f>
        <v/>
      </c>
    </row>
    <row r="290" ht="17" customHeight="1">
      <c r="B290" s="66" t="n"/>
      <c r="C290" s="60" t="n"/>
      <c r="D290" s="86" t="n"/>
      <c r="E290" s="63" t="n"/>
      <c r="F290" s="60" t="n"/>
      <c r="G290" s="60" t="n"/>
      <c r="H290" s="71">
        <f>IF(OR($C290="",$D290=""),"",IF(ISNUMBER($E290),$E290,IF($O290="","",IF(N(INDEX('Menu Pricing'!$O$7:$O$56,$O290))&gt;0,INDEX('Menu Pricing'!$O$7:$O$56,$O290),""))))</f>
        <v/>
      </c>
      <c r="I290" s="71">
        <f>IF($N290&lt;&gt;"OK","",$D290*$H290)</f>
        <v/>
      </c>
      <c r="J290" s="71">
        <f>IF($N290&lt;&gt;"OK","",N(INDEX('Menu Pricing'!$F$7:$F$56,$O290))+N(INDEX('Menu Pricing'!$G$7:$G$56,$O290))+N(INDEX('Menu Pricing'!$J$7:$J$56,$O290)))</f>
        <v/>
      </c>
      <c r="K290" s="71">
        <f>IF($N290&lt;&gt;"OK","",$D290*$J290)</f>
        <v/>
      </c>
      <c r="L290" s="71">
        <f>IF($N290&lt;&gt;"OK","",$I290-$K290)</f>
        <v/>
      </c>
      <c r="M290" s="71">
        <f>IF($N290&lt;&gt;"OK","",$D290*N(INDEX('Menu Pricing'!$F$7:$F$56,$O290)))</f>
        <v/>
      </c>
      <c r="N290" s="80">
        <f>IF(AND($B290="",$C290="",$D290=""),"",IF(NOT(ISNUMBER($B290)),"Enter a valid date",IF($C290="","Pick a menu item",IF($O290="","Item not on Menu Pricing",IF(N($D290)&lt;=0,"Qty must be above 0",IF($H290="","No price on menu","OK"))))))</f>
        <v/>
      </c>
      <c r="O290" s="13">
        <f>IF($C290="","",IFERROR(MATCH($C290,'Menu Pricing'!$B$7:$B$56,0),""))</f>
        <v/>
      </c>
    </row>
    <row r="291" ht="17" customHeight="1">
      <c r="B291" s="66" t="n"/>
      <c r="C291" s="60" t="n"/>
      <c r="D291" s="86" t="n"/>
      <c r="E291" s="63" t="n"/>
      <c r="F291" s="60" t="n"/>
      <c r="G291" s="60" t="n"/>
      <c r="H291" s="71">
        <f>IF(OR($C291="",$D291=""),"",IF(ISNUMBER($E291),$E291,IF($O291="","",IF(N(INDEX('Menu Pricing'!$O$7:$O$56,$O291))&gt;0,INDEX('Menu Pricing'!$O$7:$O$56,$O291),""))))</f>
        <v/>
      </c>
      <c r="I291" s="71">
        <f>IF($N291&lt;&gt;"OK","",$D291*$H291)</f>
        <v/>
      </c>
      <c r="J291" s="71">
        <f>IF($N291&lt;&gt;"OK","",N(INDEX('Menu Pricing'!$F$7:$F$56,$O291))+N(INDEX('Menu Pricing'!$G$7:$G$56,$O291))+N(INDEX('Menu Pricing'!$J$7:$J$56,$O291)))</f>
        <v/>
      </c>
      <c r="K291" s="71">
        <f>IF($N291&lt;&gt;"OK","",$D291*$J291)</f>
        <v/>
      </c>
      <c r="L291" s="71">
        <f>IF($N291&lt;&gt;"OK","",$I291-$K291)</f>
        <v/>
      </c>
      <c r="M291" s="71">
        <f>IF($N291&lt;&gt;"OK","",$D291*N(INDEX('Menu Pricing'!$F$7:$F$56,$O291)))</f>
        <v/>
      </c>
      <c r="N291" s="80">
        <f>IF(AND($B291="",$C291="",$D291=""),"",IF(NOT(ISNUMBER($B291)),"Enter a valid date",IF($C291="","Pick a menu item",IF($O291="","Item not on Menu Pricing",IF(N($D291)&lt;=0,"Qty must be above 0",IF($H291="","No price on menu","OK"))))))</f>
        <v/>
      </c>
      <c r="O291" s="13">
        <f>IF($C291="","",IFERROR(MATCH($C291,'Menu Pricing'!$B$7:$B$56,0),""))</f>
        <v/>
      </c>
    </row>
    <row r="292" ht="17" customHeight="1">
      <c r="B292" s="66" t="n"/>
      <c r="C292" s="60" t="n"/>
      <c r="D292" s="86" t="n"/>
      <c r="E292" s="63" t="n"/>
      <c r="F292" s="60" t="n"/>
      <c r="G292" s="60" t="n"/>
      <c r="H292" s="71">
        <f>IF(OR($C292="",$D292=""),"",IF(ISNUMBER($E292),$E292,IF($O292="","",IF(N(INDEX('Menu Pricing'!$O$7:$O$56,$O292))&gt;0,INDEX('Menu Pricing'!$O$7:$O$56,$O292),""))))</f>
        <v/>
      </c>
      <c r="I292" s="71">
        <f>IF($N292&lt;&gt;"OK","",$D292*$H292)</f>
        <v/>
      </c>
      <c r="J292" s="71">
        <f>IF($N292&lt;&gt;"OK","",N(INDEX('Menu Pricing'!$F$7:$F$56,$O292))+N(INDEX('Menu Pricing'!$G$7:$G$56,$O292))+N(INDEX('Menu Pricing'!$J$7:$J$56,$O292)))</f>
        <v/>
      </c>
      <c r="K292" s="71">
        <f>IF($N292&lt;&gt;"OK","",$D292*$J292)</f>
        <v/>
      </c>
      <c r="L292" s="71">
        <f>IF($N292&lt;&gt;"OK","",$I292-$K292)</f>
        <v/>
      </c>
      <c r="M292" s="71">
        <f>IF($N292&lt;&gt;"OK","",$D292*N(INDEX('Menu Pricing'!$F$7:$F$56,$O292)))</f>
        <v/>
      </c>
      <c r="N292" s="80">
        <f>IF(AND($B292="",$C292="",$D292=""),"",IF(NOT(ISNUMBER($B292)),"Enter a valid date",IF($C292="","Pick a menu item",IF($O292="","Item not on Menu Pricing",IF(N($D292)&lt;=0,"Qty must be above 0",IF($H292="","No price on menu","OK"))))))</f>
        <v/>
      </c>
      <c r="O292" s="13">
        <f>IF($C292="","",IFERROR(MATCH($C292,'Menu Pricing'!$B$7:$B$56,0),""))</f>
        <v/>
      </c>
    </row>
    <row r="293" ht="17" customHeight="1">
      <c r="B293" s="66" t="n"/>
      <c r="C293" s="60" t="n"/>
      <c r="D293" s="86" t="n"/>
      <c r="E293" s="63" t="n"/>
      <c r="F293" s="60" t="n"/>
      <c r="G293" s="60" t="n"/>
      <c r="H293" s="71">
        <f>IF(OR($C293="",$D293=""),"",IF(ISNUMBER($E293),$E293,IF($O293="","",IF(N(INDEX('Menu Pricing'!$O$7:$O$56,$O293))&gt;0,INDEX('Menu Pricing'!$O$7:$O$56,$O293),""))))</f>
        <v/>
      </c>
      <c r="I293" s="71">
        <f>IF($N293&lt;&gt;"OK","",$D293*$H293)</f>
        <v/>
      </c>
      <c r="J293" s="71">
        <f>IF($N293&lt;&gt;"OK","",N(INDEX('Menu Pricing'!$F$7:$F$56,$O293))+N(INDEX('Menu Pricing'!$G$7:$G$56,$O293))+N(INDEX('Menu Pricing'!$J$7:$J$56,$O293)))</f>
        <v/>
      </c>
      <c r="K293" s="71">
        <f>IF($N293&lt;&gt;"OK","",$D293*$J293)</f>
        <v/>
      </c>
      <c r="L293" s="71">
        <f>IF($N293&lt;&gt;"OK","",$I293-$K293)</f>
        <v/>
      </c>
      <c r="M293" s="71">
        <f>IF($N293&lt;&gt;"OK","",$D293*N(INDEX('Menu Pricing'!$F$7:$F$56,$O293)))</f>
        <v/>
      </c>
      <c r="N293" s="80">
        <f>IF(AND($B293="",$C293="",$D293=""),"",IF(NOT(ISNUMBER($B293)),"Enter a valid date",IF($C293="","Pick a menu item",IF($O293="","Item not on Menu Pricing",IF(N($D293)&lt;=0,"Qty must be above 0",IF($H293="","No price on menu","OK"))))))</f>
        <v/>
      </c>
      <c r="O293" s="13">
        <f>IF($C293="","",IFERROR(MATCH($C293,'Menu Pricing'!$B$7:$B$56,0),""))</f>
        <v/>
      </c>
    </row>
    <row r="294" ht="17" customHeight="1">
      <c r="B294" s="66" t="n"/>
      <c r="C294" s="60" t="n"/>
      <c r="D294" s="86" t="n"/>
      <c r="E294" s="63" t="n"/>
      <c r="F294" s="60" t="n"/>
      <c r="G294" s="60" t="n"/>
      <c r="H294" s="71">
        <f>IF(OR($C294="",$D294=""),"",IF(ISNUMBER($E294),$E294,IF($O294="","",IF(N(INDEX('Menu Pricing'!$O$7:$O$56,$O294))&gt;0,INDEX('Menu Pricing'!$O$7:$O$56,$O294),""))))</f>
        <v/>
      </c>
      <c r="I294" s="71">
        <f>IF($N294&lt;&gt;"OK","",$D294*$H294)</f>
        <v/>
      </c>
      <c r="J294" s="71">
        <f>IF($N294&lt;&gt;"OK","",N(INDEX('Menu Pricing'!$F$7:$F$56,$O294))+N(INDEX('Menu Pricing'!$G$7:$G$56,$O294))+N(INDEX('Menu Pricing'!$J$7:$J$56,$O294)))</f>
        <v/>
      </c>
      <c r="K294" s="71">
        <f>IF($N294&lt;&gt;"OK","",$D294*$J294)</f>
        <v/>
      </c>
      <c r="L294" s="71">
        <f>IF($N294&lt;&gt;"OK","",$I294-$K294)</f>
        <v/>
      </c>
      <c r="M294" s="71">
        <f>IF($N294&lt;&gt;"OK","",$D294*N(INDEX('Menu Pricing'!$F$7:$F$56,$O294)))</f>
        <v/>
      </c>
      <c r="N294" s="80">
        <f>IF(AND($B294="",$C294="",$D294=""),"",IF(NOT(ISNUMBER($B294)),"Enter a valid date",IF($C294="","Pick a menu item",IF($O294="","Item not on Menu Pricing",IF(N($D294)&lt;=0,"Qty must be above 0",IF($H294="","No price on menu","OK"))))))</f>
        <v/>
      </c>
      <c r="O294" s="13">
        <f>IF($C294="","",IFERROR(MATCH($C294,'Menu Pricing'!$B$7:$B$56,0),""))</f>
        <v/>
      </c>
    </row>
    <row r="295" ht="17" customHeight="1">
      <c r="B295" s="66" t="n"/>
      <c r="C295" s="60" t="n"/>
      <c r="D295" s="86" t="n"/>
      <c r="E295" s="63" t="n"/>
      <c r="F295" s="60" t="n"/>
      <c r="G295" s="60" t="n"/>
      <c r="H295" s="71">
        <f>IF(OR($C295="",$D295=""),"",IF(ISNUMBER($E295),$E295,IF($O295="","",IF(N(INDEX('Menu Pricing'!$O$7:$O$56,$O295))&gt;0,INDEX('Menu Pricing'!$O$7:$O$56,$O295),""))))</f>
        <v/>
      </c>
      <c r="I295" s="71">
        <f>IF($N295&lt;&gt;"OK","",$D295*$H295)</f>
        <v/>
      </c>
      <c r="J295" s="71">
        <f>IF($N295&lt;&gt;"OK","",N(INDEX('Menu Pricing'!$F$7:$F$56,$O295))+N(INDEX('Menu Pricing'!$G$7:$G$56,$O295))+N(INDEX('Menu Pricing'!$J$7:$J$56,$O295)))</f>
        <v/>
      </c>
      <c r="K295" s="71">
        <f>IF($N295&lt;&gt;"OK","",$D295*$J295)</f>
        <v/>
      </c>
      <c r="L295" s="71">
        <f>IF($N295&lt;&gt;"OK","",$I295-$K295)</f>
        <v/>
      </c>
      <c r="M295" s="71">
        <f>IF($N295&lt;&gt;"OK","",$D295*N(INDEX('Menu Pricing'!$F$7:$F$56,$O295)))</f>
        <v/>
      </c>
      <c r="N295" s="80">
        <f>IF(AND($B295="",$C295="",$D295=""),"",IF(NOT(ISNUMBER($B295)),"Enter a valid date",IF($C295="","Pick a menu item",IF($O295="","Item not on Menu Pricing",IF(N($D295)&lt;=0,"Qty must be above 0",IF($H295="","No price on menu","OK"))))))</f>
        <v/>
      </c>
      <c r="O295" s="13">
        <f>IF($C295="","",IFERROR(MATCH($C295,'Menu Pricing'!$B$7:$B$56,0),""))</f>
        <v/>
      </c>
    </row>
    <row r="296" ht="17" customHeight="1">
      <c r="B296" s="66" t="n"/>
      <c r="C296" s="60" t="n"/>
      <c r="D296" s="86" t="n"/>
      <c r="E296" s="63" t="n"/>
      <c r="F296" s="60" t="n"/>
      <c r="G296" s="60" t="n"/>
      <c r="H296" s="71">
        <f>IF(OR($C296="",$D296=""),"",IF(ISNUMBER($E296),$E296,IF($O296="","",IF(N(INDEX('Menu Pricing'!$O$7:$O$56,$O296))&gt;0,INDEX('Menu Pricing'!$O$7:$O$56,$O296),""))))</f>
        <v/>
      </c>
      <c r="I296" s="71">
        <f>IF($N296&lt;&gt;"OK","",$D296*$H296)</f>
        <v/>
      </c>
      <c r="J296" s="71">
        <f>IF($N296&lt;&gt;"OK","",N(INDEX('Menu Pricing'!$F$7:$F$56,$O296))+N(INDEX('Menu Pricing'!$G$7:$G$56,$O296))+N(INDEX('Menu Pricing'!$J$7:$J$56,$O296)))</f>
        <v/>
      </c>
      <c r="K296" s="71">
        <f>IF($N296&lt;&gt;"OK","",$D296*$J296)</f>
        <v/>
      </c>
      <c r="L296" s="71">
        <f>IF($N296&lt;&gt;"OK","",$I296-$K296)</f>
        <v/>
      </c>
      <c r="M296" s="71">
        <f>IF($N296&lt;&gt;"OK","",$D296*N(INDEX('Menu Pricing'!$F$7:$F$56,$O296)))</f>
        <v/>
      </c>
      <c r="N296" s="80">
        <f>IF(AND($B296="",$C296="",$D296=""),"",IF(NOT(ISNUMBER($B296)),"Enter a valid date",IF($C296="","Pick a menu item",IF($O296="","Item not on Menu Pricing",IF(N($D296)&lt;=0,"Qty must be above 0",IF($H296="","No price on menu","OK"))))))</f>
        <v/>
      </c>
      <c r="O296" s="13">
        <f>IF($C296="","",IFERROR(MATCH($C296,'Menu Pricing'!$B$7:$B$56,0),""))</f>
        <v/>
      </c>
    </row>
    <row r="297" ht="17" customHeight="1">
      <c r="B297" s="66" t="n"/>
      <c r="C297" s="60" t="n"/>
      <c r="D297" s="86" t="n"/>
      <c r="E297" s="63" t="n"/>
      <c r="F297" s="60" t="n"/>
      <c r="G297" s="60" t="n"/>
      <c r="H297" s="71">
        <f>IF(OR($C297="",$D297=""),"",IF(ISNUMBER($E297),$E297,IF($O297="","",IF(N(INDEX('Menu Pricing'!$O$7:$O$56,$O297))&gt;0,INDEX('Menu Pricing'!$O$7:$O$56,$O297),""))))</f>
        <v/>
      </c>
      <c r="I297" s="71">
        <f>IF($N297&lt;&gt;"OK","",$D297*$H297)</f>
        <v/>
      </c>
      <c r="J297" s="71">
        <f>IF($N297&lt;&gt;"OK","",N(INDEX('Menu Pricing'!$F$7:$F$56,$O297))+N(INDEX('Menu Pricing'!$G$7:$G$56,$O297))+N(INDEX('Menu Pricing'!$J$7:$J$56,$O297)))</f>
        <v/>
      </c>
      <c r="K297" s="71">
        <f>IF($N297&lt;&gt;"OK","",$D297*$J297)</f>
        <v/>
      </c>
      <c r="L297" s="71">
        <f>IF($N297&lt;&gt;"OK","",$I297-$K297)</f>
        <v/>
      </c>
      <c r="M297" s="71">
        <f>IF($N297&lt;&gt;"OK","",$D297*N(INDEX('Menu Pricing'!$F$7:$F$56,$O297)))</f>
        <v/>
      </c>
      <c r="N297" s="80">
        <f>IF(AND($B297="",$C297="",$D297=""),"",IF(NOT(ISNUMBER($B297)),"Enter a valid date",IF($C297="","Pick a menu item",IF($O297="","Item not on Menu Pricing",IF(N($D297)&lt;=0,"Qty must be above 0",IF($H297="","No price on menu","OK"))))))</f>
        <v/>
      </c>
      <c r="O297" s="13">
        <f>IF($C297="","",IFERROR(MATCH($C297,'Menu Pricing'!$B$7:$B$56,0),""))</f>
        <v/>
      </c>
    </row>
    <row r="298" ht="17" customHeight="1">
      <c r="B298" s="66" t="n"/>
      <c r="C298" s="60" t="n"/>
      <c r="D298" s="86" t="n"/>
      <c r="E298" s="63" t="n"/>
      <c r="F298" s="60" t="n"/>
      <c r="G298" s="60" t="n"/>
      <c r="H298" s="71">
        <f>IF(OR($C298="",$D298=""),"",IF(ISNUMBER($E298),$E298,IF($O298="","",IF(N(INDEX('Menu Pricing'!$O$7:$O$56,$O298))&gt;0,INDEX('Menu Pricing'!$O$7:$O$56,$O298),""))))</f>
        <v/>
      </c>
      <c r="I298" s="71">
        <f>IF($N298&lt;&gt;"OK","",$D298*$H298)</f>
        <v/>
      </c>
      <c r="J298" s="71">
        <f>IF($N298&lt;&gt;"OK","",N(INDEX('Menu Pricing'!$F$7:$F$56,$O298))+N(INDEX('Menu Pricing'!$G$7:$G$56,$O298))+N(INDEX('Menu Pricing'!$J$7:$J$56,$O298)))</f>
        <v/>
      </c>
      <c r="K298" s="71">
        <f>IF($N298&lt;&gt;"OK","",$D298*$J298)</f>
        <v/>
      </c>
      <c r="L298" s="71">
        <f>IF($N298&lt;&gt;"OK","",$I298-$K298)</f>
        <v/>
      </c>
      <c r="M298" s="71">
        <f>IF($N298&lt;&gt;"OK","",$D298*N(INDEX('Menu Pricing'!$F$7:$F$56,$O298)))</f>
        <v/>
      </c>
      <c r="N298" s="80">
        <f>IF(AND($B298="",$C298="",$D298=""),"",IF(NOT(ISNUMBER($B298)),"Enter a valid date",IF($C298="","Pick a menu item",IF($O298="","Item not on Menu Pricing",IF(N($D298)&lt;=0,"Qty must be above 0",IF($H298="","No price on menu","OK"))))))</f>
        <v/>
      </c>
      <c r="O298" s="13">
        <f>IF($C298="","",IFERROR(MATCH($C298,'Menu Pricing'!$B$7:$B$56,0),""))</f>
        <v/>
      </c>
    </row>
    <row r="299" ht="17" customHeight="1">
      <c r="B299" s="66" t="n"/>
      <c r="C299" s="60" t="n"/>
      <c r="D299" s="86" t="n"/>
      <c r="E299" s="63" t="n"/>
      <c r="F299" s="60" t="n"/>
      <c r="G299" s="60" t="n"/>
      <c r="H299" s="71">
        <f>IF(OR($C299="",$D299=""),"",IF(ISNUMBER($E299),$E299,IF($O299="","",IF(N(INDEX('Menu Pricing'!$O$7:$O$56,$O299))&gt;0,INDEX('Menu Pricing'!$O$7:$O$56,$O299),""))))</f>
        <v/>
      </c>
      <c r="I299" s="71">
        <f>IF($N299&lt;&gt;"OK","",$D299*$H299)</f>
        <v/>
      </c>
      <c r="J299" s="71">
        <f>IF($N299&lt;&gt;"OK","",N(INDEX('Menu Pricing'!$F$7:$F$56,$O299))+N(INDEX('Menu Pricing'!$G$7:$G$56,$O299))+N(INDEX('Menu Pricing'!$J$7:$J$56,$O299)))</f>
        <v/>
      </c>
      <c r="K299" s="71">
        <f>IF($N299&lt;&gt;"OK","",$D299*$J299)</f>
        <v/>
      </c>
      <c r="L299" s="71">
        <f>IF($N299&lt;&gt;"OK","",$I299-$K299)</f>
        <v/>
      </c>
      <c r="M299" s="71">
        <f>IF($N299&lt;&gt;"OK","",$D299*N(INDEX('Menu Pricing'!$F$7:$F$56,$O299)))</f>
        <v/>
      </c>
      <c r="N299" s="80">
        <f>IF(AND($B299="",$C299="",$D299=""),"",IF(NOT(ISNUMBER($B299)),"Enter a valid date",IF($C299="","Pick a menu item",IF($O299="","Item not on Menu Pricing",IF(N($D299)&lt;=0,"Qty must be above 0",IF($H299="","No price on menu","OK"))))))</f>
        <v/>
      </c>
      <c r="O299" s="13">
        <f>IF($C299="","",IFERROR(MATCH($C299,'Menu Pricing'!$B$7:$B$56,0),""))</f>
        <v/>
      </c>
    </row>
    <row r="300" ht="17" customHeight="1">
      <c r="B300" s="66" t="n"/>
      <c r="C300" s="60" t="n"/>
      <c r="D300" s="86" t="n"/>
      <c r="E300" s="63" t="n"/>
      <c r="F300" s="60" t="n"/>
      <c r="G300" s="60" t="n"/>
      <c r="H300" s="71">
        <f>IF(OR($C300="",$D300=""),"",IF(ISNUMBER($E300),$E300,IF($O300="","",IF(N(INDEX('Menu Pricing'!$O$7:$O$56,$O300))&gt;0,INDEX('Menu Pricing'!$O$7:$O$56,$O300),""))))</f>
        <v/>
      </c>
      <c r="I300" s="71">
        <f>IF($N300&lt;&gt;"OK","",$D300*$H300)</f>
        <v/>
      </c>
      <c r="J300" s="71">
        <f>IF($N300&lt;&gt;"OK","",N(INDEX('Menu Pricing'!$F$7:$F$56,$O300))+N(INDEX('Menu Pricing'!$G$7:$G$56,$O300))+N(INDEX('Menu Pricing'!$J$7:$J$56,$O300)))</f>
        <v/>
      </c>
      <c r="K300" s="71">
        <f>IF($N300&lt;&gt;"OK","",$D300*$J300)</f>
        <v/>
      </c>
      <c r="L300" s="71">
        <f>IF($N300&lt;&gt;"OK","",$I300-$K300)</f>
        <v/>
      </c>
      <c r="M300" s="71">
        <f>IF($N300&lt;&gt;"OK","",$D300*N(INDEX('Menu Pricing'!$F$7:$F$56,$O300)))</f>
        <v/>
      </c>
      <c r="N300" s="80">
        <f>IF(AND($B300="",$C300="",$D300=""),"",IF(NOT(ISNUMBER($B300)),"Enter a valid date",IF($C300="","Pick a menu item",IF($O300="","Item not on Menu Pricing",IF(N($D300)&lt;=0,"Qty must be above 0",IF($H300="","No price on menu","OK"))))))</f>
        <v/>
      </c>
      <c r="O300" s="13">
        <f>IF($C300="","",IFERROR(MATCH($C300,'Menu Pricing'!$B$7:$B$56,0),""))</f>
        <v/>
      </c>
    </row>
    <row r="301" ht="17" customHeight="1">
      <c r="B301" s="66" t="n"/>
      <c r="C301" s="60" t="n"/>
      <c r="D301" s="86" t="n"/>
      <c r="E301" s="63" t="n"/>
      <c r="F301" s="60" t="n"/>
      <c r="G301" s="60" t="n"/>
      <c r="H301" s="71">
        <f>IF(OR($C301="",$D301=""),"",IF(ISNUMBER($E301),$E301,IF($O301="","",IF(N(INDEX('Menu Pricing'!$O$7:$O$56,$O301))&gt;0,INDEX('Menu Pricing'!$O$7:$O$56,$O301),""))))</f>
        <v/>
      </c>
      <c r="I301" s="71">
        <f>IF($N301&lt;&gt;"OK","",$D301*$H301)</f>
        <v/>
      </c>
      <c r="J301" s="71">
        <f>IF($N301&lt;&gt;"OK","",N(INDEX('Menu Pricing'!$F$7:$F$56,$O301))+N(INDEX('Menu Pricing'!$G$7:$G$56,$O301))+N(INDEX('Menu Pricing'!$J$7:$J$56,$O301)))</f>
        <v/>
      </c>
      <c r="K301" s="71">
        <f>IF($N301&lt;&gt;"OK","",$D301*$J301)</f>
        <v/>
      </c>
      <c r="L301" s="71">
        <f>IF($N301&lt;&gt;"OK","",$I301-$K301)</f>
        <v/>
      </c>
      <c r="M301" s="71">
        <f>IF($N301&lt;&gt;"OK","",$D301*N(INDEX('Menu Pricing'!$F$7:$F$56,$O301)))</f>
        <v/>
      </c>
      <c r="N301" s="80">
        <f>IF(AND($B301="",$C301="",$D301=""),"",IF(NOT(ISNUMBER($B301)),"Enter a valid date",IF($C301="","Pick a menu item",IF($O301="","Item not on Menu Pricing",IF(N($D301)&lt;=0,"Qty must be above 0",IF($H301="","No price on menu","OK"))))))</f>
        <v/>
      </c>
      <c r="O301" s="13">
        <f>IF($C301="","",IFERROR(MATCH($C301,'Menu Pricing'!$B$7:$B$56,0),""))</f>
        <v/>
      </c>
    </row>
    <row r="302" ht="17" customHeight="1">
      <c r="B302" s="66" t="n"/>
      <c r="C302" s="60" t="n"/>
      <c r="D302" s="86" t="n"/>
      <c r="E302" s="63" t="n"/>
      <c r="F302" s="60" t="n"/>
      <c r="G302" s="60" t="n"/>
      <c r="H302" s="71">
        <f>IF(OR($C302="",$D302=""),"",IF(ISNUMBER($E302),$E302,IF($O302="","",IF(N(INDEX('Menu Pricing'!$O$7:$O$56,$O302))&gt;0,INDEX('Menu Pricing'!$O$7:$O$56,$O302),""))))</f>
        <v/>
      </c>
      <c r="I302" s="71">
        <f>IF($N302&lt;&gt;"OK","",$D302*$H302)</f>
        <v/>
      </c>
      <c r="J302" s="71">
        <f>IF($N302&lt;&gt;"OK","",N(INDEX('Menu Pricing'!$F$7:$F$56,$O302))+N(INDEX('Menu Pricing'!$G$7:$G$56,$O302))+N(INDEX('Menu Pricing'!$J$7:$J$56,$O302)))</f>
        <v/>
      </c>
      <c r="K302" s="71">
        <f>IF($N302&lt;&gt;"OK","",$D302*$J302)</f>
        <v/>
      </c>
      <c r="L302" s="71">
        <f>IF($N302&lt;&gt;"OK","",$I302-$K302)</f>
        <v/>
      </c>
      <c r="M302" s="71">
        <f>IF($N302&lt;&gt;"OK","",$D302*N(INDEX('Menu Pricing'!$F$7:$F$56,$O302)))</f>
        <v/>
      </c>
      <c r="N302" s="80">
        <f>IF(AND($B302="",$C302="",$D302=""),"",IF(NOT(ISNUMBER($B302)),"Enter a valid date",IF($C302="","Pick a menu item",IF($O302="","Item not on Menu Pricing",IF(N($D302)&lt;=0,"Qty must be above 0",IF($H302="","No price on menu","OK"))))))</f>
        <v/>
      </c>
      <c r="O302" s="13">
        <f>IF($C302="","",IFERROR(MATCH($C302,'Menu Pricing'!$B$7:$B$56,0),""))</f>
        <v/>
      </c>
    </row>
    <row r="303" ht="17" customHeight="1">
      <c r="B303" s="66" t="n"/>
      <c r="C303" s="60" t="n"/>
      <c r="D303" s="86" t="n"/>
      <c r="E303" s="63" t="n"/>
      <c r="F303" s="60" t="n"/>
      <c r="G303" s="60" t="n"/>
      <c r="H303" s="71">
        <f>IF(OR($C303="",$D303=""),"",IF(ISNUMBER($E303),$E303,IF($O303="","",IF(N(INDEX('Menu Pricing'!$O$7:$O$56,$O303))&gt;0,INDEX('Menu Pricing'!$O$7:$O$56,$O303),""))))</f>
        <v/>
      </c>
      <c r="I303" s="71">
        <f>IF($N303&lt;&gt;"OK","",$D303*$H303)</f>
        <v/>
      </c>
      <c r="J303" s="71">
        <f>IF($N303&lt;&gt;"OK","",N(INDEX('Menu Pricing'!$F$7:$F$56,$O303))+N(INDEX('Menu Pricing'!$G$7:$G$56,$O303))+N(INDEX('Menu Pricing'!$J$7:$J$56,$O303)))</f>
        <v/>
      </c>
      <c r="K303" s="71">
        <f>IF($N303&lt;&gt;"OK","",$D303*$J303)</f>
        <v/>
      </c>
      <c r="L303" s="71">
        <f>IF($N303&lt;&gt;"OK","",$I303-$K303)</f>
        <v/>
      </c>
      <c r="M303" s="71">
        <f>IF($N303&lt;&gt;"OK","",$D303*N(INDEX('Menu Pricing'!$F$7:$F$56,$O303)))</f>
        <v/>
      </c>
      <c r="N303" s="80">
        <f>IF(AND($B303="",$C303="",$D303=""),"",IF(NOT(ISNUMBER($B303)),"Enter a valid date",IF($C303="","Pick a menu item",IF($O303="","Item not on Menu Pricing",IF(N($D303)&lt;=0,"Qty must be above 0",IF($H303="","No price on menu","OK"))))))</f>
        <v/>
      </c>
      <c r="O303" s="13">
        <f>IF($C303="","",IFERROR(MATCH($C303,'Menu Pricing'!$B$7:$B$56,0),""))</f>
        <v/>
      </c>
    </row>
    <row r="304" ht="17" customHeight="1">
      <c r="B304" s="66" t="n"/>
      <c r="C304" s="60" t="n"/>
      <c r="D304" s="86" t="n"/>
      <c r="E304" s="63" t="n"/>
      <c r="F304" s="60" t="n"/>
      <c r="G304" s="60" t="n"/>
      <c r="H304" s="71">
        <f>IF(OR($C304="",$D304=""),"",IF(ISNUMBER($E304),$E304,IF($O304="","",IF(N(INDEX('Menu Pricing'!$O$7:$O$56,$O304))&gt;0,INDEX('Menu Pricing'!$O$7:$O$56,$O304),""))))</f>
        <v/>
      </c>
      <c r="I304" s="71">
        <f>IF($N304&lt;&gt;"OK","",$D304*$H304)</f>
        <v/>
      </c>
      <c r="J304" s="71">
        <f>IF($N304&lt;&gt;"OK","",N(INDEX('Menu Pricing'!$F$7:$F$56,$O304))+N(INDEX('Menu Pricing'!$G$7:$G$56,$O304))+N(INDEX('Menu Pricing'!$J$7:$J$56,$O304)))</f>
        <v/>
      </c>
      <c r="K304" s="71">
        <f>IF($N304&lt;&gt;"OK","",$D304*$J304)</f>
        <v/>
      </c>
      <c r="L304" s="71">
        <f>IF($N304&lt;&gt;"OK","",$I304-$K304)</f>
        <v/>
      </c>
      <c r="M304" s="71">
        <f>IF($N304&lt;&gt;"OK","",$D304*N(INDEX('Menu Pricing'!$F$7:$F$56,$O304)))</f>
        <v/>
      </c>
      <c r="N304" s="80">
        <f>IF(AND($B304="",$C304="",$D304=""),"",IF(NOT(ISNUMBER($B304)),"Enter a valid date",IF($C304="","Pick a menu item",IF($O304="","Item not on Menu Pricing",IF(N($D304)&lt;=0,"Qty must be above 0",IF($H304="","No price on menu","OK"))))))</f>
        <v/>
      </c>
      <c r="O304" s="13">
        <f>IF($C304="","",IFERROR(MATCH($C304,'Menu Pricing'!$B$7:$B$56,0),""))</f>
        <v/>
      </c>
    </row>
    <row r="305" ht="17" customHeight="1">
      <c r="B305" s="66" t="n"/>
      <c r="C305" s="60" t="n"/>
      <c r="D305" s="86" t="n"/>
      <c r="E305" s="63" t="n"/>
      <c r="F305" s="60" t="n"/>
      <c r="G305" s="60" t="n"/>
      <c r="H305" s="71">
        <f>IF(OR($C305="",$D305=""),"",IF(ISNUMBER($E305),$E305,IF($O305="","",IF(N(INDEX('Menu Pricing'!$O$7:$O$56,$O305))&gt;0,INDEX('Menu Pricing'!$O$7:$O$56,$O305),""))))</f>
        <v/>
      </c>
      <c r="I305" s="71">
        <f>IF($N305&lt;&gt;"OK","",$D305*$H305)</f>
        <v/>
      </c>
      <c r="J305" s="71">
        <f>IF($N305&lt;&gt;"OK","",N(INDEX('Menu Pricing'!$F$7:$F$56,$O305))+N(INDEX('Menu Pricing'!$G$7:$G$56,$O305))+N(INDEX('Menu Pricing'!$J$7:$J$56,$O305)))</f>
        <v/>
      </c>
      <c r="K305" s="71">
        <f>IF($N305&lt;&gt;"OK","",$D305*$J305)</f>
        <v/>
      </c>
      <c r="L305" s="71">
        <f>IF($N305&lt;&gt;"OK","",$I305-$K305)</f>
        <v/>
      </c>
      <c r="M305" s="71">
        <f>IF($N305&lt;&gt;"OK","",$D305*N(INDEX('Menu Pricing'!$F$7:$F$56,$O305)))</f>
        <v/>
      </c>
      <c r="N305" s="80">
        <f>IF(AND($B305="",$C305="",$D305=""),"",IF(NOT(ISNUMBER($B305)),"Enter a valid date",IF($C305="","Pick a menu item",IF($O305="","Item not on Menu Pricing",IF(N($D305)&lt;=0,"Qty must be above 0",IF($H305="","No price on menu","OK"))))))</f>
        <v/>
      </c>
      <c r="O305" s="13">
        <f>IF($C305="","",IFERROR(MATCH($C305,'Menu Pricing'!$B$7:$B$56,0),""))</f>
        <v/>
      </c>
    </row>
    <row r="306" ht="17" customHeight="1">
      <c r="B306" s="66" t="n"/>
      <c r="C306" s="60" t="n"/>
      <c r="D306" s="86" t="n"/>
      <c r="E306" s="63" t="n"/>
      <c r="F306" s="60" t="n"/>
      <c r="G306" s="60" t="n"/>
      <c r="H306" s="71">
        <f>IF(OR($C306="",$D306=""),"",IF(ISNUMBER($E306),$E306,IF($O306="","",IF(N(INDEX('Menu Pricing'!$O$7:$O$56,$O306))&gt;0,INDEX('Menu Pricing'!$O$7:$O$56,$O306),""))))</f>
        <v/>
      </c>
      <c r="I306" s="71">
        <f>IF($N306&lt;&gt;"OK","",$D306*$H306)</f>
        <v/>
      </c>
      <c r="J306" s="71">
        <f>IF($N306&lt;&gt;"OK","",N(INDEX('Menu Pricing'!$F$7:$F$56,$O306))+N(INDEX('Menu Pricing'!$G$7:$G$56,$O306))+N(INDEX('Menu Pricing'!$J$7:$J$56,$O306)))</f>
        <v/>
      </c>
      <c r="K306" s="71">
        <f>IF($N306&lt;&gt;"OK","",$D306*$J306)</f>
        <v/>
      </c>
      <c r="L306" s="71">
        <f>IF($N306&lt;&gt;"OK","",$I306-$K306)</f>
        <v/>
      </c>
      <c r="M306" s="71">
        <f>IF($N306&lt;&gt;"OK","",$D306*N(INDEX('Menu Pricing'!$F$7:$F$56,$O306)))</f>
        <v/>
      </c>
      <c r="N306" s="80">
        <f>IF(AND($B306="",$C306="",$D306=""),"",IF(NOT(ISNUMBER($B306)),"Enter a valid date",IF($C306="","Pick a menu item",IF($O306="","Item not on Menu Pricing",IF(N($D306)&lt;=0,"Qty must be above 0",IF($H306="","No price on menu","OK"))))))</f>
        <v/>
      </c>
      <c r="O306" s="13">
        <f>IF($C306="","",IFERROR(MATCH($C306,'Menu Pricing'!$B$7:$B$56,0),""))</f>
        <v/>
      </c>
    </row>
    <row r="307" ht="17" customHeight="1">
      <c r="B307" s="66" t="n"/>
      <c r="C307" s="60" t="n"/>
      <c r="D307" s="86" t="n"/>
      <c r="E307" s="63" t="n"/>
      <c r="F307" s="60" t="n"/>
      <c r="G307" s="60" t="n"/>
      <c r="H307" s="71">
        <f>IF(OR($C307="",$D307=""),"",IF(ISNUMBER($E307),$E307,IF($O307="","",IF(N(INDEX('Menu Pricing'!$O$7:$O$56,$O307))&gt;0,INDEX('Menu Pricing'!$O$7:$O$56,$O307),""))))</f>
        <v/>
      </c>
      <c r="I307" s="71">
        <f>IF($N307&lt;&gt;"OK","",$D307*$H307)</f>
        <v/>
      </c>
      <c r="J307" s="71">
        <f>IF($N307&lt;&gt;"OK","",N(INDEX('Menu Pricing'!$F$7:$F$56,$O307))+N(INDEX('Menu Pricing'!$G$7:$G$56,$O307))+N(INDEX('Menu Pricing'!$J$7:$J$56,$O307)))</f>
        <v/>
      </c>
      <c r="K307" s="71">
        <f>IF($N307&lt;&gt;"OK","",$D307*$J307)</f>
        <v/>
      </c>
      <c r="L307" s="71">
        <f>IF($N307&lt;&gt;"OK","",$I307-$K307)</f>
        <v/>
      </c>
      <c r="M307" s="71">
        <f>IF($N307&lt;&gt;"OK","",$D307*N(INDEX('Menu Pricing'!$F$7:$F$56,$O307)))</f>
        <v/>
      </c>
      <c r="N307" s="80">
        <f>IF(AND($B307="",$C307="",$D307=""),"",IF(NOT(ISNUMBER($B307)),"Enter a valid date",IF($C307="","Pick a menu item",IF($O307="","Item not on Menu Pricing",IF(N($D307)&lt;=0,"Qty must be above 0",IF($H307="","No price on menu","OK"))))))</f>
        <v/>
      </c>
      <c r="O307" s="13">
        <f>IF($C307="","",IFERROR(MATCH($C307,'Menu Pricing'!$B$7:$B$56,0),""))</f>
        <v/>
      </c>
    </row>
    <row r="308" ht="17" customHeight="1">
      <c r="B308" s="66" t="n"/>
      <c r="C308" s="60" t="n"/>
      <c r="D308" s="86" t="n"/>
      <c r="E308" s="63" t="n"/>
      <c r="F308" s="60" t="n"/>
      <c r="G308" s="60" t="n"/>
      <c r="H308" s="71">
        <f>IF(OR($C308="",$D308=""),"",IF(ISNUMBER($E308),$E308,IF($O308="","",IF(N(INDEX('Menu Pricing'!$O$7:$O$56,$O308))&gt;0,INDEX('Menu Pricing'!$O$7:$O$56,$O308),""))))</f>
        <v/>
      </c>
      <c r="I308" s="71">
        <f>IF($N308&lt;&gt;"OK","",$D308*$H308)</f>
        <v/>
      </c>
      <c r="J308" s="71">
        <f>IF($N308&lt;&gt;"OK","",N(INDEX('Menu Pricing'!$F$7:$F$56,$O308))+N(INDEX('Menu Pricing'!$G$7:$G$56,$O308))+N(INDEX('Menu Pricing'!$J$7:$J$56,$O308)))</f>
        <v/>
      </c>
      <c r="K308" s="71">
        <f>IF($N308&lt;&gt;"OK","",$D308*$J308)</f>
        <v/>
      </c>
      <c r="L308" s="71">
        <f>IF($N308&lt;&gt;"OK","",$I308-$K308)</f>
        <v/>
      </c>
      <c r="M308" s="71">
        <f>IF($N308&lt;&gt;"OK","",$D308*N(INDEX('Menu Pricing'!$F$7:$F$56,$O308)))</f>
        <v/>
      </c>
      <c r="N308" s="80">
        <f>IF(AND($B308="",$C308="",$D308=""),"",IF(NOT(ISNUMBER($B308)),"Enter a valid date",IF($C308="","Pick a menu item",IF($O308="","Item not on Menu Pricing",IF(N($D308)&lt;=0,"Qty must be above 0",IF($H308="","No price on menu","OK"))))))</f>
        <v/>
      </c>
      <c r="O308" s="13">
        <f>IF($C308="","",IFERROR(MATCH($C308,'Menu Pricing'!$B$7:$B$56,0),""))</f>
        <v/>
      </c>
    </row>
    <row r="309" ht="17" customHeight="1">
      <c r="B309" s="66" t="n"/>
      <c r="C309" s="60" t="n"/>
      <c r="D309" s="86" t="n"/>
      <c r="E309" s="63" t="n"/>
      <c r="F309" s="60" t="n"/>
      <c r="G309" s="60" t="n"/>
      <c r="H309" s="71">
        <f>IF(OR($C309="",$D309=""),"",IF(ISNUMBER($E309),$E309,IF($O309="","",IF(N(INDEX('Menu Pricing'!$O$7:$O$56,$O309))&gt;0,INDEX('Menu Pricing'!$O$7:$O$56,$O309),""))))</f>
        <v/>
      </c>
      <c r="I309" s="71">
        <f>IF($N309&lt;&gt;"OK","",$D309*$H309)</f>
        <v/>
      </c>
      <c r="J309" s="71">
        <f>IF($N309&lt;&gt;"OK","",N(INDEX('Menu Pricing'!$F$7:$F$56,$O309))+N(INDEX('Menu Pricing'!$G$7:$G$56,$O309))+N(INDEX('Menu Pricing'!$J$7:$J$56,$O309)))</f>
        <v/>
      </c>
      <c r="K309" s="71">
        <f>IF($N309&lt;&gt;"OK","",$D309*$J309)</f>
        <v/>
      </c>
      <c r="L309" s="71">
        <f>IF($N309&lt;&gt;"OK","",$I309-$K309)</f>
        <v/>
      </c>
      <c r="M309" s="71">
        <f>IF($N309&lt;&gt;"OK","",$D309*N(INDEX('Menu Pricing'!$F$7:$F$56,$O309)))</f>
        <v/>
      </c>
      <c r="N309" s="80">
        <f>IF(AND($B309="",$C309="",$D309=""),"",IF(NOT(ISNUMBER($B309)),"Enter a valid date",IF($C309="","Pick a menu item",IF($O309="","Item not on Menu Pricing",IF(N($D309)&lt;=0,"Qty must be above 0",IF($H309="","No price on menu","OK"))))))</f>
        <v/>
      </c>
      <c r="O309" s="13">
        <f>IF($C309="","",IFERROR(MATCH($C309,'Menu Pricing'!$B$7:$B$56,0),""))</f>
        <v/>
      </c>
    </row>
    <row r="310" ht="17" customHeight="1">
      <c r="B310" s="66" t="n"/>
      <c r="C310" s="60" t="n"/>
      <c r="D310" s="86" t="n"/>
      <c r="E310" s="63" t="n"/>
      <c r="F310" s="60" t="n"/>
      <c r="G310" s="60" t="n"/>
      <c r="H310" s="71">
        <f>IF(OR($C310="",$D310=""),"",IF(ISNUMBER($E310),$E310,IF($O310="","",IF(N(INDEX('Menu Pricing'!$O$7:$O$56,$O310))&gt;0,INDEX('Menu Pricing'!$O$7:$O$56,$O310),""))))</f>
        <v/>
      </c>
      <c r="I310" s="71">
        <f>IF($N310&lt;&gt;"OK","",$D310*$H310)</f>
        <v/>
      </c>
      <c r="J310" s="71">
        <f>IF($N310&lt;&gt;"OK","",N(INDEX('Menu Pricing'!$F$7:$F$56,$O310))+N(INDEX('Menu Pricing'!$G$7:$G$56,$O310))+N(INDEX('Menu Pricing'!$J$7:$J$56,$O310)))</f>
        <v/>
      </c>
      <c r="K310" s="71">
        <f>IF($N310&lt;&gt;"OK","",$D310*$J310)</f>
        <v/>
      </c>
      <c r="L310" s="71">
        <f>IF($N310&lt;&gt;"OK","",$I310-$K310)</f>
        <v/>
      </c>
      <c r="M310" s="71">
        <f>IF($N310&lt;&gt;"OK","",$D310*N(INDEX('Menu Pricing'!$F$7:$F$56,$O310)))</f>
        <v/>
      </c>
      <c r="N310" s="80">
        <f>IF(AND($B310="",$C310="",$D310=""),"",IF(NOT(ISNUMBER($B310)),"Enter a valid date",IF($C310="","Pick a menu item",IF($O310="","Item not on Menu Pricing",IF(N($D310)&lt;=0,"Qty must be above 0",IF($H310="","No price on menu","OK"))))))</f>
        <v/>
      </c>
      <c r="O310" s="13">
        <f>IF($C310="","",IFERROR(MATCH($C310,'Menu Pricing'!$B$7:$B$56,0),""))</f>
        <v/>
      </c>
    </row>
    <row r="311" ht="17" customHeight="1">
      <c r="B311" s="66" t="n"/>
      <c r="C311" s="60" t="n"/>
      <c r="D311" s="86" t="n"/>
      <c r="E311" s="63" t="n"/>
      <c r="F311" s="60" t="n"/>
      <c r="G311" s="60" t="n"/>
      <c r="H311" s="71">
        <f>IF(OR($C311="",$D311=""),"",IF(ISNUMBER($E311),$E311,IF($O311="","",IF(N(INDEX('Menu Pricing'!$O$7:$O$56,$O311))&gt;0,INDEX('Menu Pricing'!$O$7:$O$56,$O311),""))))</f>
        <v/>
      </c>
      <c r="I311" s="71">
        <f>IF($N311&lt;&gt;"OK","",$D311*$H311)</f>
        <v/>
      </c>
      <c r="J311" s="71">
        <f>IF($N311&lt;&gt;"OK","",N(INDEX('Menu Pricing'!$F$7:$F$56,$O311))+N(INDEX('Menu Pricing'!$G$7:$G$56,$O311))+N(INDEX('Menu Pricing'!$J$7:$J$56,$O311)))</f>
        <v/>
      </c>
      <c r="K311" s="71">
        <f>IF($N311&lt;&gt;"OK","",$D311*$J311)</f>
        <v/>
      </c>
      <c r="L311" s="71">
        <f>IF($N311&lt;&gt;"OK","",$I311-$K311)</f>
        <v/>
      </c>
      <c r="M311" s="71">
        <f>IF($N311&lt;&gt;"OK","",$D311*N(INDEX('Menu Pricing'!$F$7:$F$56,$O311)))</f>
        <v/>
      </c>
      <c r="N311" s="80">
        <f>IF(AND($B311="",$C311="",$D311=""),"",IF(NOT(ISNUMBER($B311)),"Enter a valid date",IF($C311="","Pick a menu item",IF($O311="","Item not on Menu Pricing",IF(N($D311)&lt;=0,"Qty must be above 0",IF($H311="","No price on menu","OK"))))))</f>
        <v/>
      </c>
      <c r="O311" s="13">
        <f>IF($C311="","",IFERROR(MATCH($C311,'Menu Pricing'!$B$7:$B$56,0),""))</f>
        <v/>
      </c>
    </row>
    <row r="312" ht="17" customHeight="1">
      <c r="B312" s="66" t="n"/>
      <c r="C312" s="60" t="n"/>
      <c r="D312" s="86" t="n"/>
      <c r="E312" s="63" t="n"/>
      <c r="F312" s="60" t="n"/>
      <c r="G312" s="60" t="n"/>
      <c r="H312" s="71">
        <f>IF(OR($C312="",$D312=""),"",IF(ISNUMBER($E312),$E312,IF($O312="","",IF(N(INDEX('Menu Pricing'!$O$7:$O$56,$O312))&gt;0,INDEX('Menu Pricing'!$O$7:$O$56,$O312),""))))</f>
        <v/>
      </c>
      <c r="I312" s="71">
        <f>IF($N312&lt;&gt;"OK","",$D312*$H312)</f>
        <v/>
      </c>
      <c r="J312" s="71">
        <f>IF($N312&lt;&gt;"OK","",N(INDEX('Menu Pricing'!$F$7:$F$56,$O312))+N(INDEX('Menu Pricing'!$G$7:$G$56,$O312))+N(INDEX('Menu Pricing'!$J$7:$J$56,$O312)))</f>
        <v/>
      </c>
      <c r="K312" s="71">
        <f>IF($N312&lt;&gt;"OK","",$D312*$J312)</f>
        <v/>
      </c>
      <c r="L312" s="71">
        <f>IF($N312&lt;&gt;"OK","",$I312-$K312)</f>
        <v/>
      </c>
      <c r="M312" s="71">
        <f>IF($N312&lt;&gt;"OK","",$D312*N(INDEX('Menu Pricing'!$F$7:$F$56,$O312)))</f>
        <v/>
      </c>
      <c r="N312" s="80">
        <f>IF(AND($B312="",$C312="",$D312=""),"",IF(NOT(ISNUMBER($B312)),"Enter a valid date",IF($C312="","Pick a menu item",IF($O312="","Item not on Menu Pricing",IF(N($D312)&lt;=0,"Qty must be above 0",IF($H312="","No price on menu","OK"))))))</f>
        <v/>
      </c>
      <c r="O312" s="13">
        <f>IF($C312="","",IFERROR(MATCH($C312,'Menu Pricing'!$B$7:$B$56,0),""))</f>
        <v/>
      </c>
    </row>
    <row r="313" ht="17" customHeight="1">
      <c r="B313" s="66" t="n"/>
      <c r="C313" s="60" t="n"/>
      <c r="D313" s="86" t="n"/>
      <c r="E313" s="63" t="n"/>
      <c r="F313" s="60" t="n"/>
      <c r="G313" s="60" t="n"/>
      <c r="H313" s="71">
        <f>IF(OR($C313="",$D313=""),"",IF(ISNUMBER($E313),$E313,IF($O313="","",IF(N(INDEX('Menu Pricing'!$O$7:$O$56,$O313))&gt;0,INDEX('Menu Pricing'!$O$7:$O$56,$O313),""))))</f>
        <v/>
      </c>
      <c r="I313" s="71">
        <f>IF($N313&lt;&gt;"OK","",$D313*$H313)</f>
        <v/>
      </c>
      <c r="J313" s="71">
        <f>IF($N313&lt;&gt;"OK","",N(INDEX('Menu Pricing'!$F$7:$F$56,$O313))+N(INDEX('Menu Pricing'!$G$7:$G$56,$O313))+N(INDEX('Menu Pricing'!$J$7:$J$56,$O313)))</f>
        <v/>
      </c>
      <c r="K313" s="71">
        <f>IF($N313&lt;&gt;"OK","",$D313*$J313)</f>
        <v/>
      </c>
      <c r="L313" s="71">
        <f>IF($N313&lt;&gt;"OK","",$I313-$K313)</f>
        <v/>
      </c>
      <c r="M313" s="71">
        <f>IF($N313&lt;&gt;"OK","",$D313*N(INDEX('Menu Pricing'!$F$7:$F$56,$O313)))</f>
        <v/>
      </c>
      <c r="N313" s="80">
        <f>IF(AND($B313="",$C313="",$D313=""),"",IF(NOT(ISNUMBER($B313)),"Enter a valid date",IF($C313="","Pick a menu item",IF($O313="","Item not on Menu Pricing",IF(N($D313)&lt;=0,"Qty must be above 0",IF($H313="","No price on menu","OK"))))))</f>
        <v/>
      </c>
      <c r="O313" s="13">
        <f>IF($C313="","",IFERROR(MATCH($C313,'Menu Pricing'!$B$7:$B$56,0),""))</f>
        <v/>
      </c>
    </row>
    <row r="314" ht="17" customHeight="1">
      <c r="B314" s="66" t="n"/>
      <c r="C314" s="60" t="n"/>
      <c r="D314" s="86" t="n"/>
      <c r="E314" s="63" t="n"/>
      <c r="F314" s="60" t="n"/>
      <c r="G314" s="60" t="n"/>
      <c r="H314" s="71">
        <f>IF(OR($C314="",$D314=""),"",IF(ISNUMBER($E314),$E314,IF($O314="","",IF(N(INDEX('Menu Pricing'!$O$7:$O$56,$O314))&gt;0,INDEX('Menu Pricing'!$O$7:$O$56,$O314),""))))</f>
        <v/>
      </c>
      <c r="I314" s="71">
        <f>IF($N314&lt;&gt;"OK","",$D314*$H314)</f>
        <v/>
      </c>
      <c r="J314" s="71">
        <f>IF($N314&lt;&gt;"OK","",N(INDEX('Menu Pricing'!$F$7:$F$56,$O314))+N(INDEX('Menu Pricing'!$G$7:$G$56,$O314))+N(INDEX('Menu Pricing'!$J$7:$J$56,$O314)))</f>
        <v/>
      </c>
      <c r="K314" s="71">
        <f>IF($N314&lt;&gt;"OK","",$D314*$J314)</f>
        <v/>
      </c>
      <c r="L314" s="71">
        <f>IF($N314&lt;&gt;"OK","",$I314-$K314)</f>
        <v/>
      </c>
      <c r="M314" s="71">
        <f>IF($N314&lt;&gt;"OK","",$D314*N(INDEX('Menu Pricing'!$F$7:$F$56,$O314)))</f>
        <v/>
      </c>
      <c r="N314" s="80">
        <f>IF(AND($B314="",$C314="",$D314=""),"",IF(NOT(ISNUMBER($B314)),"Enter a valid date",IF($C314="","Pick a menu item",IF($O314="","Item not on Menu Pricing",IF(N($D314)&lt;=0,"Qty must be above 0",IF($H314="","No price on menu","OK"))))))</f>
        <v/>
      </c>
      <c r="O314" s="13">
        <f>IF($C314="","",IFERROR(MATCH($C314,'Menu Pricing'!$B$7:$B$56,0),""))</f>
        <v/>
      </c>
    </row>
    <row r="315" ht="17" customHeight="1">
      <c r="B315" s="66" t="n"/>
      <c r="C315" s="60" t="n"/>
      <c r="D315" s="86" t="n"/>
      <c r="E315" s="63" t="n"/>
      <c r="F315" s="60" t="n"/>
      <c r="G315" s="60" t="n"/>
      <c r="H315" s="71">
        <f>IF(OR($C315="",$D315=""),"",IF(ISNUMBER($E315),$E315,IF($O315="","",IF(N(INDEX('Menu Pricing'!$O$7:$O$56,$O315))&gt;0,INDEX('Menu Pricing'!$O$7:$O$56,$O315),""))))</f>
        <v/>
      </c>
      <c r="I315" s="71">
        <f>IF($N315&lt;&gt;"OK","",$D315*$H315)</f>
        <v/>
      </c>
      <c r="J315" s="71">
        <f>IF($N315&lt;&gt;"OK","",N(INDEX('Menu Pricing'!$F$7:$F$56,$O315))+N(INDEX('Menu Pricing'!$G$7:$G$56,$O315))+N(INDEX('Menu Pricing'!$J$7:$J$56,$O315)))</f>
        <v/>
      </c>
      <c r="K315" s="71">
        <f>IF($N315&lt;&gt;"OK","",$D315*$J315)</f>
        <v/>
      </c>
      <c r="L315" s="71">
        <f>IF($N315&lt;&gt;"OK","",$I315-$K315)</f>
        <v/>
      </c>
      <c r="M315" s="71">
        <f>IF($N315&lt;&gt;"OK","",$D315*N(INDEX('Menu Pricing'!$F$7:$F$56,$O315)))</f>
        <v/>
      </c>
      <c r="N315" s="80">
        <f>IF(AND($B315="",$C315="",$D315=""),"",IF(NOT(ISNUMBER($B315)),"Enter a valid date",IF($C315="","Pick a menu item",IF($O315="","Item not on Menu Pricing",IF(N($D315)&lt;=0,"Qty must be above 0",IF($H315="","No price on menu","OK"))))))</f>
        <v/>
      </c>
      <c r="O315" s="13">
        <f>IF($C315="","",IFERROR(MATCH($C315,'Menu Pricing'!$B$7:$B$56,0),""))</f>
        <v/>
      </c>
    </row>
    <row r="316" ht="17" customHeight="1">
      <c r="B316" s="66" t="n"/>
      <c r="C316" s="60" t="n"/>
      <c r="D316" s="86" t="n"/>
      <c r="E316" s="63" t="n"/>
      <c r="F316" s="60" t="n"/>
      <c r="G316" s="60" t="n"/>
      <c r="H316" s="71">
        <f>IF(OR($C316="",$D316=""),"",IF(ISNUMBER($E316),$E316,IF($O316="","",IF(N(INDEX('Menu Pricing'!$O$7:$O$56,$O316))&gt;0,INDEX('Menu Pricing'!$O$7:$O$56,$O316),""))))</f>
        <v/>
      </c>
      <c r="I316" s="71">
        <f>IF($N316&lt;&gt;"OK","",$D316*$H316)</f>
        <v/>
      </c>
      <c r="J316" s="71">
        <f>IF($N316&lt;&gt;"OK","",N(INDEX('Menu Pricing'!$F$7:$F$56,$O316))+N(INDEX('Menu Pricing'!$G$7:$G$56,$O316))+N(INDEX('Menu Pricing'!$J$7:$J$56,$O316)))</f>
        <v/>
      </c>
      <c r="K316" s="71">
        <f>IF($N316&lt;&gt;"OK","",$D316*$J316)</f>
        <v/>
      </c>
      <c r="L316" s="71">
        <f>IF($N316&lt;&gt;"OK","",$I316-$K316)</f>
        <v/>
      </c>
      <c r="M316" s="71">
        <f>IF($N316&lt;&gt;"OK","",$D316*N(INDEX('Menu Pricing'!$F$7:$F$56,$O316)))</f>
        <v/>
      </c>
      <c r="N316" s="80">
        <f>IF(AND($B316="",$C316="",$D316=""),"",IF(NOT(ISNUMBER($B316)),"Enter a valid date",IF($C316="","Pick a menu item",IF($O316="","Item not on Menu Pricing",IF(N($D316)&lt;=0,"Qty must be above 0",IF($H316="","No price on menu","OK"))))))</f>
        <v/>
      </c>
      <c r="O316" s="13">
        <f>IF($C316="","",IFERROR(MATCH($C316,'Menu Pricing'!$B$7:$B$56,0),""))</f>
        <v/>
      </c>
    </row>
    <row r="317" ht="17" customHeight="1">
      <c r="B317" s="66" t="n"/>
      <c r="C317" s="60" t="n"/>
      <c r="D317" s="86" t="n"/>
      <c r="E317" s="63" t="n"/>
      <c r="F317" s="60" t="n"/>
      <c r="G317" s="60" t="n"/>
      <c r="H317" s="71">
        <f>IF(OR($C317="",$D317=""),"",IF(ISNUMBER($E317),$E317,IF($O317="","",IF(N(INDEX('Menu Pricing'!$O$7:$O$56,$O317))&gt;0,INDEX('Menu Pricing'!$O$7:$O$56,$O317),""))))</f>
        <v/>
      </c>
      <c r="I317" s="71">
        <f>IF($N317&lt;&gt;"OK","",$D317*$H317)</f>
        <v/>
      </c>
      <c r="J317" s="71">
        <f>IF($N317&lt;&gt;"OK","",N(INDEX('Menu Pricing'!$F$7:$F$56,$O317))+N(INDEX('Menu Pricing'!$G$7:$G$56,$O317))+N(INDEX('Menu Pricing'!$J$7:$J$56,$O317)))</f>
        <v/>
      </c>
      <c r="K317" s="71">
        <f>IF($N317&lt;&gt;"OK","",$D317*$J317)</f>
        <v/>
      </c>
      <c r="L317" s="71">
        <f>IF($N317&lt;&gt;"OK","",$I317-$K317)</f>
        <v/>
      </c>
      <c r="M317" s="71">
        <f>IF($N317&lt;&gt;"OK","",$D317*N(INDEX('Menu Pricing'!$F$7:$F$56,$O317)))</f>
        <v/>
      </c>
      <c r="N317" s="80">
        <f>IF(AND($B317="",$C317="",$D317=""),"",IF(NOT(ISNUMBER($B317)),"Enter a valid date",IF($C317="","Pick a menu item",IF($O317="","Item not on Menu Pricing",IF(N($D317)&lt;=0,"Qty must be above 0",IF($H317="","No price on menu","OK"))))))</f>
        <v/>
      </c>
      <c r="O317" s="13">
        <f>IF($C317="","",IFERROR(MATCH($C317,'Menu Pricing'!$B$7:$B$56,0),""))</f>
        <v/>
      </c>
    </row>
    <row r="318" ht="17" customHeight="1">
      <c r="B318" s="66" t="n"/>
      <c r="C318" s="60" t="n"/>
      <c r="D318" s="86" t="n"/>
      <c r="E318" s="63" t="n"/>
      <c r="F318" s="60" t="n"/>
      <c r="G318" s="60" t="n"/>
      <c r="H318" s="71">
        <f>IF(OR($C318="",$D318=""),"",IF(ISNUMBER($E318),$E318,IF($O318="","",IF(N(INDEX('Menu Pricing'!$O$7:$O$56,$O318))&gt;0,INDEX('Menu Pricing'!$O$7:$O$56,$O318),""))))</f>
        <v/>
      </c>
      <c r="I318" s="71">
        <f>IF($N318&lt;&gt;"OK","",$D318*$H318)</f>
        <v/>
      </c>
      <c r="J318" s="71">
        <f>IF($N318&lt;&gt;"OK","",N(INDEX('Menu Pricing'!$F$7:$F$56,$O318))+N(INDEX('Menu Pricing'!$G$7:$G$56,$O318))+N(INDEX('Menu Pricing'!$J$7:$J$56,$O318)))</f>
        <v/>
      </c>
      <c r="K318" s="71">
        <f>IF($N318&lt;&gt;"OK","",$D318*$J318)</f>
        <v/>
      </c>
      <c r="L318" s="71">
        <f>IF($N318&lt;&gt;"OK","",$I318-$K318)</f>
        <v/>
      </c>
      <c r="M318" s="71">
        <f>IF($N318&lt;&gt;"OK","",$D318*N(INDEX('Menu Pricing'!$F$7:$F$56,$O318)))</f>
        <v/>
      </c>
      <c r="N318" s="80">
        <f>IF(AND($B318="",$C318="",$D318=""),"",IF(NOT(ISNUMBER($B318)),"Enter a valid date",IF($C318="","Pick a menu item",IF($O318="","Item not on Menu Pricing",IF(N($D318)&lt;=0,"Qty must be above 0",IF($H318="","No price on menu","OK"))))))</f>
        <v/>
      </c>
      <c r="O318" s="13">
        <f>IF($C318="","",IFERROR(MATCH($C318,'Menu Pricing'!$B$7:$B$56,0),""))</f>
        <v/>
      </c>
    </row>
    <row r="319" ht="17" customHeight="1">
      <c r="B319" s="66" t="n"/>
      <c r="C319" s="60" t="n"/>
      <c r="D319" s="86" t="n"/>
      <c r="E319" s="63" t="n"/>
      <c r="F319" s="60" t="n"/>
      <c r="G319" s="60" t="n"/>
      <c r="H319" s="71">
        <f>IF(OR($C319="",$D319=""),"",IF(ISNUMBER($E319),$E319,IF($O319="","",IF(N(INDEX('Menu Pricing'!$O$7:$O$56,$O319))&gt;0,INDEX('Menu Pricing'!$O$7:$O$56,$O319),""))))</f>
        <v/>
      </c>
      <c r="I319" s="71">
        <f>IF($N319&lt;&gt;"OK","",$D319*$H319)</f>
        <v/>
      </c>
      <c r="J319" s="71">
        <f>IF($N319&lt;&gt;"OK","",N(INDEX('Menu Pricing'!$F$7:$F$56,$O319))+N(INDEX('Menu Pricing'!$G$7:$G$56,$O319))+N(INDEX('Menu Pricing'!$J$7:$J$56,$O319)))</f>
        <v/>
      </c>
      <c r="K319" s="71">
        <f>IF($N319&lt;&gt;"OK","",$D319*$J319)</f>
        <v/>
      </c>
      <c r="L319" s="71">
        <f>IF($N319&lt;&gt;"OK","",$I319-$K319)</f>
        <v/>
      </c>
      <c r="M319" s="71">
        <f>IF($N319&lt;&gt;"OK","",$D319*N(INDEX('Menu Pricing'!$F$7:$F$56,$O319)))</f>
        <v/>
      </c>
      <c r="N319" s="80">
        <f>IF(AND($B319="",$C319="",$D319=""),"",IF(NOT(ISNUMBER($B319)),"Enter a valid date",IF($C319="","Pick a menu item",IF($O319="","Item not on Menu Pricing",IF(N($D319)&lt;=0,"Qty must be above 0",IF($H319="","No price on menu","OK"))))))</f>
        <v/>
      </c>
      <c r="O319" s="13">
        <f>IF($C319="","",IFERROR(MATCH($C319,'Menu Pricing'!$B$7:$B$56,0),""))</f>
        <v/>
      </c>
    </row>
    <row r="320" ht="17" customHeight="1">
      <c r="B320" s="66" t="n"/>
      <c r="C320" s="60" t="n"/>
      <c r="D320" s="86" t="n"/>
      <c r="E320" s="63" t="n"/>
      <c r="F320" s="60" t="n"/>
      <c r="G320" s="60" t="n"/>
      <c r="H320" s="71">
        <f>IF(OR($C320="",$D320=""),"",IF(ISNUMBER($E320),$E320,IF($O320="","",IF(N(INDEX('Menu Pricing'!$O$7:$O$56,$O320))&gt;0,INDEX('Menu Pricing'!$O$7:$O$56,$O320),""))))</f>
        <v/>
      </c>
      <c r="I320" s="71">
        <f>IF($N320&lt;&gt;"OK","",$D320*$H320)</f>
        <v/>
      </c>
      <c r="J320" s="71">
        <f>IF($N320&lt;&gt;"OK","",N(INDEX('Menu Pricing'!$F$7:$F$56,$O320))+N(INDEX('Menu Pricing'!$G$7:$G$56,$O320))+N(INDEX('Menu Pricing'!$J$7:$J$56,$O320)))</f>
        <v/>
      </c>
      <c r="K320" s="71">
        <f>IF($N320&lt;&gt;"OK","",$D320*$J320)</f>
        <v/>
      </c>
      <c r="L320" s="71">
        <f>IF($N320&lt;&gt;"OK","",$I320-$K320)</f>
        <v/>
      </c>
      <c r="M320" s="71">
        <f>IF($N320&lt;&gt;"OK","",$D320*N(INDEX('Menu Pricing'!$F$7:$F$56,$O320)))</f>
        <v/>
      </c>
      <c r="N320" s="80">
        <f>IF(AND($B320="",$C320="",$D320=""),"",IF(NOT(ISNUMBER($B320)),"Enter a valid date",IF($C320="","Pick a menu item",IF($O320="","Item not on Menu Pricing",IF(N($D320)&lt;=0,"Qty must be above 0",IF($H320="","No price on menu","OK"))))))</f>
        <v/>
      </c>
      <c r="O320" s="13">
        <f>IF($C320="","",IFERROR(MATCH($C320,'Menu Pricing'!$B$7:$B$56,0),""))</f>
        <v/>
      </c>
    </row>
    <row r="321" ht="17" customHeight="1">
      <c r="B321" s="66" t="n"/>
      <c r="C321" s="60" t="n"/>
      <c r="D321" s="86" t="n"/>
      <c r="E321" s="63" t="n"/>
      <c r="F321" s="60" t="n"/>
      <c r="G321" s="60" t="n"/>
      <c r="H321" s="71">
        <f>IF(OR($C321="",$D321=""),"",IF(ISNUMBER($E321),$E321,IF($O321="","",IF(N(INDEX('Menu Pricing'!$O$7:$O$56,$O321))&gt;0,INDEX('Menu Pricing'!$O$7:$O$56,$O321),""))))</f>
        <v/>
      </c>
      <c r="I321" s="71">
        <f>IF($N321&lt;&gt;"OK","",$D321*$H321)</f>
        <v/>
      </c>
      <c r="J321" s="71">
        <f>IF($N321&lt;&gt;"OK","",N(INDEX('Menu Pricing'!$F$7:$F$56,$O321))+N(INDEX('Menu Pricing'!$G$7:$G$56,$O321))+N(INDEX('Menu Pricing'!$J$7:$J$56,$O321)))</f>
        <v/>
      </c>
      <c r="K321" s="71">
        <f>IF($N321&lt;&gt;"OK","",$D321*$J321)</f>
        <v/>
      </c>
      <c r="L321" s="71">
        <f>IF($N321&lt;&gt;"OK","",$I321-$K321)</f>
        <v/>
      </c>
      <c r="M321" s="71">
        <f>IF($N321&lt;&gt;"OK","",$D321*N(INDEX('Menu Pricing'!$F$7:$F$56,$O321)))</f>
        <v/>
      </c>
      <c r="N321" s="80">
        <f>IF(AND($B321="",$C321="",$D321=""),"",IF(NOT(ISNUMBER($B321)),"Enter a valid date",IF($C321="","Pick a menu item",IF($O321="","Item not on Menu Pricing",IF(N($D321)&lt;=0,"Qty must be above 0",IF($H321="","No price on menu","OK"))))))</f>
        <v/>
      </c>
      <c r="O321" s="13">
        <f>IF($C321="","",IFERROR(MATCH($C321,'Menu Pricing'!$B$7:$B$56,0),""))</f>
        <v/>
      </c>
    </row>
    <row r="322" ht="17" customHeight="1">
      <c r="B322" s="66" t="n"/>
      <c r="C322" s="60" t="n"/>
      <c r="D322" s="86" t="n"/>
      <c r="E322" s="63" t="n"/>
      <c r="F322" s="60" t="n"/>
      <c r="G322" s="60" t="n"/>
      <c r="H322" s="71">
        <f>IF(OR($C322="",$D322=""),"",IF(ISNUMBER($E322),$E322,IF($O322="","",IF(N(INDEX('Menu Pricing'!$O$7:$O$56,$O322))&gt;0,INDEX('Menu Pricing'!$O$7:$O$56,$O322),""))))</f>
        <v/>
      </c>
      <c r="I322" s="71">
        <f>IF($N322&lt;&gt;"OK","",$D322*$H322)</f>
        <v/>
      </c>
      <c r="J322" s="71">
        <f>IF($N322&lt;&gt;"OK","",N(INDEX('Menu Pricing'!$F$7:$F$56,$O322))+N(INDEX('Menu Pricing'!$G$7:$G$56,$O322))+N(INDEX('Menu Pricing'!$J$7:$J$56,$O322)))</f>
        <v/>
      </c>
      <c r="K322" s="71">
        <f>IF($N322&lt;&gt;"OK","",$D322*$J322)</f>
        <v/>
      </c>
      <c r="L322" s="71">
        <f>IF($N322&lt;&gt;"OK","",$I322-$K322)</f>
        <v/>
      </c>
      <c r="M322" s="71">
        <f>IF($N322&lt;&gt;"OK","",$D322*N(INDEX('Menu Pricing'!$F$7:$F$56,$O322)))</f>
        <v/>
      </c>
      <c r="N322" s="80">
        <f>IF(AND($B322="",$C322="",$D322=""),"",IF(NOT(ISNUMBER($B322)),"Enter a valid date",IF($C322="","Pick a menu item",IF($O322="","Item not on Menu Pricing",IF(N($D322)&lt;=0,"Qty must be above 0",IF($H322="","No price on menu","OK"))))))</f>
        <v/>
      </c>
      <c r="O322" s="13">
        <f>IF($C322="","",IFERROR(MATCH($C322,'Menu Pricing'!$B$7:$B$56,0),""))</f>
        <v/>
      </c>
    </row>
    <row r="323" ht="17" customHeight="1">
      <c r="B323" s="66" t="n"/>
      <c r="C323" s="60" t="n"/>
      <c r="D323" s="86" t="n"/>
      <c r="E323" s="63" t="n"/>
      <c r="F323" s="60" t="n"/>
      <c r="G323" s="60" t="n"/>
      <c r="H323" s="71">
        <f>IF(OR($C323="",$D323=""),"",IF(ISNUMBER($E323),$E323,IF($O323="","",IF(N(INDEX('Menu Pricing'!$O$7:$O$56,$O323))&gt;0,INDEX('Menu Pricing'!$O$7:$O$56,$O323),""))))</f>
        <v/>
      </c>
      <c r="I323" s="71">
        <f>IF($N323&lt;&gt;"OK","",$D323*$H323)</f>
        <v/>
      </c>
      <c r="J323" s="71">
        <f>IF($N323&lt;&gt;"OK","",N(INDEX('Menu Pricing'!$F$7:$F$56,$O323))+N(INDEX('Menu Pricing'!$G$7:$G$56,$O323))+N(INDEX('Menu Pricing'!$J$7:$J$56,$O323)))</f>
        <v/>
      </c>
      <c r="K323" s="71">
        <f>IF($N323&lt;&gt;"OK","",$D323*$J323)</f>
        <v/>
      </c>
      <c r="L323" s="71">
        <f>IF($N323&lt;&gt;"OK","",$I323-$K323)</f>
        <v/>
      </c>
      <c r="M323" s="71">
        <f>IF($N323&lt;&gt;"OK","",$D323*N(INDEX('Menu Pricing'!$F$7:$F$56,$O323)))</f>
        <v/>
      </c>
      <c r="N323" s="80">
        <f>IF(AND($B323="",$C323="",$D323=""),"",IF(NOT(ISNUMBER($B323)),"Enter a valid date",IF($C323="","Pick a menu item",IF($O323="","Item not on Menu Pricing",IF(N($D323)&lt;=0,"Qty must be above 0",IF($H323="","No price on menu","OK"))))))</f>
        <v/>
      </c>
      <c r="O323" s="13">
        <f>IF($C323="","",IFERROR(MATCH($C323,'Menu Pricing'!$B$7:$B$56,0),""))</f>
        <v/>
      </c>
    </row>
    <row r="324" ht="17" customHeight="1">
      <c r="B324" s="66" t="n"/>
      <c r="C324" s="60" t="n"/>
      <c r="D324" s="86" t="n"/>
      <c r="E324" s="63" t="n"/>
      <c r="F324" s="60" t="n"/>
      <c r="G324" s="60" t="n"/>
      <c r="H324" s="71">
        <f>IF(OR($C324="",$D324=""),"",IF(ISNUMBER($E324),$E324,IF($O324="","",IF(N(INDEX('Menu Pricing'!$O$7:$O$56,$O324))&gt;0,INDEX('Menu Pricing'!$O$7:$O$56,$O324),""))))</f>
        <v/>
      </c>
      <c r="I324" s="71">
        <f>IF($N324&lt;&gt;"OK","",$D324*$H324)</f>
        <v/>
      </c>
      <c r="J324" s="71">
        <f>IF($N324&lt;&gt;"OK","",N(INDEX('Menu Pricing'!$F$7:$F$56,$O324))+N(INDEX('Menu Pricing'!$G$7:$G$56,$O324))+N(INDEX('Menu Pricing'!$J$7:$J$56,$O324)))</f>
        <v/>
      </c>
      <c r="K324" s="71">
        <f>IF($N324&lt;&gt;"OK","",$D324*$J324)</f>
        <v/>
      </c>
      <c r="L324" s="71">
        <f>IF($N324&lt;&gt;"OK","",$I324-$K324)</f>
        <v/>
      </c>
      <c r="M324" s="71">
        <f>IF($N324&lt;&gt;"OK","",$D324*N(INDEX('Menu Pricing'!$F$7:$F$56,$O324)))</f>
        <v/>
      </c>
      <c r="N324" s="80">
        <f>IF(AND($B324="",$C324="",$D324=""),"",IF(NOT(ISNUMBER($B324)),"Enter a valid date",IF($C324="","Pick a menu item",IF($O324="","Item not on Menu Pricing",IF(N($D324)&lt;=0,"Qty must be above 0",IF($H324="","No price on menu","OK"))))))</f>
        <v/>
      </c>
      <c r="O324" s="13">
        <f>IF($C324="","",IFERROR(MATCH($C324,'Menu Pricing'!$B$7:$B$56,0),""))</f>
        <v/>
      </c>
    </row>
    <row r="325" ht="17" customHeight="1">
      <c r="B325" s="66" t="n"/>
      <c r="C325" s="60" t="n"/>
      <c r="D325" s="86" t="n"/>
      <c r="E325" s="63" t="n"/>
      <c r="F325" s="60" t="n"/>
      <c r="G325" s="60" t="n"/>
      <c r="H325" s="71">
        <f>IF(OR($C325="",$D325=""),"",IF(ISNUMBER($E325),$E325,IF($O325="","",IF(N(INDEX('Menu Pricing'!$O$7:$O$56,$O325))&gt;0,INDEX('Menu Pricing'!$O$7:$O$56,$O325),""))))</f>
        <v/>
      </c>
      <c r="I325" s="71">
        <f>IF($N325&lt;&gt;"OK","",$D325*$H325)</f>
        <v/>
      </c>
      <c r="J325" s="71">
        <f>IF($N325&lt;&gt;"OK","",N(INDEX('Menu Pricing'!$F$7:$F$56,$O325))+N(INDEX('Menu Pricing'!$G$7:$G$56,$O325))+N(INDEX('Menu Pricing'!$J$7:$J$56,$O325)))</f>
        <v/>
      </c>
      <c r="K325" s="71">
        <f>IF($N325&lt;&gt;"OK","",$D325*$J325)</f>
        <v/>
      </c>
      <c r="L325" s="71">
        <f>IF($N325&lt;&gt;"OK","",$I325-$K325)</f>
        <v/>
      </c>
      <c r="M325" s="71">
        <f>IF($N325&lt;&gt;"OK","",$D325*N(INDEX('Menu Pricing'!$F$7:$F$56,$O325)))</f>
        <v/>
      </c>
      <c r="N325" s="80">
        <f>IF(AND($B325="",$C325="",$D325=""),"",IF(NOT(ISNUMBER($B325)),"Enter a valid date",IF($C325="","Pick a menu item",IF($O325="","Item not on Menu Pricing",IF(N($D325)&lt;=0,"Qty must be above 0",IF($H325="","No price on menu","OK"))))))</f>
        <v/>
      </c>
      <c r="O325" s="13">
        <f>IF($C325="","",IFERROR(MATCH($C325,'Menu Pricing'!$B$7:$B$56,0),""))</f>
        <v/>
      </c>
    </row>
    <row r="326" ht="17" customHeight="1">
      <c r="B326" s="66" t="n"/>
      <c r="C326" s="60" t="n"/>
      <c r="D326" s="86" t="n"/>
      <c r="E326" s="63" t="n"/>
      <c r="F326" s="60" t="n"/>
      <c r="G326" s="60" t="n"/>
      <c r="H326" s="71">
        <f>IF(OR($C326="",$D326=""),"",IF(ISNUMBER($E326),$E326,IF($O326="","",IF(N(INDEX('Menu Pricing'!$O$7:$O$56,$O326))&gt;0,INDEX('Menu Pricing'!$O$7:$O$56,$O326),""))))</f>
        <v/>
      </c>
      <c r="I326" s="71">
        <f>IF($N326&lt;&gt;"OK","",$D326*$H326)</f>
        <v/>
      </c>
      <c r="J326" s="71">
        <f>IF($N326&lt;&gt;"OK","",N(INDEX('Menu Pricing'!$F$7:$F$56,$O326))+N(INDEX('Menu Pricing'!$G$7:$G$56,$O326))+N(INDEX('Menu Pricing'!$J$7:$J$56,$O326)))</f>
        <v/>
      </c>
      <c r="K326" s="71">
        <f>IF($N326&lt;&gt;"OK","",$D326*$J326)</f>
        <v/>
      </c>
      <c r="L326" s="71">
        <f>IF($N326&lt;&gt;"OK","",$I326-$K326)</f>
        <v/>
      </c>
      <c r="M326" s="71">
        <f>IF($N326&lt;&gt;"OK","",$D326*N(INDEX('Menu Pricing'!$F$7:$F$56,$O326)))</f>
        <v/>
      </c>
      <c r="N326" s="80">
        <f>IF(AND($B326="",$C326="",$D326=""),"",IF(NOT(ISNUMBER($B326)),"Enter a valid date",IF($C326="","Pick a menu item",IF($O326="","Item not on Menu Pricing",IF(N($D326)&lt;=0,"Qty must be above 0",IF($H326="","No price on menu","OK"))))))</f>
        <v/>
      </c>
      <c r="O326" s="13">
        <f>IF($C326="","",IFERROR(MATCH($C326,'Menu Pricing'!$B$7:$B$56,0),""))</f>
        <v/>
      </c>
    </row>
    <row r="327" ht="17" customHeight="1">
      <c r="B327" s="66" t="n"/>
      <c r="C327" s="60" t="n"/>
      <c r="D327" s="86" t="n"/>
      <c r="E327" s="63" t="n"/>
      <c r="F327" s="60" t="n"/>
      <c r="G327" s="60" t="n"/>
      <c r="H327" s="71">
        <f>IF(OR($C327="",$D327=""),"",IF(ISNUMBER($E327),$E327,IF($O327="","",IF(N(INDEX('Menu Pricing'!$O$7:$O$56,$O327))&gt;0,INDEX('Menu Pricing'!$O$7:$O$56,$O327),""))))</f>
        <v/>
      </c>
      <c r="I327" s="71">
        <f>IF($N327&lt;&gt;"OK","",$D327*$H327)</f>
        <v/>
      </c>
      <c r="J327" s="71">
        <f>IF($N327&lt;&gt;"OK","",N(INDEX('Menu Pricing'!$F$7:$F$56,$O327))+N(INDEX('Menu Pricing'!$G$7:$G$56,$O327))+N(INDEX('Menu Pricing'!$J$7:$J$56,$O327)))</f>
        <v/>
      </c>
      <c r="K327" s="71">
        <f>IF($N327&lt;&gt;"OK","",$D327*$J327)</f>
        <v/>
      </c>
      <c r="L327" s="71">
        <f>IF($N327&lt;&gt;"OK","",$I327-$K327)</f>
        <v/>
      </c>
      <c r="M327" s="71">
        <f>IF($N327&lt;&gt;"OK","",$D327*N(INDEX('Menu Pricing'!$F$7:$F$56,$O327)))</f>
        <v/>
      </c>
      <c r="N327" s="80">
        <f>IF(AND($B327="",$C327="",$D327=""),"",IF(NOT(ISNUMBER($B327)),"Enter a valid date",IF($C327="","Pick a menu item",IF($O327="","Item not on Menu Pricing",IF(N($D327)&lt;=0,"Qty must be above 0",IF($H327="","No price on menu","OK"))))))</f>
        <v/>
      </c>
      <c r="O327" s="13">
        <f>IF($C327="","",IFERROR(MATCH($C327,'Menu Pricing'!$B$7:$B$56,0),""))</f>
        <v/>
      </c>
    </row>
    <row r="328" ht="17" customHeight="1">
      <c r="B328" s="66" t="n"/>
      <c r="C328" s="60" t="n"/>
      <c r="D328" s="86" t="n"/>
      <c r="E328" s="63" t="n"/>
      <c r="F328" s="60" t="n"/>
      <c r="G328" s="60" t="n"/>
      <c r="H328" s="71">
        <f>IF(OR($C328="",$D328=""),"",IF(ISNUMBER($E328),$E328,IF($O328="","",IF(N(INDEX('Menu Pricing'!$O$7:$O$56,$O328))&gt;0,INDEX('Menu Pricing'!$O$7:$O$56,$O328),""))))</f>
        <v/>
      </c>
      <c r="I328" s="71">
        <f>IF($N328&lt;&gt;"OK","",$D328*$H328)</f>
        <v/>
      </c>
      <c r="J328" s="71">
        <f>IF($N328&lt;&gt;"OK","",N(INDEX('Menu Pricing'!$F$7:$F$56,$O328))+N(INDEX('Menu Pricing'!$G$7:$G$56,$O328))+N(INDEX('Menu Pricing'!$J$7:$J$56,$O328)))</f>
        <v/>
      </c>
      <c r="K328" s="71">
        <f>IF($N328&lt;&gt;"OK","",$D328*$J328)</f>
        <v/>
      </c>
      <c r="L328" s="71">
        <f>IF($N328&lt;&gt;"OK","",$I328-$K328)</f>
        <v/>
      </c>
      <c r="M328" s="71">
        <f>IF($N328&lt;&gt;"OK","",$D328*N(INDEX('Menu Pricing'!$F$7:$F$56,$O328)))</f>
        <v/>
      </c>
      <c r="N328" s="80">
        <f>IF(AND($B328="",$C328="",$D328=""),"",IF(NOT(ISNUMBER($B328)),"Enter a valid date",IF($C328="","Pick a menu item",IF($O328="","Item not on Menu Pricing",IF(N($D328)&lt;=0,"Qty must be above 0",IF($H328="","No price on menu","OK"))))))</f>
        <v/>
      </c>
      <c r="O328" s="13">
        <f>IF($C328="","",IFERROR(MATCH($C328,'Menu Pricing'!$B$7:$B$56,0),""))</f>
        <v/>
      </c>
    </row>
    <row r="329" ht="17" customHeight="1">
      <c r="B329" s="66" t="n"/>
      <c r="C329" s="60" t="n"/>
      <c r="D329" s="86" t="n"/>
      <c r="E329" s="63" t="n"/>
      <c r="F329" s="60" t="n"/>
      <c r="G329" s="60" t="n"/>
      <c r="H329" s="71">
        <f>IF(OR($C329="",$D329=""),"",IF(ISNUMBER($E329),$E329,IF($O329="","",IF(N(INDEX('Menu Pricing'!$O$7:$O$56,$O329))&gt;0,INDEX('Menu Pricing'!$O$7:$O$56,$O329),""))))</f>
        <v/>
      </c>
      <c r="I329" s="71">
        <f>IF($N329&lt;&gt;"OK","",$D329*$H329)</f>
        <v/>
      </c>
      <c r="J329" s="71">
        <f>IF($N329&lt;&gt;"OK","",N(INDEX('Menu Pricing'!$F$7:$F$56,$O329))+N(INDEX('Menu Pricing'!$G$7:$G$56,$O329))+N(INDEX('Menu Pricing'!$J$7:$J$56,$O329)))</f>
        <v/>
      </c>
      <c r="K329" s="71">
        <f>IF($N329&lt;&gt;"OK","",$D329*$J329)</f>
        <v/>
      </c>
      <c r="L329" s="71">
        <f>IF($N329&lt;&gt;"OK","",$I329-$K329)</f>
        <v/>
      </c>
      <c r="M329" s="71">
        <f>IF($N329&lt;&gt;"OK","",$D329*N(INDEX('Menu Pricing'!$F$7:$F$56,$O329)))</f>
        <v/>
      </c>
      <c r="N329" s="80">
        <f>IF(AND($B329="",$C329="",$D329=""),"",IF(NOT(ISNUMBER($B329)),"Enter a valid date",IF($C329="","Pick a menu item",IF($O329="","Item not on Menu Pricing",IF(N($D329)&lt;=0,"Qty must be above 0",IF($H329="","No price on menu","OK"))))))</f>
        <v/>
      </c>
      <c r="O329" s="13">
        <f>IF($C329="","",IFERROR(MATCH($C329,'Menu Pricing'!$B$7:$B$56,0),""))</f>
        <v/>
      </c>
    </row>
    <row r="330" ht="17" customHeight="1">
      <c r="B330" s="66" t="n"/>
      <c r="C330" s="60" t="n"/>
      <c r="D330" s="86" t="n"/>
      <c r="E330" s="63" t="n"/>
      <c r="F330" s="60" t="n"/>
      <c r="G330" s="60" t="n"/>
      <c r="H330" s="71">
        <f>IF(OR($C330="",$D330=""),"",IF(ISNUMBER($E330),$E330,IF($O330="","",IF(N(INDEX('Menu Pricing'!$O$7:$O$56,$O330))&gt;0,INDEX('Menu Pricing'!$O$7:$O$56,$O330),""))))</f>
        <v/>
      </c>
      <c r="I330" s="71">
        <f>IF($N330&lt;&gt;"OK","",$D330*$H330)</f>
        <v/>
      </c>
      <c r="J330" s="71">
        <f>IF($N330&lt;&gt;"OK","",N(INDEX('Menu Pricing'!$F$7:$F$56,$O330))+N(INDEX('Menu Pricing'!$G$7:$G$56,$O330))+N(INDEX('Menu Pricing'!$J$7:$J$56,$O330)))</f>
        <v/>
      </c>
      <c r="K330" s="71">
        <f>IF($N330&lt;&gt;"OK","",$D330*$J330)</f>
        <v/>
      </c>
      <c r="L330" s="71">
        <f>IF($N330&lt;&gt;"OK","",$I330-$K330)</f>
        <v/>
      </c>
      <c r="M330" s="71">
        <f>IF($N330&lt;&gt;"OK","",$D330*N(INDEX('Menu Pricing'!$F$7:$F$56,$O330)))</f>
        <v/>
      </c>
      <c r="N330" s="80">
        <f>IF(AND($B330="",$C330="",$D330=""),"",IF(NOT(ISNUMBER($B330)),"Enter a valid date",IF($C330="","Pick a menu item",IF($O330="","Item not on Menu Pricing",IF(N($D330)&lt;=0,"Qty must be above 0",IF($H330="","No price on menu","OK"))))))</f>
        <v/>
      </c>
      <c r="O330" s="13">
        <f>IF($C330="","",IFERROR(MATCH($C330,'Menu Pricing'!$B$7:$B$56,0),""))</f>
        <v/>
      </c>
    </row>
    <row r="331" ht="17" customHeight="1">
      <c r="B331" s="66" t="n"/>
      <c r="C331" s="60" t="n"/>
      <c r="D331" s="86" t="n"/>
      <c r="E331" s="63" t="n"/>
      <c r="F331" s="60" t="n"/>
      <c r="G331" s="60" t="n"/>
      <c r="H331" s="71">
        <f>IF(OR($C331="",$D331=""),"",IF(ISNUMBER($E331),$E331,IF($O331="","",IF(N(INDEX('Menu Pricing'!$O$7:$O$56,$O331))&gt;0,INDEX('Menu Pricing'!$O$7:$O$56,$O331),""))))</f>
        <v/>
      </c>
      <c r="I331" s="71">
        <f>IF($N331&lt;&gt;"OK","",$D331*$H331)</f>
        <v/>
      </c>
      <c r="J331" s="71">
        <f>IF($N331&lt;&gt;"OK","",N(INDEX('Menu Pricing'!$F$7:$F$56,$O331))+N(INDEX('Menu Pricing'!$G$7:$G$56,$O331))+N(INDEX('Menu Pricing'!$J$7:$J$56,$O331)))</f>
        <v/>
      </c>
      <c r="K331" s="71">
        <f>IF($N331&lt;&gt;"OK","",$D331*$J331)</f>
        <v/>
      </c>
      <c r="L331" s="71">
        <f>IF($N331&lt;&gt;"OK","",$I331-$K331)</f>
        <v/>
      </c>
      <c r="M331" s="71">
        <f>IF($N331&lt;&gt;"OK","",$D331*N(INDEX('Menu Pricing'!$F$7:$F$56,$O331)))</f>
        <v/>
      </c>
      <c r="N331" s="80">
        <f>IF(AND($B331="",$C331="",$D331=""),"",IF(NOT(ISNUMBER($B331)),"Enter a valid date",IF($C331="","Pick a menu item",IF($O331="","Item not on Menu Pricing",IF(N($D331)&lt;=0,"Qty must be above 0",IF($H331="","No price on menu","OK"))))))</f>
        <v/>
      </c>
      <c r="O331" s="13">
        <f>IF($C331="","",IFERROR(MATCH($C331,'Menu Pricing'!$B$7:$B$56,0),""))</f>
        <v/>
      </c>
    </row>
    <row r="332" ht="17" customHeight="1">
      <c r="B332" s="66" t="n"/>
      <c r="C332" s="60" t="n"/>
      <c r="D332" s="86" t="n"/>
      <c r="E332" s="63" t="n"/>
      <c r="F332" s="60" t="n"/>
      <c r="G332" s="60" t="n"/>
      <c r="H332" s="71">
        <f>IF(OR($C332="",$D332=""),"",IF(ISNUMBER($E332),$E332,IF($O332="","",IF(N(INDEX('Menu Pricing'!$O$7:$O$56,$O332))&gt;0,INDEX('Menu Pricing'!$O$7:$O$56,$O332),""))))</f>
        <v/>
      </c>
      <c r="I332" s="71">
        <f>IF($N332&lt;&gt;"OK","",$D332*$H332)</f>
        <v/>
      </c>
      <c r="J332" s="71">
        <f>IF($N332&lt;&gt;"OK","",N(INDEX('Menu Pricing'!$F$7:$F$56,$O332))+N(INDEX('Menu Pricing'!$G$7:$G$56,$O332))+N(INDEX('Menu Pricing'!$J$7:$J$56,$O332)))</f>
        <v/>
      </c>
      <c r="K332" s="71">
        <f>IF($N332&lt;&gt;"OK","",$D332*$J332)</f>
        <v/>
      </c>
      <c r="L332" s="71">
        <f>IF($N332&lt;&gt;"OK","",$I332-$K332)</f>
        <v/>
      </c>
      <c r="M332" s="71">
        <f>IF($N332&lt;&gt;"OK","",$D332*N(INDEX('Menu Pricing'!$F$7:$F$56,$O332)))</f>
        <v/>
      </c>
      <c r="N332" s="80">
        <f>IF(AND($B332="",$C332="",$D332=""),"",IF(NOT(ISNUMBER($B332)),"Enter a valid date",IF($C332="","Pick a menu item",IF($O332="","Item not on Menu Pricing",IF(N($D332)&lt;=0,"Qty must be above 0",IF($H332="","No price on menu","OK"))))))</f>
        <v/>
      </c>
      <c r="O332" s="13">
        <f>IF($C332="","",IFERROR(MATCH($C332,'Menu Pricing'!$B$7:$B$56,0),""))</f>
        <v/>
      </c>
    </row>
    <row r="333" ht="17" customHeight="1">
      <c r="B333" s="66" t="n"/>
      <c r="C333" s="60" t="n"/>
      <c r="D333" s="86" t="n"/>
      <c r="E333" s="63" t="n"/>
      <c r="F333" s="60" t="n"/>
      <c r="G333" s="60" t="n"/>
      <c r="H333" s="71">
        <f>IF(OR($C333="",$D333=""),"",IF(ISNUMBER($E333),$E333,IF($O333="","",IF(N(INDEX('Menu Pricing'!$O$7:$O$56,$O333))&gt;0,INDEX('Menu Pricing'!$O$7:$O$56,$O333),""))))</f>
        <v/>
      </c>
      <c r="I333" s="71">
        <f>IF($N333&lt;&gt;"OK","",$D333*$H333)</f>
        <v/>
      </c>
      <c r="J333" s="71">
        <f>IF($N333&lt;&gt;"OK","",N(INDEX('Menu Pricing'!$F$7:$F$56,$O333))+N(INDEX('Menu Pricing'!$G$7:$G$56,$O333))+N(INDEX('Menu Pricing'!$J$7:$J$56,$O333)))</f>
        <v/>
      </c>
      <c r="K333" s="71">
        <f>IF($N333&lt;&gt;"OK","",$D333*$J333)</f>
        <v/>
      </c>
      <c r="L333" s="71">
        <f>IF($N333&lt;&gt;"OK","",$I333-$K333)</f>
        <v/>
      </c>
      <c r="M333" s="71">
        <f>IF($N333&lt;&gt;"OK","",$D333*N(INDEX('Menu Pricing'!$F$7:$F$56,$O333)))</f>
        <v/>
      </c>
      <c r="N333" s="80">
        <f>IF(AND($B333="",$C333="",$D333=""),"",IF(NOT(ISNUMBER($B333)),"Enter a valid date",IF($C333="","Pick a menu item",IF($O333="","Item not on Menu Pricing",IF(N($D333)&lt;=0,"Qty must be above 0",IF($H333="","No price on menu","OK"))))))</f>
        <v/>
      </c>
      <c r="O333" s="13">
        <f>IF($C333="","",IFERROR(MATCH($C333,'Menu Pricing'!$B$7:$B$56,0),""))</f>
        <v/>
      </c>
    </row>
    <row r="334" ht="17" customHeight="1">
      <c r="B334" s="66" t="n"/>
      <c r="C334" s="60" t="n"/>
      <c r="D334" s="86" t="n"/>
      <c r="E334" s="63" t="n"/>
      <c r="F334" s="60" t="n"/>
      <c r="G334" s="60" t="n"/>
      <c r="H334" s="71">
        <f>IF(OR($C334="",$D334=""),"",IF(ISNUMBER($E334),$E334,IF($O334="","",IF(N(INDEX('Menu Pricing'!$O$7:$O$56,$O334))&gt;0,INDEX('Menu Pricing'!$O$7:$O$56,$O334),""))))</f>
        <v/>
      </c>
      <c r="I334" s="71">
        <f>IF($N334&lt;&gt;"OK","",$D334*$H334)</f>
        <v/>
      </c>
      <c r="J334" s="71">
        <f>IF($N334&lt;&gt;"OK","",N(INDEX('Menu Pricing'!$F$7:$F$56,$O334))+N(INDEX('Menu Pricing'!$G$7:$G$56,$O334))+N(INDEX('Menu Pricing'!$J$7:$J$56,$O334)))</f>
        <v/>
      </c>
      <c r="K334" s="71">
        <f>IF($N334&lt;&gt;"OK","",$D334*$J334)</f>
        <v/>
      </c>
      <c r="L334" s="71">
        <f>IF($N334&lt;&gt;"OK","",$I334-$K334)</f>
        <v/>
      </c>
      <c r="M334" s="71">
        <f>IF($N334&lt;&gt;"OK","",$D334*N(INDEX('Menu Pricing'!$F$7:$F$56,$O334)))</f>
        <v/>
      </c>
      <c r="N334" s="80">
        <f>IF(AND($B334="",$C334="",$D334=""),"",IF(NOT(ISNUMBER($B334)),"Enter a valid date",IF($C334="","Pick a menu item",IF($O334="","Item not on Menu Pricing",IF(N($D334)&lt;=0,"Qty must be above 0",IF($H334="","No price on menu","OK"))))))</f>
        <v/>
      </c>
      <c r="O334" s="13">
        <f>IF($C334="","",IFERROR(MATCH($C334,'Menu Pricing'!$B$7:$B$56,0),""))</f>
        <v/>
      </c>
    </row>
    <row r="335" ht="17" customHeight="1">
      <c r="B335" s="66" t="n"/>
      <c r="C335" s="60" t="n"/>
      <c r="D335" s="86" t="n"/>
      <c r="E335" s="63" t="n"/>
      <c r="F335" s="60" t="n"/>
      <c r="G335" s="60" t="n"/>
      <c r="H335" s="71">
        <f>IF(OR($C335="",$D335=""),"",IF(ISNUMBER($E335),$E335,IF($O335="","",IF(N(INDEX('Menu Pricing'!$O$7:$O$56,$O335))&gt;0,INDEX('Menu Pricing'!$O$7:$O$56,$O335),""))))</f>
        <v/>
      </c>
      <c r="I335" s="71">
        <f>IF($N335&lt;&gt;"OK","",$D335*$H335)</f>
        <v/>
      </c>
      <c r="J335" s="71">
        <f>IF($N335&lt;&gt;"OK","",N(INDEX('Menu Pricing'!$F$7:$F$56,$O335))+N(INDEX('Menu Pricing'!$G$7:$G$56,$O335))+N(INDEX('Menu Pricing'!$J$7:$J$56,$O335)))</f>
        <v/>
      </c>
      <c r="K335" s="71">
        <f>IF($N335&lt;&gt;"OK","",$D335*$J335)</f>
        <v/>
      </c>
      <c r="L335" s="71">
        <f>IF($N335&lt;&gt;"OK","",$I335-$K335)</f>
        <v/>
      </c>
      <c r="M335" s="71">
        <f>IF($N335&lt;&gt;"OK","",$D335*N(INDEX('Menu Pricing'!$F$7:$F$56,$O335)))</f>
        <v/>
      </c>
      <c r="N335" s="80">
        <f>IF(AND($B335="",$C335="",$D335=""),"",IF(NOT(ISNUMBER($B335)),"Enter a valid date",IF($C335="","Pick a menu item",IF($O335="","Item not on Menu Pricing",IF(N($D335)&lt;=0,"Qty must be above 0",IF($H335="","No price on menu","OK"))))))</f>
        <v/>
      </c>
      <c r="O335" s="13">
        <f>IF($C335="","",IFERROR(MATCH($C335,'Menu Pricing'!$B$7:$B$56,0),""))</f>
        <v/>
      </c>
    </row>
    <row r="336" ht="17" customHeight="1">
      <c r="B336" s="66" t="n"/>
      <c r="C336" s="60" t="n"/>
      <c r="D336" s="86" t="n"/>
      <c r="E336" s="63" t="n"/>
      <c r="F336" s="60" t="n"/>
      <c r="G336" s="60" t="n"/>
      <c r="H336" s="71">
        <f>IF(OR($C336="",$D336=""),"",IF(ISNUMBER($E336),$E336,IF($O336="","",IF(N(INDEX('Menu Pricing'!$O$7:$O$56,$O336))&gt;0,INDEX('Menu Pricing'!$O$7:$O$56,$O336),""))))</f>
        <v/>
      </c>
      <c r="I336" s="71">
        <f>IF($N336&lt;&gt;"OK","",$D336*$H336)</f>
        <v/>
      </c>
      <c r="J336" s="71">
        <f>IF($N336&lt;&gt;"OK","",N(INDEX('Menu Pricing'!$F$7:$F$56,$O336))+N(INDEX('Menu Pricing'!$G$7:$G$56,$O336))+N(INDEX('Menu Pricing'!$J$7:$J$56,$O336)))</f>
        <v/>
      </c>
      <c r="K336" s="71">
        <f>IF($N336&lt;&gt;"OK","",$D336*$J336)</f>
        <v/>
      </c>
      <c r="L336" s="71">
        <f>IF($N336&lt;&gt;"OK","",$I336-$K336)</f>
        <v/>
      </c>
      <c r="M336" s="71">
        <f>IF($N336&lt;&gt;"OK","",$D336*N(INDEX('Menu Pricing'!$F$7:$F$56,$O336)))</f>
        <v/>
      </c>
      <c r="N336" s="80">
        <f>IF(AND($B336="",$C336="",$D336=""),"",IF(NOT(ISNUMBER($B336)),"Enter a valid date",IF($C336="","Pick a menu item",IF($O336="","Item not on Menu Pricing",IF(N($D336)&lt;=0,"Qty must be above 0",IF($H336="","No price on menu","OK"))))))</f>
        <v/>
      </c>
      <c r="O336" s="13">
        <f>IF($C336="","",IFERROR(MATCH($C336,'Menu Pricing'!$B$7:$B$56,0),""))</f>
        <v/>
      </c>
    </row>
    <row r="337" ht="17" customHeight="1">
      <c r="B337" s="66" t="n"/>
      <c r="C337" s="60" t="n"/>
      <c r="D337" s="86" t="n"/>
      <c r="E337" s="63" t="n"/>
      <c r="F337" s="60" t="n"/>
      <c r="G337" s="60" t="n"/>
      <c r="H337" s="71">
        <f>IF(OR($C337="",$D337=""),"",IF(ISNUMBER($E337),$E337,IF($O337="","",IF(N(INDEX('Menu Pricing'!$O$7:$O$56,$O337))&gt;0,INDEX('Menu Pricing'!$O$7:$O$56,$O337),""))))</f>
        <v/>
      </c>
      <c r="I337" s="71">
        <f>IF($N337&lt;&gt;"OK","",$D337*$H337)</f>
        <v/>
      </c>
      <c r="J337" s="71">
        <f>IF($N337&lt;&gt;"OK","",N(INDEX('Menu Pricing'!$F$7:$F$56,$O337))+N(INDEX('Menu Pricing'!$G$7:$G$56,$O337))+N(INDEX('Menu Pricing'!$J$7:$J$56,$O337)))</f>
        <v/>
      </c>
      <c r="K337" s="71">
        <f>IF($N337&lt;&gt;"OK","",$D337*$J337)</f>
        <v/>
      </c>
      <c r="L337" s="71">
        <f>IF($N337&lt;&gt;"OK","",$I337-$K337)</f>
        <v/>
      </c>
      <c r="M337" s="71">
        <f>IF($N337&lt;&gt;"OK","",$D337*N(INDEX('Menu Pricing'!$F$7:$F$56,$O337)))</f>
        <v/>
      </c>
      <c r="N337" s="80">
        <f>IF(AND($B337="",$C337="",$D337=""),"",IF(NOT(ISNUMBER($B337)),"Enter a valid date",IF($C337="","Pick a menu item",IF($O337="","Item not on Menu Pricing",IF(N($D337)&lt;=0,"Qty must be above 0",IF($H337="","No price on menu","OK"))))))</f>
        <v/>
      </c>
      <c r="O337" s="13">
        <f>IF($C337="","",IFERROR(MATCH($C337,'Menu Pricing'!$B$7:$B$56,0),""))</f>
        <v/>
      </c>
    </row>
    <row r="338" ht="17" customHeight="1">
      <c r="B338" s="66" t="n"/>
      <c r="C338" s="60" t="n"/>
      <c r="D338" s="86" t="n"/>
      <c r="E338" s="63" t="n"/>
      <c r="F338" s="60" t="n"/>
      <c r="G338" s="60" t="n"/>
      <c r="H338" s="71">
        <f>IF(OR($C338="",$D338=""),"",IF(ISNUMBER($E338),$E338,IF($O338="","",IF(N(INDEX('Menu Pricing'!$O$7:$O$56,$O338))&gt;0,INDEX('Menu Pricing'!$O$7:$O$56,$O338),""))))</f>
        <v/>
      </c>
      <c r="I338" s="71">
        <f>IF($N338&lt;&gt;"OK","",$D338*$H338)</f>
        <v/>
      </c>
      <c r="J338" s="71">
        <f>IF($N338&lt;&gt;"OK","",N(INDEX('Menu Pricing'!$F$7:$F$56,$O338))+N(INDEX('Menu Pricing'!$G$7:$G$56,$O338))+N(INDEX('Menu Pricing'!$J$7:$J$56,$O338)))</f>
        <v/>
      </c>
      <c r="K338" s="71">
        <f>IF($N338&lt;&gt;"OK","",$D338*$J338)</f>
        <v/>
      </c>
      <c r="L338" s="71">
        <f>IF($N338&lt;&gt;"OK","",$I338-$K338)</f>
        <v/>
      </c>
      <c r="M338" s="71">
        <f>IF($N338&lt;&gt;"OK","",$D338*N(INDEX('Menu Pricing'!$F$7:$F$56,$O338)))</f>
        <v/>
      </c>
      <c r="N338" s="80">
        <f>IF(AND($B338="",$C338="",$D338=""),"",IF(NOT(ISNUMBER($B338)),"Enter a valid date",IF($C338="","Pick a menu item",IF($O338="","Item not on Menu Pricing",IF(N($D338)&lt;=0,"Qty must be above 0",IF($H338="","No price on menu","OK"))))))</f>
        <v/>
      </c>
      <c r="O338" s="13">
        <f>IF($C338="","",IFERROR(MATCH($C338,'Menu Pricing'!$B$7:$B$56,0),""))</f>
        <v/>
      </c>
    </row>
    <row r="339" ht="17" customHeight="1">
      <c r="B339" s="66" t="n"/>
      <c r="C339" s="60" t="n"/>
      <c r="D339" s="86" t="n"/>
      <c r="E339" s="63" t="n"/>
      <c r="F339" s="60" t="n"/>
      <c r="G339" s="60" t="n"/>
      <c r="H339" s="71">
        <f>IF(OR($C339="",$D339=""),"",IF(ISNUMBER($E339),$E339,IF($O339="","",IF(N(INDEX('Menu Pricing'!$O$7:$O$56,$O339))&gt;0,INDEX('Menu Pricing'!$O$7:$O$56,$O339),""))))</f>
        <v/>
      </c>
      <c r="I339" s="71">
        <f>IF($N339&lt;&gt;"OK","",$D339*$H339)</f>
        <v/>
      </c>
      <c r="J339" s="71">
        <f>IF($N339&lt;&gt;"OK","",N(INDEX('Menu Pricing'!$F$7:$F$56,$O339))+N(INDEX('Menu Pricing'!$G$7:$G$56,$O339))+N(INDEX('Menu Pricing'!$J$7:$J$56,$O339)))</f>
        <v/>
      </c>
      <c r="K339" s="71">
        <f>IF($N339&lt;&gt;"OK","",$D339*$J339)</f>
        <v/>
      </c>
      <c r="L339" s="71">
        <f>IF($N339&lt;&gt;"OK","",$I339-$K339)</f>
        <v/>
      </c>
      <c r="M339" s="71">
        <f>IF($N339&lt;&gt;"OK","",$D339*N(INDEX('Menu Pricing'!$F$7:$F$56,$O339)))</f>
        <v/>
      </c>
      <c r="N339" s="80">
        <f>IF(AND($B339="",$C339="",$D339=""),"",IF(NOT(ISNUMBER($B339)),"Enter a valid date",IF($C339="","Pick a menu item",IF($O339="","Item not on Menu Pricing",IF(N($D339)&lt;=0,"Qty must be above 0",IF($H339="","No price on menu","OK"))))))</f>
        <v/>
      </c>
      <c r="O339" s="13">
        <f>IF($C339="","",IFERROR(MATCH($C339,'Menu Pricing'!$B$7:$B$56,0),""))</f>
        <v/>
      </c>
    </row>
    <row r="340" ht="17" customHeight="1">
      <c r="B340" s="66" t="n"/>
      <c r="C340" s="60" t="n"/>
      <c r="D340" s="86" t="n"/>
      <c r="E340" s="63" t="n"/>
      <c r="F340" s="60" t="n"/>
      <c r="G340" s="60" t="n"/>
      <c r="H340" s="71">
        <f>IF(OR($C340="",$D340=""),"",IF(ISNUMBER($E340),$E340,IF($O340="","",IF(N(INDEX('Menu Pricing'!$O$7:$O$56,$O340))&gt;0,INDEX('Menu Pricing'!$O$7:$O$56,$O340),""))))</f>
        <v/>
      </c>
      <c r="I340" s="71">
        <f>IF($N340&lt;&gt;"OK","",$D340*$H340)</f>
        <v/>
      </c>
      <c r="J340" s="71">
        <f>IF($N340&lt;&gt;"OK","",N(INDEX('Menu Pricing'!$F$7:$F$56,$O340))+N(INDEX('Menu Pricing'!$G$7:$G$56,$O340))+N(INDEX('Menu Pricing'!$J$7:$J$56,$O340)))</f>
        <v/>
      </c>
      <c r="K340" s="71">
        <f>IF($N340&lt;&gt;"OK","",$D340*$J340)</f>
        <v/>
      </c>
      <c r="L340" s="71">
        <f>IF($N340&lt;&gt;"OK","",$I340-$K340)</f>
        <v/>
      </c>
      <c r="M340" s="71">
        <f>IF($N340&lt;&gt;"OK","",$D340*N(INDEX('Menu Pricing'!$F$7:$F$56,$O340)))</f>
        <v/>
      </c>
      <c r="N340" s="80">
        <f>IF(AND($B340="",$C340="",$D340=""),"",IF(NOT(ISNUMBER($B340)),"Enter a valid date",IF($C340="","Pick a menu item",IF($O340="","Item not on Menu Pricing",IF(N($D340)&lt;=0,"Qty must be above 0",IF($H340="","No price on menu","OK"))))))</f>
        <v/>
      </c>
      <c r="O340" s="13">
        <f>IF($C340="","",IFERROR(MATCH($C340,'Menu Pricing'!$B$7:$B$56,0),""))</f>
        <v/>
      </c>
    </row>
    <row r="341" ht="17" customHeight="1">
      <c r="B341" s="66" t="n"/>
      <c r="C341" s="60" t="n"/>
      <c r="D341" s="86" t="n"/>
      <c r="E341" s="63" t="n"/>
      <c r="F341" s="60" t="n"/>
      <c r="G341" s="60" t="n"/>
      <c r="H341" s="71">
        <f>IF(OR($C341="",$D341=""),"",IF(ISNUMBER($E341),$E341,IF($O341="","",IF(N(INDEX('Menu Pricing'!$O$7:$O$56,$O341))&gt;0,INDEX('Menu Pricing'!$O$7:$O$56,$O341),""))))</f>
        <v/>
      </c>
      <c r="I341" s="71">
        <f>IF($N341&lt;&gt;"OK","",$D341*$H341)</f>
        <v/>
      </c>
      <c r="J341" s="71">
        <f>IF($N341&lt;&gt;"OK","",N(INDEX('Menu Pricing'!$F$7:$F$56,$O341))+N(INDEX('Menu Pricing'!$G$7:$G$56,$O341))+N(INDEX('Menu Pricing'!$J$7:$J$56,$O341)))</f>
        <v/>
      </c>
      <c r="K341" s="71">
        <f>IF($N341&lt;&gt;"OK","",$D341*$J341)</f>
        <v/>
      </c>
      <c r="L341" s="71">
        <f>IF($N341&lt;&gt;"OK","",$I341-$K341)</f>
        <v/>
      </c>
      <c r="M341" s="71">
        <f>IF($N341&lt;&gt;"OK","",$D341*N(INDEX('Menu Pricing'!$F$7:$F$56,$O341)))</f>
        <v/>
      </c>
      <c r="N341" s="80">
        <f>IF(AND($B341="",$C341="",$D341=""),"",IF(NOT(ISNUMBER($B341)),"Enter a valid date",IF($C341="","Pick a menu item",IF($O341="","Item not on Menu Pricing",IF(N($D341)&lt;=0,"Qty must be above 0",IF($H341="","No price on menu","OK"))))))</f>
        <v/>
      </c>
      <c r="O341" s="13">
        <f>IF($C341="","",IFERROR(MATCH($C341,'Menu Pricing'!$B$7:$B$56,0),""))</f>
        <v/>
      </c>
    </row>
    <row r="342" ht="17" customHeight="1">
      <c r="B342" s="66" t="n"/>
      <c r="C342" s="60" t="n"/>
      <c r="D342" s="86" t="n"/>
      <c r="E342" s="63" t="n"/>
      <c r="F342" s="60" t="n"/>
      <c r="G342" s="60" t="n"/>
      <c r="H342" s="71">
        <f>IF(OR($C342="",$D342=""),"",IF(ISNUMBER($E342),$E342,IF($O342="","",IF(N(INDEX('Menu Pricing'!$O$7:$O$56,$O342))&gt;0,INDEX('Menu Pricing'!$O$7:$O$56,$O342),""))))</f>
        <v/>
      </c>
      <c r="I342" s="71">
        <f>IF($N342&lt;&gt;"OK","",$D342*$H342)</f>
        <v/>
      </c>
      <c r="J342" s="71">
        <f>IF($N342&lt;&gt;"OK","",N(INDEX('Menu Pricing'!$F$7:$F$56,$O342))+N(INDEX('Menu Pricing'!$G$7:$G$56,$O342))+N(INDEX('Menu Pricing'!$J$7:$J$56,$O342)))</f>
        <v/>
      </c>
      <c r="K342" s="71">
        <f>IF($N342&lt;&gt;"OK","",$D342*$J342)</f>
        <v/>
      </c>
      <c r="L342" s="71">
        <f>IF($N342&lt;&gt;"OK","",$I342-$K342)</f>
        <v/>
      </c>
      <c r="M342" s="71">
        <f>IF($N342&lt;&gt;"OK","",$D342*N(INDEX('Menu Pricing'!$F$7:$F$56,$O342)))</f>
        <v/>
      </c>
      <c r="N342" s="80">
        <f>IF(AND($B342="",$C342="",$D342=""),"",IF(NOT(ISNUMBER($B342)),"Enter a valid date",IF($C342="","Pick a menu item",IF($O342="","Item not on Menu Pricing",IF(N($D342)&lt;=0,"Qty must be above 0",IF($H342="","No price on menu","OK"))))))</f>
        <v/>
      </c>
      <c r="O342" s="13">
        <f>IF($C342="","",IFERROR(MATCH($C342,'Menu Pricing'!$B$7:$B$56,0),""))</f>
        <v/>
      </c>
    </row>
    <row r="343" ht="17" customHeight="1">
      <c r="B343" s="66" t="n"/>
      <c r="C343" s="60" t="n"/>
      <c r="D343" s="86" t="n"/>
      <c r="E343" s="63" t="n"/>
      <c r="F343" s="60" t="n"/>
      <c r="G343" s="60" t="n"/>
      <c r="H343" s="71">
        <f>IF(OR($C343="",$D343=""),"",IF(ISNUMBER($E343),$E343,IF($O343="","",IF(N(INDEX('Menu Pricing'!$O$7:$O$56,$O343))&gt;0,INDEX('Menu Pricing'!$O$7:$O$56,$O343),""))))</f>
        <v/>
      </c>
      <c r="I343" s="71">
        <f>IF($N343&lt;&gt;"OK","",$D343*$H343)</f>
        <v/>
      </c>
      <c r="J343" s="71">
        <f>IF($N343&lt;&gt;"OK","",N(INDEX('Menu Pricing'!$F$7:$F$56,$O343))+N(INDEX('Menu Pricing'!$G$7:$G$56,$O343))+N(INDEX('Menu Pricing'!$J$7:$J$56,$O343)))</f>
        <v/>
      </c>
      <c r="K343" s="71">
        <f>IF($N343&lt;&gt;"OK","",$D343*$J343)</f>
        <v/>
      </c>
      <c r="L343" s="71">
        <f>IF($N343&lt;&gt;"OK","",$I343-$K343)</f>
        <v/>
      </c>
      <c r="M343" s="71">
        <f>IF($N343&lt;&gt;"OK","",$D343*N(INDEX('Menu Pricing'!$F$7:$F$56,$O343)))</f>
        <v/>
      </c>
      <c r="N343" s="80">
        <f>IF(AND($B343="",$C343="",$D343=""),"",IF(NOT(ISNUMBER($B343)),"Enter a valid date",IF($C343="","Pick a menu item",IF($O343="","Item not on Menu Pricing",IF(N($D343)&lt;=0,"Qty must be above 0",IF($H343="","No price on menu","OK"))))))</f>
        <v/>
      </c>
      <c r="O343" s="13">
        <f>IF($C343="","",IFERROR(MATCH($C343,'Menu Pricing'!$B$7:$B$56,0),""))</f>
        <v/>
      </c>
    </row>
    <row r="344" ht="17" customHeight="1">
      <c r="B344" s="66" t="n"/>
      <c r="C344" s="60" t="n"/>
      <c r="D344" s="86" t="n"/>
      <c r="E344" s="63" t="n"/>
      <c r="F344" s="60" t="n"/>
      <c r="G344" s="60" t="n"/>
      <c r="H344" s="71">
        <f>IF(OR($C344="",$D344=""),"",IF(ISNUMBER($E344),$E344,IF($O344="","",IF(N(INDEX('Menu Pricing'!$O$7:$O$56,$O344))&gt;0,INDEX('Menu Pricing'!$O$7:$O$56,$O344),""))))</f>
        <v/>
      </c>
      <c r="I344" s="71">
        <f>IF($N344&lt;&gt;"OK","",$D344*$H344)</f>
        <v/>
      </c>
      <c r="J344" s="71">
        <f>IF($N344&lt;&gt;"OK","",N(INDEX('Menu Pricing'!$F$7:$F$56,$O344))+N(INDEX('Menu Pricing'!$G$7:$G$56,$O344))+N(INDEX('Menu Pricing'!$J$7:$J$56,$O344)))</f>
        <v/>
      </c>
      <c r="K344" s="71">
        <f>IF($N344&lt;&gt;"OK","",$D344*$J344)</f>
        <v/>
      </c>
      <c r="L344" s="71">
        <f>IF($N344&lt;&gt;"OK","",$I344-$K344)</f>
        <v/>
      </c>
      <c r="M344" s="71">
        <f>IF($N344&lt;&gt;"OK","",$D344*N(INDEX('Menu Pricing'!$F$7:$F$56,$O344)))</f>
        <v/>
      </c>
      <c r="N344" s="80">
        <f>IF(AND($B344="",$C344="",$D344=""),"",IF(NOT(ISNUMBER($B344)),"Enter a valid date",IF($C344="","Pick a menu item",IF($O344="","Item not on Menu Pricing",IF(N($D344)&lt;=0,"Qty must be above 0",IF($H344="","No price on menu","OK"))))))</f>
        <v/>
      </c>
      <c r="O344" s="13">
        <f>IF($C344="","",IFERROR(MATCH($C344,'Menu Pricing'!$B$7:$B$56,0),""))</f>
        <v/>
      </c>
    </row>
    <row r="345" ht="17" customHeight="1">
      <c r="B345" s="66" t="n"/>
      <c r="C345" s="60" t="n"/>
      <c r="D345" s="86" t="n"/>
      <c r="E345" s="63" t="n"/>
      <c r="F345" s="60" t="n"/>
      <c r="G345" s="60" t="n"/>
      <c r="H345" s="71">
        <f>IF(OR($C345="",$D345=""),"",IF(ISNUMBER($E345),$E345,IF($O345="","",IF(N(INDEX('Menu Pricing'!$O$7:$O$56,$O345))&gt;0,INDEX('Menu Pricing'!$O$7:$O$56,$O345),""))))</f>
        <v/>
      </c>
      <c r="I345" s="71">
        <f>IF($N345&lt;&gt;"OK","",$D345*$H345)</f>
        <v/>
      </c>
      <c r="J345" s="71">
        <f>IF($N345&lt;&gt;"OK","",N(INDEX('Menu Pricing'!$F$7:$F$56,$O345))+N(INDEX('Menu Pricing'!$G$7:$G$56,$O345))+N(INDEX('Menu Pricing'!$J$7:$J$56,$O345)))</f>
        <v/>
      </c>
      <c r="K345" s="71">
        <f>IF($N345&lt;&gt;"OK","",$D345*$J345)</f>
        <v/>
      </c>
      <c r="L345" s="71">
        <f>IF($N345&lt;&gt;"OK","",$I345-$K345)</f>
        <v/>
      </c>
      <c r="M345" s="71">
        <f>IF($N345&lt;&gt;"OK","",$D345*N(INDEX('Menu Pricing'!$F$7:$F$56,$O345)))</f>
        <v/>
      </c>
      <c r="N345" s="80">
        <f>IF(AND($B345="",$C345="",$D345=""),"",IF(NOT(ISNUMBER($B345)),"Enter a valid date",IF($C345="","Pick a menu item",IF($O345="","Item not on Menu Pricing",IF(N($D345)&lt;=0,"Qty must be above 0",IF($H345="","No price on menu","OK"))))))</f>
        <v/>
      </c>
      <c r="O345" s="13">
        <f>IF($C345="","",IFERROR(MATCH($C345,'Menu Pricing'!$B$7:$B$56,0),""))</f>
        <v/>
      </c>
    </row>
    <row r="346" ht="17" customHeight="1">
      <c r="B346" s="66" t="n"/>
      <c r="C346" s="60" t="n"/>
      <c r="D346" s="86" t="n"/>
      <c r="E346" s="63" t="n"/>
      <c r="F346" s="60" t="n"/>
      <c r="G346" s="60" t="n"/>
      <c r="H346" s="71">
        <f>IF(OR($C346="",$D346=""),"",IF(ISNUMBER($E346),$E346,IF($O346="","",IF(N(INDEX('Menu Pricing'!$O$7:$O$56,$O346))&gt;0,INDEX('Menu Pricing'!$O$7:$O$56,$O346),""))))</f>
        <v/>
      </c>
      <c r="I346" s="71">
        <f>IF($N346&lt;&gt;"OK","",$D346*$H346)</f>
        <v/>
      </c>
      <c r="J346" s="71">
        <f>IF($N346&lt;&gt;"OK","",N(INDEX('Menu Pricing'!$F$7:$F$56,$O346))+N(INDEX('Menu Pricing'!$G$7:$G$56,$O346))+N(INDEX('Menu Pricing'!$J$7:$J$56,$O346)))</f>
        <v/>
      </c>
      <c r="K346" s="71">
        <f>IF($N346&lt;&gt;"OK","",$D346*$J346)</f>
        <v/>
      </c>
      <c r="L346" s="71">
        <f>IF($N346&lt;&gt;"OK","",$I346-$K346)</f>
        <v/>
      </c>
      <c r="M346" s="71">
        <f>IF($N346&lt;&gt;"OK","",$D346*N(INDEX('Menu Pricing'!$F$7:$F$56,$O346)))</f>
        <v/>
      </c>
      <c r="N346" s="80">
        <f>IF(AND($B346="",$C346="",$D346=""),"",IF(NOT(ISNUMBER($B346)),"Enter a valid date",IF($C346="","Pick a menu item",IF($O346="","Item not on Menu Pricing",IF(N($D346)&lt;=0,"Qty must be above 0",IF($H346="","No price on menu","OK"))))))</f>
        <v/>
      </c>
      <c r="O346" s="13">
        <f>IF($C346="","",IFERROR(MATCH($C346,'Menu Pricing'!$B$7:$B$56,0),""))</f>
        <v/>
      </c>
    </row>
    <row r="347" ht="17" customHeight="1">
      <c r="B347" s="66" t="n"/>
      <c r="C347" s="60" t="n"/>
      <c r="D347" s="86" t="n"/>
      <c r="E347" s="63" t="n"/>
      <c r="F347" s="60" t="n"/>
      <c r="G347" s="60" t="n"/>
      <c r="H347" s="71">
        <f>IF(OR($C347="",$D347=""),"",IF(ISNUMBER($E347),$E347,IF($O347="","",IF(N(INDEX('Menu Pricing'!$O$7:$O$56,$O347))&gt;0,INDEX('Menu Pricing'!$O$7:$O$56,$O347),""))))</f>
        <v/>
      </c>
      <c r="I347" s="71">
        <f>IF($N347&lt;&gt;"OK","",$D347*$H347)</f>
        <v/>
      </c>
      <c r="J347" s="71">
        <f>IF($N347&lt;&gt;"OK","",N(INDEX('Menu Pricing'!$F$7:$F$56,$O347))+N(INDEX('Menu Pricing'!$G$7:$G$56,$O347))+N(INDEX('Menu Pricing'!$J$7:$J$56,$O347)))</f>
        <v/>
      </c>
      <c r="K347" s="71">
        <f>IF($N347&lt;&gt;"OK","",$D347*$J347)</f>
        <v/>
      </c>
      <c r="L347" s="71">
        <f>IF($N347&lt;&gt;"OK","",$I347-$K347)</f>
        <v/>
      </c>
      <c r="M347" s="71">
        <f>IF($N347&lt;&gt;"OK","",$D347*N(INDEX('Menu Pricing'!$F$7:$F$56,$O347)))</f>
        <v/>
      </c>
      <c r="N347" s="80">
        <f>IF(AND($B347="",$C347="",$D347=""),"",IF(NOT(ISNUMBER($B347)),"Enter a valid date",IF($C347="","Pick a menu item",IF($O347="","Item not on Menu Pricing",IF(N($D347)&lt;=0,"Qty must be above 0",IF($H347="","No price on menu","OK"))))))</f>
        <v/>
      </c>
      <c r="O347" s="13">
        <f>IF($C347="","",IFERROR(MATCH($C347,'Menu Pricing'!$B$7:$B$56,0),""))</f>
        <v/>
      </c>
    </row>
    <row r="348" ht="17" customHeight="1">
      <c r="B348" s="66" t="n"/>
      <c r="C348" s="60" t="n"/>
      <c r="D348" s="86" t="n"/>
      <c r="E348" s="63" t="n"/>
      <c r="F348" s="60" t="n"/>
      <c r="G348" s="60" t="n"/>
      <c r="H348" s="71">
        <f>IF(OR($C348="",$D348=""),"",IF(ISNUMBER($E348),$E348,IF($O348="","",IF(N(INDEX('Menu Pricing'!$O$7:$O$56,$O348))&gt;0,INDEX('Menu Pricing'!$O$7:$O$56,$O348),""))))</f>
        <v/>
      </c>
      <c r="I348" s="71">
        <f>IF($N348&lt;&gt;"OK","",$D348*$H348)</f>
        <v/>
      </c>
      <c r="J348" s="71">
        <f>IF($N348&lt;&gt;"OK","",N(INDEX('Menu Pricing'!$F$7:$F$56,$O348))+N(INDEX('Menu Pricing'!$G$7:$G$56,$O348))+N(INDEX('Menu Pricing'!$J$7:$J$56,$O348)))</f>
        <v/>
      </c>
      <c r="K348" s="71">
        <f>IF($N348&lt;&gt;"OK","",$D348*$J348)</f>
        <v/>
      </c>
      <c r="L348" s="71">
        <f>IF($N348&lt;&gt;"OK","",$I348-$K348)</f>
        <v/>
      </c>
      <c r="M348" s="71">
        <f>IF($N348&lt;&gt;"OK","",$D348*N(INDEX('Menu Pricing'!$F$7:$F$56,$O348)))</f>
        <v/>
      </c>
      <c r="N348" s="80">
        <f>IF(AND($B348="",$C348="",$D348=""),"",IF(NOT(ISNUMBER($B348)),"Enter a valid date",IF($C348="","Pick a menu item",IF($O348="","Item not on Menu Pricing",IF(N($D348)&lt;=0,"Qty must be above 0",IF($H348="","No price on menu","OK"))))))</f>
        <v/>
      </c>
      <c r="O348" s="13">
        <f>IF($C348="","",IFERROR(MATCH($C348,'Menu Pricing'!$B$7:$B$56,0),""))</f>
        <v/>
      </c>
    </row>
    <row r="349" ht="17" customHeight="1">
      <c r="B349" s="66" t="n"/>
      <c r="C349" s="60" t="n"/>
      <c r="D349" s="86" t="n"/>
      <c r="E349" s="63" t="n"/>
      <c r="F349" s="60" t="n"/>
      <c r="G349" s="60" t="n"/>
      <c r="H349" s="71">
        <f>IF(OR($C349="",$D349=""),"",IF(ISNUMBER($E349),$E349,IF($O349="","",IF(N(INDEX('Menu Pricing'!$O$7:$O$56,$O349))&gt;0,INDEX('Menu Pricing'!$O$7:$O$56,$O349),""))))</f>
        <v/>
      </c>
      <c r="I349" s="71">
        <f>IF($N349&lt;&gt;"OK","",$D349*$H349)</f>
        <v/>
      </c>
      <c r="J349" s="71">
        <f>IF($N349&lt;&gt;"OK","",N(INDEX('Menu Pricing'!$F$7:$F$56,$O349))+N(INDEX('Menu Pricing'!$G$7:$G$56,$O349))+N(INDEX('Menu Pricing'!$J$7:$J$56,$O349)))</f>
        <v/>
      </c>
      <c r="K349" s="71">
        <f>IF($N349&lt;&gt;"OK","",$D349*$J349)</f>
        <v/>
      </c>
      <c r="L349" s="71">
        <f>IF($N349&lt;&gt;"OK","",$I349-$K349)</f>
        <v/>
      </c>
      <c r="M349" s="71">
        <f>IF($N349&lt;&gt;"OK","",$D349*N(INDEX('Menu Pricing'!$F$7:$F$56,$O349)))</f>
        <v/>
      </c>
      <c r="N349" s="80">
        <f>IF(AND($B349="",$C349="",$D349=""),"",IF(NOT(ISNUMBER($B349)),"Enter a valid date",IF($C349="","Pick a menu item",IF($O349="","Item not on Menu Pricing",IF(N($D349)&lt;=0,"Qty must be above 0",IF($H349="","No price on menu","OK"))))))</f>
        <v/>
      </c>
      <c r="O349" s="13">
        <f>IF($C349="","",IFERROR(MATCH($C349,'Menu Pricing'!$B$7:$B$56,0),""))</f>
        <v/>
      </c>
    </row>
    <row r="350" ht="17" customHeight="1">
      <c r="B350" s="66" t="n"/>
      <c r="C350" s="60" t="n"/>
      <c r="D350" s="86" t="n"/>
      <c r="E350" s="63" t="n"/>
      <c r="F350" s="60" t="n"/>
      <c r="G350" s="60" t="n"/>
      <c r="H350" s="71">
        <f>IF(OR($C350="",$D350=""),"",IF(ISNUMBER($E350),$E350,IF($O350="","",IF(N(INDEX('Menu Pricing'!$O$7:$O$56,$O350))&gt;0,INDEX('Menu Pricing'!$O$7:$O$56,$O350),""))))</f>
        <v/>
      </c>
      <c r="I350" s="71">
        <f>IF($N350&lt;&gt;"OK","",$D350*$H350)</f>
        <v/>
      </c>
      <c r="J350" s="71">
        <f>IF($N350&lt;&gt;"OK","",N(INDEX('Menu Pricing'!$F$7:$F$56,$O350))+N(INDEX('Menu Pricing'!$G$7:$G$56,$O350))+N(INDEX('Menu Pricing'!$J$7:$J$56,$O350)))</f>
        <v/>
      </c>
      <c r="K350" s="71">
        <f>IF($N350&lt;&gt;"OK","",$D350*$J350)</f>
        <v/>
      </c>
      <c r="L350" s="71">
        <f>IF($N350&lt;&gt;"OK","",$I350-$K350)</f>
        <v/>
      </c>
      <c r="M350" s="71">
        <f>IF($N350&lt;&gt;"OK","",$D350*N(INDEX('Menu Pricing'!$F$7:$F$56,$O350)))</f>
        <v/>
      </c>
      <c r="N350" s="80">
        <f>IF(AND($B350="",$C350="",$D350=""),"",IF(NOT(ISNUMBER($B350)),"Enter a valid date",IF($C350="","Pick a menu item",IF($O350="","Item not on Menu Pricing",IF(N($D350)&lt;=0,"Qty must be above 0",IF($H350="","No price on menu","OK"))))))</f>
        <v/>
      </c>
      <c r="O350" s="13">
        <f>IF($C350="","",IFERROR(MATCH($C350,'Menu Pricing'!$B$7:$B$56,0),""))</f>
        <v/>
      </c>
    </row>
    <row r="351" ht="17" customHeight="1">
      <c r="B351" s="66" t="n"/>
      <c r="C351" s="60" t="n"/>
      <c r="D351" s="86" t="n"/>
      <c r="E351" s="63" t="n"/>
      <c r="F351" s="60" t="n"/>
      <c r="G351" s="60" t="n"/>
      <c r="H351" s="71">
        <f>IF(OR($C351="",$D351=""),"",IF(ISNUMBER($E351),$E351,IF($O351="","",IF(N(INDEX('Menu Pricing'!$O$7:$O$56,$O351))&gt;0,INDEX('Menu Pricing'!$O$7:$O$56,$O351),""))))</f>
        <v/>
      </c>
      <c r="I351" s="71">
        <f>IF($N351&lt;&gt;"OK","",$D351*$H351)</f>
        <v/>
      </c>
      <c r="J351" s="71">
        <f>IF($N351&lt;&gt;"OK","",N(INDEX('Menu Pricing'!$F$7:$F$56,$O351))+N(INDEX('Menu Pricing'!$G$7:$G$56,$O351))+N(INDEX('Menu Pricing'!$J$7:$J$56,$O351)))</f>
        <v/>
      </c>
      <c r="K351" s="71">
        <f>IF($N351&lt;&gt;"OK","",$D351*$J351)</f>
        <v/>
      </c>
      <c r="L351" s="71">
        <f>IF($N351&lt;&gt;"OK","",$I351-$K351)</f>
        <v/>
      </c>
      <c r="M351" s="71">
        <f>IF($N351&lt;&gt;"OK","",$D351*N(INDEX('Menu Pricing'!$F$7:$F$56,$O351)))</f>
        <v/>
      </c>
      <c r="N351" s="80">
        <f>IF(AND($B351="",$C351="",$D351=""),"",IF(NOT(ISNUMBER($B351)),"Enter a valid date",IF($C351="","Pick a menu item",IF($O351="","Item not on Menu Pricing",IF(N($D351)&lt;=0,"Qty must be above 0",IF($H351="","No price on menu","OK"))))))</f>
        <v/>
      </c>
      <c r="O351" s="13">
        <f>IF($C351="","",IFERROR(MATCH($C351,'Menu Pricing'!$B$7:$B$56,0),""))</f>
        <v/>
      </c>
    </row>
    <row r="352" ht="17" customHeight="1">
      <c r="B352" s="66" t="n"/>
      <c r="C352" s="60" t="n"/>
      <c r="D352" s="86" t="n"/>
      <c r="E352" s="63" t="n"/>
      <c r="F352" s="60" t="n"/>
      <c r="G352" s="60" t="n"/>
      <c r="H352" s="71">
        <f>IF(OR($C352="",$D352=""),"",IF(ISNUMBER($E352),$E352,IF($O352="","",IF(N(INDEX('Menu Pricing'!$O$7:$O$56,$O352))&gt;0,INDEX('Menu Pricing'!$O$7:$O$56,$O352),""))))</f>
        <v/>
      </c>
      <c r="I352" s="71">
        <f>IF($N352&lt;&gt;"OK","",$D352*$H352)</f>
        <v/>
      </c>
      <c r="J352" s="71">
        <f>IF($N352&lt;&gt;"OK","",N(INDEX('Menu Pricing'!$F$7:$F$56,$O352))+N(INDEX('Menu Pricing'!$G$7:$G$56,$O352))+N(INDEX('Menu Pricing'!$J$7:$J$56,$O352)))</f>
        <v/>
      </c>
      <c r="K352" s="71">
        <f>IF($N352&lt;&gt;"OK","",$D352*$J352)</f>
        <v/>
      </c>
      <c r="L352" s="71">
        <f>IF($N352&lt;&gt;"OK","",$I352-$K352)</f>
        <v/>
      </c>
      <c r="M352" s="71">
        <f>IF($N352&lt;&gt;"OK","",$D352*N(INDEX('Menu Pricing'!$F$7:$F$56,$O352)))</f>
        <v/>
      </c>
      <c r="N352" s="80">
        <f>IF(AND($B352="",$C352="",$D352=""),"",IF(NOT(ISNUMBER($B352)),"Enter a valid date",IF($C352="","Pick a menu item",IF($O352="","Item not on Menu Pricing",IF(N($D352)&lt;=0,"Qty must be above 0",IF($H352="","No price on menu","OK"))))))</f>
        <v/>
      </c>
      <c r="O352" s="13">
        <f>IF($C352="","",IFERROR(MATCH($C352,'Menu Pricing'!$B$7:$B$56,0),""))</f>
        <v/>
      </c>
    </row>
    <row r="353" ht="17" customHeight="1">
      <c r="B353" s="66" t="n"/>
      <c r="C353" s="60" t="n"/>
      <c r="D353" s="86" t="n"/>
      <c r="E353" s="63" t="n"/>
      <c r="F353" s="60" t="n"/>
      <c r="G353" s="60" t="n"/>
      <c r="H353" s="71">
        <f>IF(OR($C353="",$D353=""),"",IF(ISNUMBER($E353),$E353,IF($O353="","",IF(N(INDEX('Menu Pricing'!$O$7:$O$56,$O353))&gt;0,INDEX('Menu Pricing'!$O$7:$O$56,$O353),""))))</f>
        <v/>
      </c>
      <c r="I353" s="71">
        <f>IF($N353&lt;&gt;"OK","",$D353*$H353)</f>
        <v/>
      </c>
      <c r="J353" s="71">
        <f>IF($N353&lt;&gt;"OK","",N(INDEX('Menu Pricing'!$F$7:$F$56,$O353))+N(INDEX('Menu Pricing'!$G$7:$G$56,$O353))+N(INDEX('Menu Pricing'!$J$7:$J$56,$O353)))</f>
        <v/>
      </c>
      <c r="K353" s="71">
        <f>IF($N353&lt;&gt;"OK","",$D353*$J353)</f>
        <v/>
      </c>
      <c r="L353" s="71">
        <f>IF($N353&lt;&gt;"OK","",$I353-$K353)</f>
        <v/>
      </c>
      <c r="M353" s="71">
        <f>IF($N353&lt;&gt;"OK","",$D353*N(INDEX('Menu Pricing'!$F$7:$F$56,$O353)))</f>
        <v/>
      </c>
      <c r="N353" s="80">
        <f>IF(AND($B353="",$C353="",$D353=""),"",IF(NOT(ISNUMBER($B353)),"Enter a valid date",IF($C353="","Pick a menu item",IF($O353="","Item not on Menu Pricing",IF(N($D353)&lt;=0,"Qty must be above 0",IF($H353="","No price on menu","OK"))))))</f>
        <v/>
      </c>
      <c r="O353" s="13">
        <f>IF($C353="","",IFERROR(MATCH($C353,'Menu Pricing'!$B$7:$B$56,0),""))</f>
        <v/>
      </c>
    </row>
    <row r="354" ht="17" customHeight="1">
      <c r="B354" s="66" t="n"/>
      <c r="C354" s="60" t="n"/>
      <c r="D354" s="86" t="n"/>
      <c r="E354" s="63" t="n"/>
      <c r="F354" s="60" t="n"/>
      <c r="G354" s="60" t="n"/>
      <c r="H354" s="71">
        <f>IF(OR($C354="",$D354=""),"",IF(ISNUMBER($E354),$E354,IF($O354="","",IF(N(INDEX('Menu Pricing'!$O$7:$O$56,$O354))&gt;0,INDEX('Menu Pricing'!$O$7:$O$56,$O354),""))))</f>
        <v/>
      </c>
      <c r="I354" s="71">
        <f>IF($N354&lt;&gt;"OK","",$D354*$H354)</f>
        <v/>
      </c>
      <c r="J354" s="71">
        <f>IF($N354&lt;&gt;"OK","",N(INDEX('Menu Pricing'!$F$7:$F$56,$O354))+N(INDEX('Menu Pricing'!$G$7:$G$56,$O354))+N(INDEX('Menu Pricing'!$J$7:$J$56,$O354)))</f>
        <v/>
      </c>
      <c r="K354" s="71">
        <f>IF($N354&lt;&gt;"OK","",$D354*$J354)</f>
        <v/>
      </c>
      <c r="L354" s="71">
        <f>IF($N354&lt;&gt;"OK","",$I354-$K354)</f>
        <v/>
      </c>
      <c r="M354" s="71">
        <f>IF($N354&lt;&gt;"OK","",$D354*N(INDEX('Menu Pricing'!$F$7:$F$56,$O354)))</f>
        <v/>
      </c>
      <c r="N354" s="80">
        <f>IF(AND($B354="",$C354="",$D354=""),"",IF(NOT(ISNUMBER($B354)),"Enter a valid date",IF($C354="","Pick a menu item",IF($O354="","Item not on Menu Pricing",IF(N($D354)&lt;=0,"Qty must be above 0",IF($H354="","No price on menu","OK"))))))</f>
        <v/>
      </c>
      <c r="O354" s="13">
        <f>IF($C354="","",IFERROR(MATCH($C354,'Menu Pricing'!$B$7:$B$56,0),""))</f>
        <v/>
      </c>
    </row>
    <row r="355" ht="17" customHeight="1">
      <c r="B355" s="66" t="n"/>
      <c r="C355" s="60" t="n"/>
      <c r="D355" s="86" t="n"/>
      <c r="E355" s="63" t="n"/>
      <c r="F355" s="60" t="n"/>
      <c r="G355" s="60" t="n"/>
      <c r="H355" s="71">
        <f>IF(OR($C355="",$D355=""),"",IF(ISNUMBER($E355),$E355,IF($O355="","",IF(N(INDEX('Menu Pricing'!$O$7:$O$56,$O355))&gt;0,INDEX('Menu Pricing'!$O$7:$O$56,$O355),""))))</f>
        <v/>
      </c>
      <c r="I355" s="71">
        <f>IF($N355&lt;&gt;"OK","",$D355*$H355)</f>
        <v/>
      </c>
      <c r="J355" s="71">
        <f>IF($N355&lt;&gt;"OK","",N(INDEX('Menu Pricing'!$F$7:$F$56,$O355))+N(INDEX('Menu Pricing'!$G$7:$G$56,$O355))+N(INDEX('Menu Pricing'!$J$7:$J$56,$O355)))</f>
        <v/>
      </c>
      <c r="K355" s="71">
        <f>IF($N355&lt;&gt;"OK","",$D355*$J355)</f>
        <v/>
      </c>
      <c r="L355" s="71">
        <f>IF($N355&lt;&gt;"OK","",$I355-$K355)</f>
        <v/>
      </c>
      <c r="M355" s="71">
        <f>IF($N355&lt;&gt;"OK","",$D355*N(INDEX('Menu Pricing'!$F$7:$F$56,$O355)))</f>
        <v/>
      </c>
      <c r="N355" s="80">
        <f>IF(AND($B355="",$C355="",$D355=""),"",IF(NOT(ISNUMBER($B355)),"Enter a valid date",IF($C355="","Pick a menu item",IF($O355="","Item not on Menu Pricing",IF(N($D355)&lt;=0,"Qty must be above 0",IF($H355="","No price on menu","OK"))))))</f>
        <v/>
      </c>
      <c r="O355" s="13">
        <f>IF($C355="","",IFERROR(MATCH($C355,'Menu Pricing'!$B$7:$B$56,0),""))</f>
        <v/>
      </c>
    </row>
    <row r="356" ht="17" customHeight="1">
      <c r="B356" s="66" t="n"/>
      <c r="C356" s="60" t="n"/>
      <c r="D356" s="86" t="n"/>
      <c r="E356" s="63" t="n"/>
      <c r="F356" s="60" t="n"/>
      <c r="G356" s="60" t="n"/>
      <c r="H356" s="71">
        <f>IF(OR($C356="",$D356=""),"",IF(ISNUMBER($E356),$E356,IF($O356="","",IF(N(INDEX('Menu Pricing'!$O$7:$O$56,$O356))&gt;0,INDEX('Menu Pricing'!$O$7:$O$56,$O356),""))))</f>
        <v/>
      </c>
      <c r="I356" s="71">
        <f>IF($N356&lt;&gt;"OK","",$D356*$H356)</f>
        <v/>
      </c>
      <c r="J356" s="71">
        <f>IF($N356&lt;&gt;"OK","",N(INDEX('Menu Pricing'!$F$7:$F$56,$O356))+N(INDEX('Menu Pricing'!$G$7:$G$56,$O356))+N(INDEX('Menu Pricing'!$J$7:$J$56,$O356)))</f>
        <v/>
      </c>
      <c r="K356" s="71">
        <f>IF($N356&lt;&gt;"OK","",$D356*$J356)</f>
        <v/>
      </c>
      <c r="L356" s="71">
        <f>IF($N356&lt;&gt;"OK","",$I356-$K356)</f>
        <v/>
      </c>
      <c r="M356" s="71">
        <f>IF($N356&lt;&gt;"OK","",$D356*N(INDEX('Menu Pricing'!$F$7:$F$56,$O356)))</f>
        <v/>
      </c>
      <c r="N356" s="80">
        <f>IF(AND($B356="",$C356="",$D356=""),"",IF(NOT(ISNUMBER($B356)),"Enter a valid date",IF($C356="","Pick a menu item",IF($O356="","Item not on Menu Pricing",IF(N($D356)&lt;=0,"Qty must be above 0",IF($H356="","No price on menu","OK"))))))</f>
        <v/>
      </c>
      <c r="O356" s="13">
        <f>IF($C356="","",IFERROR(MATCH($C356,'Menu Pricing'!$B$7:$B$56,0),""))</f>
        <v/>
      </c>
    </row>
    <row r="357" ht="17" customHeight="1">
      <c r="B357" s="66" t="n"/>
      <c r="C357" s="60" t="n"/>
      <c r="D357" s="86" t="n"/>
      <c r="E357" s="63" t="n"/>
      <c r="F357" s="60" t="n"/>
      <c r="G357" s="60" t="n"/>
      <c r="H357" s="71">
        <f>IF(OR($C357="",$D357=""),"",IF(ISNUMBER($E357),$E357,IF($O357="","",IF(N(INDEX('Menu Pricing'!$O$7:$O$56,$O357))&gt;0,INDEX('Menu Pricing'!$O$7:$O$56,$O357),""))))</f>
        <v/>
      </c>
      <c r="I357" s="71">
        <f>IF($N357&lt;&gt;"OK","",$D357*$H357)</f>
        <v/>
      </c>
      <c r="J357" s="71">
        <f>IF($N357&lt;&gt;"OK","",N(INDEX('Menu Pricing'!$F$7:$F$56,$O357))+N(INDEX('Menu Pricing'!$G$7:$G$56,$O357))+N(INDEX('Menu Pricing'!$J$7:$J$56,$O357)))</f>
        <v/>
      </c>
      <c r="K357" s="71">
        <f>IF($N357&lt;&gt;"OK","",$D357*$J357)</f>
        <v/>
      </c>
      <c r="L357" s="71">
        <f>IF($N357&lt;&gt;"OK","",$I357-$K357)</f>
        <v/>
      </c>
      <c r="M357" s="71">
        <f>IF($N357&lt;&gt;"OK","",$D357*N(INDEX('Menu Pricing'!$F$7:$F$56,$O357)))</f>
        <v/>
      </c>
      <c r="N357" s="80">
        <f>IF(AND($B357="",$C357="",$D357=""),"",IF(NOT(ISNUMBER($B357)),"Enter a valid date",IF($C357="","Pick a menu item",IF($O357="","Item not on Menu Pricing",IF(N($D357)&lt;=0,"Qty must be above 0",IF($H357="","No price on menu","OK"))))))</f>
        <v/>
      </c>
      <c r="O357" s="13">
        <f>IF($C357="","",IFERROR(MATCH($C357,'Menu Pricing'!$B$7:$B$56,0),""))</f>
        <v/>
      </c>
    </row>
    <row r="358" ht="17" customHeight="1">
      <c r="B358" s="66" t="n"/>
      <c r="C358" s="60" t="n"/>
      <c r="D358" s="86" t="n"/>
      <c r="E358" s="63" t="n"/>
      <c r="F358" s="60" t="n"/>
      <c r="G358" s="60" t="n"/>
      <c r="H358" s="71">
        <f>IF(OR($C358="",$D358=""),"",IF(ISNUMBER($E358),$E358,IF($O358="","",IF(N(INDEX('Menu Pricing'!$O$7:$O$56,$O358))&gt;0,INDEX('Menu Pricing'!$O$7:$O$56,$O358),""))))</f>
        <v/>
      </c>
      <c r="I358" s="71">
        <f>IF($N358&lt;&gt;"OK","",$D358*$H358)</f>
        <v/>
      </c>
      <c r="J358" s="71">
        <f>IF($N358&lt;&gt;"OK","",N(INDEX('Menu Pricing'!$F$7:$F$56,$O358))+N(INDEX('Menu Pricing'!$G$7:$G$56,$O358))+N(INDEX('Menu Pricing'!$J$7:$J$56,$O358)))</f>
        <v/>
      </c>
      <c r="K358" s="71">
        <f>IF($N358&lt;&gt;"OK","",$D358*$J358)</f>
        <v/>
      </c>
      <c r="L358" s="71">
        <f>IF($N358&lt;&gt;"OK","",$I358-$K358)</f>
        <v/>
      </c>
      <c r="M358" s="71">
        <f>IF($N358&lt;&gt;"OK","",$D358*N(INDEX('Menu Pricing'!$F$7:$F$56,$O358)))</f>
        <v/>
      </c>
      <c r="N358" s="80">
        <f>IF(AND($B358="",$C358="",$D358=""),"",IF(NOT(ISNUMBER($B358)),"Enter a valid date",IF($C358="","Pick a menu item",IF($O358="","Item not on Menu Pricing",IF(N($D358)&lt;=0,"Qty must be above 0",IF($H358="","No price on menu","OK"))))))</f>
        <v/>
      </c>
      <c r="O358" s="13">
        <f>IF($C358="","",IFERROR(MATCH($C358,'Menu Pricing'!$B$7:$B$56,0),""))</f>
        <v/>
      </c>
    </row>
    <row r="359" ht="17" customHeight="1">
      <c r="B359" s="66" t="n"/>
      <c r="C359" s="60" t="n"/>
      <c r="D359" s="86" t="n"/>
      <c r="E359" s="63" t="n"/>
      <c r="F359" s="60" t="n"/>
      <c r="G359" s="60" t="n"/>
      <c r="H359" s="71">
        <f>IF(OR($C359="",$D359=""),"",IF(ISNUMBER($E359),$E359,IF($O359="","",IF(N(INDEX('Menu Pricing'!$O$7:$O$56,$O359))&gt;0,INDEX('Menu Pricing'!$O$7:$O$56,$O359),""))))</f>
        <v/>
      </c>
      <c r="I359" s="71">
        <f>IF($N359&lt;&gt;"OK","",$D359*$H359)</f>
        <v/>
      </c>
      <c r="J359" s="71">
        <f>IF($N359&lt;&gt;"OK","",N(INDEX('Menu Pricing'!$F$7:$F$56,$O359))+N(INDEX('Menu Pricing'!$G$7:$G$56,$O359))+N(INDEX('Menu Pricing'!$J$7:$J$56,$O359)))</f>
        <v/>
      </c>
      <c r="K359" s="71">
        <f>IF($N359&lt;&gt;"OK","",$D359*$J359)</f>
        <v/>
      </c>
      <c r="L359" s="71">
        <f>IF($N359&lt;&gt;"OK","",$I359-$K359)</f>
        <v/>
      </c>
      <c r="M359" s="71">
        <f>IF($N359&lt;&gt;"OK","",$D359*N(INDEX('Menu Pricing'!$F$7:$F$56,$O359)))</f>
        <v/>
      </c>
      <c r="N359" s="80">
        <f>IF(AND($B359="",$C359="",$D359=""),"",IF(NOT(ISNUMBER($B359)),"Enter a valid date",IF($C359="","Pick a menu item",IF($O359="","Item not on Menu Pricing",IF(N($D359)&lt;=0,"Qty must be above 0",IF($H359="","No price on menu","OK"))))))</f>
        <v/>
      </c>
      <c r="O359" s="13">
        <f>IF($C359="","",IFERROR(MATCH($C359,'Menu Pricing'!$B$7:$B$56,0),""))</f>
        <v/>
      </c>
    </row>
    <row r="360" ht="17" customHeight="1">
      <c r="B360" s="66" t="n"/>
      <c r="C360" s="60" t="n"/>
      <c r="D360" s="86" t="n"/>
      <c r="E360" s="63" t="n"/>
      <c r="F360" s="60" t="n"/>
      <c r="G360" s="60" t="n"/>
      <c r="H360" s="71">
        <f>IF(OR($C360="",$D360=""),"",IF(ISNUMBER($E360),$E360,IF($O360="","",IF(N(INDEX('Menu Pricing'!$O$7:$O$56,$O360))&gt;0,INDEX('Menu Pricing'!$O$7:$O$56,$O360),""))))</f>
        <v/>
      </c>
      <c r="I360" s="71">
        <f>IF($N360&lt;&gt;"OK","",$D360*$H360)</f>
        <v/>
      </c>
      <c r="J360" s="71">
        <f>IF($N360&lt;&gt;"OK","",N(INDEX('Menu Pricing'!$F$7:$F$56,$O360))+N(INDEX('Menu Pricing'!$G$7:$G$56,$O360))+N(INDEX('Menu Pricing'!$J$7:$J$56,$O360)))</f>
        <v/>
      </c>
      <c r="K360" s="71">
        <f>IF($N360&lt;&gt;"OK","",$D360*$J360)</f>
        <v/>
      </c>
      <c r="L360" s="71">
        <f>IF($N360&lt;&gt;"OK","",$I360-$K360)</f>
        <v/>
      </c>
      <c r="M360" s="71">
        <f>IF($N360&lt;&gt;"OK","",$D360*N(INDEX('Menu Pricing'!$F$7:$F$56,$O360)))</f>
        <v/>
      </c>
      <c r="N360" s="80">
        <f>IF(AND($B360="",$C360="",$D360=""),"",IF(NOT(ISNUMBER($B360)),"Enter a valid date",IF($C360="","Pick a menu item",IF($O360="","Item not on Menu Pricing",IF(N($D360)&lt;=0,"Qty must be above 0",IF($H360="","No price on menu","OK"))))))</f>
        <v/>
      </c>
      <c r="O360" s="13">
        <f>IF($C360="","",IFERROR(MATCH($C360,'Menu Pricing'!$B$7:$B$56,0),""))</f>
        <v/>
      </c>
    </row>
    <row r="361" ht="17" customHeight="1">
      <c r="B361" s="66" t="n"/>
      <c r="C361" s="60" t="n"/>
      <c r="D361" s="86" t="n"/>
      <c r="E361" s="63" t="n"/>
      <c r="F361" s="60" t="n"/>
      <c r="G361" s="60" t="n"/>
      <c r="H361" s="71">
        <f>IF(OR($C361="",$D361=""),"",IF(ISNUMBER($E361),$E361,IF($O361="","",IF(N(INDEX('Menu Pricing'!$O$7:$O$56,$O361))&gt;0,INDEX('Menu Pricing'!$O$7:$O$56,$O361),""))))</f>
        <v/>
      </c>
      <c r="I361" s="71">
        <f>IF($N361&lt;&gt;"OK","",$D361*$H361)</f>
        <v/>
      </c>
      <c r="J361" s="71">
        <f>IF($N361&lt;&gt;"OK","",N(INDEX('Menu Pricing'!$F$7:$F$56,$O361))+N(INDEX('Menu Pricing'!$G$7:$G$56,$O361))+N(INDEX('Menu Pricing'!$J$7:$J$56,$O361)))</f>
        <v/>
      </c>
      <c r="K361" s="71">
        <f>IF($N361&lt;&gt;"OK","",$D361*$J361)</f>
        <v/>
      </c>
      <c r="L361" s="71">
        <f>IF($N361&lt;&gt;"OK","",$I361-$K361)</f>
        <v/>
      </c>
      <c r="M361" s="71">
        <f>IF($N361&lt;&gt;"OK","",$D361*N(INDEX('Menu Pricing'!$F$7:$F$56,$O361)))</f>
        <v/>
      </c>
      <c r="N361" s="80">
        <f>IF(AND($B361="",$C361="",$D361=""),"",IF(NOT(ISNUMBER($B361)),"Enter a valid date",IF($C361="","Pick a menu item",IF($O361="","Item not on Menu Pricing",IF(N($D361)&lt;=0,"Qty must be above 0",IF($H361="","No price on menu","OK"))))))</f>
        <v/>
      </c>
      <c r="O361" s="13">
        <f>IF($C361="","",IFERROR(MATCH($C361,'Menu Pricing'!$B$7:$B$56,0),""))</f>
        <v/>
      </c>
    </row>
    <row r="362" ht="17" customHeight="1">
      <c r="B362" s="66" t="n"/>
      <c r="C362" s="60" t="n"/>
      <c r="D362" s="86" t="n"/>
      <c r="E362" s="63" t="n"/>
      <c r="F362" s="60" t="n"/>
      <c r="G362" s="60" t="n"/>
      <c r="H362" s="71">
        <f>IF(OR($C362="",$D362=""),"",IF(ISNUMBER($E362),$E362,IF($O362="","",IF(N(INDEX('Menu Pricing'!$O$7:$O$56,$O362))&gt;0,INDEX('Menu Pricing'!$O$7:$O$56,$O362),""))))</f>
        <v/>
      </c>
      <c r="I362" s="71">
        <f>IF($N362&lt;&gt;"OK","",$D362*$H362)</f>
        <v/>
      </c>
      <c r="J362" s="71">
        <f>IF($N362&lt;&gt;"OK","",N(INDEX('Menu Pricing'!$F$7:$F$56,$O362))+N(INDEX('Menu Pricing'!$G$7:$G$56,$O362))+N(INDEX('Menu Pricing'!$J$7:$J$56,$O362)))</f>
        <v/>
      </c>
      <c r="K362" s="71">
        <f>IF($N362&lt;&gt;"OK","",$D362*$J362)</f>
        <v/>
      </c>
      <c r="L362" s="71">
        <f>IF($N362&lt;&gt;"OK","",$I362-$K362)</f>
        <v/>
      </c>
      <c r="M362" s="71">
        <f>IF($N362&lt;&gt;"OK","",$D362*N(INDEX('Menu Pricing'!$F$7:$F$56,$O362)))</f>
        <v/>
      </c>
      <c r="N362" s="80">
        <f>IF(AND($B362="",$C362="",$D362=""),"",IF(NOT(ISNUMBER($B362)),"Enter a valid date",IF($C362="","Pick a menu item",IF($O362="","Item not on Menu Pricing",IF(N($D362)&lt;=0,"Qty must be above 0",IF($H362="","No price on menu","OK"))))))</f>
        <v/>
      </c>
      <c r="O362" s="13">
        <f>IF($C362="","",IFERROR(MATCH($C362,'Menu Pricing'!$B$7:$B$56,0),""))</f>
        <v/>
      </c>
    </row>
    <row r="363" ht="17" customHeight="1">
      <c r="B363" s="66" t="n"/>
      <c r="C363" s="60" t="n"/>
      <c r="D363" s="86" t="n"/>
      <c r="E363" s="63" t="n"/>
      <c r="F363" s="60" t="n"/>
      <c r="G363" s="60" t="n"/>
      <c r="H363" s="71">
        <f>IF(OR($C363="",$D363=""),"",IF(ISNUMBER($E363),$E363,IF($O363="","",IF(N(INDEX('Menu Pricing'!$O$7:$O$56,$O363))&gt;0,INDEX('Menu Pricing'!$O$7:$O$56,$O363),""))))</f>
        <v/>
      </c>
      <c r="I363" s="71">
        <f>IF($N363&lt;&gt;"OK","",$D363*$H363)</f>
        <v/>
      </c>
      <c r="J363" s="71">
        <f>IF($N363&lt;&gt;"OK","",N(INDEX('Menu Pricing'!$F$7:$F$56,$O363))+N(INDEX('Menu Pricing'!$G$7:$G$56,$O363))+N(INDEX('Menu Pricing'!$J$7:$J$56,$O363)))</f>
        <v/>
      </c>
      <c r="K363" s="71">
        <f>IF($N363&lt;&gt;"OK","",$D363*$J363)</f>
        <v/>
      </c>
      <c r="L363" s="71">
        <f>IF($N363&lt;&gt;"OK","",$I363-$K363)</f>
        <v/>
      </c>
      <c r="M363" s="71">
        <f>IF($N363&lt;&gt;"OK","",$D363*N(INDEX('Menu Pricing'!$F$7:$F$56,$O363)))</f>
        <v/>
      </c>
      <c r="N363" s="80">
        <f>IF(AND($B363="",$C363="",$D363=""),"",IF(NOT(ISNUMBER($B363)),"Enter a valid date",IF($C363="","Pick a menu item",IF($O363="","Item not on Menu Pricing",IF(N($D363)&lt;=0,"Qty must be above 0",IF($H363="","No price on menu","OK"))))))</f>
        <v/>
      </c>
      <c r="O363" s="13">
        <f>IF($C363="","",IFERROR(MATCH($C363,'Menu Pricing'!$B$7:$B$56,0),""))</f>
        <v/>
      </c>
    </row>
    <row r="364" ht="17" customHeight="1">
      <c r="B364" s="66" t="n"/>
      <c r="C364" s="60" t="n"/>
      <c r="D364" s="86" t="n"/>
      <c r="E364" s="63" t="n"/>
      <c r="F364" s="60" t="n"/>
      <c r="G364" s="60" t="n"/>
      <c r="H364" s="71">
        <f>IF(OR($C364="",$D364=""),"",IF(ISNUMBER($E364),$E364,IF($O364="","",IF(N(INDEX('Menu Pricing'!$O$7:$O$56,$O364))&gt;0,INDEX('Menu Pricing'!$O$7:$O$56,$O364),""))))</f>
        <v/>
      </c>
      <c r="I364" s="71">
        <f>IF($N364&lt;&gt;"OK","",$D364*$H364)</f>
        <v/>
      </c>
      <c r="J364" s="71">
        <f>IF($N364&lt;&gt;"OK","",N(INDEX('Menu Pricing'!$F$7:$F$56,$O364))+N(INDEX('Menu Pricing'!$G$7:$G$56,$O364))+N(INDEX('Menu Pricing'!$J$7:$J$56,$O364)))</f>
        <v/>
      </c>
      <c r="K364" s="71">
        <f>IF($N364&lt;&gt;"OK","",$D364*$J364)</f>
        <v/>
      </c>
      <c r="L364" s="71">
        <f>IF($N364&lt;&gt;"OK","",$I364-$K364)</f>
        <v/>
      </c>
      <c r="M364" s="71">
        <f>IF($N364&lt;&gt;"OK","",$D364*N(INDEX('Menu Pricing'!$F$7:$F$56,$O364)))</f>
        <v/>
      </c>
      <c r="N364" s="80">
        <f>IF(AND($B364="",$C364="",$D364=""),"",IF(NOT(ISNUMBER($B364)),"Enter a valid date",IF($C364="","Pick a menu item",IF($O364="","Item not on Menu Pricing",IF(N($D364)&lt;=0,"Qty must be above 0",IF($H364="","No price on menu","OK"))))))</f>
        <v/>
      </c>
      <c r="O364" s="13">
        <f>IF($C364="","",IFERROR(MATCH($C364,'Menu Pricing'!$B$7:$B$56,0),""))</f>
        <v/>
      </c>
    </row>
    <row r="365" ht="17" customHeight="1">
      <c r="B365" s="66" t="n"/>
      <c r="C365" s="60" t="n"/>
      <c r="D365" s="86" t="n"/>
      <c r="E365" s="63" t="n"/>
      <c r="F365" s="60" t="n"/>
      <c r="G365" s="60" t="n"/>
      <c r="H365" s="71">
        <f>IF(OR($C365="",$D365=""),"",IF(ISNUMBER($E365),$E365,IF($O365="","",IF(N(INDEX('Menu Pricing'!$O$7:$O$56,$O365))&gt;0,INDEX('Menu Pricing'!$O$7:$O$56,$O365),""))))</f>
        <v/>
      </c>
      <c r="I365" s="71">
        <f>IF($N365&lt;&gt;"OK","",$D365*$H365)</f>
        <v/>
      </c>
      <c r="J365" s="71">
        <f>IF($N365&lt;&gt;"OK","",N(INDEX('Menu Pricing'!$F$7:$F$56,$O365))+N(INDEX('Menu Pricing'!$G$7:$G$56,$O365))+N(INDEX('Menu Pricing'!$J$7:$J$56,$O365)))</f>
        <v/>
      </c>
      <c r="K365" s="71">
        <f>IF($N365&lt;&gt;"OK","",$D365*$J365)</f>
        <v/>
      </c>
      <c r="L365" s="71">
        <f>IF($N365&lt;&gt;"OK","",$I365-$K365)</f>
        <v/>
      </c>
      <c r="M365" s="71">
        <f>IF($N365&lt;&gt;"OK","",$D365*N(INDEX('Menu Pricing'!$F$7:$F$56,$O365)))</f>
        <v/>
      </c>
      <c r="N365" s="80">
        <f>IF(AND($B365="",$C365="",$D365=""),"",IF(NOT(ISNUMBER($B365)),"Enter a valid date",IF($C365="","Pick a menu item",IF($O365="","Item not on Menu Pricing",IF(N($D365)&lt;=0,"Qty must be above 0",IF($H365="","No price on menu","OK"))))))</f>
        <v/>
      </c>
      <c r="O365" s="13">
        <f>IF($C365="","",IFERROR(MATCH($C365,'Menu Pricing'!$B$7:$B$56,0),""))</f>
        <v/>
      </c>
    </row>
    <row r="366" ht="17" customHeight="1">
      <c r="B366" s="66" t="n"/>
      <c r="C366" s="60" t="n"/>
      <c r="D366" s="86" t="n"/>
      <c r="E366" s="63" t="n"/>
      <c r="F366" s="60" t="n"/>
      <c r="G366" s="60" t="n"/>
      <c r="H366" s="71">
        <f>IF(OR($C366="",$D366=""),"",IF(ISNUMBER($E366),$E366,IF($O366="","",IF(N(INDEX('Menu Pricing'!$O$7:$O$56,$O366))&gt;0,INDEX('Menu Pricing'!$O$7:$O$56,$O366),""))))</f>
        <v/>
      </c>
      <c r="I366" s="71">
        <f>IF($N366&lt;&gt;"OK","",$D366*$H366)</f>
        <v/>
      </c>
      <c r="J366" s="71">
        <f>IF($N366&lt;&gt;"OK","",N(INDEX('Menu Pricing'!$F$7:$F$56,$O366))+N(INDEX('Menu Pricing'!$G$7:$G$56,$O366))+N(INDEX('Menu Pricing'!$J$7:$J$56,$O366)))</f>
        <v/>
      </c>
      <c r="K366" s="71">
        <f>IF($N366&lt;&gt;"OK","",$D366*$J366)</f>
        <v/>
      </c>
      <c r="L366" s="71">
        <f>IF($N366&lt;&gt;"OK","",$I366-$K366)</f>
        <v/>
      </c>
      <c r="M366" s="71">
        <f>IF($N366&lt;&gt;"OK","",$D366*N(INDEX('Menu Pricing'!$F$7:$F$56,$O366)))</f>
        <v/>
      </c>
      <c r="N366" s="80">
        <f>IF(AND($B366="",$C366="",$D366=""),"",IF(NOT(ISNUMBER($B366)),"Enter a valid date",IF($C366="","Pick a menu item",IF($O366="","Item not on Menu Pricing",IF(N($D366)&lt;=0,"Qty must be above 0",IF($H366="","No price on menu","OK"))))))</f>
        <v/>
      </c>
      <c r="O366" s="13">
        <f>IF($C366="","",IFERROR(MATCH($C366,'Menu Pricing'!$B$7:$B$56,0),""))</f>
        <v/>
      </c>
    </row>
    <row r="367" ht="17" customHeight="1">
      <c r="B367" s="66" t="n"/>
      <c r="C367" s="60" t="n"/>
      <c r="D367" s="86" t="n"/>
      <c r="E367" s="63" t="n"/>
      <c r="F367" s="60" t="n"/>
      <c r="G367" s="60" t="n"/>
      <c r="H367" s="71">
        <f>IF(OR($C367="",$D367=""),"",IF(ISNUMBER($E367),$E367,IF($O367="","",IF(N(INDEX('Menu Pricing'!$O$7:$O$56,$O367))&gt;0,INDEX('Menu Pricing'!$O$7:$O$56,$O367),""))))</f>
        <v/>
      </c>
      <c r="I367" s="71">
        <f>IF($N367&lt;&gt;"OK","",$D367*$H367)</f>
        <v/>
      </c>
      <c r="J367" s="71">
        <f>IF($N367&lt;&gt;"OK","",N(INDEX('Menu Pricing'!$F$7:$F$56,$O367))+N(INDEX('Menu Pricing'!$G$7:$G$56,$O367))+N(INDEX('Menu Pricing'!$J$7:$J$56,$O367)))</f>
        <v/>
      </c>
      <c r="K367" s="71">
        <f>IF($N367&lt;&gt;"OK","",$D367*$J367)</f>
        <v/>
      </c>
      <c r="L367" s="71">
        <f>IF($N367&lt;&gt;"OK","",$I367-$K367)</f>
        <v/>
      </c>
      <c r="M367" s="71">
        <f>IF($N367&lt;&gt;"OK","",$D367*N(INDEX('Menu Pricing'!$F$7:$F$56,$O367)))</f>
        <v/>
      </c>
      <c r="N367" s="80">
        <f>IF(AND($B367="",$C367="",$D367=""),"",IF(NOT(ISNUMBER($B367)),"Enter a valid date",IF($C367="","Pick a menu item",IF($O367="","Item not on Menu Pricing",IF(N($D367)&lt;=0,"Qty must be above 0",IF($H367="","No price on menu","OK"))))))</f>
        <v/>
      </c>
      <c r="O367" s="13">
        <f>IF($C367="","",IFERROR(MATCH($C367,'Menu Pricing'!$B$7:$B$56,0),""))</f>
        <v/>
      </c>
    </row>
    <row r="368" ht="17" customHeight="1">
      <c r="B368" s="66" t="n"/>
      <c r="C368" s="60" t="n"/>
      <c r="D368" s="86" t="n"/>
      <c r="E368" s="63" t="n"/>
      <c r="F368" s="60" t="n"/>
      <c r="G368" s="60" t="n"/>
      <c r="H368" s="71">
        <f>IF(OR($C368="",$D368=""),"",IF(ISNUMBER($E368),$E368,IF($O368="","",IF(N(INDEX('Menu Pricing'!$O$7:$O$56,$O368))&gt;0,INDEX('Menu Pricing'!$O$7:$O$56,$O368),""))))</f>
        <v/>
      </c>
      <c r="I368" s="71">
        <f>IF($N368&lt;&gt;"OK","",$D368*$H368)</f>
        <v/>
      </c>
      <c r="J368" s="71">
        <f>IF($N368&lt;&gt;"OK","",N(INDEX('Menu Pricing'!$F$7:$F$56,$O368))+N(INDEX('Menu Pricing'!$G$7:$G$56,$O368))+N(INDEX('Menu Pricing'!$J$7:$J$56,$O368)))</f>
        <v/>
      </c>
      <c r="K368" s="71">
        <f>IF($N368&lt;&gt;"OK","",$D368*$J368)</f>
        <v/>
      </c>
      <c r="L368" s="71">
        <f>IF($N368&lt;&gt;"OK","",$I368-$K368)</f>
        <v/>
      </c>
      <c r="M368" s="71">
        <f>IF($N368&lt;&gt;"OK","",$D368*N(INDEX('Menu Pricing'!$F$7:$F$56,$O368)))</f>
        <v/>
      </c>
      <c r="N368" s="80">
        <f>IF(AND($B368="",$C368="",$D368=""),"",IF(NOT(ISNUMBER($B368)),"Enter a valid date",IF($C368="","Pick a menu item",IF($O368="","Item not on Menu Pricing",IF(N($D368)&lt;=0,"Qty must be above 0",IF($H368="","No price on menu","OK"))))))</f>
        <v/>
      </c>
      <c r="O368" s="13">
        <f>IF($C368="","",IFERROR(MATCH($C368,'Menu Pricing'!$B$7:$B$56,0),""))</f>
        <v/>
      </c>
    </row>
    <row r="369" ht="17" customHeight="1">
      <c r="B369" s="66" t="n"/>
      <c r="C369" s="60" t="n"/>
      <c r="D369" s="86" t="n"/>
      <c r="E369" s="63" t="n"/>
      <c r="F369" s="60" t="n"/>
      <c r="G369" s="60" t="n"/>
      <c r="H369" s="71">
        <f>IF(OR($C369="",$D369=""),"",IF(ISNUMBER($E369),$E369,IF($O369="","",IF(N(INDEX('Menu Pricing'!$O$7:$O$56,$O369))&gt;0,INDEX('Menu Pricing'!$O$7:$O$56,$O369),""))))</f>
        <v/>
      </c>
      <c r="I369" s="71">
        <f>IF($N369&lt;&gt;"OK","",$D369*$H369)</f>
        <v/>
      </c>
      <c r="J369" s="71">
        <f>IF($N369&lt;&gt;"OK","",N(INDEX('Menu Pricing'!$F$7:$F$56,$O369))+N(INDEX('Menu Pricing'!$G$7:$G$56,$O369))+N(INDEX('Menu Pricing'!$J$7:$J$56,$O369)))</f>
        <v/>
      </c>
      <c r="K369" s="71">
        <f>IF($N369&lt;&gt;"OK","",$D369*$J369)</f>
        <v/>
      </c>
      <c r="L369" s="71">
        <f>IF($N369&lt;&gt;"OK","",$I369-$K369)</f>
        <v/>
      </c>
      <c r="M369" s="71">
        <f>IF($N369&lt;&gt;"OK","",$D369*N(INDEX('Menu Pricing'!$F$7:$F$56,$O369)))</f>
        <v/>
      </c>
      <c r="N369" s="80">
        <f>IF(AND($B369="",$C369="",$D369=""),"",IF(NOT(ISNUMBER($B369)),"Enter a valid date",IF($C369="","Pick a menu item",IF($O369="","Item not on Menu Pricing",IF(N($D369)&lt;=0,"Qty must be above 0",IF($H369="","No price on menu","OK"))))))</f>
        <v/>
      </c>
      <c r="O369" s="13">
        <f>IF($C369="","",IFERROR(MATCH($C369,'Menu Pricing'!$B$7:$B$56,0),""))</f>
        <v/>
      </c>
    </row>
    <row r="370" ht="17" customHeight="1">
      <c r="B370" s="66" t="n"/>
      <c r="C370" s="60" t="n"/>
      <c r="D370" s="86" t="n"/>
      <c r="E370" s="63" t="n"/>
      <c r="F370" s="60" t="n"/>
      <c r="G370" s="60" t="n"/>
      <c r="H370" s="71">
        <f>IF(OR($C370="",$D370=""),"",IF(ISNUMBER($E370),$E370,IF($O370="","",IF(N(INDEX('Menu Pricing'!$O$7:$O$56,$O370))&gt;0,INDEX('Menu Pricing'!$O$7:$O$56,$O370),""))))</f>
        <v/>
      </c>
      <c r="I370" s="71">
        <f>IF($N370&lt;&gt;"OK","",$D370*$H370)</f>
        <v/>
      </c>
      <c r="J370" s="71">
        <f>IF($N370&lt;&gt;"OK","",N(INDEX('Menu Pricing'!$F$7:$F$56,$O370))+N(INDEX('Menu Pricing'!$G$7:$G$56,$O370))+N(INDEX('Menu Pricing'!$J$7:$J$56,$O370)))</f>
        <v/>
      </c>
      <c r="K370" s="71">
        <f>IF($N370&lt;&gt;"OK","",$D370*$J370)</f>
        <v/>
      </c>
      <c r="L370" s="71">
        <f>IF($N370&lt;&gt;"OK","",$I370-$K370)</f>
        <v/>
      </c>
      <c r="M370" s="71">
        <f>IF($N370&lt;&gt;"OK","",$D370*N(INDEX('Menu Pricing'!$F$7:$F$56,$O370)))</f>
        <v/>
      </c>
      <c r="N370" s="80">
        <f>IF(AND($B370="",$C370="",$D370=""),"",IF(NOT(ISNUMBER($B370)),"Enter a valid date",IF($C370="","Pick a menu item",IF($O370="","Item not on Menu Pricing",IF(N($D370)&lt;=0,"Qty must be above 0",IF($H370="","No price on menu","OK"))))))</f>
        <v/>
      </c>
      <c r="O370" s="13">
        <f>IF($C370="","",IFERROR(MATCH($C370,'Menu Pricing'!$B$7:$B$56,0),""))</f>
        <v/>
      </c>
    </row>
    <row r="371" ht="17" customHeight="1">
      <c r="B371" s="66" t="n"/>
      <c r="C371" s="60" t="n"/>
      <c r="D371" s="86" t="n"/>
      <c r="E371" s="63" t="n"/>
      <c r="F371" s="60" t="n"/>
      <c r="G371" s="60" t="n"/>
      <c r="H371" s="71">
        <f>IF(OR($C371="",$D371=""),"",IF(ISNUMBER($E371),$E371,IF($O371="","",IF(N(INDEX('Menu Pricing'!$O$7:$O$56,$O371))&gt;0,INDEX('Menu Pricing'!$O$7:$O$56,$O371),""))))</f>
        <v/>
      </c>
      <c r="I371" s="71">
        <f>IF($N371&lt;&gt;"OK","",$D371*$H371)</f>
        <v/>
      </c>
      <c r="J371" s="71">
        <f>IF($N371&lt;&gt;"OK","",N(INDEX('Menu Pricing'!$F$7:$F$56,$O371))+N(INDEX('Menu Pricing'!$G$7:$G$56,$O371))+N(INDEX('Menu Pricing'!$J$7:$J$56,$O371)))</f>
        <v/>
      </c>
      <c r="K371" s="71">
        <f>IF($N371&lt;&gt;"OK","",$D371*$J371)</f>
        <v/>
      </c>
      <c r="L371" s="71">
        <f>IF($N371&lt;&gt;"OK","",$I371-$K371)</f>
        <v/>
      </c>
      <c r="M371" s="71">
        <f>IF($N371&lt;&gt;"OK","",$D371*N(INDEX('Menu Pricing'!$F$7:$F$56,$O371)))</f>
        <v/>
      </c>
      <c r="N371" s="80">
        <f>IF(AND($B371="",$C371="",$D371=""),"",IF(NOT(ISNUMBER($B371)),"Enter a valid date",IF($C371="","Pick a menu item",IF($O371="","Item not on Menu Pricing",IF(N($D371)&lt;=0,"Qty must be above 0",IF($H371="","No price on menu","OK"))))))</f>
        <v/>
      </c>
      <c r="O371" s="13">
        <f>IF($C371="","",IFERROR(MATCH($C371,'Menu Pricing'!$B$7:$B$56,0),""))</f>
        <v/>
      </c>
    </row>
    <row r="372" ht="17" customHeight="1">
      <c r="B372" s="66" t="n"/>
      <c r="C372" s="60" t="n"/>
      <c r="D372" s="86" t="n"/>
      <c r="E372" s="63" t="n"/>
      <c r="F372" s="60" t="n"/>
      <c r="G372" s="60" t="n"/>
      <c r="H372" s="71">
        <f>IF(OR($C372="",$D372=""),"",IF(ISNUMBER($E372),$E372,IF($O372="","",IF(N(INDEX('Menu Pricing'!$O$7:$O$56,$O372))&gt;0,INDEX('Menu Pricing'!$O$7:$O$56,$O372),""))))</f>
        <v/>
      </c>
      <c r="I372" s="71">
        <f>IF($N372&lt;&gt;"OK","",$D372*$H372)</f>
        <v/>
      </c>
      <c r="J372" s="71">
        <f>IF($N372&lt;&gt;"OK","",N(INDEX('Menu Pricing'!$F$7:$F$56,$O372))+N(INDEX('Menu Pricing'!$G$7:$G$56,$O372))+N(INDEX('Menu Pricing'!$J$7:$J$56,$O372)))</f>
        <v/>
      </c>
      <c r="K372" s="71">
        <f>IF($N372&lt;&gt;"OK","",$D372*$J372)</f>
        <v/>
      </c>
      <c r="L372" s="71">
        <f>IF($N372&lt;&gt;"OK","",$I372-$K372)</f>
        <v/>
      </c>
      <c r="M372" s="71">
        <f>IF($N372&lt;&gt;"OK","",$D372*N(INDEX('Menu Pricing'!$F$7:$F$56,$O372)))</f>
        <v/>
      </c>
      <c r="N372" s="80">
        <f>IF(AND($B372="",$C372="",$D372=""),"",IF(NOT(ISNUMBER($B372)),"Enter a valid date",IF($C372="","Pick a menu item",IF($O372="","Item not on Menu Pricing",IF(N($D372)&lt;=0,"Qty must be above 0",IF($H372="","No price on menu","OK"))))))</f>
        <v/>
      </c>
      <c r="O372" s="13">
        <f>IF($C372="","",IFERROR(MATCH($C372,'Menu Pricing'!$B$7:$B$56,0),""))</f>
        <v/>
      </c>
    </row>
    <row r="373" ht="17" customHeight="1">
      <c r="B373" s="66" t="n"/>
      <c r="C373" s="60" t="n"/>
      <c r="D373" s="86" t="n"/>
      <c r="E373" s="63" t="n"/>
      <c r="F373" s="60" t="n"/>
      <c r="G373" s="60" t="n"/>
      <c r="H373" s="71">
        <f>IF(OR($C373="",$D373=""),"",IF(ISNUMBER($E373),$E373,IF($O373="","",IF(N(INDEX('Menu Pricing'!$O$7:$O$56,$O373))&gt;0,INDEX('Menu Pricing'!$O$7:$O$56,$O373),""))))</f>
        <v/>
      </c>
      <c r="I373" s="71">
        <f>IF($N373&lt;&gt;"OK","",$D373*$H373)</f>
        <v/>
      </c>
      <c r="J373" s="71">
        <f>IF($N373&lt;&gt;"OK","",N(INDEX('Menu Pricing'!$F$7:$F$56,$O373))+N(INDEX('Menu Pricing'!$G$7:$G$56,$O373))+N(INDEX('Menu Pricing'!$J$7:$J$56,$O373)))</f>
        <v/>
      </c>
      <c r="K373" s="71">
        <f>IF($N373&lt;&gt;"OK","",$D373*$J373)</f>
        <v/>
      </c>
      <c r="L373" s="71">
        <f>IF($N373&lt;&gt;"OK","",$I373-$K373)</f>
        <v/>
      </c>
      <c r="M373" s="71">
        <f>IF($N373&lt;&gt;"OK","",$D373*N(INDEX('Menu Pricing'!$F$7:$F$56,$O373)))</f>
        <v/>
      </c>
      <c r="N373" s="80">
        <f>IF(AND($B373="",$C373="",$D373=""),"",IF(NOT(ISNUMBER($B373)),"Enter a valid date",IF($C373="","Pick a menu item",IF($O373="","Item not on Menu Pricing",IF(N($D373)&lt;=0,"Qty must be above 0",IF($H373="","No price on menu","OK"))))))</f>
        <v/>
      </c>
      <c r="O373" s="13">
        <f>IF($C373="","",IFERROR(MATCH($C373,'Menu Pricing'!$B$7:$B$56,0),""))</f>
        <v/>
      </c>
    </row>
    <row r="374" ht="17" customHeight="1">
      <c r="B374" s="66" t="n"/>
      <c r="C374" s="60" t="n"/>
      <c r="D374" s="86" t="n"/>
      <c r="E374" s="63" t="n"/>
      <c r="F374" s="60" t="n"/>
      <c r="G374" s="60" t="n"/>
      <c r="H374" s="71">
        <f>IF(OR($C374="",$D374=""),"",IF(ISNUMBER($E374),$E374,IF($O374="","",IF(N(INDEX('Menu Pricing'!$O$7:$O$56,$O374))&gt;0,INDEX('Menu Pricing'!$O$7:$O$56,$O374),""))))</f>
        <v/>
      </c>
      <c r="I374" s="71">
        <f>IF($N374&lt;&gt;"OK","",$D374*$H374)</f>
        <v/>
      </c>
      <c r="J374" s="71">
        <f>IF($N374&lt;&gt;"OK","",N(INDEX('Menu Pricing'!$F$7:$F$56,$O374))+N(INDEX('Menu Pricing'!$G$7:$G$56,$O374))+N(INDEX('Menu Pricing'!$J$7:$J$56,$O374)))</f>
        <v/>
      </c>
      <c r="K374" s="71">
        <f>IF($N374&lt;&gt;"OK","",$D374*$J374)</f>
        <v/>
      </c>
      <c r="L374" s="71">
        <f>IF($N374&lt;&gt;"OK","",$I374-$K374)</f>
        <v/>
      </c>
      <c r="M374" s="71">
        <f>IF($N374&lt;&gt;"OK","",$D374*N(INDEX('Menu Pricing'!$F$7:$F$56,$O374)))</f>
        <v/>
      </c>
      <c r="N374" s="80">
        <f>IF(AND($B374="",$C374="",$D374=""),"",IF(NOT(ISNUMBER($B374)),"Enter a valid date",IF($C374="","Pick a menu item",IF($O374="","Item not on Menu Pricing",IF(N($D374)&lt;=0,"Qty must be above 0",IF($H374="","No price on menu","OK"))))))</f>
        <v/>
      </c>
      <c r="O374" s="13">
        <f>IF($C374="","",IFERROR(MATCH($C374,'Menu Pricing'!$B$7:$B$56,0),""))</f>
        <v/>
      </c>
    </row>
    <row r="375" ht="17" customHeight="1">
      <c r="B375" s="66" t="n"/>
      <c r="C375" s="60" t="n"/>
      <c r="D375" s="86" t="n"/>
      <c r="E375" s="63" t="n"/>
      <c r="F375" s="60" t="n"/>
      <c r="G375" s="60" t="n"/>
      <c r="H375" s="71">
        <f>IF(OR($C375="",$D375=""),"",IF(ISNUMBER($E375),$E375,IF($O375="","",IF(N(INDEX('Menu Pricing'!$O$7:$O$56,$O375))&gt;0,INDEX('Menu Pricing'!$O$7:$O$56,$O375),""))))</f>
        <v/>
      </c>
      <c r="I375" s="71">
        <f>IF($N375&lt;&gt;"OK","",$D375*$H375)</f>
        <v/>
      </c>
      <c r="J375" s="71">
        <f>IF($N375&lt;&gt;"OK","",N(INDEX('Menu Pricing'!$F$7:$F$56,$O375))+N(INDEX('Menu Pricing'!$G$7:$G$56,$O375))+N(INDEX('Menu Pricing'!$J$7:$J$56,$O375)))</f>
        <v/>
      </c>
      <c r="K375" s="71">
        <f>IF($N375&lt;&gt;"OK","",$D375*$J375)</f>
        <v/>
      </c>
      <c r="L375" s="71">
        <f>IF($N375&lt;&gt;"OK","",$I375-$K375)</f>
        <v/>
      </c>
      <c r="M375" s="71">
        <f>IF($N375&lt;&gt;"OK","",$D375*N(INDEX('Menu Pricing'!$F$7:$F$56,$O375)))</f>
        <v/>
      </c>
      <c r="N375" s="80">
        <f>IF(AND($B375="",$C375="",$D375=""),"",IF(NOT(ISNUMBER($B375)),"Enter a valid date",IF($C375="","Pick a menu item",IF($O375="","Item not on Menu Pricing",IF(N($D375)&lt;=0,"Qty must be above 0",IF($H375="","No price on menu","OK"))))))</f>
        <v/>
      </c>
      <c r="O375" s="13">
        <f>IF($C375="","",IFERROR(MATCH($C375,'Menu Pricing'!$B$7:$B$56,0),""))</f>
        <v/>
      </c>
    </row>
    <row r="376" ht="17" customHeight="1">
      <c r="B376" s="66" t="n"/>
      <c r="C376" s="60" t="n"/>
      <c r="D376" s="86" t="n"/>
      <c r="E376" s="63" t="n"/>
      <c r="F376" s="60" t="n"/>
      <c r="G376" s="60" t="n"/>
      <c r="H376" s="71">
        <f>IF(OR($C376="",$D376=""),"",IF(ISNUMBER($E376),$E376,IF($O376="","",IF(N(INDEX('Menu Pricing'!$O$7:$O$56,$O376))&gt;0,INDEX('Menu Pricing'!$O$7:$O$56,$O376),""))))</f>
        <v/>
      </c>
      <c r="I376" s="71">
        <f>IF($N376&lt;&gt;"OK","",$D376*$H376)</f>
        <v/>
      </c>
      <c r="J376" s="71">
        <f>IF($N376&lt;&gt;"OK","",N(INDEX('Menu Pricing'!$F$7:$F$56,$O376))+N(INDEX('Menu Pricing'!$G$7:$G$56,$O376))+N(INDEX('Menu Pricing'!$J$7:$J$56,$O376)))</f>
        <v/>
      </c>
      <c r="K376" s="71">
        <f>IF($N376&lt;&gt;"OK","",$D376*$J376)</f>
        <v/>
      </c>
      <c r="L376" s="71">
        <f>IF($N376&lt;&gt;"OK","",$I376-$K376)</f>
        <v/>
      </c>
      <c r="M376" s="71">
        <f>IF($N376&lt;&gt;"OK","",$D376*N(INDEX('Menu Pricing'!$F$7:$F$56,$O376)))</f>
        <v/>
      </c>
      <c r="N376" s="80">
        <f>IF(AND($B376="",$C376="",$D376=""),"",IF(NOT(ISNUMBER($B376)),"Enter a valid date",IF($C376="","Pick a menu item",IF($O376="","Item not on Menu Pricing",IF(N($D376)&lt;=0,"Qty must be above 0",IF($H376="","No price on menu","OK"))))))</f>
        <v/>
      </c>
      <c r="O376" s="13">
        <f>IF($C376="","",IFERROR(MATCH($C376,'Menu Pricing'!$B$7:$B$56,0),""))</f>
        <v/>
      </c>
    </row>
    <row r="377" ht="17" customHeight="1">
      <c r="B377" s="66" t="n"/>
      <c r="C377" s="60" t="n"/>
      <c r="D377" s="86" t="n"/>
      <c r="E377" s="63" t="n"/>
      <c r="F377" s="60" t="n"/>
      <c r="G377" s="60" t="n"/>
      <c r="H377" s="71">
        <f>IF(OR($C377="",$D377=""),"",IF(ISNUMBER($E377),$E377,IF($O377="","",IF(N(INDEX('Menu Pricing'!$O$7:$O$56,$O377))&gt;0,INDEX('Menu Pricing'!$O$7:$O$56,$O377),""))))</f>
        <v/>
      </c>
      <c r="I377" s="71">
        <f>IF($N377&lt;&gt;"OK","",$D377*$H377)</f>
        <v/>
      </c>
      <c r="J377" s="71">
        <f>IF($N377&lt;&gt;"OK","",N(INDEX('Menu Pricing'!$F$7:$F$56,$O377))+N(INDEX('Menu Pricing'!$G$7:$G$56,$O377))+N(INDEX('Menu Pricing'!$J$7:$J$56,$O377)))</f>
        <v/>
      </c>
      <c r="K377" s="71">
        <f>IF($N377&lt;&gt;"OK","",$D377*$J377)</f>
        <v/>
      </c>
      <c r="L377" s="71">
        <f>IF($N377&lt;&gt;"OK","",$I377-$K377)</f>
        <v/>
      </c>
      <c r="M377" s="71">
        <f>IF($N377&lt;&gt;"OK","",$D377*N(INDEX('Menu Pricing'!$F$7:$F$56,$O377)))</f>
        <v/>
      </c>
      <c r="N377" s="80">
        <f>IF(AND($B377="",$C377="",$D377=""),"",IF(NOT(ISNUMBER($B377)),"Enter a valid date",IF($C377="","Pick a menu item",IF($O377="","Item not on Menu Pricing",IF(N($D377)&lt;=0,"Qty must be above 0",IF($H377="","No price on menu","OK"))))))</f>
        <v/>
      </c>
      <c r="O377" s="13">
        <f>IF($C377="","",IFERROR(MATCH($C377,'Menu Pricing'!$B$7:$B$56,0),""))</f>
        <v/>
      </c>
    </row>
    <row r="378" ht="17" customHeight="1">
      <c r="B378" s="66" t="n"/>
      <c r="C378" s="60" t="n"/>
      <c r="D378" s="86" t="n"/>
      <c r="E378" s="63" t="n"/>
      <c r="F378" s="60" t="n"/>
      <c r="G378" s="60" t="n"/>
      <c r="H378" s="71">
        <f>IF(OR($C378="",$D378=""),"",IF(ISNUMBER($E378),$E378,IF($O378="","",IF(N(INDEX('Menu Pricing'!$O$7:$O$56,$O378))&gt;0,INDEX('Menu Pricing'!$O$7:$O$56,$O378),""))))</f>
        <v/>
      </c>
      <c r="I378" s="71">
        <f>IF($N378&lt;&gt;"OK","",$D378*$H378)</f>
        <v/>
      </c>
      <c r="J378" s="71">
        <f>IF($N378&lt;&gt;"OK","",N(INDEX('Menu Pricing'!$F$7:$F$56,$O378))+N(INDEX('Menu Pricing'!$G$7:$G$56,$O378))+N(INDEX('Menu Pricing'!$J$7:$J$56,$O378)))</f>
        <v/>
      </c>
      <c r="K378" s="71">
        <f>IF($N378&lt;&gt;"OK","",$D378*$J378)</f>
        <v/>
      </c>
      <c r="L378" s="71">
        <f>IF($N378&lt;&gt;"OK","",$I378-$K378)</f>
        <v/>
      </c>
      <c r="M378" s="71">
        <f>IF($N378&lt;&gt;"OK","",$D378*N(INDEX('Menu Pricing'!$F$7:$F$56,$O378)))</f>
        <v/>
      </c>
      <c r="N378" s="80">
        <f>IF(AND($B378="",$C378="",$D378=""),"",IF(NOT(ISNUMBER($B378)),"Enter a valid date",IF($C378="","Pick a menu item",IF($O378="","Item not on Menu Pricing",IF(N($D378)&lt;=0,"Qty must be above 0",IF($H378="","No price on menu","OK"))))))</f>
        <v/>
      </c>
      <c r="O378" s="13">
        <f>IF($C378="","",IFERROR(MATCH($C378,'Menu Pricing'!$B$7:$B$56,0),""))</f>
        <v/>
      </c>
    </row>
    <row r="379" ht="17" customHeight="1">
      <c r="B379" s="66" t="n"/>
      <c r="C379" s="60" t="n"/>
      <c r="D379" s="86" t="n"/>
      <c r="E379" s="63" t="n"/>
      <c r="F379" s="60" t="n"/>
      <c r="G379" s="60" t="n"/>
      <c r="H379" s="71">
        <f>IF(OR($C379="",$D379=""),"",IF(ISNUMBER($E379),$E379,IF($O379="","",IF(N(INDEX('Menu Pricing'!$O$7:$O$56,$O379))&gt;0,INDEX('Menu Pricing'!$O$7:$O$56,$O379),""))))</f>
        <v/>
      </c>
      <c r="I379" s="71">
        <f>IF($N379&lt;&gt;"OK","",$D379*$H379)</f>
        <v/>
      </c>
      <c r="J379" s="71">
        <f>IF($N379&lt;&gt;"OK","",N(INDEX('Menu Pricing'!$F$7:$F$56,$O379))+N(INDEX('Menu Pricing'!$G$7:$G$56,$O379))+N(INDEX('Menu Pricing'!$J$7:$J$56,$O379)))</f>
        <v/>
      </c>
      <c r="K379" s="71">
        <f>IF($N379&lt;&gt;"OK","",$D379*$J379)</f>
        <v/>
      </c>
      <c r="L379" s="71">
        <f>IF($N379&lt;&gt;"OK","",$I379-$K379)</f>
        <v/>
      </c>
      <c r="M379" s="71">
        <f>IF($N379&lt;&gt;"OK","",$D379*N(INDEX('Menu Pricing'!$F$7:$F$56,$O379)))</f>
        <v/>
      </c>
      <c r="N379" s="80">
        <f>IF(AND($B379="",$C379="",$D379=""),"",IF(NOT(ISNUMBER($B379)),"Enter a valid date",IF($C379="","Pick a menu item",IF($O379="","Item not on Menu Pricing",IF(N($D379)&lt;=0,"Qty must be above 0",IF($H379="","No price on menu","OK"))))))</f>
        <v/>
      </c>
      <c r="O379" s="13">
        <f>IF($C379="","",IFERROR(MATCH($C379,'Menu Pricing'!$B$7:$B$56,0),""))</f>
        <v/>
      </c>
    </row>
    <row r="380" ht="17" customHeight="1">
      <c r="B380" s="66" t="n"/>
      <c r="C380" s="60" t="n"/>
      <c r="D380" s="86" t="n"/>
      <c r="E380" s="63" t="n"/>
      <c r="F380" s="60" t="n"/>
      <c r="G380" s="60" t="n"/>
      <c r="H380" s="71">
        <f>IF(OR($C380="",$D380=""),"",IF(ISNUMBER($E380),$E380,IF($O380="","",IF(N(INDEX('Menu Pricing'!$O$7:$O$56,$O380))&gt;0,INDEX('Menu Pricing'!$O$7:$O$56,$O380),""))))</f>
        <v/>
      </c>
      <c r="I380" s="71">
        <f>IF($N380&lt;&gt;"OK","",$D380*$H380)</f>
        <v/>
      </c>
      <c r="J380" s="71">
        <f>IF($N380&lt;&gt;"OK","",N(INDEX('Menu Pricing'!$F$7:$F$56,$O380))+N(INDEX('Menu Pricing'!$G$7:$G$56,$O380))+N(INDEX('Menu Pricing'!$J$7:$J$56,$O380)))</f>
        <v/>
      </c>
      <c r="K380" s="71">
        <f>IF($N380&lt;&gt;"OK","",$D380*$J380)</f>
        <v/>
      </c>
      <c r="L380" s="71">
        <f>IF($N380&lt;&gt;"OK","",$I380-$K380)</f>
        <v/>
      </c>
      <c r="M380" s="71">
        <f>IF($N380&lt;&gt;"OK","",$D380*N(INDEX('Menu Pricing'!$F$7:$F$56,$O380)))</f>
        <v/>
      </c>
      <c r="N380" s="80">
        <f>IF(AND($B380="",$C380="",$D380=""),"",IF(NOT(ISNUMBER($B380)),"Enter a valid date",IF($C380="","Pick a menu item",IF($O380="","Item not on Menu Pricing",IF(N($D380)&lt;=0,"Qty must be above 0",IF($H380="","No price on menu","OK"))))))</f>
        <v/>
      </c>
      <c r="O380" s="13">
        <f>IF($C380="","",IFERROR(MATCH($C380,'Menu Pricing'!$B$7:$B$56,0),""))</f>
        <v/>
      </c>
    </row>
    <row r="381" ht="17" customHeight="1">
      <c r="B381" s="66" t="n"/>
      <c r="C381" s="60" t="n"/>
      <c r="D381" s="86" t="n"/>
      <c r="E381" s="63" t="n"/>
      <c r="F381" s="60" t="n"/>
      <c r="G381" s="60" t="n"/>
      <c r="H381" s="71">
        <f>IF(OR($C381="",$D381=""),"",IF(ISNUMBER($E381),$E381,IF($O381="","",IF(N(INDEX('Menu Pricing'!$O$7:$O$56,$O381))&gt;0,INDEX('Menu Pricing'!$O$7:$O$56,$O381),""))))</f>
        <v/>
      </c>
      <c r="I381" s="71">
        <f>IF($N381&lt;&gt;"OK","",$D381*$H381)</f>
        <v/>
      </c>
      <c r="J381" s="71">
        <f>IF($N381&lt;&gt;"OK","",N(INDEX('Menu Pricing'!$F$7:$F$56,$O381))+N(INDEX('Menu Pricing'!$G$7:$G$56,$O381))+N(INDEX('Menu Pricing'!$J$7:$J$56,$O381)))</f>
        <v/>
      </c>
      <c r="K381" s="71">
        <f>IF($N381&lt;&gt;"OK","",$D381*$J381)</f>
        <v/>
      </c>
      <c r="L381" s="71">
        <f>IF($N381&lt;&gt;"OK","",$I381-$K381)</f>
        <v/>
      </c>
      <c r="M381" s="71">
        <f>IF($N381&lt;&gt;"OK","",$D381*N(INDEX('Menu Pricing'!$F$7:$F$56,$O381)))</f>
        <v/>
      </c>
      <c r="N381" s="80">
        <f>IF(AND($B381="",$C381="",$D381=""),"",IF(NOT(ISNUMBER($B381)),"Enter a valid date",IF($C381="","Pick a menu item",IF($O381="","Item not on Menu Pricing",IF(N($D381)&lt;=0,"Qty must be above 0",IF($H381="","No price on menu","OK"))))))</f>
        <v/>
      </c>
      <c r="O381" s="13">
        <f>IF($C381="","",IFERROR(MATCH($C381,'Menu Pricing'!$B$7:$B$56,0),""))</f>
        <v/>
      </c>
    </row>
    <row r="382" ht="17" customHeight="1">
      <c r="B382" s="66" t="n"/>
      <c r="C382" s="60" t="n"/>
      <c r="D382" s="86" t="n"/>
      <c r="E382" s="63" t="n"/>
      <c r="F382" s="60" t="n"/>
      <c r="G382" s="60" t="n"/>
      <c r="H382" s="71">
        <f>IF(OR($C382="",$D382=""),"",IF(ISNUMBER($E382),$E382,IF($O382="","",IF(N(INDEX('Menu Pricing'!$O$7:$O$56,$O382))&gt;0,INDEX('Menu Pricing'!$O$7:$O$56,$O382),""))))</f>
        <v/>
      </c>
      <c r="I382" s="71">
        <f>IF($N382&lt;&gt;"OK","",$D382*$H382)</f>
        <v/>
      </c>
      <c r="J382" s="71">
        <f>IF($N382&lt;&gt;"OK","",N(INDEX('Menu Pricing'!$F$7:$F$56,$O382))+N(INDEX('Menu Pricing'!$G$7:$G$56,$O382))+N(INDEX('Menu Pricing'!$J$7:$J$56,$O382)))</f>
        <v/>
      </c>
      <c r="K382" s="71">
        <f>IF($N382&lt;&gt;"OK","",$D382*$J382)</f>
        <v/>
      </c>
      <c r="L382" s="71">
        <f>IF($N382&lt;&gt;"OK","",$I382-$K382)</f>
        <v/>
      </c>
      <c r="M382" s="71">
        <f>IF($N382&lt;&gt;"OK","",$D382*N(INDEX('Menu Pricing'!$F$7:$F$56,$O382)))</f>
        <v/>
      </c>
      <c r="N382" s="80">
        <f>IF(AND($B382="",$C382="",$D382=""),"",IF(NOT(ISNUMBER($B382)),"Enter a valid date",IF($C382="","Pick a menu item",IF($O382="","Item not on Menu Pricing",IF(N($D382)&lt;=0,"Qty must be above 0",IF($H382="","No price on menu","OK"))))))</f>
        <v/>
      </c>
      <c r="O382" s="13">
        <f>IF($C382="","",IFERROR(MATCH($C382,'Menu Pricing'!$B$7:$B$56,0),""))</f>
        <v/>
      </c>
    </row>
    <row r="383" ht="17" customHeight="1">
      <c r="B383" s="66" t="n"/>
      <c r="C383" s="60" t="n"/>
      <c r="D383" s="86" t="n"/>
      <c r="E383" s="63" t="n"/>
      <c r="F383" s="60" t="n"/>
      <c r="G383" s="60" t="n"/>
      <c r="H383" s="71">
        <f>IF(OR($C383="",$D383=""),"",IF(ISNUMBER($E383),$E383,IF($O383="","",IF(N(INDEX('Menu Pricing'!$O$7:$O$56,$O383))&gt;0,INDEX('Menu Pricing'!$O$7:$O$56,$O383),""))))</f>
        <v/>
      </c>
      <c r="I383" s="71">
        <f>IF($N383&lt;&gt;"OK","",$D383*$H383)</f>
        <v/>
      </c>
      <c r="J383" s="71">
        <f>IF($N383&lt;&gt;"OK","",N(INDEX('Menu Pricing'!$F$7:$F$56,$O383))+N(INDEX('Menu Pricing'!$G$7:$G$56,$O383))+N(INDEX('Menu Pricing'!$J$7:$J$56,$O383)))</f>
        <v/>
      </c>
      <c r="K383" s="71">
        <f>IF($N383&lt;&gt;"OK","",$D383*$J383)</f>
        <v/>
      </c>
      <c r="L383" s="71">
        <f>IF($N383&lt;&gt;"OK","",$I383-$K383)</f>
        <v/>
      </c>
      <c r="M383" s="71">
        <f>IF($N383&lt;&gt;"OK","",$D383*N(INDEX('Menu Pricing'!$F$7:$F$56,$O383)))</f>
        <v/>
      </c>
      <c r="N383" s="80">
        <f>IF(AND($B383="",$C383="",$D383=""),"",IF(NOT(ISNUMBER($B383)),"Enter a valid date",IF($C383="","Pick a menu item",IF($O383="","Item not on Menu Pricing",IF(N($D383)&lt;=0,"Qty must be above 0",IF($H383="","No price on menu","OK"))))))</f>
        <v/>
      </c>
      <c r="O383" s="13">
        <f>IF($C383="","",IFERROR(MATCH($C383,'Menu Pricing'!$B$7:$B$56,0),""))</f>
        <v/>
      </c>
    </row>
    <row r="384" ht="17" customHeight="1">
      <c r="B384" s="66" t="n"/>
      <c r="C384" s="60" t="n"/>
      <c r="D384" s="86" t="n"/>
      <c r="E384" s="63" t="n"/>
      <c r="F384" s="60" t="n"/>
      <c r="G384" s="60" t="n"/>
      <c r="H384" s="71">
        <f>IF(OR($C384="",$D384=""),"",IF(ISNUMBER($E384),$E384,IF($O384="","",IF(N(INDEX('Menu Pricing'!$O$7:$O$56,$O384))&gt;0,INDEX('Menu Pricing'!$O$7:$O$56,$O384),""))))</f>
        <v/>
      </c>
      <c r="I384" s="71">
        <f>IF($N384&lt;&gt;"OK","",$D384*$H384)</f>
        <v/>
      </c>
      <c r="J384" s="71">
        <f>IF($N384&lt;&gt;"OK","",N(INDEX('Menu Pricing'!$F$7:$F$56,$O384))+N(INDEX('Menu Pricing'!$G$7:$G$56,$O384))+N(INDEX('Menu Pricing'!$J$7:$J$56,$O384)))</f>
        <v/>
      </c>
      <c r="K384" s="71">
        <f>IF($N384&lt;&gt;"OK","",$D384*$J384)</f>
        <v/>
      </c>
      <c r="L384" s="71">
        <f>IF($N384&lt;&gt;"OK","",$I384-$K384)</f>
        <v/>
      </c>
      <c r="M384" s="71">
        <f>IF($N384&lt;&gt;"OK","",$D384*N(INDEX('Menu Pricing'!$F$7:$F$56,$O384)))</f>
        <v/>
      </c>
      <c r="N384" s="80">
        <f>IF(AND($B384="",$C384="",$D384=""),"",IF(NOT(ISNUMBER($B384)),"Enter a valid date",IF($C384="","Pick a menu item",IF($O384="","Item not on Menu Pricing",IF(N($D384)&lt;=0,"Qty must be above 0",IF($H384="","No price on menu","OK"))))))</f>
        <v/>
      </c>
      <c r="O384" s="13">
        <f>IF($C384="","",IFERROR(MATCH($C384,'Menu Pricing'!$B$7:$B$56,0),""))</f>
        <v/>
      </c>
    </row>
    <row r="385" ht="17" customHeight="1">
      <c r="B385" s="66" t="n"/>
      <c r="C385" s="60" t="n"/>
      <c r="D385" s="86" t="n"/>
      <c r="E385" s="63" t="n"/>
      <c r="F385" s="60" t="n"/>
      <c r="G385" s="60" t="n"/>
      <c r="H385" s="71">
        <f>IF(OR($C385="",$D385=""),"",IF(ISNUMBER($E385),$E385,IF($O385="","",IF(N(INDEX('Menu Pricing'!$O$7:$O$56,$O385))&gt;0,INDEX('Menu Pricing'!$O$7:$O$56,$O385),""))))</f>
        <v/>
      </c>
      <c r="I385" s="71">
        <f>IF($N385&lt;&gt;"OK","",$D385*$H385)</f>
        <v/>
      </c>
      <c r="J385" s="71">
        <f>IF($N385&lt;&gt;"OK","",N(INDEX('Menu Pricing'!$F$7:$F$56,$O385))+N(INDEX('Menu Pricing'!$G$7:$G$56,$O385))+N(INDEX('Menu Pricing'!$J$7:$J$56,$O385)))</f>
        <v/>
      </c>
      <c r="K385" s="71">
        <f>IF($N385&lt;&gt;"OK","",$D385*$J385)</f>
        <v/>
      </c>
      <c r="L385" s="71">
        <f>IF($N385&lt;&gt;"OK","",$I385-$K385)</f>
        <v/>
      </c>
      <c r="M385" s="71">
        <f>IF($N385&lt;&gt;"OK","",$D385*N(INDEX('Menu Pricing'!$F$7:$F$56,$O385)))</f>
        <v/>
      </c>
      <c r="N385" s="80">
        <f>IF(AND($B385="",$C385="",$D385=""),"",IF(NOT(ISNUMBER($B385)),"Enter a valid date",IF($C385="","Pick a menu item",IF($O385="","Item not on Menu Pricing",IF(N($D385)&lt;=0,"Qty must be above 0",IF($H385="","No price on menu","OK"))))))</f>
        <v/>
      </c>
      <c r="O385" s="13">
        <f>IF($C385="","",IFERROR(MATCH($C385,'Menu Pricing'!$B$7:$B$56,0),""))</f>
        <v/>
      </c>
    </row>
    <row r="386" ht="17" customHeight="1">
      <c r="B386" s="66" t="n"/>
      <c r="C386" s="60" t="n"/>
      <c r="D386" s="86" t="n"/>
      <c r="E386" s="63" t="n"/>
      <c r="F386" s="60" t="n"/>
      <c r="G386" s="60" t="n"/>
      <c r="H386" s="71">
        <f>IF(OR($C386="",$D386=""),"",IF(ISNUMBER($E386),$E386,IF($O386="","",IF(N(INDEX('Menu Pricing'!$O$7:$O$56,$O386))&gt;0,INDEX('Menu Pricing'!$O$7:$O$56,$O386),""))))</f>
        <v/>
      </c>
      <c r="I386" s="71">
        <f>IF($N386&lt;&gt;"OK","",$D386*$H386)</f>
        <v/>
      </c>
      <c r="J386" s="71">
        <f>IF($N386&lt;&gt;"OK","",N(INDEX('Menu Pricing'!$F$7:$F$56,$O386))+N(INDEX('Menu Pricing'!$G$7:$G$56,$O386))+N(INDEX('Menu Pricing'!$J$7:$J$56,$O386)))</f>
        <v/>
      </c>
      <c r="K386" s="71">
        <f>IF($N386&lt;&gt;"OK","",$D386*$J386)</f>
        <v/>
      </c>
      <c r="L386" s="71">
        <f>IF($N386&lt;&gt;"OK","",$I386-$K386)</f>
        <v/>
      </c>
      <c r="M386" s="71">
        <f>IF($N386&lt;&gt;"OK","",$D386*N(INDEX('Menu Pricing'!$F$7:$F$56,$O386)))</f>
        <v/>
      </c>
      <c r="N386" s="80">
        <f>IF(AND($B386="",$C386="",$D386=""),"",IF(NOT(ISNUMBER($B386)),"Enter a valid date",IF($C386="","Pick a menu item",IF($O386="","Item not on Menu Pricing",IF(N($D386)&lt;=0,"Qty must be above 0",IF($H386="","No price on menu","OK"))))))</f>
        <v/>
      </c>
      <c r="O386" s="13">
        <f>IF($C386="","",IFERROR(MATCH($C386,'Menu Pricing'!$B$7:$B$56,0),""))</f>
        <v/>
      </c>
    </row>
    <row r="387" ht="17" customHeight="1">
      <c r="B387" s="66" t="n"/>
      <c r="C387" s="60" t="n"/>
      <c r="D387" s="86" t="n"/>
      <c r="E387" s="63" t="n"/>
      <c r="F387" s="60" t="n"/>
      <c r="G387" s="60" t="n"/>
      <c r="H387" s="71">
        <f>IF(OR($C387="",$D387=""),"",IF(ISNUMBER($E387),$E387,IF($O387="","",IF(N(INDEX('Menu Pricing'!$O$7:$O$56,$O387))&gt;0,INDEX('Menu Pricing'!$O$7:$O$56,$O387),""))))</f>
        <v/>
      </c>
      <c r="I387" s="71">
        <f>IF($N387&lt;&gt;"OK","",$D387*$H387)</f>
        <v/>
      </c>
      <c r="J387" s="71">
        <f>IF($N387&lt;&gt;"OK","",N(INDEX('Menu Pricing'!$F$7:$F$56,$O387))+N(INDEX('Menu Pricing'!$G$7:$G$56,$O387))+N(INDEX('Menu Pricing'!$J$7:$J$56,$O387)))</f>
        <v/>
      </c>
      <c r="K387" s="71">
        <f>IF($N387&lt;&gt;"OK","",$D387*$J387)</f>
        <v/>
      </c>
      <c r="L387" s="71">
        <f>IF($N387&lt;&gt;"OK","",$I387-$K387)</f>
        <v/>
      </c>
      <c r="M387" s="71">
        <f>IF($N387&lt;&gt;"OK","",$D387*N(INDEX('Menu Pricing'!$F$7:$F$56,$O387)))</f>
        <v/>
      </c>
      <c r="N387" s="80">
        <f>IF(AND($B387="",$C387="",$D387=""),"",IF(NOT(ISNUMBER($B387)),"Enter a valid date",IF($C387="","Pick a menu item",IF($O387="","Item not on Menu Pricing",IF(N($D387)&lt;=0,"Qty must be above 0",IF($H387="","No price on menu","OK"))))))</f>
        <v/>
      </c>
      <c r="O387" s="13">
        <f>IF($C387="","",IFERROR(MATCH($C387,'Menu Pricing'!$B$7:$B$56,0),""))</f>
        <v/>
      </c>
    </row>
    <row r="388" ht="17" customHeight="1">
      <c r="B388" s="66" t="n"/>
      <c r="C388" s="60" t="n"/>
      <c r="D388" s="86" t="n"/>
      <c r="E388" s="63" t="n"/>
      <c r="F388" s="60" t="n"/>
      <c r="G388" s="60" t="n"/>
      <c r="H388" s="71">
        <f>IF(OR($C388="",$D388=""),"",IF(ISNUMBER($E388),$E388,IF($O388="","",IF(N(INDEX('Menu Pricing'!$O$7:$O$56,$O388))&gt;0,INDEX('Menu Pricing'!$O$7:$O$56,$O388),""))))</f>
        <v/>
      </c>
      <c r="I388" s="71">
        <f>IF($N388&lt;&gt;"OK","",$D388*$H388)</f>
        <v/>
      </c>
      <c r="J388" s="71">
        <f>IF($N388&lt;&gt;"OK","",N(INDEX('Menu Pricing'!$F$7:$F$56,$O388))+N(INDEX('Menu Pricing'!$G$7:$G$56,$O388))+N(INDEX('Menu Pricing'!$J$7:$J$56,$O388)))</f>
        <v/>
      </c>
      <c r="K388" s="71">
        <f>IF($N388&lt;&gt;"OK","",$D388*$J388)</f>
        <v/>
      </c>
      <c r="L388" s="71">
        <f>IF($N388&lt;&gt;"OK","",$I388-$K388)</f>
        <v/>
      </c>
      <c r="M388" s="71">
        <f>IF($N388&lt;&gt;"OK","",$D388*N(INDEX('Menu Pricing'!$F$7:$F$56,$O388)))</f>
        <v/>
      </c>
      <c r="N388" s="80">
        <f>IF(AND($B388="",$C388="",$D388=""),"",IF(NOT(ISNUMBER($B388)),"Enter a valid date",IF($C388="","Pick a menu item",IF($O388="","Item not on Menu Pricing",IF(N($D388)&lt;=0,"Qty must be above 0",IF($H388="","No price on menu","OK"))))))</f>
        <v/>
      </c>
      <c r="O388" s="13">
        <f>IF($C388="","",IFERROR(MATCH($C388,'Menu Pricing'!$B$7:$B$56,0),""))</f>
        <v/>
      </c>
    </row>
    <row r="389" ht="17" customHeight="1">
      <c r="B389" s="66" t="n"/>
      <c r="C389" s="60" t="n"/>
      <c r="D389" s="86" t="n"/>
      <c r="E389" s="63" t="n"/>
      <c r="F389" s="60" t="n"/>
      <c r="G389" s="60" t="n"/>
      <c r="H389" s="71">
        <f>IF(OR($C389="",$D389=""),"",IF(ISNUMBER($E389),$E389,IF($O389="","",IF(N(INDEX('Menu Pricing'!$O$7:$O$56,$O389))&gt;0,INDEX('Menu Pricing'!$O$7:$O$56,$O389),""))))</f>
        <v/>
      </c>
      <c r="I389" s="71">
        <f>IF($N389&lt;&gt;"OK","",$D389*$H389)</f>
        <v/>
      </c>
      <c r="J389" s="71">
        <f>IF($N389&lt;&gt;"OK","",N(INDEX('Menu Pricing'!$F$7:$F$56,$O389))+N(INDEX('Menu Pricing'!$G$7:$G$56,$O389))+N(INDEX('Menu Pricing'!$J$7:$J$56,$O389)))</f>
        <v/>
      </c>
      <c r="K389" s="71">
        <f>IF($N389&lt;&gt;"OK","",$D389*$J389)</f>
        <v/>
      </c>
      <c r="L389" s="71">
        <f>IF($N389&lt;&gt;"OK","",$I389-$K389)</f>
        <v/>
      </c>
      <c r="M389" s="71">
        <f>IF($N389&lt;&gt;"OK","",$D389*N(INDEX('Menu Pricing'!$F$7:$F$56,$O389)))</f>
        <v/>
      </c>
      <c r="N389" s="80">
        <f>IF(AND($B389="",$C389="",$D389=""),"",IF(NOT(ISNUMBER($B389)),"Enter a valid date",IF($C389="","Pick a menu item",IF($O389="","Item not on Menu Pricing",IF(N($D389)&lt;=0,"Qty must be above 0",IF($H389="","No price on menu","OK"))))))</f>
        <v/>
      </c>
      <c r="O389" s="13">
        <f>IF($C389="","",IFERROR(MATCH($C389,'Menu Pricing'!$B$7:$B$56,0),""))</f>
        <v/>
      </c>
    </row>
    <row r="390" ht="17" customHeight="1">
      <c r="B390" s="66" t="n"/>
      <c r="C390" s="60" t="n"/>
      <c r="D390" s="86" t="n"/>
      <c r="E390" s="63" t="n"/>
      <c r="F390" s="60" t="n"/>
      <c r="G390" s="60" t="n"/>
      <c r="H390" s="71">
        <f>IF(OR($C390="",$D390=""),"",IF(ISNUMBER($E390),$E390,IF($O390="","",IF(N(INDEX('Menu Pricing'!$O$7:$O$56,$O390))&gt;0,INDEX('Menu Pricing'!$O$7:$O$56,$O390),""))))</f>
        <v/>
      </c>
      <c r="I390" s="71">
        <f>IF($N390&lt;&gt;"OK","",$D390*$H390)</f>
        <v/>
      </c>
      <c r="J390" s="71">
        <f>IF($N390&lt;&gt;"OK","",N(INDEX('Menu Pricing'!$F$7:$F$56,$O390))+N(INDEX('Menu Pricing'!$G$7:$G$56,$O390))+N(INDEX('Menu Pricing'!$J$7:$J$56,$O390)))</f>
        <v/>
      </c>
      <c r="K390" s="71">
        <f>IF($N390&lt;&gt;"OK","",$D390*$J390)</f>
        <v/>
      </c>
      <c r="L390" s="71">
        <f>IF($N390&lt;&gt;"OK","",$I390-$K390)</f>
        <v/>
      </c>
      <c r="M390" s="71">
        <f>IF($N390&lt;&gt;"OK","",$D390*N(INDEX('Menu Pricing'!$F$7:$F$56,$O390)))</f>
        <v/>
      </c>
      <c r="N390" s="80">
        <f>IF(AND($B390="",$C390="",$D390=""),"",IF(NOT(ISNUMBER($B390)),"Enter a valid date",IF($C390="","Pick a menu item",IF($O390="","Item not on Menu Pricing",IF(N($D390)&lt;=0,"Qty must be above 0",IF($H390="","No price on menu","OK"))))))</f>
        <v/>
      </c>
      <c r="O390" s="13">
        <f>IF($C390="","",IFERROR(MATCH($C390,'Menu Pricing'!$B$7:$B$56,0),""))</f>
        <v/>
      </c>
    </row>
    <row r="391" ht="17" customHeight="1">
      <c r="B391" s="66" t="n"/>
      <c r="C391" s="60" t="n"/>
      <c r="D391" s="86" t="n"/>
      <c r="E391" s="63" t="n"/>
      <c r="F391" s="60" t="n"/>
      <c r="G391" s="60" t="n"/>
      <c r="H391" s="71">
        <f>IF(OR($C391="",$D391=""),"",IF(ISNUMBER($E391),$E391,IF($O391="","",IF(N(INDEX('Menu Pricing'!$O$7:$O$56,$O391))&gt;0,INDEX('Menu Pricing'!$O$7:$O$56,$O391),""))))</f>
        <v/>
      </c>
      <c r="I391" s="71">
        <f>IF($N391&lt;&gt;"OK","",$D391*$H391)</f>
        <v/>
      </c>
      <c r="J391" s="71">
        <f>IF($N391&lt;&gt;"OK","",N(INDEX('Menu Pricing'!$F$7:$F$56,$O391))+N(INDEX('Menu Pricing'!$G$7:$G$56,$O391))+N(INDEX('Menu Pricing'!$J$7:$J$56,$O391)))</f>
        <v/>
      </c>
      <c r="K391" s="71">
        <f>IF($N391&lt;&gt;"OK","",$D391*$J391)</f>
        <v/>
      </c>
      <c r="L391" s="71">
        <f>IF($N391&lt;&gt;"OK","",$I391-$K391)</f>
        <v/>
      </c>
      <c r="M391" s="71">
        <f>IF($N391&lt;&gt;"OK","",$D391*N(INDEX('Menu Pricing'!$F$7:$F$56,$O391)))</f>
        <v/>
      </c>
      <c r="N391" s="80">
        <f>IF(AND($B391="",$C391="",$D391=""),"",IF(NOT(ISNUMBER($B391)),"Enter a valid date",IF($C391="","Pick a menu item",IF($O391="","Item not on Menu Pricing",IF(N($D391)&lt;=0,"Qty must be above 0",IF($H391="","No price on menu","OK"))))))</f>
        <v/>
      </c>
      <c r="O391" s="13">
        <f>IF($C391="","",IFERROR(MATCH($C391,'Menu Pricing'!$B$7:$B$56,0),""))</f>
        <v/>
      </c>
    </row>
    <row r="392" ht="17" customHeight="1">
      <c r="B392" s="66" t="n"/>
      <c r="C392" s="60" t="n"/>
      <c r="D392" s="86" t="n"/>
      <c r="E392" s="63" t="n"/>
      <c r="F392" s="60" t="n"/>
      <c r="G392" s="60" t="n"/>
      <c r="H392" s="71">
        <f>IF(OR($C392="",$D392=""),"",IF(ISNUMBER($E392),$E392,IF($O392="","",IF(N(INDEX('Menu Pricing'!$O$7:$O$56,$O392))&gt;0,INDEX('Menu Pricing'!$O$7:$O$56,$O392),""))))</f>
        <v/>
      </c>
      <c r="I392" s="71">
        <f>IF($N392&lt;&gt;"OK","",$D392*$H392)</f>
        <v/>
      </c>
      <c r="J392" s="71">
        <f>IF($N392&lt;&gt;"OK","",N(INDEX('Menu Pricing'!$F$7:$F$56,$O392))+N(INDEX('Menu Pricing'!$G$7:$G$56,$O392))+N(INDEX('Menu Pricing'!$J$7:$J$56,$O392)))</f>
        <v/>
      </c>
      <c r="K392" s="71">
        <f>IF($N392&lt;&gt;"OK","",$D392*$J392)</f>
        <v/>
      </c>
      <c r="L392" s="71">
        <f>IF($N392&lt;&gt;"OK","",$I392-$K392)</f>
        <v/>
      </c>
      <c r="M392" s="71">
        <f>IF($N392&lt;&gt;"OK","",$D392*N(INDEX('Menu Pricing'!$F$7:$F$56,$O392)))</f>
        <v/>
      </c>
      <c r="N392" s="80">
        <f>IF(AND($B392="",$C392="",$D392=""),"",IF(NOT(ISNUMBER($B392)),"Enter a valid date",IF($C392="","Pick a menu item",IF($O392="","Item not on Menu Pricing",IF(N($D392)&lt;=0,"Qty must be above 0",IF($H392="","No price on menu","OK"))))))</f>
        <v/>
      </c>
      <c r="O392" s="13">
        <f>IF($C392="","",IFERROR(MATCH($C392,'Menu Pricing'!$B$7:$B$56,0),""))</f>
        <v/>
      </c>
    </row>
    <row r="393" ht="17" customHeight="1">
      <c r="B393" s="66" t="n"/>
      <c r="C393" s="60" t="n"/>
      <c r="D393" s="86" t="n"/>
      <c r="E393" s="63" t="n"/>
      <c r="F393" s="60" t="n"/>
      <c r="G393" s="60" t="n"/>
      <c r="H393" s="71">
        <f>IF(OR($C393="",$D393=""),"",IF(ISNUMBER($E393),$E393,IF($O393="","",IF(N(INDEX('Menu Pricing'!$O$7:$O$56,$O393))&gt;0,INDEX('Menu Pricing'!$O$7:$O$56,$O393),""))))</f>
        <v/>
      </c>
      <c r="I393" s="71">
        <f>IF($N393&lt;&gt;"OK","",$D393*$H393)</f>
        <v/>
      </c>
      <c r="J393" s="71">
        <f>IF($N393&lt;&gt;"OK","",N(INDEX('Menu Pricing'!$F$7:$F$56,$O393))+N(INDEX('Menu Pricing'!$G$7:$G$56,$O393))+N(INDEX('Menu Pricing'!$J$7:$J$56,$O393)))</f>
        <v/>
      </c>
      <c r="K393" s="71">
        <f>IF($N393&lt;&gt;"OK","",$D393*$J393)</f>
        <v/>
      </c>
      <c r="L393" s="71">
        <f>IF($N393&lt;&gt;"OK","",$I393-$K393)</f>
        <v/>
      </c>
      <c r="M393" s="71">
        <f>IF($N393&lt;&gt;"OK","",$D393*N(INDEX('Menu Pricing'!$F$7:$F$56,$O393)))</f>
        <v/>
      </c>
      <c r="N393" s="80">
        <f>IF(AND($B393="",$C393="",$D393=""),"",IF(NOT(ISNUMBER($B393)),"Enter a valid date",IF($C393="","Pick a menu item",IF($O393="","Item not on Menu Pricing",IF(N($D393)&lt;=0,"Qty must be above 0",IF($H393="","No price on menu","OK"))))))</f>
        <v/>
      </c>
      <c r="O393" s="13">
        <f>IF($C393="","",IFERROR(MATCH($C393,'Menu Pricing'!$B$7:$B$56,0),""))</f>
        <v/>
      </c>
    </row>
    <row r="394" ht="17" customHeight="1">
      <c r="B394" s="66" t="n"/>
      <c r="C394" s="60" t="n"/>
      <c r="D394" s="86" t="n"/>
      <c r="E394" s="63" t="n"/>
      <c r="F394" s="60" t="n"/>
      <c r="G394" s="60" t="n"/>
      <c r="H394" s="71">
        <f>IF(OR($C394="",$D394=""),"",IF(ISNUMBER($E394),$E394,IF($O394="","",IF(N(INDEX('Menu Pricing'!$O$7:$O$56,$O394))&gt;0,INDEX('Menu Pricing'!$O$7:$O$56,$O394),""))))</f>
        <v/>
      </c>
      <c r="I394" s="71">
        <f>IF($N394&lt;&gt;"OK","",$D394*$H394)</f>
        <v/>
      </c>
      <c r="J394" s="71">
        <f>IF($N394&lt;&gt;"OK","",N(INDEX('Menu Pricing'!$F$7:$F$56,$O394))+N(INDEX('Menu Pricing'!$G$7:$G$56,$O394))+N(INDEX('Menu Pricing'!$J$7:$J$56,$O394)))</f>
        <v/>
      </c>
      <c r="K394" s="71">
        <f>IF($N394&lt;&gt;"OK","",$D394*$J394)</f>
        <v/>
      </c>
      <c r="L394" s="71">
        <f>IF($N394&lt;&gt;"OK","",$I394-$K394)</f>
        <v/>
      </c>
      <c r="M394" s="71">
        <f>IF($N394&lt;&gt;"OK","",$D394*N(INDEX('Menu Pricing'!$F$7:$F$56,$O394)))</f>
        <v/>
      </c>
      <c r="N394" s="80">
        <f>IF(AND($B394="",$C394="",$D394=""),"",IF(NOT(ISNUMBER($B394)),"Enter a valid date",IF($C394="","Pick a menu item",IF($O394="","Item not on Menu Pricing",IF(N($D394)&lt;=0,"Qty must be above 0",IF($H394="","No price on menu","OK"))))))</f>
        <v/>
      </c>
      <c r="O394" s="13">
        <f>IF($C394="","",IFERROR(MATCH($C394,'Menu Pricing'!$B$7:$B$56,0),""))</f>
        <v/>
      </c>
    </row>
    <row r="395" ht="17" customHeight="1">
      <c r="B395" s="66" t="n"/>
      <c r="C395" s="60" t="n"/>
      <c r="D395" s="86" t="n"/>
      <c r="E395" s="63" t="n"/>
      <c r="F395" s="60" t="n"/>
      <c r="G395" s="60" t="n"/>
      <c r="H395" s="71">
        <f>IF(OR($C395="",$D395=""),"",IF(ISNUMBER($E395),$E395,IF($O395="","",IF(N(INDEX('Menu Pricing'!$O$7:$O$56,$O395))&gt;0,INDEX('Menu Pricing'!$O$7:$O$56,$O395),""))))</f>
        <v/>
      </c>
      <c r="I395" s="71">
        <f>IF($N395&lt;&gt;"OK","",$D395*$H395)</f>
        <v/>
      </c>
      <c r="J395" s="71">
        <f>IF($N395&lt;&gt;"OK","",N(INDEX('Menu Pricing'!$F$7:$F$56,$O395))+N(INDEX('Menu Pricing'!$G$7:$G$56,$O395))+N(INDEX('Menu Pricing'!$J$7:$J$56,$O395)))</f>
        <v/>
      </c>
      <c r="K395" s="71">
        <f>IF($N395&lt;&gt;"OK","",$D395*$J395)</f>
        <v/>
      </c>
      <c r="L395" s="71">
        <f>IF($N395&lt;&gt;"OK","",$I395-$K395)</f>
        <v/>
      </c>
      <c r="M395" s="71">
        <f>IF($N395&lt;&gt;"OK","",$D395*N(INDEX('Menu Pricing'!$F$7:$F$56,$O395)))</f>
        <v/>
      </c>
      <c r="N395" s="80">
        <f>IF(AND($B395="",$C395="",$D395=""),"",IF(NOT(ISNUMBER($B395)),"Enter a valid date",IF($C395="","Pick a menu item",IF($O395="","Item not on Menu Pricing",IF(N($D395)&lt;=0,"Qty must be above 0",IF($H395="","No price on menu","OK"))))))</f>
        <v/>
      </c>
      <c r="O395" s="13">
        <f>IF($C395="","",IFERROR(MATCH($C395,'Menu Pricing'!$B$7:$B$56,0),""))</f>
        <v/>
      </c>
    </row>
    <row r="396" ht="17" customHeight="1">
      <c r="B396" s="66" t="n"/>
      <c r="C396" s="60" t="n"/>
      <c r="D396" s="86" t="n"/>
      <c r="E396" s="63" t="n"/>
      <c r="F396" s="60" t="n"/>
      <c r="G396" s="60" t="n"/>
      <c r="H396" s="71">
        <f>IF(OR($C396="",$D396=""),"",IF(ISNUMBER($E396),$E396,IF($O396="","",IF(N(INDEX('Menu Pricing'!$O$7:$O$56,$O396))&gt;0,INDEX('Menu Pricing'!$O$7:$O$56,$O396),""))))</f>
        <v/>
      </c>
      <c r="I396" s="71">
        <f>IF($N396&lt;&gt;"OK","",$D396*$H396)</f>
        <v/>
      </c>
      <c r="J396" s="71">
        <f>IF($N396&lt;&gt;"OK","",N(INDEX('Menu Pricing'!$F$7:$F$56,$O396))+N(INDEX('Menu Pricing'!$G$7:$G$56,$O396))+N(INDEX('Menu Pricing'!$J$7:$J$56,$O396)))</f>
        <v/>
      </c>
      <c r="K396" s="71">
        <f>IF($N396&lt;&gt;"OK","",$D396*$J396)</f>
        <v/>
      </c>
      <c r="L396" s="71">
        <f>IF($N396&lt;&gt;"OK","",$I396-$K396)</f>
        <v/>
      </c>
      <c r="M396" s="71">
        <f>IF($N396&lt;&gt;"OK","",$D396*N(INDEX('Menu Pricing'!$F$7:$F$56,$O396)))</f>
        <v/>
      </c>
      <c r="N396" s="80">
        <f>IF(AND($B396="",$C396="",$D396=""),"",IF(NOT(ISNUMBER($B396)),"Enter a valid date",IF($C396="","Pick a menu item",IF($O396="","Item not on Menu Pricing",IF(N($D396)&lt;=0,"Qty must be above 0",IF($H396="","No price on menu","OK"))))))</f>
        <v/>
      </c>
      <c r="O396" s="13">
        <f>IF($C396="","",IFERROR(MATCH($C396,'Menu Pricing'!$B$7:$B$56,0),""))</f>
        <v/>
      </c>
    </row>
    <row r="397" ht="17" customHeight="1">
      <c r="B397" s="66" t="n"/>
      <c r="C397" s="60" t="n"/>
      <c r="D397" s="86" t="n"/>
      <c r="E397" s="63" t="n"/>
      <c r="F397" s="60" t="n"/>
      <c r="G397" s="60" t="n"/>
      <c r="H397" s="71">
        <f>IF(OR($C397="",$D397=""),"",IF(ISNUMBER($E397),$E397,IF($O397="","",IF(N(INDEX('Menu Pricing'!$O$7:$O$56,$O397))&gt;0,INDEX('Menu Pricing'!$O$7:$O$56,$O397),""))))</f>
        <v/>
      </c>
      <c r="I397" s="71">
        <f>IF($N397&lt;&gt;"OK","",$D397*$H397)</f>
        <v/>
      </c>
      <c r="J397" s="71">
        <f>IF($N397&lt;&gt;"OK","",N(INDEX('Menu Pricing'!$F$7:$F$56,$O397))+N(INDEX('Menu Pricing'!$G$7:$G$56,$O397))+N(INDEX('Menu Pricing'!$J$7:$J$56,$O397)))</f>
        <v/>
      </c>
      <c r="K397" s="71">
        <f>IF($N397&lt;&gt;"OK","",$D397*$J397)</f>
        <v/>
      </c>
      <c r="L397" s="71">
        <f>IF($N397&lt;&gt;"OK","",$I397-$K397)</f>
        <v/>
      </c>
      <c r="M397" s="71">
        <f>IF($N397&lt;&gt;"OK","",$D397*N(INDEX('Menu Pricing'!$F$7:$F$56,$O397)))</f>
        <v/>
      </c>
      <c r="N397" s="80">
        <f>IF(AND($B397="",$C397="",$D397=""),"",IF(NOT(ISNUMBER($B397)),"Enter a valid date",IF($C397="","Pick a menu item",IF($O397="","Item not on Menu Pricing",IF(N($D397)&lt;=0,"Qty must be above 0",IF($H397="","No price on menu","OK"))))))</f>
        <v/>
      </c>
      <c r="O397" s="13">
        <f>IF($C397="","",IFERROR(MATCH($C397,'Menu Pricing'!$B$7:$B$56,0),""))</f>
        <v/>
      </c>
    </row>
    <row r="398" ht="17" customHeight="1">
      <c r="B398" s="66" t="n"/>
      <c r="C398" s="60" t="n"/>
      <c r="D398" s="86" t="n"/>
      <c r="E398" s="63" t="n"/>
      <c r="F398" s="60" t="n"/>
      <c r="G398" s="60" t="n"/>
      <c r="H398" s="71">
        <f>IF(OR($C398="",$D398=""),"",IF(ISNUMBER($E398),$E398,IF($O398="","",IF(N(INDEX('Menu Pricing'!$O$7:$O$56,$O398))&gt;0,INDEX('Menu Pricing'!$O$7:$O$56,$O398),""))))</f>
        <v/>
      </c>
      <c r="I398" s="71">
        <f>IF($N398&lt;&gt;"OK","",$D398*$H398)</f>
        <v/>
      </c>
      <c r="J398" s="71">
        <f>IF($N398&lt;&gt;"OK","",N(INDEX('Menu Pricing'!$F$7:$F$56,$O398))+N(INDEX('Menu Pricing'!$G$7:$G$56,$O398))+N(INDEX('Menu Pricing'!$J$7:$J$56,$O398)))</f>
        <v/>
      </c>
      <c r="K398" s="71">
        <f>IF($N398&lt;&gt;"OK","",$D398*$J398)</f>
        <v/>
      </c>
      <c r="L398" s="71">
        <f>IF($N398&lt;&gt;"OK","",$I398-$K398)</f>
        <v/>
      </c>
      <c r="M398" s="71">
        <f>IF($N398&lt;&gt;"OK","",$D398*N(INDEX('Menu Pricing'!$F$7:$F$56,$O398)))</f>
        <v/>
      </c>
      <c r="N398" s="80">
        <f>IF(AND($B398="",$C398="",$D398=""),"",IF(NOT(ISNUMBER($B398)),"Enter a valid date",IF($C398="","Pick a menu item",IF($O398="","Item not on Menu Pricing",IF(N($D398)&lt;=0,"Qty must be above 0",IF($H398="","No price on menu","OK"))))))</f>
        <v/>
      </c>
      <c r="O398" s="13">
        <f>IF($C398="","",IFERROR(MATCH($C398,'Menu Pricing'!$B$7:$B$56,0),""))</f>
        <v/>
      </c>
    </row>
    <row r="399" ht="17" customHeight="1">
      <c r="B399" s="66" t="n"/>
      <c r="C399" s="60" t="n"/>
      <c r="D399" s="86" t="n"/>
      <c r="E399" s="63" t="n"/>
      <c r="F399" s="60" t="n"/>
      <c r="G399" s="60" t="n"/>
      <c r="H399" s="71">
        <f>IF(OR($C399="",$D399=""),"",IF(ISNUMBER($E399),$E399,IF($O399="","",IF(N(INDEX('Menu Pricing'!$O$7:$O$56,$O399))&gt;0,INDEX('Menu Pricing'!$O$7:$O$56,$O399),""))))</f>
        <v/>
      </c>
      <c r="I399" s="71">
        <f>IF($N399&lt;&gt;"OK","",$D399*$H399)</f>
        <v/>
      </c>
      <c r="J399" s="71">
        <f>IF($N399&lt;&gt;"OK","",N(INDEX('Menu Pricing'!$F$7:$F$56,$O399))+N(INDEX('Menu Pricing'!$G$7:$G$56,$O399))+N(INDEX('Menu Pricing'!$J$7:$J$56,$O399)))</f>
        <v/>
      </c>
      <c r="K399" s="71">
        <f>IF($N399&lt;&gt;"OK","",$D399*$J399)</f>
        <v/>
      </c>
      <c r="L399" s="71">
        <f>IF($N399&lt;&gt;"OK","",$I399-$K399)</f>
        <v/>
      </c>
      <c r="M399" s="71">
        <f>IF($N399&lt;&gt;"OK","",$D399*N(INDEX('Menu Pricing'!$F$7:$F$56,$O399)))</f>
        <v/>
      </c>
      <c r="N399" s="80">
        <f>IF(AND($B399="",$C399="",$D399=""),"",IF(NOT(ISNUMBER($B399)),"Enter a valid date",IF($C399="","Pick a menu item",IF($O399="","Item not on Menu Pricing",IF(N($D399)&lt;=0,"Qty must be above 0",IF($H399="","No price on menu","OK"))))))</f>
        <v/>
      </c>
      <c r="O399" s="13">
        <f>IF($C399="","",IFERROR(MATCH($C399,'Menu Pricing'!$B$7:$B$56,0),""))</f>
        <v/>
      </c>
    </row>
    <row r="400" ht="17" customHeight="1">
      <c r="B400" s="66" t="n"/>
      <c r="C400" s="60" t="n"/>
      <c r="D400" s="86" t="n"/>
      <c r="E400" s="63" t="n"/>
      <c r="F400" s="60" t="n"/>
      <c r="G400" s="60" t="n"/>
      <c r="H400" s="71">
        <f>IF(OR($C400="",$D400=""),"",IF(ISNUMBER($E400),$E400,IF($O400="","",IF(N(INDEX('Menu Pricing'!$O$7:$O$56,$O400))&gt;0,INDEX('Menu Pricing'!$O$7:$O$56,$O400),""))))</f>
        <v/>
      </c>
      <c r="I400" s="71">
        <f>IF($N400&lt;&gt;"OK","",$D400*$H400)</f>
        <v/>
      </c>
      <c r="J400" s="71">
        <f>IF($N400&lt;&gt;"OK","",N(INDEX('Menu Pricing'!$F$7:$F$56,$O400))+N(INDEX('Menu Pricing'!$G$7:$G$56,$O400))+N(INDEX('Menu Pricing'!$J$7:$J$56,$O400)))</f>
        <v/>
      </c>
      <c r="K400" s="71">
        <f>IF($N400&lt;&gt;"OK","",$D400*$J400)</f>
        <v/>
      </c>
      <c r="L400" s="71">
        <f>IF($N400&lt;&gt;"OK","",$I400-$K400)</f>
        <v/>
      </c>
      <c r="M400" s="71">
        <f>IF($N400&lt;&gt;"OK","",$D400*N(INDEX('Menu Pricing'!$F$7:$F$56,$O400)))</f>
        <v/>
      </c>
      <c r="N400" s="80">
        <f>IF(AND($B400="",$C400="",$D400=""),"",IF(NOT(ISNUMBER($B400)),"Enter a valid date",IF($C400="","Pick a menu item",IF($O400="","Item not on Menu Pricing",IF(N($D400)&lt;=0,"Qty must be above 0",IF($H400="","No price on menu","OK"))))))</f>
        <v/>
      </c>
      <c r="O400" s="13">
        <f>IF($C400="","",IFERROR(MATCH($C400,'Menu Pricing'!$B$7:$B$56,0),""))</f>
        <v/>
      </c>
    </row>
    <row r="401" ht="17" customHeight="1">
      <c r="B401" s="66" t="n"/>
      <c r="C401" s="60" t="n"/>
      <c r="D401" s="86" t="n"/>
      <c r="E401" s="63" t="n"/>
      <c r="F401" s="60" t="n"/>
      <c r="G401" s="60" t="n"/>
      <c r="H401" s="71">
        <f>IF(OR($C401="",$D401=""),"",IF(ISNUMBER($E401),$E401,IF($O401="","",IF(N(INDEX('Menu Pricing'!$O$7:$O$56,$O401))&gt;0,INDEX('Menu Pricing'!$O$7:$O$56,$O401),""))))</f>
        <v/>
      </c>
      <c r="I401" s="71">
        <f>IF($N401&lt;&gt;"OK","",$D401*$H401)</f>
        <v/>
      </c>
      <c r="J401" s="71">
        <f>IF($N401&lt;&gt;"OK","",N(INDEX('Menu Pricing'!$F$7:$F$56,$O401))+N(INDEX('Menu Pricing'!$G$7:$G$56,$O401))+N(INDEX('Menu Pricing'!$J$7:$J$56,$O401)))</f>
        <v/>
      </c>
      <c r="K401" s="71">
        <f>IF($N401&lt;&gt;"OK","",$D401*$J401)</f>
        <v/>
      </c>
      <c r="L401" s="71">
        <f>IF($N401&lt;&gt;"OK","",$I401-$K401)</f>
        <v/>
      </c>
      <c r="M401" s="71">
        <f>IF($N401&lt;&gt;"OK","",$D401*N(INDEX('Menu Pricing'!$F$7:$F$56,$O401)))</f>
        <v/>
      </c>
      <c r="N401" s="80">
        <f>IF(AND($B401="",$C401="",$D401=""),"",IF(NOT(ISNUMBER($B401)),"Enter a valid date",IF($C401="","Pick a menu item",IF($O401="","Item not on Menu Pricing",IF(N($D401)&lt;=0,"Qty must be above 0",IF($H401="","No price on menu","OK"))))))</f>
        <v/>
      </c>
      <c r="O401" s="13">
        <f>IF($C401="","",IFERROR(MATCH($C401,'Menu Pricing'!$B$7:$B$56,0),""))</f>
        <v/>
      </c>
    </row>
    <row r="402" ht="17" customHeight="1">
      <c r="B402" s="66" t="n"/>
      <c r="C402" s="60" t="n"/>
      <c r="D402" s="86" t="n"/>
      <c r="E402" s="63" t="n"/>
      <c r="F402" s="60" t="n"/>
      <c r="G402" s="60" t="n"/>
      <c r="H402" s="71">
        <f>IF(OR($C402="",$D402=""),"",IF(ISNUMBER($E402),$E402,IF($O402="","",IF(N(INDEX('Menu Pricing'!$O$7:$O$56,$O402))&gt;0,INDEX('Menu Pricing'!$O$7:$O$56,$O402),""))))</f>
        <v/>
      </c>
      <c r="I402" s="71">
        <f>IF($N402&lt;&gt;"OK","",$D402*$H402)</f>
        <v/>
      </c>
      <c r="J402" s="71">
        <f>IF($N402&lt;&gt;"OK","",N(INDEX('Menu Pricing'!$F$7:$F$56,$O402))+N(INDEX('Menu Pricing'!$G$7:$G$56,$O402))+N(INDEX('Menu Pricing'!$J$7:$J$56,$O402)))</f>
        <v/>
      </c>
      <c r="K402" s="71">
        <f>IF($N402&lt;&gt;"OK","",$D402*$J402)</f>
        <v/>
      </c>
      <c r="L402" s="71">
        <f>IF($N402&lt;&gt;"OK","",$I402-$K402)</f>
        <v/>
      </c>
      <c r="M402" s="71">
        <f>IF($N402&lt;&gt;"OK","",$D402*N(INDEX('Menu Pricing'!$F$7:$F$56,$O402)))</f>
        <v/>
      </c>
      <c r="N402" s="80">
        <f>IF(AND($B402="",$C402="",$D402=""),"",IF(NOT(ISNUMBER($B402)),"Enter a valid date",IF($C402="","Pick a menu item",IF($O402="","Item not on Menu Pricing",IF(N($D402)&lt;=0,"Qty must be above 0",IF($H402="","No price on menu","OK"))))))</f>
        <v/>
      </c>
      <c r="O402" s="13">
        <f>IF($C402="","",IFERROR(MATCH($C402,'Menu Pricing'!$B$7:$B$56,0),""))</f>
        <v/>
      </c>
    </row>
    <row r="403" ht="17" customHeight="1">
      <c r="B403" s="66" t="n"/>
      <c r="C403" s="60" t="n"/>
      <c r="D403" s="86" t="n"/>
      <c r="E403" s="63" t="n"/>
      <c r="F403" s="60" t="n"/>
      <c r="G403" s="60" t="n"/>
      <c r="H403" s="71">
        <f>IF(OR($C403="",$D403=""),"",IF(ISNUMBER($E403),$E403,IF($O403="","",IF(N(INDEX('Menu Pricing'!$O$7:$O$56,$O403))&gt;0,INDEX('Menu Pricing'!$O$7:$O$56,$O403),""))))</f>
        <v/>
      </c>
      <c r="I403" s="71">
        <f>IF($N403&lt;&gt;"OK","",$D403*$H403)</f>
        <v/>
      </c>
      <c r="J403" s="71">
        <f>IF($N403&lt;&gt;"OK","",N(INDEX('Menu Pricing'!$F$7:$F$56,$O403))+N(INDEX('Menu Pricing'!$G$7:$G$56,$O403))+N(INDEX('Menu Pricing'!$J$7:$J$56,$O403)))</f>
        <v/>
      </c>
      <c r="K403" s="71">
        <f>IF($N403&lt;&gt;"OK","",$D403*$J403)</f>
        <v/>
      </c>
      <c r="L403" s="71">
        <f>IF($N403&lt;&gt;"OK","",$I403-$K403)</f>
        <v/>
      </c>
      <c r="M403" s="71">
        <f>IF($N403&lt;&gt;"OK","",$D403*N(INDEX('Menu Pricing'!$F$7:$F$56,$O403)))</f>
        <v/>
      </c>
      <c r="N403" s="80">
        <f>IF(AND($B403="",$C403="",$D403=""),"",IF(NOT(ISNUMBER($B403)),"Enter a valid date",IF($C403="","Pick a menu item",IF($O403="","Item not on Menu Pricing",IF(N($D403)&lt;=0,"Qty must be above 0",IF($H403="","No price on menu","OK"))))))</f>
        <v/>
      </c>
      <c r="O403" s="13">
        <f>IF($C403="","",IFERROR(MATCH($C403,'Menu Pricing'!$B$7:$B$56,0),""))</f>
        <v/>
      </c>
    </row>
    <row r="404" ht="17" customHeight="1">
      <c r="B404" s="66" t="n"/>
      <c r="C404" s="60" t="n"/>
      <c r="D404" s="86" t="n"/>
      <c r="E404" s="63" t="n"/>
      <c r="F404" s="60" t="n"/>
      <c r="G404" s="60" t="n"/>
      <c r="H404" s="71">
        <f>IF(OR($C404="",$D404=""),"",IF(ISNUMBER($E404),$E404,IF($O404="","",IF(N(INDEX('Menu Pricing'!$O$7:$O$56,$O404))&gt;0,INDEX('Menu Pricing'!$O$7:$O$56,$O404),""))))</f>
        <v/>
      </c>
      <c r="I404" s="71">
        <f>IF($N404&lt;&gt;"OK","",$D404*$H404)</f>
        <v/>
      </c>
      <c r="J404" s="71">
        <f>IF($N404&lt;&gt;"OK","",N(INDEX('Menu Pricing'!$F$7:$F$56,$O404))+N(INDEX('Menu Pricing'!$G$7:$G$56,$O404))+N(INDEX('Menu Pricing'!$J$7:$J$56,$O404)))</f>
        <v/>
      </c>
      <c r="K404" s="71">
        <f>IF($N404&lt;&gt;"OK","",$D404*$J404)</f>
        <v/>
      </c>
      <c r="L404" s="71">
        <f>IF($N404&lt;&gt;"OK","",$I404-$K404)</f>
        <v/>
      </c>
      <c r="M404" s="71">
        <f>IF($N404&lt;&gt;"OK","",$D404*N(INDEX('Menu Pricing'!$F$7:$F$56,$O404)))</f>
        <v/>
      </c>
      <c r="N404" s="80">
        <f>IF(AND($B404="",$C404="",$D404=""),"",IF(NOT(ISNUMBER($B404)),"Enter a valid date",IF($C404="","Pick a menu item",IF($O404="","Item not on Menu Pricing",IF(N($D404)&lt;=0,"Qty must be above 0",IF($H404="","No price on menu","OK"))))))</f>
        <v/>
      </c>
      <c r="O404" s="13">
        <f>IF($C404="","",IFERROR(MATCH($C404,'Menu Pricing'!$B$7:$B$56,0),""))</f>
        <v/>
      </c>
    </row>
    <row r="405" ht="17" customHeight="1">
      <c r="B405" s="66" t="n"/>
      <c r="C405" s="60" t="n"/>
      <c r="D405" s="86" t="n"/>
      <c r="E405" s="63" t="n"/>
      <c r="F405" s="60" t="n"/>
      <c r="G405" s="60" t="n"/>
      <c r="H405" s="71">
        <f>IF(OR($C405="",$D405=""),"",IF(ISNUMBER($E405),$E405,IF($O405="","",IF(N(INDEX('Menu Pricing'!$O$7:$O$56,$O405))&gt;0,INDEX('Menu Pricing'!$O$7:$O$56,$O405),""))))</f>
        <v/>
      </c>
      <c r="I405" s="71">
        <f>IF($N405&lt;&gt;"OK","",$D405*$H405)</f>
        <v/>
      </c>
      <c r="J405" s="71">
        <f>IF($N405&lt;&gt;"OK","",N(INDEX('Menu Pricing'!$F$7:$F$56,$O405))+N(INDEX('Menu Pricing'!$G$7:$G$56,$O405))+N(INDEX('Menu Pricing'!$J$7:$J$56,$O405)))</f>
        <v/>
      </c>
      <c r="K405" s="71">
        <f>IF($N405&lt;&gt;"OK","",$D405*$J405)</f>
        <v/>
      </c>
      <c r="L405" s="71">
        <f>IF($N405&lt;&gt;"OK","",$I405-$K405)</f>
        <v/>
      </c>
      <c r="M405" s="71">
        <f>IF($N405&lt;&gt;"OK","",$D405*N(INDEX('Menu Pricing'!$F$7:$F$56,$O405)))</f>
        <v/>
      </c>
      <c r="N405" s="80">
        <f>IF(AND($B405="",$C405="",$D405=""),"",IF(NOT(ISNUMBER($B405)),"Enter a valid date",IF($C405="","Pick a menu item",IF($O405="","Item not on Menu Pricing",IF(N($D405)&lt;=0,"Qty must be above 0",IF($H405="","No price on menu","OK"))))))</f>
        <v/>
      </c>
      <c r="O405" s="13">
        <f>IF($C405="","",IFERROR(MATCH($C405,'Menu Pricing'!$B$7:$B$56,0),""))</f>
        <v/>
      </c>
    </row>
    <row r="406" ht="17" customHeight="1">
      <c r="B406" s="66" t="n"/>
      <c r="C406" s="60" t="n"/>
      <c r="D406" s="86" t="n"/>
      <c r="E406" s="63" t="n"/>
      <c r="F406" s="60" t="n"/>
      <c r="G406" s="60" t="n"/>
      <c r="H406" s="71">
        <f>IF(OR($C406="",$D406=""),"",IF(ISNUMBER($E406),$E406,IF($O406="","",IF(N(INDEX('Menu Pricing'!$O$7:$O$56,$O406))&gt;0,INDEX('Menu Pricing'!$O$7:$O$56,$O406),""))))</f>
        <v/>
      </c>
      <c r="I406" s="71">
        <f>IF($N406&lt;&gt;"OK","",$D406*$H406)</f>
        <v/>
      </c>
      <c r="J406" s="71">
        <f>IF($N406&lt;&gt;"OK","",N(INDEX('Menu Pricing'!$F$7:$F$56,$O406))+N(INDEX('Menu Pricing'!$G$7:$G$56,$O406))+N(INDEX('Menu Pricing'!$J$7:$J$56,$O406)))</f>
        <v/>
      </c>
      <c r="K406" s="71">
        <f>IF($N406&lt;&gt;"OK","",$D406*$J406)</f>
        <v/>
      </c>
      <c r="L406" s="71">
        <f>IF($N406&lt;&gt;"OK","",$I406-$K406)</f>
        <v/>
      </c>
      <c r="M406" s="71">
        <f>IF($N406&lt;&gt;"OK","",$D406*N(INDEX('Menu Pricing'!$F$7:$F$56,$O406)))</f>
        <v/>
      </c>
      <c r="N406" s="80">
        <f>IF(AND($B406="",$C406="",$D406=""),"",IF(NOT(ISNUMBER($B406)),"Enter a valid date",IF($C406="","Pick a menu item",IF($O406="","Item not on Menu Pricing",IF(N($D406)&lt;=0,"Qty must be above 0",IF($H406="","No price on menu","OK"))))))</f>
        <v/>
      </c>
      <c r="O406" s="13">
        <f>IF($C406="","",IFERROR(MATCH($C406,'Menu Pricing'!$B$7:$B$56,0),""))</f>
        <v/>
      </c>
    </row>
    <row r="407" ht="17" customHeight="1">
      <c r="B407" s="66" t="n"/>
      <c r="C407" s="60" t="n"/>
      <c r="D407" s="86" t="n"/>
      <c r="E407" s="63" t="n"/>
      <c r="F407" s="60" t="n"/>
      <c r="G407" s="60" t="n"/>
      <c r="H407" s="71">
        <f>IF(OR($C407="",$D407=""),"",IF(ISNUMBER($E407),$E407,IF($O407="","",IF(N(INDEX('Menu Pricing'!$O$7:$O$56,$O407))&gt;0,INDEX('Menu Pricing'!$O$7:$O$56,$O407),""))))</f>
        <v/>
      </c>
      <c r="I407" s="71">
        <f>IF($N407&lt;&gt;"OK","",$D407*$H407)</f>
        <v/>
      </c>
      <c r="J407" s="71">
        <f>IF($N407&lt;&gt;"OK","",N(INDEX('Menu Pricing'!$F$7:$F$56,$O407))+N(INDEX('Menu Pricing'!$G$7:$G$56,$O407))+N(INDEX('Menu Pricing'!$J$7:$J$56,$O407)))</f>
        <v/>
      </c>
      <c r="K407" s="71">
        <f>IF($N407&lt;&gt;"OK","",$D407*$J407)</f>
        <v/>
      </c>
      <c r="L407" s="71">
        <f>IF($N407&lt;&gt;"OK","",$I407-$K407)</f>
        <v/>
      </c>
      <c r="M407" s="71">
        <f>IF($N407&lt;&gt;"OK","",$D407*N(INDEX('Menu Pricing'!$F$7:$F$56,$O407)))</f>
        <v/>
      </c>
      <c r="N407" s="80">
        <f>IF(AND($B407="",$C407="",$D407=""),"",IF(NOT(ISNUMBER($B407)),"Enter a valid date",IF($C407="","Pick a menu item",IF($O407="","Item not on Menu Pricing",IF(N($D407)&lt;=0,"Qty must be above 0",IF($H407="","No price on menu","OK"))))))</f>
        <v/>
      </c>
      <c r="O407" s="13">
        <f>IF($C407="","",IFERROR(MATCH($C407,'Menu Pricing'!$B$7:$B$56,0),""))</f>
        <v/>
      </c>
    </row>
    <row r="408" ht="17" customHeight="1">
      <c r="B408" s="66" t="n"/>
      <c r="C408" s="60" t="n"/>
      <c r="D408" s="86" t="n"/>
      <c r="E408" s="63" t="n"/>
      <c r="F408" s="60" t="n"/>
      <c r="G408" s="60" t="n"/>
      <c r="H408" s="71">
        <f>IF(OR($C408="",$D408=""),"",IF(ISNUMBER($E408),$E408,IF($O408="","",IF(N(INDEX('Menu Pricing'!$O$7:$O$56,$O408))&gt;0,INDEX('Menu Pricing'!$O$7:$O$56,$O408),""))))</f>
        <v/>
      </c>
      <c r="I408" s="71">
        <f>IF($N408&lt;&gt;"OK","",$D408*$H408)</f>
        <v/>
      </c>
      <c r="J408" s="71">
        <f>IF($N408&lt;&gt;"OK","",N(INDEX('Menu Pricing'!$F$7:$F$56,$O408))+N(INDEX('Menu Pricing'!$G$7:$G$56,$O408))+N(INDEX('Menu Pricing'!$J$7:$J$56,$O408)))</f>
        <v/>
      </c>
      <c r="K408" s="71">
        <f>IF($N408&lt;&gt;"OK","",$D408*$J408)</f>
        <v/>
      </c>
      <c r="L408" s="71">
        <f>IF($N408&lt;&gt;"OK","",$I408-$K408)</f>
        <v/>
      </c>
      <c r="M408" s="71">
        <f>IF($N408&lt;&gt;"OK","",$D408*N(INDEX('Menu Pricing'!$F$7:$F$56,$O408)))</f>
        <v/>
      </c>
      <c r="N408" s="80">
        <f>IF(AND($B408="",$C408="",$D408=""),"",IF(NOT(ISNUMBER($B408)),"Enter a valid date",IF($C408="","Pick a menu item",IF($O408="","Item not on Menu Pricing",IF(N($D408)&lt;=0,"Qty must be above 0",IF($H408="","No price on menu","OK"))))))</f>
        <v/>
      </c>
      <c r="O408" s="13">
        <f>IF($C408="","",IFERROR(MATCH($C408,'Menu Pricing'!$B$7:$B$56,0),""))</f>
        <v/>
      </c>
    </row>
    <row r="409" ht="17" customHeight="1">
      <c r="B409" s="66" t="n"/>
      <c r="C409" s="60" t="n"/>
      <c r="D409" s="86" t="n"/>
      <c r="E409" s="63" t="n"/>
      <c r="F409" s="60" t="n"/>
      <c r="G409" s="60" t="n"/>
      <c r="H409" s="71">
        <f>IF(OR($C409="",$D409=""),"",IF(ISNUMBER($E409),$E409,IF($O409="","",IF(N(INDEX('Menu Pricing'!$O$7:$O$56,$O409))&gt;0,INDEX('Menu Pricing'!$O$7:$O$56,$O409),""))))</f>
        <v/>
      </c>
      <c r="I409" s="71">
        <f>IF($N409&lt;&gt;"OK","",$D409*$H409)</f>
        <v/>
      </c>
      <c r="J409" s="71">
        <f>IF($N409&lt;&gt;"OK","",N(INDEX('Menu Pricing'!$F$7:$F$56,$O409))+N(INDEX('Menu Pricing'!$G$7:$G$56,$O409))+N(INDEX('Menu Pricing'!$J$7:$J$56,$O409)))</f>
        <v/>
      </c>
      <c r="K409" s="71">
        <f>IF($N409&lt;&gt;"OK","",$D409*$J409)</f>
        <v/>
      </c>
      <c r="L409" s="71">
        <f>IF($N409&lt;&gt;"OK","",$I409-$K409)</f>
        <v/>
      </c>
      <c r="M409" s="71">
        <f>IF($N409&lt;&gt;"OK","",$D409*N(INDEX('Menu Pricing'!$F$7:$F$56,$O409)))</f>
        <v/>
      </c>
      <c r="N409" s="80">
        <f>IF(AND($B409="",$C409="",$D409=""),"",IF(NOT(ISNUMBER($B409)),"Enter a valid date",IF($C409="","Pick a menu item",IF($O409="","Item not on Menu Pricing",IF(N($D409)&lt;=0,"Qty must be above 0",IF($H409="","No price on menu","OK"))))))</f>
        <v/>
      </c>
      <c r="O409" s="13">
        <f>IF($C409="","",IFERROR(MATCH($C409,'Menu Pricing'!$B$7:$B$56,0),""))</f>
        <v/>
      </c>
    </row>
    <row r="410" ht="17" customHeight="1">
      <c r="B410" s="66" t="n"/>
      <c r="C410" s="60" t="n"/>
      <c r="D410" s="86" t="n"/>
      <c r="E410" s="63" t="n"/>
      <c r="F410" s="60" t="n"/>
      <c r="G410" s="60" t="n"/>
      <c r="H410" s="71">
        <f>IF(OR($C410="",$D410=""),"",IF(ISNUMBER($E410),$E410,IF($O410="","",IF(N(INDEX('Menu Pricing'!$O$7:$O$56,$O410))&gt;0,INDEX('Menu Pricing'!$O$7:$O$56,$O410),""))))</f>
        <v/>
      </c>
      <c r="I410" s="71">
        <f>IF($N410&lt;&gt;"OK","",$D410*$H410)</f>
        <v/>
      </c>
      <c r="J410" s="71">
        <f>IF($N410&lt;&gt;"OK","",N(INDEX('Menu Pricing'!$F$7:$F$56,$O410))+N(INDEX('Menu Pricing'!$G$7:$G$56,$O410))+N(INDEX('Menu Pricing'!$J$7:$J$56,$O410)))</f>
        <v/>
      </c>
      <c r="K410" s="71">
        <f>IF($N410&lt;&gt;"OK","",$D410*$J410)</f>
        <v/>
      </c>
      <c r="L410" s="71">
        <f>IF($N410&lt;&gt;"OK","",$I410-$K410)</f>
        <v/>
      </c>
      <c r="M410" s="71">
        <f>IF($N410&lt;&gt;"OK","",$D410*N(INDEX('Menu Pricing'!$F$7:$F$56,$O410)))</f>
        <v/>
      </c>
      <c r="N410" s="80">
        <f>IF(AND($B410="",$C410="",$D410=""),"",IF(NOT(ISNUMBER($B410)),"Enter a valid date",IF($C410="","Pick a menu item",IF($O410="","Item not on Menu Pricing",IF(N($D410)&lt;=0,"Qty must be above 0",IF($H410="","No price on menu","OK"))))))</f>
        <v/>
      </c>
      <c r="O410" s="13">
        <f>IF($C410="","",IFERROR(MATCH($C410,'Menu Pricing'!$B$7:$B$56,0),""))</f>
        <v/>
      </c>
    </row>
    <row r="411" ht="17" customHeight="1">
      <c r="B411" s="66" t="n"/>
      <c r="C411" s="60" t="n"/>
      <c r="D411" s="86" t="n"/>
      <c r="E411" s="63" t="n"/>
      <c r="F411" s="60" t="n"/>
      <c r="G411" s="60" t="n"/>
      <c r="H411" s="71">
        <f>IF(OR($C411="",$D411=""),"",IF(ISNUMBER($E411),$E411,IF($O411="","",IF(N(INDEX('Menu Pricing'!$O$7:$O$56,$O411))&gt;0,INDEX('Menu Pricing'!$O$7:$O$56,$O411),""))))</f>
        <v/>
      </c>
      <c r="I411" s="71">
        <f>IF($N411&lt;&gt;"OK","",$D411*$H411)</f>
        <v/>
      </c>
      <c r="J411" s="71">
        <f>IF($N411&lt;&gt;"OK","",N(INDEX('Menu Pricing'!$F$7:$F$56,$O411))+N(INDEX('Menu Pricing'!$G$7:$G$56,$O411))+N(INDEX('Menu Pricing'!$J$7:$J$56,$O411)))</f>
        <v/>
      </c>
      <c r="K411" s="71">
        <f>IF($N411&lt;&gt;"OK","",$D411*$J411)</f>
        <v/>
      </c>
      <c r="L411" s="71">
        <f>IF($N411&lt;&gt;"OK","",$I411-$K411)</f>
        <v/>
      </c>
      <c r="M411" s="71">
        <f>IF($N411&lt;&gt;"OK","",$D411*N(INDEX('Menu Pricing'!$F$7:$F$56,$O411)))</f>
        <v/>
      </c>
      <c r="N411" s="80">
        <f>IF(AND($B411="",$C411="",$D411=""),"",IF(NOT(ISNUMBER($B411)),"Enter a valid date",IF($C411="","Pick a menu item",IF($O411="","Item not on Menu Pricing",IF(N($D411)&lt;=0,"Qty must be above 0",IF($H411="","No price on menu","OK"))))))</f>
        <v/>
      </c>
      <c r="O411" s="13">
        <f>IF($C411="","",IFERROR(MATCH($C411,'Menu Pricing'!$B$7:$B$56,0),""))</f>
        <v/>
      </c>
    </row>
    <row r="412" ht="17" customHeight="1">
      <c r="B412" s="66" t="n"/>
      <c r="C412" s="60" t="n"/>
      <c r="D412" s="86" t="n"/>
      <c r="E412" s="63" t="n"/>
      <c r="F412" s="60" t="n"/>
      <c r="G412" s="60" t="n"/>
      <c r="H412" s="71">
        <f>IF(OR($C412="",$D412=""),"",IF(ISNUMBER($E412),$E412,IF($O412="","",IF(N(INDEX('Menu Pricing'!$O$7:$O$56,$O412))&gt;0,INDEX('Menu Pricing'!$O$7:$O$56,$O412),""))))</f>
        <v/>
      </c>
      <c r="I412" s="71">
        <f>IF($N412&lt;&gt;"OK","",$D412*$H412)</f>
        <v/>
      </c>
      <c r="J412" s="71">
        <f>IF($N412&lt;&gt;"OK","",N(INDEX('Menu Pricing'!$F$7:$F$56,$O412))+N(INDEX('Menu Pricing'!$G$7:$G$56,$O412))+N(INDEX('Menu Pricing'!$J$7:$J$56,$O412)))</f>
        <v/>
      </c>
      <c r="K412" s="71">
        <f>IF($N412&lt;&gt;"OK","",$D412*$J412)</f>
        <v/>
      </c>
      <c r="L412" s="71">
        <f>IF($N412&lt;&gt;"OK","",$I412-$K412)</f>
        <v/>
      </c>
      <c r="M412" s="71">
        <f>IF($N412&lt;&gt;"OK","",$D412*N(INDEX('Menu Pricing'!$F$7:$F$56,$O412)))</f>
        <v/>
      </c>
      <c r="N412" s="80">
        <f>IF(AND($B412="",$C412="",$D412=""),"",IF(NOT(ISNUMBER($B412)),"Enter a valid date",IF($C412="","Pick a menu item",IF($O412="","Item not on Menu Pricing",IF(N($D412)&lt;=0,"Qty must be above 0",IF($H412="","No price on menu","OK"))))))</f>
        <v/>
      </c>
      <c r="O412" s="13">
        <f>IF($C412="","",IFERROR(MATCH($C412,'Menu Pricing'!$B$7:$B$56,0),""))</f>
        <v/>
      </c>
    </row>
    <row r="413" ht="17" customHeight="1">
      <c r="B413" s="66" t="n"/>
      <c r="C413" s="60" t="n"/>
      <c r="D413" s="86" t="n"/>
      <c r="E413" s="63" t="n"/>
      <c r="F413" s="60" t="n"/>
      <c r="G413" s="60" t="n"/>
      <c r="H413" s="71">
        <f>IF(OR($C413="",$D413=""),"",IF(ISNUMBER($E413),$E413,IF($O413="","",IF(N(INDEX('Menu Pricing'!$O$7:$O$56,$O413))&gt;0,INDEX('Menu Pricing'!$O$7:$O$56,$O413),""))))</f>
        <v/>
      </c>
      <c r="I413" s="71">
        <f>IF($N413&lt;&gt;"OK","",$D413*$H413)</f>
        <v/>
      </c>
      <c r="J413" s="71">
        <f>IF($N413&lt;&gt;"OK","",N(INDEX('Menu Pricing'!$F$7:$F$56,$O413))+N(INDEX('Menu Pricing'!$G$7:$G$56,$O413))+N(INDEX('Menu Pricing'!$J$7:$J$56,$O413)))</f>
        <v/>
      </c>
      <c r="K413" s="71">
        <f>IF($N413&lt;&gt;"OK","",$D413*$J413)</f>
        <v/>
      </c>
      <c r="L413" s="71">
        <f>IF($N413&lt;&gt;"OK","",$I413-$K413)</f>
        <v/>
      </c>
      <c r="M413" s="71">
        <f>IF($N413&lt;&gt;"OK","",$D413*N(INDEX('Menu Pricing'!$F$7:$F$56,$O413)))</f>
        <v/>
      </c>
      <c r="N413" s="80">
        <f>IF(AND($B413="",$C413="",$D413=""),"",IF(NOT(ISNUMBER($B413)),"Enter a valid date",IF($C413="","Pick a menu item",IF($O413="","Item not on Menu Pricing",IF(N($D413)&lt;=0,"Qty must be above 0",IF($H413="","No price on menu","OK"))))))</f>
        <v/>
      </c>
      <c r="O413" s="13">
        <f>IF($C413="","",IFERROR(MATCH($C413,'Menu Pricing'!$B$7:$B$56,0),""))</f>
        <v/>
      </c>
    </row>
    <row r="414" ht="17" customHeight="1">
      <c r="B414" s="66" t="n"/>
      <c r="C414" s="60" t="n"/>
      <c r="D414" s="86" t="n"/>
      <c r="E414" s="63" t="n"/>
      <c r="F414" s="60" t="n"/>
      <c r="G414" s="60" t="n"/>
      <c r="H414" s="71">
        <f>IF(OR($C414="",$D414=""),"",IF(ISNUMBER($E414),$E414,IF($O414="","",IF(N(INDEX('Menu Pricing'!$O$7:$O$56,$O414))&gt;0,INDEX('Menu Pricing'!$O$7:$O$56,$O414),""))))</f>
        <v/>
      </c>
      <c r="I414" s="71">
        <f>IF($N414&lt;&gt;"OK","",$D414*$H414)</f>
        <v/>
      </c>
      <c r="J414" s="71">
        <f>IF($N414&lt;&gt;"OK","",N(INDEX('Menu Pricing'!$F$7:$F$56,$O414))+N(INDEX('Menu Pricing'!$G$7:$G$56,$O414))+N(INDEX('Menu Pricing'!$J$7:$J$56,$O414)))</f>
        <v/>
      </c>
      <c r="K414" s="71">
        <f>IF($N414&lt;&gt;"OK","",$D414*$J414)</f>
        <v/>
      </c>
      <c r="L414" s="71">
        <f>IF($N414&lt;&gt;"OK","",$I414-$K414)</f>
        <v/>
      </c>
      <c r="M414" s="71">
        <f>IF($N414&lt;&gt;"OK","",$D414*N(INDEX('Menu Pricing'!$F$7:$F$56,$O414)))</f>
        <v/>
      </c>
      <c r="N414" s="80">
        <f>IF(AND($B414="",$C414="",$D414=""),"",IF(NOT(ISNUMBER($B414)),"Enter a valid date",IF($C414="","Pick a menu item",IF($O414="","Item not on Menu Pricing",IF(N($D414)&lt;=0,"Qty must be above 0",IF($H414="","No price on menu","OK"))))))</f>
        <v/>
      </c>
      <c r="O414" s="13">
        <f>IF($C414="","",IFERROR(MATCH($C414,'Menu Pricing'!$B$7:$B$56,0),""))</f>
        <v/>
      </c>
    </row>
    <row r="415" ht="17" customHeight="1">
      <c r="B415" s="66" t="n"/>
      <c r="C415" s="60" t="n"/>
      <c r="D415" s="86" t="n"/>
      <c r="E415" s="63" t="n"/>
      <c r="F415" s="60" t="n"/>
      <c r="G415" s="60" t="n"/>
      <c r="H415" s="71">
        <f>IF(OR($C415="",$D415=""),"",IF(ISNUMBER($E415),$E415,IF($O415="","",IF(N(INDEX('Menu Pricing'!$O$7:$O$56,$O415))&gt;0,INDEX('Menu Pricing'!$O$7:$O$56,$O415),""))))</f>
        <v/>
      </c>
      <c r="I415" s="71">
        <f>IF($N415&lt;&gt;"OK","",$D415*$H415)</f>
        <v/>
      </c>
      <c r="J415" s="71">
        <f>IF($N415&lt;&gt;"OK","",N(INDEX('Menu Pricing'!$F$7:$F$56,$O415))+N(INDEX('Menu Pricing'!$G$7:$G$56,$O415))+N(INDEX('Menu Pricing'!$J$7:$J$56,$O415)))</f>
        <v/>
      </c>
      <c r="K415" s="71">
        <f>IF($N415&lt;&gt;"OK","",$D415*$J415)</f>
        <v/>
      </c>
      <c r="L415" s="71">
        <f>IF($N415&lt;&gt;"OK","",$I415-$K415)</f>
        <v/>
      </c>
      <c r="M415" s="71">
        <f>IF($N415&lt;&gt;"OK","",$D415*N(INDEX('Menu Pricing'!$F$7:$F$56,$O415)))</f>
        <v/>
      </c>
      <c r="N415" s="80">
        <f>IF(AND($B415="",$C415="",$D415=""),"",IF(NOT(ISNUMBER($B415)),"Enter a valid date",IF($C415="","Pick a menu item",IF($O415="","Item not on Menu Pricing",IF(N($D415)&lt;=0,"Qty must be above 0",IF($H415="","No price on menu","OK"))))))</f>
        <v/>
      </c>
      <c r="O415" s="13">
        <f>IF($C415="","",IFERROR(MATCH($C415,'Menu Pricing'!$B$7:$B$56,0),""))</f>
        <v/>
      </c>
    </row>
    <row r="416" ht="17" customHeight="1">
      <c r="B416" s="66" t="n"/>
      <c r="C416" s="60" t="n"/>
      <c r="D416" s="86" t="n"/>
      <c r="E416" s="63" t="n"/>
      <c r="F416" s="60" t="n"/>
      <c r="G416" s="60" t="n"/>
      <c r="H416" s="71">
        <f>IF(OR($C416="",$D416=""),"",IF(ISNUMBER($E416),$E416,IF($O416="","",IF(N(INDEX('Menu Pricing'!$O$7:$O$56,$O416))&gt;0,INDEX('Menu Pricing'!$O$7:$O$56,$O416),""))))</f>
        <v/>
      </c>
      <c r="I416" s="71">
        <f>IF($N416&lt;&gt;"OK","",$D416*$H416)</f>
        <v/>
      </c>
      <c r="J416" s="71">
        <f>IF($N416&lt;&gt;"OK","",N(INDEX('Menu Pricing'!$F$7:$F$56,$O416))+N(INDEX('Menu Pricing'!$G$7:$G$56,$O416))+N(INDEX('Menu Pricing'!$J$7:$J$56,$O416)))</f>
        <v/>
      </c>
      <c r="K416" s="71">
        <f>IF($N416&lt;&gt;"OK","",$D416*$J416)</f>
        <v/>
      </c>
      <c r="L416" s="71">
        <f>IF($N416&lt;&gt;"OK","",$I416-$K416)</f>
        <v/>
      </c>
      <c r="M416" s="71">
        <f>IF($N416&lt;&gt;"OK","",$D416*N(INDEX('Menu Pricing'!$F$7:$F$56,$O416)))</f>
        <v/>
      </c>
      <c r="N416" s="80">
        <f>IF(AND($B416="",$C416="",$D416=""),"",IF(NOT(ISNUMBER($B416)),"Enter a valid date",IF($C416="","Pick a menu item",IF($O416="","Item not on Menu Pricing",IF(N($D416)&lt;=0,"Qty must be above 0",IF($H416="","No price on menu","OK"))))))</f>
        <v/>
      </c>
      <c r="O416" s="13">
        <f>IF($C416="","",IFERROR(MATCH($C416,'Menu Pricing'!$B$7:$B$56,0),""))</f>
        <v/>
      </c>
    </row>
    <row r="417" ht="17" customHeight="1">
      <c r="B417" s="66" t="n"/>
      <c r="C417" s="60" t="n"/>
      <c r="D417" s="86" t="n"/>
      <c r="E417" s="63" t="n"/>
      <c r="F417" s="60" t="n"/>
      <c r="G417" s="60" t="n"/>
      <c r="H417" s="71">
        <f>IF(OR($C417="",$D417=""),"",IF(ISNUMBER($E417),$E417,IF($O417="","",IF(N(INDEX('Menu Pricing'!$O$7:$O$56,$O417))&gt;0,INDEX('Menu Pricing'!$O$7:$O$56,$O417),""))))</f>
        <v/>
      </c>
      <c r="I417" s="71">
        <f>IF($N417&lt;&gt;"OK","",$D417*$H417)</f>
        <v/>
      </c>
      <c r="J417" s="71">
        <f>IF($N417&lt;&gt;"OK","",N(INDEX('Menu Pricing'!$F$7:$F$56,$O417))+N(INDEX('Menu Pricing'!$G$7:$G$56,$O417))+N(INDEX('Menu Pricing'!$J$7:$J$56,$O417)))</f>
        <v/>
      </c>
      <c r="K417" s="71">
        <f>IF($N417&lt;&gt;"OK","",$D417*$J417)</f>
        <v/>
      </c>
      <c r="L417" s="71">
        <f>IF($N417&lt;&gt;"OK","",$I417-$K417)</f>
        <v/>
      </c>
      <c r="M417" s="71">
        <f>IF($N417&lt;&gt;"OK","",$D417*N(INDEX('Menu Pricing'!$F$7:$F$56,$O417)))</f>
        <v/>
      </c>
      <c r="N417" s="80">
        <f>IF(AND($B417="",$C417="",$D417=""),"",IF(NOT(ISNUMBER($B417)),"Enter a valid date",IF($C417="","Pick a menu item",IF($O417="","Item not on Menu Pricing",IF(N($D417)&lt;=0,"Qty must be above 0",IF($H417="","No price on menu","OK"))))))</f>
        <v/>
      </c>
      <c r="O417" s="13">
        <f>IF($C417="","",IFERROR(MATCH($C417,'Menu Pricing'!$B$7:$B$56,0),""))</f>
        <v/>
      </c>
    </row>
    <row r="418" ht="17" customHeight="1">
      <c r="B418" s="66" t="n"/>
      <c r="C418" s="60" t="n"/>
      <c r="D418" s="86" t="n"/>
      <c r="E418" s="63" t="n"/>
      <c r="F418" s="60" t="n"/>
      <c r="G418" s="60" t="n"/>
      <c r="H418" s="71">
        <f>IF(OR($C418="",$D418=""),"",IF(ISNUMBER($E418),$E418,IF($O418="","",IF(N(INDEX('Menu Pricing'!$O$7:$O$56,$O418))&gt;0,INDEX('Menu Pricing'!$O$7:$O$56,$O418),""))))</f>
        <v/>
      </c>
      <c r="I418" s="71">
        <f>IF($N418&lt;&gt;"OK","",$D418*$H418)</f>
        <v/>
      </c>
      <c r="J418" s="71">
        <f>IF($N418&lt;&gt;"OK","",N(INDEX('Menu Pricing'!$F$7:$F$56,$O418))+N(INDEX('Menu Pricing'!$G$7:$G$56,$O418))+N(INDEX('Menu Pricing'!$J$7:$J$56,$O418)))</f>
        <v/>
      </c>
      <c r="K418" s="71">
        <f>IF($N418&lt;&gt;"OK","",$D418*$J418)</f>
        <v/>
      </c>
      <c r="L418" s="71">
        <f>IF($N418&lt;&gt;"OK","",$I418-$K418)</f>
        <v/>
      </c>
      <c r="M418" s="71">
        <f>IF($N418&lt;&gt;"OK","",$D418*N(INDEX('Menu Pricing'!$F$7:$F$56,$O418)))</f>
        <v/>
      </c>
      <c r="N418" s="80">
        <f>IF(AND($B418="",$C418="",$D418=""),"",IF(NOT(ISNUMBER($B418)),"Enter a valid date",IF($C418="","Pick a menu item",IF($O418="","Item not on Menu Pricing",IF(N($D418)&lt;=0,"Qty must be above 0",IF($H418="","No price on menu","OK"))))))</f>
        <v/>
      </c>
      <c r="O418" s="13">
        <f>IF($C418="","",IFERROR(MATCH($C418,'Menu Pricing'!$B$7:$B$56,0),""))</f>
        <v/>
      </c>
    </row>
    <row r="419" ht="17" customHeight="1">
      <c r="B419" s="66" t="n"/>
      <c r="C419" s="60" t="n"/>
      <c r="D419" s="86" t="n"/>
      <c r="E419" s="63" t="n"/>
      <c r="F419" s="60" t="n"/>
      <c r="G419" s="60" t="n"/>
      <c r="H419" s="71">
        <f>IF(OR($C419="",$D419=""),"",IF(ISNUMBER($E419),$E419,IF($O419="","",IF(N(INDEX('Menu Pricing'!$O$7:$O$56,$O419))&gt;0,INDEX('Menu Pricing'!$O$7:$O$56,$O419),""))))</f>
        <v/>
      </c>
      <c r="I419" s="71">
        <f>IF($N419&lt;&gt;"OK","",$D419*$H419)</f>
        <v/>
      </c>
      <c r="J419" s="71">
        <f>IF($N419&lt;&gt;"OK","",N(INDEX('Menu Pricing'!$F$7:$F$56,$O419))+N(INDEX('Menu Pricing'!$G$7:$G$56,$O419))+N(INDEX('Menu Pricing'!$J$7:$J$56,$O419)))</f>
        <v/>
      </c>
      <c r="K419" s="71">
        <f>IF($N419&lt;&gt;"OK","",$D419*$J419)</f>
        <v/>
      </c>
      <c r="L419" s="71">
        <f>IF($N419&lt;&gt;"OK","",$I419-$K419)</f>
        <v/>
      </c>
      <c r="M419" s="71">
        <f>IF($N419&lt;&gt;"OK","",$D419*N(INDEX('Menu Pricing'!$F$7:$F$56,$O419)))</f>
        <v/>
      </c>
      <c r="N419" s="80">
        <f>IF(AND($B419="",$C419="",$D419=""),"",IF(NOT(ISNUMBER($B419)),"Enter a valid date",IF($C419="","Pick a menu item",IF($O419="","Item not on Menu Pricing",IF(N($D419)&lt;=0,"Qty must be above 0",IF($H419="","No price on menu","OK"))))))</f>
        <v/>
      </c>
      <c r="O419" s="13">
        <f>IF($C419="","",IFERROR(MATCH($C419,'Menu Pricing'!$B$7:$B$56,0),""))</f>
        <v/>
      </c>
    </row>
    <row r="420" ht="17" customHeight="1">
      <c r="B420" s="66" t="n"/>
      <c r="C420" s="60" t="n"/>
      <c r="D420" s="86" t="n"/>
      <c r="E420" s="63" t="n"/>
      <c r="F420" s="60" t="n"/>
      <c r="G420" s="60" t="n"/>
      <c r="H420" s="71">
        <f>IF(OR($C420="",$D420=""),"",IF(ISNUMBER($E420),$E420,IF($O420="","",IF(N(INDEX('Menu Pricing'!$O$7:$O$56,$O420))&gt;0,INDEX('Menu Pricing'!$O$7:$O$56,$O420),""))))</f>
        <v/>
      </c>
      <c r="I420" s="71">
        <f>IF($N420&lt;&gt;"OK","",$D420*$H420)</f>
        <v/>
      </c>
      <c r="J420" s="71">
        <f>IF($N420&lt;&gt;"OK","",N(INDEX('Menu Pricing'!$F$7:$F$56,$O420))+N(INDEX('Menu Pricing'!$G$7:$G$56,$O420))+N(INDEX('Menu Pricing'!$J$7:$J$56,$O420)))</f>
        <v/>
      </c>
      <c r="K420" s="71">
        <f>IF($N420&lt;&gt;"OK","",$D420*$J420)</f>
        <v/>
      </c>
      <c r="L420" s="71">
        <f>IF($N420&lt;&gt;"OK","",$I420-$K420)</f>
        <v/>
      </c>
      <c r="M420" s="71">
        <f>IF($N420&lt;&gt;"OK","",$D420*N(INDEX('Menu Pricing'!$F$7:$F$56,$O420)))</f>
        <v/>
      </c>
      <c r="N420" s="80">
        <f>IF(AND($B420="",$C420="",$D420=""),"",IF(NOT(ISNUMBER($B420)),"Enter a valid date",IF($C420="","Pick a menu item",IF($O420="","Item not on Menu Pricing",IF(N($D420)&lt;=0,"Qty must be above 0",IF($H420="","No price on menu","OK"))))))</f>
        <v/>
      </c>
      <c r="O420" s="13">
        <f>IF($C420="","",IFERROR(MATCH($C420,'Menu Pricing'!$B$7:$B$56,0),""))</f>
        <v/>
      </c>
    </row>
    <row r="421" ht="17" customHeight="1">
      <c r="B421" s="66" t="n"/>
      <c r="C421" s="60" t="n"/>
      <c r="D421" s="86" t="n"/>
      <c r="E421" s="63" t="n"/>
      <c r="F421" s="60" t="n"/>
      <c r="G421" s="60" t="n"/>
      <c r="H421" s="71">
        <f>IF(OR($C421="",$D421=""),"",IF(ISNUMBER($E421),$E421,IF($O421="","",IF(N(INDEX('Menu Pricing'!$O$7:$O$56,$O421))&gt;0,INDEX('Menu Pricing'!$O$7:$O$56,$O421),""))))</f>
        <v/>
      </c>
      <c r="I421" s="71">
        <f>IF($N421&lt;&gt;"OK","",$D421*$H421)</f>
        <v/>
      </c>
      <c r="J421" s="71">
        <f>IF($N421&lt;&gt;"OK","",N(INDEX('Menu Pricing'!$F$7:$F$56,$O421))+N(INDEX('Menu Pricing'!$G$7:$G$56,$O421))+N(INDEX('Menu Pricing'!$J$7:$J$56,$O421)))</f>
        <v/>
      </c>
      <c r="K421" s="71">
        <f>IF($N421&lt;&gt;"OK","",$D421*$J421)</f>
        <v/>
      </c>
      <c r="L421" s="71">
        <f>IF($N421&lt;&gt;"OK","",$I421-$K421)</f>
        <v/>
      </c>
      <c r="M421" s="71">
        <f>IF($N421&lt;&gt;"OK","",$D421*N(INDEX('Menu Pricing'!$F$7:$F$56,$O421)))</f>
        <v/>
      </c>
      <c r="N421" s="80">
        <f>IF(AND($B421="",$C421="",$D421=""),"",IF(NOT(ISNUMBER($B421)),"Enter a valid date",IF($C421="","Pick a menu item",IF($O421="","Item not on Menu Pricing",IF(N($D421)&lt;=0,"Qty must be above 0",IF($H421="","No price on menu","OK"))))))</f>
        <v/>
      </c>
      <c r="O421" s="13">
        <f>IF($C421="","",IFERROR(MATCH($C421,'Menu Pricing'!$B$7:$B$56,0),""))</f>
        <v/>
      </c>
    </row>
    <row r="422" ht="17" customHeight="1">
      <c r="B422" s="66" t="n"/>
      <c r="C422" s="60" t="n"/>
      <c r="D422" s="86" t="n"/>
      <c r="E422" s="63" t="n"/>
      <c r="F422" s="60" t="n"/>
      <c r="G422" s="60" t="n"/>
      <c r="H422" s="71">
        <f>IF(OR($C422="",$D422=""),"",IF(ISNUMBER($E422),$E422,IF($O422="","",IF(N(INDEX('Menu Pricing'!$O$7:$O$56,$O422))&gt;0,INDEX('Menu Pricing'!$O$7:$O$56,$O422),""))))</f>
        <v/>
      </c>
      <c r="I422" s="71">
        <f>IF($N422&lt;&gt;"OK","",$D422*$H422)</f>
        <v/>
      </c>
      <c r="J422" s="71">
        <f>IF($N422&lt;&gt;"OK","",N(INDEX('Menu Pricing'!$F$7:$F$56,$O422))+N(INDEX('Menu Pricing'!$G$7:$G$56,$O422))+N(INDEX('Menu Pricing'!$J$7:$J$56,$O422)))</f>
        <v/>
      </c>
      <c r="K422" s="71">
        <f>IF($N422&lt;&gt;"OK","",$D422*$J422)</f>
        <v/>
      </c>
      <c r="L422" s="71">
        <f>IF($N422&lt;&gt;"OK","",$I422-$K422)</f>
        <v/>
      </c>
      <c r="M422" s="71">
        <f>IF($N422&lt;&gt;"OK","",$D422*N(INDEX('Menu Pricing'!$F$7:$F$56,$O422)))</f>
        <v/>
      </c>
      <c r="N422" s="80">
        <f>IF(AND($B422="",$C422="",$D422=""),"",IF(NOT(ISNUMBER($B422)),"Enter a valid date",IF($C422="","Pick a menu item",IF($O422="","Item not on Menu Pricing",IF(N($D422)&lt;=0,"Qty must be above 0",IF($H422="","No price on menu","OK"))))))</f>
        <v/>
      </c>
      <c r="O422" s="13">
        <f>IF($C422="","",IFERROR(MATCH($C422,'Menu Pricing'!$B$7:$B$56,0),""))</f>
        <v/>
      </c>
    </row>
    <row r="423" ht="17" customHeight="1">
      <c r="B423" s="66" t="n"/>
      <c r="C423" s="60" t="n"/>
      <c r="D423" s="86" t="n"/>
      <c r="E423" s="63" t="n"/>
      <c r="F423" s="60" t="n"/>
      <c r="G423" s="60" t="n"/>
      <c r="H423" s="71">
        <f>IF(OR($C423="",$D423=""),"",IF(ISNUMBER($E423),$E423,IF($O423="","",IF(N(INDEX('Menu Pricing'!$O$7:$O$56,$O423))&gt;0,INDEX('Menu Pricing'!$O$7:$O$56,$O423),""))))</f>
        <v/>
      </c>
      <c r="I423" s="71">
        <f>IF($N423&lt;&gt;"OK","",$D423*$H423)</f>
        <v/>
      </c>
      <c r="J423" s="71">
        <f>IF($N423&lt;&gt;"OK","",N(INDEX('Menu Pricing'!$F$7:$F$56,$O423))+N(INDEX('Menu Pricing'!$G$7:$G$56,$O423))+N(INDEX('Menu Pricing'!$J$7:$J$56,$O423)))</f>
        <v/>
      </c>
      <c r="K423" s="71">
        <f>IF($N423&lt;&gt;"OK","",$D423*$J423)</f>
        <v/>
      </c>
      <c r="L423" s="71">
        <f>IF($N423&lt;&gt;"OK","",$I423-$K423)</f>
        <v/>
      </c>
      <c r="M423" s="71">
        <f>IF($N423&lt;&gt;"OK","",$D423*N(INDEX('Menu Pricing'!$F$7:$F$56,$O423)))</f>
        <v/>
      </c>
      <c r="N423" s="80">
        <f>IF(AND($B423="",$C423="",$D423=""),"",IF(NOT(ISNUMBER($B423)),"Enter a valid date",IF($C423="","Pick a menu item",IF($O423="","Item not on Menu Pricing",IF(N($D423)&lt;=0,"Qty must be above 0",IF($H423="","No price on menu","OK"))))))</f>
        <v/>
      </c>
      <c r="O423" s="13">
        <f>IF($C423="","",IFERROR(MATCH($C423,'Menu Pricing'!$B$7:$B$56,0),""))</f>
        <v/>
      </c>
    </row>
    <row r="424" ht="17" customHeight="1">
      <c r="B424" s="66" t="n"/>
      <c r="C424" s="60" t="n"/>
      <c r="D424" s="86" t="n"/>
      <c r="E424" s="63" t="n"/>
      <c r="F424" s="60" t="n"/>
      <c r="G424" s="60" t="n"/>
      <c r="H424" s="71">
        <f>IF(OR($C424="",$D424=""),"",IF(ISNUMBER($E424),$E424,IF($O424="","",IF(N(INDEX('Menu Pricing'!$O$7:$O$56,$O424))&gt;0,INDEX('Menu Pricing'!$O$7:$O$56,$O424),""))))</f>
        <v/>
      </c>
      <c r="I424" s="71">
        <f>IF($N424&lt;&gt;"OK","",$D424*$H424)</f>
        <v/>
      </c>
      <c r="J424" s="71">
        <f>IF($N424&lt;&gt;"OK","",N(INDEX('Menu Pricing'!$F$7:$F$56,$O424))+N(INDEX('Menu Pricing'!$G$7:$G$56,$O424))+N(INDEX('Menu Pricing'!$J$7:$J$56,$O424)))</f>
        <v/>
      </c>
      <c r="K424" s="71">
        <f>IF($N424&lt;&gt;"OK","",$D424*$J424)</f>
        <v/>
      </c>
      <c r="L424" s="71">
        <f>IF($N424&lt;&gt;"OK","",$I424-$K424)</f>
        <v/>
      </c>
      <c r="M424" s="71">
        <f>IF($N424&lt;&gt;"OK","",$D424*N(INDEX('Menu Pricing'!$F$7:$F$56,$O424)))</f>
        <v/>
      </c>
      <c r="N424" s="80">
        <f>IF(AND($B424="",$C424="",$D424=""),"",IF(NOT(ISNUMBER($B424)),"Enter a valid date",IF($C424="","Pick a menu item",IF($O424="","Item not on Menu Pricing",IF(N($D424)&lt;=0,"Qty must be above 0",IF($H424="","No price on menu","OK"))))))</f>
        <v/>
      </c>
      <c r="O424" s="13">
        <f>IF($C424="","",IFERROR(MATCH($C424,'Menu Pricing'!$B$7:$B$56,0),""))</f>
        <v/>
      </c>
    </row>
    <row r="425" ht="17" customHeight="1">
      <c r="B425" s="66" t="n"/>
      <c r="C425" s="60" t="n"/>
      <c r="D425" s="86" t="n"/>
      <c r="E425" s="63" t="n"/>
      <c r="F425" s="60" t="n"/>
      <c r="G425" s="60" t="n"/>
      <c r="H425" s="71">
        <f>IF(OR($C425="",$D425=""),"",IF(ISNUMBER($E425),$E425,IF($O425="","",IF(N(INDEX('Menu Pricing'!$O$7:$O$56,$O425))&gt;0,INDEX('Menu Pricing'!$O$7:$O$56,$O425),""))))</f>
        <v/>
      </c>
      <c r="I425" s="71">
        <f>IF($N425&lt;&gt;"OK","",$D425*$H425)</f>
        <v/>
      </c>
      <c r="J425" s="71">
        <f>IF($N425&lt;&gt;"OK","",N(INDEX('Menu Pricing'!$F$7:$F$56,$O425))+N(INDEX('Menu Pricing'!$G$7:$G$56,$O425))+N(INDEX('Menu Pricing'!$J$7:$J$56,$O425)))</f>
        <v/>
      </c>
      <c r="K425" s="71">
        <f>IF($N425&lt;&gt;"OK","",$D425*$J425)</f>
        <v/>
      </c>
      <c r="L425" s="71">
        <f>IF($N425&lt;&gt;"OK","",$I425-$K425)</f>
        <v/>
      </c>
      <c r="M425" s="71">
        <f>IF($N425&lt;&gt;"OK","",$D425*N(INDEX('Menu Pricing'!$F$7:$F$56,$O425)))</f>
        <v/>
      </c>
      <c r="N425" s="80">
        <f>IF(AND($B425="",$C425="",$D425=""),"",IF(NOT(ISNUMBER($B425)),"Enter a valid date",IF($C425="","Pick a menu item",IF($O425="","Item not on Menu Pricing",IF(N($D425)&lt;=0,"Qty must be above 0",IF($H425="","No price on menu","OK"))))))</f>
        <v/>
      </c>
      <c r="O425" s="13">
        <f>IF($C425="","",IFERROR(MATCH($C425,'Menu Pricing'!$B$7:$B$56,0),""))</f>
        <v/>
      </c>
    </row>
    <row r="426" ht="17" customHeight="1">
      <c r="B426" s="66" t="n"/>
      <c r="C426" s="60" t="n"/>
      <c r="D426" s="86" t="n"/>
      <c r="E426" s="63" t="n"/>
      <c r="F426" s="60" t="n"/>
      <c r="G426" s="60" t="n"/>
      <c r="H426" s="71">
        <f>IF(OR($C426="",$D426=""),"",IF(ISNUMBER($E426),$E426,IF($O426="","",IF(N(INDEX('Menu Pricing'!$O$7:$O$56,$O426))&gt;0,INDEX('Menu Pricing'!$O$7:$O$56,$O426),""))))</f>
        <v/>
      </c>
      <c r="I426" s="71">
        <f>IF($N426&lt;&gt;"OK","",$D426*$H426)</f>
        <v/>
      </c>
      <c r="J426" s="71">
        <f>IF($N426&lt;&gt;"OK","",N(INDEX('Menu Pricing'!$F$7:$F$56,$O426))+N(INDEX('Menu Pricing'!$G$7:$G$56,$O426))+N(INDEX('Menu Pricing'!$J$7:$J$56,$O426)))</f>
        <v/>
      </c>
      <c r="K426" s="71">
        <f>IF($N426&lt;&gt;"OK","",$D426*$J426)</f>
        <v/>
      </c>
      <c r="L426" s="71">
        <f>IF($N426&lt;&gt;"OK","",$I426-$K426)</f>
        <v/>
      </c>
      <c r="M426" s="71">
        <f>IF($N426&lt;&gt;"OK","",$D426*N(INDEX('Menu Pricing'!$F$7:$F$56,$O426)))</f>
        <v/>
      </c>
      <c r="N426" s="80">
        <f>IF(AND($B426="",$C426="",$D426=""),"",IF(NOT(ISNUMBER($B426)),"Enter a valid date",IF($C426="","Pick a menu item",IF($O426="","Item not on Menu Pricing",IF(N($D426)&lt;=0,"Qty must be above 0",IF($H426="","No price on menu","OK"))))))</f>
        <v/>
      </c>
      <c r="O426" s="13">
        <f>IF($C426="","",IFERROR(MATCH($C426,'Menu Pricing'!$B$7:$B$56,0),""))</f>
        <v/>
      </c>
    </row>
    <row r="427" ht="17" customHeight="1">
      <c r="B427" s="66" t="n"/>
      <c r="C427" s="60" t="n"/>
      <c r="D427" s="86" t="n"/>
      <c r="E427" s="63" t="n"/>
      <c r="F427" s="60" t="n"/>
      <c r="G427" s="60" t="n"/>
      <c r="H427" s="71">
        <f>IF(OR($C427="",$D427=""),"",IF(ISNUMBER($E427),$E427,IF($O427="","",IF(N(INDEX('Menu Pricing'!$O$7:$O$56,$O427))&gt;0,INDEX('Menu Pricing'!$O$7:$O$56,$O427),""))))</f>
        <v/>
      </c>
      <c r="I427" s="71">
        <f>IF($N427&lt;&gt;"OK","",$D427*$H427)</f>
        <v/>
      </c>
      <c r="J427" s="71">
        <f>IF($N427&lt;&gt;"OK","",N(INDEX('Menu Pricing'!$F$7:$F$56,$O427))+N(INDEX('Menu Pricing'!$G$7:$G$56,$O427))+N(INDEX('Menu Pricing'!$J$7:$J$56,$O427)))</f>
        <v/>
      </c>
      <c r="K427" s="71">
        <f>IF($N427&lt;&gt;"OK","",$D427*$J427)</f>
        <v/>
      </c>
      <c r="L427" s="71">
        <f>IF($N427&lt;&gt;"OK","",$I427-$K427)</f>
        <v/>
      </c>
      <c r="M427" s="71">
        <f>IF($N427&lt;&gt;"OK","",$D427*N(INDEX('Menu Pricing'!$F$7:$F$56,$O427)))</f>
        <v/>
      </c>
      <c r="N427" s="80">
        <f>IF(AND($B427="",$C427="",$D427=""),"",IF(NOT(ISNUMBER($B427)),"Enter a valid date",IF($C427="","Pick a menu item",IF($O427="","Item not on Menu Pricing",IF(N($D427)&lt;=0,"Qty must be above 0",IF($H427="","No price on menu","OK"))))))</f>
        <v/>
      </c>
      <c r="O427" s="13">
        <f>IF($C427="","",IFERROR(MATCH($C427,'Menu Pricing'!$B$7:$B$56,0),""))</f>
        <v/>
      </c>
    </row>
    <row r="428" ht="17" customHeight="1">
      <c r="B428" s="66" t="n"/>
      <c r="C428" s="60" t="n"/>
      <c r="D428" s="86" t="n"/>
      <c r="E428" s="63" t="n"/>
      <c r="F428" s="60" t="n"/>
      <c r="G428" s="60" t="n"/>
      <c r="H428" s="71">
        <f>IF(OR($C428="",$D428=""),"",IF(ISNUMBER($E428),$E428,IF($O428="","",IF(N(INDEX('Menu Pricing'!$O$7:$O$56,$O428))&gt;0,INDEX('Menu Pricing'!$O$7:$O$56,$O428),""))))</f>
        <v/>
      </c>
      <c r="I428" s="71">
        <f>IF($N428&lt;&gt;"OK","",$D428*$H428)</f>
        <v/>
      </c>
      <c r="J428" s="71">
        <f>IF($N428&lt;&gt;"OK","",N(INDEX('Menu Pricing'!$F$7:$F$56,$O428))+N(INDEX('Menu Pricing'!$G$7:$G$56,$O428))+N(INDEX('Menu Pricing'!$J$7:$J$56,$O428)))</f>
        <v/>
      </c>
      <c r="K428" s="71">
        <f>IF($N428&lt;&gt;"OK","",$D428*$J428)</f>
        <v/>
      </c>
      <c r="L428" s="71">
        <f>IF($N428&lt;&gt;"OK","",$I428-$K428)</f>
        <v/>
      </c>
      <c r="M428" s="71">
        <f>IF($N428&lt;&gt;"OK","",$D428*N(INDEX('Menu Pricing'!$F$7:$F$56,$O428)))</f>
        <v/>
      </c>
      <c r="N428" s="80">
        <f>IF(AND($B428="",$C428="",$D428=""),"",IF(NOT(ISNUMBER($B428)),"Enter a valid date",IF($C428="","Pick a menu item",IF($O428="","Item not on Menu Pricing",IF(N($D428)&lt;=0,"Qty must be above 0",IF($H428="","No price on menu","OK"))))))</f>
        <v/>
      </c>
      <c r="O428" s="13">
        <f>IF($C428="","",IFERROR(MATCH($C428,'Menu Pricing'!$B$7:$B$56,0),""))</f>
        <v/>
      </c>
    </row>
    <row r="429" ht="17" customHeight="1">
      <c r="B429" s="66" t="n"/>
      <c r="C429" s="60" t="n"/>
      <c r="D429" s="86" t="n"/>
      <c r="E429" s="63" t="n"/>
      <c r="F429" s="60" t="n"/>
      <c r="G429" s="60" t="n"/>
      <c r="H429" s="71">
        <f>IF(OR($C429="",$D429=""),"",IF(ISNUMBER($E429),$E429,IF($O429="","",IF(N(INDEX('Menu Pricing'!$O$7:$O$56,$O429))&gt;0,INDEX('Menu Pricing'!$O$7:$O$56,$O429),""))))</f>
        <v/>
      </c>
      <c r="I429" s="71">
        <f>IF($N429&lt;&gt;"OK","",$D429*$H429)</f>
        <v/>
      </c>
      <c r="J429" s="71">
        <f>IF($N429&lt;&gt;"OK","",N(INDEX('Menu Pricing'!$F$7:$F$56,$O429))+N(INDEX('Menu Pricing'!$G$7:$G$56,$O429))+N(INDEX('Menu Pricing'!$J$7:$J$56,$O429)))</f>
        <v/>
      </c>
      <c r="K429" s="71">
        <f>IF($N429&lt;&gt;"OK","",$D429*$J429)</f>
        <v/>
      </c>
      <c r="L429" s="71">
        <f>IF($N429&lt;&gt;"OK","",$I429-$K429)</f>
        <v/>
      </c>
      <c r="M429" s="71">
        <f>IF($N429&lt;&gt;"OK","",$D429*N(INDEX('Menu Pricing'!$F$7:$F$56,$O429)))</f>
        <v/>
      </c>
      <c r="N429" s="80">
        <f>IF(AND($B429="",$C429="",$D429=""),"",IF(NOT(ISNUMBER($B429)),"Enter a valid date",IF($C429="","Pick a menu item",IF($O429="","Item not on Menu Pricing",IF(N($D429)&lt;=0,"Qty must be above 0",IF($H429="","No price on menu","OK"))))))</f>
        <v/>
      </c>
      <c r="O429" s="13">
        <f>IF($C429="","",IFERROR(MATCH($C429,'Menu Pricing'!$B$7:$B$56,0),""))</f>
        <v/>
      </c>
    </row>
    <row r="430" ht="17" customHeight="1">
      <c r="B430" s="66" t="n"/>
      <c r="C430" s="60" t="n"/>
      <c r="D430" s="86" t="n"/>
      <c r="E430" s="63" t="n"/>
      <c r="F430" s="60" t="n"/>
      <c r="G430" s="60" t="n"/>
      <c r="H430" s="71">
        <f>IF(OR($C430="",$D430=""),"",IF(ISNUMBER($E430),$E430,IF($O430="","",IF(N(INDEX('Menu Pricing'!$O$7:$O$56,$O430))&gt;0,INDEX('Menu Pricing'!$O$7:$O$56,$O430),""))))</f>
        <v/>
      </c>
      <c r="I430" s="71">
        <f>IF($N430&lt;&gt;"OK","",$D430*$H430)</f>
        <v/>
      </c>
      <c r="J430" s="71">
        <f>IF($N430&lt;&gt;"OK","",N(INDEX('Menu Pricing'!$F$7:$F$56,$O430))+N(INDEX('Menu Pricing'!$G$7:$G$56,$O430))+N(INDEX('Menu Pricing'!$J$7:$J$56,$O430)))</f>
        <v/>
      </c>
      <c r="K430" s="71">
        <f>IF($N430&lt;&gt;"OK","",$D430*$J430)</f>
        <v/>
      </c>
      <c r="L430" s="71">
        <f>IF($N430&lt;&gt;"OK","",$I430-$K430)</f>
        <v/>
      </c>
      <c r="M430" s="71">
        <f>IF($N430&lt;&gt;"OK","",$D430*N(INDEX('Menu Pricing'!$F$7:$F$56,$O430)))</f>
        <v/>
      </c>
      <c r="N430" s="80">
        <f>IF(AND($B430="",$C430="",$D430=""),"",IF(NOT(ISNUMBER($B430)),"Enter a valid date",IF($C430="","Pick a menu item",IF($O430="","Item not on Menu Pricing",IF(N($D430)&lt;=0,"Qty must be above 0",IF($H430="","No price on menu","OK"))))))</f>
        <v/>
      </c>
      <c r="O430" s="13">
        <f>IF($C430="","",IFERROR(MATCH($C430,'Menu Pricing'!$B$7:$B$56,0),""))</f>
        <v/>
      </c>
    </row>
    <row r="431" ht="17" customHeight="1">
      <c r="B431" s="66" t="n"/>
      <c r="C431" s="60" t="n"/>
      <c r="D431" s="86" t="n"/>
      <c r="E431" s="63" t="n"/>
      <c r="F431" s="60" t="n"/>
      <c r="G431" s="60" t="n"/>
      <c r="H431" s="71">
        <f>IF(OR($C431="",$D431=""),"",IF(ISNUMBER($E431),$E431,IF($O431="","",IF(N(INDEX('Menu Pricing'!$O$7:$O$56,$O431))&gt;0,INDEX('Menu Pricing'!$O$7:$O$56,$O431),""))))</f>
        <v/>
      </c>
      <c r="I431" s="71">
        <f>IF($N431&lt;&gt;"OK","",$D431*$H431)</f>
        <v/>
      </c>
      <c r="J431" s="71">
        <f>IF($N431&lt;&gt;"OK","",N(INDEX('Menu Pricing'!$F$7:$F$56,$O431))+N(INDEX('Menu Pricing'!$G$7:$G$56,$O431))+N(INDEX('Menu Pricing'!$J$7:$J$56,$O431)))</f>
        <v/>
      </c>
      <c r="K431" s="71">
        <f>IF($N431&lt;&gt;"OK","",$D431*$J431)</f>
        <v/>
      </c>
      <c r="L431" s="71">
        <f>IF($N431&lt;&gt;"OK","",$I431-$K431)</f>
        <v/>
      </c>
      <c r="M431" s="71">
        <f>IF($N431&lt;&gt;"OK","",$D431*N(INDEX('Menu Pricing'!$F$7:$F$56,$O431)))</f>
        <v/>
      </c>
      <c r="N431" s="80">
        <f>IF(AND($B431="",$C431="",$D431=""),"",IF(NOT(ISNUMBER($B431)),"Enter a valid date",IF($C431="","Pick a menu item",IF($O431="","Item not on Menu Pricing",IF(N($D431)&lt;=0,"Qty must be above 0",IF($H431="","No price on menu","OK"))))))</f>
        <v/>
      </c>
      <c r="O431" s="13">
        <f>IF($C431="","",IFERROR(MATCH($C431,'Menu Pricing'!$B$7:$B$56,0),""))</f>
        <v/>
      </c>
    </row>
    <row r="432" ht="17" customHeight="1">
      <c r="B432" s="66" t="n"/>
      <c r="C432" s="60" t="n"/>
      <c r="D432" s="86" t="n"/>
      <c r="E432" s="63" t="n"/>
      <c r="F432" s="60" t="n"/>
      <c r="G432" s="60" t="n"/>
      <c r="H432" s="71">
        <f>IF(OR($C432="",$D432=""),"",IF(ISNUMBER($E432),$E432,IF($O432="","",IF(N(INDEX('Menu Pricing'!$O$7:$O$56,$O432))&gt;0,INDEX('Menu Pricing'!$O$7:$O$56,$O432),""))))</f>
        <v/>
      </c>
      <c r="I432" s="71">
        <f>IF($N432&lt;&gt;"OK","",$D432*$H432)</f>
        <v/>
      </c>
      <c r="J432" s="71">
        <f>IF($N432&lt;&gt;"OK","",N(INDEX('Menu Pricing'!$F$7:$F$56,$O432))+N(INDEX('Menu Pricing'!$G$7:$G$56,$O432))+N(INDEX('Menu Pricing'!$J$7:$J$56,$O432)))</f>
        <v/>
      </c>
      <c r="K432" s="71">
        <f>IF($N432&lt;&gt;"OK","",$D432*$J432)</f>
        <v/>
      </c>
      <c r="L432" s="71">
        <f>IF($N432&lt;&gt;"OK","",$I432-$K432)</f>
        <v/>
      </c>
      <c r="M432" s="71">
        <f>IF($N432&lt;&gt;"OK","",$D432*N(INDEX('Menu Pricing'!$F$7:$F$56,$O432)))</f>
        <v/>
      </c>
      <c r="N432" s="80">
        <f>IF(AND($B432="",$C432="",$D432=""),"",IF(NOT(ISNUMBER($B432)),"Enter a valid date",IF($C432="","Pick a menu item",IF($O432="","Item not on Menu Pricing",IF(N($D432)&lt;=0,"Qty must be above 0",IF($H432="","No price on menu","OK"))))))</f>
        <v/>
      </c>
      <c r="O432" s="13">
        <f>IF($C432="","",IFERROR(MATCH($C432,'Menu Pricing'!$B$7:$B$56,0),""))</f>
        <v/>
      </c>
    </row>
    <row r="433" ht="17" customHeight="1">
      <c r="B433" s="66" t="n"/>
      <c r="C433" s="60" t="n"/>
      <c r="D433" s="86" t="n"/>
      <c r="E433" s="63" t="n"/>
      <c r="F433" s="60" t="n"/>
      <c r="G433" s="60" t="n"/>
      <c r="H433" s="71">
        <f>IF(OR($C433="",$D433=""),"",IF(ISNUMBER($E433),$E433,IF($O433="","",IF(N(INDEX('Menu Pricing'!$O$7:$O$56,$O433))&gt;0,INDEX('Menu Pricing'!$O$7:$O$56,$O433),""))))</f>
        <v/>
      </c>
      <c r="I433" s="71">
        <f>IF($N433&lt;&gt;"OK","",$D433*$H433)</f>
        <v/>
      </c>
      <c r="J433" s="71">
        <f>IF($N433&lt;&gt;"OK","",N(INDEX('Menu Pricing'!$F$7:$F$56,$O433))+N(INDEX('Menu Pricing'!$G$7:$G$56,$O433))+N(INDEX('Menu Pricing'!$J$7:$J$56,$O433)))</f>
        <v/>
      </c>
      <c r="K433" s="71">
        <f>IF($N433&lt;&gt;"OK","",$D433*$J433)</f>
        <v/>
      </c>
      <c r="L433" s="71">
        <f>IF($N433&lt;&gt;"OK","",$I433-$K433)</f>
        <v/>
      </c>
      <c r="M433" s="71">
        <f>IF($N433&lt;&gt;"OK","",$D433*N(INDEX('Menu Pricing'!$F$7:$F$56,$O433)))</f>
        <v/>
      </c>
      <c r="N433" s="80">
        <f>IF(AND($B433="",$C433="",$D433=""),"",IF(NOT(ISNUMBER($B433)),"Enter a valid date",IF($C433="","Pick a menu item",IF($O433="","Item not on Menu Pricing",IF(N($D433)&lt;=0,"Qty must be above 0",IF($H433="","No price on menu","OK"))))))</f>
        <v/>
      </c>
      <c r="O433" s="13">
        <f>IF($C433="","",IFERROR(MATCH($C433,'Menu Pricing'!$B$7:$B$56,0),""))</f>
        <v/>
      </c>
    </row>
    <row r="434" ht="17" customHeight="1">
      <c r="B434" s="66" t="n"/>
      <c r="C434" s="60" t="n"/>
      <c r="D434" s="86" t="n"/>
      <c r="E434" s="63" t="n"/>
      <c r="F434" s="60" t="n"/>
      <c r="G434" s="60" t="n"/>
      <c r="H434" s="71">
        <f>IF(OR($C434="",$D434=""),"",IF(ISNUMBER($E434),$E434,IF($O434="","",IF(N(INDEX('Menu Pricing'!$O$7:$O$56,$O434))&gt;0,INDEX('Menu Pricing'!$O$7:$O$56,$O434),""))))</f>
        <v/>
      </c>
      <c r="I434" s="71">
        <f>IF($N434&lt;&gt;"OK","",$D434*$H434)</f>
        <v/>
      </c>
      <c r="J434" s="71">
        <f>IF($N434&lt;&gt;"OK","",N(INDEX('Menu Pricing'!$F$7:$F$56,$O434))+N(INDEX('Menu Pricing'!$G$7:$G$56,$O434))+N(INDEX('Menu Pricing'!$J$7:$J$56,$O434)))</f>
        <v/>
      </c>
      <c r="K434" s="71">
        <f>IF($N434&lt;&gt;"OK","",$D434*$J434)</f>
        <v/>
      </c>
      <c r="L434" s="71">
        <f>IF($N434&lt;&gt;"OK","",$I434-$K434)</f>
        <v/>
      </c>
      <c r="M434" s="71">
        <f>IF($N434&lt;&gt;"OK","",$D434*N(INDEX('Menu Pricing'!$F$7:$F$56,$O434)))</f>
        <v/>
      </c>
      <c r="N434" s="80">
        <f>IF(AND($B434="",$C434="",$D434=""),"",IF(NOT(ISNUMBER($B434)),"Enter a valid date",IF($C434="","Pick a menu item",IF($O434="","Item not on Menu Pricing",IF(N($D434)&lt;=0,"Qty must be above 0",IF($H434="","No price on menu","OK"))))))</f>
        <v/>
      </c>
      <c r="O434" s="13">
        <f>IF($C434="","",IFERROR(MATCH($C434,'Menu Pricing'!$B$7:$B$56,0),""))</f>
        <v/>
      </c>
    </row>
    <row r="435" ht="17" customHeight="1">
      <c r="B435" s="66" t="n"/>
      <c r="C435" s="60" t="n"/>
      <c r="D435" s="86" t="n"/>
      <c r="E435" s="63" t="n"/>
      <c r="F435" s="60" t="n"/>
      <c r="G435" s="60" t="n"/>
      <c r="H435" s="71">
        <f>IF(OR($C435="",$D435=""),"",IF(ISNUMBER($E435),$E435,IF($O435="","",IF(N(INDEX('Menu Pricing'!$O$7:$O$56,$O435))&gt;0,INDEX('Menu Pricing'!$O$7:$O$56,$O435),""))))</f>
        <v/>
      </c>
      <c r="I435" s="71">
        <f>IF($N435&lt;&gt;"OK","",$D435*$H435)</f>
        <v/>
      </c>
      <c r="J435" s="71">
        <f>IF($N435&lt;&gt;"OK","",N(INDEX('Menu Pricing'!$F$7:$F$56,$O435))+N(INDEX('Menu Pricing'!$G$7:$G$56,$O435))+N(INDEX('Menu Pricing'!$J$7:$J$56,$O435)))</f>
        <v/>
      </c>
      <c r="K435" s="71">
        <f>IF($N435&lt;&gt;"OK","",$D435*$J435)</f>
        <v/>
      </c>
      <c r="L435" s="71">
        <f>IF($N435&lt;&gt;"OK","",$I435-$K435)</f>
        <v/>
      </c>
      <c r="M435" s="71">
        <f>IF($N435&lt;&gt;"OK","",$D435*N(INDEX('Menu Pricing'!$F$7:$F$56,$O435)))</f>
        <v/>
      </c>
      <c r="N435" s="80">
        <f>IF(AND($B435="",$C435="",$D435=""),"",IF(NOT(ISNUMBER($B435)),"Enter a valid date",IF($C435="","Pick a menu item",IF($O435="","Item not on Menu Pricing",IF(N($D435)&lt;=0,"Qty must be above 0",IF($H435="","No price on menu","OK"))))))</f>
        <v/>
      </c>
      <c r="O435" s="13">
        <f>IF($C435="","",IFERROR(MATCH($C435,'Menu Pricing'!$B$7:$B$56,0),""))</f>
        <v/>
      </c>
    </row>
    <row r="436" ht="17" customHeight="1">
      <c r="B436" s="66" t="n"/>
      <c r="C436" s="60" t="n"/>
      <c r="D436" s="86" t="n"/>
      <c r="E436" s="63" t="n"/>
      <c r="F436" s="60" t="n"/>
      <c r="G436" s="60" t="n"/>
      <c r="H436" s="71">
        <f>IF(OR($C436="",$D436=""),"",IF(ISNUMBER($E436),$E436,IF($O436="","",IF(N(INDEX('Menu Pricing'!$O$7:$O$56,$O436))&gt;0,INDEX('Menu Pricing'!$O$7:$O$56,$O436),""))))</f>
        <v/>
      </c>
      <c r="I436" s="71">
        <f>IF($N436&lt;&gt;"OK","",$D436*$H436)</f>
        <v/>
      </c>
      <c r="J436" s="71">
        <f>IF($N436&lt;&gt;"OK","",N(INDEX('Menu Pricing'!$F$7:$F$56,$O436))+N(INDEX('Menu Pricing'!$G$7:$G$56,$O436))+N(INDEX('Menu Pricing'!$J$7:$J$56,$O436)))</f>
        <v/>
      </c>
      <c r="K436" s="71">
        <f>IF($N436&lt;&gt;"OK","",$D436*$J436)</f>
        <v/>
      </c>
      <c r="L436" s="71">
        <f>IF($N436&lt;&gt;"OK","",$I436-$K436)</f>
        <v/>
      </c>
      <c r="M436" s="71">
        <f>IF($N436&lt;&gt;"OK","",$D436*N(INDEX('Menu Pricing'!$F$7:$F$56,$O436)))</f>
        <v/>
      </c>
      <c r="N436" s="80">
        <f>IF(AND($B436="",$C436="",$D436=""),"",IF(NOT(ISNUMBER($B436)),"Enter a valid date",IF($C436="","Pick a menu item",IF($O436="","Item not on Menu Pricing",IF(N($D436)&lt;=0,"Qty must be above 0",IF($H436="","No price on menu","OK"))))))</f>
        <v/>
      </c>
      <c r="O436" s="13">
        <f>IF($C436="","",IFERROR(MATCH($C436,'Menu Pricing'!$B$7:$B$56,0),""))</f>
        <v/>
      </c>
    </row>
    <row r="437" ht="17" customHeight="1">
      <c r="B437" s="66" t="n"/>
      <c r="C437" s="60" t="n"/>
      <c r="D437" s="86" t="n"/>
      <c r="E437" s="63" t="n"/>
      <c r="F437" s="60" t="n"/>
      <c r="G437" s="60" t="n"/>
      <c r="H437" s="71">
        <f>IF(OR($C437="",$D437=""),"",IF(ISNUMBER($E437),$E437,IF($O437="","",IF(N(INDEX('Menu Pricing'!$O$7:$O$56,$O437))&gt;0,INDEX('Menu Pricing'!$O$7:$O$56,$O437),""))))</f>
        <v/>
      </c>
      <c r="I437" s="71">
        <f>IF($N437&lt;&gt;"OK","",$D437*$H437)</f>
        <v/>
      </c>
      <c r="J437" s="71">
        <f>IF($N437&lt;&gt;"OK","",N(INDEX('Menu Pricing'!$F$7:$F$56,$O437))+N(INDEX('Menu Pricing'!$G$7:$G$56,$O437))+N(INDEX('Menu Pricing'!$J$7:$J$56,$O437)))</f>
        <v/>
      </c>
      <c r="K437" s="71">
        <f>IF($N437&lt;&gt;"OK","",$D437*$J437)</f>
        <v/>
      </c>
      <c r="L437" s="71">
        <f>IF($N437&lt;&gt;"OK","",$I437-$K437)</f>
        <v/>
      </c>
      <c r="M437" s="71">
        <f>IF($N437&lt;&gt;"OK","",$D437*N(INDEX('Menu Pricing'!$F$7:$F$56,$O437)))</f>
        <v/>
      </c>
      <c r="N437" s="80">
        <f>IF(AND($B437="",$C437="",$D437=""),"",IF(NOT(ISNUMBER($B437)),"Enter a valid date",IF($C437="","Pick a menu item",IF($O437="","Item not on Menu Pricing",IF(N($D437)&lt;=0,"Qty must be above 0",IF($H437="","No price on menu","OK"))))))</f>
        <v/>
      </c>
      <c r="O437" s="13">
        <f>IF($C437="","",IFERROR(MATCH($C437,'Menu Pricing'!$B$7:$B$56,0),""))</f>
        <v/>
      </c>
    </row>
    <row r="438" ht="17" customHeight="1">
      <c r="B438" s="66" t="n"/>
      <c r="C438" s="60" t="n"/>
      <c r="D438" s="86" t="n"/>
      <c r="E438" s="63" t="n"/>
      <c r="F438" s="60" t="n"/>
      <c r="G438" s="60" t="n"/>
      <c r="H438" s="71">
        <f>IF(OR($C438="",$D438=""),"",IF(ISNUMBER($E438),$E438,IF($O438="","",IF(N(INDEX('Menu Pricing'!$O$7:$O$56,$O438))&gt;0,INDEX('Menu Pricing'!$O$7:$O$56,$O438),""))))</f>
        <v/>
      </c>
      <c r="I438" s="71">
        <f>IF($N438&lt;&gt;"OK","",$D438*$H438)</f>
        <v/>
      </c>
      <c r="J438" s="71">
        <f>IF($N438&lt;&gt;"OK","",N(INDEX('Menu Pricing'!$F$7:$F$56,$O438))+N(INDEX('Menu Pricing'!$G$7:$G$56,$O438))+N(INDEX('Menu Pricing'!$J$7:$J$56,$O438)))</f>
        <v/>
      </c>
      <c r="K438" s="71">
        <f>IF($N438&lt;&gt;"OK","",$D438*$J438)</f>
        <v/>
      </c>
      <c r="L438" s="71">
        <f>IF($N438&lt;&gt;"OK","",$I438-$K438)</f>
        <v/>
      </c>
      <c r="M438" s="71">
        <f>IF($N438&lt;&gt;"OK","",$D438*N(INDEX('Menu Pricing'!$F$7:$F$56,$O438)))</f>
        <v/>
      </c>
      <c r="N438" s="80">
        <f>IF(AND($B438="",$C438="",$D438=""),"",IF(NOT(ISNUMBER($B438)),"Enter a valid date",IF($C438="","Pick a menu item",IF($O438="","Item not on Menu Pricing",IF(N($D438)&lt;=0,"Qty must be above 0",IF($H438="","No price on menu","OK"))))))</f>
        <v/>
      </c>
      <c r="O438" s="13">
        <f>IF($C438="","",IFERROR(MATCH($C438,'Menu Pricing'!$B$7:$B$56,0),""))</f>
        <v/>
      </c>
    </row>
    <row r="439" ht="17" customHeight="1">
      <c r="B439" s="66" t="n"/>
      <c r="C439" s="60" t="n"/>
      <c r="D439" s="86" t="n"/>
      <c r="E439" s="63" t="n"/>
      <c r="F439" s="60" t="n"/>
      <c r="G439" s="60" t="n"/>
      <c r="H439" s="71">
        <f>IF(OR($C439="",$D439=""),"",IF(ISNUMBER($E439),$E439,IF($O439="","",IF(N(INDEX('Menu Pricing'!$O$7:$O$56,$O439))&gt;0,INDEX('Menu Pricing'!$O$7:$O$56,$O439),""))))</f>
        <v/>
      </c>
      <c r="I439" s="71">
        <f>IF($N439&lt;&gt;"OK","",$D439*$H439)</f>
        <v/>
      </c>
      <c r="J439" s="71">
        <f>IF($N439&lt;&gt;"OK","",N(INDEX('Menu Pricing'!$F$7:$F$56,$O439))+N(INDEX('Menu Pricing'!$G$7:$G$56,$O439))+N(INDEX('Menu Pricing'!$J$7:$J$56,$O439)))</f>
        <v/>
      </c>
      <c r="K439" s="71">
        <f>IF($N439&lt;&gt;"OK","",$D439*$J439)</f>
        <v/>
      </c>
      <c r="L439" s="71">
        <f>IF($N439&lt;&gt;"OK","",$I439-$K439)</f>
        <v/>
      </c>
      <c r="M439" s="71">
        <f>IF($N439&lt;&gt;"OK","",$D439*N(INDEX('Menu Pricing'!$F$7:$F$56,$O439)))</f>
        <v/>
      </c>
      <c r="N439" s="80">
        <f>IF(AND($B439="",$C439="",$D439=""),"",IF(NOT(ISNUMBER($B439)),"Enter a valid date",IF($C439="","Pick a menu item",IF($O439="","Item not on Menu Pricing",IF(N($D439)&lt;=0,"Qty must be above 0",IF($H439="","No price on menu","OK"))))))</f>
        <v/>
      </c>
      <c r="O439" s="13">
        <f>IF($C439="","",IFERROR(MATCH($C439,'Menu Pricing'!$B$7:$B$56,0),""))</f>
        <v/>
      </c>
    </row>
    <row r="440" ht="17" customHeight="1">
      <c r="B440" s="66" t="n"/>
      <c r="C440" s="60" t="n"/>
      <c r="D440" s="86" t="n"/>
      <c r="E440" s="63" t="n"/>
      <c r="F440" s="60" t="n"/>
      <c r="G440" s="60" t="n"/>
      <c r="H440" s="71">
        <f>IF(OR($C440="",$D440=""),"",IF(ISNUMBER($E440),$E440,IF($O440="","",IF(N(INDEX('Menu Pricing'!$O$7:$O$56,$O440))&gt;0,INDEX('Menu Pricing'!$O$7:$O$56,$O440),""))))</f>
        <v/>
      </c>
      <c r="I440" s="71">
        <f>IF($N440&lt;&gt;"OK","",$D440*$H440)</f>
        <v/>
      </c>
      <c r="J440" s="71">
        <f>IF($N440&lt;&gt;"OK","",N(INDEX('Menu Pricing'!$F$7:$F$56,$O440))+N(INDEX('Menu Pricing'!$G$7:$G$56,$O440))+N(INDEX('Menu Pricing'!$J$7:$J$56,$O440)))</f>
        <v/>
      </c>
      <c r="K440" s="71">
        <f>IF($N440&lt;&gt;"OK","",$D440*$J440)</f>
        <v/>
      </c>
      <c r="L440" s="71">
        <f>IF($N440&lt;&gt;"OK","",$I440-$K440)</f>
        <v/>
      </c>
      <c r="M440" s="71">
        <f>IF($N440&lt;&gt;"OK","",$D440*N(INDEX('Menu Pricing'!$F$7:$F$56,$O440)))</f>
        <v/>
      </c>
      <c r="N440" s="80">
        <f>IF(AND($B440="",$C440="",$D440=""),"",IF(NOT(ISNUMBER($B440)),"Enter a valid date",IF($C440="","Pick a menu item",IF($O440="","Item not on Menu Pricing",IF(N($D440)&lt;=0,"Qty must be above 0",IF($H440="","No price on menu","OK"))))))</f>
        <v/>
      </c>
      <c r="O440" s="13">
        <f>IF($C440="","",IFERROR(MATCH($C440,'Menu Pricing'!$B$7:$B$56,0),""))</f>
        <v/>
      </c>
    </row>
    <row r="441" ht="17" customHeight="1">
      <c r="B441" s="66" t="n"/>
      <c r="C441" s="60" t="n"/>
      <c r="D441" s="86" t="n"/>
      <c r="E441" s="63" t="n"/>
      <c r="F441" s="60" t="n"/>
      <c r="G441" s="60" t="n"/>
      <c r="H441" s="71">
        <f>IF(OR($C441="",$D441=""),"",IF(ISNUMBER($E441),$E441,IF($O441="","",IF(N(INDEX('Menu Pricing'!$O$7:$O$56,$O441))&gt;0,INDEX('Menu Pricing'!$O$7:$O$56,$O441),""))))</f>
        <v/>
      </c>
      <c r="I441" s="71">
        <f>IF($N441&lt;&gt;"OK","",$D441*$H441)</f>
        <v/>
      </c>
      <c r="J441" s="71">
        <f>IF($N441&lt;&gt;"OK","",N(INDEX('Menu Pricing'!$F$7:$F$56,$O441))+N(INDEX('Menu Pricing'!$G$7:$G$56,$O441))+N(INDEX('Menu Pricing'!$J$7:$J$56,$O441)))</f>
        <v/>
      </c>
      <c r="K441" s="71">
        <f>IF($N441&lt;&gt;"OK","",$D441*$J441)</f>
        <v/>
      </c>
      <c r="L441" s="71">
        <f>IF($N441&lt;&gt;"OK","",$I441-$K441)</f>
        <v/>
      </c>
      <c r="M441" s="71">
        <f>IF($N441&lt;&gt;"OK","",$D441*N(INDEX('Menu Pricing'!$F$7:$F$56,$O441)))</f>
        <v/>
      </c>
      <c r="N441" s="80">
        <f>IF(AND($B441="",$C441="",$D441=""),"",IF(NOT(ISNUMBER($B441)),"Enter a valid date",IF($C441="","Pick a menu item",IF($O441="","Item not on Menu Pricing",IF(N($D441)&lt;=0,"Qty must be above 0",IF($H441="","No price on menu","OK"))))))</f>
        <v/>
      </c>
      <c r="O441" s="13">
        <f>IF($C441="","",IFERROR(MATCH($C441,'Menu Pricing'!$B$7:$B$56,0),""))</f>
        <v/>
      </c>
    </row>
    <row r="442" ht="17" customHeight="1">
      <c r="B442" s="66" t="n"/>
      <c r="C442" s="60" t="n"/>
      <c r="D442" s="86" t="n"/>
      <c r="E442" s="63" t="n"/>
      <c r="F442" s="60" t="n"/>
      <c r="G442" s="60" t="n"/>
      <c r="H442" s="71">
        <f>IF(OR($C442="",$D442=""),"",IF(ISNUMBER($E442),$E442,IF($O442="","",IF(N(INDEX('Menu Pricing'!$O$7:$O$56,$O442))&gt;0,INDEX('Menu Pricing'!$O$7:$O$56,$O442),""))))</f>
        <v/>
      </c>
      <c r="I442" s="71">
        <f>IF($N442&lt;&gt;"OK","",$D442*$H442)</f>
        <v/>
      </c>
      <c r="J442" s="71">
        <f>IF($N442&lt;&gt;"OK","",N(INDEX('Menu Pricing'!$F$7:$F$56,$O442))+N(INDEX('Menu Pricing'!$G$7:$G$56,$O442))+N(INDEX('Menu Pricing'!$J$7:$J$56,$O442)))</f>
        <v/>
      </c>
      <c r="K442" s="71">
        <f>IF($N442&lt;&gt;"OK","",$D442*$J442)</f>
        <v/>
      </c>
      <c r="L442" s="71">
        <f>IF($N442&lt;&gt;"OK","",$I442-$K442)</f>
        <v/>
      </c>
      <c r="M442" s="71">
        <f>IF($N442&lt;&gt;"OK","",$D442*N(INDEX('Menu Pricing'!$F$7:$F$56,$O442)))</f>
        <v/>
      </c>
      <c r="N442" s="80">
        <f>IF(AND($B442="",$C442="",$D442=""),"",IF(NOT(ISNUMBER($B442)),"Enter a valid date",IF($C442="","Pick a menu item",IF($O442="","Item not on Menu Pricing",IF(N($D442)&lt;=0,"Qty must be above 0",IF($H442="","No price on menu","OK"))))))</f>
        <v/>
      </c>
      <c r="O442" s="13">
        <f>IF($C442="","",IFERROR(MATCH($C442,'Menu Pricing'!$B$7:$B$56,0),""))</f>
        <v/>
      </c>
    </row>
    <row r="443" ht="17" customHeight="1">
      <c r="B443" s="66" t="n"/>
      <c r="C443" s="60" t="n"/>
      <c r="D443" s="86" t="n"/>
      <c r="E443" s="63" t="n"/>
      <c r="F443" s="60" t="n"/>
      <c r="G443" s="60" t="n"/>
      <c r="H443" s="71">
        <f>IF(OR($C443="",$D443=""),"",IF(ISNUMBER($E443),$E443,IF($O443="","",IF(N(INDEX('Menu Pricing'!$O$7:$O$56,$O443))&gt;0,INDEX('Menu Pricing'!$O$7:$O$56,$O443),""))))</f>
        <v/>
      </c>
      <c r="I443" s="71">
        <f>IF($N443&lt;&gt;"OK","",$D443*$H443)</f>
        <v/>
      </c>
      <c r="J443" s="71">
        <f>IF($N443&lt;&gt;"OK","",N(INDEX('Menu Pricing'!$F$7:$F$56,$O443))+N(INDEX('Menu Pricing'!$G$7:$G$56,$O443))+N(INDEX('Menu Pricing'!$J$7:$J$56,$O443)))</f>
        <v/>
      </c>
      <c r="K443" s="71">
        <f>IF($N443&lt;&gt;"OK","",$D443*$J443)</f>
        <v/>
      </c>
      <c r="L443" s="71">
        <f>IF($N443&lt;&gt;"OK","",$I443-$K443)</f>
        <v/>
      </c>
      <c r="M443" s="71">
        <f>IF($N443&lt;&gt;"OK","",$D443*N(INDEX('Menu Pricing'!$F$7:$F$56,$O443)))</f>
        <v/>
      </c>
      <c r="N443" s="80">
        <f>IF(AND($B443="",$C443="",$D443=""),"",IF(NOT(ISNUMBER($B443)),"Enter a valid date",IF($C443="","Pick a menu item",IF($O443="","Item not on Menu Pricing",IF(N($D443)&lt;=0,"Qty must be above 0",IF($H443="","No price on menu","OK"))))))</f>
        <v/>
      </c>
      <c r="O443" s="13">
        <f>IF($C443="","",IFERROR(MATCH($C443,'Menu Pricing'!$B$7:$B$56,0),""))</f>
        <v/>
      </c>
    </row>
    <row r="444" ht="17" customHeight="1">
      <c r="B444" s="66" t="n"/>
      <c r="C444" s="60" t="n"/>
      <c r="D444" s="86" t="n"/>
      <c r="E444" s="63" t="n"/>
      <c r="F444" s="60" t="n"/>
      <c r="G444" s="60" t="n"/>
      <c r="H444" s="71">
        <f>IF(OR($C444="",$D444=""),"",IF(ISNUMBER($E444),$E444,IF($O444="","",IF(N(INDEX('Menu Pricing'!$O$7:$O$56,$O444))&gt;0,INDEX('Menu Pricing'!$O$7:$O$56,$O444),""))))</f>
        <v/>
      </c>
      <c r="I444" s="71">
        <f>IF($N444&lt;&gt;"OK","",$D444*$H444)</f>
        <v/>
      </c>
      <c r="J444" s="71">
        <f>IF($N444&lt;&gt;"OK","",N(INDEX('Menu Pricing'!$F$7:$F$56,$O444))+N(INDEX('Menu Pricing'!$G$7:$G$56,$O444))+N(INDEX('Menu Pricing'!$J$7:$J$56,$O444)))</f>
        <v/>
      </c>
      <c r="K444" s="71">
        <f>IF($N444&lt;&gt;"OK","",$D444*$J444)</f>
        <v/>
      </c>
      <c r="L444" s="71">
        <f>IF($N444&lt;&gt;"OK","",$I444-$K444)</f>
        <v/>
      </c>
      <c r="M444" s="71">
        <f>IF($N444&lt;&gt;"OK","",$D444*N(INDEX('Menu Pricing'!$F$7:$F$56,$O444)))</f>
        <v/>
      </c>
      <c r="N444" s="80">
        <f>IF(AND($B444="",$C444="",$D444=""),"",IF(NOT(ISNUMBER($B444)),"Enter a valid date",IF($C444="","Pick a menu item",IF($O444="","Item not on Menu Pricing",IF(N($D444)&lt;=0,"Qty must be above 0",IF($H444="","No price on menu","OK"))))))</f>
        <v/>
      </c>
      <c r="O444" s="13">
        <f>IF($C444="","",IFERROR(MATCH($C444,'Menu Pricing'!$B$7:$B$56,0),""))</f>
        <v/>
      </c>
    </row>
    <row r="445" ht="17" customHeight="1">
      <c r="B445" s="66" t="n"/>
      <c r="C445" s="60" t="n"/>
      <c r="D445" s="86" t="n"/>
      <c r="E445" s="63" t="n"/>
      <c r="F445" s="60" t="n"/>
      <c r="G445" s="60" t="n"/>
      <c r="H445" s="71">
        <f>IF(OR($C445="",$D445=""),"",IF(ISNUMBER($E445),$E445,IF($O445="","",IF(N(INDEX('Menu Pricing'!$O$7:$O$56,$O445))&gt;0,INDEX('Menu Pricing'!$O$7:$O$56,$O445),""))))</f>
        <v/>
      </c>
      <c r="I445" s="71">
        <f>IF($N445&lt;&gt;"OK","",$D445*$H445)</f>
        <v/>
      </c>
      <c r="J445" s="71">
        <f>IF($N445&lt;&gt;"OK","",N(INDEX('Menu Pricing'!$F$7:$F$56,$O445))+N(INDEX('Menu Pricing'!$G$7:$G$56,$O445))+N(INDEX('Menu Pricing'!$J$7:$J$56,$O445)))</f>
        <v/>
      </c>
      <c r="K445" s="71">
        <f>IF($N445&lt;&gt;"OK","",$D445*$J445)</f>
        <v/>
      </c>
      <c r="L445" s="71">
        <f>IF($N445&lt;&gt;"OK","",$I445-$K445)</f>
        <v/>
      </c>
      <c r="M445" s="71">
        <f>IF($N445&lt;&gt;"OK","",$D445*N(INDEX('Menu Pricing'!$F$7:$F$56,$O445)))</f>
        <v/>
      </c>
      <c r="N445" s="80">
        <f>IF(AND($B445="",$C445="",$D445=""),"",IF(NOT(ISNUMBER($B445)),"Enter a valid date",IF($C445="","Pick a menu item",IF($O445="","Item not on Menu Pricing",IF(N($D445)&lt;=0,"Qty must be above 0",IF($H445="","No price on menu","OK"))))))</f>
        <v/>
      </c>
      <c r="O445" s="13">
        <f>IF($C445="","",IFERROR(MATCH($C445,'Menu Pricing'!$B$7:$B$56,0),""))</f>
        <v/>
      </c>
    </row>
    <row r="446" ht="17" customHeight="1">
      <c r="B446" s="66" t="n"/>
      <c r="C446" s="60" t="n"/>
      <c r="D446" s="86" t="n"/>
      <c r="E446" s="63" t="n"/>
      <c r="F446" s="60" t="n"/>
      <c r="G446" s="60" t="n"/>
      <c r="H446" s="71">
        <f>IF(OR($C446="",$D446=""),"",IF(ISNUMBER($E446),$E446,IF($O446="","",IF(N(INDEX('Menu Pricing'!$O$7:$O$56,$O446))&gt;0,INDEX('Menu Pricing'!$O$7:$O$56,$O446),""))))</f>
        <v/>
      </c>
      <c r="I446" s="71">
        <f>IF($N446&lt;&gt;"OK","",$D446*$H446)</f>
        <v/>
      </c>
      <c r="J446" s="71">
        <f>IF($N446&lt;&gt;"OK","",N(INDEX('Menu Pricing'!$F$7:$F$56,$O446))+N(INDEX('Menu Pricing'!$G$7:$G$56,$O446))+N(INDEX('Menu Pricing'!$J$7:$J$56,$O446)))</f>
        <v/>
      </c>
      <c r="K446" s="71">
        <f>IF($N446&lt;&gt;"OK","",$D446*$J446)</f>
        <v/>
      </c>
      <c r="L446" s="71">
        <f>IF($N446&lt;&gt;"OK","",$I446-$K446)</f>
        <v/>
      </c>
      <c r="M446" s="71">
        <f>IF($N446&lt;&gt;"OK","",$D446*N(INDEX('Menu Pricing'!$F$7:$F$56,$O446)))</f>
        <v/>
      </c>
      <c r="N446" s="80">
        <f>IF(AND($B446="",$C446="",$D446=""),"",IF(NOT(ISNUMBER($B446)),"Enter a valid date",IF($C446="","Pick a menu item",IF($O446="","Item not on Menu Pricing",IF(N($D446)&lt;=0,"Qty must be above 0",IF($H446="","No price on menu","OK"))))))</f>
        <v/>
      </c>
      <c r="O446" s="13">
        <f>IF($C446="","",IFERROR(MATCH($C446,'Menu Pricing'!$B$7:$B$56,0),""))</f>
        <v/>
      </c>
    </row>
    <row r="447" ht="17" customHeight="1">
      <c r="B447" s="66" t="n"/>
      <c r="C447" s="60" t="n"/>
      <c r="D447" s="86" t="n"/>
      <c r="E447" s="63" t="n"/>
      <c r="F447" s="60" t="n"/>
      <c r="G447" s="60" t="n"/>
      <c r="H447" s="71">
        <f>IF(OR($C447="",$D447=""),"",IF(ISNUMBER($E447),$E447,IF($O447="","",IF(N(INDEX('Menu Pricing'!$O$7:$O$56,$O447))&gt;0,INDEX('Menu Pricing'!$O$7:$O$56,$O447),""))))</f>
        <v/>
      </c>
      <c r="I447" s="71">
        <f>IF($N447&lt;&gt;"OK","",$D447*$H447)</f>
        <v/>
      </c>
      <c r="J447" s="71">
        <f>IF($N447&lt;&gt;"OK","",N(INDEX('Menu Pricing'!$F$7:$F$56,$O447))+N(INDEX('Menu Pricing'!$G$7:$G$56,$O447))+N(INDEX('Menu Pricing'!$J$7:$J$56,$O447)))</f>
        <v/>
      </c>
      <c r="K447" s="71">
        <f>IF($N447&lt;&gt;"OK","",$D447*$J447)</f>
        <v/>
      </c>
      <c r="L447" s="71">
        <f>IF($N447&lt;&gt;"OK","",$I447-$K447)</f>
        <v/>
      </c>
      <c r="M447" s="71">
        <f>IF($N447&lt;&gt;"OK","",$D447*N(INDEX('Menu Pricing'!$F$7:$F$56,$O447)))</f>
        <v/>
      </c>
      <c r="N447" s="80">
        <f>IF(AND($B447="",$C447="",$D447=""),"",IF(NOT(ISNUMBER($B447)),"Enter a valid date",IF($C447="","Pick a menu item",IF($O447="","Item not on Menu Pricing",IF(N($D447)&lt;=0,"Qty must be above 0",IF($H447="","No price on menu","OK"))))))</f>
        <v/>
      </c>
      <c r="O447" s="13">
        <f>IF($C447="","",IFERROR(MATCH($C447,'Menu Pricing'!$B$7:$B$56,0),""))</f>
        <v/>
      </c>
    </row>
    <row r="448" ht="17" customHeight="1">
      <c r="B448" s="66" t="n"/>
      <c r="C448" s="60" t="n"/>
      <c r="D448" s="86" t="n"/>
      <c r="E448" s="63" t="n"/>
      <c r="F448" s="60" t="n"/>
      <c r="G448" s="60" t="n"/>
      <c r="H448" s="71">
        <f>IF(OR($C448="",$D448=""),"",IF(ISNUMBER($E448),$E448,IF($O448="","",IF(N(INDEX('Menu Pricing'!$O$7:$O$56,$O448))&gt;0,INDEX('Menu Pricing'!$O$7:$O$56,$O448),""))))</f>
        <v/>
      </c>
      <c r="I448" s="71">
        <f>IF($N448&lt;&gt;"OK","",$D448*$H448)</f>
        <v/>
      </c>
      <c r="J448" s="71">
        <f>IF($N448&lt;&gt;"OK","",N(INDEX('Menu Pricing'!$F$7:$F$56,$O448))+N(INDEX('Menu Pricing'!$G$7:$G$56,$O448))+N(INDEX('Menu Pricing'!$J$7:$J$56,$O448)))</f>
        <v/>
      </c>
      <c r="K448" s="71">
        <f>IF($N448&lt;&gt;"OK","",$D448*$J448)</f>
        <v/>
      </c>
      <c r="L448" s="71">
        <f>IF($N448&lt;&gt;"OK","",$I448-$K448)</f>
        <v/>
      </c>
      <c r="M448" s="71">
        <f>IF($N448&lt;&gt;"OK","",$D448*N(INDEX('Menu Pricing'!$F$7:$F$56,$O448)))</f>
        <v/>
      </c>
      <c r="N448" s="80">
        <f>IF(AND($B448="",$C448="",$D448=""),"",IF(NOT(ISNUMBER($B448)),"Enter a valid date",IF($C448="","Pick a menu item",IF($O448="","Item not on Menu Pricing",IF(N($D448)&lt;=0,"Qty must be above 0",IF($H448="","No price on menu","OK"))))))</f>
        <v/>
      </c>
      <c r="O448" s="13">
        <f>IF($C448="","",IFERROR(MATCH($C448,'Menu Pricing'!$B$7:$B$56,0),""))</f>
        <v/>
      </c>
    </row>
    <row r="449" ht="17" customHeight="1">
      <c r="B449" s="66" t="n"/>
      <c r="C449" s="60" t="n"/>
      <c r="D449" s="86" t="n"/>
      <c r="E449" s="63" t="n"/>
      <c r="F449" s="60" t="n"/>
      <c r="G449" s="60" t="n"/>
      <c r="H449" s="71">
        <f>IF(OR($C449="",$D449=""),"",IF(ISNUMBER($E449),$E449,IF($O449="","",IF(N(INDEX('Menu Pricing'!$O$7:$O$56,$O449))&gt;0,INDEX('Menu Pricing'!$O$7:$O$56,$O449),""))))</f>
        <v/>
      </c>
      <c r="I449" s="71">
        <f>IF($N449&lt;&gt;"OK","",$D449*$H449)</f>
        <v/>
      </c>
      <c r="J449" s="71">
        <f>IF($N449&lt;&gt;"OK","",N(INDEX('Menu Pricing'!$F$7:$F$56,$O449))+N(INDEX('Menu Pricing'!$G$7:$G$56,$O449))+N(INDEX('Menu Pricing'!$J$7:$J$56,$O449)))</f>
        <v/>
      </c>
      <c r="K449" s="71">
        <f>IF($N449&lt;&gt;"OK","",$D449*$J449)</f>
        <v/>
      </c>
      <c r="L449" s="71">
        <f>IF($N449&lt;&gt;"OK","",$I449-$K449)</f>
        <v/>
      </c>
      <c r="M449" s="71">
        <f>IF($N449&lt;&gt;"OK","",$D449*N(INDEX('Menu Pricing'!$F$7:$F$56,$O449)))</f>
        <v/>
      </c>
      <c r="N449" s="80">
        <f>IF(AND($B449="",$C449="",$D449=""),"",IF(NOT(ISNUMBER($B449)),"Enter a valid date",IF($C449="","Pick a menu item",IF($O449="","Item not on Menu Pricing",IF(N($D449)&lt;=0,"Qty must be above 0",IF($H449="","No price on menu","OK"))))))</f>
        <v/>
      </c>
      <c r="O449" s="13">
        <f>IF($C449="","",IFERROR(MATCH($C449,'Menu Pricing'!$B$7:$B$56,0),""))</f>
        <v/>
      </c>
    </row>
    <row r="450" ht="17" customHeight="1">
      <c r="B450" s="66" t="n"/>
      <c r="C450" s="60" t="n"/>
      <c r="D450" s="86" t="n"/>
      <c r="E450" s="63" t="n"/>
      <c r="F450" s="60" t="n"/>
      <c r="G450" s="60" t="n"/>
      <c r="H450" s="71">
        <f>IF(OR($C450="",$D450=""),"",IF(ISNUMBER($E450),$E450,IF($O450="","",IF(N(INDEX('Menu Pricing'!$O$7:$O$56,$O450))&gt;0,INDEX('Menu Pricing'!$O$7:$O$56,$O450),""))))</f>
        <v/>
      </c>
      <c r="I450" s="71">
        <f>IF($N450&lt;&gt;"OK","",$D450*$H450)</f>
        <v/>
      </c>
      <c r="J450" s="71">
        <f>IF($N450&lt;&gt;"OK","",N(INDEX('Menu Pricing'!$F$7:$F$56,$O450))+N(INDEX('Menu Pricing'!$G$7:$G$56,$O450))+N(INDEX('Menu Pricing'!$J$7:$J$56,$O450)))</f>
        <v/>
      </c>
      <c r="K450" s="71">
        <f>IF($N450&lt;&gt;"OK","",$D450*$J450)</f>
        <v/>
      </c>
      <c r="L450" s="71">
        <f>IF($N450&lt;&gt;"OK","",$I450-$K450)</f>
        <v/>
      </c>
      <c r="M450" s="71">
        <f>IF($N450&lt;&gt;"OK","",$D450*N(INDEX('Menu Pricing'!$F$7:$F$56,$O450)))</f>
        <v/>
      </c>
      <c r="N450" s="80">
        <f>IF(AND($B450="",$C450="",$D450=""),"",IF(NOT(ISNUMBER($B450)),"Enter a valid date",IF($C450="","Pick a menu item",IF($O450="","Item not on Menu Pricing",IF(N($D450)&lt;=0,"Qty must be above 0",IF($H450="","No price on menu","OK"))))))</f>
        <v/>
      </c>
      <c r="O450" s="13">
        <f>IF($C450="","",IFERROR(MATCH($C450,'Menu Pricing'!$B$7:$B$56,0),""))</f>
        <v/>
      </c>
    </row>
    <row r="451" ht="17" customHeight="1">
      <c r="B451" s="66" t="n"/>
      <c r="C451" s="60" t="n"/>
      <c r="D451" s="86" t="n"/>
      <c r="E451" s="63" t="n"/>
      <c r="F451" s="60" t="n"/>
      <c r="G451" s="60" t="n"/>
      <c r="H451" s="71">
        <f>IF(OR($C451="",$D451=""),"",IF(ISNUMBER($E451),$E451,IF($O451="","",IF(N(INDEX('Menu Pricing'!$O$7:$O$56,$O451))&gt;0,INDEX('Menu Pricing'!$O$7:$O$56,$O451),""))))</f>
        <v/>
      </c>
      <c r="I451" s="71">
        <f>IF($N451&lt;&gt;"OK","",$D451*$H451)</f>
        <v/>
      </c>
      <c r="J451" s="71">
        <f>IF($N451&lt;&gt;"OK","",N(INDEX('Menu Pricing'!$F$7:$F$56,$O451))+N(INDEX('Menu Pricing'!$G$7:$G$56,$O451))+N(INDEX('Menu Pricing'!$J$7:$J$56,$O451)))</f>
        <v/>
      </c>
      <c r="K451" s="71">
        <f>IF($N451&lt;&gt;"OK","",$D451*$J451)</f>
        <v/>
      </c>
      <c r="L451" s="71">
        <f>IF($N451&lt;&gt;"OK","",$I451-$K451)</f>
        <v/>
      </c>
      <c r="M451" s="71">
        <f>IF($N451&lt;&gt;"OK","",$D451*N(INDEX('Menu Pricing'!$F$7:$F$56,$O451)))</f>
        <v/>
      </c>
      <c r="N451" s="80">
        <f>IF(AND($B451="",$C451="",$D451=""),"",IF(NOT(ISNUMBER($B451)),"Enter a valid date",IF($C451="","Pick a menu item",IF($O451="","Item not on Menu Pricing",IF(N($D451)&lt;=0,"Qty must be above 0",IF($H451="","No price on menu","OK"))))))</f>
        <v/>
      </c>
      <c r="O451" s="13">
        <f>IF($C451="","",IFERROR(MATCH($C451,'Menu Pricing'!$B$7:$B$56,0),""))</f>
        <v/>
      </c>
    </row>
    <row r="452" ht="17" customHeight="1">
      <c r="B452" s="66" t="n"/>
      <c r="C452" s="60" t="n"/>
      <c r="D452" s="86" t="n"/>
      <c r="E452" s="63" t="n"/>
      <c r="F452" s="60" t="n"/>
      <c r="G452" s="60" t="n"/>
      <c r="H452" s="71">
        <f>IF(OR($C452="",$D452=""),"",IF(ISNUMBER($E452),$E452,IF($O452="","",IF(N(INDEX('Menu Pricing'!$O$7:$O$56,$O452))&gt;0,INDEX('Menu Pricing'!$O$7:$O$56,$O452),""))))</f>
        <v/>
      </c>
      <c r="I452" s="71">
        <f>IF($N452&lt;&gt;"OK","",$D452*$H452)</f>
        <v/>
      </c>
      <c r="J452" s="71">
        <f>IF($N452&lt;&gt;"OK","",N(INDEX('Menu Pricing'!$F$7:$F$56,$O452))+N(INDEX('Menu Pricing'!$G$7:$G$56,$O452))+N(INDEX('Menu Pricing'!$J$7:$J$56,$O452)))</f>
        <v/>
      </c>
      <c r="K452" s="71">
        <f>IF($N452&lt;&gt;"OK","",$D452*$J452)</f>
        <v/>
      </c>
      <c r="L452" s="71">
        <f>IF($N452&lt;&gt;"OK","",$I452-$K452)</f>
        <v/>
      </c>
      <c r="M452" s="71">
        <f>IF($N452&lt;&gt;"OK","",$D452*N(INDEX('Menu Pricing'!$F$7:$F$56,$O452)))</f>
        <v/>
      </c>
      <c r="N452" s="80">
        <f>IF(AND($B452="",$C452="",$D452=""),"",IF(NOT(ISNUMBER($B452)),"Enter a valid date",IF($C452="","Pick a menu item",IF($O452="","Item not on Menu Pricing",IF(N($D452)&lt;=0,"Qty must be above 0",IF($H452="","No price on menu","OK"))))))</f>
        <v/>
      </c>
      <c r="O452" s="13">
        <f>IF($C452="","",IFERROR(MATCH($C452,'Menu Pricing'!$B$7:$B$56,0),""))</f>
        <v/>
      </c>
    </row>
    <row r="453" ht="17" customHeight="1">
      <c r="B453" s="66" t="n"/>
      <c r="C453" s="60" t="n"/>
      <c r="D453" s="86" t="n"/>
      <c r="E453" s="63" t="n"/>
      <c r="F453" s="60" t="n"/>
      <c r="G453" s="60" t="n"/>
      <c r="H453" s="71">
        <f>IF(OR($C453="",$D453=""),"",IF(ISNUMBER($E453),$E453,IF($O453="","",IF(N(INDEX('Menu Pricing'!$O$7:$O$56,$O453))&gt;0,INDEX('Menu Pricing'!$O$7:$O$56,$O453),""))))</f>
        <v/>
      </c>
      <c r="I453" s="71">
        <f>IF($N453&lt;&gt;"OK","",$D453*$H453)</f>
        <v/>
      </c>
      <c r="J453" s="71">
        <f>IF($N453&lt;&gt;"OK","",N(INDEX('Menu Pricing'!$F$7:$F$56,$O453))+N(INDEX('Menu Pricing'!$G$7:$G$56,$O453))+N(INDEX('Menu Pricing'!$J$7:$J$56,$O453)))</f>
        <v/>
      </c>
      <c r="K453" s="71">
        <f>IF($N453&lt;&gt;"OK","",$D453*$J453)</f>
        <v/>
      </c>
      <c r="L453" s="71">
        <f>IF($N453&lt;&gt;"OK","",$I453-$K453)</f>
        <v/>
      </c>
      <c r="M453" s="71">
        <f>IF($N453&lt;&gt;"OK","",$D453*N(INDEX('Menu Pricing'!$F$7:$F$56,$O453)))</f>
        <v/>
      </c>
      <c r="N453" s="80">
        <f>IF(AND($B453="",$C453="",$D453=""),"",IF(NOT(ISNUMBER($B453)),"Enter a valid date",IF($C453="","Pick a menu item",IF($O453="","Item not on Menu Pricing",IF(N($D453)&lt;=0,"Qty must be above 0",IF($H453="","No price on menu","OK"))))))</f>
        <v/>
      </c>
      <c r="O453" s="13">
        <f>IF($C453="","",IFERROR(MATCH($C453,'Menu Pricing'!$B$7:$B$56,0),""))</f>
        <v/>
      </c>
    </row>
    <row r="454" ht="17" customHeight="1">
      <c r="B454" s="66" t="n"/>
      <c r="C454" s="60" t="n"/>
      <c r="D454" s="86" t="n"/>
      <c r="E454" s="63" t="n"/>
      <c r="F454" s="60" t="n"/>
      <c r="G454" s="60" t="n"/>
      <c r="H454" s="71">
        <f>IF(OR($C454="",$D454=""),"",IF(ISNUMBER($E454),$E454,IF($O454="","",IF(N(INDEX('Menu Pricing'!$O$7:$O$56,$O454))&gt;0,INDEX('Menu Pricing'!$O$7:$O$56,$O454),""))))</f>
        <v/>
      </c>
      <c r="I454" s="71">
        <f>IF($N454&lt;&gt;"OK","",$D454*$H454)</f>
        <v/>
      </c>
      <c r="J454" s="71">
        <f>IF($N454&lt;&gt;"OK","",N(INDEX('Menu Pricing'!$F$7:$F$56,$O454))+N(INDEX('Menu Pricing'!$G$7:$G$56,$O454))+N(INDEX('Menu Pricing'!$J$7:$J$56,$O454)))</f>
        <v/>
      </c>
      <c r="K454" s="71">
        <f>IF($N454&lt;&gt;"OK","",$D454*$J454)</f>
        <v/>
      </c>
      <c r="L454" s="71">
        <f>IF($N454&lt;&gt;"OK","",$I454-$K454)</f>
        <v/>
      </c>
      <c r="M454" s="71">
        <f>IF($N454&lt;&gt;"OK","",$D454*N(INDEX('Menu Pricing'!$F$7:$F$56,$O454)))</f>
        <v/>
      </c>
      <c r="N454" s="80">
        <f>IF(AND($B454="",$C454="",$D454=""),"",IF(NOT(ISNUMBER($B454)),"Enter a valid date",IF($C454="","Pick a menu item",IF($O454="","Item not on Menu Pricing",IF(N($D454)&lt;=0,"Qty must be above 0",IF($H454="","No price on menu","OK"))))))</f>
        <v/>
      </c>
      <c r="O454" s="13">
        <f>IF($C454="","",IFERROR(MATCH($C454,'Menu Pricing'!$B$7:$B$56,0),""))</f>
        <v/>
      </c>
    </row>
    <row r="455" ht="17" customHeight="1">
      <c r="B455" s="66" t="n"/>
      <c r="C455" s="60" t="n"/>
      <c r="D455" s="86" t="n"/>
      <c r="E455" s="63" t="n"/>
      <c r="F455" s="60" t="n"/>
      <c r="G455" s="60" t="n"/>
      <c r="H455" s="71">
        <f>IF(OR($C455="",$D455=""),"",IF(ISNUMBER($E455),$E455,IF($O455="","",IF(N(INDEX('Menu Pricing'!$O$7:$O$56,$O455))&gt;0,INDEX('Menu Pricing'!$O$7:$O$56,$O455),""))))</f>
        <v/>
      </c>
      <c r="I455" s="71">
        <f>IF($N455&lt;&gt;"OK","",$D455*$H455)</f>
        <v/>
      </c>
      <c r="J455" s="71">
        <f>IF($N455&lt;&gt;"OK","",N(INDEX('Menu Pricing'!$F$7:$F$56,$O455))+N(INDEX('Menu Pricing'!$G$7:$G$56,$O455))+N(INDEX('Menu Pricing'!$J$7:$J$56,$O455)))</f>
        <v/>
      </c>
      <c r="K455" s="71">
        <f>IF($N455&lt;&gt;"OK","",$D455*$J455)</f>
        <v/>
      </c>
      <c r="L455" s="71">
        <f>IF($N455&lt;&gt;"OK","",$I455-$K455)</f>
        <v/>
      </c>
      <c r="M455" s="71">
        <f>IF($N455&lt;&gt;"OK","",$D455*N(INDEX('Menu Pricing'!$F$7:$F$56,$O455)))</f>
        <v/>
      </c>
      <c r="N455" s="80">
        <f>IF(AND($B455="",$C455="",$D455=""),"",IF(NOT(ISNUMBER($B455)),"Enter a valid date",IF($C455="","Pick a menu item",IF($O455="","Item not on Menu Pricing",IF(N($D455)&lt;=0,"Qty must be above 0",IF($H455="","No price on menu","OK"))))))</f>
        <v/>
      </c>
      <c r="O455" s="13">
        <f>IF($C455="","",IFERROR(MATCH($C455,'Menu Pricing'!$B$7:$B$56,0),""))</f>
        <v/>
      </c>
    </row>
    <row r="456" ht="17" customHeight="1">
      <c r="B456" s="66" t="n"/>
      <c r="C456" s="60" t="n"/>
      <c r="D456" s="86" t="n"/>
      <c r="E456" s="63" t="n"/>
      <c r="F456" s="60" t="n"/>
      <c r="G456" s="60" t="n"/>
      <c r="H456" s="71">
        <f>IF(OR($C456="",$D456=""),"",IF(ISNUMBER($E456),$E456,IF($O456="","",IF(N(INDEX('Menu Pricing'!$O$7:$O$56,$O456))&gt;0,INDEX('Menu Pricing'!$O$7:$O$56,$O456),""))))</f>
        <v/>
      </c>
      <c r="I456" s="71">
        <f>IF($N456&lt;&gt;"OK","",$D456*$H456)</f>
        <v/>
      </c>
      <c r="J456" s="71">
        <f>IF($N456&lt;&gt;"OK","",N(INDEX('Menu Pricing'!$F$7:$F$56,$O456))+N(INDEX('Menu Pricing'!$G$7:$G$56,$O456))+N(INDEX('Menu Pricing'!$J$7:$J$56,$O456)))</f>
        <v/>
      </c>
      <c r="K456" s="71">
        <f>IF($N456&lt;&gt;"OK","",$D456*$J456)</f>
        <v/>
      </c>
      <c r="L456" s="71">
        <f>IF($N456&lt;&gt;"OK","",$I456-$K456)</f>
        <v/>
      </c>
      <c r="M456" s="71">
        <f>IF($N456&lt;&gt;"OK","",$D456*N(INDEX('Menu Pricing'!$F$7:$F$56,$O456)))</f>
        <v/>
      </c>
      <c r="N456" s="80">
        <f>IF(AND($B456="",$C456="",$D456=""),"",IF(NOT(ISNUMBER($B456)),"Enter a valid date",IF($C456="","Pick a menu item",IF($O456="","Item not on Menu Pricing",IF(N($D456)&lt;=0,"Qty must be above 0",IF($H456="","No price on menu","OK"))))))</f>
        <v/>
      </c>
      <c r="O456" s="13">
        <f>IF($C456="","",IFERROR(MATCH($C456,'Menu Pricing'!$B$7:$B$56,0),""))</f>
        <v/>
      </c>
    </row>
    <row r="457" ht="17" customHeight="1">
      <c r="B457" s="66" t="n"/>
      <c r="C457" s="60" t="n"/>
      <c r="D457" s="86" t="n"/>
      <c r="E457" s="63" t="n"/>
      <c r="F457" s="60" t="n"/>
      <c r="G457" s="60" t="n"/>
      <c r="H457" s="71">
        <f>IF(OR($C457="",$D457=""),"",IF(ISNUMBER($E457),$E457,IF($O457="","",IF(N(INDEX('Menu Pricing'!$O$7:$O$56,$O457))&gt;0,INDEX('Menu Pricing'!$O$7:$O$56,$O457),""))))</f>
        <v/>
      </c>
      <c r="I457" s="71">
        <f>IF($N457&lt;&gt;"OK","",$D457*$H457)</f>
        <v/>
      </c>
      <c r="J457" s="71">
        <f>IF($N457&lt;&gt;"OK","",N(INDEX('Menu Pricing'!$F$7:$F$56,$O457))+N(INDEX('Menu Pricing'!$G$7:$G$56,$O457))+N(INDEX('Menu Pricing'!$J$7:$J$56,$O457)))</f>
        <v/>
      </c>
      <c r="K457" s="71">
        <f>IF($N457&lt;&gt;"OK","",$D457*$J457)</f>
        <v/>
      </c>
      <c r="L457" s="71">
        <f>IF($N457&lt;&gt;"OK","",$I457-$K457)</f>
        <v/>
      </c>
      <c r="M457" s="71">
        <f>IF($N457&lt;&gt;"OK","",$D457*N(INDEX('Menu Pricing'!$F$7:$F$56,$O457)))</f>
        <v/>
      </c>
      <c r="N457" s="80">
        <f>IF(AND($B457="",$C457="",$D457=""),"",IF(NOT(ISNUMBER($B457)),"Enter a valid date",IF($C457="","Pick a menu item",IF($O457="","Item not on Menu Pricing",IF(N($D457)&lt;=0,"Qty must be above 0",IF($H457="","No price on menu","OK"))))))</f>
        <v/>
      </c>
      <c r="O457" s="13">
        <f>IF($C457="","",IFERROR(MATCH($C457,'Menu Pricing'!$B$7:$B$56,0),""))</f>
        <v/>
      </c>
    </row>
    <row r="458" ht="17" customHeight="1">
      <c r="B458" s="66" t="n"/>
      <c r="C458" s="60" t="n"/>
      <c r="D458" s="86" t="n"/>
      <c r="E458" s="63" t="n"/>
      <c r="F458" s="60" t="n"/>
      <c r="G458" s="60" t="n"/>
      <c r="H458" s="71">
        <f>IF(OR($C458="",$D458=""),"",IF(ISNUMBER($E458),$E458,IF($O458="","",IF(N(INDEX('Menu Pricing'!$O$7:$O$56,$O458))&gt;0,INDEX('Menu Pricing'!$O$7:$O$56,$O458),""))))</f>
        <v/>
      </c>
      <c r="I458" s="71">
        <f>IF($N458&lt;&gt;"OK","",$D458*$H458)</f>
        <v/>
      </c>
      <c r="J458" s="71">
        <f>IF($N458&lt;&gt;"OK","",N(INDEX('Menu Pricing'!$F$7:$F$56,$O458))+N(INDEX('Menu Pricing'!$G$7:$G$56,$O458))+N(INDEX('Menu Pricing'!$J$7:$J$56,$O458)))</f>
        <v/>
      </c>
      <c r="K458" s="71">
        <f>IF($N458&lt;&gt;"OK","",$D458*$J458)</f>
        <v/>
      </c>
      <c r="L458" s="71">
        <f>IF($N458&lt;&gt;"OK","",$I458-$K458)</f>
        <v/>
      </c>
      <c r="M458" s="71">
        <f>IF($N458&lt;&gt;"OK","",$D458*N(INDEX('Menu Pricing'!$F$7:$F$56,$O458)))</f>
        <v/>
      </c>
      <c r="N458" s="80">
        <f>IF(AND($B458="",$C458="",$D458=""),"",IF(NOT(ISNUMBER($B458)),"Enter a valid date",IF($C458="","Pick a menu item",IF($O458="","Item not on Menu Pricing",IF(N($D458)&lt;=0,"Qty must be above 0",IF($H458="","No price on menu","OK"))))))</f>
        <v/>
      </c>
      <c r="O458" s="13">
        <f>IF($C458="","",IFERROR(MATCH($C458,'Menu Pricing'!$B$7:$B$56,0),""))</f>
        <v/>
      </c>
    </row>
    <row r="459" ht="17" customHeight="1">
      <c r="B459" s="66" t="n"/>
      <c r="C459" s="60" t="n"/>
      <c r="D459" s="86" t="n"/>
      <c r="E459" s="63" t="n"/>
      <c r="F459" s="60" t="n"/>
      <c r="G459" s="60" t="n"/>
      <c r="H459" s="71">
        <f>IF(OR($C459="",$D459=""),"",IF(ISNUMBER($E459),$E459,IF($O459="","",IF(N(INDEX('Menu Pricing'!$O$7:$O$56,$O459))&gt;0,INDEX('Menu Pricing'!$O$7:$O$56,$O459),""))))</f>
        <v/>
      </c>
      <c r="I459" s="71">
        <f>IF($N459&lt;&gt;"OK","",$D459*$H459)</f>
        <v/>
      </c>
      <c r="J459" s="71">
        <f>IF($N459&lt;&gt;"OK","",N(INDEX('Menu Pricing'!$F$7:$F$56,$O459))+N(INDEX('Menu Pricing'!$G$7:$G$56,$O459))+N(INDEX('Menu Pricing'!$J$7:$J$56,$O459)))</f>
        <v/>
      </c>
      <c r="K459" s="71">
        <f>IF($N459&lt;&gt;"OK","",$D459*$J459)</f>
        <v/>
      </c>
      <c r="L459" s="71">
        <f>IF($N459&lt;&gt;"OK","",$I459-$K459)</f>
        <v/>
      </c>
      <c r="M459" s="71">
        <f>IF($N459&lt;&gt;"OK","",$D459*N(INDEX('Menu Pricing'!$F$7:$F$56,$O459)))</f>
        <v/>
      </c>
      <c r="N459" s="80">
        <f>IF(AND($B459="",$C459="",$D459=""),"",IF(NOT(ISNUMBER($B459)),"Enter a valid date",IF($C459="","Pick a menu item",IF($O459="","Item not on Menu Pricing",IF(N($D459)&lt;=0,"Qty must be above 0",IF($H459="","No price on menu","OK"))))))</f>
        <v/>
      </c>
      <c r="O459" s="13">
        <f>IF($C459="","",IFERROR(MATCH($C459,'Menu Pricing'!$B$7:$B$56,0),""))</f>
        <v/>
      </c>
    </row>
    <row r="460" ht="17" customHeight="1">
      <c r="B460" s="66" t="n"/>
      <c r="C460" s="60" t="n"/>
      <c r="D460" s="86" t="n"/>
      <c r="E460" s="63" t="n"/>
      <c r="F460" s="60" t="n"/>
      <c r="G460" s="60" t="n"/>
      <c r="H460" s="71">
        <f>IF(OR($C460="",$D460=""),"",IF(ISNUMBER($E460),$E460,IF($O460="","",IF(N(INDEX('Menu Pricing'!$O$7:$O$56,$O460))&gt;0,INDEX('Menu Pricing'!$O$7:$O$56,$O460),""))))</f>
        <v/>
      </c>
      <c r="I460" s="71">
        <f>IF($N460&lt;&gt;"OK","",$D460*$H460)</f>
        <v/>
      </c>
      <c r="J460" s="71">
        <f>IF($N460&lt;&gt;"OK","",N(INDEX('Menu Pricing'!$F$7:$F$56,$O460))+N(INDEX('Menu Pricing'!$G$7:$G$56,$O460))+N(INDEX('Menu Pricing'!$J$7:$J$56,$O460)))</f>
        <v/>
      </c>
      <c r="K460" s="71">
        <f>IF($N460&lt;&gt;"OK","",$D460*$J460)</f>
        <v/>
      </c>
      <c r="L460" s="71">
        <f>IF($N460&lt;&gt;"OK","",$I460-$K460)</f>
        <v/>
      </c>
      <c r="M460" s="71">
        <f>IF($N460&lt;&gt;"OK","",$D460*N(INDEX('Menu Pricing'!$F$7:$F$56,$O460)))</f>
        <v/>
      </c>
      <c r="N460" s="80">
        <f>IF(AND($B460="",$C460="",$D460=""),"",IF(NOT(ISNUMBER($B460)),"Enter a valid date",IF($C460="","Pick a menu item",IF($O460="","Item not on Menu Pricing",IF(N($D460)&lt;=0,"Qty must be above 0",IF($H460="","No price on menu","OK"))))))</f>
        <v/>
      </c>
      <c r="O460" s="13">
        <f>IF($C460="","",IFERROR(MATCH($C460,'Menu Pricing'!$B$7:$B$56,0),""))</f>
        <v/>
      </c>
    </row>
    <row r="461" ht="17" customHeight="1">
      <c r="B461" s="66" t="n"/>
      <c r="C461" s="60" t="n"/>
      <c r="D461" s="86" t="n"/>
      <c r="E461" s="63" t="n"/>
      <c r="F461" s="60" t="n"/>
      <c r="G461" s="60" t="n"/>
      <c r="H461" s="71">
        <f>IF(OR($C461="",$D461=""),"",IF(ISNUMBER($E461),$E461,IF($O461="","",IF(N(INDEX('Menu Pricing'!$O$7:$O$56,$O461))&gt;0,INDEX('Menu Pricing'!$O$7:$O$56,$O461),""))))</f>
        <v/>
      </c>
      <c r="I461" s="71">
        <f>IF($N461&lt;&gt;"OK","",$D461*$H461)</f>
        <v/>
      </c>
      <c r="J461" s="71">
        <f>IF($N461&lt;&gt;"OK","",N(INDEX('Menu Pricing'!$F$7:$F$56,$O461))+N(INDEX('Menu Pricing'!$G$7:$G$56,$O461))+N(INDEX('Menu Pricing'!$J$7:$J$56,$O461)))</f>
        <v/>
      </c>
      <c r="K461" s="71">
        <f>IF($N461&lt;&gt;"OK","",$D461*$J461)</f>
        <v/>
      </c>
      <c r="L461" s="71">
        <f>IF($N461&lt;&gt;"OK","",$I461-$K461)</f>
        <v/>
      </c>
      <c r="M461" s="71">
        <f>IF($N461&lt;&gt;"OK","",$D461*N(INDEX('Menu Pricing'!$F$7:$F$56,$O461)))</f>
        <v/>
      </c>
      <c r="N461" s="80">
        <f>IF(AND($B461="",$C461="",$D461=""),"",IF(NOT(ISNUMBER($B461)),"Enter a valid date",IF($C461="","Pick a menu item",IF($O461="","Item not on Menu Pricing",IF(N($D461)&lt;=0,"Qty must be above 0",IF($H461="","No price on menu","OK"))))))</f>
        <v/>
      </c>
      <c r="O461" s="13">
        <f>IF($C461="","",IFERROR(MATCH($C461,'Menu Pricing'!$B$7:$B$56,0),""))</f>
        <v/>
      </c>
    </row>
    <row r="462" ht="17" customHeight="1">
      <c r="B462" s="66" t="n"/>
      <c r="C462" s="60" t="n"/>
      <c r="D462" s="86" t="n"/>
      <c r="E462" s="63" t="n"/>
      <c r="F462" s="60" t="n"/>
      <c r="G462" s="60" t="n"/>
      <c r="H462" s="71">
        <f>IF(OR($C462="",$D462=""),"",IF(ISNUMBER($E462),$E462,IF($O462="","",IF(N(INDEX('Menu Pricing'!$O$7:$O$56,$O462))&gt;0,INDEX('Menu Pricing'!$O$7:$O$56,$O462),""))))</f>
        <v/>
      </c>
      <c r="I462" s="71">
        <f>IF($N462&lt;&gt;"OK","",$D462*$H462)</f>
        <v/>
      </c>
      <c r="J462" s="71">
        <f>IF($N462&lt;&gt;"OK","",N(INDEX('Menu Pricing'!$F$7:$F$56,$O462))+N(INDEX('Menu Pricing'!$G$7:$G$56,$O462))+N(INDEX('Menu Pricing'!$J$7:$J$56,$O462)))</f>
        <v/>
      </c>
      <c r="K462" s="71">
        <f>IF($N462&lt;&gt;"OK","",$D462*$J462)</f>
        <v/>
      </c>
      <c r="L462" s="71">
        <f>IF($N462&lt;&gt;"OK","",$I462-$K462)</f>
        <v/>
      </c>
      <c r="M462" s="71">
        <f>IF($N462&lt;&gt;"OK","",$D462*N(INDEX('Menu Pricing'!$F$7:$F$56,$O462)))</f>
        <v/>
      </c>
      <c r="N462" s="80">
        <f>IF(AND($B462="",$C462="",$D462=""),"",IF(NOT(ISNUMBER($B462)),"Enter a valid date",IF($C462="","Pick a menu item",IF($O462="","Item not on Menu Pricing",IF(N($D462)&lt;=0,"Qty must be above 0",IF($H462="","No price on menu","OK"))))))</f>
        <v/>
      </c>
      <c r="O462" s="13">
        <f>IF($C462="","",IFERROR(MATCH($C462,'Menu Pricing'!$B$7:$B$56,0),""))</f>
        <v/>
      </c>
    </row>
    <row r="463" ht="17" customHeight="1">
      <c r="B463" s="66" t="n"/>
      <c r="C463" s="60" t="n"/>
      <c r="D463" s="86" t="n"/>
      <c r="E463" s="63" t="n"/>
      <c r="F463" s="60" t="n"/>
      <c r="G463" s="60" t="n"/>
      <c r="H463" s="71">
        <f>IF(OR($C463="",$D463=""),"",IF(ISNUMBER($E463),$E463,IF($O463="","",IF(N(INDEX('Menu Pricing'!$O$7:$O$56,$O463))&gt;0,INDEX('Menu Pricing'!$O$7:$O$56,$O463),""))))</f>
        <v/>
      </c>
      <c r="I463" s="71">
        <f>IF($N463&lt;&gt;"OK","",$D463*$H463)</f>
        <v/>
      </c>
      <c r="J463" s="71">
        <f>IF($N463&lt;&gt;"OK","",N(INDEX('Menu Pricing'!$F$7:$F$56,$O463))+N(INDEX('Menu Pricing'!$G$7:$G$56,$O463))+N(INDEX('Menu Pricing'!$J$7:$J$56,$O463)))</f>
        <v/>
      </c>
      <c r="K463" s="71">
        <f>IF($N463&lt;&gt;"OK","",$D463*$J463)</f>
        <v/>
      </c>
      <c r="L463" s="71">
        <f>IF($N463&lt;&gt;"OK","",$I463-$K463)</f>
        <v/>
      </c>
      <c r="M463" s="71">
        <f>IF($N463&lt;&gt;"OK","",$D463*N(INDEX('Menu Pricing'!$F$7:$F$56,$O463)))</f>
        <v/>
      </c>
      <c r="N463" s="80">
        <f>IF(AND($B463="",$C463="",$D463=""),"",IF(NOT(ISNUMBER($B463)),"Enter a valid date",IF($C463="","Pick a menu item",IF($O463="","Item not on Menu Pricing",IF(N($D463)&lt;=0,"Qty must be above 0",IF($H463="","No price on menu","OK"))))))</f>
        <v/>
      </c>
      <c r="O463" s="13">
        <f>IF($C463="","",IFERROR(MATCH($C463,'Menu Pricing'!$B$7:$B$56,0),""))</f>
        <v/>
      </c>
    </row>
    <row r="464" ht="17" customHeight="1">
      <c r="B464" s="66" t="n"/>
      <c r="C464" s="60" t="n"/>
      <c r="D464" s="86" t="n"/>
      <c r="E464" s="63" t="n"/>
      <c r="F464" s="60" t="n"/>
      <c r="G464" s="60" t="n"/>
      <c r="H464" s="71">
        <f>IF(OR($C464="",$D464=""),"",IF(ISNUMBER($E464),$E464,IF($O464="","",IF(N(INDEX('Menu Pricing'!$O$7:$O$56,$O464))&gt;0,INDEX('Menu Pricing'!$O$7:$O$56,$O464),""))))</f>
        <v/>
      </c>
      <c r="I464" s="71">
        <f>IF($N464&lt;&gt;"OK","",$D464*$H464)</f>
        <v/>
      </c>
      <c r="J464" s="71">
        <f>IF($N464&lt;&gt;"OK","",N(INDEX('Menu Pricing'!$F$7:$F$56,$O464))+N(INDEX('Menu Pricing'!$G$7:$G$56,$O464))+N(INDEX('Menu Pricing'!$J$7:$J$56,$O464)))</f>
        <v/>
      </c>
      <c r="K464" s="71">
        <f>IF($N464&lt;&gt;"OK","",$D464*$J464)</f>
        <v/>
      </c>
      <c r="L464" s="71">
        <f>IF($N464&lt;&gt;"OK","",$I464-$K464)</f>
        <v/>
      </c>
      <c r="M464" s="71">
        <f>IF($N464&lt;&gt;"OK","",$D464*N(INDEX('Menu Pricing'!$F$7:$F$56,$O464)))</f>
        <v/>
      </c>
      <c r="N464" s="80">
        <f>IF(AND($B464="",$C464="",$D464=""),"",IF(NOT(ISNUMBER($B464)),"Enter a valid date",IF($C464="","Pick a menu item",IF($O464="","Item not on Menu Pricing",IF(N($D464)&lt;=0,"Qty must be above 0",IF($H464="","No price on menu","OK"))))))</f>
        <v/>
      </c>
      <c r="O464" s="13">
        <f>IF($C464="","",IFERROR(MATCH($C464,'Menu Pricing'!$B$7:$B$56,0),""))</f>
        <v/>
      </c>
    </row>
    <row r="465" ht="17" customHeight="1">
      <c r="B465" s="66" t="n"/>
      <c r="C465" s="60" t="n"/>
      <c r="D465" s="86" t="n"/>
      <c r="E465" s="63" t="n"/>
      <c r="F465" s="60" t="n"/>
      <c r="G465" s="60" t="n"/>
      <c r="H465" s="71">
        <f>IF(OR($C465="",$D465=""),"",IF(ISNUMBER($E465),$E465,IF($O465="","",IF(N(INDEX('Menu Pricing'!$O$7:$O$56,$O465))&gt;0,INDEX('Menu Pricing'!$O$7:$O$56,$O465),""))))</f>
        <v/>
      </c>
      <c r="I465" s="71">
        <f>IF($N465&lt;&gt;"OK","",$D465*$H465)</f>
        <v/>
      </c>
      <c r="J465" s="71">
        <f>IF($N465&lt;&gt;"OK","",N(INDEX('Menu Pricing'!$F$7:$F$56,$O465))+N(INDEX('Menu Pricing'!$G$7:$G$56,$O465))+N(INDEX('Menu Pricing'!$J$7:$J$56,$O465)))</f>
        <v/>
      </c>
      <c r="K465" s="71">
        <f>IF($N465&lt;&gt;"OK","",$D465*$J465)</f>
        <v/>
      </c>
      <c r="L465" s="71">
        <f>IF($N465&lt;&gt;"OK","",$I465-$K465)</f>
        <v/>
      </c>
      <c r="M465" s="71">
        <f>IF($N465&lt;&gt;"OK","",$D465*N(INDEX('Menu Pricing'!$F$7:$F$56,$O465)))</f>
        <v/>
      </c>
      <c r="N465" s="80">
        <f>IF(AND($B465="",$C465="",$D465=""),"",IF(NOT(ISNUMBER($B465)),"Enter a valid date",IF($C465="","Pick a menu item",IF($O465="","Item not on Menu Pricing",IF(N($D465)&lt;=0,"Qty must be above 0",IF($H465="","No price on menu","OK"))))))</f>
        <v/>
      </c>
      <c r="O465" s="13">
        <f>IF($C465="","",IFERROR(MATCH($C465,'Menu Pricing'!$B$7:$B$56,0),""))</f>
        <v/>
      </c>
    </row>
    <row r="466" ht="17" customHeight="1">
      <c r="B466" s="66" t="n"/>
      <c r="C466" s="60" t="n"/>
      <c r="D466" s="86" t="n"/>
      <c r="E466" s="63" t="n"/>
      <c r="F466" s="60" t="n"/>
      <c r="G466" s="60" t="n"/>
      <c r="H466" s="71">
        <f>IF(OR($C466="",$D466=""),"",IF(ISNUMBER($E466),$E466,IF($O466="","",IF(N(INDEX('Menu Pricing'!$O$7:$O$56,$O466))&gt;0,INDEX('Menu Pricing'!$O$7:$O$56,$O466),""))))</f>
        <v/>
      </c>
      <c r="I466" s="71">
        <f>IF($N466&lt;&gt;"OK","",$D466*$H466)</f>
        <v/>
      </c>
      <c r="J466" s="71">
        <f>IF($N466&lt;&gt;"OK","",N(INDEX('Menu Pricing'!$F$7:$F$56,$O466))+N(INDEX('Menu Pricing'!$G$7:$G$56,$O466))+N(INDEX('Menu Pricing'!$J$7:$J$56,$O466)))</f>
        <v/>
      </c>
      <c r="K466" s="71">
        <f>IF($N466&lt;&gt;"OK","",$D466*$J466)</f>
        <v/>
      </c>
      <c r="L466" s="71">
        <f>IF($N466&lt;&gt;"OK","",$I466-$K466)</f>
        <v/>
      </c>
      <c r="M466" s="71">
        <f>IF($N466&lt;&gt;"OK","",$D466*N(INDEX('Menu Pricing'!$F$7:$F$56,$O466)))</f>
        <v/>
      </c>
      <c r="N466" s="80">
        <f>IF(AND($B466="",$C466="",$D466=""),"",IF(NOT(ISNUMBER($B466)),"Enter a valid date",IF($C466="","Pick a menu item",IF($O466="","Item not on Menu Pricing",IF(N($D466)&lt;=0,"Qty must be above 0",IF($H466="","No price on menu","OK"))))))</f>
        <v/>
      </c>
      <c r="O466" s="13">
        <f>IF($C466="","",IFERROR(MATCH($C466,'Menu Pricing'!$B$7:$B$56,0),""))</f>
        <v/>
      </c>
    </row>
    <row r="467" ht="17" customHeight="1">
      <c r="B467" s="66" t="n"/>
      <c r="C467" s="60" t="n"/>
      <c r="D467" s="86" t="n"/>
      <c r="E467" s="63" t="n"/>
      <c r="F467" s="60" t="n"/>
      <c r="G467" s="60" t="n"/>
      <c r="H467" s="71">
        <f>IF(OR($C467="",$D467=""),"",IF(ISNUMBER($E467),$E467,IF($O467="","",IF(N(INDEX('Menu Pricing'!$O$7:$O$56,$O467))&gt;0,INDEX('Menu Pricing'!$O$7:$O$56,$O467),""))))</f>
        <v/>
      </c>
      <c r="I467" s="71">
        <f>IF($N467&lt;&gt;"OK","",$D467*$H467)</f>
        <v/>
      </c>
      <c r="J467" s="71">
        <f>IF($N467&lt;&gt;"OK","",N(INDEX('Menu Pricing'!$F$7:$F$56,$O467))+N(INDEX('Menu Pricing'!$G$7:$G$56,$O467))+N(INDEX('Menu Pricing'!$J$7:$J$56,$O467)))</f>
        <v/>
      </c>
      <c r="K467" s="71">
        <f>IF($N467&lt;&gt;"OK","",$D467*$J467)</f>
        <v/>
      </c>
      <c r="L467" s="71">
        <f>IF($N467&lt;&gt;"OK","",$I467-$K467)</f>
        <v/>
      </c>
      <c r="M467" s="71">
        <f>IF($N467&lt;&gt;"OK","",$D467*N(INDEX('Menu Pricing'!$F$7:$F$56,$O467)))</f>
        <v/>
      </c>
      <c r="N467" s="80">
        <f>IF(AND($B467="",$C467="",$D467=""),"",IF(NOT(ISNUMBER($B467)),"Enter a valid date",IF($C467="","Pick a menu item",IF($O467="","Item not on Menu Pricing",IF(N($D467)&lt;=0,"Qty must be above 0",IF($H467="","No price on menu","OK"))))))</f>
        <v/>
      </c>
      <c r="O467" s="13">
        <f>IF($C467="","",IFERROR(MATCH($C467,'Menu Pricing'!$B$7:$B$56,0),""))</f>
        <v/>
      </c>
    </row>
    <row r="468" ht="17" customHeight="1">
      <c r="B468" s="66" t="n"/>
      <c r="C468" s="60" t="n"/>
      <c r="D468" s="86" t="n"/>
      <c r="E468" s="63" t="n"/>
      <c r="F468" s="60" t="n"/>
      <c r="G468" s="60" t="n"/>
      <c r="H468" s="71">
        <f>IF(OR($C468="",$D468=""),"",IF(ISNUMBER($E468),$E468,IF($O468="","",IF(N(INDEX('Menu Pricing'!$O$7:$O$56,$O468))&gt;0,INDEX('Menu Pricing'!$O$7:$O$56,$O468),""))))</f>
        <v/>
      </c>
      <c r="I468" s="71">
        <f>IF($N468&lt;&gt;"OK","",$D468*$H468)</f>
        <v/>
      </c>
      <c r="J468" s="71">
        <f>IF($N468&lt;&gt;"OK","",N(INDEX('Menu Pricing'!$F$7:$F$56,$O468))+N(INDEX('Menu Pricing'!$G$7:$G$56,$O468))+N(INDEX('Menu Pricing'!$J$7:$J$56,$O468)))</f>
        <v/>
      </c>
      <c r="K468" s="71">
        <f>IF($N468&lt;&gt;"OK","",$D468*$J468)</f>
        <v/>
      </c>
      <c r="L468" s="71">
        <f>IF($N468&lt;&gt;"OK","",$I468-$K468)</f>
        <v/>
      </c>
      <c r="M468" s="71">
        <f>IF($N468&lt;&gt;"OK","",$D468*N(INDEX('Menu Pricing'!$F$7:$F$56,$O468)))</f>
        <v/>
      </c>
      <c r="N468" s="80">
        <f>IF(AND($B468="",$C468="",$D468=""),"",IF(NOT(ISNUMBER($B468)),"Enter a valid date",IF($C468="","Pick a menu item",IF($O468="","Item not on Menu Pricing",IF(N($D468)&lt;=0,"Qty must be above 0",IF($H468="","No price on menu","OK"))))))</f>
        <v/>
      </c>
      <c r="O468" s="13">
        <f>IF($C468="","",IFERROR(MATCH($C468,'Menu Pricing'!$B$7:$B$56,0),""))</f>
        <v/>
      </c>
    </row>
    <row r="469" ht="17" customHeight="1">
      <c r="B469" s="66" t="n"/>
      <c r="C469" s="60" t="n"/>
      <c r="D469" s="86" t="n"/>
      <c r="E469" s="63" t="n"/>
      <c r="F469" s="60" t="n"/>
      <c r="G469" s="60" t="n"/>
      <c r="H469" s="71">
        <f>IF(OR($C469="",$D469=""),"",IF(ISNUMBER($E469),$E469,IF($O469="","",IF(N(INDEX('Menu Pricing'!$O$7:$O$56,$O469))&gt;0,INDEX('Menu Pricing'!$O$7:$O$56,$O469),""))))</f>
        <v/>
      </c>
      <c r="I469" s="71">
        <f>IF($N469&lt;&gt;"OK","",$D469*$H469)</f>
        <v/>
      </c>
      <c r="J469" s="71">
        <f>IF($N469&lt;&gt;"OK","",N(INDEX('Menu Pricing'!$F$7:$F$56,$O469))+N(INDEX('Menu Pricing'!$G$7:$G$56,$O469))+N(INDEX('Menu Pricing'!$J$7:$J$56,$O469)))</f>
        <v/>
      </c>
      <c r="K469" s="71">
        <f>IF($N469&lt;&gt;"OK","",$D469*$J469)</f>
        <v/>
      </c>
      <c r="L469" s="71">
        <f>IF($N469&lt;&gt;"OK","",$I469-$K469)</f>
        <v/>
      </c>
      <c r="M469" s="71">
        <f>IF($N469&lt;&gt;"OK","",$D469*N(INDEX('Menu Pricing'!$F$7:$F$56,$O469)))</f>
        <v/>
      </c>
      <c r="N469" s="80">
        <f>IF(AND($B469="",$C469="",$D469=""),"",IF(NOT(ISNUMBER($B469)),"Enter a valid date",IF($C469="","Pick a menu item",IF($O469="","Item not on Menu Pricing",IF(N($D469)&lt;=0,"Qty must be above 0",IF($H469="","No price on menu","OK"))))))</f>
        <v/>
      </c>
      <c r="O469" s="13">
        <f>IF($C469="","",IFERROR(MATCH($C469,'Menu Pricing'!$B$7:$B$56,0),""))</f>
        <v/>
      </c>
    </row>
    <row r="470" ht="17" customHeight="1">
      <c r="B470" s="66" t="n"/>
      <c r="C470" s="60" t="n"/>
      <c r="D470" s="86" t="n"/>
      <c r="E470" s="63" t="n"/>
      <c r="F470" s="60" t="n"/>
      <c r="G470" s="60" t="n"/>
      <c r="H470" s="71">
        <f>IF(OR($C470="",$D470=""),"",IF(ISNUMBER($E470),$E470,IF($O470="","",IF(N(INDEX('Menu Pricing'!$O$7:$O$56,$O470))&gt;0,INDEX('Menu Pricing'!$O$7:$O$56,$O470),""))))</f>
        <v/>
      </c>
      <c r="I470" s="71">
        <f>IF($N470&lt;&gt;"OK","",$D470*$H470)</f>
        <v/>
      </c>
      <c r="J470" s="71">
        <f>IF($N470&lt;&gt;"OK","",N(INDEX('Menu Pricing'!$F$7:$F$56,$O470))+N(INDEX('Menu Pricing'!$G$7:$G$56,$O470))+N(INDEX('Menu Pricing'!$J$7:$J$56,$O470)))</f>
        <v/>
      </c>
      <c r="K470" s="71">
        <f>IF($N470&lt;&gt;"OK","",$D470*$J470)</f>
        <v/>
      </c>
      <c r="L470" s="71">
        <f>IF($N470&lt;&gt;"OK","",$I470-$K470)</f>
        <v/>
      </c>
      <c r="M470" s="71">
        <f>IF($N470&lt;&gt;"OK","",$D470*N(INDEX('Menu Pricing'!$F$7:$F$56,$O470)))</f>
        <v/>
      </c>
      <c r="N470" s="80">
        <f>IF(AND($B470="",$C470="",$D470=""),"",IF(NOT(ISNUMBER($B470)),"Enter a valid date",IF($C470="","Pick a menu item",IF($O470="","Item not on Menu Pricing",IF(N($D470)&lt;=0,"Qty must be above 0",IF($H470="","No price on menu","OK"))))))</f>
        <v/>
      </c>
      <c r="O470" s="13">
        <f>IF($C470="","",IFERROR(MATCH($C470,'Menu Pricing'!$B$7:$B$56,0),""))</f>
        <v/>
      </c>
    </row>
    <row r="471" ht="17" customHeight="1">
      <c r="B471" s="66" t="n"/>
      <c r="C471" s="60" t="n"/>
      <c r="D471" s="86" t="n"/>
      <c r="E471" s="63" t="n"/>
      <c r="F471" s="60" t="n"/>
      <c r="G471" s="60" t="n"/>
      <c r="H471" s="71">
        <f>IF(OR($C471="",$D471=""),"",IF(ISNUMBER($E471),$E471,IF($O471="","",IF(N(INDEX('Menu Pricing'!$O$7:$O$56,$O471))&gt;0,INDEX('Menu Pricing'!$O$7:$O$56,$O471),""))))</f>
        <v/>
      </c>
      <c r="I471" s="71">
        <f>IF($N471&lt;&gt;"OK","",$D471*$H471)</f>
        <v/>
      </c>
      <c r="J471" s="71">
        <f>IF($N471&lt;&gt;"OK","",N(INDEX('Menu Pricing'!$F$7:$F$56,$O471))+N(INDEX('Menu Pricing'!$G$7:$G$56,$O471))+N(INDEX('Menu Pricing'!$J$7:$J$56,$O471)))</f>
        <v/>
      </c>
      <c r="K471" s="71">
        <f>IF($N471&lt;&gt;"OK","",$D471*$J471)</f>
        <v/>
      </c>
      <c r="L471" s="71">
        <f>IF($N471&lt;&gt;"OK","",$I471-$K471)</f>
        <v/>
      </c>
      <c r="M471" s="71">
        <f>IF($N471&lt;&gt;"OK","",$D471*N(INDEX('Menu Pricing'!$F$7:$F$56,$O471)))</f>
        <v/>
      </c>
      <c r="N471" s="80">
        <f>IF(AND($B471="",$C471="",$D471=""),"",IF(NOT(ISNUMBER($B471)),"Enter a valid date",IF($C471="","Pick a menu item",IF($O471="","Item not on Menu Pricing",IF(N($D471)&lt;=0,"Qty must be above 0",IF($H471="","No price on menu","OK"))))))</f>
        <v/>
      </c>
      <c r="O471" s="13">
        <f>IF($C471="","",IFERROR(MATCH($C471,'Menu Pricing'!$B$7:$B$56,0),""))</f>
        <v/>
      </c>
    </row>
    <row r="472" ht="17" customHeight="1">
      <c r="B472" s="66" t="n"/>
      <c r="C472" s="60" t="n"/>
      <c r="D472" s="86" t="n"/>
      <c r="E472" s="63" t="n"/>
      <c r="F472" s="60" t="n"/>
      <c r="G472" s="60" t="n"/>
      <c r="H472" s="71">
        <f>IF(OR($C472="",$D472=""),"",IF(ISNUMBER($E472),$E472,IF($O472="","",IF(N(INDEX('Menu Pricing'!$O$7:$O$56,$O472))&gt;0,INDEX('Menu Pricing'!$O$7:$O$56,$O472),""))))</f>
        <v/>
      </c>
      <c r="I472" s="71">
        <f>IF($N472&lt;&gt;"OK","",$D472*$H472)</f>
        <v/>
      </c>
      <c r="J472" s="71">
        <f>IF($N472&lt;&gt;"OK","",N(INDEX('Menu Pricing'!$F$7:$F$56,$O472))+N(INDEX('Menu Pricing'!$G$7:$G$56,$O472))+N(INDEX('Menu Pricing'!$J$7:$J$56,$O472)))</f>
        <v/>
      </c>
      <c r="K472" s="71">
        <f>IF($N472&lt;&gt;"OK","",$D472*$J472)</f>
        <v/>
      </c>
      <c r="L472" s="71">
        <f>IF($N472&lt;&gt;"OK","",$I472-$K472)</f>
        <v/>
      </c>
      <c r="M472" s="71">
        <f>IF($N472&lt;&gt;"OK","",$D472*N(INDEX('Menu Pricing'!$F$7:$F$56,$O472)))</f>
        <v/>
      </c>
      <c r="N472" s="80">
        <f>IF(AND($B472="",$C472="",$D472=""),"",IF(NOT(ISNUMBER($B472)),"Enter a valid date",IF($C472="","Pick a menu item",IF($O472="","Item not on Menu Pricing",IF(N($D472)&lt;=0,"Qty must be above 0",IF($H472="","No price on menu","OK"))))))</f>
        <v/>
      </c>
      <c r="O472" s="13">
        <f>IF($C472="","",IFERROR(MATCH($C472,'Menu Pricing'!$B$7:$B$56,0),""))</f>
        <v/>
      </c>
    </row>
    <row r="473" ht="17" customHeight="1">
      <c r="B473" s="66" t="n"/>
      <c r="C473" s="60" t="n"/>
      <c r="D473" s="86" t="n"/>
      <c r="E473" s="63" t="n"/>
      <c r="F473" s="60" t="n"/>
      <c r="G473" s="60" t="n"/>
      <c r="H473" s="71">
        <f>IF(OR($C473="",$D473=""),"",IF(ISNUMBER($E473),$E473,IF($O473="","",IF(N(INDEX('Menu Pricing'!$O$7:$O$56,$O473))&gt;0,INDEX('Menu Pricing'!$O$7:$O$56,$O473),""))))</f>
        <v/>
      </c>
      <c r="I473" s="71">
        <f>IF($N473&lt;&gt;"OK","",$D473*$H473)</f>
        <v/>
      </c>
      <c r="J473" s="71">
        <f>IF($N473&lt;&gt;"OK","",N(INDEX('Menu Pricing'!$F$7:$F$56,$O473))+N(INDEX('Menu Pricing'!$G$7:$G$56,$O473))+N(INDEX('Menu Pricing'!$J$7:$J$56,$O473)))</f>
        <v/>
      </c>
      <c r="K473" s="71">
        <f>IF($N473&lt;&gt;"OK","",$D473*$J473)</f>
        <v/>
      </c>
      <c r="L473" s="71">
        <f>IF($N473&lt;&gt;"OK","",$I473-$K473)</f>
        <v/>
      </c>
      <c r="M473" s="71">
        <f>IF($N473&lt;&gt;"OK","",$D473*N(INDEX('Menu Pricing'!$F$7:$F$56,$O473)))</f>
        <v/>
      </c>
      <c r="N473" s="80">
        <f>IF(AND($B473="",$C473="",$D473=""),"",IF(NOT(ISNUMBER($B473)),"Enter a valid date",IF($C473="","Pick a menu item",IF($O473="","Item not on Menu Pricing",IF(N($D473)&lt;=0,"Qty must be above 0",IF($H473="","No price on menu","OK"))))))</f>
        <v/>
      </c>
      <c r="O473" s="13">
        <f>IF($C473="","",IFERROR(MATCH($C473,'Menu Pricing'!$B$7:$B$56,0),""))</f>
        <v/>
      </c>
    </row>
    <row r="474" ht="17" customHeight="1">
      <c r="B474" s="66" t="n"/>
      <c r="C474" s="60" t="n"/>
      <c r="D474" s="86" t="n"/>
      <c r="E474" s="63" t="n"/>
      <c r="F474" s="60" t="n"/>
      <c r="G474" s="60" t="n"/>
      <c r="H474" s="71">
        <f>IF(OR($C474="",$D474=""),"",IF(ISNUMBER($E474),$E474,IF($O474="","",IF(N(INDEX('Menu Pricing'!$O$7:$O$56,$O474))&gt;0,INDEX('Menu Pricing'!$O$7:$O$56,$O474),""))))</f>
        <v/>
      </c>
      <c r="I474" s="71">
        <f>IF($N474&lt;&gt;"OK","",$D474*$H474)</f>
        <v/>
      </c>
      <c r="J474" s="71">
        <f>IF($N474&lt;&gt;"OK","",N(INDEX('Menu Pricing'!$F$7:$F$56,$O474))+N(INDEX('Menu Pricing'!$G$7:$G$56,$O474))+N(INDEX('Menu Pricing'!$J$7:$J$56,$O474)))</f>
        <v/>
      </c>
      <c r="K474" s="71">
        <f>IF($N474&lt;&gt;"OK","",$D474*$J474)</f>
        <v/>
      </c>
      <c r="L474" s="71">
        <f>IF($N474&lt;&gt;"OK","",$I474-$K474)</f>
        <v/>
      </c>
      <c r="M474" s="71">
        <f>IF($N474&lt;&gt;"OK","",$D474*N(INDEX('Menu Pricing'!$F$7:$F$56,$O474)))</f>
        <v/>
      </c>
      <c r="N474" s="80">
        <f>IF(AND($B474="",$C474="",$D474=""),"",IF(NOT(ISNUMBER($B474)),"Enter a valid date",IF($C474="","Pick a menu item",IF($O474="","Item not on Menu Pricing",IF(N($D474)&lt;=0,"Qty must be above 0",IF($H474="","No price on menu","OK"))))))</f>
        <v/>
      </c>
      <c r="O474" s="13">
        <f>IF($C474="","",IFERROR(MATCH($C474,'Menu Pricing'!$B$7:$B$56,0),""))</f>
        <v/>
      </c>
    </row>
    <row r="475" ht="17" customHeight="1">
      <c r="B475" s="66" t="n"/>
      <c r="C475" s="60" t="n"/>
      <c r="D475" s="86" t="n"/>
      <c r="E475" s="63" t="n"/>
      <c r="F475" s="60" t="n"/>
      <c r="G475" s="60" t="n"/>
      <c r="H475" s="71">
        <f>IF(OR($C475="",$D475=""),"",IF(ISNUMBER($E475),$E475,IF($O475="","",IF(N(INDEX('Menu Pricing'!$O$7:$O$56,$O475))&gt;0,INDEX('Menu Pricing'!$O$7:$O$56,$O475),""))))</f>
        <v/>
      </c>
      <c r="I475" s="71">
        <f>IF($N475&lt;&gt;"OK","",$D475*$H475)</f>
        <v/>
      </c>
      <c r="J475" s="71">
        <f>IF($N475&lt;&gt;"OK","",N(INDEX('Menu Pricing'!$F$7:$F$56,$O475))+N(INDEX('Menu Pricing'!$G$7:$G$56,$O475))+N(INDEX('Menu Pricing'!$J$7:$J$56,$O475)))</f>
        <v/>
      </c>
      <c r="K475" s="71">
        <f>IF($N475&lt;&gt;"OK","",$D475*$J475)</f>
        <v/>
      </c>
      <c r="L475" s="71">
        <f>IF($N475&lt;&gt;"OK","",$I475-$K475)</f>
        <v/>
      </c>
      <c r="M475" s="71">
        <f>IF($N475&lt;&gt;"OK","",$D475*N(INDEX('Menu Pricing'!$F$7:$F$56,$O475)))</f>
        <v/>
      </c>
      <c r="N475" s="80">
        <f>IF(AND($B475="",$C475="",$D475=""),"",IF(NOT(ISNUMBER($B475)),"Enter a valid date",IF($C475="","Pick a menu item",IF($O475="","Item not on Menu Pricing",IF(N($D475)&lt;=0,"Qty must be above 0",IF($H475="","No price on menu","OK"))))))</f>
        <v/>
      </c>
      <c r="O475" s="13">
        <f>IF($C475="","",IFERROR(MATCH($C475,'Menu Pricing'!$B$7:$B$56,0),""))</f>
        <v/>
      </c>
    </row>
    <row r="476" ht="17" customHeight="1">
      <c r="B476" s="66" t="n"/>
      <c r="C476" s="60" t="n"/>
      <c r="D476" s="86" t="n"/>
      <c r="E476" s="63" t="n"/>
      <c r="F476" s="60" t="n"/>
      <c r="G476" s="60" t="n"/>
      <c r="H476" s="71">
        <f>IF(OR($C476="",$D476=""),"",IF(ISNUMBER($E476),$E476,IF($O476="","",IF(N(INDEX('Menu Pricing'!$O$7:$O$56,$O476))&gt;0,INDEX('Menu Pricing'!$O$7:$O$56,$O476),""))))</f>
        <v/>
      </c>
      <c r="I476" s="71">
        <f>IF($N476&lt;&gt;"OK","",$D476*$H476)</f>
        <v/>
      </c>
      <c r="J476" s="71">
        <f>IF($N476&lt;&gt;"OK","",N(INDEX('Menu Pricing'!$F$7:$F$56,$O476))+N(INDEX('Menu Pricing'!$G$7:$G$56,$O476))+N(INDEX('Menu Pricing'!$J$7:$J$56,$O476)))</f>
        <v/>
      </c>
      <c r="K476" s="71">
        <f>IF($N476&lt;&gt;"OK","",$D476*$J476)</f>
        <v/>
      </c>
      <c r="L476" s="71">
        <f>IF($N476&lt;&gt;"OK","",$I476-$K476)</f>
        <v/>
      </c>
      <c r="M476" s="71">
        <f>IF($N476&lt;&gt;"OK","",$D476*N(INDEX('Menu Pricing'!$F$7:$F$56,$O476)))</f>
        <v/>
      </c>
      <c r="N476" s="80">
        <f>IF(AND($B476="",$C476="",$D476=""),"",IF(NOT(ISNUMBER($B476)),"Enter a valid date",IF($C476="","Pick a menu item",IF($O476="","Item not on Menu Pricing",IF(N($D476)&lt;=0,"Qty must be above 0",IF($H476="","No price on menu","OK"))))))</f>
        <v/>
      </c>
      <c r="O476" s="13">
        <f>IF($C476="","",IFERROR(MATCH($C476,'Menu Pricing'!$B$7:$B$56,0),""))</f>
        <v/>
      </c>
    </row>
    <row r="477" ht="17" customHeight="1">
      <c r="B477" s="66" t="n"/>
      <c r="C477" s="60" t="n"/>
      <c r="D477" s="86" t="n"/>
      <c r="E477" s="63" t="n"/>
      <c r="F477" s="60" t="n"/>
      <c r="G477" s="60" t="n"/>
      <c r="H477" s="71">
        <f>IF(OR($C477="",$D477=""),"",IF(ISNUMBER($E477),$E477,IF($O477="","",IF(N(INDEX('Menu Pricing'!$O$7:$O$56,$O477))&gt;0,INDEX('Menu Pricing'!$O$7:$O$56,$O477),""))))</f>
        <v/>
      </c>
      <c r="I477" s="71">
        <f>IF($N477&lt;&gt;"OK","",$D477*$H477)</f>
        <v/>
      </c>
      <c r="J477" s="71">
        <f>IF($N477&lt;&gt;"OK","",N(INDEX('Menu Pricing'!$F$7:$F$56,$O477))+N(INDEX('Menu Pricing'!$G$7:$G$56,$O477))+N(INDEX('Menu Pricing'!$J$7:$J$56,$O477)))</f>
        <v/>
      </c>
      <c r="K477" s="71">
        <f>IF($N477&lt;&gt;"OK","",$D477*$J477)</f>
        <v/>
      </c>
      <c r="L477" s="71">
        <f>IF($N477&lt;&gt;"OK","",$I477-$K477)</f>
        <v/>
      </c>
      <c r="M477" s="71">
        <f>IF($N477&lt;&gt;"OK","",$D477*N(INDEX('Menu Pricing'!$F$7:$F$56,$O477)))</f>
        <v/>
      </c>
      <c r="N477" s="80">
        <f>IF(AND($B477="",$C477="",$D477=""),"",IF(NOT(ISNUMBER($B477)),"Enter a valid date",IF($C477="","Pick a menu item",IF($O477="","Item not on Menu Pricing",IF(N($D477)&lt;=0,"Qty must be above 0",IF($H477="","No price on menu","OK"))))))</f>
        <v/>
      </c>
      <c r="O477" s="13">
        <f>IF($C477="","",IFERROR(MATCH($C477,'Menu Pricing'!$B$7:$B$56,0),""))</f>
        <v/>
      </c>
    </row>
    <row r="478" ht="17" customHeight="1">
      <c r="B478" s="66" t="n"/>
      <c r="C478" s="60" t="n"/>
      <c r="D478" s="86" t="n"/>
      <c r="E478" s="63" t="n"/>
      <c r="F478" s="60" t="n"/>
      <c r="G478" s="60" t="n"/>
      <c r="H478" s="71">
        <f>IF(OR($C478="",$D478=""),"",IF(ISNUMBER($E478),$E478,IF($O478="","",IF(N(INDEX('Menu Pricing'!$O$7:$O$56,$O478))&gt;0,INDEX('Menu Pricing'!$O$7:$O$56,$O478),""))))</f>
        <v/>
      </c>
      <c r="I478" s="71">
        <f>IF($N478&lt;&gt;"OK","",$D478*$H478)</f>
        <v/>
      </c>
      <c r="J478" s="71">
        <f>IF($N478&lt;&gt;"OK","",N(INDEX('Menu Pricing'!$F$7:$F$56,$O478))+N(INDEX('Menu Pricing'!$G$7:$G$56,$O478))+N(INDEX('Menu Pricing'!$J$7:$J$56,$O478)))</f>
        <v/>
      </c>
      <c r="K478" s="71">
        <f>IF($N478&lt;&gt;"OK","",$D478*$J478)</f>
        <v/>
      </c>
      <c r="L478" s="71">
        <f>IF($N478&lt;&gt;"OK","",$I478-$K478)</f>
        <v/>
      </c>
      <c r="M478" s="71">
        <f>IF($N478&lt;&gt;"OK","",$D478*N(INDEX('Menu Pricing'!$F$7:$F$56,$O478)))</f>
        <v/>
      </c>
      <c r="N478" s="80">
        <f>IF(AND($B478="",$C478="",$D478=""),"",IF(NOT(ISNUMBER($B478)),"Enter a valid date",IF($C478="","Pick a menu item",IF($O478="","Item not on Menu Pricing",IF(N($D478)&lt;=0,"Qty must be above 0",IF($H478="","No price on menu","OK"))))))</f>
        <v/>
      </c>
      <c r="O478" s="13">
        <f>IF($C478="","",IFERROR(MATCH($C478,'Menu Pricing'!$B$7:$B$56,0),""))</f>
        <v/>
      </c>
    </row>
    <row r="479" ht="17" customHeight="1">
      <c r="B479" s="66" t="n"/>
      <c r="C479" s="60" t="n"/>
      <c r="D479" s="86" t="n"/>
      <c r="E479" s="63" t="n"/>
      <c r="F479" s="60" t="n"/>
      <c r="G479" s="60" t="n"/>
      <c r="H479" s="71">
        <f>IF(OR($C479="",$D479=""),"",IF(ISNUMBER($E479),$E479,IF($O479="","",IF(N(INDEX('Menu Pricing'!$O$7:$O$56,$O479))&gt;0,INDEX('Menu Pricing'!$O$7:$O$56,$O479),""))))</f>
        <v/>
      </c>
      <c r="I479" s="71">
        <f>IF($N479&lt;&gt;"OK","",$D479*$H479)</f>
        <v/>
      </c>
      <c r="J479" s="71">
        <f>IF($N479&lt;&gt;"OK","",N(INDEX('Menu Pricing'!$F$7:$F$56,$O479))+N(INDEX('Menu Pricing'!$G$7:$G$56,$O479))+N(INDEX('Menu Pricing'!$J$7:$J$56,$O479)))</f>
        <v/>
      </c>
      <c r="K479" s="71">
        <f>IF($N479&lt;&gt;"OK","",$D479*$J479)</f>
        <v/>
      </c>
      <c r="L479" s="71">
        <f>IF($N479&lt;&gt;"OK","",$I479-$K479)</f>
        <v/>
      </c>
      <c r="M479" s="71">
        <f>IF($N479&lt;&gt;"OK","",$D479*N(INDEX('Menu Pricing'!$F$7:$F$56,$O479)))</f>
        <v/>
      </c>
      <c r="N479" s="80">
        <f>IF(AND($B479="",$C479="",$D479=""),"",IF(NOT(ISNUMBER($B479)),"Enter a valid date",IF($C479="","Pick a menu item",IF($O479="","Item not on Menu Pricing",IF(N($D479)&lt;=0,"Qty must be above 0",IF($H479="","No price on menu","OK"))))))</f>
        <v/>
      </c>
      <c r="O479" s="13">
        <f>IF($C479="","",IFERROR(MATCH($C479,'Menu Pricing'!$B$7:$B$56,0),""))</f>
        <v/>
      </c>
    </row>
    <row r="480" ht="17" customHeight="1">
      <c r="B480" s="66" t="n"/>
      <c r="C480" s="60" t="n"/>
      <c r="D480" s="86" t="n"/>
      <c r="E480" s="63" t="n"/>
      <c r="F480" s="60" t="n"/>
      <c r="G480" s="60" t="n"/>
      <c r="H480" s="71">
        <f>IF(OR($C480="",$D480=""),"",IF(ISNUMBER($E480),$E480,IF($O480="","",IF(N(INDEX('Menu Pricing'!$O$7:$O$56,$O480))&gt;0,INDEX('Menu Pricing'!$O$7:$O$56,$O480),""))))</f>
        <v/>
      </c>
      <c r="I480" s="71">
        <f>IF($N480&lt;&gt;"OK","",$D480*$H480)</f>
        <v/>
      </c>
      <c r="J480" s="71">
        <f>IF($N480&lt;&gt;"OK","",N(INDEX('Menu Pricing'!$F$7:$F$56,$O480))+N(INDEX('Menu Pricing'!$G$7:$G$56,$O480))+N(INDEX('Menu Pricing'!$J$7:$J$56,$O480)))</f>
        <v/>
      </c>
      <c r="K480" s="71">
        <f>IF($N480&lt;&gt;"OK","",$D480*$J480)</f>
        <v/>
      </c>
      <c r="L480" s="71">
        <f>IF($N480&lt;&gt;"OK","",$I480-$K480)</f>
        <v/>
      </c>
      <c r="M480" s="71">
        <f>IF($N480&lt;&gt;"OK","",$D480*N(INDEX('Menu Pricing'!$F$7:$F$56,$O480)))</f>
        <v/>
      </c>
      <c r="N480" s="80">
        <f>IF(AND($B480="",$C480="",$D480=""),"",IF(NOT(ISNUMBER($B480)),"Enter a valid date",IF($C480="","Pick a menu item",IF($O480="","Item not on Menu Pricing",IF(N($D480)&lt;=0,"Qty must be above 0",IF($H480="","No price on menu","OK"))))))</f>
        <v/>
      </c>
      <c r="O480" s="13">
        <f>IF($C480="","",IFERROR(MATCH($C480,'Menu Pricing'!$B$7:$B$56,0),""))</f>
        <v/>
      </c>
    </row>
    <row r="481" ht="17" customHeight="1">
      <c r="B481" s="66" t="n"/>
      <c r="C481" s="60" t="n"/>
      <c r="D481" s="86" t="n"/>
      <c r="E481" s="63" t="n"/>
      <c r="F481" s="60" t="n"/>
      <c r="G481" s="60" t="n"/>
      <c r="H481" s="71">
        <f>IF(OR($C481="",$D481=""),"",IF(ISNUMBER($E481),$E481,IF($O481="","",IF(N(INDEX('Menu Pricing'!$O$7:$O$56,$O481))&gt;0,INDEX('Menu Pricing'!$O$7:$O$56,$O481),""))))</f>
        <v/>
      </c>
      <c r="I481" s="71">
        <f>IF($N481&lt;&gt;"OK","",$D481*$H481)</f>
        <v/>
      </c>
      <c r="J481" s="71">
        <f>IF($N481&lt;&gt;"OK","",N(INDEX('Menu Pricing'!$F$7:$F$56,$O481))+N(INDEX('Menu Pricing'!$G$7:$G$56,$O481))+N(INDEX('Menu Pricing'!$J$7:$J$56,$O481)))</f>
        <v/>
      </c>
      <c r="K481" s="71">
        <f>IF($N481&lt;&gt;"OK","",$D481*$J481)</f>
        <v/>
      </c>
      <c r="L481" s="71">
        <f>IF($N481&lt;&gt;"OK","",$I481-$K481)</f>
        <v/>
      </c>
      <c r="M481" s="71">
        <f>IF($N481&lt;&gt;"OK","",$D481*N(INDEX('Menu Pricing'!$F$7:$F$56,$O481)))</f>
        <v/>
      </c>
      <c r="N481" s="80">
        <f>IF(AND($B481="",$C481="",$D481=""),"",IF(NOT(ISNUMBER($B481)),"Enter a valid date",IF($C481="","Pick a menu item",IF($O481="","Item not on Menu Pricing",IF(N($D481)&lt;=0,"Qty must be above 0",IF($H481="","No price on menu","OK"))))))</f>
        <v/>
      </c>
      <c r="O481" s="13">
        <f>IF($C481="","",IFERROR(MATCH($C481,'Menu Pricing'!$B$7:$B$56,0),""))</f>
        <v/>
      </c>
    </row>
    <row r="482" ht="17" customHeight="1">
      <c r="B482" s="66" t="n"/>
      <c r="C482" s="60" t="n"/>
      <c r="D482" s="86" t="n"/>
      <c r="E482" s="63" t="n"/>
      <c r="F482" s="60" t="n"/>
      <c r="G482" s="60" t="n"/>
      <c r="H482" s="71">
        <f>IF(OR($C482="",$D482=""),"",IF(ISNUMBER($E482),$E482,IF($O482="","",IF(N(INDEX('Menu Pricing'!$O$7:$O$56,$O482))&gt;0,INDEX('Menu Pricing'!$O$7:$O$56,$O482),""))))</f>
        <v/>
      </c>
      <c r="I482" s="71">
        <f>IF($N482&lt;&gt;"OK","",$D482*$H482)</f>
        <v/>
      </c>
      <c r="J482" s="71">
        <f>IF($N482&lt;&gt;"OK","",N(INDEX('Menu Pricing'!$F$7:$F$56,$O482))+N(INDEX('Menu Pricing'!$G$7:$G$56,$O482))+N(INDEX('Menu Pricing'!$J$7:$J$56,$O482)))</f>
        <v/>
      </c>
      <c r="K482" s="71">
        <f>IF($N482&lt;&gt;"OK","",$D482*$J482)</f>
        <v/>
      </c>
      <c r="L482" s="71">
        <f>IF($N482&lt;&gt;"OK","",$I482-$K482)</f>
        <v/>
      </c>
      <c r="M482" s="71">
        <f>IF($N482&lt;&gt;"OK","",$D482*N(INDEX('Menu Pricing'!$F$7:$F$56,$O482)))</f>
        <v/>
      </c>
      <c r="N482" s="80">
        <f>IF(AND($B482="",$C482="",$D482=""),"",IF(NOT(ISNUMBER($B482)),"Enter a valid date",IF($C482="","Pick a menu item",IF($O482="","Item not on Menu Pricing",IF(N($D482)&lt;=0,"Qty must be above 0",IF($H482="","No price on menu","OK"))))))</f>
        <v/>
      </c>
      <c r="O482" s="13">
        <f>IF($C482="","",IFERROR(MATCH($C482,'Menu Pricing'!$B$7:$B$56,0),""))</f>
        <v/>
      </c>
    </row>
    <row r="483" ht="17" customHeight="1">
      <c r="B483" s="66" t="n"/>
      <c r="C483" s="60" t="n"/>
      <c r="D483" s="86" t="n"/>
      <c r="E483" s="63" t="n"/>
      <c r="F483" s="60" t="n"/>
      <c r="G483" s="60" t="n"/>
      <c r="H483" s="71">
        <f>IF(OR($C483="",$D483=""),"",IF(ISNUMBER($E483),$E483,IF($O483="","",IF(N(INDEX('Menu Pricing'!$O$7:$O$56,$O483))&gt;0,INDEX('Menu Pricing'!$O$7:$O$56,$O483),""))))</f>
        <v/>
      </c>
      <c r="I483" s="71">
        <f>IF($N483&lt;&gt;"OK","",$D483*$H483)</f>
        <v/>
      </c>
      <c r="J483" s="71">
        <f>IF($N483&lt;&gt;"OK","",N(INDEX('Menu Pricing'!$F$7:$F$56,$O483))+N(INDEX('Menu Pricing'!$G$7:$G$56,$O483))+N(INDEX('Menu Pricing'!$J$7:$J$56,$O483)))</f>
        <v/>
      </c>
      <c r="K483" s="71">
        <f>IF($N483&lt;&gt;"OK","",$D483*$J483)</f>
        <v/>
      </c>
      <c r="L483" s="71">
        <f>IF($N483&lt;&gt;"OK","",$I483-$K483)</f>
        <v/>
      </c>
      <c r="M483" s="71">
        <f>IF($N483&lt;&gt;"OK","",$D483*N(INDEX('Menu Pricing'!$F$7:$F$56,$O483)))</f>
        <v/>
      </c>
      <c r="N483" s="80">
        <f>IF(AND($B483="",$C483="",$D483=""),"",IF(NOT(ISNUMBER($B483)),"Enter a valid date",IF($C483="","Pick a menu item",IF($O483="","Item not on Menu Pricing",IF(N($D483)&lt;=0,"Qty must be above 0",IF($H483="","No price on menu","OK"))))))</f>
        <v/>
      </c>
      <c r="O483" s="13">
        <f>IF($C483="","",IFERROR(MATCH($C483,'Menu Pricing'!$B$7:$B$56,0),""))</f>
        <v/>
      </c>
    </row>
    <row r="484" ht="17" customHeight="1">
      <c r="B484" s="66" t="n"/>
      <c r="C484" s="60" t="n"/>
      <c r="D484" s="86" t="n"/>
      <c r="E484" s="63" t="n"/>
      <c r="F484" s="60" t="n"/>
      <c r="G484" s="60" t="n"/>
      <c r="H484" s="71">
        <f>IF(OR($C484="",$D484=""),"",IF(ISNUMBER($E484),$E484,IF($O484="","",IF(N(INDEX('Menu Pricing'!$O$7:$O$56,$O484))&gt;0,INDEX('Menu Pricing'!$O$7:$O$56,$O484),""))))</f>
        <v/>
      </c>
      <c r="I484" s="71">
        <f>IF($N484&lt;&gt;"OK","",$D484*$H484)</f>
        <v/>
      </c>
      <c r="J484" s="71">
        <f>IF($N484&lt;&gt;"OK","",N(INDEX('Menu Pricing'!$F$7:$F$56,$O484))+N(INDEX('Menu Pricing'!$G$7:$G$56,$O484))+N(INDEX('Menu Pricing'!$J$7:$J$56,$O484)))</f>
        <v/>
      </c>
      <c r="K484" s="71">
        <f>IF($N484&lt;&gt;"OK","",$D484*$J484)</f>
        <v/>
      </c>
      <c r="L484" s="71">
        <f>IF($N484&lt;&gt;"OK","",$I484-$K484)</f>
        <v/>
      </c>
      <c r="M484" s="71">
        <f>IF($N484&lt;&gt;"OK","",$D484*N(INDEX('Menu Pricing'!$F$7:$F$56,$O484)))</f>
        <v/>
      </c>
      <c r="N484" s="80">
        <f>IF(AND($B484="",$C484="",$D484=""),"",IF(NOT(ISNUMBER($B484)),"Enter a valid date",IF($C484="","Pick a menu item",IF($O484="","Item not on Menu Pricing",IF(N($D484)&lt;=0,"Qty must be above 0",IF($H484="","No price on menu","OK"))))))</f>
        <v/>
      </c>
      <c r="O484" s="13">
        <f>IF($C484="","",IFERROR(MATCH($C484,'Menu Pricing'!$B$7:$B$56,0),""))</f>
        <v/>
      </c>
    </row>
    <row r="485" ht="17" customHeight="1">
      <c r="B485" s="66" t="n"/>
      <c r="C485" s="60" t="n"/>
      <c r="D485" s="86" t="n"/>
      <c r="E485" s="63" t="n"/>
      <c r="F485" s="60" t="n"/>
      <c r="G485" s="60" t="n"/>
      <c r="H485" s="71">
        <f>IF(OR($C485="",$D485=""),"",IF(ISNUMBER($E485),$E485,IF($O485="","",IF(N(INDEX('Menu Pricing'!$O$7:$O$56,$O485))&gt;0,INDEX('Menu Pricing'!$O$7:$O$56,$O485),""))))</f>
        <v/>
      </c>
      <c r="I485" s="71">
        <f>IF($N485&lt;&gt;"OK","",$D485*$H485)</f>
        <v/>
      </c>
      <c r="J485" s="71">
        <f>IF($N485&lt;&gt;"OK","",N(INDEX('Menu Pricing'!$F$7:$F$56,$O485))+N(INDEX('Menu Pricing'!$G$7:$G$56,$O485))+N(INDEX('Menu Pricing'!$J$7:$J$56,$O485)))</f>
        <v/>
      </c>
      <c r="K485" s="71">
        <f>IF($N485&lt;&gt;"OK","",$D485*$J485)</f>
        <v/>
      </c>
      <c r="L485" s="71">
        <f>IF($N485&lt;&gt;"OK","",$I485-$K485)</f>
        <v/>
      </c>
      <c r="M485" s="71">
        <f>IF($N485&lt;&gt;"OK","",$D485*N(INDEX('Menu Pricing'!$F$7:$F$56,$O485)))</f>
        <v/>
      </c>
      <c r="N485" s="80">
        <f>IF(AND($B485="",$C485="",$D485=""),"",IF(NOT(ISNUMBER($B485)),"Enter a valid date",IF($C485="","Pick a menu item",IF($O485="","Item not on Menu Pricing",IF(N($D485)&lt;=0,"Qty must be above 0",IF($H485="","No price on menu","OK"))))))</f>
        <v/>
      </c>
      <c r="O485" s="13">
        <f>IF($C485="","",IFERROR(MATCH($C485,'Menu Pricing'!$B$7:$B$56,0),""))</f>
        <v/>
      </c>
    </row>
    <row r="486" ht="17" customHeight="1">
      <c r="B486" s="66" t="n"/>
      <c r="C486" s="60" t="n"/>
      <c r="D486" s="86" t="n"/>
      <c r="E486" s="63" t="n"/>
      <c r="F486" s="60" t="n"/>
      <c r="G486" s="60" t="n"/>
      <c r="H486" s="71">
        <f>IF(OR($C486="",$D486=""),"",IF(ISNUMBER($E486),$E486,IF($O486="","",IF(N(INDEX('Menu Pricing'!$O$7:$O$56,$O486))&gt;0,INDEX('Menu Pricing'!$O$7:$O$56,$O486),""))))</f>
        <v/>
      </c>
      <c r="I486" s="71">
        <f>IF($N486&lt;&gt;"OK","",$D486*$H486)</f>
        <v/>
      </c>
      <c r="J486" s="71">
        <f>IF($N486&lt;&gt;"OK","",N(INDEX('Menu Pricing'!$F$7:$F$56,$O486))+N(INDEX('Menu Pricing'!$G$7:$G$56,$O486))+N(INDEX('Menu Pricing'!$J$7:$J$56,$O486)))</f>
        <v/>
      </c>
      <c r="K486" s="71">
        <f>IF($N486&lt;&gt;"OK","",$D486*$J486)</f>
        <v/>
      </c>
      <c r="L486" s="71">
        <f>IF($N486&lt;&gt;"OK","",$I486-$K486)</f>
        <v/>
      </c>
      <c r="M486" s="71">
        <f>IF($N486&lt;&gt;"OK","",$D486*N(INDEX('Menu Pricing'!$F$7:$F$56,$O486)))</f>
        <v/>
      </c>
      <c r="N486" s="80">
        <f>IF(AND($B486="",$C486="",$D486=""),"",IF(NOT(ISNUMBER($B486)),"Enter a valid date",IF($C486="","Pick a menu item",IF($O486="","Item not on Menu Pricing",IF(N($D486)&lt;=0,"Qty must be above 0",IF($H486="","No price on menu","OK"))))))</f>
        <v/>
      </c>
      <c r="O486" s="13">
        <f>IF($C486="","",IFERROR(MATCH($C486,'Menu Pricing'!$B$7:$B$56,0),""))</f>
        <v/>
      </c>
    </row>
    <row r="487" ht="17" customHeight="1">
      <c r="B487" s="66" t="n"/>
      <c r="C487" s="60" t="n"/>
      <c r="D487" s="86" t="n"/>
      <c r="E487" s="63" t="n"/>
      <c r="F487" s="60" t="n"/>
      <c r="G487" s="60" t="n"/>
      <c r="H487" s="71">
        <f>IF(OR($C487="",$D487=""),"",IF(ISNUMBER($E487),$E487,IF($O487="","",IF(N(INDEX('Menu Pricing'!$O$7:$O$56,$O487))&gt;0,INDEX('Menu Pricing'!$O$7:$O$56,$O487),""))))</f>
        <v/>
      </c>
      <c r="I487" s="71">
        <f>IF($N487&lt;&gt;"OK","",$D487*$H487)</f>
        <v/>
      </c>
      <c r="J487" s="71">
        <f>IF($N487&lt;&gt;"OK","",N(INDEX('Menu Pricing'!$F$7:$F$56,$O487))+N(INDEX('Menu Pricing'!$G$7:$G$56,$O487))+N(INDEX('Menu Pricing'!$J$7:$J$56,$O487)))</f>
        <v/>
      </c>
      <c r="K487" s="71">
        <f>IF($N487&lt;&gt;"OK","",$D487*$J487)</f>
        <v/>
      </c>
      <c r="L487" s="71">
        <f>IF($N487&lt;&gt;"OK","",$I487-$K487)</f>
        <v/>
      </c>
      <c r="M487" s="71">
        <f>IF($N487&lt;&gt;"OK","",$D487*N(INDEX('Menu Pricing'!$F$7:$F$56,$O487)))</f>
        <v/>
      </c>
      <c r="N487" s="80">
        <f>IF(AND($B487="",$C487="",$D487=""),"",IF(NOT(ISNUMBER($B487)),"Enter a valid date",IF($C487="","Pick a menu item",IF($O487="","Item not on Menu Pricing",IF(N($D487)&lt;=0,"Qty must be above 0",IF($H487="","No price on menu","OK"))))))</f>
        <v/>
      </c>
      <c r="O487" s="13">
        <f>IF($C487="","",IFERROR(MATCH($C487,'Menu Pricing'!$B$7:$B$56,0),""))</f>
        <v/>
      </c>
    </row>
    <row r="488" ht="17" customHeight="1">
      <c r="B488" s="66" t="n"/>
      <c r="C488" s="60" t="n"/>
      <c r="D488" s="86" t="n"/>
      <c r="E488" s="63" t="n"/>
      <c r="F488" s="60" t="n"/>
      <c r="G488" s="60" t="n"/>
      <c r="H488" s="71">
        <f>IF(OR($C488="",$D488=""),"",IF(ISNUMBER($E488),$E488,IF($O488="","",IF(N(INDEX('Menu Pricing'!$O$7:$O$56,$O488))&gt;0,INDEX('Menu Pricing'!$O$7:$O$56,$O488),""))))</f>
        <v/>
      </c>
      <c r="I488" s="71">
        <f>IF($N488&lt;&gt;"OK","",$D488*$H488)</f>
        <v/>
      </c>
      <c r="J488" s="71">
        <f>IF($N488&lt;&gt;"OK","",N(INDEX('Menu Pricing'!$F$7:$F$56,$O488))+N(INDEX('Menu Pricing'!$G$7:$G$56,$O488))+N(INDEX('Menu Pricing'!$J$7:$J$56,$O488)))</f>
        <v/>
      </c>
      <c r="K488" s="71">
        <f>IF($N488&lt;&gt;"OK","",$D488*$J488)</f>
        <v/>
      </c>
      <c r="L488" s="71">
        <f>IF($N488&lt;&gt;"OK","",$I488-$K488)</f>
        <v/>
      </c>
      <c r="M488" s="71">
        <f>IF($N488&lt;&gt;"OK","",$D488*N(INDEX('Menu Pricing'!$F$7:$F$56,$O488)))</f>
        <v/>
      </c>
      <c r="N488" s="80">
        <f>IF(AND($B488="",$C488="",$D488=""),"",IF(NOT(ISNUMBER($B488)),"Enter a valid date",IF($C488="","Pick a menu item",IF($O488="","Item not on Menu Pricing",IF(N($D488)&lt;=0,"Qty must be above 0",IF($H488="","No price on menu","OK"))))))</f>
        <v/>
      </c>
      <c r="O488" s="13">
        <f>IF($C488="","",IFERROR(MATCH($C488,'Menu Pricing'!$B$7:$B$56,0),""))</f>
        <v/>
      </c>
    </row>
    <row r="489" ht="17" customHeight="1">
      <c r="B489" s="66" t="n"/>
      <c r="C489" s="60" t="n"/>
      <c r="D489" s="86" t="n"/>
      <c r="E489" s="63" t="n"/>
      <c r="F489" s="60" t="n"/>
      <c r="G489" s="60" t="n"/>
      <c r="H489" s="71">
        <f>IF(OR($C489="",$D489=""),"",IF(ISNUMBER($E489),$E489,IF($O489="","",IF(N(INDEX('Menu Pricing'!$O$7:$O$56,$O489))&gt;0,INDEX('Menu Pricing'!$O$7:$O$56,$O489),""))))</f>
        <v/>
      </c>
      <c r="I489" s="71">
        <f>IF($N489&lt;&gt;"OK","",$D489*$H489)</f>
        <v/>
      </c>
      <c r="J489" s="71">
        <f>IF($N489&lt;&gt;"OK","",N(INDEX('Menu Pricing'!$F$7:$F$56,$O489))+N(INDEX('Menu Pricing'!$G$7:$G$56,$O489))+N(INDEX('Menu Pricing'!$J$7:$J$56,$O489)))</f>
        <v/>
      </c>
      <c r="K489" s="71">
        <f>IF($N489&lt;&gt;"OK","",$D489*$J489)</f>
        <v/>
      </c>
      <c r="L489" s="71">
        <f>IF($N489&lt;&gt;"OK","",$I489-$K489)</f>
        <v/>
      </c>
      <c r="M489" s="71">
        <f>IF($N489&lt;&gt;"OK","",$D489*N(INDEX('Menu Pricing'!$F$7:$F$56,$O489)))</f>
        <v/>
      </c>
      <c r="N489" s="80">
        <f>IF(AND($B489="",$C489="",$D489=""),"",IF(NOT(ISNUMBER($B489)),"Enter a valid date",IF($C489="","Pick a menu item",IF($O489="","Item not on Menu Pricing",IF(N($D489)&lt;=0,"Qty must be above 0",IF($H489="","No price on menu","OK"))))))</f>
        <v/>
      </c>
      <c r="O489" s="13">
        <f>IF($C489="","",IFERROR(MATCH($C489,'Menu Pricing'!$B$7:$B$56,0),""))</f>
        <v/>
      </c>
    </row>
    <row r="490" ht="17" customHeight="1">
      <c r="B490" s="66" t="n"/>
      <c r="C490" s="60" t="n"/>
      <c r="D490" s="86" t="n"/>
      <c r="E490" s="63" t="n"/>
      <c r="F490" s="60" t="n"/>
      <c r="G490" s="60" t="n"/>
      <c r="H490" s="71">
        <f>IF(OR($C490="",$D490=""),"",IF(ISNUMBER($E490),$E490,IF($O490="","",IF(N(INDEX('Menu Pricing'!$O$7:$O$56,$O490))&gt;0,INDEX('Menu Pricing'!$O$7:$O$56,$O490),""))))</f>
        <v/>
      </c>
      <c r="I490" s="71">
        <f>IF($N490&lt;&gt;"OK","",$D490*$H490)</f>
        <v/>
      </c>
      <c r="J490" s="71">
        <f>IF($N490&lt;&gt;"OK","",N(INDEX('Menu Pricing'!$F$7:$F$56,$O490))+N(INDEX('Menu Pricing'!$G$7:$G$56,$O490))+N(INDEX('Menu Pricing'!$J$7:$J$56,$O490)))</f>
        <v/>
      </c>
      <c r="K490" s="71">
        <f>IF($N490&lt;&gt;"OK","",$D490*$J490)</f>
        <v/>
      </c>
      <c r="L490" s="71">
        <f>IF($N490&lt;&gt;"OK","",$I490-$K490)</f>
        <v/>
      </c>
      <c r="M490" s="71">
        <f>IF($N490&lt;&gt;"OK","",$D490*N(INDEX('Menu Pricing'!$F$7:$F$56,$O490)))</f>
        <v/>
      </c>
      <c r="N490" s="80">
        <f>IF(AND($B490="",$C490="",$D490=""),"",IF(NOT(ISNUMBER($B490)),"Enter a valid date",IF($C490="","Pick a menu item",IF($O490="","Item not on Menu Pricing",IF(N($D490)&lt;=0,"Qty must be above 0",IF($H490="","No price on menu","OK"))))))</f>
        <v/>
      </c>
      <c r="O490" s="13">
        <f>IF($C490="","",IFERROR(MATCH($C490,'Menu Pricing'!$B$7:$B$56,0),""))</f>
        <v/>
      </c>
    </row>
    <row r="491" ht="17" customHeight="1">
      <c r="B491" s="66" t="n"/>
      <c r="C491" s="60" t="n"/>
      <c r="D491" s="86" t="n"/>
      <c r="E491" s="63" t="n"/>
      <c r="F491" s="60" t="n"/>
      <c r="G491" s="60" t="n"/>
      <c r="H491" s="71">
        <f>IF(OR($C491="",$D491=""),"",IF(ISNUMBER($E491),$E491,IF($O491="","",IF(N(INDEX('Menu Pricing'!$O$7:$O$56,$O491))&gt;0,INDEX('Menu Pricing'!$O$7:$O$56,$O491),""))))</f>
        <v/>
      </c>
      <c r="I491" s="71">
        <f>IF($N491&lt;&gt;"OK","",$D491*$H491)</f>
        <v/>
      </c>
      <c r="J491" s="71">
        <f>IF($N491&lt;&gt;"OK","",N(INDEX('Menu Pricing'!$F$7:$F$56,$O491))+N(INDEX('Menu Pricing'!$G$7:$G$56,$O491))+N(INDEX('Menu Pricing'!$J$7:$J$56,$O491)))</f>
        <v/>
      </c>
      <c r="K491" s="71">
        <f>IF($N491&lt;&gt;"OK","",$D491*$J491)</f>
        <v/>
      </c>
      <c r="L491" s="71">
        <f>IF($N491&lt;&gt;"OK","",$I491-$K491)</f>
        <v/>
      </c>
      <c r="M491" s="71">
        <f>IF($N491&lt;&gt;"OK","",$D491*N(INDEX('Menu Pricing'!$F$7:$F$56,$O491)))</f>
        <v/>
      </c>
      <c r="N491" s="80">
        <f>IF(AND($B491="",$C491="",$D491=""),"",IF(NOT(ISNUMBER($B491)),"Enter a valid date",IF($C491="","Pick a menu item",IF($O491="","Item not on Menu Pricing",IF(N($D491)&lt;=0,"Qty must be above 0",IF($H491="","No price on menu","OK"))))))</f>
        <v/>
      </c>
      <c r="O491" s="13">
        <f>IF($C491="","",IFERROR(MATCH($C491,'Menu Pricing'!$B$7:$B$56,0),""))</f>
        <v/>
      </c>
    </row>
    <row r="492" ht="17" customHeight="1">
      <c r="B492" s="66" t="n"/>
      <c r="C492" s="60" t="n"/>
      <c r="D492" s="86" t="n"/>
      <c r="E492" s="63" t="n"/>
      <c r="F492" s="60" t="n"/>
      <c r="G492" s="60" t="n"/>
      <c r="H492" s="71">
        <f>IF(OR($C492="",$D492=""),"",IF(ISNUMBER($E492),$E492,IF($O492="","",IF(N(INDEX('Menu Pricing'!$O$7:$O$56,$O492))&gt;0,INDEX('Menu Pricing'!$O$7:$O$56,$O492),""))))</f>
        <v/>
      </c>
      <c r="I492" s="71">
        <f>IF($N492&lt;&gt;"OK","",$D492*$H492)</f>
        <v/>
      </c>
      <c r="J492" s="71">
        <f>IF($N492&lt;&gt;"OK","",N(INDEX('Menu Pricing'!$F$7:$F$56,$O492))+N(INDEX('Menu Pricing'!$G$7:$G$56,$O492))+N(INDEX('Menu Pricing'!$J$7:$J$56,$O492)))</f>
        <v/>
      </c>
      <c r="K492" s="71">
        <f>IF($N492&lt;&gt;"OK","",$D492*$J492)</f>
        <v/>
      </c>
      <c r="L492" s="71">
        <f>IF($N492&lt;&gt;"OK","",$I492-$K492)</f>
        <v/>
      </c>
      <c r="M492" s="71">
        <f>IF($N492&lt;&gt;"OK","",$D492*N(INDEX('Menu Pricing'!$F$7:$F$56,$O492)))</f>
        <v/>
      </c>
      <c r="N492" s="80">
        <f>IF(AND($B492="",$C492="",$D492=""),"",IF(NOT(ISNUMBER($B492)),"Enter a valid date",IF($C492="","Pick a menu item",IF($O492="","Item not on Menu Pricing",IF(N($D492)&lt;=0,"Qty must be above 0",IF($H492="","No price on menu","OK"))))))</f>
        <v/>
      </c>
      <c r="O492" s="13">
        <f>IF($C492="","",IFERROR(MATCH($C492,'Menu Pricing'!$B$7:$B$56,0),""))</f>
        <v/>
      </c>
    </row>
    <row r="493" ht="17" customHeight="1">
      <c r="B493" s="66" t="n"/>
      <c r="C493" s="60" t="n"/>
      <c r="D493" s="86" t="n"/>
      <c r="E493" s="63" t="n"/>
      <c r="F493" s="60" t="n"/>
      <c r="G493" s="60" t="n"/>
      <c r="H493" s="71">
        <f>IF(OR($C493="",$D493=""),"",IF(ISNUMBER($E493),$E493,IF($O493="","",IF(N(INDEX('Menu Pricing'!$O$7:$O$56,$O493))&gt;0,INDEX('Menu Pricing'!$O$7:$O$56,$O493),""))))</f>
        <v/>
      </c>
      <c r="I493" s="71">
        <f>IF($N493&lt;&gt;"OK","",$D493*$H493)</f>
        <v/>
      </c>
      <c r="J493" s="71">
        <f>IF($N493&lt;&gt;"OK","",N(INDEX('Menu Pricing'!$F$7:$F$56,$O493))+N(INDEX('Menu Pricing'!$G$7:$G$56,$O493))+N(INDEX('Menu Pricing'!$J$7:$J$56,$O493)))</f>
        <v/>
      </c>
      <c r="K493" s="71">
        <f>IF($N493&lt;&gt;"OK","",$D493*$J493)</f>
        <v/>
      </c>
      <c r="L493" s="71">
        <f>IF($N493&lt;&gt;"OK","",$I493-$K493)</f>
        <v/>
      </c>
      <c r="M493" s="71">
        <f>IF($N493&lt;&gt;"OK","",$D493*N(INDEX('Menu Pricing'!$F$7:$F$56,$O493)))</f>
        <v/>
      </c>
      <c r="N493" s="80">
        <f>IF(AND($B493="",$C493="",$D493=""),"",IF(NOT(ISNUMBER($B493)),"Enter a valid date",IF($C493="","Pick a menu item",IF($O493="","Item not on Menu Pricing",IF(N($D493)&lt;=0,"Qty must be above 0",IF($H493="","No price on menu","OK"))))))</f>
        <v/>
      </c>
      <c r="O493" s="13">
        <f>IF($C493="","",IFERROR(MATCH($C493,'Menu Pricing'!$B$7:$B$56,0),""))</f>
        <v/>
      </c>
    </row>
    <row r="494" ht="17" customHeight="1">
      <c r="B494" s="66" t="n"/>
      <c r="C494" s="60" t="n"/>
      <c r="D494" s="86" t="n"/>
      <c r="E494" s="63" t="n"/>
      <c r="F494" s="60" t="n"/>
      <c r="G494" s="60" t="n"/>
      <c r="H494" s="71">
        <f>IF(OR($C494="",$D494=""),"",IF(ISNUMBER($E494),$E494,IF($O494="","",IF(N(INDEX('Menu Pricing'!$O$7:$O$56,$O494))&gt;0,INDEX('Menu Pricing'!$O$7:$O$56,$O494),""))))</f>
        <v/>
      </c>
      <c r="I494" s="71">
        <f>IF($N494&lt;&gt;"OK","",$D494*$H494)</f>
        <v/>
      </c>
      <c r="J494" s="71">
        <f>IF($N494&lt;&gt;"OK","",N(INDEX('Menu Pricing'!$F$7:$F$56,$O494))+N(INDEX('Menu Pricing'!$G$7:$G$56,$O494))+N(INDEX('Menu Pricing'!$J$7:$J$56,$O494)))</f>
        <v/>
      </c>
      <c r="K494" s="71">
        <f>IF($N494&lt;&gt;"OK","",$D494*$J494)</f>
        <v/>
      </c>
      <c r="L494" s="71">
        <f>IF($N494&lt;&gt;"OK","",$I494-$K494)</f>
        <v/>
      </c>
      <c r="M494" s="71">
        <f>IF($N494&lt;&gt;"OK","",$D494*N(INDEX('Menu Pricing'!$F$7:$F$56,$O494)))</f>
        <v/>
      </c>
      <c r="N494" s="80">
        <f>IF(AND($B494="",$C494="",$D494=""),"",IF(NOT(ISNUMBER($B494)),"Enter a valid date",IF($C494="","Pick a menu item",IF($O494="","Item not on Menu Pricing",IF(N($D494)&lt;=0,"Qty must be above 0",IF($H494="","No price on menu","OK"))))))</f>
        <v/>
      </c>
      <c r="O494" s="13">
        <f>IF($C494="","",IFERROR(MATCH($C494,'Menu Pricing'!$B$7:$B$56,0),""))</f>
        <v/>
      </c>
    </row>
    <row r="495" ht="17" customHeight="1">
      <c r="B495" s="66" t="n"/>
      <c r="C495" s="60" t="n"/>
      <c r="D495" s="86" t="n"/>
      <c r="E495" s="63" t="n"/>
      <c r="F495" s="60" t="n"/>
      <c r="G495" s="60" t="n"/>
      <c r="H495" s="71">
        <f>IF(OR($C495="",$D495=""),"",IF(ISNUMBER($E495),$E495,IF($O495="","",IF(N(INDEX('Menu Pricing'!$O$7:$O$56,$O495))&gt;0,INDEX('Menu Pricing'!$O$7:$O$56,$O495),""))))</f>
        <v/>
      </c>
      <c r="I495" s="71">
        <f>IF($N495&lt;&gt;"OK","",$D495*$H495)</f>
        <v/>
      </c>
      <c r="J495" s="71">
        <f>IF($N495&lt;&gt;"OK","",N(INDEX('Menu Pricing'!$F$7:$F$56,$O495))+N(INDEX('Menu Pricing'!$G$7:$G$56,$O495))+N(INDEX('Menu Pricing'!$J$7:$J$56,$O495)))</f>
        <v/>
      </c>
      <c r="K495" s="71">
        <f>IF($N495&lt;&gt;"OK","",$D495*$J495)</f>
        <v/>
      </c>
      <c r="L495" s="71">
        <f>IF($N495&lt;&gt;"OK","",$I495-$K495)</f>
        <v/>
      </c>
      <c r="M495" s="71">
        <f>IF($N495&lt;&gt;"OK","",$D495*N(INDEX('Menu Pricing'!$F$7:$F$56,$O495)))</f>
        <v/>
      </c>
      <c r="N495" s="80">
        <f>IF(AND($B495="",$C495="",$D495=""),"",IF(NOT(ISNUMBER($B495)),"Enter a valid date",IF($C495="","Pick a menu item",IF($O495="","Item not on Menu Pricing",IF(N($D495)&lt;=0,"Qty must be above 0",IF($H495="","No price on menu","OK"))))))</f>
        <v/>
      </c>
      <c r="O495" s="13">
        <f>IF($C495="","",IFERROR(MATCH($C495,'Menu Pricing'!$B$7:$B$56,0),""))</f>
        <v/>
      </c>
    </row>
    <row r="496" ht="17" customHeight="1">
      <c r="B496" s="66" t="n"/>
      <c r="C496" s="60" t="n"/>
      <c r="D496" s="86" t="n"/>
      <c r="E496" s="63" t="n"/>
      <c r="F496" s="60" t="n"/>
      <c r="G496" s="60" t="n"/>
      <c r="H496" s="71">
        <f>IF(OR($C496="",$D496=""),"",IF(ISNUMBER($E496),$E496,IF($O496="","",IF(N(INDEX('Menu Pricing'!$O$7:$O$56,$O496))&gt;0,INDEX('Menu Pricing'!$O$7:$O$56,$O496),""))))</f>
        <v/>
      </c>
      <c r="I496" s="71">
        <f>IF($N496&lt;&gt;"OK","",$D496*$H496)</f>
        <v/>
      </c>
      <c r="J496" s="71">
        <f>IF($N496&lt;&gt;"OK","",N(INDEX('Menu Pricing'!$F$7:$F$56,$O496))+N(INDEX('Menu Pricing'!$G$7:$G$56,$O496))+N(INDEX('Menu Pricing'!$J$7:$J$56,$O496)))</f>
        <v/>
      </c>
      <c r="K496" s="71">
        <f>IF($N496&lt;&gt;"OK","",$D496*$J496)</f>
        <v/>
      </c>
      <c r="L496" s="71">
        <f>IF($N496&lt;&gt;"OK","",$I496-$K496)</f>
        <v/>
      </c>
      <c r="M496" s="71">
        <f>IF($N496&lt;&gt;"OK","",$D496*N(INDEX('Menu Pricing'!$F$7:$F$56,$O496)))</f>
        <v/>
      </c>
      <c r="N496" s="80">
        <f>IF(AND($B496="",$C496="",$D496=""),"",IF(NOT(ISNUMBER($B496)),"Enter a valid date",IF($C496="","Pick a menu item",IF($O496="","Item not on Menu Pricing",IF(N($D496)&lt;=0,"Qty must be above 0",IF($H496="","No price on menu","OK"))))))</f>
        <v/>
      </c>
      <c r="O496" s="13">
        <f>IF($C496="","",IFERROR(MATCH($C496,'Menu Pricing'!$B$7:$B$56,0),""))</f>
        <v/>
      </c>
    </row>
    <row r="497" ht="17" customHeight="1">
      <c r="B497" s="66" t="n"/>
      <c r="C497" s="60" t="n"/>
      <c r="D497" s="86" t="n"/>
      <c r="E497" s="63" t="n"/>
      <c r="F497" s="60" t="n"/>
      <c r="G497" s="60" t="n"/>
      <c r="H497" s="71">
        <f>IF(OR($C497="",$D497=""),"",IF(ISNUMBER($E497),$E497,IF($O497="","",IF(N(INDEX('Menu Pricing'!$O$7:$O$56,$O497))&gt;0,INDEX('Menu Pricing'!$O$7:$O$56,$O497),""))))</f>
        <v/>
      </c>
      <c r="I497" s="71">
        <f>IF($N497&lt;&gt;"OK","",$D497*$H497)</f>
        <v/>
      </c>
      <c r="J497" s="71">
        <f>IF($N497&lt;&gt;"OK","",N(INDEX('Menu Pricing'!$F$7:$F$56,$O497))+N(INDEX('Menu Pricing'!$G$7:$G$56,$O497))+N(INDEX('Menu Pricing'!$J$7:$J$56,$O497)))</f>
        <v/>
      </c>
      <c r="K497" s="71">
        <f>IF($N497&lt;&gt;"OK","",$D497*$J497)</f>
        <v/>
      </c>
      <c r="L497" s="71">
        <f>IF($N497&lt;&gt;"OK","",$I497-$K497)</f>
        <v/>
      </c>
      <c r="M497" s="71">
        <f>IF($N497&lt;&gt;"OK","",$D497*N(INDEX('Menu Pricing'!$F$7:$F$56,$O497)))</f>
        <v/>
      </c>
      <c r="N497" s="80">
        <f>IF(AND($B497="",$C497="",$D497=""),"",IF(NOT(ISNUMBER($B497)),"Enter a valid date",IF($C497="","Pick a menu item",IF($O497="","Item not on Menu Pricing",IF(N($D497)&lt;=0,"Qty must be above 0",IF($H497="","No price on menu","OK"))))))</f>
        <v/>
      </c>
      <c r="O497" s="13">
        <f>IF($C497="","",IFERROR(MATCH($C497,'Menu Pricing'!$B$7:$B$56,0),""))</f>
        <v/>
      </c>
    </row>
    <row r="498" ht="17" customHeight="1">
      <c r="B498" s="66" t="n"/>
      <c r="C498" s="60" t="n"/>
      <c r="D498" s="86" t="n"/>
      <c r="E498" s="63" t="n"/>
      <c r="F498" s="60" t="n"/>
      <c r="G498" s="60" t="n"/>
      <c r="H498" s="71">
        <f>IF(OR($C498="",$D498=""),"",IF(ISNUMBER($E498),$E498,IF($O498="","",IF(N(INDEX('Menu Pricing'!$O$7:$O$56,$O498))&gt;0,INDEX('Menu Pricing'!$O$7:$O$56,$O498),""))))</f>
        <v/>
      </c>
      <c r="I498" s="71">
        <f>IF($N498&lt;&gt;"OK","",$D498*$H498)</f>
        <v/>
      </c>
      <c r="J498" s="71">
        <f>IF($N498&lt;&gt;"OK","",N(INDEX('Menu Pricing'!$F$7:$F$56,$O498))+N(INDEX('Menu Pricing'!$G$7:$G$56,$O498))+N(INDEX('Menu Pricing'!$J$7:$J$56,$O498)))</f>
        <v/>
      </c>
      <c r="K498" s="71">
        <f>IF($N498&lt;&gt;"OK","",$D498*$J498)</f>
        <v/>
      </c>
      <c r="L498" s="71">
        <f>IF($N498&lt;&gt;"OK","",$I498-$K498)</f>
        <v/>
      </c>
      <c r="M498" s="71">
        <f>IF($N498&lt;&gt;"OK","",$D498*N(INDEX('Menu Pricing'!$F$7:$F$56,$O498)))</f>
        <v/>
      </c>
      <c r="N498" s="80">
        <f>IF(AND($B498="",$C498="",$D498=""),"",IF(NOT(ISNUMBER($B498)),"Enter a valid date",IF($C498="","Pick a menu item",IF($O498="","Item not on Menu Pricing",IF(N($D498)&lt;=0,"Qty must be above 0",IF($H498="","No price on menu","OK"))))))</f>
        <v/>
      </c>
      <c r="O498" s="13">
        <f>IF($C498="","",IFERROR(MATCH($C498,'Menu Pricing'!$B$7:$B$56,0),""))</f>
        <v/>
      </c>
    </row>
    <row r="499" ht="17" customHeight="1">
      <c r="B499" s="66" t="n"/>
      <c r="C499" s="60" t="n"/>
      <c r="D499" s="86" t="n"/>
      <c r="E499" s="63" t="n"/>
      <c r="F499" s="60" t="n"/>
      <c r="G499" s="60" t="n"/>
      <c r="H499" s="71">
        <f>IF(OR($C499="",$D499=""),"",IF(ISNUMBER($E499),$E499,IF($O499="","",IF(N(INDEX('Menu Pricing'!$O$7:$O$56,$O499))&gt;0,INDEX('Menu Pricing'!$O$7:$O$56,$O499),""))))</f>
        <v/>
      </c>
      <c r="I499" s="71">
        <f>IF($N499&lt;&gt;"OK","",$D499*$H499)</f>
        <v/>
      </c>
      <c r="J499" s="71">
        <f>IF($N499&lt;&gt;"OK","",N(INDEX('Menu Pricing'!$F$7:$F$56,$O499))+N(INDEX('Menu Pricing'!$G$7:$G$56,$O499))+N(INDEX('Menu Pricing'!$J$7:$J$56,$O499)))</f>
        <v/>
      </c>
      <c r="K499" s="71">
        <f>IF($N499&lt;&gt;"OK","",$D499*$J499)</f>
        <v/>
      </c>
      <c r="L499" s="71">
        <f>IF($N499&lt;&gt;"OK","",$I499-$K499)</f>
        <v/>
      </c>
      <c r="M499" s="71">
        <f>IF($N499&lt;&gt;"OK","",$D499*N(INDEX('Menu Pricing'!$F$7:$F$56,$O499)))</f>
        <v/>
      </c>
      <c r="N499" s="80">
        <f>IF(AND($B499="",$C499="",$D499=""),"",IF(NOT(ISNUMBER($B499)),"Enter a valid date",IF($C499="","Pick a menu item",IF($O499="","Item not on Menu Pricing",IF(N($D499)&lt;=0,"Qty must be above 0",IF($H499="","No price on menu","OK"))))))</f>
        <v/>
      </c>
      <c r="O499" s="13">
        <f>IF($C499="","",IFERROR(MATCH($C499,'Menu Pricing'!$B$7:$B$56,0),""))</f>
        <v/>
      </c>
    </row>
    <row r="500" ht="17" customHeight="1">
      <c r="B500" s="66" t="n"/>
      <c r="C500" s="60" t="n"/>
      <c r="D500" s="86" t="n"/>
      <c r="E500" s="63" t="n"/>
      <c r="F500" s="60" t="n"/>
      <c r="G500" s="60" t="n"/>
      <c r="H500" s="71">
        <f>IF(OR($C500="",$D500=""),"",IF(ISNUMBER($E500),$E500,IF($O500="","",IF(N(INDEX('Menu Pricing'!$O$7:$O$56,$O500))&gt;0,INDEX('Menu Pricing'!$O$7:$O$56,$O500),""))))</f>
        <v/>
      </c>
      <c r="I500" s="71">
        <f>IF($N500&lt;&gt;"OK","",$D500*$H500)</f>
        <v/>
      </c>
      <c r="J500" s="71">
        <f>IF($N500&lt;&gt;"OK","",N(INDEX('Menu Pricing'!$F$7:$F$56,$O500))+N(INDEX('Menu Pricing'!$G$7:$G$56,$O500))+N(INDEX('Menu Pricing'!$J$7:$J$56,$O500)))</f>
        <v/>
      </c>
      <c r="K500" s="71">
        <f>IF($N500&lt;&gt;"OK","",$D500*$J500)</f>
        <v/>
      </c>
      <c r="L500" s="71">
        <f>IF($N500&lt;&gt;"OK","",$I500-$K500)</f>
        <v/>
      </c>
      <c r="M500" s="71">
        <f>IF($N500&lt;&gt;"OK","",$D500*N(INDEX('Menu Pricing'!$F$7:$F$56,$O500)))</f>
        <v/>
      </c>
      <c r="N500" s="80">
        <f>IF(AND($B500="",$C500="",$D500=""),"",IF(NOT(ISNUMBER($B500)),"Enter a valid date",IF($C500="","Pick a menu item",IF($O500="","Item not on Menu Pricing",IF(N($D500)&lt;=0,"Qty must be above 0",IF($H500="","No price on menu","OK"))))))</f>
        <v/>
      </c>
      <c r="O500" s="13">
        <f>IF($C500="","",IFERROR(MATCH($C500,'Menu Pricing'!$B$7:$B$56,0),""))</f>
        <v/>
      </c>
    </row>
    <row r="501" ht="17" customHeight="1">
      <c r="B501" s="66" t="n"/>
      <c r="C501" s="60" t="n"/>
      <c r="D501" s="86" t="n"/>
      <c r="E501" s="63" t="n"/>
      <c r="F501" s="60" t="n"/>
      <c r="G501" s="60" t="n"/>
      <c r="H501" s="71">
        <f>IF(OR($C501="",$D501=""),"",IF(ISNUMBER($E501),$E501,IF($O501="","",IF(N(INDEX('Menu Pricing'!$O$7:$O$56,$O501))&gt;0,INDEX('Menu Pricing'!$O$7:$O$56,$O501),""))))</f>
        <v/>
      </c>
      <c r="I501" s="71">
        <f>IF($N501&lt;&gt;"OK","",$D501*$H501)</f>
        <v/>
      </c>
      <c r="J501" s="71">
        <f>IF($N501&lt;&gt;"OK","",N(INDEX('Menu Pricing'!$F$7:$F$56,$O501))+N(INDEX('Menu Pricing'!$G$7:$G$56,$O501))+N(INDEX('Menu Pricing'!$J$7:$J$56,$O501)))</f>
        <v/>
      </c>
      <c r="K501" s="71">
        <f>IF($N501&lt;&gt;"OK","",$D501*$J501)</f>
        <v/>
      </c>
      <c r="L501" s="71">
        <f>IF($N501&lt;&gt;"OK","",$I501-$K501)</f>
        <v/>
      </c>
      <c r="M501" s="71">
        <f>IF($N501&lt;&gt;"OK","",$D501*N(INDEX('Menu Pricing'!$F$7:$F$56,$O501)))</f>
        <v/>
      </c>
      <c r="N501" s="80">
        <f>IF(AND($B501="",$C501="",$D501=""),"",IF(NOT(ISNUMBER($B501)),"Enter a valid date",IF($C501="","Pick a menu item",IF($O501="","Item not on Menu Pricing",IF(N($D501)&lt;=0,"Qty must be above 0",IF($H501="","No price on menu","OK"))))))</f>
        <v/>
      </c>
      <c r="O501" s="13">
        <f>IF($C501="","",IFERROR(MATCH($C501,'Menu Pricing'!$B$7:$B$56,0),""))</f>
        <v/>
      </c>
    </row>
    <row r="502" ht="17" customHeight="1">
      <c r="B502" s="66" t="n"/>
      <c r="C502" s="60" t="n"/>
      <c r="D502" s="86" t="n"/>
      <c r="E502" s="63" t="n"/>
      <c r="F502" s="60" t="n"/>
      <c r="G502" s="60" t="n"/>
      <c r="H502" s="71">
        <f>IF(OR($C502="",$D502=""),"",IF(ISNUMBER($E502),$E502,IF($O502="","",IF(N(INDEX('Menu Pricing'!$O$7:$O$56,$O502))&gt;0,INDEX('Menu Pricing'!$O$7:$O$56,$O502),""))))</f>
        <v/>
      </c>
      <c r="I502" s="71">
        <f>IF($N502&lt;&gt;"OK","",$D502*$H502)</f>
        <v/>
      </c>
      <c r="J502" s="71">
        <f>IF($N502&lt;&gt;"OK","",N(INDEX('Menu Pricing'!$F$7:$F$56,$O502))+N(INDEX('Menu Pricing'!$G$7:$G$56,$O502))+N(INDEX('Menu Pricing'!$J$7:$J$56,$O502)))</f>
        <v/>
      </c>
      <c r="K502" s="71">
        <f>IF($N502&lt;&gt;"OK","",$D502*$J502)</f>
        <v/>
      </c>
      <c r="L502" s="71">
        <f>IF($N502&lt;&gt;"OK","",$I502-$K502)</f>
        <v/>
      </c>
      <c r="M502" s="71">
        <f>IF($N502&lt;&gt;"OK","",$D502*N(INDEX('Menu Pricing'!$F$7:$F$56,$O502)))</f>
        <v/>
      </c>
      <c r="N502" s="80">
        <f>IF(AND($B502="",$C502="",$D502=""),"",IF(NOT(ISNUMBER($B502)),"Enter a valid date",IF($C502="","Pick a menu item",IF($O502="","Item not on Menu Pricing",IF(N($D502)&lt;=0,"Qty must be above 0",IF($H502="","No price on menu","OK"))))))</f>
        <v/>
      </c>
      <c r="O502" s="13">
        <f>IF($C502="","",IFERROR(MATCH($C502,'Menu Pricing'!$B$7:$B$56,0),""))</f>
        <v/>
      </c>
    </row>
    <row r="503" ht="17" customHeight="1">
      <c r="B503" s="66" t="n"/>
      <c r="C503" s="60" t="n"/>
      <c r="D503" s="86" t="n"/>
      <c r="E503" s="63" t="n"/>
      <c r="F503" s="60" t="n"/>
      <c r="G503" s="60" t="n"/>
      <c r="H503" s="71">
        <f>IF(OR($C503="",$D503=""),"",IF(ISNUMBER($E503),$E503,IF($O503="","",IF(N(INDEX('Menu Pricing'!$O$7:$O$56,$O503))&gt;0,INDEX('Menu Pricing'!$O$7:$O$56,$O503),""))))</f>
        <v/>
      </c>
      <c r="I503" s="71">
        <f>IF($N503&lt;&gt;"OK","",$D503*$H503)</f>
        <v/>
      </c>
      <c r="J503" s="71">
        <f>IF($N503&lt;&gt;"OK","",N(INDEX('Menu Pricing'!$F$7:$F$56,$O503))+N(INDEX('Menu Pricing'!$G$7:$G$56,$O503))+N(INDEX('Menu Pricing'!$J$7:$J$56,$O503)))</f>
        <v/>
      </c>
      <c r="K503" s="71">
        <f>IF($N503&lt;&gt;"OK","",$D503*$J503)</f>
        <v/>
      </c>
      <c r="L503" s="71">
        <f>IF($N503&lt;&gt;"OK","",$I503-$K503)</f>
        <v/>
      </c>
      <c r="M503" s="71">
        <f>IF($N503&lt;&gt;"OK","",$D503*N(INDEX('Menu Pricing'!$F$7:$F$56,$O503)))</f>
        <v/>
      </c>
      <c r="N503" s="80">
        <f>IF(AND($B503="",$C503="",$D503=""),"",IF(NOT(ISNUMBER($B503)),"Enter a valid date",IF($C503="","Pick a menu item",IF($O503="","Item not on Menu Pricing",IF(N($D503)&lt;=0,"Qty must be above 0",IF($H503="","No price on menu","OK"))))))</f>
        <v/>
      </c>
      <c r="O503" s="13">
        <f>IF($C503="","",IFERROR(MATCH($C503,'Menu Pricing'!$B$7:$B$56,0),""))</f>
        <v/>
      </c>
    </row>
    <row r="504" ht="17" customHeight="1">
      <c r="B504" s="66" t="n"/>
      <c r="C504" s="60" t="n"/>
      <c r="D504" s="86" t="n"/>
      <c r="E504" s="63" t="n"/>
      <c r="F504" s="60" t="n"/>
      <c r="G504" s="60" t="n"/>
      <c r="H504" s="71">
        <f>IF(OR($C504="",$D504=""),"",IF(ISNUMBER($E504),$E504,IF($O504="","",IF(N(INDEX('Menu Pricing'!$O$7:$O$56,$O504))&gt;0,INDEX('Menu Pricing'!$O$7:$O$56,$O504),""))))</f>
        <v/>
      </c>
      <c r="I504" s="71">
        <f>IF($N504&lt;&gt;"OK","",$D504*$H504)</f>
        <v/>
      </c>
      <c r="J504" s="71">
        <f>IF($N504&lt;&gt;"OK","",N(INDEX('Menu Pricing'!$F$7:$F$56,$O504))+N(INDEX('Menu Pricing'!$G$7:$G$56,$O504))+N(INDEX('Menu Pricing'!$J$7:$J$56,$O504)))</f>
        <v/>
      </c>
      <c r="K504" s="71">
        <f>IF($N504&lt;&gt;"OK","",$D504*$J504)</f>
        <v/>
      </c>
      <c r="L504" s="71">
        <f>IF($N504&lt;&gt;"OK","",$I504-$K504)</f>
        <v/>
      </c>
      <c r="M504" s="71">
        <f>IF($N504&lt;&gt;"OK","",$D504*N(INDEX('Menu Pricing'!$F$7:$F$56,$O504)))</f>
        <v/>
      </c>
      <c r="N504" s="80">
        <f>IF(AND($B504="",$C504="",$D504=""),"",IF(NOT(ISNUMBER($B504)),"Enter a valid date",IF($C504="","Pick a menu item",IF($O504="","Item not on Menu Pricing",IF(N($D504)&lt;=0,"Qty must be above 0",IF($H504="","No price on menu","OK"))))))</f>
        <v/>
      </c>
      <c r="O504" s="13">
        <f>IF($C504="","",IFERROR(MATCH($C504,'Menu Pricing'!$B$7:$B$56,0),""))</f>
        <v/>
      </c>
    </row>
    <row r="505" ht="17" customHeight="1">
      <c r="B505" s="66" t="n"/>
      <c r="C505" s="60" t="n"/>
      <c r="D505" s="86" t="n"/>
      <c r="E505" s="63" t="n"/>
      <c r="F505" s="60" t="n"/>
      <c r="G505" s="60" t="n"/>
      <c r="H505" s="71">
        <f>IF(OR($C505="",$D505=""),"",IF(ISNUMBER($E505),$E505,IF($O505="","",IF(N(INDEX('Menu Pricing'!$O$7:$O$56,$O505))&gt;0,INDEX('Menu Pricing'!$O$7:$O$56,$O505),""))))</f>
        <v/>
      </c>
      <c r="I505" s="71">
        <f>IF($N505&lt;&gt;"OK","",$D505*$H505)</f>
        <v/>
      </c>
      <c r="J505" s="71">
        <f>IF($N505&lt;&gt;"OK","",N(INDEX('Menu Pricing'!$F$7:$F$56,$O505))+N(INDEX('Menu Pricing'!$G$7:$G$56,$O505))+N(INDEX('Menu Pricing'!$J$7:$J$56,$O505)))</f>
        <v/>
      </c>
      <c r="K505" s="71">
        <f>IF($N505&lt;&gt;"OK","",$D505*$J505)</f>
        <v/>
      </c>
      <c r="L505" s="71">
        <f>IF($N505&lt;&gt;"OK","",$I505-$K505)</f>
        <v/>
      </c>
      <c r="M505" s="71">
        <f>IF($N505&lt;&gt;"OK","",$D505*N(INDEX('Menu Pricing'!$F$7:$F$56,$O505)))</f>
        <v/>
      </c>
      <c r="N505" s="80">
        <f>IF(AND($B505="",$C505="",$D505=""),"",IF(NOT(ISNUMBER($B505)),"Enter a valid date",IF($C505="","Pick a menu item",IF($O505="","Item not on Menu Pricing",IF(N($D505)&lt;=0,"Qty must be above 0",IF($H505="","No price on menu","OK"))))))</f>
        <v/>
      </c>
      <c r="O505" s="13">
        <f>IF($C505="","",IFERROR(MATCH($C505,'Menu Pricing'!$B$7:$B$56,0),""))</f>
        <v/>
      </c>
    </row>
    <row r="506" ht="17" customHeight="1">
      <c r="B506" s="66" t="n"/>
      <c r="C506" s="60" t="n"/>
      <c r="D506" s="86" t="n"/>
      <c r="E506" s="63" t="n"/>
      <c r="F506" s="60" t="n"/>
      <c r="G506" s="60" t="n"/>
      <c r="H506" s="71">
        <f>IF(OR($C506="",$D506=""),"",IF(ISNUMBER($E506),$E506,IF($O506="","",IF(N(INDEX('Menu Pricing'!$O$7:$O$56,$O506))&gt;0,INDEX('Menu Pricing'!$O$7:$O$56,$O506),""))))</f>
        <v/>
      </c>
      <c r="I506" s="71">
        <f>IF($N506&lt;&gt;"OK","",$D506*$H506)</f>
        <v/>
      </c>
      <c r="J506" s="71">
        <f>IF($N506&lt;&gt;"OK","",N(INDEX('Menu Pricing'!$F$7:$F$56,$O506))+N(INDEX('Menu Pricing'!$G$7:$G$56,$O506))+N(INDEX('Menu Pricing'!$J$7:$J$56,$O506)))</f>
        <v/>
      </c>
      <c r="K506" s="71">
        <f>IF($N506&lt;&gt;"OK","",$D506*$J506)</f>
        <v/>
      </c>
      <c r="L506" s="71">
        <f>IF($N506&lt;&gt;"OK","",$I506-$K506)</f>
        <v/>
      </c>
      <c r="M506" s="71">
        <f>IF($N506&lt;&gt;"OK","",$D506*N(INDEX('Menu Pricing'!$F$7:$F$56,$O506)))</f>
        <v/>
      </c>
      <c r="N506" s="80">
        <f>IF(AND($B506="",$C506="",$D506=""),"",IF(NOT(ISNUMBER($B506)),"Enter a valid date",IF($C506="","Pick a menu item",IF($O506="","Item not on Menu Pricing",IF(N($D506)&lt;=0,"Qty must be above 0",IF($H506="","No price on menu","OK"))))))</f>
        <v/>
      </c>
      <c r="O506" s="13">
        <f>IF($C506="","",IFERROR(MATCH($C506,'Menu Pricing'!$B$7:$B$56,0),""))</f>
        <v/>
      </c>
    </row>
    <row r="507" ht="17" customHeight="1">
      <c r="B507" s="66" t="n"/>
      <c r="C507" s="60" t="n"/>
      <c r="D507" s="86" t="n"/>
      <c r="E507" s="63" t="n"/>
      <c r="F507" s="60" t="n"/>
      <c r="G507" s="60" t="n"/>
      <c r="H507" s="71">
        <f>IF(OR($C507="",$D507=""),"",IF(ISNUMBER($E507),$E507,IF($O507="","",IF(N(INDEX('Menu Pricing'!$O$7:$O$56,$O507))&gt;0,INDEX('Menu Pricing'!$O$7:$O$56,$O507),""))))</f>
        <v/>
      </c>
      <c r="I507" s="71">
        <f>IF($N507&lt;&gt;"OK","",$D507*$H507)</f>
        <v/>
      </c>
      <c r="J507" s="71">
        <f>IF($N507&lt;&gt;"OK","",N(INDEX('Menu Pricing'!$F$7:$F$56,$O507))+N(INDEX('Menu Pricing'!$G$7:$G$56,$O507))+N(INDEX('Menu Pricing'!$J$7:$J$56,$O507)))</f>
        <v/>
      </c>
      <c r="K507" s="71">
        <f>IF($N507&lt;&gt;"OK","",$D507*$J507)</f>
        <v/>
      </c>
      <c r="L507" s="71">
        <f>IF($N507&lt;&gt;"OK","",$I507-$K507)</f>
        <v/>
      </c>
      <c r="M507" s="71">
        <f>IF($N507&lt;&gt;"OK","",$D507*N(INDEX('Menu Pricing'!$F$7:$F$56,$O507)))</f>
        <v/>
      </c>
      <c r="N507" s="80">
        <f>IF(AND($B507="",$C507="",$D507=""),"",IF(NOT(ISNUMBER($B507)),"Enter a valid date",IF($C507="","Pick a menu item",IF($O507="","Item not on Menu Pricing",IF(N($D507)&lt;=0,"Qty must be above 0",IF($H507="","No price on menu","OK"))))))</f>
        <v/>
      </c>
      <c r="O507" s="13">
        <f>IF($C507="","",IFERROR(MATCH($C507,'Menu Pricing'!$B$7:$B$56,0),""))</f>
        <v/>
      </c>
    </row>
    <row r="508" ht="17" customHeight="1">
      <c r="B508" s="66" t="n"/>
      <c r="C508" s="60" t="n"/>
      <c r="D508" s="86" t="n"/>
      <c r="E508" s="63" t="n"/>
      <c r="F508" s="60" t="n"/>
      <c r="G508" s="60" t="n"/>
      <c r="H508" s="71">
        <f>IF(OR($C508="",$D508=""),"",IF(ISNUMBER($E508),$E508,IF($O508="","",IF(N(INDEX('Menu Pricing'!$O$7:$O$56,$O508))&gt;0,INDEX('Menu Pricing'!$O$7:$O$56,$O508),""))))</f>
        <v/>
      </c>
      <c r="I508" s="71">
        <f>IF($N508&lt;&gt;"OK","",$D508*$H508)</f>
        <v/>
      </c>
      <c r="J508" s="71">
        <f>IF($N508&lt;&gt;"OK","",N(INDEX('Menu Pricing'!$F$7:$F$56,$O508))+N(INDEX('Menu Pricing'!$G$7:$G$56,$O508))+N(INDEX('Menu Pricing'!$J$7:$J$56,$O508)))</f>
        <v/>
      </c>
      <c r="K508" s="71">
        <f>IF($N508&lt;&gt;"OK","",$D508*$J508)</f>
        <v/>
      </c>
      <c r="L508" s="71">
        <f>IF($N508&lt;&gt;"OK","",$I508-$K508)</f>
        <v/>
      </c>
      <c r="M508" s="71">
        <f>IF($N508&lt;&gt;"OK","",$D508*N(INDEX('Menu Pricing'!$F$7:$F$56,$O508)))</f>
        <v/>
      </c>
      <c r="N508" s="80">
        <f>IF(AND($B508="",$C508="",$D508=""),"",IF(NOT(ISNUMBER($B508)),"Enter a valid date",IF($C508="","Pick a menu item",IF($O508="","Item not on Menu Pricing",IF(N($D508)&lt;=0,"Qty must be above 0",IF($H508="","No price on menu","OK"))))))</f>
        <v/>
      </c>
      <c r="O508" s="13">
        <f>IF($C508="","",IFERROR(MATCH($C508,'Menu Pricing'!$B$7:$B$56,0),""))</f>
        <v/>
      </c>
    </row>
    <row r="509" ht="17" customHeight="1">
      <c r="B509" s="66" t="n"/>
      <c r="C509" s="60" t="n"/>
      <c r="D509" s="86" t="n"/>
      <c r="E509" s="63" t="n"/>
      <c r="F509" s="60" t="n"/>
      <c r="G509" s="60" t="n"/>
      <c r="H509" s="71">
        <f>IF(OR($C509="",$D509=""),"",IF(ISNUMBER($E509),$E509,IF($O509="","",IF(N(INDEX('Menu Pricing'!$O$7:$O$56,$O509))&gt;0,INDEX('Menu Pricing'!$O$7:$O$56,$O509),""))))</f>
        <v/>
      </c>
      <c r="I509" s="71">
        <f>IF($N509&lt;&gt;"OK","",$D509*$H509)</f>
        <v/>
      </c>
      <c r="J509" s="71">
        <f>IF($N509&lt;&gt;"OK","",N(INDEX('Menu Pricing'!$F$7:$F$56,$O509))+N(INDEX('Menu Pricing'!$G$7:$G$56,$O509))+N(INDEX('Menu Pricing'!$J$7:$J$56,$O509)))</f>
        <v/>
      </c>
      <c r="K509" s="71">
        <f>IF($N509&lt;&gt;"OK","",$D509*$J509)</f>
        <v/>
      </c>
      <c r="L509" s="71">
        <f>IF($N509&lt;&gt;"OK","",$I509-$K509)</f>
        <v/>
      </c>
      <c r="M509" s="71">
        <f>IF($N509&lt;&gt;"OK","",$D509*N(INDEX('Menu Pricing'!$F$7:$F$56,$O509)))</f>
        <v/>
      </c>
      <c r="N509" s="80">
        <f>IF(AND($B509="",$C509="",$D509=""),"",IF(NOT(ISNUMBER($B509)),"Enter a valid date",IF($C509="","Pick a menu item",IF($O509="","Item not on Menu Pricing",IF(N($D509)&lt;=0,"Qty must be above 0",IF($H509="","No price on menu","OK"))))))</f>
        <v/>
      </c>
      <c r="O509" s="13">
        <f>IF($C509="","",IFERROR(MATCH($C509,'Menu Pricing'!$B$7:$B$56,0),""))</f>
        <v/>
      </c>
    </row>
    <row r="510" ht="17" customHeight="1">
      <c r="B510" s="66" t="n"/>
      <c r="C510" s="60" t="n"/>
      <c r="D510" s="86" t="n"/>
      <c r="E510" s="63" t="n"/>
      <c r="F510" s="60" t="n"/>
      <c r="G510" s="60" t="n"/>
      <c r="H510" s="71">
        <f>IF(OR($C510="",$D510=""),"",IF(ISNUMBER($E510),$E510,IF($O510="","",IF(N(INDEX('Menu Pricing'!$O$7:$O$56,$O510))&gt;0,INDEX('Menu Pricing'!$O$7:$O$56,$O510),""))))</f>
        <v/>
      </c>
      <c r="I510" s="71">
        <f>IF($N510&lt;&gt;"OK","",$D510*$H510)</f>
        <v/>
      </c>
      <c r="J510" s="71">
        <f>IF($N510&lt;&gt;"OK","",N(INDEX('Menu Pricing'!$F$7:$F$56,$O510))+N(INDEX('Menu Pricing'!$G$7:$G$56,$O510))+N(INDEX('Menu Pricing'!$J$7:$J$56,$O510)))</f>
        <v/>
      </c>
      <c r="K510" s="71">
        <f>IF($N510&lt;&gt;"OK","",$D510*$J510)</f>
        <v/>
      </c>
      <c r="L510" s="71">
        <f>IF($N510&lt;&gt;"OK","",$I510-$K510)</f>
        <v/>
      </c>
      <c r="M510" s="71">
        <f>IF($N510&lt;&gt;"OK","",$D510*N(INDEX('Menu Pricing'!$F$7:$F$56,$O510)))</f>
        <v/>
      </c>
      <c r="N510" s="80">
        <f>IF(AND($B510="",$C510="",$D510=""),"",IF(NOT(ISNUMBER($B510)),"Enter a valid date",IF($C510="","Pick a menu item",IF($O510="","Item not on Menu Pricing",IF(N($D510)&lt;=0,"Qty must be above 0",IF($H510="","No price on menu","OK"))))))</f>
        <v/>
      </c>
      <c r="O510" s="13">
        <f>IF($C510="","",IFERROR(MATCH($C510,'Menu Pricing'!$B$7:$B$56,0),""))</f>
        <v/>
      </c>
    </row>
    <row r="511" ht="17" customHeight="1">
      <c r="B511" s="66" t="n"/>
      <c r="C511" s="60" t="n"/>
      <c r="D511" s="86" t="n"/>
      <c r="E511" s="63" t="n"/>
      <c r="F511" s="60" t="n"/>
      <c r="G511" s="60" t="n"/>
      <c r="H511" s="71">
        <f>IF(OR($C511="",$D511=""),"",IF(ISNUMBER($E511),$E511,IF($O511="","",IF(N(INDEX('Menu Pricing'!$O$7:$O$56,$O511))&gt;0,INDEX('Menu Pricing'!$O$7:$O$56,$O511),""))))</f>
        <v/>
      </c>
      <c r="I511" s="71">
        <f>IF($N511&lt;&gt;"OK","",$D511*$H511)</f>
        <v/>
      </c>
      <c r="J511" s="71">
        <f>IF($N511&lt;&gt;"OK","",N(INDEX('Menu Pricing'!$F$7:$F$56,$O511))+N(INDEX('Menu Pricing'!$G$7:$G$56,$O511))+N(INDEX('Menu Pricing'!$J$7:$J$56,$O511)))</f>
        <v/>
      </c>
      <c r="K511" s="71">
        <f>IF($N511&lt;&gt;"OK","",$D511*$J511)</f>
        <v/>
      </c>
      <c r="L511" s="71">
        <f>IF($N511&lt;&gt;"OK","",$I511-$K511)</f>
        <v/>
      </c>
      <c r="M511" s="71">
        <f>IF($N511&lt;&gt;"OK","",$D511*N(INDEX('Menu Pricing'!$F$7:$F$56,$O511)))</f>
        <v/>
      </c>
      <c r="N511" s="80">
        <f>IF(AND($B511="",$C511="",$D511=""),"",IF(NOT(ISNUMBER($B511)),"Enter a valid date",IF($C511="","Pick a menu item",IF($O511="","Item not on Menu Pricing",IF(N($D511)&lt;=0,"Qty must be above 0",IF($H511="","No price on menu","OK"))))))</f>
        <v/>
      </c>
      <c r="O511" s="13">
        <f>IF($C511="","",IFERROR(MATCH($C511,'Menu Pricing'!$B$7:$B$56,0),""))</f>
        <v/>
      </c>
    </row>
    <row r="512" ht="17" customHeight="1">
      <c r="B512" s="66" t="n"/>
      <c r="C512" s="60" t="n"/>
      <c r="D512" s="86" t="n"/>
      <c r="E512" s="63" t="n"/>
      <c r="F512" s="60" t="n"/>
      <c r="G512" s="60" t="n"/>
      <c r="H512" s="71">
        <f>IF(OR($C512="",$D512=""),"",IF(ISNUMBER($E512),$E512,IF($O512="","",IF(N(INDEX('Menu Pricing'!$O$7:$O$56,$O512))&gt;0,INDEX('Menu Pricing'!$O$7:$O$56,$O512),""))))</f>
        <v/>
      </c>
      <c r="I512" s="71">
        <f>IF($N512&lt;&gt;"OK","",$D512*$H512)</f>
        <v/>
      </c>
      <c r="J512" s="71">
        <f>IF($N512&lt;&gt;"OK","",N(INDEX('Menu Pricing'!$F$7:$F$56,$O512))+N(INDEX('Menu Pricing'!$G$7:$G$56,$O512))+N(INDEX('Menu Pricing'!$J$7:$J$56,$O512)))</f>
        <v/>
      </c>
      <c r="K512" s="71">
        <f>IF($N512&lt;&gt;"OK","",$D512*$J512)</f>
        <v/>
      </c>
      <c r="L512" s="71">
        <f>IF($N512&lt;&gt;"OK","",$I512-$K512)</f>
        <v/>
      </c>
      <c r="M512" s="71">
        <f>IF($N512&lt;&gt;"OK","",$D512*N(INDEX('Menu Pricing'!$F$7:$F$56,$O512)))</f>
        <v/>
      </c>
      <c r="N512" s="80">
        <f>IF(AND($B512="",$C512="",$D512=""),"",IF(NOT(ISNUMBER($B512)),"Enter a valid date",IF($C512="","Pick a menu item",IF($O512="","Item not on Menu Pricing",IF(N($D512)&lt;=0,"Qty must be above 0",IF($H512="","No price on menu","OK"))))))</f>
        <v/>
      </c>
      <c r="O512" s="13">
        <f>IF($C512="","",IFERROR(MATCH($C512,'Menu Pricing'!$B$7:$B$56,0),""))</f>
        <v/>
      </c>
    </row>
    <row r="513" ht="17" customHeight="1">
      <c r="B513" s="66" t="n"/>
      <c r="C513" s="60" t="n"/>
      <c r="D513" s="86" t="n"/>
      <c r="E513" s="63" t="n"/>
      <c r="F513" s="60" t="n"/>
      <c r="G513" s="60" t="n"/>
      <c r="H513" s="71">
        <f>IF(OR($C513="",$D513=""),"",IF(ISNUMBER($E513),$E513,IF($O513="","",IF(N(INDEX('Menu Pricing'!$O$7:$O$56,$O513))&gt;0,INDEX('Menu Pricing'!$O$7:$O$56,$O513),""))))</f>
        <v/>
      </c>
      <c r="I513" s="71">
        <f>IF($N513&lt;&gt;"OK","",$D513*$H513)</f>
        <v/>
      </c>
      <c r="J513" s="71">
        <f>IF($N513&lt;&gt;"OK","",N(INDEX('Menu Pricing'!$F$7:$F$56,$O513))+N(INDEX('Menu Pricing'!$G$7:$G$56,$O513))+N(INDEX('Menu Pricing'!$J$7:$J$56,$O513)))</f>
        <v/>
      </c>
      <c r="K513" s="71">
        <f>IF($N513&lt;&gt;"OK","",$D513*$J513)</f>
        <v/>
      </c>
      <c r="L513" s="71">
        <f>IF($N513&lt;&gt;"OK","",$I513-$K513)</f>
        <v/>
      </c>
      <c r="M513" s="71">
        <f>IF($N513&lt;&gt;"OK","",$D513*N(INDEX('Menu Pricing'!$F$7:$F$56,$O513)))</f>
        <v/>
      </c>
      <c r="N513" s="80">
        <f>IF(AND($B513="",$C513="",$D513=""),"",IF(NOT(ISNUMBER($B513)),"Enter a valid date",IF($C513="","Pick a menu item",IF($O513="","Item not on Menu Pricing",IF(N($D513)&lt;=0,"Qty must be above 0",IF($H513="","No price on menu","OK"))))))</f>
        <v/>
      </c>
      <c r="O513" s="13">
        <f>IF($C513="","",IFERROR(MATCH($C513,'Menu Pricing'!$B$7:$B$56,0),""))</f>
        <v/>
      </c>
    </row>
    <row r="514" ht="17" customHeight="1">
      <c r="B514" s="66" t="n"/>
      <c r="C514" s="60" t="n"/>
      <c r="D514" s="86" t="n"/>
      <c r="E514" s="63" t="n"/>
      <c r="F514" s="60" t="n"/>
      <c r="G514" s="60" t="n"/>
      <c r="H514" s="71">
        <f>IF(OR($C514="",$D514=""),"",IF(ISNUMBER($E514),$E514,IF($O514="","",IF(N(INDEX('Menu Pricing'!$O$7:$O$56,$O514))&gt;0,INDEX('Menu Pricing'!$O$7:$O$56,$O514),""))))</f>
        <v/>
      </c>
      <c r="I514" s="71">
        <f>IF($N514&lt;&gt;"OK","",$D514*$H514)</f>
        <v/>
      </c>
      <c r="J514" s="71">
        <f>IF($N514&lt;&gt;"OK","",N(INDEX('Menu Pricing'!$F$7:$F$56,$O514))+N(INDEX('Menu Pricing'!$G$7:$G$56,$O514))+N(INDEX('Menu Pricing'!$J$7:$J$56,$O514)))</f>
        <v/>
      </c>
      <c r="K514" s="71">
        <f>IF($N514&lt;&gt;"OK","",$D514*$J514)</f>
        <v/>
      </c>
      <c r="L514" s="71">
        <f>IF($N514&lt;&gt;"OK","",$I514-$K514)</f>
        <v/>
      </c>
      <c r="M514" s="71">
        <f>IF($N514&lt;&gt;"OK","",$D514*N(INDEX('Menu Pricing'!$F$7:$F$56,$O514)))</f>
        <v/>
      </c>
      <c r="N514" s="80">
        <f>IF(AND($B514="",$C514="",$D514=""),"",IF(NOT(ISNUMBER($B514)),"Enter a valid date",IF($C514="","Pick a menu item",IF($O514="","Item not on Menu Pricing",IF(N($D514)&lt;=0,"Qty must be above 0",IF($H514="","No price on menu","OK"))))))</f>
        <v/>
      </c>
      <c r="O514" s="13">
        <f>IF($C514="","",IFERROR(MATCH($C514,'Menu Pricing'!$B$7:$B$56,0),""))</f>
        <v/>
      </c>
    </row>
    <row r="515" ht="17" customHeight="1">
      <c r="B515" s="66" t="n"/>
      <c r="C515" s="60" t="n"/>
      <c r="D515" s="86" t="n"/>
      <c r="E515" s="63" t="n"/>
      <c r="F515" s="60" t="n"/>
      <c r="G515" s="60" t="n"/>
      <c r="H515" s="71">
        <f>IF(OR($C515="",$D515=""),"",IF(ISNUMBER($E515),$E515,IF($O515="","",IF(N(INDEX('Menu Pricing'!$O$7:$O$56,$O515))&gt;0,INDEX('Menu Pricing'!$O$7:$O$56,$O515),""))))</f>
        <v/>
      </c>
      <c r="I515" s="71">
        <f>IF($N515&lt;&gt;"OK","",$D515*$H515)</f>
        <v/>
      </c>
      <c r="J515" s="71">
        <f>IF($N515&lt;&gt;"OK","",N(INDEX('Menu Pricing'!$F$7:$F$56,$O515))+N(INDEX('Menu Pricing'!$G$7:$G$56,$O515))+N(INDEX('Menu Pricing'!$J$7:$J$56,$O515)))</f>
        <v/>
      </c>
      <c r="K515" s="71">
        <f>IF($N515&lt;&gt;"OK","",$D515*$J515)</f>
        <v/>
      </c>
      <c r="L515" s="71">
        <f>IF($N515&lt;&gt;"OK","",$I515-$K515)</f>
        <v/>
      </c>
      <c r="M515" s="71">
        <f>IF($N515&lt;&gt;"OK","",$D515*N(INDEX('Menu Pricing'!$F$7:$F$56,$O515)))</f>
        <v/>
      </c>
      <c r="N515" s="80">
        <f>IF(AND($B515="",$C515="",$D515=""),"",IF(NOT(ISNUMBER($B515)),"Enter a valid date",IF($C515="","Pick a menu item",IF($O515="","Item not on Menu Pricing",IF(N($D515)&lt;=0,"Qty must be above 0",IF($H515="","No price on menu","OK"))))))</f>
        <v/>
      </c>
      <c r="O515" s="13">
        <f>IF($C515="","",IFERROR(MATCH($C515,'Menu Pricing'!$B$7:$B$56,0),""))</f>
        <v/>
      </c>
    </row>
    <row r="516" ht="17" customHeight="1">
      <c r="B516" s="66" t="n"/>
      <c r="C516" s="60" t="n"/>
      <c r="D516" s="86" t="n"/>
      <c r="E516" s="63" t="n"/>
      <c r="F516" s="60" t="n"/>
      <c r="G516" s="60" t="n"/>
      <c r="H516" s="71">
        <f>IF(OR($C516="",$D516=""),"",IF(ISNUMBER($E516),$E516,IF($O516="","",IF(N(INDEX('Menu Pricing'!$O$7:$O$56,$O516))&gt;0,INDEX('Menu Pricing'!$O$7:$O$56,$O516),""))))</f>
        <v/>
      </c>
      <c r="I516" s="71">
        <f>IF($N516&lt;&gt;"OK","",$D516*$H516)</f>
        <v/>
      </c>
      <c r="J516" s="71">
        <f>IF($N516&lt;&gt;"OK","",N(INDEX('Menu Pricing'!$F$7:$F$56,$O516))+N(INDEX('Menu Pricing'!$G$7:$G$56,$O516))+N(INDEX('Menu Pricing'!$J$7:$J$56,$O516)))</f>
        <v/>
      </c>
      <c r="K516" s="71">
        <f>IF($N516&lt;&gt;"OK","",$D516*$J516)</f>
        <v/>
      </c>
      <c r="L516" s="71">
        <f>IF($N516&lt;&gt;"OK","",$I516-$K516)</f>
        <v/>
      </c>
      <c r="M516" s="71">
        <f>IF($N516&lt;&gt;"OK","",$D516*N(INDEX('Menu Pricing'!$F$7:$F$56,$O516)))</f>
        <v/>
      </c>
      <c r="N516" s="80">
        <f>IF(AND($B516="",$C516="",$D516=""),"",IF(NOT(ISNUMBER($B516)),"Enter a valid date",IF($C516="","Pick a menu item",IF($O516="","Item not on Menu Pricing",IF(N($D516)&lt;=0,"Qty must be above 0",IF($H516="","No price on menu","OK"))))))</f>
        <v/>
      </c>
      <c r="O516" s="13">
        <f>IF($C516="","",IFERROR(MATCH($C516,'Menu Pricing'!$B$7:$B$56,0),""))</f>
        <v/>
      </c>
    </row>
    <row r="517" ht="17" customHeight="1">
      <c r="B517" s="66" t="n"/>
      <c r="C517" s="60" t="n"/>
      <c r="D517" s="86" t="n"/>
      <c r="E517" s="63" t="n"/>
      <c r="F517" s="60" t="n"/>
      <c r="G517" s="60" t="n"/>
      <c r="H517" s="71">
        <f>IF(OR($C517="",$D517=""),"",IF(ISNUMBER($E517),$E517,IF($O517="","",IF(N(INDEX('Menu Pricing'!$O$7:$O$56,$O517))&gt;0,INDEX('Menu Pricing'!$O$7:$O$56,$O517),""))))</f>
        <v/>
      </c>
      <c r="I517" s="71">
        <f>IF($N517&lt;&gt;"OK","",$D517*$H517)</f>
        <v/>
      </c>
      <c r="J517" s="71">
        <f>IF($N517&lt;&gt;"OK","",N(INDEX('Menu Pricing'!$F$7:$F$56,$O517))+N(INDEX('Menu Pricing'!$G$7:$G$56,$O517))+N(INDEX('Menu Pricing'!$J$7:$J$56,$O517)))</f>
        <v/>
      </c>
      <c r="K517" s="71">
        <f>IF($N517&lt;&gt;"OK","",$D517*$J517)</f>
        <v/>
      </c>
      <c r="L517" s="71">
        <f>IF($N517&lt;&gt;"OK","",$I517-$K517)</f>
        <v/>
      </c>
      <c r="M517" s="71">
        <f>IF($N517&lt;&gt;"OK","",$D517*N(INDEX('Menu Pricing'!$F$7:$F$56,$O517)))</f>
        <v/>
      </c>
      <c r="N517" s="80">
        <f>IF(AND($B517="",$C517="",$D517=""),"",IF(NOT(ISNUMBER($B517)),"Enter a valid date",IF($C517="","Pick a menu item",IF($O517="","Item not on Menu Pricing",IF(N($D517)&lt;=0,"Qty must be above 0",IF($H517="","No price on menu","OK"))))))</f>
        <v/>
      </c>
      <c r="O517" s="13">
        <f>IF($C517="","",IFERROR(MATCH($C517,'Menu Pricing'!$B$7:$B$56,0),""))</f>
        <v/>
      </c>
    </row>
    <row r="518" ht="17" customHeight="1">
      <c r="B518" s="66" t="n"/>
      <c r="C518" s="60" t="n"/>
      <c r="D518" s="86" t="n"/>
      <c r="E518" s="63" t="n"/>
      <c r="F518" s="60" t="n"/>
      <c r="G518" s="60" t="n"/>
      <c r="H518" s="71">
        <f>IF(OR($C518="",$D518=""),"",IF(ISNUMBER($E518),$E518,IF($O518="","",IF(N(INDEX('Menu Pricing'!$O$7:$O$56,$O518))&gt;0,INDEX('Menu Pricing'!$O$7:$O$56,$O518),""))))</f>
        <v/>
      </c>
      <c r="I518" s="71">
        <f>IF($N518&lt;&gt;"OK","",$D518*$H518)</f>
        <v/>
      </c>
      <c r="J518" s="71">
        <f>IF($N518&lt;&gt;"OK","",N(INDEX('Menu Pricing'!$F$7:$F$56,$O518))+N(INDEX('Menu Pricing'!$G$7:$G$56,$O518))+N(INDEX('Menu Pricing'!$J$7:$J$56,$O518)))</f>
        <v/>
      </c>
      <c r="K518" s="71">
        <f>IF($N518&lt;&gt;"OK","",$D518*$J518)</f>
        <v/>
      </c>
      <c r="L518" s="71">
        <f>IF($N518&lt;&gt;"OK","",$I518-$K518)</f>
        <v/>
      </c>
      <c r="M518" s="71">
        <f>IF($N518&lt;&gt;"OK","",$D518*N(INDEX('Menu Pricing'!$F$7:$F$56,$O518)))</f>
        <v/>
      </c>
      <c r="N518" s="80">
        <f>IF(AND($B518="",$C518="",$D518=""),"",IF(NOT(ISNUMBER($B518)),"Enter a valid date",IF($C518="","Pick a menu item",IF($O518="","Item not on Menu Pricing",IF(N($D518)&lt;=0,"Qty must be above 0",IF($H518="","No price on menu","OK"))))))</f>
        <v/>
      </c>
      <c r="O518" s="13">
        <f>IF($C518="","",IFERROR(MATCH($C518,'Menu Pricing'!$B$7:$B$56,0),""))</f>
        <v/>
      </c>
    </row>
    <row r="519" ht="17" customHeight="1">
      <c r="B519" s="66" t="n"/>
      <c r="C519" s="60" t="n"/>
      <c r="D519" s="86" t="n"/>
      <c r="E519" s="63" t="n"/>
      <c r="F519" s="60" t="n"/>
      <c r="G519" s="60" t="n"/>
      <c r="H519" s="71">
        <f>IF(OR($C519="",$D519=""),"",IF(ISNUMBER($E519),$E519,IF($O519="","",IF(N(INDEX('Menu Pricing'!$O$7:$O$56,$O519))&gt;0,INDEX('Menu Pricing'!$O$7:$O$56,$O519),""))))</f>
        <v/>
      </c>
      <c r="I519" s="71">
        <f>IF($N519&lt;&gt;"OK","",$D519*$H519)</f>
        <v/>
      </c>
      <c r="J519" s="71">
        <f>IF($N519&lt;&gt;"OK","",N(INDEX('Menu Pricing'!$F$7:$F$56,$O519))+N(INDEX('Menu Pricing'!$G$7:$G$56,$O519))+N(INDEX('Menu Pricing'!$J$7:$J$56,$O519)))</f>
        <v/>
      </c>
      <c r="K519" s="71">
        <f>IF($N519&lt;&gt;"OK","",$D519*$J519)</f>
        <v/>
      </c>
      <c r="L519" s="71">
        <f>IF($N519&lt;&gt;"OK","",$I519-$K519)</f>
        <v/>
      </c>
      <c r="M519" s="71">
        <f>IF($N519&lt;&gt;"OK","",$D519*N(INDEX('Menu Pricing'!$F$7:$F$56,$O519)))</f>
        <v/>
      </c>
      <c r="N519" s="80">
        <f>IF(AND($B519="",$C519="",$D519=""),"",IF(NOT(ISNUMBER($B519)),"Enter a valid date",IF($C519="","Pick a menu item",IF($O519="","Item not on Menu Pricing",IF(N($D519)&lt;=0,"Qty must be above 0",IF($H519="","No price on menu","OK"))))))</f>
        <v/>
      </c>
      <c r="O519" s="13">
        <f>IF($C519="","",IFERROR(MATCH($C519,'Menu Pricing'!$B$7:$B$56,0),""))</f>
        <v/>
      </c>
    </row>
    <row r="520" ht="17" customHeight="1">
      <c r="B520" s="66" t="n"/>
      <c r="C520" s="60" t="n"/>
      <c r="D520" s="86" t="n"/>
      <c r="E520" s="63" t="n"/>
      <c r="F520" s="60" t="n"/>
      <c r="G520" s="60" t="n"/>
      <c r="H520" s="71">
        <f>IF(OR($C520="",$D520=""),"",IF(ISNUMBER($E520),$E520,IF($O520="","",IF(N(INDEX('Menu Pricing'!$O$7:$O$56,$O520))&gt;0,INDEX('Menu Pricing'!$O$7:$O$56,$O520),""))))</f>
        <v/>
      </c>
      <c r="I520" s="71">
        <f>IF($N520&lt;&gt;"OK","",$D520*$H520)</f>
        <v/>
      </c>
      <c r="J520" s="71">
        <f>IF($N520&lt;&gt;"OK","",N(INDEX('Menu Pricing'!$F$7:$F$56,$O520))+N(INDEX('Menu Pricing'!$G$7:$G$56,$O520))+N(INDEX('Menu Pricing'!$J$7:$J$56,$O520)))</f>
        <v/>
      </c>
      <c r="K520" s="71">
        <f>IF($N520&lt;&gt;"OK","",$D520*$J520)</f>
        <v/>
      </c>
      <c r="L520" s="71">
        <f>IF($N520&lt;&gt;"OK","",$I520-$K520)</f>
        <v/>
      </c>
      <c r="M520" s="71">
        <f>IF($N520&lt;&gt;"OK","",$D520*N(INDEX('Menu Pricing'!$F$7:$F$56,$O520)))</f>
        <v/>
      </c>
      <c r="N520" s="80">
        <f>IF(AND($B520="",$C520="",$D520=""),"",IF(NOT(ISNUMBER($B520)),"Enter a valid date",IF($C520="","Pick a menu item",IF($O520="","Item not on Menu Pricing",IF(N($D520)&lt;=0,"Qty must be above 0",IF($H520="","No price on menu","OK"))))))</f>
        <v/>
      </c>
      <c r="O520" s="13">
        <f>IF($C520="","",IFERROR(MATCH($C520,'Menu Pricing'!$B$7:$B$56,0),""))</f>
        <v/>
      </c>
    </row>
    <row r="521" ht="17" customHeight="1">
      <c r="B521" s="66" t="n"/>
      <c r="C521" s="60" t="n"/>
      <c r="D521" s="86" t="n"/>
      <c r="E521" s="63" t="n"/>
      <c r="F521" s="60" t="n"/>
      <c r="G521" s="60" t="n"/>
      <c r="H521" s="71">
        <f>IF(OR($C521="",$D521=""),"",IF(ISNUMBER($E521),$E521,IF($O521="","",IF(N(INDEX('Menu Pricing'!$O$7:$O$56,$O521))&gt;0,INDEX('Menu Pricing'!$O$7:$O$56,$O521),""))))</f>
        <v/>
      </c>
      <c r="I521" s="71">
        <f>IF($N521&lt;&gt;"OK","",$D521*$H521)</f>
        <v/>
      </c>
      <c r="J521" s="71">
        <f>IF($N521&lt;&gt;"OK","",N(INDEX('Menu Pricing'!$F$7:$F$56,$O521))+N(INDEX('Menu Pricing'!$G$7:$G$56,$O521))+N(INDEX('Menu Pricing'!$J$7:$J$56,$O521)))</f>
        <v/>
      </c>
      <c r="K521" s="71">
        <f>IF($N521&lt;&gt;"OK","",$D521*$J521)</f>
        <v/>
      </c>
      <c r="L521" s="71">
        <f>IF($N521&lt;&gt;"OK","",$I521-$K521)</f>
        <v/>
      </c>
      <c r="M521" s="71">
        <f>IF($N521&lt;&gt;"OK","",$D521*N(INDEX('Menu Pricing'!$F$7:$F$56,$O521)))</f>
        <v/>
      </c>
      <c r="N521" s="80">
        <f>IF(AND($B521="",$C521="",$D521=""),"",IF(NOT(ISNUMBER($B521)),"Enter a valid date",IF($C521="","Pick a menu item",IF($O521="","Item not on Menu Pricing",IF(N($D521)&lt;=0,"Qty must be above 0",IF($H521="","No price on menu","OK"))))))</f>
        <v/>
      </c>
      <c r="O521" s="13">
        <f>IF($C521="","",IFERROR(MATCH($C521,'Menu Pricing'!$B$7:$B$56,0),""))</f>
        <v/>
      </c>
    </row>
    <row r="522" ht="17" customHeight="1">
      <c r="B522" s="66" t="n"/>
      <c r="C522" s="60" t="n"/>
      <c r="D522" s="86" t="n"/>
      <c r="E522" s="63" t="n"/>
      <c r="F522" s="60" t="n"/>
      <c r="G522" s="60" t="n"/>
      <c r="H522" s="71">
        <f>IF(OR($C522="",$D522=""),"",IF(ISNUMBER($E522),$E522,IF($O522="","",IF(N(INDEX('Menu Pricing'!$O$7:$O$56,$O522))&gt;0,INDEX('Menu Pricing'!$O$7:$O$56,$O522),""))))</f>
        <v/>
      </c>
      <c r="I522" s="71">
        <f>IF($N522&lt;&gt;"OK","",$D522*$H522)</f>
        <v/>
      </c>
      <c r="J522" s="71">
        <f>IF($N522&lt;&gt;"OK","",N(INDEX('Menu Pricing'!$F$7:$F$56,$O522))+N(INDEX('Menu Pricing'!$G$7:$G$56,$O522))+N(INDEX('Menu Pricing'!$J$7:$J$56,$O522)))</f>
        <v/>
      </c>
      <c r="K522" s="71">
        <f>IF($N522&lt;&gt;"OK","",$D522*$J522)</f>
        <v/>
      </c>
      <c r="L522" s="71">
        <f>IF($N522&lt;&gt;"OK","",$I522-$K522)</f>
        <v/>
      </c>
      <c r="M522" s="71">
        <f>IF($N522&lt;&gt;"OK","",$D522*N(INDEX('Menu Pricing'!$F$7:$F$56,$O522)))</f>
        <v/>
      </c>
      <c r="N522" s="80">
        <f>IF(AND($B522="",$C522="",$D522=""),"",IF(NOT(ISNUMBER($B522)),"Enter a valid date",IF($C522="","Pick a menu item",IF($O522="","Item not on Menu Pricing",IF(N($D522)&lt;=0,"Qty must be above 0",IF($H522="","No price on menu","OK"))))))</f>
        <v/>
      </c>
      <c r="O522" s="13">
        <f>IF($C522="","",IFERROR(MATCH($C522,'Menu Pricing'!$B$7:$B$56,0),""))</f>
        <v/>
      </c>
    </row>
    <row r="523" ht="17" customHeight="1">
      <c r="B523" s="66" t="n"/>
      <c r="C523" s="60" t="n"/>
      <c r="D523" s="86" t="n"/>
      <c r="E523" s="63" t="n"/>
      <c r="F523" s="60" t="n"/>
      <c r="G523" s="60" t="n"/>
      <c r="H523" s="71">
        <f>IF(OR($C523="",$D523=""),"",IF(ISNUMBER($E523),$E523,IF($O523="","",IF(N(INDEX('Menu Pricing'!$O$7:$O$56,$O523))&gt;0,INDEX('Menu Pricing'!$O$7:$O$56,$O523),""))))</f>
        <v/>
      </c>
      <c r="I523" s="71">
        <f>IF($N523&lt;&gt;"OK","",$D523*$H523)</f>
        <v/>
      </c>
      <c r="J523" s="71">
        <f>IF($N523&lt;&gt;"OK","",N(INDEX('Menu Pricing'!$F$7:$F$56,$O523))+N(INDEX('Menu Pricing'!$G$7:$G$56,$O523))+N(INDEX('Menu Pricing'!$J$7:$J$56,$O523)))</f>
        <v/>
      </c>
      <c r="K523" s="71">
        <f>IF($N523&lt;&gt;"OK","",$D523*$J523)</f>
        <v/>
      </c>
      <c r="L523" s="71">
        <f>IF($N523&lt;&gt;"OK","",$I523-$K523)</f>
        <v/>
      </c>
      <c r="M523" s="71">
        <f>IF($N523&lt;&gt;"OK","",$D523*N(INDEX('Menu Pricing'!$F$7:$F$56,$O523)))</f>
        <v/>
      </c>
      <c r="N523" s="80">
        <f>IF(AND($B523="",$C523="",$D523=""),"",IF(NOT(ISNUMBER($B523)),"Enter a valid date",IF($C523="","Pick a menu item",IF($O523="","Item not on Menu Pricing",IF(N($D523)&lt;=0,"Qty must be above 0",IF($H523="","No price on menu","OK"))))))</f>
        <v/>
      </c>
      <c r="O523" s="13">
        <f>IF($C523="","",IFERROR(MATCH($C523,'Menu Pricing'!$B$7:$B$56,0),""))</f>
        <v/>
      </c>
    </row>
    <row r="524" ht="17" customHeight="1">
      <c r="B524" s="66" t="n"/>
      <c r="C524" s="60" t="n"/>
      <c r="D524" s="86" t="n"/>
      <c r="E524" s="63" t="n"/>
      <c r="F524" s="60" t="n"/>
      <c r="G524" s="60" t="n"/>
      <c r="H524" s="71">
        <f>IF(OR($C524="",$D524=""),"",IF(ISNUMBER($E524),$E524,IF($O524="","",IF(N(INDEX('Menu Pricing'!$O$7:$O$56,$O524))&gt;0,INDEX('Menu Pricing'!$O$7:$O$56,$O524),""))))</f>
        <v/>
      </c>
      <c r="I524" s="71">
        <f>IF($N524&lt;&gt;"OK","",$D524*$H524)</f>
        <v/>
      </c>
      <c r="J524" s="71">
        <f>IF($N524&lt;&gt;"OK","",N(INDEX('Menu Pricing'!$F$7:$F$56,$O524))+N(INDEX('Menu Pricing'!$G$7:$G$56,$O524))+N(INDEX('Menu Pricing'!$J$7:$J$56,$O524)))</f>
        <v/>
      </c>
      <c r="K524" s="71">
        <f>IF($N524&lt;&gt;"OK","",$D524*$J524)</f>
        <v/>
      </c>
      <c r="L524" s="71">
        <f>IF($N524&lt;&gt;"OK","",$I524-$K524)</f>
        <v/>
      </c>
      <c r="M524" s="71">
        <f>IF($N524&lt;&gt;"OK","",$D524*N(INDEX('Menu Pricing'!$F$7:$F$56,$O524)))</f>
        <v/>
      </c>
      <c r="N524" s="80">
        <f>IF(AND($B524="",$C524="",$D524=""),"",IF(NOT(ISNUMBER($B524)),"Enter a valid date",IF($C524="","Pick a menu item",IF($O524="","Item not on Menu Pricing",IF(N($D524)&lt;=0,"Qty must be above 0",IF($H524="","No price on menu","OK"))))))</f>
        <v/>
      </c>
      <c r="O524" s="13">
        <f>IF($C524="","",IFERROR(MATCH($C524,'Menu Pricing'!$B$7:$B$56,0),""))</f>
        <v/>
      </c>
    </row>
    <row r="525" ht="17" customHeight="1">
      <c r="B525" s="66" t="n"/>
      <c r="C525" s="60" t="n"/>
      <c r="D525" s="86" t="n"/>
      <c r="E525" s="63" t="n"/>
      <c r="F525" s="60" t="n"/>
      <c r="G525" s="60" t="n"/>
      <c r="H525" s="71">
        <f>IF(OR($C525="",$D525=""),"",IF(ISNUMBER($E525),$E525,IF($O525="","",IF(N(INDEX('Menu Pricing'!$O$7:$O$56,$O525))&gt;0,INDEX('Menu Pricing'!$O$7:$O$56,$O525),""))))</f>
        <v/>
      </c>
      <c r="I525" s="71">
        <f>IF($N525&lt;&gt;"OK","",$D525*$H525)</f>
        <v/>
      </c>
      <c r="J525" s="71">
        <f>IF($N525&lt;&gt;"OK","",N(INDEX('Menu Pricing'!$F$7:$F$56,$O525))+N(INDEX('Menu Pricing'!$G$7:$G$56,$O525))+N(INDEX('Menu Pricing'!$J$7:$J$56,$O525)))</f>
        <v/>
      </c>
      <c r="K525" s="71">
        <f>IF($N525&lt;&gt;"OK","",$D525*$J525)</f>
        <v/>
      </c>
      <c r="L525" s="71">
        <f>IF($N525&lt;&gt;"OK","",$I525-$K525)</f>
        <v/>
      </c>
      <c r="M525" s="71">
        <f>IF($N525&lt;&gt;"OK","",$D525*N(INDEX('Menu Pricing'!$F$7:$F$56,$O525)))</f>
        <v/>
      </c>
      <c r="N525" s="80">
        <f>IF(AND($B525="",$C525="",$D525=""),"",IF(NOT(ISNUMBER($B525)),"Enter a valid date",IF($C525="","Pick a menu item",IF($O525="","Item not on Menu Pricing",IF(N($D525)&lt;=0,"Qty must be above 0",IF($H525="","No price on menu","OK"))))))</f>
        <v/>
      </c>
      <c r="O525" s="13">
        <f>IF($C525="","",IFERROR(MATCH($C525,'Menu Pricing'!$B$7:$B$56,0),""))</f>
        <v/>
      </c>
    </row>
    <row r="526" ht="17" customHeight="1">
      <c r="B526" s="66" t="n"/>
      <c r="C526" s="60" t="n"/>
      <c r="D526" s="86" t="n"/>
      <c r="E526" s="63" t="n"/>
      <c r="F526" s="60" t="n"/>
      <c r="G526" s="60" t="n"/>
      <c r="H526" s="71">
        <f>IF(OR($C526="",$D526=""),"",IF(ISNUMBER($E526),$E526,IF($O526="","",IF(N(INDEX('Menu Pricing'!$O$7:$O$56,$O526))&gt;0,INDEX('Menu Pricing'!$O$7:$O$56,$O526),""))))</f>
        <v/>
      </c>
      <c r="I526" s="71">
        <f>IF($N526&lt;&gt;"OK","",$D526*$H526)</f>
        <v/>
      </c>
      <c r="J526" s="71">
        <f>IF($N526&lt;&gt;"OK","",N(INDEX('Menu Pricing'!$F$7:$F$56,$O526))+N(INDEX('Menu Pricing'!$G$7:$G$56,$O526))+N(INDEX('Menu Pricing'!$J$7:$J$56,$O526)))</f>
        <v/>
      </c>
      <c r="K526" s="71">
        <f>IF($N526&lt;&gt;"OK","",$D526*$J526)</f>
        <v/>
      </c>
      <c r="L526" s="71">
        <f>IF($N526&lt;&gt;"OK","",$I526-$K526)</f>
        <v/>
      </c>
      <c r="M526" s="71">
        <f>IF($N526&lt;&gt;"OK","",$D526*N(INDEX('Menu Pricing'!$F$7:$F$56,$O526)))</f>
        <v/>
      </c>
      <c r="N526" s="80">
        <f>IF(AND($B526="",$C526="",$D526=""),"",IF(NOT(ISNUMBER($B526)),"Enter a valid date",IF($C526="","Pick a menu item",IF($O526="","Item not on Menu Pricing",IF(N($D526)&lt;=0,"Qty must be above 0",IF($H526="","No price on menu","OK"))))))</f>
        <v/>
      </c>
      <c r="O526" s="13">
        <f>IF($C526="","",IFERROR(MATCH($C526,'Menu Pricing'!$B$7:$B$56,0),""))</f>
        <v/>
      </c>
    </row>
    <row r="527" ht="17" customHeight="1">
      <c r="B527" s="66" t="n"/>
      <c r="C527" s="60" t="n"/>
      <c r="D527" s="86" t="n"/>
      <c r="E527" s="63" t="n"/>
      <c r="F527" s="60" t="n"/>
      <c r="G527" s="60" t="n"/>
      <c r="H527" s="71">
        <f>IF(OR($C527="",$D527=""),"",IF(ISNUMBER($E527),$E527,IF($O527="","",IF(N(INDEX('Menu Pricing'!$O$7:$O$56,$O527))&gt;0,INDEX('Menu Pricing'!$O$7:$O$56,$O527),""))))</f>
        <v/>
      </c>
      <c r="I527" s="71">
        <f>IF($N527&lt;&gt;"OK","",$D527*$H527)</f>
        <v/>
      </c>
      <c r="J527" s="71">
        <f>IF($N527&lt;&gt;"OK","",N(INDEX('Menu Pricing'!$F$7:$F$56,$O527))+N(INDEX('Menu Pricing'!$G$7:$G$56,$O527))+N(INDEX('Menu Pricing'!$J$7:$J$56,$O527)))</f>
        <v/>
      </c>
      <c r="K527" s="71">
        <f>IF($N527&lt;&gt;"OK","",$D527*$J527)</f>
        <v/>
      </c>
      <c r="L527" s="71">
        <f>IF($N527&lt;&gt;"OK","",$I527-$K527)</f>
        <v/>
      </c>
      <c r="M527" s="71">
        <f>IF($N527&lt;&gt;"OK","",$D527*N(INDEX('Menu Pricing'!$F$7:$F$56,$O527)))</f>
        <v/>
      </c>
      <c r="N527" s="80">
        <f>IF(AND($B527="",$C527="",$D527=""),"",IF(NOT(ISNUMBER($B527)),"Enter a valid date",IF($C527="","Pick a menu item",IF($O527="","Item not on Menu Pricing",IF(N($D527)&lt;=0,"Qty must be above 0",IF($H527="","No price on menu","OK"))))))</f>
        <v/>
      </c>
      <c r="O527" s="13">
        <f>IF($C527="","",IFERROR(MATCH($C527,'Menu Pricing'!$B$7:$B$56,0),""))</f>
        <v/>
      </c>
    </row>
    <row r="528" ht="17" customHeight="1">
      <c r="B528" s="66" t="n"/>
      <c r="C528" s="60" t="n"/>
      <c r="D528" s="86" t="n"/>
      <c r="E528" s="63" t="n"/>
      <c r="F528" s="60" t="n"/>
      <c r="G528" s="60" t="n"/>
      <c r="H528" s="71">
        <f>IF(OR($C528="",$D528=""),"",IF(ISNUMBER($E528),$E528,IF($O528="","",IF(N(INDEX('Menu Pricing'!$O$7:$O$56,$O528))&gt;0,INDEX('Menu Pricing'!$O$7:$O$56,$O528),""))))</f>
        <v/>
      </c>
      <c r="I528" s="71">
        <f>IF($N528&lt;&gt;"OK","",$D528*$H528)</f>
        <v/>
      </c>
      <c r="J528" s="71">
        <f>IF($N528&lt;&gt;"OK","",N(INDEX('Menu Pricing'!$F$7:$F$56,$O528))+N(INDEX('Menu Pricing'!$G$7:$G$56,$O528))+N(INDEX('Menu Pricing'!$J$7:$J$56,$O528)))</f>
        <v/>
      </c>
      <c r="K528" s="71">
        <f>IF($N528&lt;&gt;"OK","",$D528*$J528)</f>
        <v/>
      </c>
      <c r="L528" s="71">
        <f>IF($N528&lt;&gt;"OK","",$I528-$K528)</f>
        <v/>
      </c>
      <c r="M528" s="71">
        <f>IF($N528&lt;&gt;"OK","",$D528*N(INDEX('Menu Pricing'!$F$7:$F$56,$O528)))</f>
        <v/>
      </c>
      <c r="N528" s="80">
        <f>IF(AND($B528="",$C528="",$D528=""),"",IF(NOT(ISNUMBER($B528)),"Enter a valid date",IF($C528="","Pick a menu item",IF($O528="","Item not on Menu Pricing",IF(N($D528)&lt;=0,"Qty must be above 0",IF($H528="","No price on menu","OK"))))))</f>
        <v/>
      </c>
      <c r="O528" s="13">
        <f>IF($C528="","",IFERROR(MATCH($C528,'Menu Pricing'!$B$7:$B$56,0),""))</f>
        <v/>
      </c>
    </row>
    <row r="529" ht="17" customHeight="1">
      <c r="B529" s="66" t="n"/>
      <c r="C529" s="60" t="n"/>
      <c r="D529" s="86" t="n"/>
      <c r="E529" s="63" t="n"/>
      <c r="F529" s="60" t="n"/>
      <c r="G529" s="60" t="n"/>
      <c r="H529" s="71">
        <f>IF(OR($C529="",$D529=""),"",IF(ISNUMBER($E529),$E529,IF($O529="","",IF(N(INDEX('Menu Pricing'!$O$7:$O$56,$O529))&gt;0,INDEX('Menu Pricing'!$O$7:$O$56,$O529),""))))</f>
        <v/>
      </c>
      <c r="I529" s="71">
        <f>IF($N529&lt;&gt;"OK","",$D529*$H529)</f>
        <v/>
      </c>
      <c r="J529" s="71">
        <f>IF($N529&lt;&gt;"OK","",N(INDEX('Menu Pricing'!$F$7:$F$56,$O529))+N(INDEX('Menu Pricing'!$G$7:$G$56,$O529))+N(INDEX('Menu Pricing'!$J$7:$J$56,$O529)))</f>
        <v/>
      </c>
      <c r="K529" s="71">
        <f>IF($N529&lt;&gt;"OK","",$D529*$J529)</f>
        <v/>
      </c>
      <c r="L529" s="71">
        <f>IF($N529&lt;&gt;"OK","",$I529-$K529)</f>
        <v/>
      </c>
      <c r="M529" s="71">
        <f>IF($N529&lt;&gt;"OK","",$D529*N(INDEX('Menu Pricing'!$F$7:$F$56,$O529)))</f>
        <v/>
      </c>
      <c r="N529" s="80">
        <f>IF(AND($B529="",$C529="",$D529=""),"",IF(NOT(ISNUMBER($B529)),"Enter a valid date",IF($C529="","Pick a menu item",IF($O529="","Item not on Menu Pricing",IF(N($D529)&lt;=0,"Qty must be above 0",IF($H529="","No price on menu","OK"))))))</f>
        <v/>
      </c>
      <c r="O529" s="13">
        <f>IF($C529="","",IFERROR(MATCH($C529,'Menu Pricing'!$B$7:$B$56,0),""))</f>
        <v/>
      </c>
    </row>
    <row r="530" ht="17" customHeight="1">
      <c r="B530" s="66" t="n"/>
      <c r="C530" s="60" t="n"/>
      <c r="D530" s="86" t="n"/>
      <c r="E530" s="63" t="n"/>
      <c r="F530" s="60" t="n"/>
      <c r="G530" s="60" t="n"/>
      <c r="H530" s="71">
        <f>IF(OR($C530="",$D530=""),"",IF(ISNUMBER($E530),$E530,IF($O530="","",IF(N(INDEX('Menu Pricing'!$O$7:$O$56,$O530))&gt;0,INDEX('Menu Pricing'!$O$7:$O$56,$O530),""))))</f>
        <v/>
      </c>
      <c r="I530" s="71">
        <f>IF($N530&lt;&gt;"OK","",$D530*$H530)</f>
        <v/>
      </c>
      <c r="J530" s="71">
        <f>IF($N530&lt;&gt;"OK","",N(INDEX('Menu Pricing'!$F$7:$F$56,$O530))+N(INDEX('Menu Pricing'!$G$7:$G$56,$O530))+N(INDEX('Menu Pricing'!$J$7:$J$56,$O530)))</f>
        <v/>
      </c>
      <c r="K530" s="71">
        <f>IF($N530&lt;&gt;"OK","",$D530*$J530)</f>
        <v/>
      </c>
      <c r="L530" s="71">
        <f>IF($N530&lt;&gt;"OK","",$I530-$K530)</f>
        <v/>
      </c>
      <c r="M530" s="71">
        <f>IF($N530&lt;&gt;"OK","",$D530*N(INDEX('Menu Pricing'!$F$7:$F$56,$O530)))</f>
        <v/>
      </c>
      <c r="N530" s="80">
        <f>IF(AND($B530="",$C530="",$D530=""),"",IF(NOT(ISNUMBER($B530)),"Enter a valid date",IF($C530="","Pick a menu item",IF($O530="","Item not on Menu Pricing",IF(N($D530)&lt;=0,"Qty must be above 0",IF($H530="","No price on menu","OK"))))))</f>
        <v/>
      </c>
      <c r="O530" s="13">
        <f>IF($C530="","",IFERROR(MATCH($C530,'Menu Pricing'!$B$7:$B$56,0),""))</f>
        <v/>
      </c>
    </row>
    <row r="531" ht="17" customHeight="1">
      <c r="B531" s="66" t="n"/>
      <c r="C531" s="60" t="n"/>
      <c r="D531" s="86" t="n"/>
      <c r="E531" s="63" t="n"/>
      <c r="F531" s="60" t="n"/>
      <c r="G531" s="60" t="n"/>
      <c r="H531" s="71">
        <f>IF(OR($C531="",$D531=""),"",IF(ISNUMBER($E531),$E531,IF($O531="","",IF(N(INDEX('Menu Pricing'!$O$7:$O$56,$O531))&gt;0,INDEX('Menu Pricing'!$O$7:$O$56,$O531),""))))</f>
        <v/>
      </c>
      <c r="I531" s="71">
        <f>IF($N531&lt;&gt;"OK","",$D531*$H531)</f>
        <v/>
      </c>
      <c r="J531" s="71">
        <f>IF($N531&lt;&gt;"OK","",N(INDEX('Menu Pricing'!$F$7:$F$56,$O531))+N(INDEX('Menu Pricing'!$G$7:$G$56,$O531))+N(INDEX('Menu Pricing'!$J$7:$J$56,$O531)))</f>
        <v/>
      </c>
      <c r="K531" s="71">
        <f>IF($N531&lt;&gt;"OK","",$D531*$J531)</f>
        <v/>
      </c>
      <c r="L531" s="71">
        <f>IF($N531&lt;&gt;"OK","",$I531-$K531)</f>
        <v/>
      </c>
      <c r="M531" s="71">
        <f>IF($N531&lt;&gt;"OK","",$D531*N(INDEX('Menu Pricing'!$F$7:$F$56,$O531)))</f>
        <v/>
      </c>
      <c r="N531" s="80">
        <f>IF(AND($B531="",$C531="",$D531=""),"",IF(NOT(ISNUMBER($B531)),"Enter a valid date",IF($C531="","Pick a menu item",IF($O531="","Item not on Menu Pricing",IF(N($D531)&lt;=0,"Qty must be above 0",IF($H531="","No price on menu","OK"))))))</f>
        <v/>
      </c>
      <c r="O531" s="13">
        <f>IF($C531="","",IFERROR(MATCH($C531,'Menu Pricing'!$B$7:$B$56,0),""))</f>
        <v/>
      </c>
    </row>
    <row r="532" ht="17" customHeight="1">
      <c r="B532" s="66" t="n"/>
      <c r="C532" s="60" t="n"/>
      <c r="D532" s="86" t="n"/>
      <c r="E532" s="63" t="n"/>
      <c r="F532" s="60" t="n"/>
      <c r="G532" s="60" t="n"/>
      <c r="H532" s="71">
        <f>IF(OR($C532="",$D532=""),"",IF(ISNUMBER($E532),$E532,IF($O532="","",IF(N(INDEX('Menu Pricing'!$O$7:$O$56,$O532))&gt;0,INDEX('Menu Pricing'!$O$7:$O$56,$O532),""))))</f>
        <v/>
      </c>
      <c r="I532" s="71">
        <f>IF($N532&lt;&gt;"OK","",$D532*$H532)</f>
        <v/>
      </c>
      <c r="J532" s="71">
        <f>IF($N532&lt;&gt;"OK","",N(INDEX('Menu Pricing'!$F$7:$F$56,$O532))+N(INDEX('Menu Pricing'!$G$7:$G$56,$O532))+N(INDEX('Menu Pricing'!$J$7:$J$56,$O532)))</f>
        <v/>
      </c>
      <c r="K532" s="71">
        <f>IF($N532&lt;&gt;"OK","",$D532*$J532)</f>
        <v/>
      </c>
      <c r="L532" s="71">
        <f>IF($N532&lt;&gt;"OK","",$I532-$K532)</f>
        <v/>
      </c>
      <c r="M532" s="71">
        <f>IF($N532&lt;&gt;"OK","",$D532*N(INDEX('Menu Pricing'!$F$7:$F$56,$O532)))</f>
        <v/>
      </c>
      <c r="N532" s="80">
        <f>IF(AND($B532="",$C532="",$D532=""),"",IF(NOT(ISNUMBER($B532)),"Enter a valid date",IF($C532="","Pick a menu item",IF($O532="","Item not on Menu Pricing",IF(N($D532)&lt;=0,"Qty must be above 0",IF($H532="","No price on menu","OK"))))))</f>
        <v/>
      </c>
      <c r="O532" s="13">
        <f>IF($C532="","",IFERROR(MATCH($C532,'Menu Pricing'!$B$7:$B$56,0),""))</f>
        <v/>
      </c>
    </row>
    <row r="533" ht="17" customHeight="1">
      <c r="B533" s="66" t="n"/>
      <c r="C533" s="60" t="n"/>
      <c r="D533" s="86" t="n"/>
      <c r="E533" s="63" t="n"/>
      <c r="F533" s="60" t="n"/>
      <c r="G533" s="60" t="n"/>
      <c r="H533" s="71">
        <f>IF(OR($C533="",$D533=""),"",IF(ISNUMBER($E533),$E533,IF($O533="","",IF(N(INDEX('Menu Pricing'!$O$7:$O$56,$O533))&gt;0,INDEX('Menu Pricing'!$O$7:$O$56,$O533),""))))</f>
        <v/>
      </c>
      <c r="I533" s="71">
        <f>IF($N533&lt;&gt;"OK","",$D533*$H533)</f>
        <v/>
      </c>
      <c r="J533" s="71">
        <f>IF($N533&lt;&gt;"OK","",N(INDEX('Menu Pricing'!$F$7:$F$56,$O533))+N(INDEX('Menu Pricing'!$G$7:$G$56,$O533))+N(INDEX('Menu Pricing'!$J$7:$J$56,$O533)))</f>
        <v/>
      </c>
      <c r="K533" s="71">
        <f>IF($N533&lt;&gt;"OK","",$D533*$J533)</f>
        <v/>
      </c>
      <c r="L533" s="71">
        <f>IF($N533&lt;&gt;"OK","",$I533-$K533)</f>
        <v/>
      </c>
      <c r="M533" s="71">
        <f>IF($N533&lt;&gt;"OK","",$D533*N(INDEX('Menu Pricing'!$F$7:$F$56,$O533)))</f>
        <v/>
      </c>
      <c r="N533" s="80">
        <f>IF(AND($B533="",$C533="",$D533=""),"",IF(NOT(ISNUMBER($B533)),"Enter a valid date",IF($C533="","Pick a menu item",IF($O533="","Item not on Menu Pricing",IF(N($D533)&lt;=0,"Qty must be above 0",IF($H533="","No price on menu","OK"))))))</f>
        <v/>
      </c>
      <c r="O533" s="13">
        <f>IF($C533="","",IFERROR(MATCH($C533,'Menu Pricing'!$B$7:$B$56,0),""))</f>
        <v/>
      </c>
    </row>
    <row r="534" ht="17" customHeight="1">
      <c r="B534" s="66" t="n"/>
      <c r="C534" s="60" t="n"/>
      <c r="D534" s="86" t="n"/>
      <c r="E534" s="63" t="n"/>
      <c r="F534" s="60" t="n"/>
      <c r="G534" s="60" t="n"/>
      <c r="H534" s="71">
        <f>IF(OR($C534="",$D534=""),"",IF(ISNUMBER($E534),$E534,IF($O534="","",IF(N(INDEX('Menu Pricing'!$O$7:$O$56,$O534))&gt;0,INDEX('Menu Pricing'!$O$7:$O$56,$O534),""))))</f>
        <v/>
      </c>
      <c r="I534" s="71">
        <f>IF($N534&lt;&gt;"OK","",$D534*$H534)</f>
        <v/>
      </c>
      <c r="J534" s="71">
        <f>IF($N534&lt;&gt;"OK","",N(INDEX('Menu Pricing'!$F$7:$F$56,$O534))+N(INDEX('Menu Pricing'!$G$7:$G$56,$O534))+N(INDEX('Menu Pricing'!$J$7:$J$56,$O534)))</f>
        <v/>
      </c>
      <c r="K534" s="71">
        <f>IF($N534&lt;&gt;"OK","",$D534*$J534)</f>
        <v/>
      </c>
      <c r="L534" s="71">
        <f>IF($N534&lt;&gt;"OK","",$I534-$K534)</f>
        <v/>
      </c>
      <c r="M534" s="71">
        <f>IF($N534&lt;&gt;"OK","",$D534*N(INDEX('Menu Pricing'!$F$7:$F$56,$O534)))</f>
        <v/>
      </c>
      <c r="N534" s="80">
        <f>IF(AND($B534="",$C534="",$D534=""),"",IF(NOT(ISNUMBER($B534)),"Enter a valid date",IF($C534="","Pick a menu item",IF($O534="","Item not on Menu Pricing",IF(N($D534)&lt;=0,"Qty must be above 0",IF($H534="","No price on menu","OK"))))))</f>
        <v/>
      </c>
      <c r="O534" s="13">
        <f>IF($C534="","",IFERROR(MATCH($C534,'Menu Pricing'!$B$7:$B$56,0),""))</f>
        <v/>
      </c>
    </row>
    <row r="535" ht="17" customHeight="1">
      <c r="B535" s="66" t="n"/>
      <c r="C535" s="60" t="n"/>
      <c r="D535" s="86" t="n"/>
      <c r="E535" s="63" t="n"/>
      <c r="F535" s="60" t="n"/>
      <c r="G535" s="60" t="n"/>
      <c r="H535" s="71">
        <f>IF(OR($C535="",$D535=""),"",IF(ISNUMBER($E535),$E535,IF($O535="","",IF(N(INDEX('Menu Pricing'!$O$7:$O$56,$O535))&gt;0,INDEX('Menu Pricing'!$O$7:$O$56,$O535),""))))</f>
        <v/>
      </c>
      <c r="I535" s="71">
        <f>IF($N535&lt;&gt;"OK","",$D535*$H535)</f>
        <v/>
      </c>
      <c r="J535" s="71">
        <f>IF($N535&lt;&gt;"OK","",N(INDEX('Menu Pricing'!$F$7:$F$56,$O535))+N(INDEX('Menu Pricing'!$G$7:$G$56,$O535))+N(INDEX('Menu Pricing'!$J$7:$J$56,$O535)))</f>
        <v/>
      </c>
      <c r="K535" s="71">
        <f>IF($N535&lt;&gt;"OK","",$D535*$J535)</f>
        <v/>
      </c>
      <c r="L535" s="71">
        <f>IF($N535&lt;&gt;"OK","",$I535-$K535)</f>
        <v/>
      </c>
      <c r="M535" s="71">
        <f>IF($N535&lt;&gt;"OK","",$D535*N(INDEX('Menu Pricing'!$F$7:$F$56,$O535)))</f>
        <v/>
      </c>
      <c r="N535" s="80">
        <f>IF(AND($B535="",$C535="",$D535=""),"",IF(NOT(ISNUMBER($B535)),"Enter a valid date",IF($C535="","Pick a menu item",IF($O535="","Item not on Menu Pricing",IF(N($D535)&lt;=0,"Qty must be above 0",IF($H535="","No price on menu","OK"))))))</f>
        <v/>
      </c>
      <c r="O535" s="13">
        <f>IF($C535="","",IFERROR(MATCH($C535,'Menu Pricing'!$B$7:$B$56,0),""))</f>
        <v/>
      </c>
    </row>
    <row r="536" ht="17" customHeight="1">
      <c r="B536" s="66" t="n"/>
      <c r="C536" s="60" t="n"/>
      <c r="D536" s="86" t="n"/>
      <c r="E536" s="63" t="n"/>
      <c r="F536" s="60" t="n"/>
      <c r="G536" s="60" t="n"/>
      <c r="H536" s="71">
        <f>IF(OR($C536="",$D536=""),"",IF(ISNUMBER($E536),$E536,IF($O536="","",IF(N(INDEX('Menu Pricing'!$O$7:$O$56,$O536))&gt;0,INDEX('Menu Pricing'!$O$7:$O$56,$O536),""))))</f>
        <v/>
      </c>
      <c r="I536" s="71">
        <f>IF($N536&lt;&gt;"OK","",$D536*$H536)</f>
        <v/>
      </c>
      <c r="J536" s="71">
        <f>IF($N536&lt;&gt;"OK","",N(INDEX('Menu Pricing'!$F$7:$F$56,$O536))+N(INDEX('Menu Pricing'!$G$7:$G$56,$O536))+N(INDEX('Menu Pricing'!$J$7:$J$56,$O536)))</f>
        <v/>
      </c>
      <c r="K536" s="71">
        <f>IF($N536&lt;&gt;"OK","",$D536*$J536)</f>
        <v/>
      </c>
      <c r="L536" s="71">
        <f>IF($N536&lt;&gt;"OK","",$I536-$K536)</f>
        <v/>
      </c>
      <c r="M536" s="71">
        <f>IF($N536&lt;&gt;"OK","",$D536*N(INDEX('Menu Pricing'!$F$7:$F$56,$O536)))</f>
        <v/>
      </c>
      <c r="N536" s="80">
        <f>IF(AND($B536="",$C536="",$D536=""),"",IF(NOT(ISNUMBER($B536)),"Enter a valid date",IF($C536="","Pick a menu item",IF($O536="","Item not on Menu Pricing",IF(N($D536)&lt;=0,"Qty must be above 0",IF($H536="","No price on menu","OK"))))))</f>
        <v/>
      </c>
      <c r="O536" s="13">
        <f>IF($C536="","",IFERROR(MATCH($C536,'Menu Pricing'!$B$7:$B$56,0),""))</f>
        <v/>
      </c>
    </row>
    <row r="537" ht="17" customHeight="1">
      <c r="B537" s="66" t="n"/>
      <c r="C537" s="60" t="n"/>
      <c r="D537" s="86" t="n"/>
      <c r="E537" s="63" t="n"/>
      <c r="F537" s="60" t="n"/>
      <c r="G537" s="60" t="n"/>
      <c r="H537" s="71">
        <f>IF(OR($C537="",$D537=""),"",IF(ISNUMBER($E537),$E537,IF($O537="","",IF(N(INDEX('Menu Pricing'!$O$7:$O$56,$O537))&gt;0,INDEX('Menu Pricing'!$O$7:$O$56,$O537),""))))</f>
        <v/>
      </c>
      <c r="I537" s="71">
        <f>IF($N537&lt;&gt;"OK","",$D537*$H537)</f>
        <v/>
      </c>
      <c r="J537" s="71">
        <f>IF($N537&lt;&gt;"OK","",N(INDEX('Menu Pricing'!$F$7:$F$56,$O537))+N(INDEX('Menu Pricing'!$G$7:$G$56,$O537))+N(INDEX('Menu Pricing'!$J$7:$J$56,$O537)))</f>
        <v/>
      </c>
      <c r="K537" s="71">
        <f>IF($N537&lt;&gt;"OK","",$D537*$J537)</f>
        <v/>
      </c>
      <c r="L537" s="71">
        <f>IF($N537&lt;&gt;"OK","",$I537-$K537)</f>
        <v/>
      </c>
      <c r="M537" s="71">
        <f>IF($N537&lt;&gt;"OK","",$D537*N(INDEX('Menu Pricing'!$F$7:$F$56,$O537)))</f>
        <v/>
      </c>
      <c r="N537" s="80">
        <f>IF(AND($B537="",$C537="",$D537=""),"",IF(NOT(ISNUMBER($B537)),"Enter a valid date",IF($C537="","Pick a menu item",IF($O537="","Item not on Menu Pricing",IF(N($D537)&lt;=0,"Qty must be above 0",IF($H537="","No price on menu","OK"))))))</f>
        <v/>
      </c>
      <c r="O537" s="13">
        <f>IF($C537="","",IFERROR(MATCH($C537,'Menu Pricing'!$B$7:$B$56,0),""))</f>
        <v/>
      </c>
    </row>
    <row r="538" ht="17" customHeight="1">
      <c r="B538" s="66" t="n"/>
      <c r="C538" s="60" t="n"/>
      <c r="D538" s="86" t="n"/>
      <c r="E538" s="63" t="n"/>
      <c r="F538" s="60" t="n"/>
      <c r="G538" s="60" t="n"/>
      <c r="H538" s="71">
        <f>IF(OR($C538="",$D538=""),"",IF(ISNUMBER($E538),$E538,IF($O538="","",IF(N(INDEX('Menu Pricing'!$O$7:$O$56,$O538))&gt;0,INDEX('Menu Pricing'!$O$7:$O$56,$O538),""))))</f>
        <v/>
      </c>
      <c r="I538" s="71">
        <f>IF($N538&lt;&gt;"OK","",$D538*$H538)</f>
        <v/>
      </c>
      <c r="J538" s="71">
        <f>IF($N538&lt;&gt;"OK","",N(INDEX('Menu Pricing'!$F$7:$F$56,$O538))+N(INDEX('Menu Pricing'!$G$7:$G$56,$O538))+N(INDEX('Menu Pricing'!$J$7:$J$56,$O538)))</f>
        <v/>
      </c>
      <c r="K538" s="71">
        <f>IF($N538&lt;&gt;"OK","",$D538*$J538)</f>
        <v/>
      </c>
      <c r="L538" s="71">
        <f>IF($N538&lt;&gt;"OK","",$I538-$K538)</f>
        <v/>
      </c>
      <c r="M538" s="71">
        <f>IF($N538&lt;&gt;"OK","",$D538*N(INDEX('Menu Pricing'!$F$7:$F$56,$O538)))</f>
        <v/>
      </c>
      <c r="N538" s="80">
        <f>IF(AND($B538="",$C538="",$D538=""),"",IF(NOT(ISNUMBER($B538)),"Enter a valid date",IF($C538="","Pick a menu item",IF($O538="","Item not on Menu Pricing",IF(N($D538)&lt;=0,"Qty must be above 0",IF($H538="","No price on menu","OK"))))))</f>
        <v/>
      </c>
      <c r="O538" s="13">
        <f>IF($C538="","",IFERROR(MATCH($C538,'Menu Pricing'!$B$7:$B$56,0),""))</f>
        <v/>
      </c>
    </row>
    <row r="539" ht="17" customHeight="1">
      <c r="B539" s="66" t="n"/>
      <c r="C539" s="60" t="n"/>
      <c r="D539" s="86" t="n"/>
      <c r="E539" s="63" t="n"/>
      <c r="F539" s="60" t="n"/>
      <c r="G539" s="60" t="n"/>
      <c r="H539" s="71">
        <f>IF(OR($C539="",$D539=""),"",IF(ISNUMBER($E539),$E539,IF($O539="","",IF(N(INDEX('Menu Pricing'!$O$7:$O$56,$O539))&gt;0,INDEX('Menu Pricing'!$O$7:$O$56,$O539),""))))</f>
        <v/>
      </c>
      <c r="I539" s="71">
        <f>IF($N539&lt;&gt;"OK","",$D539*$H539)</f>
        <v/>
      </c>
      <c r="J539" s="71">
        <f>IF($N539&lt;&gt;"OK","",N(INDEX('Menu Pricing'!$F$7:$F$56,$O539))+N(INDEX('Menu Pricing'!$G$7:$G$56,$O539))+N(INDEX('Menu Pricing'!$J$7:$J$56,$O539)))</f>
        <v/>
      </c>
      <c r="K539" s="71">
        <f>IF($N539&lt;&gt;"OK","",$D539*$J539)</f>
        <v/>
      </c>
      <c r="L539" s="71">
        <f>IF($N539&lt;&gt;"OK","",$I539-$K539)</f>
        <v/>
      </c>
      <c r="M539" s="71">
        <f>IF($N539&lt;&gt;"OK","",$D539*N(INDEX('Menu Pricing'!$F$7:$F$56,$O539)))</f>
        <v/>
      </c>
      <c r="N539" s="80">
        <f>IF(AND($B539="",$C539="",$D539=""),"",IF(NOT(ISNUMBER($B539)),"Enter a valid date",IF($C539="","Pick a menu item",IF($O539="","Item not on Menu Pricing",IF(N($D539)&lt;=0,"Qty must be above 0",IF($H539="","No price on menu","OK"))))))</f>
        <v/>
      </c>
      <c r="O539" s="13">
        <f>IF($C539="","",IFERROR(MATCH($C539,'Menu Pricing'!$B$7:$B$56,0),""))</f>
        <v/>
      </c>
    </row>
    <row r="540" ht="17" customHeight="1">
      <c r="B540" s="66" t="n"/>
      <c r="C540" s="60" t="n"/>
      <c r="D540" s="86" t="n"/>
      <c r="E540" s="63" t="n"/>
      <c r="F540" s="60" t="n"/>
      <c r="G540" s="60" t="n"/>
      <c r="H540" s="71">
        <f>IF(OR($C540="",$D540=""),"",IF(ISNUMBER($E540),$E540,IF($O540="","",IF(N(INDEX('Menu Pricing'!$O$7:$O$56,$O540))&gt;0,INDEX('Menu Pricing'!$O$7:$O$56,$O540),""))))</f>
        <v/>
      </c>
      <c r="I540" s="71">
        <f>IF($N540&lt;&gt;"OK","",$D540*$H540)</f>
        <v/>
      </c>
      <c r="J540" s="71">
        <f>IF($N540&lt;&gt;"OK","",N(INDEX('Menu Pricing'!$F$7:$F$56,$O540))+N(INDEX('Menu Pricing'!$G$7:$G$56,$O540))+N(INDEX('Menu Pricing'!$J$7:$J$56,$O540)))</f>
        <v/>
      </c>
      <c r="K540" s="71">
        <f>IF($N540&lt;&gt;"OK","",$D540*$J540)</f>
        <v/>
      </c>
      <c r="L540" s="71">
        <f>IF($N540&lt;&gt;"OK","",$I540-$K540)</f>
        <v/>
      </c>
      <c r="M540" s="71">
        <f>IF($N540&lt;&gt;"OK","",$D540*N(INDEX('Menu Pricing'!$F$7:$F$56,$O540)))</f>
        <v/>
      </c>
      <c r="N540" s="80">
        <f>IF(AND($B540="",$C540="",$D540=""),"",IF(NOT(ISNUMBER($B540)),"Enter a valid date",IF($C540="","Pick a menu item",IF($O540="","Item not on Menu Pricing",IF(N($D540)&lt;=0,"Qty must be above 0",IF($H540="","No price on menu","OK"))))))</f>
        <v/>
      </c>
      <c r="O540" s="13">
        <f>IF($C540="","",IFERROR(MATCH($C540,'Menu Pricing'!$B$7:$B$56,0),""))</f>
        <v/>
      </c>
    </row>
    <row r="541" ht="17" customHeight="1">
      <c r="B541" s="66" t="n"/>
      <c r="C541" s="60" t="n"/>
      <c r="D541" s="86" t="n"/>
      <c r="E541" s="63" t="n"/>
      <c r="F541" s="60" t="n"/>
      <c r="G541" s="60" t="n"/>
      <c r="H541" s="71">
        <f>IF(OR($C541="",$D541=""),"",IF(ISNUMBER($E541),$E541,IF($O541="","",IF(N(INDEX('Menu Pricing'!$O$7:$O$56,$O541))&gt;0,INDEX('Menu Pricing'!$O$7:$O$56,$O541),""))))</f>
        <v/>
      </c>
      <c r="I541" s="71">
        <f>IF($N541&lt;&gt;"OK","",$D541*$H541)</f>
        <v/>
      </c>
      <c r="J541" s="71">
        <f>IF($N541&lt;&gt;"OK","",N(INDEX('Menu Pricing'!$F$7:$F$56,$O541))+N(INDEX('Menu Pricing'!$G$7:$G$56,$O541))+N(INDEX('Menu Pricing'!$J$7:$J$56,$O541)))</f>
        <v/>
      </c>
      <c r="K541" s="71">
        <f>IF($N541&lt;&gt;"OK","",$D541*$J541)</f>
        <v/>
      </c>
      <c r="L541" s="71">
        <f>IF($N541&lt;&gt;"OK","",$I541-$K541)</f>
        <v/>
      </c>
      <c r="M541" s="71">
        <f>IF($N541&lt;&gt;"OK","",$D541*N(INDEX('Menu Pricing'!$F$7:$F$56,$O541)))</f>
        <v/>
      </c>
      <c r="N541" s="80">
        <f>IF(AND($B541="",$C541="",$D541=""),"",IF(NOT(ISNUMBER($B541)),"Enter a valid date",IF($C541="","Pick a menu item",IF($O541="","Item not on Menu Pricing",IF(N($D541)&lt;=0,"Qty must be above 0",IF($H541="","No price on menu","OK"))))))</f>
        <v/>
      </c>
      <c r="O541" s="13">
        <f>IF($C541="","",IFERROR(MATCH($C541,'Menu Pricing'!$B$7:$B$56,0),""))</f>
        <v/>
      </c>
    </row>
    <row r="542" ht="17" customHeight="1">
      <c r="B542" s="66" t="n"/>
      <c r="C542" s="60" t="n"/>
      <c r="D542" s="86" t="n"/>
      <c r="E542" s="63" t="n"/>
      <c r="F542" s="60" t="n"/>
      <c r="G542" s="60" t="n"/>
      <c r="H542" s="71">
        <f>IF(OR($C542="",$D542=""),"",IF(ISNUMBER($E542),$E542,IF($O542="","",IF(N(INDEX('Menu Pricing'!$O$7:$O$56,$O542))&gt;0,INDEX('Menu Pricing'!$O$7:$O$56,$O542),""))))</f>
        <v/>
      </c>
      <c r="I542" s="71">
        <f>IF($N542&lt;&gt;"OK","",$D542*$H542)</f>
        <v/>
      </c>
      <c r="J542" s="71">
        <f>IF($N542&lt;&gt;"OK","",N(INDEX('Menu Pricing'!$F$7:$F$56,$O542))+N(INDEX('Menu Pricing'!$G$7:$G$56,$O542))+N(INDEX('Menu Pricing'!$J$7:$J$56,$O542)))</f>
        <v/>
      </c>
      <c r="K542" s="71">
        <f>IF($N542&lt;&gt;"OK","",$D542*$J542)</f>
        <v/>
      </c>
      <c r="L542" s="71">
        <f>IF($N542&lt;&gt;"OK","",$I542-$K542)</f>
        <v/>
      </c>
      <c r="M542" s="71">
        <f>IF($N542&lt;&gt;"OK","",$D542*N(INDEX('Menu Pricing'!$F$7:$F$56,$O542)))</f>
        <v/>
      </c>
      <c r="N542" s="80">
        <f>IF(AND($B542="",$C542="",$D542=""),"",IF(NOT(ISNUMBER($B542)),"Enter a valid date",IF($C542="","Pick a menu item",IF($O542="","Item not on Menu Pricing",IF(N($D542)&lt;=0,"Qty must be above 0",IF($H542="","No price on menu","OK"))))))</f>
        <v/>
      </c>
      <c r="O542" s="13">
        <f>IF($C542="","",IFERROR(MATCH($C542,'Menu Pricing'!$B$7:$B$56,0),""))</f>
        <v/>
      </c>
    </row>
    <row r="543" ht="17" customHeight="1">
      <c r="B543" s="66" t="n"/>
      <c r="C543" s="60" t="n"/>
      <c r="D543" s="86" t="n"/>
      <c r="E543" s="63" t="n"/>
      <c r="F543" s="60" t="n"/>
      <c r="G543" s="60" t="n"/>
      <c r="H543" s="71">
        <f>IF(OR($C543="",$D543=""),"",IF(ISNUMBER($E543),$E543,IF($O543="","",IF(N(INDEX('Menu Pricing'!$O$7:$O$56,$O543))&gt;0,INDEX('Menu Pricing'!$O$7:$O$56,$O543),""))))</f>
        <v/>
      </c>
      <c r="I543" s="71">
        <f>IF($N543&lt;&gt;"OK","",$D543*$H543)</f>
        <v/>
      </c>
      <c r="J543" s="71">
        <f>IF($N543&lt;&gt;"OK","",N(INDEX('Menu Pricing'!$F$7:$F$56,$O543))+N(INDEX('Menu Pricing'!$G$7:$G$56,$O543))+N(INDEX('Menu Pricing'!$J$7:$J$56,$O543)))</f>
        <v/>
      </c>
      <c r="K543" s="71">
        <f>IF($N543&lt;&gt;"OK","",$D543*$J543)</f>
        <v/>
      </c>
      <c r="L543" s="71">
        <f>IF($N543&lt;&gt;"OK","",$I543-$K543)</f>
        <v/>
      </c>
      <c r="M543" s="71">
        <f>IF($N543&lt;&gt;"OK","",$D543*N(INDEX('Menu Pricing'!$F$7:$F$56,$O543)))</f>
        <v/>
      </c>
      <c r="N543" s="80">
        <f>IF(AND($B543="",$C543="",$D543=""),"",IF(NOT(ISNUMBER($B543)),"Enter a valid date",IF($C543="","Pick a menu item",IF($O543="","Item not on Menu Pricing",IF(N($D543)&lt;=0,"Qty must be above 0",IF($H543="","No price on menu","OK"))))))</f>
        <v/>
      </c>
      <c r="O543" s="13">
        <f>IF($C543="","",IFERROR(MATCH($C543,'Menu Pricing'!$B$7:$B$56,0),""))</f>
        <v/>
      </c>
    </row>
    <row r="544" ht="17" customHeight="1">
      <c r="B544" s="66" t="n"/>
      <c r="C544" s="60" t="n"/>
      <c r="D544" s="86" t="n"/>
      <c r="E544" s="63" t="n"/>
      <c r="F544" s="60" t="n"/>
      <c r="G544" s="60" t="n"/>
      <c r="H544" s="71">
        <f>IF(OR($C544="",$D544=""),"",IF(ISNUMBER($E544),$E544,IF($O544="","",IF(N(INDEX('Menu Pricing'!$O$7:$O$56,$O544))&gt;0,INDEX('Menu Pricing'!$O$7:$O$56,$O544),""))))</f>
        <v/>
      </c>
      <c r="I544" s="71">
        <f>IF($N544&lt;&gt;"OK","",$D544*$H544)</f>
        <v/>
      </c>
      <c r="J544" s="71">
        <f>IF($N544&lt;&gt;"OK","",N(INDEX('Menu Pricing'!$F$7:$F$56,$O544))+N(INDEX('Menu Pricing'!$G$7:$G$56,$O544))+N(INDEX('Menu Pricing'!$J$7:$J$56,$O544)))</f>
        <v/>
      </c>
      <c r="K544" s="71">
        <f>IF($N544&lt;&gt;"OK","",$D544*$J544)</f>
        <v/>
      </c>
      <c r="L544" s="71">
        <f>IF($N544&lt;&gt;"OK","",$I544-$K544)</f>
        <v/>
      </c>
      <c r="M544" s="71">
        <f>IF($N544&lt;&gt;"OK","",$D544*N(INDEX('Menu Pricing'!$F$7:$F$56,$O544)))</f>
        <v/>
      </c>
      <c r="N544" s="80">
        <f>IF(AND($B544="",$C544="",$D544=""),"",IF(NOT(ISNUMBER($B544)),"Enter a valid date",IF($C544="","Pick a menu item",IF($O544="","Item not on Menu Pricing",IF(N($D544)&lt;=0,"Qty must be above 0",IF($H544="","No price on menu","OK"))))))</f>
        <v/>
      </c>
      <c r="O544" s="13">
        <f>IF($C544="","",IFERROR(MATCH($C544,'Menu Pricing'!$B$7:$B$56,0),""))</f>
        <v/>
      </c>
    </row>
    <row r="545" ht="17" customHeight="1">
      <c r="B545" s="66" t="n"/>
      <c r="C545" s="60" t="n"/>
      <c r="D545" s="86" t="n"/>
      <c r="E545" s="63" t="n"/>
      <c r="F545" s="60" t="n"/>
      <c r="G545" s="60" t="n"/>
      <c r="H545" s="71">
        <f>IF(OR($C545="",$D545=""),"",IF(ISNUMBER($E545),$E545,IF($O545="","",IF(N(INDEX('Menu Pricing'!$O$7:$O$56,$O545))&gt;0,INDEX('Menu Pricing'!$O$7:$O$56,$O545),""))))</f>
        <v/>
      </c>
      <c r="I545" s="71">
        <f>IF($N545&lt;&gt;"OK","",$D545*$H545)</f>
        <v/>
      </c>
      <c r="J545" s="71">
        <f>IF($N545&lt;&gt;"OK","",N(INDEX('Menu Pricing'!$F$7:$F$56,$O545))+N(INDEX('Menu Pricing'!$G$7:$G$56,$O545))+N(INDEX('Menu Pricing'!$J$7:$J$56,$O545)))</f>
        <v/>
      </c>
      <c r="K545" s="71">
        <f>IF($N545&lt;&gt;"OK","",$D545*$J545)</f>
        <v/>
      </c>
      <c r="L545" s="71">
        <f>IF($N545&lt;&gt;"OK","",$I545-$K545)</f>
        <v/>
      </c>
      <c r="M545" s="71">
        <f>IF($N545&lt;&gt;"OK","",$D545*N(INDEX('Menu Pricing'!$F$7:$F$56,$O545)))</f>
        <v/>
      </c>
      <c r="N545" s="80">
        <f>IF(AND($B545="",$C545="",$D545=""),"",IF(NOT(ISNUMBER($B545)),"Enter a valid date",IF($C545="","Pick a menu item",IF($O545="","Item not on Menu Pricing",IF(N($D545)&lt;=0,"Qty must be above 0",IF($H545="","No price on menu","OK"))))))</f>
        <v/>
      </c>
      <c r="O545" s="13">
        <f>IF($C545="","",IFERROR(MATCH($C545,'Menu Pricing'!$B$7:$B$56,0),""))</f>
        <v/>
      </c>
    </row>
    <row r="546" ht="17" customHeight="1">
      <c r="B546" s="66" t="n"/>
      <c r="C546" s="60" t="n"/>
      <c r="D546" s="86" t="n"/>
      <c r="E546" s="63" t="n"/>
      <c r="F546" s="60" t="n"/>
      <c r="G546" s="60" t="n"/>
      <c r="H546" s="71">
        <f>IF(OR($C546="",$D546=""),"",IF(ISNUMBER($E546),$E546,IF($O546="","",IF(N(INDEX('Menu Pricing'!$O$7:$O$56,$O546))&gt;0,INDEX('Menu Pricing'!$O$7:$O$56,$O546),""))))</f>
        <v/>
      </c>
      <c r="I546" s="71">
        <f>IF($N546&lt;&gt;"OK","",$D546*$H546)</f>
        <v/>
      </c>
      <c r="J546" s="71">
        <f>IF($N546&lt;&gt;"OK","",N(INDEX('Menu Pricing'!$F$7:$F$56,$O546))+N(INDEX('Menu Pricing'!$G$7:$G$56,$O546))+N(INDEX('Menu Pricing'!$J$7:$J$56,$O546)))</f>
        <v/>
      </c>
      <c r="K546" s="71">
        <f>IF($N546&lt;&gt;"OK","",$D546*$J546)</f>
        <v/>
      </c>
      <c r="L546" s="71">
        <f>IF($N546&lt;&gt;"OK","",$I546-$K546)</f>
        <v/>
      </c>
      <c r="M546" s="71">
        <f>IF($N546&lt;&gt;"OK","",$D546*N(INDEX('Menu Pricing'!$F$7:$F$56,$O546)))</f>
        <v/>
      </c>
      <c r="N546" s="80">
        <f>IF(AND($B546="",$C546="",$D546=""),"",IF(NOT(ISNUMBER($B546)),"Enter a valid date",IF($C546="","Pick a menu item",IF($O546="","Item not on Menu Pricing",IF(N($D546)&lt;=0,"Qty must be above 0",IF($H546="","No price on menu","OK"))))))</f>
        <v/>
      </c>
      <c r="O546" s="13">
        <f>IF($C546="","",IFERROR(MATCH($C546,'Menu Pricing'!$B$7:$B$56,0),""))</f>
        <v/>
      </c>
    </row>
    <row r="547" ht="17" customHeight="1">
      <c r="B547" s="66" t="n"/>
      <c r="C547" s="60" t="n"/>
      <c r="D547" s="86" t="n"/>
      <c r="E547" s="63" t="n"/>
      <c r="F547" s="60" t="n"/>
      <c r="G547" s="60" t="n"/>
      <c r="H547" s="71">
        <f>IF(OR($C547="",$D547=""),"",IF(ISNUMBER($E547),$E547,IF($O547="","",IF(N(INDEX('Menu Pricing'!$O$7:$O$56,$O547))&gt;0,INDEX('Menu Pricing'!$O$7:$O$56,$O547),""))))</f>
        <v/>
      </c>
      <c r="I547" s="71">
        <f>IF($N547&lt;&gt;"OK","",$D547*$H547)</f>
        <v/>
      </c>
      <c r="J547" s="71">
        <f>IF($N547&lt;&gt;"OK","",N(INDEX('Menu Pricing'!$F$7:$F$56,$O547))+N(INDEX('Menu Pricing'!$G$7:$G$56,$O547))+N(INDEX('Menu Pricing'!$J$7:$J$56,$O547)))</f>
        <v/>
      </c>
      <c r="K547" s="71">
        <f>IF($N547&lt;&gt;"OK","",$D547*$J547)</f>
        <v/>
      </c>
      <c r="L547" s="71">
        <f>IF($N547&lt;&gt;"OK","",$I547-$K547)</f>
        <v/>
      </c>
      <c r="M547" s="71">
        <f>IF($N547&lt;&gt;"OK","",$D547*N(INDEX('Menu Pricing'!$F$7:$F$56,$O547)))</f>
        <v/>
      </c>
      <c r="N547" s="80">
        <f>IF(AND($B547="",$C547="",$D547=""),"",IF(NOT(ISNUMBER($B547)),"Enter a valid date",IF($C547="","Pick a menu item",IF($O547="","Item not on Menu Pricing",IF(N($D547)&lt;=0,"Qty must be above 0",IF($H547="","No price on menu","OK"))))))</f>
        <v/>
      </c>
      <c r="O547" s="13">
        <f>IF($C547="","",IFERROR(MATCH($C547,'Menu Pricing'!$B$7:$B$56,0),""))</f>
        <v/>
      </c>
    </row>
    <row r="548" ht="17" customHeight="1">
      <c r="B548" s="66" t="n"/>
      <c r="C548" s="60" t="n"/>
      <c r="D548" s="86" t="n"/>
      <c r="E548" s="63" t="n"/>
      <c r="F548" s="60" t="n"/>
      <c r="G548" s="60" t="n"/>
      <c r="H548" s="71">
        <f>IF(OR($C548="",$D548=""),"",IF(ISNUMBER($E548),$E548,IF($O548="","",IF(N(INDEX('Menu Pricing'!$O$7:$O$56,$O548))&gt;0,INDEX('Menu Pricing'!$O$7:$O$56,$O548),""))))</f>
        <v/>
      </c>
      <c r="I548" s="71">
        <f>IF($N548&lt;&gt;"OK","",$D548*$H548)</f>
        <v/>
      </c>
      <c r="J548" s="71">
        <f>IF($N548&lt;&gt;"OK","",N(INDEX('Menu Pricing'!$F$7:$F$56,$O548))+N(INDEX('Menu Pricing'!$G$7:$G$56,$O548))+N(INDEX('Menu Pricing'!$J$7:$J$56,$O548)))</f>
        <v/>
      </c>
      <c r="K548" s="71">
        <f>IF($N548&lt;&gt;"OK","",$D548*$J548)</f>
        <v/>
      </c>
      <c r="L548" s="71">
        <f>IF($N548&lt;&gt;"OK","",$I548-$K548)</f>
        <v/>
      </c>
      <c r="M548" s="71">
        <f>IF($N548&lt;&gt;"OK","",$D548*N(INDEX('Menu Pricing'!$F$7:$F$56,$O548)))</f>
        <v/>
      </c>
      <c r="N548" s="80">
        <f>IF(AND($B548="",$C548="",$D548=""),"",IF(NOT(ISNUMBER($B548)),"Enter a valid date",IF($C548="","Pick a menu item",IF($O548="","Item not on Menu Pricing",IF(N($D548)&lt;=0,"Qty must be above 0",IF($H548="","No price on menu","OK"))))))</f>
        <v/>
      </c>
      <c r="O548" s="13">
        <f>IF($C548="","",IFERROR(MATCH($C548,'Menu Pricing'!$B$7:$B$56,0),""))</f>
        <v/>
      </c>
    </row>
    <row r="549" ht="17" customHeight="1">
      <c r="B549" s="66" t="n"/>
      <c r="C549" s="60" t="n"/>
      <c r="D549" s="86" t="n"/>
      <c r="E549" s="63" t="n"/>
      <c r="F549" s="60" t="n"/>
      <c r="G549" s="60" t="n"/>
      <c r="H549" s="71">
        <f>IF(OR($C549="",$D549=""),"",IF(ISNUMBER($E549),$E549,IF($O549="","",IF(N(INDEX('Menu Pricing'!$O$7:$O$56,$O549))&gt;0,INDEX('Menu Pricing'!$O$7:$O$56,$O549),""))))</f>
        <v/>
      </c>
      <c r="I549" s="71">
        <f>IF($N549&lt;&gt;"OK","",$D549*$H549)</f>
        <v/>
      </c>
      <c r="J549" s="71">
        <f>IF($N549&lt;&gt;"OK","",N(INDEX('Menu Pricing'!$F$7:$F$56,$O549))+N(INDEX('Menu Pricing'!$G$7:$G$56,$O549))+N(INDEX('Menu Pricing'!$J$7:$J$56,$O549)))</f>
        <v/>
      </c>
      <c r="K549" s="71">
        <f>IF($N549&lt;&gt;"OK","",$D549*$J549)</f>
        <v/>
      </c>
      <c r="L549" s="71">
        <f>IF($N549&lt;&gt;"OK","",$I549-$K549)</f>
        <v/>
      </c>
      <c r="M549" s="71">
        <f>IF($N549&lt;&gt;"OK","",$D549*N(INDEX('Menu Pricing'!$F$7:$F$56,$O549)))</f>
        <v/>
      </c>
      <c r="N549" s="80">
        <f>IF(AND($B549="",$C549="",$D549=""),"",IF(NOT(ISNUMBER($B549)),"Enter a valid date",IF($C549="","Pick a menu item",IF($O549="","Item not on Menu Pricing",IF(N($D549)&lt;=0,"Qty must be above 0",IF($H549="","No price on menu","OK"))))))</f>
        <v/>
      </c>
      <c r="O549" s="13">
        <f>IF($C549="","",IFERROR(MATCH($C549,'Menu Pricing'!$B$7:$B$56,0),""))</f>
        <v/>
      </c>
    </row>
    <row r="550" ht="17" customHeight="1">
      <c r="B550" s="66" t="n"/>
      <c r="C550" s="60" t="n"/>
      <c r="D550" s="86" t="n"/>
      <c r="E550" s="63" t="n"/>
      <c r="F550" s="60" t="n"/>
      <c r="G550" s="60" t="n"/>
      <c r="H550" s="71">
        <f>IF(OR($C550="",$D550=""),"",IF(ISNUMBER($E550),$E550,IF($O550="","",IF(N(INDEX('Menu Pricing'!$O$7:$O$56,$O550))&gt;0,INDEX('Menu Pricing'!$O$7:$O$56,$O550),""))))</f>
        <v/>
      </c>
      <c r="I550" s="71">
        <f>IF($N550&lt;&gt;"OK","",$D550*$H550)</f>
        <v/>
      </c>
      <c r="J550" s="71">
        <f>IF($N550&lt;&gt;"OK","",N(INDEX('Menu Pricing'!$F$7:$F$56,$O550))+N(INDEX('Menu Pricing'!$G$7:$G$56,$O550))+N(INDEX('Menu Pricing'!$J$7:$J$56,$O550)))</f>
        <v/>
      </c>
      <c r="K550" s="71">
        <f>IF($N550&lt;&gt;"OK","",$D550*$J550)</f>
        <v/>
      </c>
      <c r="L550" s="71">
        <f>IF($N550&lt;&gt;"OK","",$I550-$K550)</f>
        <v/>
      </c>
      <c r="M550" s="71">
        <f>IF($N550&lt;&gt;"OK","",$D550*N(INDEX('Menu Pricing'!$F$7:$F$56,$O550)))</f>
        <v/>
      </c>
      <c r="N550" s="80">
        <f>IF(AND($B550="",$C550="",$D550=""),"",IF(NOT(ISNUMBER($B550)),"Enter a valid date",IF($C550="","Pick a menu item",IF($O550="","Item not on Menu Pricing",IF(N($D550)&lt;=0,"Qty must be above 0",IF($H550="","No price on menu","OK"))))))</f>
        <v/>
      </c>
      <c r="O550" s="13">
        <f>IF($C550="","",IFERROR(MATCH($C550,'Menu Pricing'!$B$7:$B$56,0),""))</f>
        <v/>
      </c>
    </row>
    <row r="551" ht="17" customHeight="1">
      <c r="B551" s="66" t="n"/>
      <c r="C551" s="60" t="n"/>
      <c r="D551" s="86" t="n"/>
      <c r="E551" s="63" t="n"/>
      <c r="F551" s="60" t="n"/>
      <c r="G551" s="60" t="n"/>
      <c r="H551" s="71">
        <f>IF(OR($C551="",$D551=""),"",IF(ISNUMBER($E551),$E551,IF($O551="","",IF(N(INDEX('Menu Pricing'!$O$7:$O$56,$O551))&gt;0,INDEX('Menu Pricing'!$O$7:$O$56,$O551),""))))</f>
        <v/>
      </c>
      <c r="I551" s="71">
        <f>IF($N551&lt;&gt;"OK","",$D551*$H551)</f>
        <v/>
      </c>
      <c r="J551" s="71">
        <f>IF($N551&lt;&gt;"OK","",N(INDEX('Menu Pricing'!$F$7:$F$56,$O551))+N(INDEX('Menu Pricing'!$G$7:$G$56,$O551))+N(INDEX('Menu Pricing'!$J$7:$J$56,$O551)))</f>
        <v/>
      </c>
      <c r="K551" s="71">
        <f>IF($N551&lt;&gt;"OK","",$D551*$J551)</f>
        <v/>
      </c>
      <c r="L551" s="71">
        <f>IF($N551&lt;&gt;"OK","",$I551-$K551)</f>
        <v/>
      </c>
      <c r="M551" s="71">
        <f>IF($N551&lt;&gt;"OK","",$D551*N(INDEX('Menu Pricing'!$F$7:$F$56,$O551)))</f>
        <v/>
      </c>
      <c r="N551" s="80">
        <f>IF(AND($B551="",$C551="",$D551=""),"",IF(NOT(ISNUMBER($B551)),"Enter a valid date",IF($C551="","Pick a menu item",IF($O551="","Item not on Menu Pricing",IF(N($D551)&lt;=0,"Qty must be above 0",IF($H551="","No price on menu","OK"))))))</f>
        <v/>
      </c>
      <c r="O551" s="13">
        <f>IF($C551="","",IFERROR(MATCH($C551,'Menu Pricing'!$B$7:$B$56,0),""))</f>
        <v/>
      </c>
    </row>
    <row r="552" ht="17" customHeight="1">
      <c r="B552" s="66" t="n"/>
      <c r="C552" s="60" t="n"/>
      <c r="D552" s="86" t="n"/>
      <c r="E552" s="63" t="n"/>
      <c r="F552" s="60" t="n"/>
      <c r="G552" s="60" t="n"/>
      <c r="H552" s="71">
        <f>IF(OR($C552="",$D552=""),"",IF(ISNUMBER($E552),$E552,IF($O552="","",IF(N(INDEX('Menu Pricing'!$O$7:$O$56,$O552))&gt;0,INDEX('Menu Pricing'!$O$7:$O$56,$O552),""))))</f>
        <v/>
      </c>
      <c r="I552" s="71">
        <f>IF($N552&lt;&gt;"OK","",$D552*$H552)</f>
        <v/>
      </c>
      <c r="J552" s="71">
        <f>IF($N552&lt;&gt;"OK","",N(INDEX('Menu Pricing'!$F$7:$F$56,$O552))+N(INDEX('Menu Pricing'!$G$7:$G$56,$O552))+N(INDEX('Menu Pricing'!$J$7:$J$56,$O552)))</f>
        <v/>
      </c>
      <c r="K552" s="71">
        <f>IF($N552&lt;&gt;"OK","",$D552*$J552)</f>
        <v/>
      </c>
      <c r="L552" s="71">
        <f>IF($N552&lt;&gt;"OK","",$I552-$K552)</f>
        <v/>
      </c>
      <c r="M552" s="71">
        <f>IF($N552&lt;&gt;"OK","",$D552*N(INDEX('Menu Pricing'!$F$7:$F$56,$O552)))</f>
        <v/>
      </c>
      <c r="N552" s="80">
        <f>IF(AND($B552="",$C552="",$D552=""),"",IF(NOT(ISNUMBER($B552)),"Enter a valid date",IF($C552="","Pick a menu item",IF($O552="","Item not on Menu Pricing",IF(N($D552)&lt;=0,"Qty must be above 0",IF($H552="","No price on menu","OK"))))))</f>
        <v/>
      </c>
      <c r="O552" s="13">
        <f>IF($C552="","",IFERROR(MATCH($C552,'Menu Pricing'!$B$7:$B$56,0),""))</f>
        <v/>
      </c>
    </row>
    <row r="553" ht="17" customHeight="1">
      <c r="B553" s="66" t="n"/>
      <c r="C553" s="60" t="n"/>
      <c r="D553" s="86" t="n"/>
      <c r="E553" s="63" t="n"/>
      <c r="F553" s="60" t="n"/>
      <c r="G553" s="60" t="n"/>
      <c r="H553" s="71">
        <f>IF(OR($C553="",$D553=""),"",IF(ISNUMBER($E553),$E553,IF($O553="","",IF(N(INDEX('Menu Pricing'!$O$7:$O$56,$O553))&gt;0,INDEX('Menu Pricing'!$O$7:$O$56,$O553),""))))</f>
        <v/>
      </c>
      <c r="I553" s="71">
        <f>IF($N553&lt;&gt;"OK","",$D553*$H553)</f>
        <v/>
      </c>
      <c r="J553" s="71">
        <f>IF($N553&lt;&gt;"OK","",N(INDEX('Menu Pricing'!$F$7:$F$56,$O553))+N(INDEX('Menu Pricing'!$G$7:$G$56,$O553))+N(INDEX('Menu Pricing'!$J$7:$J$56,$O553)))</f>
        <v/>
      </c>
      <c r="K553" s="71">
        <f>IF($N553&lt;&gt;"OK","",$D553*$J553)</f>
        <v/>
      </c>
      <c r="L553" s="71">
        <f>IF($N553&lt;&gt;"OK","",$I553-$K553)</f>
        <v/>
      </c>
      <c r="M553" s="71">
        <f>IF($N553&lt;&gt;"OK","",$D553*N(INDEX('Menu Pricing'!$F$7:$F$56,$O553)))</f>
        <v/>
      </c>
      <c r="N553" s="80">
        <f>IF(AND($B553="",$C553="",$D553=""),"",IF(NOT(ISNUMBER($B553)),"Enter a valid date",IF($C553="","Pick a menu item",IF($O553="","Item not on Menu Pricing",IF(N($D553)&lt;=0,"Qty must be above 0",IF($H553="","No price on menu","OK"))))))</f>
        <v/>
      </c>
      <c r="O553" s="13">
        <f>IF($C553="","",IFERROR(MATCH($C553,'Menu Pricing'!$B$7:$B$56,0),""))</f>
        <v/>
      </c>
    </row>
    <row r="554" ht="17" customHeight="1">
      <c r="B554" s="66" t="n"/>
      <c r="C554" s="60" t="n"/>
      <c r="D554" s="86" t="n"/>
      <c r="E554" s="63" t="n"/>
      <c r="F554" s="60" t="n"/>
      <c r="G554" s="60" t="n"/>
      <c r="H554" s="71">
        <f>IF(OR($C554="",$D554=""),"",IF(ISNUMBER($E554),$E554,IF($O554="","",IF(N(INDEX('Menu Pricing'!$O$7:$O$56,$O554))&gt;0,INDEX('Menu Pricing'!$O$7:$O$56,$O554),""))))</f>
        <v/>
      </c>
      <c r="I554" s="71">
        <f>IF($N554&lt;&gt;"OK","",$D554*$H554)</f>
        <v/>
      </c>
      <c r="J554" s="71">
        <f>IF($N554&lt;&gt;"OK","",N(INDEX('Menu Pricing'!$F$7:$F$56,$O554))+N(INDEX('Menu Pricing'!$G$7:$G$56,$O554))+N(INDEX('Menu Pricing'!$J$7:$J$56,$O554)))</f>
        <v/>
      </c>
      <c r="K554" s="71">
        <f>IF($N554&lt;&gt;"OK","",$D554*$J554)</f>
        <v/>
      </c>
      <c r="L554" s="71">
        <f>IF($N554&lt;&gt;"OK","",$I554-$K554)</f>
        <v/>
      </c>
      <c r="M554" s="71">
        <f>IF($N554&lt;&gt;"OK","",$D554*N(INDEX('Menu Pricing'!$F$7:$F$56,$O554)))</f>
        <v/>
      </c>
      <c r="N554" s="80">
        <f>IF(AND($B554="",$C554="",$D554=""),"",IF(NOT(ISNUMBER($B554)),"Enter a valid date",IF($C554="","Pick a menu item",IF($O554="","Item not on Menu Pricing",IF(N($D554)&lt;=0,"Qty must be above 0",IF($H554="","No price on menu","OK"))))))</f>
        <v/>
      </c>
      <c r="O554" s="13">
        <f>IF($C554="","",IFERROR(MATCH($C554,'Menu Pricing'!$B$7:$B$56,0),""))</f>
        <v/>
      </c>
    </row>
    <row r="555" ht="17" customHeight="1">
      <c r="B555" s="66" t="n"/>
      <c r="C555" s="60" t="n"/>
      <c r="D555" s="86" t="n"/>
      <c r="E555" s="63" t="n"/>
      <c r="F555" s="60" t="n"/>
      <c r="G555" s="60" t="n"/>
      <c r="H555" s="71">
        <f>IF(OR($C555="",$D555=""),"",IF(ISNUMBER($E555),$E555,IF($O555="","",IF(N(INDEX('Menu Pricing'!$O$7:$O$56,$O555))&gt;0,INDEX('Menu Pricing'!$O$7:$O$56,$O555),""))))</f>
        <v/>
      </c>
      <c r="I555" s="71">
        <f>IF($N555&lt;&gt;"OK","",$D555*$H555)</f>
        <v/>
      </c>
      <c r="J555" s="71">
        <f>IF($N555&lt;&gt;"OK","",N(INDEX('Menu Pricing'!$F$7:$F$56,$O555))+N(INDEX('Menu Pricing'!$G$7:$G$56,$O555))+N(INDEX('Menu Pricing'!$J$7:$J$56,$O555)))</f>
        <v/>
      </c>
      <c r="K555" s="71">
        <f>IF($N555&lt;&gt;"OK","",$D555*$J555)</f>
        <v/>
      </c>
      <c r="L555" s="71">
        <f>IF($N555&lt;&gt;"OK","",$I555-$K555)</f>
        <v/>
      </c>
      <c r="M555" s="71">
        <f>IF($N555&lt;&gt;"OK","",$D555*N(INDEX('Menu Pricing'!$F$7:$F$56,$O555)))</f>
        <v/>
      </c>
      <c r="N555" s="80">
        <f>IF(AND($B555="",$C555="",$D555=""),"",IF(NOT(ISNUMBER($B555)),"Enter a valid date",IF($C555="","Pick a menu item",IF($O555="","Item not on Menu Pricing",IF(N($D555)&lt;=0,"Qty must be above 0",IF($H555="","No price on menu","OK"))))))</f>
        <v/>
      </c>
      <c r="O555" s="13">
        <f>IF($C555="","",IFERROR(MATCH($C555,'Menu Pricing'!$B$7:$B$56,0),""))</f>
        <v/>
      </c>
    </row>
    <row r="556" ht="17" customHeight="1">
      <c r="B556" s="66" t="n"/>
      <c r="C556" s="60" t="n"/>
      <c r="D556" s="86" t="n"/>
      <c r="E556" s="63" t="n"/>
      <c r="F556" s="60" t="n"/>
      <c r="G556" s="60" t="n"/>
      <c r="H556" s="71">
        <f>IF(OR($C556="",$D556=""),"",IF(ISNUMBER($E556),$E556,IF($O556="","",IF(N(INDEX('Menu Pricing'!$O$7:$O$56,$O556))&gt;0,INDEX('Menu Pricing'!$O$7:$O$56,$O556),""))))</f>
        <v/>
      </c>
      <c r="I556" s="71">
        <f>IF($N556&lt;&gt;"OK","",$D556*$H556)</f>
        <v/>
      </c>
      <c r="J556" s="71">
        <f>IF($N556&lt;&gt;"OK","",N(INDEX('Menu Pricing'!$F$7:$F$56,$O556))+N(INDEX('Menu Pricing'!$G$7:$G$56,$O556))+N(INDEX('Menu Pricing'!$J$7:$J$56,$O556)))</f>
        <v/>
      </c>
      <c r="K556" s="71">
        <f>IF($N556&lt;&gt;"OK","",$D556*$J556)</f>
        <v/>
      </c>
      <c r="L556" s="71">
        <f>IF($N556&lt;&gt;"OK","",$I556-$K556)</f>
        <v/>
      </c>
      <c r="M556" s="71">
        <f>IF($N556&lt;&gt;"OK","",$D556*N(INDEX('Menu Pricing'!$F$7:$F$56,$O556)))</f>
        <v/>
      </c>
      <c r="N556" s="80">
        <f>IF(AND($B556="",$C556="",$D556=""),"",IF(NOT(ISNUMBER($B556)),"Enter a valid date",IF($C556="","Pick a menu item",IF($O556="","Item not on Menu Pricing",IF(N($D556)&lt;=0,"Qty must be above 0",IF($H556="","No price on menu","OK"))))))</f>
        <v/>
      </c>
      <c r="O556" s="13">
        <f>IF($C556="","",IFERROR(MATCH($C556,'Menu Pricing'!$B$7:$B$56,0),""))</f>
        <v/>
      </c>
    </row>
    <row r="557" ht="17" customHeight="1">
      <c r="B557" s="66" t="n"/>
      <c r="C557" s="60" t="n"/>
      <c r="D557" s="86" t="n"/>
      <c r="E557" s="63" t="n"/>
      <c r="F557" s="60" t="n"/>
      <c r="G557" s="60" t="n"/>
      <c r="H557" s="71">
        <f>IF(OR($C557="",$D557=""),"",IF(ISNUMBER($E557),$E557,IF($O557="","",IF(N(INDEX('Menu Pricing'!$O$7:$O$56,$O557))&gt;0,INDEX('Menu Pricing'!$O$7:$O$56,$O557),""))))</f>
        <v/>
      </c>
      <c r="I557" s="71">
        <f>IF($N557&lt;&gt;"OK","",$D557*$H557)</f>
        <v/>
      </c>
      <c r="J557" s="71">
        <f>IF($N557&lt;&gt;"OK","",N(INDEX('Menu Pricing'!$F$7:$F$56,$O557))+N(INDEX('Menu Pricing'!$G$7:$G$56,$O557))+N(INDEX('Menu Pricing'!$J$7:$J$56,$O557)))</f>
        <v/>
      </c>
      <c r="K557" s="71">
        <f>IF($N557&lt;&gt;"OK","",$D557*$J557)</f>
        <v/>
      </c>
      <c r="L557" s="71">
        <f>IF($N557&lt;&gt;"OK","",$I557-$K557)</f>
        <v/>
      </c>
      <c r="M557" s="71">
        <f>IF($N557&lt;&gt;"OK","",$D557*N(INDEX('Menu Pricing'!$F$7:$F$56,$O557)))</f>
        <v/>
      </c>
      <c r="N557" s="80">
        <f>IF(AND($B557="",$C557="",$D557=""),"",IF(NOT(ISNUMBER($B557)),"Enter a valid date",IF($C557="","Pick a menu item",IF($O557="","Item not on Menu Pricing",IF(N($D557)&lt;=0,"Qty must be above 0",IF($H557="","No price on menu","OK"))))))</f>
        <v/>
      </c>
      <c r="O557" s="13">
        <f>IF($C557="","",IFERROR(MATCH($C557,'Menu Pricing'!$B$7:$B$56,0),""))</f>
        <v/>
      </c>
    </row>
    <row r="558" ht="17" customHeight="1">
      <c r="B558" s="66" t="n"/>
      <c r="C558" s="60" t="n"/>
      <c r="D558" s="86" t="n"/>
      <c r="E558" s="63" t="n"/>
      <c r="F558" s="60" t="n"/>
      <c r="G558" s="60" t="n"/>
      <c r="H558" s="71">
        <f>IF(OR($C558="",$D558=""),"",IF(ISNUMBER($E558),$E558,IF($O558="","",IF(N(INDEX('Menu Pricing'!$O$7:$O$56,$O558))&gt;0,INDEX('Menu Pricing'!$O$7:$O$56,$O558),""))))</f>
        <v/>
      </c>
      <c r="I558" s="71">
        <f>IF($N558&lt;&gt;"OK","",$D558*$H558)</f>
        <v/>
      </c>
      <c r="J558" s="71">
        <f>IF($N558&lt;&gt;"OK","",N(INDEX('Menu Pricing'!$F$7:$F$56,$O558))+N(INDEX('Menu Pricing'!$G$7:$G$56,$O558))+N(INDEX('Menu Pricing'!$J$7:$J$56,$O558)))</f>
        <v/>
      </c>
      <c r="K558" s="71">
        <f>IF($N558&lt;&gt;"OK","",$D558*$J558)</f>
        <v/>
      </c>
      <c r="L558" s="71">
        <f>IF($N558&lt;&gt;"OK","",$I558-$K558)</f>
        <v/>
      </c>
      <c r="M558" s="71">
        <f>IF($N558&lt;&gt;"OK","",$D558*N(INDEX('Menu Pricing'!$F$7:$F$56,$O558)))</f>
        <v/>
      </c>
      <c r="N558" s="80">
        <f>IF(AND($B558="",$C558="",$D558=""),"",IF(NOT(ISNUMBER($B558)),"Enter a valid date",IF($C558="","Pick a menu item",IF($O558="","Item not on Menu Pricing",IF(N($D558)&lt;=0,"Qty must be above 0",IF($H558="","No price on menu","OK"))))))</f>
        <v/>
      </c>
      <c r="O558" s="13">
        <f>IF($C558="","",IFERROR(MATCH($C558,'Menu Pricing'!$B$7:$B$56,0),""))</f>
        <v/>
      </c>
    </row>
    <row r="559" ht="17" customHeight="1">
      <c r="B559" s="66" t="n"/>
      <c r="C559" s="60" t="n"/>
      <c r="D559" s="86" t="n"/>
      <c r="E559" s="63" t="n"/>
      <c r="F559" s="60" t="n"/>
      <c r="G559" s="60" t="n"/>
      <c r="H559" s="71">
        <f>IF(OR($C559="",$D559=""),"",IF(ISNUMBER($E559),$E559,IF($O559="","",IF(N(INDEX('Menu Pricing'!$O$7:$O$56,$O559))&gt;0,INDEX('Menu Pricing'!$O$7:$O$56,$O559),""))))</f>
        <v/>
      </c>
      <c r="I559" s="71">
        <f>IF($N559&lt;&gt;"OK","",$D559*$H559)</f>
        <v/>
      </c>
      <c r="J559" s="71">
        <f>IF($N559&lt;&gt;"OK","",N(INDEX('Menu Pricing'!$F$7:$F$56,$O559))+N(INDEX('Menu Pricing'!$G$7:$G$56,$O559))+N(INDEX('Menu Pricing'!$J$7:$J$56,$O559)))</f>
        <v/>
      </c>
      <c r="K559" s="71">
        <f>IF($N559&lt;&gt;"OK","",$D559*$J559)</f>
        <v/>
      </c>
      <c r="L559" s="71">
        <f>IF($N559&lt;&gt;"OK","",$I559-$K559)</f>
        <v/>
      </c>
      <c r="M559" s="71">
        <f>IF($N559&lt;&gt;"OK","",$D559*N(INDEX('Menu Pricing'!$F$7:$F$56,$O559)))</f>
        <v/>
      </c>
      <c r="N559" s="80">
        <f>IF(AND($B559="",$C559="",$D559=""),"",IF(NOT(ISNUMBER($B559)),"Enter a valid date",IF($C559="","Pick a menu item",IF($O559="","Item not on Menu Pricing",IF(N($D559)&lt;=0,"Qty must be above 0",IF($H559="","No price on menu","OK"))))))</f>
        <v/>
      </c>
      <c r="O559" s="13">
        <f>IF($C559="","",IFERROR(MATCH($C559,'Menu Pricing'!$B$7:$B$56,0),""))</f>
        <v/>
      </c>
    </row>
    <row r="560" ht="17" customHeight="1">
      <c r="B560" s="66" t="n"/>
      <c r="C560" s="60" t="n"/>
      <c r="D560" s="86" t="n"/>
      <c r="E560" s="63" t="n"/>
      <c r="F560" s="60" t="n"/>
      <c r="G560" s="60" t="n"/>
      <c r="H560" s="71">
        <f>IF(OR($C560="",$D560=""),"",IF(ISNUMBER($E560),$E560,IF($O560="","",IF(N(INDEX('Menu Pricing'!$O$7:$O$56,$O560))&gt;0,INDEX('Menu Pricing'!$O$7:$O$56,$O560),""))))</f>
        <v/>
      </c>
      <c r="I560" s="71">
        <f>IF($N560&lt;&gt;"OK","",$D560*$H560)</f>
        <v/>
      </c>
      <c r="J560" s="71">
        <f>IF($N560&lt;&gt;"OK","",N(INDEX('Menu Pricing'!$F$7:$F$56,$O560))+N(INDEX('Menu Pricing'!$G$7:$G$56,$O560))+N(INDEX('Menu Pricing'!$J$7:$J$56,$O560)))</f>
        <v/>
      </c>
      <c r="K560" s="71">
        <f>IF($N560&lt;&gt;"OK","",$D560*$J560)</f>
        <v/>
      </c>
      <c r="L560" s="71">
        <f>IF($N560&lt;&gt;"OK","",$I560-$K560)</f>
        <v/>
      </c>
      <c r="M560" s="71">
        <f>IF($N560&lt;&gt;"OK","",$D560*N(INDEX('Menu Pricing'!$F$7:$F$56,$O560)))</f>
        <v/>
      </c>
      <c r="N560" s="80">
        <f>IF(AND($B560="",$C560="",$D560=""),"",IF(NOT(ISNUMBER($B560)),"Enter a valid date",IF($C560="","Pick a menu item",IF($O560="","Item not on Menu Pricing",IF(N($D560)&lt;=0,"Qty must be above 0",IF($H560="","No price on menu","OK"))))))</f>
        <v/>
      </c>
      <c r="O560" s="13">
        <f>IF($C560="","",IFERROR(MATCH($C560,'Menu Pricing'!$B$7:$B$56,0),""))</f>
        <v/>
      </c>
    </row>
    <row r="561" ht="17" customHeight="1">
      <c r="B561" s="66" t="n"/>
      <c r="C561" s="60" t="n"/>
      <c r="D561" s="86" t="n"/>
      <c r="E561" s="63" t="n"/>
      <c r="F561" s="60" t="n"/>
      <c r="G561" s="60" t="n"/>
      <c r="H561" s="71">
        <f>IF(OR($C561="",$D561=""),"",IF(ISNUMBER($E561),$E561,IF($O561="","",IF(N(INDEX('Menu Pricing'!$O$7:$O$56,$O561))&gt;0,INDEX('Menu Pricing'!$O$7:$O$56,$O561),""))))</f>
        <v/>
      </c>
      <c r="I561" s="71">
        <f>IF($N561&lt;&gt;"OK","",$D561*$H561)</f>
        <v/>
      </c>
      <c r="J561" s="71">
        <f>IF($N561&lt;&gt;"OK","",N(INDEX('Menu Pricing'!$F$7:$F$56,$O561))+N(INDEX('Menu Pricing'!$G$7:$G$56,$O561))+N(INDEX('Menu Pricing'!$J$7:$J$56,$O561)))</f>
        <v/>
      </c>
      <c r="K561" s="71">
        <f>IF($N561&lt;&gt;"OK","",$D561*$J561)</f>
        <v/>
      </c>
      <c r="L561" s="71">
        <f>IF($N561&lt;&gt;"OK","",$I561-$K561)</f>
        <v/>
      </c>
      <c r="M561" s="71">
        <f>IF($N561&lt;&gt;"OK","",$D561*N(INDEX('Menu Pricing'!$F$7:$F$56,$O561)))</f>
        <v/>
      </c>
      <c r="N561" s="80">
        <f>IF(AND($B561="",$C561="",$D561=""),"",IF(NOT(ISNUMBER($B561)),"Enter a valid date",IF($C561="","Pick a menu item",IF($O561="","Item not on Menu Pricing",IF(N($D561)&lt;=0,"Qty must be above 0",IF($H561="","No price on menu","OK"))))))</f>
        <v/>
      </c>
      <c r="O561" s="13">
        <f>IF($C561="","",IFERROR(MATCH($C561,'Menu Pricing'!$B$7:$B$56,0),""))</f>
        <v/>
      </c>
    </row>
    <row r="562" ht="17" customHeight="1">
      <c r="B562" s="66" t="n"/>
      <c r="C562" s="60" t="n"/>
      <c r="D562" s="86" t="n"/>
      <c r="E562" s="63" t="n"/>
      <c r="F562" s="60" t="n"/>
      <c r="G562" s="60" t="n"/>
      <c r="H562" s="71">
        <f>IF(OR($C562="",$D562=""),"",IF(ISNUMBER($E562),$E562,IF($O562="","",IF(N(INDEX('Menu Pricing'!$O$7:$O$56,$O562))&gt;0,INDEX('Menu Pricing'!$O$7:$O$56,$O562),""))))</f>
        <v/>
      </c>
      <c r="I562" s="71">
        <f>IF($N562&lt;&gt;"OK","",$D562*$H562)</f>
        <v/>
      </c>
      <c r="J562" s="71">
        <f>IF($N562&lt;&gt;"OK","",N(INDEX('Menu Pricing'!$F$7:$F$56,$O562))+N(INDEX('Menu Pricing'!$G$7:$G$56,$O562))+N(INDEX('Menu Pricing'!$J$7:$J$56,$O562)))</f>
        <v/>
      </c>
      <c r="K562" s="71">
        <f>IF($N562&lt;&gt;"OK","",$D562*$J562)</f>
        <v/>
      </c>
      <c r="L562" s="71">
        <f>IF($N562&lt;&gt;"OK","",$I562-$K562)</f>
        <v/>
      </c>
      <c r="M562" s="71">
        <f>IF($N562&lt;&gt;"OK","",$D562*N(INDEX('Menu Pricing'!$F$7:$F$56,$O562)))</f>
        <v/>
      </c>
      <c r="N562" s="80">
        <f>IF(AND($B562="",$C562="",$D562=""),"",IF(NOT(ISNUMBER($B562)),"Enter a valid date",IF($C562="","Pick a menu item",IF($O562="","Item not on Menu Pricing",IF(N($D562)&lt;=0,"Qty must be above 0",IF($H562="","No price on menu","OK"))))))</f>
        <v/>
      </c>
      <c r="O562" s="13">
        <f>IF($C562="","",IFERROR(MATCH($C562,'Menu Pricing'!$B$7:$B$56,0),""))</f>
        <v/>
      </c>
    </row>
    <row r="563" ht="17" customHeight="1">
      <c r="B563" s="66" t="n"/>
      <c r="C563" s="60" t="n"/>
      <c r="D563" s="86" t="n"/>
      <c r="E563" s="63" t="n"/>
      <c r="F563" s="60" t="n"/>
      <c r="G563" s="60" t="n"/>
      <c r="H563" s="71">
        <f>IF(OR($C563="",$D563=""),"",IF(ISNUMBER($E563),$E563,IF($O563="","",IF(N(INDEX('Menu Pricing'!$O$7:$O$56,$O563))&gt;0,INDEX('Menu Pricing'!$O$7:$O$56,$O563),""))))</f>
        <v/>
      </c>
      <c r="I563" s="71">
        <f>IF($N563&lt;&gt;"OK","",$D563*$H563)</f>
        <v/>
      </c>
      <c r="J563" s="71">
        <f>IF($N563&lt;&gt;"OK","",N(INDEX('Menu Pricing'!$F$7:$F$56,$O563))+N(INDEX('Menu Pricing'!$G$7:$G$56,$O563))+N(INDEX('Menu Pricing'!$J$7:$J$56,$O563)))</f>
        <v/>
      </c>
      <c r="K563" s="71">
        <f>IF($N563&lt;&gt;"OK","",$D563*$J563)</f>
        <v/>
      </c>
      <c r="L563" s="71">
        <f>IF($N563&lt;&gt;"OK","",$I563-$K563)</f>
        <v/>
      </c>
      <c r="M563" s="71">
        <f>IF($N563&lt;&gt;"OK","",$D563*N(INDEX('Menu Pricing'!$F$7:$F$56,$O563)))</f>
        <v/>
      </c>
      <c r="N563" s="80">
        <f>IF(AND($B563="",$C563="",$D563=""),"",IF(NOT(ISNUMBER($B563)),"Enter a valid date",IF($C563="","Pick a menu item",IF($O563="","Item not on Menu Pricing",IF(N($D563)&lt;=0,"Qty must be above 0",IF($H563="","No price on menu","OK"))))))</f>
        <v/>
      </c>
      <c r="O563" s="13">
        <f>IF($C563="","",IFERROR(MATCH($C563,'Menu Pricing'!$B$7:$B$56,0),""))</f>
        <v/>
      </c>
    </row>
    <row r="564" ht="17" customHeight="1">
      <c r="B564" s="66" t="n"/>
      <c r="C564" s="60" t="n"/>
      <c r="D564" s="86" t="n"/>
      <c r="E564" s="63" t="n"/>
      <c r="F564" s="60" t="n"/>
      <c r="G564" s="60" t="n"/>
      <c r="H564" s="71">
        <f>IF(OR($C564="",$D564=""),"",IF(ISNUMBER($E564),$E564,IF($O564="","",IF(N(INDEX('Menu Pricing'!$O$7:$O$56,$O564))&gt;0,INDEX('Menu Pricing'!$O$7:$O$56,$O564),""))))</f>
        <v/>
      </c>
      <c r="I564" s="71">
        <f>IF($N564&lt;&gt;"OK","",$D564*$H564)</f>
        <v/>
      </c>
      <c r="J564" s="71">
        <f>IF($N564&lt;&gt;"OK","",N(INDEX('Menu Pricing'!$F$7:$F$56,$O564))+N(INDEX('Menu Pricing'!$G$7:$G$56,$O564))+N(INDEX('Menu Pricing'!$J$7:$J$56,$O564)))</f>
        <v/>
      </c>
      <c r="K564" s="71">
        <f>IF($N564&lt;&gt;"OK","",$D564*$J564)</f>
        <v/>
      </c>
      <c r="L564" s="71">
        <f>IF($N564&lt;&gt;"OK","",$I564-$K564)</f>
        <v/>
      </c>
      <c r="M564" s="71">
        <f>IF($N564&lt;&gt;"OK","",$D564*N(INDEX('Menu Pricing'!$F$7:$F$56,$O564)))</f>
        <v/>
      </c>
      <c r="N564" s="80">
        <f>IF(AND($B564="",$C564="",$D564=""),"",IF(NOT(ISNUMBER($B564)),"Enter a valid date",IF($C564="","Pick a menu item",IF($O564="","Item not on Menu Pricing",IF(N($D564)&lt;=0,"Qty must be above 0",IF($H564="","No price on menu","OK"))))))</f>
        <v/>
      </c>
      <c r="O564" s="13">
        <f>IF($C564="","",IFERROR(MATCH($C564,'Menu Pricing'!$B$7:$B$56,0),""))</f>
        <v/>
      </c>
    </row>
    <row r="565" ht="17" customHeight="1">
      <c r="B565" s="66" t="n"/>
      <c r="C565" s="60" t="n"/>
      <c r="D565" s="86" t="n"/>
      <c r="E565" s="63" t="n"/>
      <c r="F565" s="60" t="n"/>
      <c r="G565" s="60" t="n"/>
      <c r="H565" s="71">
        <f>IF(OR($C565="",$D565=""),"",IF(ISNUMBER($E565),$E565,IF($O565="","",IF(N(INDEX('Menu Pricing'!$O$7:$O$56,$O565))&gt;0,INDEX('Menu Pricing'!$O$7:$O$56,$O565),""))))</f>
        <v/>
      </c>
      <c r="I565" s="71">
        <f>IF($N565&lt;&gt;"OK","",$D565*$H565)</f>
        <v/>
      </c>
      <c r="J565" s="71">
        <f>IF($N565&lt;&gt;"OK","",N(INDEX('Menu Pricing'!$F$7:$F$56,$O565))+N(INDEX('Menu Pricing'!$G$7:$G$56,$O565))+N(INDEX('Menu Pricing'!$J$7:$J$56,$O565)))</f>
        <v/>
      </c>
      <c r="K565" s="71">
        <f>IF($N565&lt;&gt;"OK","",$D565*$J565)</f>
        <v/>
      </c>
      <c r="L565" s="71">
        <f>IF($N565&lt;&gt;"OK","",$I565-$K565)</f>
        <v/>
      </c>
      <c r="M565" s="71">
        <f>IF($N565&lt;&gt;"OK","",$D565*N(INDEX('Menu Pricing'!$F$7:$F$56,$O565)))</f>
        <v/>
      </c>
      <c r="N565" s="80">
        <f>IF(AND($B565="",$C565="",$D565=""),"",IF(NOT(ISNUMBER($B565)),"Enter a valid date",IF($C565="","Pick a menu item",IF($O565="","Item not on Menu Pricing",IF(N($D565)&lt;=0,"Qty must be above 0",IF($H565="","No price on menu","OK"))))))</f>
        <v/>
      </c>
      <c r="O565" s="13">
        <f>IF($C565="","",IFERROR(MATCH($C565,'Menu Pricing'!$B$7:$B$56,0),""))</f>
        <v/>
      </c>
    </row>
    <row r="566" ht="17" customHeight="1">
      <c r="B566" s="66" t="n"/>
      <c r="C566" s="60" t="n"/>
      <c r="D566" s="86" t="n"/>
      <c r="E566" s="63" t="n"/>
      <c r="F566" s="60" t="n"/>
      <c r="G566" s="60" t="n"/>
      <c r="H566" s="71">
        <f>IF(OR($C566="",$D566=""),"",IF(ISNUMBER($E566),$E566,IF($O566="","",IF(N(INDEX('Menu Pricing'!$O$7:$O$56,$O566))&gt;0,INDEX('Menu Pricing'!$O$7:$O$56,$O566),""))))</f>
        <v/>
      </c>
      <c r="I566" s="71">
        <f>IF($N566&lt;&gt;"OK","",$D566*$H566)</f>
        <v/>
      </c>
      <c r="J566" s="71">
        <f>IF($N566&lt;&gt;"OK","",N(INDEX('Menu Pricing'!$F$7:$F$56,$O566))+N(INDEX('Menu Pricing'!$G$7:$G$56,$O566))+N(INDEX('Menu Pricing'!$J$7:$J$56,$O566)))</f>
        <v/>
      </c>
      <c r="K566" s="71">
        <f>IF($N566&lt;&gt;"OK","",$D566*$J566)</f>
        <v/>
      </c>
      <c r="L566" s="71">
        <f>IF($N566&lt;&gt;"OK","",$I566-$K566)</f>
        <v/>
      </c>
      <c r="M566" s="71">
        <f>IF($N566&lt;&gt;"OK","",$D566*N(INDEX('Menu Pricing'!$F$7:$F$56,$O566)))</f>
        <v/>
      </c>
      <c r="N566" s="80">
        <f>IF(AND($B566="",$C566="",$D566=""),"",IF(NOT(ISNUMBER($B566)),"Enter a valid date",IF($C566="","Pick a menu item",IF($O566="","Item not on Menu Pricing",IF(N($D566)&lt;=0,"Qty must be above 0",IF($H566="","No price on menu","OK"))))))</f>
        <v/>
      </c>
      <c r="O566" s="13">
        <f>IF($C566="","",IFERROR(MATCH($C566,'Menu Pricing'!$B$7:$B$56,0),""))</f>
        <v/>
      </c>
    </row>
    <row r="567" ht="17" customHeight="1">
      <c r="B567" s="66" t="n"/>
      <c r="C567" s="60" t="n"/>
      <c r="D567" s="86" t="n"/>
      <c r="E567" s="63" t="n"/>
      <c r="F567" s="60" t="n"/>
      <c r="G567" s="60" t="n"/>
      <c r="H567" s="71">
        <f>IF(OR($C567="",$D567=""),"",IF(ISNUMBER($E567),$E567,IF($O567="","",IF(N(INDEX('Menu Pricing'!$O$7:$O$56,$O567))&gt;0,INDEX('Menu Pricing'!$O$7:$O$56,$O567),""))))</f>
        <v/>
      </c>
      <c r="I567" s="71">
        <f>IF($N567&lt;&gt;"OK","",$D567*$H567)</f>
        <v/>
      </c>
      <c r="J567" s="71">
        <f>IF($N567&lt;&gt;"OK","",N(INDEX('Menu Pricing'!$F$7:$F$56,$O567))+N(INDEX('Menu Pricing'!$G$7:$G$56,$O567))+N(INDEX('Menu Pricing'!$J$7:$J$56,$O567)))</f>
        <v/>
      </c>
      <c r="K567" s="71">
        <f>IF($N567&lt;&gt;"OK","",$D567*$J567)</f>
        <v/>
      </c>
      <c r="L567" s="71">
        <f>IF($N567&lt;&gt;"OK","",$I567-$K567)</f>
        <v/>
      </c>
      <c r="M567" s="71">
        <f>IF($N567&lt;&gt;"OK","",$D567*N(INDEX('Menu Pricing'!$F$7:$F$56,$O567)))</f>
        <v/>
      </c>
      <c r="N567" s="80">
        <f>IF(AND($B567="",$C567="",$D567=""),"",IF(NOT(ISNUMBER($B567)),"Enter a valid date",IF($C567="","Pick a menu item",IF($O567="","Item not on Menu Pricing",IF(N($D567)&lt;=0,"Qty must be above 0",IF($H567="","No price on menu","OK"))))))</f>
        <v/>
      </c>
      <c r="O567" s="13">
        <f>IF($C567="","",IFERROR(MATCH($C567,'Menu Pricing'!$B$7:$B$56,0),""))</f>
        <v/>
      </c>
    </row>
    <row r="568" ht="17" customHeight="1">
      <c r="B568" s="66" t="n"/>
      <c r="C568" s="60" t="n"/>
      <c r="D568" s="86" t="n"/>
      <c r="E568" s="63" t="n"/>
      <c r="F568" s="60" t="n"/>
      <c r="G568" s="60" t="n"/>
      <c r="H568" s="71">
        <f>IF(OR($C568="",$D568=""),"",IF(ISNUMBER($E568),$E568,IF($O568="","",IF(N(INDEX('Menu Pricing'!$O$7:$O$56,$O568))&gt;0,INDEX('Menu Pricing'!$O$7:$O$56,$O568),""))))</f>
        <v/>
      </c>
      <c r="I568" s="71">
        <f>IF($N568&lt;&gt;"OK","",$D568*$H568)</f>
        <v/>
      </c>
      <c r="J568" s="71">
        <f>IF($N568&lt;&gt;"OK","",N(INDEX('Menu Pricing'!$F$7:$F$56,$O568))+N(INDEX('Menu Pricing'!$G$7:$G$56,$O568))+N(INDEX('Menu Pricing'!$J$7:$J$56,$O568)))</f>
        <v/>
      </c>
      <c r="K568" s="71">
        <f>IF($N568&lt;&gt;"OK","",$D568*$J568)</f>
        <v/>
      </c>
      <c r="L568" s="71">
        <f>IF($N568&lt;&gt;"OK","",$I568-$K568)</f>
        <v/>
      </c>
      <c r="M568" s="71">
        <f>IF($N568&lt;&gt;"OK","",$D568*N(INDEX('Menu Pricing'!$F$7:$F$56,$O568)))</f>
        <v/>
      </c>
      <c r="N568" s="80">
        <f>IF(AND($B568="",$C568="",$D568=""),"",IF(NOT(ISNUMBER($B568)),"Enter a valid date",IF($C568="","Pick a menu item",IF($O568="","Item not on Menu Pricing",IF(N($D568)&lt;=0,"Qty must be above 0",IF($H568="","No price on menu","OK"))))))</f>
        <v/>
      </c>
      <c r="O568" s="13">
        <f>IF($C568="","",IFERROR(MATCH($C568,'Menu Pricing'!$B$7:$B$56,0),""))</f>
        <v/>
      </c>
    </row>
    <row r="569" ht="17" customHeight="1">
      <c r="B569" s="66" t="n"/>
      <c r="C569" s="60" t="n"/>
      <c r="D569" s="86" t="n"/>
      <c r="E569" s="63" t="n"/>
      <c r="F569" s="60" t="n"/>
      <c r="G569" s="60" t="n"/>
      <c r="H569" s="71">
        <f>IF(OR($C569="",$D569=""),"",IF(ISNUMBER($E569),$E569,IF($O569="","",IF(N(INDEX('Menu Pricing'!$O$7:$O$56,$O569))&gt;0,INDEX('Menu Pricing'!$O$7:$O$56,$O569),""))))</f>
        <v/>
      </c>
      <c r="I569" s="71">
        <f>IF($N569&lt;&gt;"OK","",$D569*$H569)</f>
        <v/>
      </c>
      <c r="J569" s="71">
        <f>IF($N569&lt;&gt;"OK","",N(INDEX('Menu Pricing'!$F$7:$F$56,$O569))+N(INDEX('Menu Pricing'!$G$7:$G$56,$O569))+N(INDEX('Menu Pricing'!$J$7:$J$56,$O569)))</f>
        <v/>
      </c>
      <c r="K569" s="71">
        <f>IF($N569&lt;&gt;"OK","",$D569*$J569)</f>
        <v/>
      </c>
      <c r="L569" s="71">
        <f>IF($N569&lt;&gt;"OK","",$I569-$K569)</f>
        <v/>
      </c>
      <c r="M569" s="71">
        <f>IF($N569&lt;&gt;"OK","",$D569*N(INDEX('Menu Pricing'!$F$7:$F$56,$O569)))</f>
        <v/>
      </c>
      <c r="N569" s="80">
        <f>IF(AND($B569="",$C569="",$D569=""),"",IF(NOT(ISNUMBER($B569)),"Enter a valid date",IF($C569="","Pick a menu item",IF($O569="","Item not on Menu Pricing",IF(N($D569)&lt;=0,"Qty must be above 0",IF($H569="","No price on menu","OK"))))))</f>
        <v/>
      </c>
      <c r="O569" s="13">
        <f>IF($C569="","",IFERROR(MATCH($C569,'Menu Pricing'!$B$7:$B$56,0),""))</f>
        <v/>
      </c>
    </row>
    <row r="570" ht="17" customHeight="1">
      <c r="B570" s="66" t="n"/>
      <c r="C570" s="60" t="n"/>
      <c r="D570" s="86" t="n"/>
      <c r="E570" s="63" t="n"/>
      <c r="F570" s="60" t="n"/>
      <c r="G570" s="60" t="n"/>
      <c r="H570" s="71">
        <f>IF(OR($C570="",$D570=""),"",IF(ISNUMBER($E570),$E570,IF($O570="","",IF(N(INDEX('Menu Pricing'!$O$7:$O$56,$O570))&gt;0,INDEX('Menu Pricing'!$O$7:$O$56,$O570),""))))</f>
        <v/>
      </c>
      <c r="I570" s="71">
        <f>IF($N570&lt;&gt;"OK","",$D570*$H570)</f>
        <v/>
      </c>
      <c r="J570" s="71">
        <f>IF($N570&lt;&gt;"OK","",N(INDEX('Menu Pricing'!$F$7:$F$56,$O570))+N(INDEX('Menu Pricing'!$G$7:$G$56,$O570))+N(INDEX('Menu Pricing'!$J$7:$J$56,$O570)))</f>
        <v/>
      </c>
      <c r="K570" s="71">
        <f>IF($N570&lt;&gt;"OK","",$D570*$J570)</f>
        <v/>
      </c>
      <c r="L570" s="71">
        <f>IF($N570&lt;&gt;"OK","",$I570-$K570)</f>
        <v/>
      </c>
      <c r="M570" s="71">
        <f>IF($N570&lt;&gt;"OK","",$D570*N(INDEX('Menu Pricing'!$F$7:$F$56,$O570)))</f>
        <v/>
      </c>
      <c r="N570" s="80">
        <f>IF(AND($B570="",$C570="",$D570=""),"",IF(NOT(ISNUMBER($B570)),"Enter a valid date",IF($C570="","Pick a menu item",IF($O570="","Item not on Menu Pricing",IF(N($D570)&lt;=0,"Qty must be above 0",IF($H570="","No price on menu","OK"))))))</f>
        <v/>
      </c>
      <c r="O570" s="13">
        <f>IF($C570="","",IFERROR(MATCH($C570,'Menu Pricing'!$B$7:$B$56,0),""))</f>
        <v/>
      </c>
    </row>
    <row r="571" ht="17" customHeight="1">
      <c r="B571" s="66" t="n"/>
      <c r="C571" s="60" t="n"/>
      <c r="D571" s="86" t="n"/>
      <c r="E571" s="63" t="n"/>
      <c r="F571" s="60" t="n"/>
      <c r="G571" s="60" t="n"/>
      <c r="H571" s="71">
        <f>IF(OR($C571="",$D571=""),"",IF(ISNUMBER($E571),$E571,IF($O571="","",IF(N(INDEX('Menu Pricing'!$O$7:$O$56,$O571))&gt;0,INDEX('Menu Pricing'!$O$7:$O$56,$O571),""))))</f>
        <v/>
      </c>
      <c r="I571" s="71">
        <f>IF($N571&lt;&gt;"OK","",$D571*$H571)</f>
        <v/>
      </c>
      <c r="J571" s="71">
        <f>IF($N571&lt;&gt;"OK","",N(INDEX('Menu Pricing'!$F$7:$F$56,$O571))+N(INDEX('Menu Pricing'!$G$7:$G$56,$O571))+N(INDEX('Menu Pricing'!$J$7:$J$56,$O571)))</f>
        <v/>
      </c>
      <c r="K571" s="71">
        <f>IF($N571&lt;&gt;"OK","",$D571*$J571)</f>
        <v/>
      </c>
      <c r="L571" s="71">
        <f>IF($N571&lt;&gt;"OK","",$I571-$K571)</f>
        <v/>
      </c>
      <c r="M571" s="71">
        <f>IF($N571&lt;&gt;"OK","",$D571*N(INDEX('Menu Pricing'!$F$7:$F$56,$O571)))</f>
        <v/>
      </c>
      <c r="N571" s="80">
        <f>IF(AND($B571="",$C571="",$D571=""),"",IF(NOT(ISNUMBER($B571)),"Enter a valid date",IF($C571="","Pick a menu item",IF($O571="","Item not on Menu Pricing",IF(N($D571)&lt;=0,"Qty must be above 0",IF($H571="","No price on menu","OK"))))))</f>
        <v/>
      </c>
      <c r="O571" s="13">
        <f>IF($C571="","",IFERROR(MATCH($C571,'Menu Pricing'!$B$7:$B$56,0),""))</f>
        <v/>
      </c>
    </row>
    <row r="572" ht="17" customHeight="1">
      <c r="B572" s="66" t="n"/>
      <c r="C572" s="60" t="n"/>
      <c r="D572" s="86" t="n"/>
      <c r="E572" s="63" t="n"/>
      <c r="F572" s="60" t="n"/>
      <c r="G572" s="60" t="n"/>
      <c r="H572" s="71">
        <f>IF(OR($C572="",$D572=""),"",IF(ISNUMBER($E572),$E572,IF($O572="","",IF(N(INDEX('Menu Pricing'!$O$7:$O$56,$O572))&gt;0,INDEX('Menu Pricing'!$O$7:$O$56,$O572),""))))</f>
        <v/>
      </c>
      <c r="I572" s="71">
        <f>IF($N572&lt;&gt;"OK","",$D572*$H572)</f>
        <v/>
      </c>
      <c r="J572" s="71">
        <f>IF($N572&lt;&gt;"OK","",N(INDEX('Menu Pricing'!$F$7:$F$56,$O572))+N(INDEX('Menu Pricing'!$G$7:$G$56,$O572))+N(INDEX('Menu Pricing'!$J$7:$J$56,$O572)))</f>
        <v/>
      </c>
      <c r="K572" s="71">
        <f>IF($N572&lt;&gt;"OK","",$D572*$J572)</f>
        <v/>
      </c>
      <c r="L572" s="71">
        <f>IF($N572&lt;&gt;"OK","",$I572-$K572)</f>
        <v/>
      </c>
      <c r="M572" s="71">
        <f>IF($N572&lt;&gt;"OK","",$D572*N(INDEX('Menu Pricing'!$F$7:$F$56,$O572)))</f>
        <v/>
      </c>
      <c r="N572" s="80">
        <f>IF(AND($B572="",$C572="",$D572=""),"",IF(NOT(ISNUMBER($B572)),"Enter a valid date",IF($C572="","Pick a menu item",IF($O572="","Item not on Menu Pricing",IF(N($D572)&lt;=0,"Qty must be above 0",IF($H572="","No price on menu","OK"))))))</f>
        <v/>
      </c>
      <c r="O572" s="13">
        <f>IF($C572="","",IFERROR(MATCH($C572,'Menu Pricing'!$B$7:$B$56,0),""))</f>
        <v/>
      </c>
    </row>
    <row r="573" ht="17" customHeight="1">
      <c r="B573" s="66" t="n"/>
      <c r="C573" s="60" t="n"/>
      <c r="D573" s="86" t="n"/>
      <c r="E573" s="63" t="n"/>
      <c r="F573" s="60" t="n"/>
      <c r="G573" s="60" t="n"/>
      <c r="H573" s="71">
        <f>IF(OR($C573="",$D573=""),"",IF(ISNUMBER($E573),$E573,IF($O573="","",IF(N(INDEX('Menu Pricing'!$O$7:$O$56,$O573))&gt;0,INDEX('Menu Pricing'!$O$7:$O$56,$O573),""))))</f>
        <v/>
      </c>
      <c r="I573" s="71">
        <f>IF($N573&lt;&gt;"OK","",$D573*$H573)</f>
        <v/>
      </c>
      <c r="J573" s="71">
        <f>IF($N573&lt;&gt;"OK","",N(INDEX('Menu Pricing'!$F$7:$F$56,$O573))+N(INDEX('Menu Pricing'!$G$7:$G$56,$O573))+N(INDEX('Menu Pricing'!$J$7:$J$56,$O573)))</f>
        <v/>
      </c>
      <c r="K573" s="71">
        <f>IF($N573&lt;&gt;"OK","",$D573*$J573)</f>
        <v/>
      </c>
      <c r="L573" s="71">
        <f>IF($N573&lt;&gt;"OK","",$I573-$K573)</f>
        <v/>
      </c>
      <c r="M573" s="71">
        <f>IF($N573&lt;&gt;"OK","",$D573*N(INDEX('Menu Pricing'!$F$7:$F$56,$O573)))</f>
        <v/>
      </c>
      <c r="N573" s="80">
        <f>IF(AND($B573="",$C573="",$D573=""),"",IF(NOT(ISNUMBER($B573)),"Enter a valid date",IF($C573="","Pick a menu item",IF($O573="","Item not on Menu Pricing",IF(N($D573)&lt;=0,"Qty must be above 0",IF($H573="","No price on menu","OK"))))))</f>
        <v/>
      </c>
      <c r="O573" s="13">
        <f>IF($C573="","",IFERROR(MATCH($C573,'Menu Pricing'!$B$7:$B$56,0),""))</f>
        <v/>
      </c>
    </row>
    <row r="574" ht="17" customHeight="1">
      <c r="B574" s="66" t="n"/>
      <c r="C574" s="60" t="n"/>
      <c r="D574" s="86" t="n"/>
      <c r="E574" s="63" t="n"/>
      <c r="F574" s="60" t="n"/>
      <c r="G574" s="60" t="n"/>
      <c r="H574" s="71">
        <f>IF(OR($C574="",$D574=""),"",IF(ISNUMBER($E574),$E574,IF($O574="","",IF(N(INDEX('Menu Pricing'!$O$7:$O$56,$O574))&gt;0,INDEX('Menu Pricing'!$O$7:$O$56,$O574),""))))</f>
        <v/>
      </c>
      <c r="I574" s="71">
        <f>IF($N574&lt;&gt;"OK","",$D574*$H574)</f>
        <v/>
      </c>
      <c r="J574" s="71">
        <f>IF($N574&lt;&gt;"OK","",N(INDEX('Menu Pricing'!$F$7:$F$56,$O574))+N(INDEX('Menu Pricing'!$G$7:$G$56,$O574))+N(INDEX('Menu Pricing'!$J$7:$J$56,$O574)))</f>
        <v/>
      </c>
      <c r="K574" s="71">
        <f>IF($N574&lt;&gt;"OK","",$D574*$J574)</f>
        <v/>
      </c>
      <c r="L574" s="71">
        <f>IF($N574&lt;&gt;"OK","",$I574-$K574)</f>
        <v/>
      </c>
      <c r="M574" s="71">
        <f>IF($N574&lt;&gt;"OK","",$D574*N(INDEX('Menu Pricing'!$F$7:$F$56,$O574)))</f>
        <v/>
      </c>
      <c r="N574" s="80">
        <f>IF(AND($B574="",$C574="",$D574=""),"",IF(NOT(ISNUMBER($B574)),"Enter a valid date",IF($C574="","Pick a menu item",IF($O574="","Item not on Menu Pricing",IF(N($D574)&lt;=0,"Qty must be above 0",IF($H574="","No price on menu","OK"))))))</f>
        <v/>
      </c>
      <c r="O574" s="13">
        <f>IF($C574="","",IFERROR(MATCH($C574,'Menu Pricing'!$B$7:$B$56,0),""))</f>
        <v/>
      </c>
    </row>
    <row r="575" ht="17" customHeight="1">
      <c r="B575" s="66" t="n"/>
      <c r="C575" s="60" t="n"/>
      <c r="D575" s="86" t="n"/>
      <c r="E575" s="63" t="n"/>
      <c r="F575" s="60" t="n"/>
      <c r="G575" s="60" t="n"/>
      <c r="H575" s="71">
        <f>IF(OR($C575="",$D575=""),"",IF(ISNUMBER($E575),$E575,IF($O575="","",IF(N(INDEX('Menu Pricing'!$O$7:$O$56,$O575))&gt;0,INDEX('Menu Pricing'!$O$7:$O$56,$O575),""))))</f>
        <v/>
      </c>
      <c r="I575" s="71">
        <f>IF($N575&lt;&gt;"OK","",$D575*$H575)</f>
        <v/>
      </c>
      <c r="J575" s="71">
        <f>IF($N575&lt;&gt;"OK","",N(INDEX('Menu Pricing'!$F$7:$F$56,$O575))+N(INDEX('Menu Pricing'!$G$7:$G$56,$O575))+N(INDEX('Menu Pricing'!$J$7:$J$56,$O575)))</f>
        <v/>
      </c>
      <c r="K575" s="71">
        <f>IF($N575&lt;&gt;"OK","",$D575*$J575)</f>
        <v/>
      </c>
      <c r="L575" s="71">
        <f>IF($N575&lt;&gt;"OK","",$I575-$K575)</f>
        <v/>
      </c>
      <c r="M575" s="71">
        <f>IF($N575&lt;&gt;"OK","",$D575*N(INDEX('Menu Pricing'!$F$7:$F$56,$O575)))</f>
        <v/>
      </c>
      <c r="N575" s="80">
        <f>IF(AND($B575="",$C575="",$D575=""),"",IF(NOT(ISNUMBER($B575)),"Enter a valid date",IF($C575="","Pick a menu item",IF($O575="","Item not on Menu Pricing",IF(N($D575)&lt;=0,"Qty must be above 0",IF($H575="","No price on menu","OK"))))))</f>
        <v/>
      </c>
      <c r="O575" s="13">
        <f>IF($C575="","",IFERROR(MATCH($C575,'Menu Pricing'!$B$7:$B$56,0),""))</f>
        <v/>
      </c>
    </row>
    <row r="576" ht="17" customHeight="1">
      <c r="B576" s="66" t="n"/>
      <c r="C576" s="60" t="n"/>
      <c r="D576" s="86" t="n"/>
      <c r="E576" s="63" t="n"/>
      <c r="F576" s="60" t="n"/>
      <c r="G576" s="60" t="n"/>
      <c r="H576" s="71">
        <f>IF(OR($C576="",$D576=""),"",IF(ISNUMBER($E576),$E576,IF($O576="","",IF(N(INDEX('Menu Pricing'!$O$7:$O$56,$O576))&gt;0,INDEX('Menu Pricing'!$O$7:$O$56,$O576),""))))</f>
        <v/>
      </c>
      <c r="I576" s="71">
        <f>IF($N576&lt;&gt;"OK","",$D576*$H576)</f>
        <v/>
      </c>
      <c r="J576" s="71">
        <f>IF($N576&lt;&gt;"OK","",N(INDEX('Menu Pricing'!$F$7:$F$56,$O576))+N(INDEX('Menu Pricing'!$G$7:$G$56,$O576))+N(INDEX('Menu Pricing'!$J$7:$J$56,$O576)))</f>
        <v/>
      </c>
      <c r="K576" s="71">
        <f>IF($N576&lt;&gt;"OK","",$D576*$J576)</f>
        <v/>
      </c>
      <c r="L576" s="71">
        <f>IF($N576&lt;&gt;"OK","",$I576-$K576)</f>
        <v/>
      </c>
      <c r="M576" s="71">
        <f>IF($N576&lt;&gt;"OK","",$D576*N(INDEX('Menu Pricing'!$F$7:$F$56,$O576)))</f>
        <v/>
      </c>
      <c r="N576" s="80">
        <f>IF(AND($B576="",$C576="",$D576=""),"",IF(NOT(ISNUMBER($B576)),"Enter a valid date",IF($C576="","Pick a menu item",IF($O576="","Item not on Menu Pricing",IF(N($D576)&lt;=0,"Qty must be above 0",IF($H576="","No price on menu","OK"))))))</f>
        <v/>
      </c>
      <c r="O576" s="13">
        <f>IF($C576="","",IFERROR(MATCH($C576,'Menu Pricing'!$B$7:$B$56,0),""))</f>
        <v/>
      </c>
    </row>
    <row r="577" ht="17" customHeight="1">
      <c r="B577" s="66" t="n"/>
      <c r="C577" s="60" t="n"/>
      <c r="D577" s="86" t="n"/>
      <c r="E577" s="63" t="n"/>
      <c r="F577" s="60" t="n"/>
      <c r="G577" s="60" t="n"/>
      <c r="H577" s="71">
        <f>IF(OR($C577="",$D577=""),"",IF(ISNUMBER($E577),$E577,IF($O577="","",IF(N(INDEX('Menu Pricing'!$O$7:$O$56,$O577))&gt;0,INDEX('Menu Pricing'!$O$7:$O$56,$O577),""))))</f>
        <v/>
      </c>
      <c r="I577" s="71">
        <f>IF($N577&lt;&gt;"OK","",$D577*$H577)</f>
        <v/>
      </c>
      <c r="J577" s="71">
        <f>IF($N577&lt;&gt;"OK","",N(INDEX('Menu Pricing'!$F$7:$F$56,$O577))+N(INDEX('Menu Pricing'!$G$7:$G$56,$O577))+N(INDEX('Menu Pricing'!$J$7:$J$56,$O577)))</f>
        <v/>
      </c>
      <c r="K577" s="71">
        <f>IF($N577&lt;&gt;"OK","",$D577*$J577)</f>
        <v/>
      </c>
      <c r="L577" s="71">
        <f>IF($N577&lt;&gt;"OK","",$I577-$K577)</f>
        <v/>
      </c>
      <c r="M577" s="71">
        <f>IF($N577&lt;&gt;"OK","",$D577*N(INDEX('Menu Pricing'!$F$7:$F$56,$O577)))</f>
        <v/>
      </c>
      <c r="N577" s="80">
        <f>IF(AND($B577="",$C577="",$D577=""),"",IF(NOT(ISNUMBER($B577)),"Enter a valid date",IF($C577="","Pick a menu item",IF($O577="","Item not on Menu Pricing",IF(N($D577)&lt;=0,"Qty must be above 0",IF($H577="","No price on menu","OK"))))))</f>
        <v/>
      </c>
      <c r="O577" s="13">
        <f>IF($C577="","",IFERROR(MATCH($C577,'Menu Pricing'!$B$7:$B$56,0),""))</f>
        <v/>
      </c>
    </row>
    <row r="578" ht="17" customHeight="1">
      <c r="B578" s="66" t="n"/>
      <c r="C578" s="60" t="n"/>
      <c r="D578" s="86" t="n"/>
      <c r="E578" s="63" t="n"/>
      <c r="F578" s="60" t="n"/>
      <c r="G578" s="60" t="n"/>
      <c r="H578" s="71">
        <f>IF(OR($C578="",$D578=""),"",IF(ISNUMBER($E578),$E578,IF($O578="","",IF(N(INDEX('Menu Pricing'!$O$7:$O$56,$O578))&gt;0,INDEX('Menu Pricing'!$O$7:$O$56,$O578),""))))</f>
        <v/>
      </c>
      <c r="I578" s="71">
        <f>IF($N578&lt;&gt;"OK","",$D578*$H578)</f>
        <v/>
      </c>
      <c r="J578" s="71">
        <f>IF($N578&lt;&gt;"OK","",N(INDEX('Menu Pricing'!$F$7:$F$56,$O578))+N(INDEX('Menu Pricing'!$G$7:$G$56,$O578))+N(INDEX('Menu Pricing'!$J$7:$J$56,$O578)))</f>
        <v/>
      </c>
      <c r="K578" s="71">
        <f>IF($N578&lt;&gt;"OK","",$D578*$J578)</f>
        <v/>
      </c>
      <c r="L578" s="71">
        <f>IF($N578&lt;&gt;"OK","",$I578-$K578)</f>
        <v/>
      </c>
      <c r="M578" s="71">
        <f>IF($N578&lt;&gt;"OK","",$D578*N(INDEX('Menu Pricing'!$F$7:$F$56,$O578)))</f>
        <v/>
      </c>
      <c r="N578" s="80">
        <f>IF(AND($B578="",$C578="",$D578=""),"",IF(NOT(ISNUMBER($B578)),"Enter a valid date",IF($C578="","Pick a menu item",IF($O578="","Item not on Menu Pricing",IF(N($D578)&lt;=0,"Qty must be above 0",IF($H578="","No price on menu","OK"))))))</f>
        <v/>
      </c>
      <c r="O578" s="13">
        <f>IF($C578="","",IFERROR(MATCH($C578,'Menu Pricing'!$B$7:$B$56,0),""))</f>
        <v/>
      </c>
    </row>
    <row r="579" ht="17" customHeight="1">
      <c r="B579" s="66" t="n"/>
      <c r="C579" s="60" t="n"/>
      <c r="D579" s="86" t="n"/>
      <c r="E579" s="63" t="n"/>
      <c r="F579" s="60" t="n"/>
      <c r="G579" s="60" t="n"/>
      <c r="H579" s="71">
        <f>IF(OR($C579="",$D579=""),"",IF(ISNUMBER($E579),$E579,IF($O579="","",IF(N(INDEX('Menu Pricing'!$O$7:$O$56,$O579))&gt;0,INDEX('Menu Pricing'!$O$7:$O$56,$O579),""))))</f>
        <v/>
      </c>
      <c r="I579" s="71">
        <f>IF($N579&lt;&gt;"OK","",$D579*$H579)</f>
        <v/>
      </c>
      <c r="J579" s="71">
        <f>IF($N579&lt;&gt;"OK","",N(INDEX('Menu Pricing'!$F$7:$F$56,$O579))+N(INDEX('Menu Pricing'!$G$7:$G$56,$O579))+N(INDEX('Menu Pricing'!$J$7:$J$56,$O579)))</f>
        <v/>
      </c>
      <c r="K579" s="71">
        <f>IF($N579&lt;&gt;"OK","",$D579*$J579)</f>
        <v/>
      </c>
      <c r="L579" s="71">
        <f>IF($N579&lt;&gt;"OK","",$I579-$K579)</f>
        <v/>
      </c>
      <c r="M579" s="71">
        <f>IF($N579&lt;&gt;"OK","",$D579*N(INDEX('Menu Pricing'!$F$7:$F$56,$O579)))</f>
        <v/>
      </c>
      <c r="N579" s="80">
        <f>IF(AND($B579="",$C579="",$D579=""),"",IF(NOT(ISNUMBER($B579)),"Enter a valid date",IF($C579="","Pick a menu item",IF($O579="","Item not on Menu Pricing",IF(N($D579)&lt;=0,"Qty must be above 0",IF($H579="","No price on menu","OK"))))))</f>
        <v/>
      </c>
      <c r="O579" s="13">
        <f>IF($C579="","",IFERROR(MATCH($C579,'Menu Pricing'!$B$7:$B$56,0),""))</f>
        <v/>
      </c>
    </row>
    <row r="580" ht="17" customHeight="1">
      <c r="B580" s="66" t="n"/>
      <c r="C580" s="60" t="n"/>
      <c r="D580" s="86" t="n"/>
      <c r="E580" s="63" t="n"/>
      <c r="F580" s="60" t="n"/>
      <c r="G580" s="60" t="n"/>
      <c r="H580" s="71">
        <f>IF(OR($C580="",$D580=""),"",IF(ISNUMBER($E580),$E580,IF($O580="","",IF(N(INDEX('Menu Pricing'!$O$7:$O$56,$O580))&gt;0,INDEX('Menu Pricing'!$O$7:$O$56,$O580),""))))</f>
        <v/>
      </c>
      <c r="I580" s="71">
        <f>IF($N580&lt;&gt;"OK","",$D580*$H580)</f>
        <v/>
      </c>
      <c r="J580" s="71">
        <f>IF($N580&lt;&gt;"OK","",N(INDEX('Menu Pricing'!$F$7:$F$56,$O580))+N(INDEX('Menu Pricing'!$G$7:$G$56,$O580))+N(INDEX('Menu Pricing'!$J$7:$J$56,$O580)))</f>
        <v/>
      </c>
      <c r="K580" s="71">
        <f>IF($N580&lt;&gt;"OK","",$D580*$J580)</f>
        <v/>
      </c>
      <c r="L580" s="71">
        <f>IF($N580&lt;&gt;"OK","",$I580-$K580)</f>
        <v/>
      </c>
      <c r="M580" s="71">
        <f>IF($N580&lt;&gt;"OK","",$D580*N(INDEX('Menu Pricing'!$F$7:$F$56,$O580)))</f>
        <v/>
      </c>
      <c r="N580" s="80">
        <f>IF(AND($B580="",$C580="",$D580=""),"",IF(NOT(ISNUMBER($B580)),"Enter a valid date",IF($C580="","Pick a menu item",IF($O580="","Item not on Menu Pricing",IF(N($D580)&lt;=0,"Qty must be above 0",IF($H580="","No price on menu","OK"))))))</f>
        <v/>
      </c>
      <c r="O580" s="13">
        <f>IF($C580="","",IFERROR(MATCH($C580,'Menu Pricing'!$B$7:$B$56,0),""))</f>
        <v/>
      </c>
    </row>
    <row r="581" ht="17" customHeight="1">
      <c r="B581" s="66" t="n"/>
      <c r="C581" s="60" t="n"/>
      <c r="D581" s="86" t="n"/>
      <c r="E581" s="63" t="n"/>
      <c r="F581" s="60" t="n"/>
      <c r="G581" s="60" t="n"/>
      <c r="H581" s="71">
        <f>IF(OR($C581="",$D581=""),"",IF(ISNUMBER($E581),$E581,IF($O581="","",IF(N(INDEX('Menu Pricing'!$O$7:$O$56,$O581))&gt;0,INDEX('Menu Pricing'!$O$7:$O$56,$O581),""))))</f>
        <v/>
      </c>
      <c r="I581" s="71">
        <f>IF($N581&lt;&gt;"OK","",$D581*$H581)</f>
        <v/>
      </c>
      <c r="J581" s="71">
        <f>IF($N581&lt;&gt;"OK","",N(INDEX('Menu Pricing'!$F$7:$F$56,$O581))+N(INDEX('Menu Pricing'!$G$7:$G$56,$O581))+N(INDEX('Menu Pricing'!$J$7:$J$56,$O581)))</f>
        <v/>
      </c>
      <c r="K581" s="71">
        <f>IF($N581&lt;&gt;"OK","",$D581*$J581)</f>
        <v/>
      </c>
      <c r="L581" s="71">
        <f>IF($N581&lt;&gt;"OK","",$I581-$K581)</f>
        <v/>
      </c>
      <c r="M581" s="71">
        <f>IF($N581&lt;&gt;"OK","",$D581*N(INDEX('Menu Pricing'!$F$7:$F$56,$O581)))</f>
        <v/>
      </c>
      <c r="N581" s="80">
        <f>IF(AND($B581="",$C581="",$D581=""),"",IF(NOT(ISNUMBER($B581)),"Enter a valid date",IF($C581="","Pick a menu item",IF($O581="","Item not on Menu Pricing",IF(N($D581)&lt;=0,"Qty must be above 0",IF($H581="","No price on menu","OK"))))))</f>
        <v/>
      </c>
      <c r="O581" s="13">
        <f>IF($C581="","",IFERROR(MATCH($C581,'Menu Pricing'!$B$7:$B$56,0),""))</f>
        <v/>
      </c>
    </row>
    <row r="582" ht="17" customHeight="1">
      <c r="B582" s="66" t="n"/>
      <c r="C582" s="60" t="n"/>
      <c r="D582" s="86" t="n"/>
      <c r="E582" s="63" t="n"/>
      <c r="F582" s="60" t="n"/>
      <c r="G582" s="60" t="n"/>
      <c r="H582" s="71">
        <f>IF(OR($C582="",$D582=""),"",IF(ISNUMBER($E582),$E582,IF($O582="","",IF(N(INDEX('Menu Pricing'!$O$7:$O$56,$O582))&gt;0,INDEX('Menu Pricing'!$O$7:$O$56,$O582),""))))</f>
        <v/>
      </c>
      <c r="I582" s="71">
        <f>IF($N582&lt;&gt;"OK","",$D582*$H582)</f>
        <v/>
      </c>
      <c r="J582" s="71">
        <f>IF($N582&lt;&gt;"OK","",N(INDEX('Menu Pricing'!$F$7:$F$56,$O582))+N(INDEX('Menu Pricing'!$G$7:$G$56,$O582))+N(INDEX('Menu Pricing'!$J$7:$J$56,$O582)))</f>
        <v/>
      </c>
      <c r="K582" s="71">
        <f>IF($N582&lt;&gt;"OK","",$D582*$J582)</f>
        <v/>
      </c>
      <c r="L582" s="71">
        <f>IF($N582&lt;&gt;"OK","",$I582-$K582)</f>
        <v/>
      </c>
      <c r="M582" s="71">
        <f>IF($N582&lt;&gt;"OK","",$D582*N(INDEX('Menu Pricing'!$F$7:$F$56,$O582)))</f>
        <v/>
      </c>
      <c r="N582" s="80">
        <f>IF(AND($B582="",$C582="",$D582=""),"",IF(NOT(ISNUMBER($B582)),"Enter a valid date",IF($C582="","Pick a menu item",IF($O582="","Item not on Menu Pricing",IF(N($D582)&lt;=0,"Qty must be above 0",IF($H582="","No price on menu","OK"))))))</f>
        <v/>
      </c>
      <c r="O582" s="13">
        <f>IF($C582="","",IFERROR(MATCH($C582,'Menu Pricing'!$B$7:$B$56,0),""))</f>
        <v/>
      </c>
    </row>
    <row r="583" ht="17" customHeight="1">
      <c r="B583" s="66" t="n"/>
      <c r="C583" s="60" t="n"/>
      <c r="D583" s="86" t="n"/>
      <c r="E583" s="63" t="n"/>
      <c r="F583" s="60" t="n"/>
      <c r="G583" s="60" t="n"/>
      <c r="H583" s="71">
        <f>IF(OR($C583="",$D583=""),"",IF(ISNUMBER($E583),$E583,IF($O583="","",IF(N(INDEX('Menu Pricing'!$O$7:$O$56,$O583))&gt;0,INDEX('Menu Pricing'!$O$7:$O$56,$O583),""))))</f>
        <v/>
      </c>
      <c r="I583" s="71">
        <f>IF($N583&lt;&gt;"OK","",$D583*$H583)</f>
        <v/>
      </c>
      <c r="J583" s="71">
        <f>IF($N583&lt;&gt;"OK","",N(INDEX('Menu Pricing'!$F$7:$F$56,$O583))+N(INDEX('Menu Pricing'!$G$7:$G$56,$O583))+N(INDEX('Menu Pricing'!$J$7:$J$56,$O583)))</f>
        <v/>
      </c>
      <c r="K583" s="71">
        <f>IF($N583&lt;&gt;"OK","",$D583*$J583)</f>
        <v/>
      </c>
      <c r="L583" s="71">
        <f>IF($N583&lt;&gt;"OK","",$I583-$K583)</f>
        <v/>
      </c>
      <c r="M583" s="71">
        <f>IF($N583&lt;&gt;"OK","",$D583*N(INDEX('Menu Pricing'!$F$7:$F$56,$O583)))</f>
        <v/>
      </c>
      <c r="N583" s="80">
        <f>IF(AND($B583="",$C583="",$D583=""),"",IF(NOT(ISNUMBER($B583)),"Enter a valid date",IF($C583="","Pick a menu item",IF($O583="","Item not on Menu Pricing",IF(N($D583)&lt;=0,"Qty must be above 0",IF($H583="","No price on menu","OK"))))))</f>
        <v/>
      </c>
      <c r="O583" s="13">
        <f>IF($C583="","",IFERROR(MATCH($C583,'Menu Pricing'!$B$7:$B$56,0),""))</f>
        <v/>
      </c>
    </row>
    <row r="584" ht="17" customHeight="1">
      <c r="B584" s="66" t="n"/>
      <c r="C584" s="60" t="n"/>
      <c r="D584" s="86" t="n"/>
      <c r="E584" s="63" t="n"/>
      <c r="F584" s="60" t="n"/>
      <c r="G584" s="60" t="n"/>
      <c r="H584" s="71">
        <f>IF(OR($C584="",$D584=""),"",IF(ISNUMBER($E584),$E584,IF($O584="","",IF(N(INDEX('Menu Pricing'!$O$7:$O$56,$O584))&gt;0,INDEX('Menu Pricing'!$O$7:$O$56,$O584),""))))</f>
        <v/>
      </c>
      <c r="I584" s="71">
        <f>IF($N584&lt;&gt;"OK","",$D584*$H584)</f>
        <v/>
      </c>
      <c r="J584" s="71">
        <f>IF($N584&lt;&gt;"OK","",N(INDEX('Menu Pricing'!$F$7:$F$56,$O584))+N(INDEX('Menu Pricing'!$G$7:$G$56,$O584))+N(INDEX('Menu Pricing'!$J$7:$J$56,$O584)))</f>
        <v/>
      </c>
      <c r="K584" s="71">
        <f>IF($N584&lt;&gt;"OK","",$D584*$J584)</f>
        <v/>
      </c>
      <c r="L584" s="71">
        <f>IF($N584&lt;&gt;"OK","",$I584-$K584)</f>
        <v/>
      </c>
      <c r="M584" s="71">
        <f>IF($N584&lt;&gt;"OK","",$D584*N(INDEX('Menu Pricing'!$F$7:$F$56,$O584)))</f>
        <v/>
      </c>
      <c r="N584" s="80">
        <f>IF(AND($B584="",$C584="",$D584=""),"",IF(NOT(ISNUMBER($B584)),"Enter a valid date",IF($C584="","Pick a menu item",IF($O584="","Item not on Menu Pricing",IF(N($D584)&lt;=0,"Qty must be above 0",IF($H584="","No price on menu","OK"))))))</f>
        <v/>
      </c>
      <c r="O584" s="13">
        <f>IF($C584="","",IFERROR(MATCH($C584,'Menu Pricing'!$B$7:$B$56,0),""))</f>
        <v/>
      </c>
    </row>
    <row r="585" ht="17" customHeight="1">
      <c r="B585" s="66" t="n"/>
      <c r="C585" s="60" t="n"/>
      <c r="D585" s="86" t="n"/>
      <c r="E585" s="63" t="n"/>
      <c r="F585" s="60" t="n"/>
      <c r="G585" s="60" t="n"/>
      <c r="H585" s="71">
        <f>IF(OR($C585="",$D585=""),"",IF(ISNUMBER($E585),$E585,IF($O585="","",IF(N(INDEX('Menu Pricing'!$O$7:$O$56,$O585))&gt;0,INDEX('Menu Pricing'!$O$7:$O$56,$O585),""))))</f>
        <v/>
      </c>
      <c r="I585" s="71">
        <f>IF($N585&lt;&gt;"OK","",$D585*$H585)</f>
        <v/>
      </c>
      <c r="J585" s="71">
        <f>IF($N585&lt;&gt;"OK","",N(INDEX('Menu Pricing'!$F$7:$F$56,$O585))+N(INDEX('Menu Pricing'!$G$7:$G$56,$O585))+N(INDEX('Menu Pricing'!$J$7:$J$56,$O585)))</f>
        <v/>
      </c>
      <c r="K585" s="71">
        <f>IF($N585&lt;&gt;"OK","",$D585*$J585)</f>
        <v/>
      </c>
      <c r="L585" s="71">
        <f>IF($N585&lt;&gt;"OK","",$I585-$K585)</f>
        <v/>
      </c>
      <c r="M585" s="71">
        <f>IF($N585&lt;&gt;"OK","",$D585*N(INDEX('Menu Pricing'!$F$7:$F$56,$O585)))</f>
        <v/>
      </c>
      <c r="N585" s="80">
        <f>IF(AND($B585="",$C585="",$D585=""),"",IF(NOT(ISNUMBER($B585)),"Enter a valid date",IF($C585="","Pick a menu item",IF($O585="","Item not on Menu Pricing",IF(N($D585)&lt;=0,"Qty must be above 0",IF($H585="","No price on menu","OK"))))))</f>
        <v/>
      </c>
      <c r="O585" s="13">
        <f>IF($C585="","",IFERROR(MATCH($C585,'Menu Pricing'!$B$7:$B$56,0),""))</f>
        <v/>
      </c>
    </row>
    <row r="586" ht="17" customHeight="1">
      <c r="B586" s="66" t="n"/>
      <c r="C586" s="60" t="n"/>
      <c r="D586" s="86" t="n"/>
      <c r="E586" s="63" t="n"/>
      <c r="F586" s="60" t="n"/>
      <c r="G586" s="60" t="n"/>
      <c r="H586" s="71">
        <f>IF(OR($C586="",$D586=""),"",IF(ISNUMBER($E586),$E586,IF($O586="","",IF(N(INDEX('Menu Pricing'!$O$7:$O$56,$O586))&gt;0,INDEX('Menu Pricing'!$O$7:$O$56,$O586),""))))</f>
        <v/>
      </c>
      <c r="I586" s="71">
        <f>IF($N586&lt;&gt;"OK","",$D586*$H586)</f>
        <v/>
      </c>
      <c r="J586" s="71">
        <f>IF($N586&lt;&gt;"OK","",N(INDEX('Menu Pricing'!$F$7:$F$56,$O586))+N(INDEX('Menu Pricing'!$G$7:$G$56,$O586))+N(INDEX('Menu Pricing'!$J$7:$J$56,$O586)))</f>
        <v/>
      </c>
      <c r="K586" s="71">
        <f>IF($N586&lt;&gt;"OK","",$D586*$J586)</f>
        <v/>
      </c>
      <c r="L586" s="71">
        <f>IF($N586&lt;&gt;"OK","",$I586-$K586)</f>
        <v/>
      </c>
      <c r="M586" s="71">
        <f>IF($N586&lt;&gt;"OK","",$D586*N(INDEX('Menu Pricing'!$F$7:$F$56,$O586)))</f>
        <v/>
      </c>
      <c r="N586" s="80">
        <f>IF(AND($B586="",$C586="",$D586=""),"",IF(NOT(ISNUMBER($B586)),"Enter a valid date",IF($C586="","Pick a menu item",IF($O586="","Item not on Menu Pricing",IF(N($D586)&lt;=0,"Qty must be above 0",IF($H586="","No price on menu","OK"))))))</f>
        <v/>
      </c>
      <c r="O586" s="13">
        <f>IF($C586="","",IFERROR(MATCH($C586,'Menu Pricing'!$B$7:$B$56,0),""))</f>
        <v/>
      </c>
    </row>
    <row r="587" ht="17" customHeight="1">
      <c r="B587" s="66" t="n"/>
      <c r="C587" s="60" t="n"/>
      <c r="D587" s="86" t="n"/>
      <c r="E587" s="63" t="n"/>
      <c r="F587" s="60" t="n"/>
      <c r="G587" s="60" t="n"/>
      <c r="H587" s="71">
        <f>IF(OR($C587="",$D587=""),"",IF(ISNUMBER($E587),$E587,IF($O587="","",IF(N(INDEX('Menu Pricing'!$O$7:$O$56,$O587))&gt;0,INDEX('Menu Pricing'!$O$7:$O$56,$O587),""))))</f>
        <v/>
      </c>
      <c r="I587" s="71">
        <f>IF($N587&lt;&gt;"OK","",$D587*$H587)</f>
        <v/>
      </c>
      <c r="J587" s="71">
        <f>IF($N587&lt;&gt;"OK","",N(INDEX('Menu Pricing'!$F$7:$F$56,$O587))+N(INDEX('Menu Pricing'!$G$7:$G$56,$O587))+N(INDEX('Menu Pricing'!$J$7:$J$56,$O587)))</f>
        <v/>
      </c>
      <c r="K587" s="71">
        <f>IF($N587&lt;&gt;"OK","",$D587*$J587)</f>
        <v/>
      </c>
      <c r="L587" s="71">
        <f>IF($N587&lt;&gt;"OK","",$I587-$K587)</f>
        <v/>
      </c>
      <c r="M587" s="71">
        <f>IF($N587&lt;&gt;"OK","",$D587*N(INDEX('Menu Pricing'!$F$7:$F$56,$O587)))</f>
        <v/>
      </c>
      <c r="N587" s="80">
        <f>IF(AND($B587="",$C587="",$D587=""),"",IF(NOT(ISNUMBER($B587)),"Enter a valid date",IF($C587="","Pick a menu item",IF($O587="","Item not on Menu Pricing",IF(N($D587)&lt;=0,"Qty must be above 0",IF($H587="","No price on menu","OK"))))))</f>
        <v/>
      </c>
      <c r="O587" s="13">
        <f>IF($C587="","",IFERROR(MATCH($C587,'Menu Pricing'!$B$7:$B$56,0),""))</f>
        <v/>
      </c>
    </row>
    <row r="588" ht="17" customHeight="1">
      <c r="B588" s="66" t="n"/>
      <c r="C588" s="60" t="n"/>
      <c r="D588" s="86" t="n"/>
      <c r="E588" s="63" t="n"/>
      <c r="F588" s="60" t="n"/>
      <c r="G588" s="60" t="n"/>
      <c r="H588" s="71">
        <f>IF(OR($C588="",$D588=""),"",IF(ISNUMBER($E588),$E588,IF($O588="","",IF(N(INDEX('Menu Pricing'!$O$7:$O$56,$O588))&gt;0,INDEX('Menu Pricing'!$O$7:$O$56,$O588),""))))</f>
        <v/>
      </c>
      <c r="I588" s="71">
        <f>IF($N588&lt;&gt;"OK","",$D588*$H588)</f>
        <v/>
      </c>
      <c r="J588" s="71">
        <f>IF($N588&lt;&gt;"OK","",N(INDEX('Menu Pricing'!$F$7:$F$56,$O588))+N(INDEX('Menu Pricing'!$G$7:$G$56,$O588))+N(INDEX('Menu Pricing'!$J$7:$J$56,$O588)))</f>
        <v/>
      </c>
      <c r="K588" s="71">
        <f>IF($N588&lt;&gt;"OK","",$D588*$J588)</f>
        <v/>
      </c>
      <c r="L588" s="71">
        <f>IF($N588&lt;&gt;"OK","",$I588-$K588)</f>
        <v/>
      </c>
      <c r="M588" s="71">
        <f>IF($N588&lt;&gt;"OK","",$D588*N(INDEX('Menu Pricing'!$F$7:$F$56,$O588)))</f>
        <v/>
      </c>
      <c r="N588" s="80">
        <f>IF(AND($B588="",$C588="",$D588=""),"",IF(NOT(ISNUMBER($B588)),"Enter a valid date",IF($C588="","Pick a menu item",IF($O588="","Item not on Menu Pricing",IF(N($D588)&lt;=0,"Qty must be above 0",IF($H588="","No price on menu","OK"))))))</f>
        <v/>
      </c>
      <c r="O588" s="13">
        <f>IF($C588="","",IFERROR(MATCH($C588,'Menu Pricing'!$B$7:$B$56,0),""))</f>
        <v/>
      </c>
    </row>
    <row r="589" ht="17" customHeight="1">
      <c r="B589" s="66" t="n"/>
      <c r="C589" s="60" t="n"/>
      <c r="D589" s="86" t="n"/>
      <c r="E589" s="63" t="n"/>
      <c r="F589" s="60" t="n"/>
      <c r="G589" s="60" t="n"/>
      <c r="H589" s="71">
        <f>IF(OR($C589="",$D589=""),"",IF(ISNUMBER($E589),$E589,IF($O589="","",IF(N(INDEX('Menu Pricing'!$O$7:$O$56,$O589))&gt;0,INDEX('Menu Pricing'!$O$7:$O$56,$O589),""))))</f>
        <v/>
      </c>
      <c r="I589" s="71">
        <f>IF($N589&lt;&gt;"OK","",$D589*$H589)</f>
        <v/>
      </c>
      <c r="J589" s="71">
        <f>IF($N589&lt;&gt;"OK","",N(INDEX('Menu Pricing'!$F$7:$F$56,$O589))+N(INDEX('Menu Pricing'!$G$7:$G$56,$O589))+N(INDEX('Menu Pricing'!$J$7:$J$56,$O589)))</f>
        <v/>
      </c>
      <c r="K589" s="71">
        <f>IF($N589&lt;&gt;"OK","",$D589*$J589)</f>
        <v/>
      </c>
      <c r="L589" s="71">
        <f>IF($N589&lt;&gt;"OK","",$I589-$K589)</f>
        <v/>
      </c>
      <c r="M589" s="71">
        <f>IF($N589&lt;&gt;"OK","",$D589*N(INDEX('Menu Pricing'!$F$7:$F$56,$O589)))</f>
        <v/>
      </c>
      <c r="N589" s="80">
        <f>IF(AND($B589="",$C589="",$D589=""),"",IF(NOT(ISNUMBER($B589)),"Enter a valid date",IF($C589="","Pick a menu item",IF($O589="","Item not on Menu Pricing",IF(N($D589)&lt;=0,"Qty must be above 0",IF($H589="","No price on menu","OK"))))))</f>
        <v/>
      </c>
      <c r="O589" s="13">
        <f>IF($C589="","",IFERROR(MATCH($C589,'Menu Pricing'!$B$7:$B$56,0),""))</f>
        <v/>
      </c>
    </row>
    <row r="590" ht="17" customHeight="1">
      <c r="B590" s="66" t="n"/>
      <c r="C590" s="60" t="n"/>
      <c r="D590" s="86" t="n"/>
      <c r="E590" s="63" t="n"/>
      <c r="F590" s="60" t="n"/>
      <c r="G590" s="60" t="n"/>
      <c r="H590" s="71">
        <f>IF(OR($C590="",$D590=""),"",IF(ISNUMBER($E590),$E590,IF($O590="","",IF(N(INDEX('Menu Pricing'!$O$7:$O$56,$O590))&gt;0,INDEX('Menu Pricing'!$O$7:$O$56,$O590),""))))</f>
        <v/>
      </c>
      <c r="I590" s="71">
        <f>IF($N590&lt;&gt;"OK","",$D590*$H590)</f>
        <v/>
      </c>
      <c r="J590" s="71">
        <f>IF($N590&lt;&gt;"OK","",N(INDEX('Menu Pricing'!$F$7:$F$56,$O590))+N(INDEX('Menu Pricing'!$G$7:$G$56,$O590))+N(INDEX('Menu Pricing'!$J$7:$J$56,$O590)))</f>
        <v/>
      </c>
      <c r="K590" s="71">
        <f>IF($N590&lt;&gt;"OK","",$D590*$J590)</f>
        <v/>
      </c>
      <c r="L590" s="71">
        <f>IF($N590&lt;&gt;"OK","",$I590-$K590)</f>
        <v/>
      </c>
      <c r="M590" s="71">
        <f>IF($N590&lt;&gt;"OK","",$D590*N(INDEX('Menu Pricing'!$F$7:$F$56,$O590)))</f>
        <v/>
      </c>
      <c r="N590" s="80">
        <f>IF(AND($B590="",$C590="",$D590=""),"",IF(NOT(ISNUMBER($B590)),"Enter a valid date",IF($C590="","Pick a menu item",IF($O590="","Item not on Menu Pricing",IF(N($D590)&lt;=0,"Qty must be above 0",IF($H590="","No price on menu","OK"))))))</f>
        <v/>
      </c>
      <c r="O590" s="13">
        <f>IF($C590="","",IFERROR(MATCH($C590,'Menu Pricing'!$B$7:$B$56,0),""))</f>
        <v/>
      </c>
    </row>
    <row r="591" ht="17" customHeight="1">
      <c r="B591" s="66" t="n"/>
      <c r="C591" s="60" t="n"/>
      <c r="D591" s="86" t="n"/>
      <c r="E591" s="63" t="n"/>
      <c r="F591" s="60" t="n"/>
      <c r="G591" s="60" t="n"/>
      <c r="H591" s="71">
        <f>IF(OR($C591="",$D591=""),"",IF(ISNUMBER($E591),$E591,IF($O591="","",IF(N(INDEX('Menu Pricing'!$O$7:$O$56,$O591))&gt;0,INDEX('Menu Pricing'!$O$7:$O$56,$O591),""))))</f>
        <v/>
      </c>
      <c r="I591" s="71">
        <f>IF($N591&lt;&gt;"OK","",$D591*$H591)</f>
        <v/>
      </c>
      <c r="J591" s="71">
        <f>IF($N591&lt;&gt;"OK","",N(INDEX('Menu Pricing'!$F$7:$F$56,$O591))+N(INDEX('Menu Pricing'!$G$7:$G$56,$O591))+N(INDEX('Menu Pricing'!$J$7:$J$56,$O591)))</f>
        <v/>
      </c>
      <c r="K591" s="71">
        <f>IF($N591&lt;&gt;"OK","",$D591*$J591)</f>
        <v/>
      </c>
      <c r="L591" s="71">
        <f>IF($N591&lt;&gt;"OK","",$I591-$K591)</f>
        <v/>
      </c>
      <c r="M591" s="71">
        <f>IF($N591&lt;&gt;"OK","",$D591*N(INDEX('Menu Pricing'!$F$7:$F$56,$O591)))</f>
        <v/>
      </c>
      <c r="N591" s="80">
        <f>IF(AND($B591="",$C591="",$D591=""),"",IF(NOT(ISNUMBER($B591)),"Enter a valid date",IF($C591="","Pick a menu item",IF($O591="","Item not on Menu Pricing",IF(N($D591)&lt;=0,"Qty must be above 0",IF($H591="","No price on menu","OK"))))))</f>
        <v/>
      </c>
      <c r="O591" s="13">
        <f>IF($C591="","",IFERROR(MATCH($C591,'Menu Pricing'!$B$7:$B$56,0),""))</f>
        <v/>
      </c>
    </row>
    <row r="592" ht="17" customHeight="1">
      <c r="B592" s="66" t="n"/>
      <c r="C592" s="60" t="n"/>
      <c r="D592" s="86" t="n"/>
      <c r="E592" s="63" t="n"/>
      <c r="F592" s="60" t="n"/>
      <c r="G592" s="60" t="n"/>
      <c r="H592" s="71">
        <f>IF(OR($C592="",$D592=""),"",IF(ISNUMBER($E592),$E592,IF($O592="","",IF(N(INDEX('Menu Pricing'!$O$7:$O$56,$O592))&gt;0,INDEX('Menu Pricing'!$O$7:$O$56,$O592),""))))</f>
        <v/>
      </c>
      <c r="I592" s="71">
        <f>IF($N592&lt;&gt;"OK","",$D592*$H592)</f>
        <v/>
      </c>
      <c r="J592" s="71">
        <f>IF($N592&lt;&gt;"OK","",N(INDEX('Menu Pricing'!$F$7:$F$56,$O592))+N(INDEX('Menu Pricing'!$G$7:$G$56,$O592))+N(INDEX('Menu Pricing'!$J$7:$J$56,$O592)))</f>
        <v/>
      </c>
      <c r="K592" s="71">
        <f>IF($N592&lt;&gt;"OK","",$D592*$J592)</f>
        <v/>
      </c>
      <c r="L592" s="71">
        <f>IF($N592&lt;&gt;"OK","",$I592-$K592)</f>
        <v/>
      </c>
      <c r="M592" s="71">
        <f>IF($N592&lt;&gt;"OK","",$D592*N(INDEX('Menu Pricing'!$F$7:$F$56,$O592)))</f>
        <v/>
      </c>
      <c r="N592" s="80">
        <f>IF(AND($B592="",$C592="",$D592=""),"",IF(NOT(ISNUMBER($B592)),"Enter a valid date",IF($C592="","Pick a menu item",IF($O592="","Item not on Menu Pricing",IF(N($D592)&lt;=0,"Qty must be above 0",IF($H592="","No price on menu","OK"))))))</f>
        <v/>
      </c>
      <c r="O592" s="13">
        <f>IF($C592="","",IFERROR(MATCH($C592,'Menu Pricing'!$B$7:$B$56,0),""))</f>
        <v/>
      </c>
    </row>
    <row r="593" ht="17" customHeight="1">
      <c r="B593" s="66" t="n"/>
      <c r="C593" s="60" t="n"/>
      <c r="D593" s="86" t="n"/>
      <c r="E593" s="63" t="n"/>
      <c r="F593" s="60" t="n"/>
      <c r="G593" s="60" t="n"/>
      <c r="H593" s="71">
        <f>IF(OR($C593="",$D593=""),"",IF(ISNUMBER($E593),$E593,IF($O593="","",IF(N(INDEX('Menu Pricing'!$O$7:$O$56,$O593))&gt;0,INDEX('Menu Pricing'!$O$7:$O$56,$O593),""))))</f>
        <v/>
      </c>
      <c r="I593" s="71">
        <f>IF($N593&lt;&gt;"OK","",$D593*$H593)</f>
        <v/>
      </c>
      <c r="J593" s="71">
        <f>IF($N593&lt;&gt;"OK","",N(INDEX('Menu Pricing'!$F$7:$F$56,$O593))+N(INDEX('Menu Pricing'!$G$7:$G$56,$O593))+N(INDEX('Menu Pricing'!$J$7:$J$56,$O593)))</f>
        <v/>
      </c>
      <c r="K593" s="71">
        <f>IF($N593&lt;&gt;"OK","",$D593*$J593)</f>
        <v/>
      </c>
      <c r="L593" s="71">
        <f>IF($N593&lt;&gt;"OK","",$I593-$K593)</f>
        <v/>
      </c>
      <c r="M593" s="71">
        <f>IF($N593&lt;&gt;"OK","",$D593*N(INDEX('Menu Pricing'!$F$7:$F$56,$O593)))</f>
        <v/>
      </c>
      <c r="N593" s="80">
        <f>IF(AND($B593="",$C593="",$D593=""),"",IF(NOT(ISNUMBER($B593)),"Enter a valid date",IF($C593="","Pick a menu item",IF($O593="","Item not on Menu Pricing",IF(N($D593)&lt;=0,"Qty must be above 0",IF($H593="","No price on menu","OK"))))))</f>
        <v/>
      </c>
      <c r="O593" s="13">
        <f>IF($C593="","",IFERROR(MATCH($C593,'Menu Pricing'!$B$7:$B$56,0),""))</f>
        <v/>
      </c>
    </row>
    <row r="594" ht="17" customHeight="1">
      <c r="B594" s="66" t="n"/>
      <c r="C594" s="60" t="n"/>
      <c r="D594" s="86" t="n"/>
      <c r="E594" s="63" t="n"/>
      <c r="F594" s="60" t="n"/>
      <c r="G594" s="60" t="n"/>
      <c r="H594" s="71">
        <f>IF(OR($C594="",$D594=""),"",IF(ISNUMBER($E594),$E594,IF($O594="","",IF(N(INDEX('Menu Pricing'!$O$7:$O$56,$O594))&gt;0,INDEX('Menu Pricing'!$O$7:$O$56,$O594),""))))</f>
        <v/>
      </c>
      <c r="I594" s="71">
        <f>IF($N594&lt;&gt;"OK","",$D594*$H594)</f>
        <v/>
      </c>
      <c r="J594" s="71">
        <f>IF($N594&lt;&gt;"OK","",N(INDEX('Menu Pricing'!$F$7:$F$56,$O594))+N(INDEX('Menu Pricing'!$G$7:$G$56,$O594))+N(INDEX('Menu Pricing'!$J$7:$J$56,$O594)))</f>
        <v/>
      </c>
      <c r="K594" s="71">
        <f>IF($N594&lt;&gt;"OK","",$D594*$J594)</f>
        <v/>
      </c>
      <c r="L594" s="71">
        <f>IF($N594&lt;&gt;"OK","",$I594-$K594)</f>
        <v/>
      </c>
      <c r="M594" s="71">
        <f>IF($N594&lt;&gt;"OK","",$D594*N(INDEX('Menu Pricing'!$F$7:$F$56,$O594)))</f>
        <v/>
      </c>
      <c r="N594" s="80">
        <f>IF(AND($B594="",$C594="",$D594=""),"",IF(NOT(ISNUMBER($B594)),"Enter a valid date",IF($C594="","Pick a menu item",IF($O594="","Item not on Menu Pricing",IF(N($D594)&lt;=0,"Qty must be above 0",IF($H594="","No price on menu","OK"))))))</f>
        <v/>
      </c>
      <c r="O594" s="13">
        <f>IF($C594="","",IFERROR(MATCH($C594,'Menu Pricing'!$B$7:$B$56,0),""))</f>
        <v/>
      </c>
    </row>
    <row r="595" ht="17" customHeight="1">
      <c r="B595" s="66" t="n"/>
      <c r="C595" s="60" t="n"/>
      <c r="D595" s="86" t="n"/>
      <c r="E595" s="63" t="n"/>
      <c r="F595" s="60" t="n"/>
      <c r="G595" s="60" t="n"/>
      <c r="H595" s="71">
        <f>IF(OR($C595="",$D595=""),"",IF(ISNUMBER($E595),$E595,IF($O595="","",IF(N(INDEX('Menu Pricing'!$O$7:$O$56,$O595))&gt;0,INDEX('Menu Pricing'!$O$7:$O$56,$O595),""))))</f>
        <v/>
      </c>
      <c r="I595" s="71">
        <f>IF($N595&lt;&gt;"OK","",$D595*$H595)</f>
        <v/>
      </c>
      <c r="J595" s="71">
        <f>IF($N595&lt;&gt;"OK","",N(INDEX('Menu Pricing'!$F$7:$F$56,$O595))+N(INDEX('Menu Pricing'!$G$7:$G$56,$O595))+N(INDEX('Menu Pricing'!$J$7:$J$56,$O595)))</f>
        <v/>
      </c>
      <c r="K595" s="71">
        <f>IF($N595&lt;&gt;"OK","",$D595*$J595)</f>
        <v/>
      </c>
      <c r="L595" s="71">
        <f>IF($N595&lt;&gt;"OK","",$I595-$K595)</f>
        <v/>
      </c>
      <c r="M595" s="71">
        <f>IF($N595&lt;&gt;"OK","",$D595*N(INDEX('Menu Pricing'!$F$7:$F$56,$O595)))</f>
        <v/>
      </c>
      <c r="N595" s="80">
        <f>IF(AND($B595="",$C595="",$D595=""),"",IF(NOT(ISNUMBER($B595)),"Enter a valid date",IF($C595="","Pick a menu item",IF($O595="","Item not on Menu Pricing",IF(N($D595)&lt;=0,"Qty must be above 0",IF($H595="","No price on menu","OK"))))))</f>
        <v/>
      </c>
      <c r="O595" s="13">
        <f>IF($C595="","",IFERROR(MATCH($C595,'Menu Pricing'!$B$7:$B$56,0),""))</f>
        <v/>
      </c>
    </row>
    <row r="596" ht="17" customHeight="1">
      <c r="B596" s="66" t="n"/>
      <c r="C596" s="60" t="n"/>
      <c r="D596" s="86" t="n"/>
      <c r="E596" s="63" t="n"/>
      <c r="F596" s="60" t="n"/>
      <c r="G596" s="60" t="n"/>
      <c r="H596" s="71">
        <f>IF(OR($C596="",$D596=""),"",IF(ISNUMBER($E596),$E596,IF($O596="","",IF(N(INDEX('Menu Pricing'!$O$7:$O$56,$O596))&gt;0,INDEX('Menu Pricing'!$O$7:$O$56,$O596),""))))</f>
        <v/>
      </c>
      <c r="I596" s="71">
        <f>IF($N596&lt;&gt;"OK","",$D596*$H596)</f>
        <v/>
      </c>
      <c r="J596" s="71">
        <f>IF($N596&lt;&gt;"OK","",N(INDEX('Menu Pricing'!$F$7:$F$56,$O596))+N(INDEX('Menu Pricing'!$G$7:$G$56,$O596))+N(INDEX('Menu Pricing'!$J$7:$J$56,$O596)))</f>
        <v/>
      </c>
      <c r="K596" s="71">
        <f>IF($N596&lt;&gt;"OK","",$D596*$J596)</f>
        <v/>
      </c>
      <c r="L596" s="71">
        <f>IF($N596&lt;&gt;"OK","",$I596-$K596)</f>
        <v/>
      </c>
      <c r="M596" s="71">
        <f>IF($N596&lt;&gt;"OK","",$D596*N(INDEX('Menu Pricing'!$F$7:$F$56,$O596)))</f>
        <v/>
      </c>
      <c r="N596" s="80">
        <f>IF(AND($B596="",$C596="",$D596=""),"",IF(NOT(ISNUMBER($B596)),"Enter a valid date",IF($C596="","Pick a menu item",IF($O596="","Item not on Menu Pricing",IF(N($D596)&lt;=0,"Qty must be above 0",IF($H596="","No price on menu","OK"))))))</f>
        <v/>
      </c>
      <c r="O596" s="13">
        <f>IF($C596="","",IFERROR(MATCH($C596,'Menu Pricing'!$B$7:$B$56,0),""))</f>
        <v/>
      </c>
    </row>
    <row r="597" ht="17" customHeight="1">
      <c r="B597" s="66" t="n"/>
      <c r="C597" s="60" t="n"/>
      <c r="D597" s="86" t="n"/>
      <c r="E597" s="63" t="n"/>
      <c r="F597" s="60" t="n"/>
      <c r="G597" s="60" t="n"/>
      <c r="H597" s="71">
        <f>IF(OR($C597="",$D597=""),"",IF(ISNUMBER($E597),$E597,IF($O597="","",IF(N(INDEX('Menu Pricing'!$O$7:$O$56,$O597))&gt;0,INDEX('Menu Pricing'!$O$7:$O$56,$O597),""))))</f>
        <v/>
      </c>
      <c r="I597" s="71">
        <f>IF($N597&lt;&gt;"OK","",$D597*$H597)</f>
        <v/>
      </c>
      <c r="J597" s="71">
        <f>IF($N597&lt;&gt;"OK","",N(INDEX('Menu Pricing'!$F$7:$F$56,$O597))+N(INDEX('Menu Pricing'!$G$7:$G$56,$O597))+N(INDEX('Menu Pricing'!$J$7:$J$56,$O597)))</f>
        <v/>
      </c>
      <c r="K597" s="71">
        <f>IF($N597&lt;&gt;"OK","",$D597*$J597)</f>
        <v/>
      </c>
      <c r="L597" s="71">
        <f>IF($N597&lt;&gt;"OK","",$I597-$K597)</f>
        <v/>
      </c>
      <c r="M597" s="71">
        <f>IF($N597&lt;&gt;"OK","",$D597*N(INDEX('Menu Pricing'!$F$7:$F$56,$O597)))</f>
        <v/>
      </c>
      <c r="N597" s="80">
        <f>IF(AND($B597="",$C597="",$D597=""),"",IF(NOT(ISNUMBER($B597)),"Enter a valid date",IF($C597="","Pick a menu item",IF($O597="","Item not on Menu Pricing",IF(N($D597)&lt;=0,"Qty must be above 0",IF($H597="","No price on menu","OK"))))))</f>
        <v/>
      </c>
      <c r="O597" s="13">
        <f>IF($C597="","",IFERROR(MATCH($C597,'Menu Pricing'!$B$7:$B$56,0),""))</f>
        <v/>
      </c>
    </row>
    <row r="598" ht="17" customHeight="1">
      <c r="B598" s="66" t="n"/>
      <c r="C598" s="60" t="n"/>
      <c r="D598" s="86" t="n"/>
      <c r="E598" s="63" t="n"/>
      <c r="F598" s="60" t="n"/>
      <c r="G598" s="60" t="n"/>
      <c r="H598" s="71">
        <f>IF(OR($C598="",$D598=""),"",IF(ISNUMBER($E598),$E598,IF($O598="","",IF(N(INDEX('Menu Pricing'!$O$7:$O$56,$O598))&gt;0,INDEX('Menu Pricing'!$O$7:$O$56,$O598),""))))</f>
        <v/>
      </c>
      <c r="I598" s="71">
        <f>IF($N598&lt;&gt;"OK","",$D598*$H598)</f>
        <v/>
      </c>
      <c r="J598" s="71">
        <f>IF($N598&lt;&gt;"OK","",N(INDEX('Menu Pricing'!$F$7:$F$56,$O598))+N(INDEX('Menu Pricing'!$G$7:$G$56,$O598))+N(INDEX('Menu Pricing'!$J$7:$J$56,$O598)))</f>
        <v/>
      </c>
      <c r="K598" s="71">
        <f>IF($N598&lt;&gt;"OK","",$D598*$J598)</f>
        <v/>
      </c>
      <c r="L598" s="71">
        <f>IF($N598&lt;&gt;"OK","",$I598-$K598)</f>
        <v/>
      </c>
      <c r="M598" s="71">
        <f>IF($N598&lt;&gt;"OK","",$D598*N(INDEX('Menu Pricing'!$F$7:$F$56,$O598)))</f>
        <v/>
      </c>
      <c r="N598" s="80">
        <f>IF(AND($B598="",$C598="",$D598=""),"",IF(NOT(ISNUMBER($B598)),"Enter a valid date",IF($C598="","Pick a menu item",IF($O598="","Item not on Menu Pricing",IF(N($D598)&lt;=0,"Qty must be above 0",IF($H598="","No price on menu","OK"))))))</f>
        <v/>
      </c>
      <c r="O598" s="13">
        <f>IF($C598="","",IFERROR(MATCH($C598,'Menu Pricing'!$B$7:$B$56,0),""))</f>
        <v/>
      </c>
    </row>
    <row r="599" ht="17" customHeight="1">
      <c r="B599" s="66" t="n"/>
      <c r="C599" s="60" t="n"/>
      <c r="D599" s="86" t="n"/>
      <c r="E599" s="63" t="n"/>
      <c r="F599" s="60" t="n"/>
      <c r="G599" s="60" t="n"/>
      <c r="H599" s="71">
        <f>IF(OR($C599="",$D599=""),"",IF(ISNUMBER($E599),$E599,IF($O599="","",IF(N(INDEX('Menu Pricing'!$O$7:$O$56,$O599))&gt;0,INDEX('Menu Pricing'!$O$7:$O$56,$O599),""))))</f>
        <v/>
      </c>
      <c r="I599" s="71">
        <f>IF($N599&lt;&gt;"OK","",$D599*$H599)</f>
        <v/>
      </c>
      <c r="J599" s="71">
        <f>IF($N599&lt;&gt;"OK","",N(INDEX('Menu Pricing'!$F$7:$F$56,$O599))+N(INDEX('Menu Pricing'!$G$7:$G$56,$O599))+N(INDEX('Menu Pricing'!$J$7:$J$56,$O599)))</f>
        <v/>
      </c>
      <c r="K599" s="71">
        <f>IF($N599&lt;&gt;"OK","",$D599*$J599)</f>
        <v/>
      </c>
      <c r="L599" s="71">
        <f>IF($N599&lt;&gt;"OK","",$I599-$K599)</f>
        <v/>
      </c>
      <c r="M599" s="71">
        <f>IF($N599&lt;&gt;"OK","",$D599*N(INDEX('Menu Pricing'!$F$7:$F$56,$O599)))</f>
        <v/>
      </c>
      <c r="N599" s="80">
        <f>IF(AND($B599="",$C599="",$D599=""),"",IF(NOT(ISNUMBER($B599)),"Enter a valid date",IF($C599="","Pick a menu item",IF($O599="","Item not on Menu Pricing",IF(N($D599)&lt;=0,"Qty must be above 0",IF($H599="","No price on menu","OK"))))))</f>
        <v/>
      </c>
      <c r="O599" s="13">
        <f>IF($C599="","",IFERROR(MATCH($C599,'Menu Pricing'!$B$7:$B$56,0),""))</f>
        <v/>
      </c>
    </row>
    <row r="600" ht="17" customHeight="1">
      <c r="B600" s="66" t="n"/>
      <c r="C600" s="60" t="n"/>
      <c r="D600" s="86" t="n"/>
      <c r="E600" s="63" t="n"/>
      <c r="F600" s="60" t="n"/>
      <c r="G600" s="60" t="n"/>
      <c r="H600" s="71">
        <f>IF(OR($C600="",$D600=""),"",IF(ISNUMBER($E600),$E600,IF($O600="","",IF(N(INDEX('Menu Pricing'!$O$7:$O$56,$O600))&gt;0,INDEX('Menu Pricing'!$O$7:$O$56,$O600),""))))</f>
        <v/>
      </c>
      <c r="I600" s="71">
        <f>IF($N600&lt;&gt;"OK","",$D600*$H600)</f>
        <v/>
      </c>
      <c r="J600" s="71">
        <f>IF($N600&lt;&gt;"OK","",N(INDEX('Menu Pricing'!$F$7:$F$56,$O600))+N(INDEX('Menu Pricing'!$G$7:$G$56,$O600))+N(INDEX('Menu Pricing'!$J$7:$J$56,$O600)))</f>
        <v/>
      </c>
      <c r="K600" s="71">
        <f>IF($N600&lt;&gt;"OK","",$D600*$J600)</f>
        <v/>
      </c>
      <c r="L600" s="71">
        <f>IF($N600&lt;&gt;"OK","",$I600-$K600)</f>
        <v/>
      </c>
      <c r="M600" s="71">
        <f>IF($N600&lt;&gt;"OK","",$D600*N(INDEX('Menu Pricing'!$F$7:$F$56,$O600)))</f>
        <v/>
      </c>
      <c r="N600" s="80">
        <f>IF(AND($B600="",$C600="",$D600=""),"",IF(NOT(ISNUMBER($B600)),"Enter a valid date",IF($C600="","Pick a menu item",IF($O600="","Item not on Menu Pricing",IF(N($D600)&lt;=0,"Qty must be above 0",IF($H600="","No price on menu","OK"))))))</f>
        <v/>
      </c>
      <c r="O600" s="13">
        <f>IF($C600="","",IFERROR(MATCH($C600,'Menu Pricing'!$B$7:$B$56,0),""))</f>
        <v/>
      </c>
    </row>
    <row r="601" ht="17" customHeight="1">
      <c r="B601" s="66" t="n"/>
      <c r="C601" s="60" t="n"/>
      <c r="D601" s="86" t="n"/>
      <c r="E601" s="63" t="n"/>
      <c r="F601" s="60" t="n"/>
      <c r="G601" s="60" t="n"/>
      <c r="H601" s="71">
        <f>IF(OR($C601="",$D601=""),"",IF(ISNUMBER($E601),$E601,IF($O601="","",IF(N(INDEX('Menu Pricing'!$O$7:$O$56,$O601))&gt;0,INDEX('Menu Pricing'!$O$7:$O$56,$O601),""))))</f>
        <v/>
      </c>
      <c r="I601" s="71">
        <f>IF($N601&lt;&gt;"OK","",$D601*$H601)</f>
        <v/>
      </c>
      <c r="J601" s="71">
        <f>IF($N601&lt;&gt;"OK","",N(INDEX('Menu Pricing'!$F$7:$F$56,$O601))+N(INDEX('Menu Pricing'!$G$7:$G$56,$O601))+N(INDEX('Menu Pricing'!$J$7:$J$56,$O601)))</f>
        <v/>
      </c>
      <c r="K601" s="71">
        <f>IF($N601&lt;&gt;"OK","",$D601*$J601)</f>
        <v/>
      </c>
      <c r="L601" s="71">
        <f>IF($N601&lt;&gt;"OK","",$I601-$K601)</f>
        <v/>
      </c>
      <c r="M601" s="71">
        <f>IF($N601&lt;&gt;"OK","",$D601*N(INDEX('Menu Pricing'!$F$7:$F$56,$O601)))</f>
        <v/>
      </c>
      <c r="N601" s="80">
        <f>IF(AND($B601="",$C601="",$D601=""),"",IF(NOT(ISNUMBER($B601)),"Enter a valid date",IF($C601="","Pick a menu item",IF($O601="","Item not on Menu Pricing",IF(N($D601)&lt;=0,"Qty must be above 0",IF($H601="","No price on menu","OK"))))))</f>
        <v/>
      </c>
      <c r="O601" s="13">
        <f>IF($C601="","",IFERROR(MATCH($C601,'Menu Pricing'!$B$7:$B$56,0),""))</f>
        <v/>
      </c>
    </row>
    <row r="602" ht="17" customHeight="1">
      <c r="B602" s="66" t="n"/>
      <c r="C602" s="60" t="n"/>
      <c r="D602" s="86" t="n"/>
      <c r="E602" s="63" t="n"/>
      <c r="F602" s="60" t="n"/>
      <c r="G602" s="60" t="n"/>
      <c r="H602" s="71">
        <f>IF(OR($C602="",$D602=""),"",IF(ISNUMBER($E602),$E602,IF($O602="","",IF(N(INDEX('Menu Pricing'!$O$7:$O$56,$O602))&gt;0,INDEX('Menu Pricing'!$O$7:$O$56,$O602),""))))</f>
        <v/>
      </c>
      <c r="I602" s="71">
        <f>IF($N602&lt;&gt;"OK","",$D602*$H602)</f>
        <v/>
      </c>
      <c r="J602" s="71">
        <f>IF($N602&lt;&gt;"OK","",N(INDEX('Menu Pricing'!$F$7:$F$56,$O602))+N(INDEX('Menu Pricing'!$G$7:$G$56,$O602))+N(INDEX('Menu Pricing'!$J$7:$J$56,$O602)))</f>
        <v/>
      </c>
      <c r="K602" s="71">
        <f>IF($N602&lt;&gt;"OK","",$D602*$J602)</f>
        <v/>
      </c>
      <c r="L602" s="71">
        <f>IF($N602&lt;&gt;"OK","",$I602-$K602)</f>
        <v/>
      </c>
      <c r="M602" s="71">
        <f>IF($N602&lt;&gt;"OK","",$D602*N(INDEX('Menu Pricing'!$F$7:$F$56,$O602)))</f>
        <v/>
      </c>
      <c r="N602" s="80">
        <f>IF(AND($B602="",$C602="",$D602=""),"",IF(NOT(ISNUMBER($B602)),"Enter a valid date",IF($C602="","Pick a menu item",IF($O602="","Item not on Menu Pricing",IF(N($D602)&lt;=0,"Qty must be above 0",IF($H602="","No price on menu","OK"))))))</f>
        <v/>
      </c>
      <c r="O602" s="13">
        <f>IF($C602="","",IFERROR(MATCH($C602,'Menu Pricing'!$B$7:$B$56,0),""))</f>
        <v/>
      </c>
    </row>
    <row r="603" ht="17" customHeight="1">
      <c r="B603" s="66" t="n"/>
      <c r="C603" s="60" t="n"/>
      <c r="D603" s="86" t="n"/>
      <c r="E603" s="63" t="n"/>
      <c r="F603" s="60" t="n"/>
      <c r="G603" s="60" t="n"/>
      <c r="H603" s="71">
        <f>IF(OR($C603="",$D603=""),"",IF(ISNUMBER($E603),$E603,IF($O603="","",IF(N(INDEX('Menu Pricing'!$O$7:$O$56,$O603))&gt;0,INDEX('Menu Pricing'!$O$7:$O$56,$O603),""))))</f>
        <v/>
      </c>
      <c r="I603" s="71">
        <f>IF($N603&lt;&gt;"OK","",$D603*$H603)</f>
        <v/>
      </c>
      <c r="J603" s="71">
        <f>IF($N603&lt;&gt;"OK","",N(INDEX('Menu Pricing'!$F$7:$F$56,$O603))+N(INDEX('Menu Pricing'!$G$7:$G$56,$O603))+N(INDEX('Menu Pricing'!$J$7:$J$56,$O603)))</f>
        <v/>
      </c>
      <c r="K603" s="71">
        <f>IF($N603&lt;&gt;"OK","",$D603*$J603)</f>
        <v/>
      </c>
      <c r="L603" s="71">
        <f>IF($N603&lt;&gt;"OK","",$I603-$K603)</f>
        <v/>
      </c>
      <c r="M603" s="71">
        <f>IF($N603&lt;&gt;"OK","",$D603*N(INDEX('Menu Pricing'!$F$7:$F$56,$O603)))</f>
        <v/>
      </c>
      <c r="N603" s="80">
        <f>IF(AND($B603="",$C603="",$D603=""),"",IF(NOT(ISNUMBER($B603)),"Enter a valid date",IF($C603="","Pick a menu item",IF($O603="","Item not on Menu Pricing",IF(N($D603)&lt;=0,"Qty must be above 0",IF($H603="","No price on menu","OK"))))))</f>
        <v/>
      </c>
      <c r="O603" s="13">
        <f>IF($C603="","",IFERROR(MATCH($C603,'Menu Pricing'!$B$7:$B$56,0),""))</f>
        <v/>
      </c>
    </row>
    <row r="604" ht="17" customHeight="1">
      <c r="B604" s="66" t="n"/>
      <c r="C604" s="60" t="n"/>
      <c r="D604" s="86" t="n"/>
      <c r="E604" s="63" t="n"/>
      <c r="F604" s="60" t="n"/>
      <c r="G604" s="60" t="n"/>
      <c r="H604" s="71">
        <f>IF(OR($C604="",$D604=""),"",IF(ISNUMBER($E604),$E604,IF($O604="","",IF(N(INDEX('Menu Pricing'!$O$7:$O$56,$O604))&gt;0,INDEX('Menu Pricing'!$O$7:$O$56,$O604),""))))</f>
        <v/>
      </c>
      <c r="I604" s="71">
        <f>IF($N604&lt;&gt;"OK","",$D604*$H604)</f>
        <v/>
      </c>
      <c r="J604" s="71">
        <f>IF($N604&lt;&gt;"OK","",N(INDEX('Menu Pricing'!$F$7:$F$56,$O604))+N(INDEX('Menu Pricing'!$G$7:$G$56,$O604))+N(INDEX('Menu Pricing'!$J$7:$J$56,$O604)))</f>
        <v/>
      </c>
      <c r="K604" s="71">
        <f>IF($N604&lt;&gt;"OK","",$D604*$J604)</f>
        <v/>
      </c>
      <c r="L604" s="71">
        <f>IF($N604&lt;&gt;"OK","",$I604-$K604)</f>
        <v/>
      </c>
      <c r="M604" s="71">
        <f>IF($N604&lt;&gt;"OK","",$D604*N(INDEX('Menu Pricing'!$F$7:$F$56,$O604)))</f>
        <v/>
      </c>
      <c r="N604" s="80">
        <f>IF(AND($B604="",$C604="",$D604=""),"",IF(NOT(ISNUMBER($B604)),"Enter a valid date",IF($C604="","Pick a menu item",IF($O604="","Item not on Menu Pricing",IF(N($D604)&lt;=0,"Qty must be above 0",IF($H604="","No price on menu","OK"))))))</f>
        <v/>
      </c>
      <c r="O604" s="13">
        <f>IF($C604="","",IFERROR(MATCH($C604,'Menu Pricing'!$B$7:$B$56,0),""))</f>
        <v/>
      </c>
    </row>
    <row r="605" ht="17" customHeight="1">
      <c r="B605" s="66" t="n"/>
      <c r="C605" s="60" t="n"/>
      <c r="D605" s="86" t="n"/>
      <c r="E605" s="63" t="n"/>
      <c r="F605" s="60" t="n"/>
      <c r="G605" s="60" t="n"/>
      <c r="H605" s="71">
        <f>IF(OR($C605="",$D605=""),"",IF(ISNUMBER($E605),$E605,IF($O605="","",IF(N(INDEX('Menu Pricing'!$O$7:$O$56,$O605))&gt;0,INDEX('Menu Pricing'!$O$7:$O$56,$O605),""))))</f>
        <v/>
      </c>
      <c r="I605" s="71">
        <f>IF($N605&lt;&gt;"OK","",$D605*$H605)</f>
        <v/>
      </c>
      <c r="J605" s="71">
        <f>IF($N605&lt;&gt;"OK","",N(INDEX('Menu Pricing'!$F$7:$F$56,$O605))+N(INDEX('Menu Pricing'!$G$7:$G$56,$O605))+N(INDEX('Menu Pricing'!$J$7:$J$56,$O605)))</f>
        <v/>
      </c>
      <c r="K605" s="71">
        <f>IF($N605&lt;&gt;"OK","",$D605*$J605)</f>
        <v/>
      </c>
      <c r="L605" s="71">
        <f>IF($N605&lt;&gt;"OK","",$I605-$K605)</f>
        <v/>
      </c>
      <c r="M605" s="71">
        <f>IF($N605&lt;&gt;"OK","",$D605*N(INDEX('Menu Pricing'!$F$7:$F$56,$O605)))</f>
        <v/>
      </c>
      <c r="N605" s="80">
        <f>IF(AND($B605="",$C605="",$D605=""),"",IF(NOT(ISNUMBER($B605)),"Enter a valid date",IF($C605="","Pick a menu item",IF($O605="","Item not on Menu Pricing",IF(N($D605)&lt;=0,"Qty must be above 0",IF($H605="","No price on menu","OK"))))))</f>
        <v/>
      </c>
      <c r="O605" s="13">
        <f>IF($C605="","",IFERROR(MATCH($C605,'Menu Pricing'!$B$7:$B$56,0),""))</f>
        <v/>
      </c>
    </row>
    <row r="606" ht="17" customHeight="1">
      <c r="B606" s="66" t="n"/>
      <c r="C606" s="60" t="n"/>
      <c r="D606" s="86" t="n"/>
      <c r="E606" s="63" t="n"/>
      <c r="F606" s="60" t="n"/>
      <c r="G606" s="60" t="n"/>
      <c r="H606" s="71">
        <f>IF(OR($C606="",$D606=""),"",IF(ISNUMBER($E606),$E606,IF($O606="","",IF(N(INDEX('Menu Pricing'!$O$7:$O$56,$O606))&gt;0,INDEX('Menu Pricing'!$O$7:$O$56,$O606),""))))</f>
        <v/>
      </c>
      <c r="I606" s="71">
        <f>IF($N606&lt;&gt;"OK","",$D606*$H606)</f>
        <v/>
      </c>
      <c r="J606" s="71">
        <f>IF($N606&lt;&gt;"OK","",N(INDEX('Menu Pricing'!$F$7:$F$56,$O606))+N(INDEX('Menu Pricing'!$G$7:$G$56,$O606))+N(INDEX('Menu Pricing'!$J$7:$J$56,$O606)))</f>
        <v/>
      </c>
      <c r="K606" s="71">
        <f>IF($N606&lt;&gt;"OK","",$D606*$J606)</f>
        <v/>
      </c>
      <c r="L606" s="71">
        <f>IF($N606&lt;&gt;"OK","",$I606-$K606)</f>
        <v/>
      </c>
      <c r="M606" s="71">
        <f>IF($N606&lt;&gt;"OK","",$D606*N(INDEX('Menu Pricing'!$F$7:$F$56,$O606)))</f>
        <v/>
      </c>
      <c r="N606" s="80">
        <f>IF(AND($B606="",$C606="",$D606=""),"",IF(NOT(ISNUMBER($B606)),"Enter a valid date",IF($C606="","Pick a menu item",IF($O606="","Item not on Menu Pricing",IF(N($D606)&lt;=0,"Qty must be above 0",IF($H606="","No price on menu","OK"))))))</f>
        <v/>
      </c>
      <c r="O606" s="13">
        <f>IF($C606="","",IFERROR(MATCH($C606,'Menu Pricing'!$B$7:$B$56,0),""))</f>
        <v/>
      </c>
    </row>
    <row r="607" ht="17" customHeight="1">
      <c r="B607" s="66" t="n"/>
      <c r="C607" s="60" t="n"/>
      <c r="D607" s="86" t="n"/>
      <c r="E607" s="63" t="n"/>
      <c r="F607" s="60" t="n"/>
      <c r="G607" s="60" t="n"/>
      <c r="H607" s="71">
        <f>IF(OR($C607="",$D607=""),"",IF(ISNUMBER($E607),$E607,IF($O607="","",IF(N(INDEX('Menu Pricing'!$O$7:$O$56,$O607))&gt;0,INDEX('Menu Pricing'!$O$7:$O$56,$O607),""))))</f>
        <v/>
      </c>
      <c r="I607" s="71">
        <f>IF($N607&lt;&gt;"OK","",$D607*$H607)</f>
        <v/>
      </c>
      <c r="J607" s="71">
        <f>IF($N607&lt;&gt;"OK","",N(INDEX('Menu Pricing'!$F$7:$F$56,$O607))+N(INDEX('Menu Pricing'!$G$7:$G$56,$O607))+N(INDEX('Menu Pricing'!$J$7:$J$56,$O607)))</f>
        <v/>
      </c>
      <c r="K607" s="71">
        <f>IF($N607&lt;&gt;"OK","",$D607*$J607)</f>
        <v/>
      </c>
      <c r="L607" s="71">
        <f>IF($N607&lt;&gt;"OK","",$I607-$K607)</f>
        <v/>
      </c>
      <c r="M607" s="71">
        <f>IF($N607&lt;&gt;"OK","",$D607*N(INDEX('Menu Pricing'!$F$7:$F$56,$O607)))</f>
        <v/>
      </c>
      <c r="N607" s="80">
        <f>IF(AND($B607="",$C607="",$D607=""),"",IF(NOT(ISNUMBER($B607)),"Enter a valid date",IF($C607="","Pick a menu item",IF($O607="","Item not on Menu Pricing",IF(N($D607)&lt;=0,"Qty must be above 0",IF($H607="","No price on menu","OK"))))))</f>
        <v/>
      </c>
      <c r="O607" s="13">
        <f>IF($C607="","",IFERROR(MATCH($C607,'Menu Pricing'!$B$7:$B$56,0),""))</f>
        <v/>
      </c>
    </row>
    <row r="608" ht="17" customHeight="1">
      <c r="B608" s="66" t="n"/>
      <c r="C608" s="60" t="n"/>
      <c r="D608" s="86" t="n"/>
      <c r="E608" s="63" t="n"/>
      <c r="F608" s="60" t="n"/>
      <c r="G608" s="60" t="n"/>
      <c r="H608" s="71">
        <f>IF(OR($C608="",$D608=""),"",IF(ISNUMBER($E608),$E608,IF($O608="","",IF(N(INDEX('Menu Pricing'!$O$7:$O$56,$O608))&gt;0,INDEX('Menu Pricing'!$O$7:$O$56,$O608),""))))</f>
        <v/>
      </c>
      <c r="I608" s="71">
        <f>IF($N608&lt;&gt;"OK","",$D608*$H608)</f>
        <v/>
      </c>
      <c r="J608" s="71">
        <f>IF($N608&lt;&gt;"OK","",N(INDEX('Menu Pricing'!$F$7:$F$56,$O608))+N(INDEX('Menu Pricing'!$G$7:$G$56,$O608))+N(INDEX('Menu Pricing'!$J$7:$J$56,$O608)))</f>
        <v/>
      </c>
      <c r="K608" s="71">
        <f>IF($N608&lt;&gt;"OK","",$D608*$J608)</f>
        <v/>
      </c>
      <c r="L608" s="71">
        <f>IF($N608&lt;&gt;"OK","",$I608-$K608)</f>
        <v/>
      </c>
      <c r="M608" s="71">
        <f>IF($N608&lt;&gt;"OK","",$D608*N(INDEX('Menu Pricing'!$F$7:$F$56,$O608)))</f>
        <v/>
      </c>
      <c r="N608" s="80">
        <f>IF(AND($B608="",$C608="",$D608=""),"",IF(NOT(ISNUMBER($B608)),"Enter a valid date",IF($C608="","Pick a menu item",IF($O608="","Item not on Menu Pricing",IF(N($D608)&lt;=0,"Qty must be above 0",IF($H608="","No price on menu","OK"))))))</f>
        <v/>
      </c>
      <c r="O608" s="13">
        <f>IF($C608="","",IFERROR(MATCH($C608,'Menu Pricing'!$B$7:$B$56,0),""))</f>
        <v/>
      </c>
    </row>
    <row r="609" ht="17" customHeight="1">
      <c r="B609" s="66" t="n"/>
      <c r="C609" s="60" t="n"/>
      <c r="D609" s="86" t="n"/>
      <c r="E609" s="63" t="n"/>
      <c r="F609" s="60" t="n"/>
      <c r="G609" s="60" t="n"/>
      <c r="H609" s="71">
        <f>IF(OR($C609="",$D609=""),"",IF(ISNUMBER($E609),$E609,IF($O609="","",IF(N(INDEX('Menu Pricing'!$O$7:$O$56,$O609))&gt;0,INDEX('Menu Pricing'!$O$7:$O$56,$O609),""))))</f>
        <v/>
      </c>
      <c r="I609" s="71">
        <f>IF($N609&lt;&gt;"OK","",$D609*$H609)</f>
        <v/>
      </c>
      <c r="J609" s="71">
        <f>IF($N609&lt;&gt;"OK","",N(INDEX('Menu Pricing'!$F$7:$F$56,$O609))+N(INDEX('Menu Pricing'!$G$7:$G$56,$O609))+N(INDEX('Menu Pricing'!$J$7:$J$56,$O609)))</f>
        <v/>
      </c>
      <c r="K609" s="71">
        <f>IF($N609&lt;&gt;"OK","",$D609*$J609)</f>
        <v/>
      </c>
      <c r="L609" s="71">
        <f>IF($N609&lt;&gt;"OK","",$I609-$K609)</f>
        <v/>
      </c>
      <c r="M609" s="71">
        <f>IF($N609&lt;&gt;"OK","",$D609*N(INDEX('Menu Pricing'!$F$7:$F$56,$O609)))</f>
        <v/>
      </c>
      <c r="N609" s="80">
        <f>IF(AND($B609="",$C609="",$D609=""),"",IF(NOT(ISNUMBER($B609)),"Enter a valid date",IF($C609="","Pick a menu item",IF($O609="","Item not on Menu Pricing",IF(N($D609)&lt;=0,"Qty must be above 0",IF($H609="","No price on menu","OK"))))))</f>
        <v/>
      </c>
      <c r="O609" s="13">
        <f>IF($C609="","",IFERROR(MATCH($C609,'Menu Pricing'!$B$7:$B$56,0),""))</f>
        <v/>
      </c>
    </row>
    <row r="610" ht="17" customHeight="1">
      <c r="B610" s="66" t="n"/>
      <c r="C610" s="60" t="n"/>
      <c r="D610" s="86" t="n"/>
      <c r="E610" s="63" t="n"/>
      <c r="F610" s="60" t="n"/>
      <c r="G610" s="60" t="n"/>
      <c r="H610" s="71">
        <f>IF(OR($C610="",$D610=""),"",IF(ISNUMBER($E610),$E610,IF($O610="","",IF(N(INDEX('Menu Pricing'!$O$7:$O$56,$O610))&gt;0,INDEX('Menu Pricing'!$O$7:$O$56,$O610),""))))</f>
        <v/>
      </c>
      <c r="I610" s="71">
        <f>IF($N610&lt;&gt;"OK","",$D610*$H610)</f>
        <v/>
      </c>
      <c r="J610" s="71">
        <f>IF($N610&lt;&gt;"OK","",N(INDEX('Menu Pricing'!$F$7:$F$56,$O610))+N(INDEX('Menu Pricing'!$G$7:$G$56,$O610))+N(INDEX('Menu Pricing'!$J$7:$J$56,$O610)))</f>
        <v/>
      </c>
      <c r="K610" s="71">
        <f>IF($N610&lt;&gt;"OK","",$D610*$J610)</f>
        <v/>
      </c>
      <c r="L610" s="71">
        <f>IF($N610&lt;&gt;"OK","",$I610-$K610)</f>
        <v/>
      </c>
      <c r="M610" s="71">
        <f>IF($N610&lt;&gt;"OK","",$D610*N(INDEX('Menu Pricing'!$F$7:$F$56,$O610)))</f>
        <v/>
      </c>
      <c r="N610" s="80">
        <f>IF(AND($B610="",$C610="",$D610=""),"",IF(NOT(ISNUMBER($B610)),"Enter a valid date",IF($C610="","Pick a menu item",IF($O610="","Item not on Menu Pricing",IF(N($D610)&lt;=0,"Qty must be above 0",IF($H610="","No price on menu","OK"))))))</f>
        <v/>
      </c>
      <c r="O610" s="13">
        <f>IF($C610="","",IFERROR(MATCH($C610,'Menu Pricing'!$B$7:$B$56,0),""))</f>
        <v/>
      </c>
    </row>
    <row r="611" ht="17" customHeight="1">
      <c r="B611" s="66" t="n"/>
      <c r="C611" s="60" t="n"/>
      <c r="D611" s="86" t="n"/>
      <c r="E611" s="63" t="n"/>
      <c r="F611" s="60" t="n"/>
      <c r="G611" s="60" t="n"/>
      <c r="H611" s="71">
        <f>IF(OR($C611="",$D611=""),"",IF(ISNUMBER($E611),$E611,IF($O611="","",IF(N(INDEX('Menu Pricing'!$O$7:$O$56,$O611))&gt;0,INDEX('Menu Pricing'!$O$7:$O$56,$O611),""))))</f>
        <v/>
      </c>
      <c r="I611" s="71">
        <f>IF($N611&lt;&gt;"OK","",$D611*$H611)</f>
        <v/>
      </c>
      <c r="J611" s="71">
        <f>IF($N611&lt;&gt;"OK","",N(INDEX('Menu Pricing'!$F$7:$F$56,$O611))+N(INDEX('Menu Pricing'!$G$7:$G$56,$O611))+N(INDEX('Menu Pricing'!$J$7:$J$56,$O611)))</f>
        <v/>
      </c>
      <c r="K611" s="71">
        <f>IF($N611&lt;&gt;"OK","",$D611*$J611)</f>
        <v/>
      </c>
      <c r="L611" s="71">
        <f>IF($N611&lt;&gt;"OK","",$I611-$K611)</f>
        <v/>
      </c>
      <c r="M611" s="71">
        <f>IF($N611&lt;&gt;"OK","",$D611*N(INDEX('Menu Pricing'!$F$7:$F$56,$O611)))</f>
        <v/>
      </c>
      <c r="N611" s="80">
        <f>IF(AND($B611="",$C611="",$D611=""),"",IF(NOT(ISNUMBER($B611)),"Enter a valid date",IF($C611="","Pick a menu item",IF($O611="","Item not on Menu Pricing",IF(N($D611)&lt;=0,"Qty must be above 0",IF($H611="","No price on menu","OK"))))))</f>
        <v/>
      </c>
      <c r="O611" s="13">
        <f>IF($C611="","",IFERROR(MATCH($C611,'Menu Pricing'!$B$7:$B$56,0),""))</f>
        <v/>
      </c>
    </row>
    <row r="612" ht="17" customHeight="1">
      <c r="B612" s="66" t="n"/>
      <c r="C612" s="60" t="n"/>
      <c r="D612" s="86" t="n"/>
      <c r="E612" s="63" t="n"/>
      <c r="F612" s="60" t="n"/>
      <c r="G612" s="60" t="n"/>
      <c r="H612" s="71">
        <f>IF(OR($C612="",$D612=""),"",IF(ISNUMBER($E612),$E612,IF($O612="","",IF(N(INDEX('Menu Pricing'!$O$7:$O$56,$O612))&gt;0,INDEX('Menu Pricing'!$O$7:$O$56,$O612),""))))</f>
        <v/>
      </c>
      <c r="I612" s="71">
        <f>IF($N612&lt;&gt;"OK","",$D612*$H612)</f>
        <v/>
      </c>
      <c r="J612" s="71">
        <f>IF($N612&lt;&gt;"OK","",N(INDEX('Menu Pricing'!$F$7:$F$56,$O612))+N(INDEX('Menu Pricing'!$G$7:$G$56,$O612))+N(INDEX('Menu Pricing'!$J$7:$J$56,$O612)))</f>
        <v/>
      </c>
      <c r="K612" s="71">
        <f>IF($N612&lt;&gt;"OK","",$D612*$J612)</f>
        <v/>
      </c>
      <c r="L612" s="71">
        <f>IF($N612&lt;&gt;"OK","",$I612-$K612)</f>
        <v/>
      </c>
      <c r="M612" s="71">
        <f>IF($N612&lt;&gt;"OK","",$D612*N(INDEX('Menu Pricing'!$F$7:$F$56,$O612)))</f>
        <v/>
      </c>
      <c r="N612" s="80">
        <f>IF(AND($B612="",$C612="",$D612=""),"",IF(NOT(ISNUMBER($B612)),"Enter a valid date",IF($C612="","Pick a menu item",IF($O612="","Item not on Menu Pricing",IF(N($D612)&lt;=0,"Qty must be above 0",IF($H612="","No price on menu","OK"))))))</f>
        <v/>
      </c>
      <c r="O612" s="13">
        <f>IF($C612="","",IFERROR(MATCH($C612,'Menu Pricing'!$B$7:$B$56,0),""))</f>
        <v/>
      </c>
    </row>
    <row r="613" ht="17" customHeight="1">
      <c r="B613" s="66" t="n"/>
      <c r="C613" s="60" t="n"/>
      <c r="D613" s="86" t="n"/>
      <c r="E613" s="63" t="n"/>
      <c r="F613" s="60" t="n"/>
      <c r="G613" s="60" t="n"/>
      <c r="H613" s="71">
        <f>IF(OR($C613="",$D613=""),"",IF(ISNUMBER($E613),$E613,IF($O613="","",IF(N(INDEX('Menu Pricing'!$O$7:$O$56,$O613))&gt;0,INDEX('Menu Pricing'!$O$7:$O$56,$O613),""))))</f>
        <v/>
      </c>
      <c r="I613" s="71">
        <f>IF($N613&lt;&gt;"OK","",$D613*$H613)</f>
        <v/>
      </c>
      <c r="J613" s="71">
        <f>IF($N613&lt;&gt;"OK","",N(INDEX('Menu Pricing'!$F$7:$F$56,$O613))+N(INDEX('Menu Pricing'!$G$7:$G$56,$O613))+N(INDEX('Menu Pricing'!$J$7:$J$56,$O613)))</f>
        <v/>
      </c>
      <c r="K613" s="71">
        <f>IF($N613&lt;&gt;"OK","",$D613*$J613)</f>
        <v/>
      </c>
      <c r="L613" s="71">
        <f>IF($N613&lt;&gt;"OK","",$I613-$K613)</f>
        <v/>
      </c>
      <c r="M613" s="71">
        <f>IF($N613&lt;&gt;"OK","",$D613*N(INDEX('Menu Pricing'!$F$7:$F$56,$O613)))</f>
        <v/>
      </c>
      <c r="N613" s="80">
        <f>IF(AND($B613="",$C613="",$D613=""),"",IF(NOT(ISNUMBER($B613)),"Enter a valid date",IF($C613="","Pick a menu item",IF($O613="","Item not on Menu Pricing",IF(N($D613)&lt;=0,"Qty must be above 0",IF($H613="","No price on menu","OK"))))))</f>
        <v/>
      </c>
      <c r="O613" s="13">
        <f>IF($C613="","",IFERROR(MATCH($C613,'Menu Pricing'!$B$7:$B$56,0),""))</f>
        <v/>
      </c>
    </row>
    <row r="614" ht="17" customHeight="1">
      <c r="B614" s="66" t="n"/>
      <c r="C614" s="60" t="n"/>
      <c r="D614" s="86" t="n"/>
      <c r="E614" s="63" t="n"/>
      <c r="F614" s="60" t="n"/>
      <c r="G614" s="60" t="n"/>
      <c r="H614" s="71">
        <f>IF(OR($C614="",$D614=""),"",IF(ISNUMBER($E614),$E614,IF($O614="","",IF(N(INDEX('Menu Pricing'!$O$7:$O$56,$O614))&gt;0,INDEX('Menu Pricing'!$O$7:$O$56,$O614),""))))</f>
        <v/>
      </c>
      <c r="I614" s="71">
        <f>IF($N614&lt;&gt;"OK","",$D614*$H614)</f>
        <v/>
      </c>
      <c r="J614" s="71">
        <f>IF($N614&lt;&gt;"OK","",N(INDEX('Menu Pricing'!$F$7:$F$56,$O614))+N(INDEX('Menu Pricing'!$G$7:$G$56,$O614))+N(INDEX('Menu Pricing'!$J$7:$J$56,$O614)))</f>
        <v/>
      </c>
      <c r="K614" s="71">
        <f>IF($N614&lt;&gt;"OK","",$D614*$J614)</f>
        <v/>
      </c>
      <c r="L614" s="71">
        <f>IF($N614&lt;&gt;"OK","",$I614-$K614)</f>
        <v/>
      </c>
      <c r="M614" s="71">
        <f>IF($N614&lt;&gt;"OK","",$D614*N(INDEX('Menu Pricing'!$F$7:$F$56,$O614)))</f>
        <v/>
      </c>
      <c r="N614" s="80">
        <f>IF(AND($B614="",$C614="",$D614=""),"",IF(NOT(ISNUMBER($B614)),"Enter a valid date",IF($C614="","Pick a menu item",IF($O614="","Item not on Menu Pricing",IF(N($D614)&lt;=0,"Qty must be above 0",IF($H614="","No price on menu","OK"))))))</f>
        <v/>
      </c>
      <c r="O614" s="13">
        <f>IF($C614="","",IFERROR(MATCH($C614,'Menu Pricing'!$B$7:$B$56,0),""))</f>
        <v/>
      </c>
    </row>
    <row r="615" ht="17" customHeight="1">
      <c r="B615" s="66" t="n"/>
      <c r="C615" s="60" t="n"/>
      <c r="D615" s="86" t="n"/>
      <c r="E615" s="63" t="n"/>
      <c r="F615" s="60" t="n"/>
      <c r="G615" s="60" t="n"/>
      <c r="H615" s="71">
        <f>IF(OR($C615="",$D615=""),"",IF(ISNUMBER($E615),$E615,IF($O615="","",IF(N(INDEX('Menu Pricing'!$O$7:$O$56,$O615))&gt;0,INDEX('Menu Pricing'!$O$7:$O$56,$O615),""))))</f>
        <v/>
      </c>
      <c r="I615" s="71">
        <f>IF($N615&lt;&gt;"OK","",$D615*$H615)</f>
        <v/>
      </c>
      <c r="J615" s="71">
        <f>IF($N615&lt;&gt;"OK","",N(INDEX('Menu Pricing'!$F$7:$F$56,$O615))+N(INDEX('Menu Pricing'!$G$7:$G$56,$O615))+N(INDEX('Menu Pricing'!$J$7:$J$56,$O615)))</f>
        <v/>
      </c>
      <c r="K615" s="71">
        <f>IF($N615&lt;&gt;"OK","",$D615*$J615)</f>
        <v/>
      </c>
      <c r="L615" s="71">
        <f>IF($N615&lt;&gt;"OK","",$I615-$K615)</f>
        <v/>
      </c>
      <c r="M615" s="71">
        <f>IF($N615&lt;&gt;"OK","",$D615*N(INDEX('Menu Pricing'!$F$7:$F$56,$O615)))</f>
        <v/>
      </c>
      <c r="N615" s="80">
        <f>IF(AND($B615="",$C615="",$D615=""),"",IF(NOT(ISNUMBER($B615)),"Enter a valid date",IF($C615="","Pick a menu item",IF($O615="","Item not on Menu Pricing",IF(N($D615)&lt;=0,"Qty must be above 0",IF($H615="","No price on menu","OK"))))))</f>
        <v/>
      </c>
      <c r="O615" s="13">
        <f>IF($C615="","",IFERROR(MATCH($C615,'Menu Pricing'!$B$7:$B$56,0),""))</f>
        <v/>
      </c>
    </row>
    <row r="616" ht="17" customHeight="1">
      <c r="B616" s="66" t="n"/>
      <c r="C616" s="60" t="n"/>
      <c r="D616" s="86" t="n"/>
      <c r="E616" s="63" t="n"/>
      <c r="F616" s="60" t="n"/>
      <c r="G616" s="60" t="n"/>
      <c r="H616" s="71">
        <f>IF(OR($C616="",$D616=""),"",IF(ISNUMBER($E616),$E616,IF($O616="","",IF(N(INDEX('Menu Pricing'!$O$7:$O$56,$O616))&gt;0,INDEX('Menu Pricing'!$O$7:$O$56,$O616),""))))</f>
        <v/>
      </c>
      <c r="I616" s="71">
        <f>IF($N616&lt;&gt;"OK","",$D616*$H616)</f>
        <v/>
      </c>
      <c r="J616" s="71">
        <f>IF($N616&lt;&gt;"OK","",N(INDEX('Menu Pricing'!$F$7:$F$56,$O616))+N(INDEX('Menu Pricing'!$G$7:$G$56,$O616))+N(INDEX('Menu Pricing'!$J$7:$J$56,$O616)))</f>
        <v/>
      </c>
      <c r="K616" s="71">
        <f>IF($N616&lt;&gt;"OK","",$D616*$J616)</f>
        <v/>
      </c>
      <c r="L616" s="71">
        <f>IF($N616&lt;&gt;"OK","",$I616-$K616)</f>
        <v/>
      </c>
      <c r="M616" s="71">
        <f>IF($N616&lt;&gt;"OK","",$D616*N(INDEX('Menu Pricing'!$F$7:$F$56,$O616)))</f>
        <v/>
      </c>
      <c r="N616" s="80">
        <f>IF(AND($B616="",$C616="",$D616=""),"",IF(NOT(ISNUMBER($B616)),"Enter a valid date",IF($C616="","Pick a menu item",IF($O616="","Item not on Menu Pricing",IF(N($D616)&lt;=0,"Qty must be above 0",IF($H616="","No price on menu","OK"))))))</f>
        <v/>
      </c>
      <c r="O616" s="13">
        <f>IF($C616="","",IFERROR(MATCH($C616,'Menu Pricing'!$B$7:$B$56,0),""))</f>
        <v/>
      </c>
    </row>
    <row r="617" ht="17" customHeight="1">
      <c r="B617" s="66" t="n"/>
      <c r="C617" s="60" t="n"/>
      <c r="D617" s="86" t="n"/>
      <c r="E617" s="63" t="n"/>
      <c r="F617" s="60" t="n"/>
      <c r="G617" s="60" t="n"/>
      <c r="H617" s="71">
        <f>IF(OR($C617="",$D617=""),"",IF(ISNUMBER($E617),$E617,IF($O617="","",IF(N(INDEX('Menu Pricing'!$O$7:$O$56,$O617))&gt;0,INDEX('Menu Pricing'!$O$7:$O$56,$O617),""))))</f>
        <v/>
      </c>
      <c r="I617" s="71">
        <f>IF($N617&lt;&gt;"OK","",$D617*$H617)</f>
        <v/>
      </c>
      <c r="J617" s="71">
        <f>IF($N617&lt;&gt;"OK","",N(INDEX('Menu Pricing'!$F$7:$F$56,$O617))+N(INDEX('Menu Pricing'!$G$7:$G$56,$O617))+N(INDEX('Menu Pricing'!$J$7:$J$56,$O617)))</f>
        <v/>
      </c>
      <c r="K617" s="71">
        <f>IF($N617&lt;&gt;"OK","",$D617*$J617)</f>
        <v/>
      </c>
      <c r="L617" s="71">
        <f>IF($N617&lt;&gt;"OK","",$I617-$K617)</f>
        <v/>
      </c>
      <c r="M617" s="71">
        <f>IF($N617&lt;&gt;"OK","",$D617*N(INDEX('Menu Pricing'!$F$7:$F$56,$O617)))</f>
        <v/>
      </c>
      <c r="N617" s="80">
        <f>IF(AND($B617="",$C617="",$D617=""),"",IF(NOT(ISNUMBER($B617)),"Enter a valid date",IF($C617="","Pick a menu item",IF($O617="","Item not on Menu Pricing",IF(N($D617)&lt;=0,"Qty must be above 0",IF($H617="","No price on menu","OK"))))))</f>
        <v/>
      </c>
      <c r="O617" s="13">
        <f>IF($C617="","",IFERROR(MATCH($C617,'Menu Pricing'!$B$7:$B$56,0),""))</f>
        <v/>
      </c>
    </row>
    <row r="618" ht="17" customHeight="1">
      <c r="B618" s="66" t="n"/>
      <c r="C618" s="60" t="n"/>
      <c r="D618" s="86" t="n"/>
      <c r="E618" s="63" t="n"/>
      <c r="F618" s="60" t="n"/>
      <c r="G618" s="60" t="n"/>
      <c r="H618" s="71">
        <f>IF(OR($C618="",$D618=""),"",IF(ISNUMBER($E618),$E618,IF($O618="","",IF(N(INDEX('Menu Pricing'!$O$7:$O$56,$O618))&gt;0,INDEX('Menu Pricing'!$O$7:$O$56,$O618),""))))</f>
        <v/>
      </c>
      <c r="I618" s="71">
        <f>IF($N618&lt;&gt;"OK","",$D618*$H618)</f>
        <v/>
      </c>
      <c r="J618" s="71">
        <f>IF($N618&lt;&gt;"OK","",N(INDEX('Menu Pricing'!$F$7:$F$56,$O618))+N(INDEX('Menu Pricing'!$G$7:$G$56,$O618))+N(INDEX('Menu Pricing'!$J$7:$J$56,$O618)))</f>
        <v/>
      </c>
      <c r="K618" s="71">
        <f>IF($N618&lt;&gt;"OK","",$D618*$J618)</f>
        <v/>
      </c>
      <c r="L618" s="71">
        <f>IF($N618&lt;&gt;"OK","",$I618-$K618)</f>
        <v/>
      </c>
      <c r="M618" s="71">
        <f>IF($N618&lt;&gt;"OK","",$D618*N(INDEX('Menu Pricing'!$F$7:$F$56,$O618)))</f>
        <v/>
      </c>
      <c r="N618" s="80">
        <f>IF(AND($B618="",$C618="",$D618=""),"",IF(NOT(ISNUMBER($B618)),"Enter a valid date",IF($C618="","Pick a menu item",IF($O618="","Item not on Menu Pricing",IF(N($D618)&lt;=0,"Qty must be above 0",IF($H618="","No price on menu","OK"))))))</f>
        <v/>
      </c>
      <c r="O618" s="13">
        <f>IF($C618="","",IFERROR(MATCH($C618,'Menu Pricing'!$B$7:$B$56,0),""))</f>
        <v/>
      </c>
    </row>
    <row r="619" ht="17" customHeight="1">
      <c r="B619" s="66" t="n"/>
      <c r="C619" s="60" t="n"/>
      <c r="D619" s="86" t="n"/>
      <c r="E619" s="63" t="n"/>
      <c r="F619" s="60" t="n"/>
      <c r="G619" s="60" t="n"/>
      <c r="H619" s="71">
        <f>IF(OR($C619="",$D619=""),"",IF(ISNUMBER($E619),$E619,IF($O619="","",IF(N(INDEX('Menu Pricing'!$O$7:$O$56,$O619))&gt;0,INDEX('Menu Pricing'!$O$7:$O$56,$O619),""))))</f>
        <v/>
      </c>
      <c r="I619" s="71">
        <f>IF($N619&lt;&gt;"OK","",$D619*$H619)</f>
        <v/>
      </c>
      <c r="J619" s="71">
        <f>IF($N619&lt;&gt;"OK","",N(INDEX('Menu Pricing'!$F$7:$F$56,$O619))+N(INDEX('Menu Pricing'!$G$7:$G$56,$O619))+N(INDEX('Menu Pricing'!$J$7:$J$56,$O619)))</f>
        <v/>
      </c>
      <c r="K619" s="71">
        <f>IF($N619&lt;&gt;"OK","",$D619*$J619)</f>
        <v/>
      </c>
      <c r="L619" s="71">
        <f>IF($N619&lt;&gt;"OK","",$I619-$K619)</f>
        <v/>
      </c>
      <c r="M619" s="71">
        <f>IF($N619&lt;&gt;"OK","",$D619*N(INDEX('Menu Pricing'!$F$7:$F$56,$O619)))</f>
        <v/>
      </c>
      <c r="N619" s="80">
        <f>IF(AND($B619="",$C619="",$D619=""),"",IF(NOT(ISNUMBER($B619)),"Enter a valid date",IF($C619="","Pick a menu item",IF($O619="","Item not on Menu Pricing",IF(N($D619)&lt;=0,"Qty must be above 0",IF($H619="","No price on menu","OK"))))))</f>
        <v/>
      </c>
      <c r="O619" s="13">
        <f>IF($C619="","",IFERROR(MATCH($C619,'Menu Pricing'!$B$7:$B$56,0),""))</f>
        <v/>
      </c>
    </row>
    <row r="620" ht="17" customHeight="1">
      <c r="B620" s="66" t="n"/>
      <c r="C620" s="60" t="n"/>
      <c r="D620" s="86" t="n"/>
      <c r="E620" s="63" t="n"/>
      <c r="F620" s="60" t="n"/>
      <c r="G620" s="60" t="n"/>
      <c r="H620" s="71">
        <f>IF(OR($C620="",$D620=""),"",IF(ISNUMBER($E620),$E620,IF($O620="","",IF(N(INDEX('Menu Pricing'!$O$7:$O$56,$O620))&gt;0,INDEX('Menu Pricing'!$O$7:$O$56,$O620),""))))</f>
        <v/>
      </c>
      <c r="I620" s="71">
        <f>IF($N620&lt;&gt;"OK","",$D620*$H620)</f>
        <v/>
      </c>
      <c r="J620" s="71">
        <f>IF($N620&lt;&gt;"OK","",N(INDEX('Menu Pricing'!$F$7:$F$56,$O620))+N(INDEX('Menu Pricing'!$G$7:$G$56,$O620))+N(INDEX('Menu Pricing'!$J$7:$J$56,$O620)))</f>
        <v/>
      </c>
      <c r="K620" s="71">
        <f>IF($N620&lt;&gt;"OK","",$D620*$J620)</f>
        <v/>
      </c>
      <c r="L620" s="71">
        <f>IF($N620&lt;&gt;"OK","",$I620-$K620)</f>
        <v/>
      </c>
      <c r="M620" s="71">
        <f>IF($N620&lt;&gt;"OK","",$D620*N(INDEX('Menu Pricing'!$F$7:$F$56,$O620)))</f>
        <v/>
      </c>
      <c r="N620" s="80">
        <f>IF(AND($B620="",$C620="",$D620=""),"",IF(NOT(ISNUMBER($B620)),"Enter a valid date",IF($C620="","Pick a menu item",IF($O620="","Item not on Menu Pricing",IF(N($D620)&lt;=0,"Qty must be above 0",IF($H620="","No price on menu","OK"))))))</f>
        <v/>
      </c>
      <c r="O620" s="13">
        <f>IF($C620="","",IFERROR(MATCH($C620,'Menu Pricing'!$B$7:$B$56,0),""))</f>
        <v/>
      </c>
    </row>
    <row r="621" ht="17" customHeight="1">
      <c r="B621" s="66" t="n"/>
      <c r="C621" s="60" t="n"/>
      <c r="D621" s="86" t="n"/>
      <c r="E621" s="63" t="n"/>
      <c r="F621" s="60" t="n"/>
      <c r="G621" s="60" t="n"/>
      <c r="H621" s="71">
        <f>IF(OR($C621="",$D621=""),"",IF(ISNUMBER($E621),$E621,IF($O621="","",IF(N(INDEX('Menu Pricing'!$O$7:$O$56,$O621))&gt;0,INDEX('Menu Pricing'!$O$7:$O$56,$O621),""))))</f>
        <v/>
      </c>
      <c r="I621" s="71">
        <f>IF($N621&lt;&gt;"OK","",$D621*$H621)</f>
        <v/>
      </c>
      <c r="J621" s="71">
        <f>IF($N621&lt;&gt;"OK","",N(INDEX('Menu Pricing'!$F$7:$F$56,$O621))+N(INDEX('Menu Pricing'!$G$7:$G$56,$O621))+N(INDEX('Menu Pricing'!$J$7:$J$56,$O621)))</f>
        <v/>
      </c>
      <c r="K621" s="71">
        <f>IF($N621&lt;&gt;"OK","",$D621*$J621)</f>
        <v/>
      </c>
      <c r="L621" s="71">
        <f>IF($N621&lt;&gt;"OK","",$I621-$K621)</f>
        <v/>
      </c>
      <c r="M621" s="71">
        <f>IF($N621&lt;&gt;"OK","",$D621*N(INDEX('Menu Pricing'!$F$7:$F$56,$O621)))</f>
        <v/>
      </c>
      <c r="N621" s="80">
        <f>IF(AND($B621="",$C621="",$D621=""),"",IF(NOT(ISNUMBER($B621)),"Enter a valid date",IF($C621="","Pick a menu item",IF($O621="","Item not on Menu Pricing",IF(N($D621)&lt;=0,"Qty must be above 0",IF($H621="","No price on menu","OK"))))))</f>
        <v/>
      </c>
      <c r="O621" s="13">
        <f>IF($C621="","",IFERROR(MATCH($C621,'Menu Pricing'!$B$7:$B$56,0),""))</f>
        <v/>
      </c>
    </row>
    <row r="622" ht="17" customHeight="1">
      <c r="B622" s="66" t="n"/>
      <c r="C622" s="60" t="n"/>
      <c r="D622" s="86" t="n"/>
      <c r="E622" s="63" t="n"/>
      <c r="F622" s="60" t="n"/>
      <c r="G622" s="60" t="n"/>
      <c r="H622" s="71">
        <f>IF(OR($C622="",$D622=""),"",IF(ISNUMBER($E622),$E622,IF($O622="","",IF(N(INDEX('Menu Pricing'!$O$7:$O$56,$O622))&gt;0,INDEX('Menu Pricing'!$O$7:$O$56,$O622),""))))</f>
        <v/>
      </c>
      <c r="I622" s="71">
        <f>IF($N622&lt;&gt;"OK","",$D622*$H622)</f>
        <v/>
      </c>
      <c r="J622" s="71">
        <f>IF($N622&lt;&gt;"OK","",N(INDEX('Menu Pricing'!$F$7:$F$56,$O622))+N(INDEX('Menu Pricing'!$G$7:$G$56,$O622))+N(INDEX('Menu Pricing'!$J$7:$J$56,$O622)))</f>
        <v/>
      </c>
      <c r="K622" s="71">
        <f>IF($N622&lt;&gt;"OK","",$D622*$J622)</f>
        <v/>
      </c>
      <c r="L622" s="71">
        <f>IF($N622&lt;&gt;"OK","",$I622-$K622)</f>
        <v/>
      </c>
      <c r="M622" s="71">
        <f>IF($N622&lt;&gt;"OK","",$D622*N(INDEX('Menu Pricing'!$F$7:$F$56,$O622)))</f>
        <v/>
      </c>
      <c r="N622" s="80">
        <f>IF(AND($B622="",$C622="",$D622=""),"",IF(NOT(ISNUMBER($B622)),"Enter a valid date",IF($C622="","Pick a menu item",IF($O622="","Item not on Menu Pricing",IF(N($D622)&lt;=0,"Qty must be above 0",IF($H622="","No price on menu","OK"))))))</f>
        <v/>
      </c>
      <c r="O622" s="13">
        <f>IF($C622="","",IFERROR(MATCH($C622,'Menu Pricing'!$B$7:$B$56,0),""))</f>
        <v/>
      </c>
    </row>
    <row r="623" ht="17" customHeight="1">
      <c r="B623" s="66" t="n"/>
      <c r="C623" s="60" t="n"/>
      <c r="D623" s="86" t="n"/>
      <c r="E623" s="63" t="n"/>
      <c r="F623" s="60" t="n"/>
      <c r="G623" s="60" t="n"/>
      <c r="H623" s="71">
        <f>IF(OR($C623="",$D623=""),"",IF(ISNUMBER($E623),$E623,IF($O623="","",IF(N(INDEX('Menu Pricing'!$O$7:$O$56,$O623))&gt;0,INDEX('Menu Pricing'!$O$7:$O$56,$O623),""))))</f>
        <v/>
      </c>
      <c r="I623" s="71">
        <f>IF($N623&lt;&gt;"OK","",$D623*$H623)</f>
        <v/>
      </c>
      <c r="J623" s="71">
        <f>IF($N623&lt;&gt;"OK","",N(INDEX('Menu Pricing'!$F$7:$F$56,$O623))+N(INDEX('Menu Pricing'!$G$7:$G$56,$O623))+N(INDEX('Menu Pricing'!$J$7:$J$56,$O623)))</f>
        <v/>
      </c>
      <c r="K623" s="71">
        <f>IF($N623&lt;&gt;"OK","",$D623*$J623)</f>
        <v/>
      </c>
      <c r="L623" s="71">
        <f>IF($N623&lt;&gt;"OK","",$I623-$K623)</f>
        <v/>
      </c>
      <c r="M623" s="71">
        <f>IF($N623&lt;&gt;"OK","",$D623*N(INDEX('Menu Pricing'!$F$7:$F$56,$O623)))</f>
        <v/>
      </c>
      <c r="N623" s="80">
        <f>IF(AND($B623="",$C623="",$D623=""),"",IF(NOT(ISNUMBER($B623)),"Enter a valid date",IF($C623="","Pick a menu item",IF($O623="","Item not on Menu Pricing",IF(N($D623)&lt;=0,"Qty must be above 0",IF($H623="","No price on menu","OK"))))))</f>
        <v/>
      </c>
      <c r="O623" s="13">
        <f>IF($C623="","",IFERROR(MATCH($C623,'Menu Pricing'!$B$7:$B$56,0),""))</f>
        <v/>
      </c>
    </row>
    <row r="624" ht="17" customHeight="1">
      <c r="B624" s="66" t="n"/>
      <c r="C624" s="60" t="n"/>
      <c r="D624" s="86" t="n"/>
      <c r="E624" s="63" t="n"/>
      <c r="F624" s="60" t="n"/>
      <c r="G624" s="60" t="n"/>
      <c r="H624" s="71">
        <f>IF(OR($C624="",$D624=""),"",IF(ISNUMBER($E624),$E624,IF($O624="","",IF(N(INDEX('Menu Pricing'!$O$7:$O$56,$O624))&gt;0,INDEX('Menu Pricing'!$O$7:$O$56,$O624),""))))</f>
        <v/>
      </c>
      <c r="I624" s="71">
        <f>IF($N624&lt;&gt;"OK","",$D624*$H624)</f>
        <v/>
      </c>
      <c r="J624" s="71">
        <f>IF($N624&lt;&gt;"OK","",N(INDEX('Menu Pricing'!$F$7:$F$56,$O624))+N(INDEX('Menu Pricing'!$G$7:$G$56,$O624))+N(INDEX('Menu Pricing'!$J$7:$J$56,$O624)))</f>
        <v/>
      </c>
      <c r="K624" s="71">
        <f>IF($N624&lt;&gt;"OK","",$D624*$J624)</f>
        <v/>
      </c>
      <c r="L624" s="71">
        <f>IF($N624&lt;&gt;"OK","",$I624-$K624)</f>
        <v/>
      </c>
      <c r="M624" s="71">
        <f>IF($N624&lt;&gt;"OK","",$D624*N(INDEX('Menu Pricing'!$F$7:$F$56,$O624)))</f>
        <v/>
      </c>
      <c r="N624" s="80">
        <f>IF(AND($B624="",$C624="",$D624=""),"",IF(NOT(ISNUMBER($B624)),"Enter a valid date",IF($C624="","Pick a menu item",IF($O624="","Item not on Menu Pricing",IF(N($D624)&lt;=0,"Qty must be above 0",IF($H624="","No price on menu","OK"))))))</f>
        <v/>
      </c>
      <c r="O624" s="13">
        <f>IF($C624="","",IFERROR(MATCH($C624,'Menu Pricing'!$B$7:$B$56,0),""))</f>
        <v/>
      </c>
    </row>
    <row r="625" ht="17" customHeight="1">
      <c r="B625" s="66" t="n"/>
      <c r="C625" s="60" t="n"/>
      <c r="D625" s="86" t="n"/>
      <c r="E625" s="63" t="n"/>
      <c r="F625" s="60" t="n"/>
      <c r="G625" s="60" t="n"/>
      <c r="H625" s="71">
        <f>IF(OR($C625="",$D625=""),"",IF(ISNUMBER($E625),$E625,IF($O625="","",IF(N(INDEX('Menu Pricing'!$O$7:$O$56,$O625))&gt;0,INDEX('Menu Pricing'!$O$7:$O$56,$O625),""))))</f>
        <v/>
      </c>
      <c r="I625" s="71">
        <f>IF($N625&lt;&gt;"OK","",$D625*$H625)</f>
        <v/>
      </c>
      <c r="J625" s="71">
        <f>IF($N625&lt;&gt;"OK","",N(INDEX('Menu Pricing'!$F$7:$F$56,$O625))+N(INDEX('Menu Pricing'!$G$7:$G$56,$O625))+N(INDEX('Menu Pricing'!$J$7:$J$56,$O625)))</f>
        <v/>
      </c>
      <c r="K625" s="71">
        <f>IF($N625&lt;&gt;"OK","",$D625*$J625)</f>
        <v/>
      </c>
      <c r="L625" s="71">
        <f>IF($N625&lt;&gt;"OK","",$I625-$K625)</f>
        <v/>
      </c>
      <c r="M625" s="71">
        <f>IF($N625&lt;&gt;"OK","",$D625*N(INDEX('Menu Pricing'!$F$7:$F$56,$O625)))</f>
        <v/>
      </c>
      <c r="N625" s="80">
        <f>IF(AND($B625="",$C625="",$D625=""),"",IF(NOT(ISNUMBER($B625)),"Enter a valid date",IF($C625="","Pick a menu item",IF($O625="","Item not on Menu Pricing",IF(N($D625)&lt;=0,"Qty must be above 0",IF($H625="","No price on menu","OK"))))))</f>
        <v/>
      </c>
      <c r="O625" s="13">
        <f>IF($C625="","",IFERROR(MATCH($C625,'Menu Pricing'!$B$7:$B$56,0),""))</f>
        <v/>
      </c>
    </row>
    <row r="626" ht="17" customHeight="1">
      <c r="B626" s="66" t="n"/>
      <c r="C626" s="60" t="n"/>
      <c r="D626" s="86" t="n"/>
      <c r="E626" s="63" t="n"/>
      <c r="F626" s="60" t="n"/>
      <c r="G626" s="60" t="n"/>
      <c r="H626" s="71">
        <f>IF(OR($C626="",$D626=""),"",IF(ISNUMBER($E626),$E626,IF($O626="","",IF(N(INDEX('Menu Pricing'!$O$7:$O$56,$O626))&gt;0,INDEX('Menu Pricing'!$O$7:$O$56,$O626),""))))</f>
        <v/>
      </c>
      <c r="I626" s="71">
        <f>IF($N626&lt;&gt;"OK","",$D626*$H626)</f>
        <v/>
      </c>
      <c r="J626" s="71">
        <f>IF($N626&lt;&gt;"OK","",N(INDEX('Menu Pricing'!$F$7:$F$56,$O626))+N(INDEX('Menu Pricing'!$G$7:$G$56,$O626))+N(INDEX('Menu Pricing'!$J$7:$J$56,$O626)))</f>
        <v/>
      </c>
      <c r="K626" s="71">
        <f>IF($N626&lt;&gt;"OK","",$D626*$J626)</f>
        <v/>
      </c>
      <c r="L626" s="71">
        <f>IF($N626&lt;&gt;"OK","",$I626-$K626)</f>
        <v/>
      </c>
      <c r="M626" s="71">
        <f>IF($N626&lt;&gt;"OK","",$D626*N(INDEX('Menu Pricing'!$F$7:$F$56,$O626)))</f>
        <v/>
      </c>
      <c r="N626" s="80">
        <f>IF(AND($B626="",$C626="",$D626=""),"",IF(NOT(ISNUMBER($B626)),"Enter a valid date",IF($C626="","Pick a menu item",IF($O626="","Item not on Menu Pricing",IF(N($D626)&lt;=0,"Qty must be above 0",IF($H626="","No price on menu","OK"))))))</f>
        <v/>
      </c>
      <c r="O626" s="13">
        <f>IF($C626="","",IFERROR(MATCH($C626,'Menu Pricing'!$B$7:$B$56,0),""))</f>
        <v/>
      </c>
    </row>
    <row r="627" ht="17" customHeight="1">
      <c r="B627" s="66" t="n"/>
      <c r="C627" s="60" t="n"/>
      <c r="D627" s="86" t="n"/>
      <c r="E627" s="63" t="n"/>
      <c r="F627" s="60" t="n"/>
      <c r="G627" s="60" t="n"/>
      <c r="H627" s="71">
        <f>IF(OR($C627="",$D627=""),"",IF(ISNUMBER($E627),$E627,IF($O627="","",IF(N(INDEX('Menu Pricing'!$O$7:$O$56,$O627))&gt;0,INDEX('Menu Pricing'!$O$7:$O$56,$O627),""))))</f>
        <v/>
      </c>
      <c r="I627" s="71">
        <f>IF($N627&lt;&gt;"OK","",$D627*$H627)</f>
        <v/>
      </c>
      <c r="J627" s="71">
        <f>IF($N627&lt;&gt;"OK","",N(INDEX('Menu Pricing'!$F$7:$F$56,$O627))+N(INDEX('Menu Pricing'!$G$7:$G$56,$O627))+N(INDEX('Menu Pricing'!$J$7:$J$56,$O627)))</f>
        <v/>
      </c>
      <c r="K627" s="71">
        <f>IF($N627&lt;&gt;"OK","",$D627*$J627)</f>
        <v/>
      </c>
      <c r="L627" s="71">
        <f>IF($N627&lt;&gt;"OK","",$I627-$K627)</f>
        <v/>
      </c>
      <c r="M627" s="71">
        <f>IF($N627&lt;&gt;"OK","",$D627*N(INDEX('Menu Pricing'!$F$7:$F$56,$O627)))</f>
        <v/>
      </c>
      <c r="N627" s="80">
        <f>IF(AND($B627="",$C627="",$D627=""),"",IF(NOT(ISNUMBER($B627)),"Enter a valid date",IF($C627="","Pick a menu item",IF($O627="","Item not on Menu Pricing",IF(N($D627)&lt;=0,"Qty must be above 0",IF($H627="","No price on menu","OK"))))))</f>
        <v/>
      </c>
      <c r="O627" s="13">
        <f>IF($C627="","",IFERROR(MATCH($C627,'Menu Pricing'!$B$7:$B$56,0),""))</f>
        <v/>
      </c>
    </row>
    <row r="628" ht="17" customHeight="1">
      <c r="B628" s="66" t="n"/>
      <c r="C628" s="60" t="n"/>
      <c r="D628" s="86" t="n"/>
      <c r="E628" s="63" t="n"/>
      <c r="F628" s="60" t="n"/>
      <c r="G628" s="60" t="n"/>
      <c r="H628" s="71">
        <f>IF(OR($C628="",$D628=""),"",IF(ISNUMBER($E628),$E628,IF($O628="","",IF(N(INDEX('Menu Pricing'!$O$7:$O$56,$O628))&gt;0,INDEX('Menu Pricing'!$O$7:$O$56,$O628),""))))</f>
        <v/>
      </c>
      <c r="I628" s="71">
        <f>IF($N628&lt;&gt;"OK","",$D628*$H628)</f>
        <v/>
      </c>
      <c r="J628" s="71">
        <f>IF($N628&lt;&gt;"OK","",N(INDEX('Menu Pricing'!$F$7:$F$56,$O628))+N(INDEX('Menu Pricing'!$G$7:$G$56,$O628))+N(INDEX('Menu Pricing'!$J$7:$J$56,$O628)))</f>
        <v/>
      </c>
      <c r="K628" s="71">
        <f>IF($N628&lt;&gt;"OK","",$D628*$J628)</f>
        <v/>
      </c>
      <c r="L628" s="71">
        <f>IF($N628&lt;&gt;"OK","",$I628-$K628)</f>
        <v/>
      </c>
      <c r="M628" s="71">
        <f>IF($N628&lt;&gt;"OK","",$D628*N(INDEX('Menu Pricing'!$F$7:$F$56,$O628)))</f>
        <v/>
      </c>
      <c r="N628" s="80">
        <f>IF(AND($B628="",$C628="",$D628=""),"",IF(NOT(ISNUMBER($B628)),"Enter a valid date",IF($C628="","Pick a menu item",IF($O628="","Item not on Menu Pricing",IF(N($D628)&lt;=0,"Qty must be above 0",IF($H628="","No price on menu","OK"))))))</f>
        <v/>
      </c>
      <c r="O628" s="13">
        <f>IF($C628="","",IFERROR(MATCH($C628,'Menu Pricing'!$B$7:$B$56,0),""))</f>
        <v/>
      </c>
    </row>
    <row r="629" ht="17" customHeight="1">
      <c r="B629" s="66" t="n"/>
      <c r="C629" s="60" t="n"/>
      <c r="D629" s="86" t="n"/>
      <c r="E629" s="63" t="n"/>
      <c r="F629" s="60" t="n"/>
      <c r="G629" s="60" t="n"/>
      <c r="H629" s="71">
        <f>IF(OR($C629="",$D629=""),"",IF(ISNUMBER($E629),$E629,IF($O629="","",IF(N(INDEX('Menu Pricing'!$O$7:$O$56,$O629))&gt;0,INDEX('Menu Pricing'!$O$7:$O$56,$O629),""))))</f>
        <v/>
      </c>
      <c r="I629" s="71">
        <f>IF($N629&lt;&gt;"OK","",$D629*$H629)</f>
        <v/>
      </c>
      <c r="J629" s="71">
        <f>IF($N629&lt;&gt;"OK","",N(INDEX('Menu Pricing'!$F$7:$F$56,$O629))+N(INDEX('Menu Pricing'!$G$7:$G$56,$O629))+N(INDEX('Menu Pricing'!$J$7:$J$56,$O629)))</f>
        <v/>
      </c>
      <c r="K629" s="71">
        <f>IF($N629&lt;&gt;"OK","",$D629*$J629)</f>
        <v/>
      </c>
      <c r="L629" s="71">
        <f>IF($N629&lt;&gt;"OK","",$I629-$K629)</f>
        <v/>
      </c>
      <c r="M629" s="71">
        <f>IF($N629&lt;&gt;"OK","",$D629*N(INDEX('Menu Pricing'!$F$7:$F$56,$O629)))</f>
        <v/>
      </c>
      <c r="N629" s="80">
        <f>IF(AND($B629="",$C629="",$D629=""),"",IF(NOT(ISNUMBER($B629)),"Enter a valid date",IF($C629="","Pick a menu item",IF($O629="","Item not on Menu Pricing",IF(N($D629)&lt;=0,"Qty must be above 0",IF($H629="","No price on menu","OK"))))))</f>
        <v/>
      </c>
      <c r="O629" s="13">
        <f>IF($C629="","",IFERROR(MATCH($C629,'Menu Pricing'!$B$7:$B$56,0),""))</f>
        <v/>
      </c>
    </row>
    <row r="630" ht="17" customHeight="1">
      <c r="B630" s="66" t="n"/>
      <c r="C630" s="60" t="n"/>
      <c r="D630" s="86" t="n"/>
      <c r="E630" s="63" t="n"/>
      <c r="F630" s="60" t="n"/>
      <c r="G630" s="60" t="n"/>
      <c r="H630" s="71">
        <f>IF(OR($C630="",$D630=""),"",IF(ISNUMBER($E630),$E630,IF($O630="","",IF(N(INDEX('Menu Pricing'!$O$7:$O$56,$O630))&gt;0,INDEX('Menu Pricing'!$O$7:$O$56,$O630),""))))</f>
        <v/>
      </c>
      <c r="I630" s="71">
        <f>IF($N630&lt;&gt;"OK","",$D630*$H630)</f>
        <v/>
      </c>
      <c r="J630" s="71">
        <f>IF($N630&lt;&gt;"OK","",N(INDEX('Menu Pricing'!$F$7:$F$56,$O630))+N(INDEX('Menu Pricing'!$G$7:$G$56,$O630))+N(INDEX('Menu Pricing'!$J$7:$J$56,$O630)))</f>
        <v/>
      </c>
      <c r="K630" s="71">
        <f>IF($N630&lt;&gt;"OK","",$D630*$J630)</f>
        <v/>
      </c>
      <c r="L630" s="71">
        <f>IF($N630&lt;&gt;"OK","",$I630-$K630)</f>
        <v/>
      </c>
      <c r="M630" s="71">
        <f>IF($N630&lt;&gt;"OK","",$D630*N(INDEX('Menu Pricing'!$F$7:$F$56,$O630)))</f>
        <v/>
      </c>
      <c r="N630" s="80">
        <f>IF(AND($B630="",$C630="",$D630=""),"",IF(NOT(ISNUMBER($B630)),"Enter a valid date",IF($C630="","Pick a menu item",IF($O630="","Item not on Menu Pricing",IF(N($D630)&lt;=0,"Qty must be above 0",IF($H630="","No price on menu","OK"))))))</f>
        <v/>
      </c>
      <c r="O630" s="13">
        <f>IF($C630="","",IFERROR(MATCH($C630,'Menu Pricing'!$B$7:$B$56,0),""))</f>
        <v/>
      </c>
    </row>
    <row r="631" ht="17" customHeight="1">
      <c r="B631" s="66" t="n"/>
      <c r="C631" s="60" t="n"/>
      <c r="D631" s="86" t="n"/>
      <c r="E631" s="63" t="n"/>
      <c r="F631" s="60" t="n"/>
      <c r="G631" s="60" t="n"/>
      <c r="H631" s="71">
        <f>IF(OR($C631="",$D631=""),"",IF(ISNUMBER($E631),$E631,IF($O631="","",IF(N(INDEX('Menu Pricing'!$O$7:$O$56,$O631))&gt;0,INDEX('Menu Pricing'!$O$7:$O$56,$O631),""))))</f>
        <v/>
      </c>
      <c r="I631" s="71">
        <f>IF($N631&lt;&gt;"OK","",$D631*$H631)</f>
        <v/>
      </c>
      <c r="J631" s="71">
        <f>IF($N631&lt;&gt;"OK","",N(INDEX('Menu Pricing'!$F$7:$F$56,$O631))+N(INDEX('Menu Pricing'!$G$7:$G$56,$O631))+N(INDEX('Menu Pricing'!$J$7:$J$56,$O631)))</f>
        <v/>
      </c>
      <c r="K631" s="71">
        <f>IF($N631&lt;&gt;"OK","",$D631*$J631)</f>
        <v/>
      </c>
      <c r="L631" s="71">
        <f>IF($N631&lt;&gt;"OK","",$I631-$K631)</f>
        <v/>
      </c>
      <c r="M631" s="71">
        <f>IF($N631&lt;&gt;"OK","",$D631*N(INDEX('Menu Pricing'!$F$7:$F$56,$O631)))</f>
        <v/>
      </c>
      <c r="N631" s="80">
        <f>IF(AND($B631="",$C631="",$D631=""),"",IF(NOT(ISNUMBER($B631)),"Enter a valid date",IF($C631="","Pick a menu item",IF($O631="","Item not on Menu Pricing",IF(N($D631)&lt;=0,"Qty must be above 0",IF($H631="","No price on menu","OK"))))))</f>
        <v/>
      </c>
      <c r="O631" s="13">
        <f>IF($C631="","",IFERROR(MATCH($C631,'Menu Pricing'!$B$7:$B$56,0),""))</f>
        <v/>
      </c>
    </row>
    <row r="632" ht="17" customHeight="1">
      <c r="B632" s="66" t="n"/>
      <c r="C632" s="60" t="n"/>
      <c r="D632" s="86" t="n"/>
      <c r="E632" s="63" t="n"/>
      <c r="F632" s="60" t="n"/>
      <c r="G632" s="60" t="n"/>
      <c r="H632" s="71">
        <f>IF(OR($C632="",$D632=""),"",IF(ISNUMBER($E632),$E632,IF($O632="","",IF(N(INDEX('Menu Pricing'!$O$7:$O$56,$O632))&gt;0,INDEX('Menu Pricing'!$O$7:$O$56,$O632),""))))</f>
        <v/>
      </c>
      <c r="I632" s="71">
        <f>IF($N632&lt;&gt;"OK","",$D632*$H632)</f>
        <v/>
      </c>
      <c r="J632" s="71">
        <f>IF($N632&lt;&gt;"OK","",N(INDEX('Menu Pricing'!$F$7:$F$56,$O632))+N(INDEX('Menu Pricing'!$G$7:$G$56,$O632))+N(INDEX('Menu Pricing'!$J$7:$J$56,$O632)))</f>
        <v/>
      </c>
      <c r="K632" s="71">
        <f>IF($N632&lt;&gt;"OK","",$D632*$J632)</f>
        <v/>
      </c>
      <c r="L632" s="71">
        <f>IF($N632&lt;&gt;"OK","",$I632-$K632)</f>
        <v/>
      </c>
      <c r="M632" s="71">
        <f>IF($N632&lt;&gt;"OK","",$D632*N(INDEX('Menu Pricing'!$F$7:$F$56,$O632)))</f>
        <v/>
      </c>
      <c r="N632" s="80">
        <f>IF(AND($B632="",$C632="",$D632=""),"",IF(NOT(ISNUMBER($B632)),"Enter a valid date",IF($C632="","Pick a menu item",IF($O632="","Item not on Menu Pricing",IF(N($D632)&lt;=0,"Qty must be above 0",IF($H632="","No price on menu","OK"))))))</f>
        <v/>
      </c>
      <c r="O632" s="13">
        <f>IF($C632="","",IFERROR(MATCH($C632,'Menu Pricing'!$B$7:$B$56,0),""))</f>
        <v/>
      </c>
    </row>
    <row r="633" ht="17" customHeight="1">
      <c r="B633" s="66" t="n"/>
      <c r="C633" s="60" t="n"/>
      <c r="D633" s="86" t="n"/>
      <c r="E633" s="63" t="n"/>
      <c r="F633" s="60" t="n"/>
      <c r="G633" s="60" t="n"/>
      <c r="H633" s="71">
        <f>IF(OR($C633="",$D633=""),"",IF(ISNUMBER($E633),$E633,IF($O633="","",IF(N(INDEX('Menu Pricing'!$O$7:$O$56,$O633))&gt;0,INDEX('Menu Pricing'!$O$7:$O$56,$O633),""))))</f>
        <v/>
      </c>
      <c r="I633" s="71">
        <f>IF($N633&lt;&gt;"OK","",$D633*$H633)</f>
        <v/>
      </c>
      <c r="J633" s="71">
        <f>IF($N633&lt;&gt;"OK","",N(INDEX('Menu Pricing'!$F$7:$F$56,$O633))+N(INDEX('Menu Pricing'!$G$7:$G$56,$O633))+N(INDEX('Menu Pricing'!$J$7:$J$56,$O633)))</f>
        <v/>
      </c>
      <c r="K633" s="71">
        <f>IF($N633&lt;&gt;"OK","",$D633*$J633)</f>
        <v/>
      </c>
      <c r="L633" s="71">
        <f>IF($N633&lt;&gt;"OK","",$I633-$K633)</f>
        <v/>
      </c>
      <c r="M633" s="71">
        <f>IF($N633&lt;&gt;"OK","",$D633*N(INDEX('Menu Pricing'!$F$7:$F$56,$O633)))</f>
        <v/>
      </c>
      <c r="N633" s="80">
        <f>IF(AND($B633="",$C633="",$D633=""),"",IF(NOT(ISNUMBER($B633)),"Enter a valid date",IF($C633="","Pick a menu item",IF($O633="","Item not on Menu Pricing",IF(N($D633)&lt;=0,"Qty must be above 0",IF($H633="","No price on menu","OK"))))))</f>
        <v/>
      </c>
      <c r="O633" s="13">
        <f>IF($C633="","",IFERROR(MATCH($C633,'Menu Pricing'!$B$7:$B$56,0),""))</f>
        <v/>
      </c>
    </row>
    <row r="634" ht="17" customHeight="1">
      <c r="B634" s="66" t="n"/>
      <c r="C634" s="60" t="n"/>
      <c r="D634" s="86" t="n"/>
      <c r="E634" s="63" t="n"/>
      <c r="F634" s="60" t="n"/>
      <c r="G634" s="60" t="n"/>
      <c r="H634" s="71">
        <f>IF(OR($C634="",$D634=""),"",IF(ISNUMBER($E634),$E634,IF($O634="","",IF(N(INDEX('Menu Pricing'!$O$7:$O$56,$O634))&gt;0,INDEX('Menu Pricing'!$O$7:$O$56,$O634),""))))</f>
        <v/>
      </c>
      <c r="I634" s="71">
        <f>IF($N634&lt;&gt;"OK","",$D634*$H634)</f>
        <v/>
      </c>
      <c r="J634" s="71">
        <f>IF($N634&lt;&gt;"OK","",N(INDEX('Menu Pricing'!$F$7:$F$56,$O634))+N(INDEX('Menu Pricing'!$G$7:$G$56,$O634))+N(INDEX('Menu Pricing'!$J$7:$J$56,$O634)))</f>
        <v/>
      </c>
      <c r="K634" s="71">
        <f>IF($N634&lt;&gt;"OK","",$D634*$J634)</f>
        <v/>
      </c>
      <c r="L634" s="71">
        <f>IF($N634&lt;&gt;"OK","",$I634-$K634)</f>
        <v/>
      </c>
      <c r="M634" s="71">
        <f>IF($N634&lt;&gt;"OK","",$D634*N(INDEX('Menu Pricing'!$F$7:$F$56,$O634)))</f>
        <v/>
      </c>
      <c r="N634" s="80">
        <f>IF(AND($B634="",$C634="",$D634=""),"",IF(NOT(ISNUMBER($B634)),"Enter a valid date",IF($C634="","Pick a menu item",IF($O634="","Item not on Menu Pricing",IF(N($D634)&lt;=0,"Qty must be above 0",IF($H634="","No price on menu","OK"))))))</f>
        <v/>
      </c>
      <c r="O634" s="13">
        <f>IF($C634="","",IFERROR(MATCH($C634,'Menu Pricing'!$B$7:$B$56,0),""))</f>
        <v/>
      </c>
    </row>
    <row r="635" ht="17" customHeight="1">
      <c r="B635" s="66" t="n"/>
      <c r="C635" s="60" t="n"/>
      <c r="D635" s="86" t="n"/>
      <c r="E635" s="63" t="n"/>
      <c r="F635" s="60" t="n"/>
      <c r="G635" s="60" t="n"/>
      <c r="H635" s="71">
        <f>IF(OR($C635="",$D635=""),"",IF(ISNUMBER($E635),$E635,IF($O635="","",IF(N(INDEX('Menu Pricing'!$O$7:$O$56,$O635))&gt;0,INDEX('Menu Pricing'!$O$7:$O$56,$O635),""))))</f>
        <v/>
      </c>
      <c r="I635" s="71">
        <f>IF($N635&lt;&gt;"OK","",$D635*$H635)</f>
        <v/>
      </c>
      <c r="J635" s="71">
        <f>IF($N635&lt;&gt;"OK","",N(INDEX('Menu Pricing'!$F$7:$F$56,$O635))+N(INDEX('Menu Pricing'!$G$7:$G$56,$O635))+N(INDEX('Menu Pricing'!$J$7:$J$56,$O635)))</f>
        <v/>
      </c>
      <c r="K635" s="71">
        <f>IF($N635&lt;&gt;"OK","",$D635*$J635)</f>
        <v/>
      </c>
      <c r="L635" s="71">
        <f>IF($N635&lt;&gt;"OK","",$I635-$K635)</f>
        <v/>
      </c>
      <c r="M635" s="71">
        <f>IF($N635&lt;&gt;"OK","",$D635*N(INDEX('Menu Pricing'!$F$7:$F$56,$O635)))</f>
        <v/>
      </c>
      <c r="N635" s="80">
        <f>IF(AND($B635="",$C635="",$D635=""),"",IF(NOT(ISNUMBER($B635)),"Enter a valid date",IF($C635="","Pick a menu item",IF($O635="","Item not on Menu Pricing",IF(N($D635)&lt;=0,"Qty must be above 0",IF($H635="","No price on menu","OK"))))))</f>
        <v/>
      </c>
      <c r="O635" s="13">
        <f>IF($C635="","",IFERROR(MATCH($C635,'Menu Pricing'!$B$7:$B$56,0),""))</f>
        <v/>
      </c>
    </row>
    <row r="636" ht="17" customHeight="1">
      <c r="B636" s="66" t="n"/>
      <c r="C636" s="60" t="n"/>
      <c r="D636" s="86" t="n"/>
      <c r="E636" s="63" t="n"/>
      <c r="F636" s="60" t="n"/>
      <c r="G636" s="60" t="n"/>
      <c r="H636" s="71">
        <f>IF(OR($C636="",$D636=""),"",IF(ISNUMBER($E636),$E636,IF($O636="","",IF(N(INDEX('Menu Pricing'!$O$7:$O$56,$O636))&gt;0,INDEX('Menu Pricing'!$O$7:$O$56,$O636),""))))</f>
        <v/>
      </c>
      <c r="I636" s="71">
        <f>IF($N636&lt;&gt;"OK","",$D636*$H636)</f>
        <v/>
      </c>
      <c r="J636" s="71">
        <f>IF($N636&lt;&gt;"OK","",N(INDEX('Menu Pricing'!$F$7:$F$56,$O636))+N(INDEX('Menu Pricing'!$G$7:$G$56,$O636))+N(INDEX('Menu Pricing'!$J$7:$J$56,$O636)))</f>
        <v/>
      </c>
      <c r="K636" s="71">
        <f>IF($N636&lt;&gt;"OK","",$D636*$J636)</f>
        <v/>
      </c>
      <c r="L636" s="71">
        <f>IF($N636&lt;&gt;"OK","",$I636-$K636)</f>
        <v/>
      </c>
      <c r="M636" s="71">
        <f>IF($N636&lt;&gt;"OK","",$D636*N(INDEX('Menu Pricing'!$F$7:$F$56,$O636)))</f>
        <v/>
      </c>
      <c r="N636" s="80">
        <f>IF(AND($B636="",$C636="",$D636=""),"",IF(NOT(ISNUMBER($B636)),"Enter a valid date",IF($C636="","Pick a menu item",IF($O636="","Item not on Menu Pricing",IF(N($D636)&lt;=0,"Qty must be above 0",IF($H636="","No price on menu","OK"))))))</f>
        <v/>
      </c>
      <c r="O636" s="13">
        <f>IF($C636="","",IFERROR(MATCH($C636,'Menu Pricing'!$B$7:$B$56,0),""))</f>
        <v/>
      </c>
    </row>
    <row r="637" ht="17" customHeight="1">
      <c r="B637" s="66" t="n"/>
      <c r="C637" s="60" t="n"/>
      <c r="D637" s="86" t="n"/>
      <c r="E637" s="63" t="n"/>
      <c r="F637" s="60" t="n"/>
      <c r="G637" s="60" t="n"/>
      <c r="H637" s="71">
        <f>IF(OR($C637="",$D637=""),"",IF(ISNUMBER($E637),$E637,IF($O637="","",IF(N(INDEX('Menu Pricing'!$O$7:$O$56,$O637))&gt;0,INDEX('Menu Pricing'!$O$7:$O$56,$O637),""))))</f>
        <v/>
      </c>
      <c r="I637" s="71">
        <f>IF($N637&lt;&gt;"OK","",$D637*$H637)</f>
        <v/>
      </c>
      <c r="J637" s="71">
        <f>IF($N637&lt;&gt;"OK","",N(INDEX('Menu Pricing'!$F$7:$F$56,$O637))+N(INDEX('Menu Pricing'!$G$7:$G$56,$O637))+N(INDEX('Menu Pricing'!$J$7:$J$56,$O637)))</f>
        <v/>
      </c>
      <c r="K637" s="71">
        <f>IF($N637&lt;&gt;"OK","",$D637*$J637)</f>
        <v/>
      </c>
      <c r="L637" s="71">
        <f>IF($N637&lt;&gt;"OK","",$I637-$K637)</f>
        <v/>
      </c>
      <c r="M637" s="71">
        <f>IF($N637&lt;&gt;"OK","",$D637*N(INDEX('Menu Pricing'!$F$7:$F$56,$O637)))</f>
        <v/>
      </c>
      <c r="N637" s="80">
        <f>IF(AND($B637="",$C637="",$D637=""),"",IF(NOT(ISNUMBER($B637)),"Enter a valid date",IF($C637="","Pick a menu item",IF($O637="","Item not on Menu Pricing",IF(N($D637)&lt;=0,"Qty must be above 0",IF($H637="","No price on menu","OK"))))))</f>
        <v/>
      </c>
      <c r="O637" s="13">
        <f>IF($C637="","",IFERROR(MATCH($C637,'Menu Pricing'!$B$7:$B$56,0),""))</f>
        <v/>
      </c>
    </row>
    <row r="638" ht="17" customHeight="1">
      <c r="B638" s="66" t="n"/>
      <c r="C638" s="60" t="n"/>
      <c r="D638" s="86" t="n"/>
      <c r="E638" s="63" t="n"/>
      <c r="F638" s="60" t="n"/>
      <c r="G638" s="60" t="n"/>
      <c r="H638" s="71">
        <f>IF(OR($C638="",$D638=""),"",IF(ISNUMBER($E638),$E638,IF($O638="","",IF(N(INDEX('Menu Pricing'!$O$7:$O$56,$O638))&gt;0,INDEX('Menu Pricing'!$O$7:$O$56,$O638),""))))</f>
        <v/>
      </c>
      <c r="I638" s="71">
        <f>IF($N638&lt;&gt;"OK","",$D638*$H638)</f>
        <v/>
      </c>
      <c r="J638" s="71">
        <f>IF($N638&lt;&gt;"OK","",N(INDEX('Menu Pricing'!$F$7:$F$56,$O638))+N(INDEX('Menu Pricing'!$G$7:$G$56,$O638))+N(INDEX('Menu Pricing'!$J$7:$J$56,$O638)))</f>
        <v/>
      </c>
      <c r="K638" s="71">
        <f>IF($N638&lt;&gt;"OK","",$D638*$J638)</f>
        <v/>
      </c>
      <c r="L638" s="71">
        <f>IF($N638&lt;&gt;"OK","",$I638-$K638)</f>
        <v/>
      </c>
      <c r="M638" s="71">
        <f>IF($N638&lt;&gt;"OK","",$D638*N(INDEX('Menu Pricing'!$F$7:$F$56,$O638)))</f>
        <v/>
      </c>
      <c r="N638" s="80">
        <f>IF(AND($B638="",$C638="",$D638=""),"",IF(NOT(ISNUMBER($B638)),"Enter a valid date",IF($C638="","Pick a menu item",IF($O638="","Item not on Menu Pricing",IF(N($D638)&lt;=0,"Qty must be above 0",IF($H638="","No price on menu","OK"))))))</f>
        <v/>
      </c>
      <c r="O638" s="13">
        <f>IF($C638="","",IFERROR(MATCH($C638,'Menu Pricing'!$B$7:$B$56,0),""))</f>
        <v/>
      </c>
    </row>
    <row r="639" ht="17" customHeight="1">
      <c r="B639" s="66" t="n"/>
      <c r="C639" s="60" t="n"/>
      <c r="D639" s="86" t="n"/>
      <c r="E639" s="63" t="n"/>
      <c r="F639" s="60" t="n"/>
      <c r="G639" s="60" t="n"/>
      <c r="H639" s="71">
        <f>IF(OR($C639="",$D639=""),"",IF(ISNUMBER($E639),$E639,IF($O639="","",IF(N(INDEX('Menu Pricing'!$O$7:$O$56,$O639))&gt;0,INDEX('Menu Pricing'!$O$7:$O$56,$O639),""))))</f>
        <v/>
      </c>
      <c r="I639" s="71">
        <f>IF($N639&lt;&gt;"OK","",$D639*$H639)</f>
        <v/>
      </c>
      <c r="J639" s="71">
        <f>IF($N639&lt;&gt;"OK","",N(INDEX('Menu Pricing'!$F$7:$F$56,$O639))+N(INDEX('Menu Pricing'!$G$7:$G$56,$O639))+N(INDEX('Menu Pricing'!$J$7:$J$56,$O639)))</f>
        <v/>
      </c>
      <c r="K639" s="71">
        <f>IF($N639&lt;&gt;"OK","",$D639*$J639)</f>
        <v/>
      </c>
      <c r="L639" s="71">
        <f>IF($N639&lt;&gt;"OK","",$I639-$K639)</f>
        <v/>
      </c>
      <c r="M639" s="71">
        <f>IF($N639&lt;&gt;"OK","",$D639*N(INDEX('Menu Pricing'!$F$7:$F$56,$O639)))</f>
        <v/>
      </c>
      <c r="N639" s="80">
        <f>IF(AND($B639="",$C639="",$D639=""),"",IF(NOT(ISNUMBER($B639)),"Enter a valid date",IF($C639="","Pick a menu item",IF($O639="","Item not on Menu Pricing",IF(N($D639)&lt;=0,"Qty must be above 0",IF($H639="","No price on menu","OK"))))))</f>
        <v/>
      </c>
      <c r="O639" s="13">
        <f>IF($C639="","",IFERROR(MATCH($C639,'Menu Pricing'!$B$7:$B$56,0),""))</f>
        <v/>
      </c>
    </row>
    <row r="640" ht="17" customHeight="1">
      <c r="B640" s="66" t="n"/>
      <c r="C640" s="60" t="n"/>
      <c r="D640" s="86" t="n"/>
      <c r="E640" s="63" t="n"/>
      <c r="F640" s="60" t="n"/>
      <c r="G640" s="60" t="n"/>
      <c r="H640" s="71">
        <f>IF(OR($C640="",$D640=""),"",IF(ISNUMBER($E640),$E640,IF($O640="","",IF(N(INDEX('Menu Pricing'!$O$7:$O$56,$O640))&gt;0,INDEX('Menu Pricing'!$O$7:$O$56,$O640),""))))</f>
        <v/>
      </c>
      <c r="I640" s="71">
        <f>IF($N640&lt;&gt;"OK","",$D640*$H640)</f>
        <v/>
      </c>
      <c r="J640" s="71">
        <f>IF($N640&lt;&gt;"OK","",N(INDEX('Menu Pricing'!$F$7:$F$56,$O640))+N(INDEX('Menu Pricing'!$G$7:$G$56,$O640))+N(INDEX('Menu Pricing'!$J$7:$J$56,$O640)))</f>
        <v/>
      </c>
      <c r="K640" s="71">
        <f>IF($N640&lt;&gt;"OK","",$D640*$J640)</f>
        <v/>
      </c>
      <c r="L640" s="71">
        <f>IF($N640&lt;&gt;"OK","",$I640-$K640)</f>
        <v/>
      </c>
      <c r="M640" s="71">
        <f>IF($N640&lt;&gt;"OK","",$D640*N(INDEX('Menu Pricing'!$F$7:$F$56,$O640)))</f>
        <v/>
      </c>
      <c r="N640" s="80">
        <f>IF(AND($B640="",$C640="",$D640=""),"",IF(NOT(ISNUMBER($B640)),"Enter a valid date",IF($C640="","Pick a menu item",IF($O640="","Item not on Menu Pricing",IF(N($D640)&lt;=0,"Qty must be above 0",IF($H640="","No price on menu","OK"))))))</f>
        <v/>
      </c>
      <c r="O640" s="13">
        <f>IF($C640="","",IFERROR(MATCH($C640,'Menu Pricing'!$B$7:$B$56,0),""))</f>
        <v/>
      </c>
    </row>
    <row r="641" ht="17" customHeight="1">
      <c r="B641" s="66" t="n"/>
      <c r="C641" s="60" t="n"/>
      <c r="D641" s="86" t="n"/>
      <c r="E641" s="63" t="n"/>
      <c r="F641" s="60" t="n"/>
      <c r="G641" s="60" t="n"/>
      <c r="H641" s="71">
        <f>IF(OR($C641="",$D641=""),"",IF(ISNUMBER($E641),$E641,IF($O641="","",IF(N(INDEX('Menu Pricing'!$O$7:$O$56,$O641))&gt;0,INDEX('Menu Pricing'!$O$7:$O$56,$O641),""))))</f>
        <v/>
      </c>
      <c r="I641" s="71">
        <f>IF($N641&lt;&gt;"OK","",$D641*$H641)</f>
        <v/>
      </c>
      <c r="J641" s="71">
        <f>IF($N641&lt;&gt;"OK","",N(INDEX('Menu Pricing'!$F$7:$F$56,$O641))+N(INDEX('Menu Pricing'!$G$7:$G$56,$O641))+N(INDEX('Menu Pricing'!$J$7:$J$56,$O641)))</f>
        <v/>
      </c>
      <c r="K641" s="71">
        <f>IF($N641&lt;&gt;"OK","",$D641*$J641)</f>
        <v/>
      </c>
      <c r="L641" s="71">
        <f>IF($N641&lt;&gt;"OK","",$I641-$K641)</f>
        <v/>
      </c>
      <c r="M641" s="71">
        <f>IF($N641&lt;&gt;"OK","",$D641*N(INDEX('Menu Pricing'!$F$7:$F$56,$O641)))</f>
        <v/>
      </c>
      <c r="N641" s="80">
        <f>IF(AND($B641="",$C641="",$D641=""),"",IF(NOT(ISNUMBER($B641)),"Enter a valid date",IF($C641="","Pick a menu item",IF($O641="","Item not on Menu Pricing",IF(N($D641)&lt;=0,"Qty must be above 0",IF($H641="","No price on menu","OK"))))))</f>
        <v/>
      </c>
      <c r="O641" s="13">
        <f>IF($C641="","",IFERROR(MATCH($C641,'Menu Pricing'!$B$7:$B$56,0),""))</f>
        <v/>
      </c>
    </row>
    <row r="642" ht="17" customHeight="1">
      <c r="B642" s="66" t="n"/>
      <c r="C642" s="60" t="n"/>
      <c r="D642" s="86" t="n"/>
      <c r="E642" s="63" t="n"/>
      <c r="F642" s="60" t="n"/>
      <c r="G642" s="60" t="n"/>
      <c r="H642" s="71">
        <f>IF(OR($C642="",$D642=""),"",IF(ISNUMBER($E642),$E642,IF($O642="","",IF(N(INDEX('Menu Pricing'!$O$7:$O$56,$O642))&gt;0,INDEX('Menu Pricing'!$O$7:$O$56,$O642),""))))</f>
        <v/>
      </c>
      <c r="I642" s="71">
        <f>IF($N642&lt;&gt;"OK","",$D642*$H642)</f>
        <v/>
      </c>
      <c r="J642" s="71">
        <f>IF($N642&lt;&gt;"OK","",N(INDEX('Menu Pricing'!$F$7:$F$56,$O642))+N(INDEX('Menu Pricing'!$G$7:$G$56,$O642))+N(INDEX('Menu Pricing'!$J$7:$J$56,$O642)))</f>
        <v/>
      </c>
      <c r="K642" s="71">
        <f>IF($N642&lt;&gt;"OK","",$D642*$J642)</f>
        <v/>
      </c>
      <c r="L642" s="71">
        <f>IF($N642&lt;&gt;"OK","",$I642-$K642)</f>
        <v/>
      </c>
      <c r="M642" s="71">
        <f>IF($N642&lt;&gt;"OK","",$D642*N(INDEX('Menu Pricing'!$F$7:$F$56,$O642)))</f>
        <v/>
      </c>
      <c r="N642" s="80">
        <f>IF(AND($B642="",$C642="",$D642=""),"",IF(NOT(ISNUMBER($B642)),"Enter a valid date",IF($C642="","Pick a menu item",IF($O642="","Item not on Menu Pricing",IF(N($D642)&lt;=0,"Qty must be above 0",IF($H642="","No price on menu","OK"))))))</f>
        <v/>
      </c>
      <c r="O642" s="13">
        <f>IF($C642="","",IFERROR(MATCH($C642,'Menu Pricing'!$B$7:$B$56,0),""))</f>
        <v/>
      </c>
    </row>
    <row r="643" ht="17" customHeight="1">
      <c r="B643" s="66" t="n"/>
      <c r="C643" s="60" t="n"/>
      <c r="D643" s="86" t="n"/>
      <c r="E643" s="63" t="n"/>
      <c r="F643" s="60" t="n"/>
      <c r="G643" s="60" t="n"/>
      <c r="H643" s="71">
        <f>IF(OR($C643="",$D643=""),"",IF(ISNUMBER($E643),$E643,IF($O643="","",IF(N(INDEX('Menu Pricing'!$O$7:$O$56,$O643))&gt;0,INDEX('Menu Pricing'!$O$7:$O$56,$O643),""))))</f>
        <v/>
      </c>
      <c r="I643" s="71">
        <f>IF($N643&lt;&gt;"OK","",$D643*$H643)</f>
        <v/>
      </c>
      <c r="J643" s="71">
        <f>IF($N643&lt;&gt;"OK","",N(INDEX('Menu Pricing'!$F$7:$F$56,$O643))+N(INDEX('Menu Pricing'!$G$7:$G$56,$O643))+N(INDEX('Menu Pricing'!$J$7:$J$56,$O643)))</f>
        <v/>
      </c>
      <c r="K643" s="71">
        <f>IF($N643&lt;&gt;"OK","",$D643*$J643)</f>
        <v/>
      </c>
      <c r="L643" s="71">
        <f>IF($N643&lt;&gt;"OK","",$I643-$K643)</f>
        <v/>
      </c>
      <c r="M643" s="71">
        <f>IF($N643&lt;&gt;"OK","",$D643*N(INDEX('Menu Pricing'!$F$7:$F$56,$O643)))</f>
        <v/>
      </c>
      <c r="N643" s="80">
        <f>IF(AND($B643="",$C643="",$D643=""),"",IF(NOT(ISNUMBER($B643)),"Enter a valid date",IF($C643="","Pick a menu item",IF($O643="","Item not on Menu Pricing",IF(N($D643)&lt;=0,"Qty must be above 0",IF($H643="","No price on menu","OK"))))))</f>
        <v/>
      </c>
      <c r="O643" s="13">
        <f>IF($C643="","",IFERROR(MATCH($C643,'Menu Pricing'!$B$7:$B$56,0),""))</f>
        <v/>
      </c>
    </row>
    <row r="644" ht="17" customHeight="1">
      <c r="B644" s="66" t="n"/>
      <c r="C644" s="60" t="n"/>
      <c r="D644" s="86" t="n"/>
      <c r="E644" s="63" t="n"/>
      <c r="F644" s="60" t="n"/>
      <c r="G644" s="60" t="n"/>
      <c r="H644" s="71">
        <f>IF(OR($C644="",$D644=""),"",IF(ISNUMBER($E644),$E644,IF($O644="","",IF(N(INDEX('Menu Pricing'!$O$7:$O$56,$O644))&gt;0,INDEX('Menu Pricing'!$O$7:$O$56,$O644),""))))</f>
        <v/>
      </c>
      <c r="I644" s="71">
        <f>IF($N644&lt;&gt;"OK","",$D644*$H644)</f>
        <v/>
      </c>
      <c r="J644" s="71">
        <f>IF($N644&lt;&gt;"OK","",N(INDEX('Menu Pricing'!$F$7:$F$56,$O644))+N(INDEX('Menu Pricing'!$G$7:$G$56,$O644))+N(INDEX('Menu Pricing'!$J$7:$J$56,$O644)))</f>
        <v/>
      </c>
      <c r="K644" s="71">
        <f>IF($N644&lt;&gt;"OK","",$D644*$J644)</f>
        <v/>
      </c>
      <c r="L644" s="71">
        <f>IF($N644&lt;&gt;"OK","",$I644-$K644)</f>
        <v/>
      </c>
      <c r="M644" s="71">
        <f>IF($N644&lt;&gt;"OK","",$D644*N(INDEX('Menu Pricing'!$F$7:$F$56,$O644)))</f>
        <v/>
      </c>
      <c r="N644" s="80">
        <f>IF(AND($B644="",$C644="",$D644=""),"",IF(NOT(ISNUMBER($B644)),"Enter a valid date",IF($C644="","Pick a menu item",IF($O644="","Item not on Menu Pricing",IF(N($D644)&lt;=0,"Qty must be above 0",IF($H644="","No price on menu","OK"))))))</f>
        <v/>
      </c>
      <c r="O644" s="13">
        <f>IF($C644="","",IFERROR(MATCH($C644,'Menu Pricing'!$B$7:$B$56,0),""))</f>
        <v/>
      </c>
    </row>
    <row r="645" ht="17" customHeight="1">
      <c r="B645" s="66" t="n"/>
      <c r="C645" s="60" t="n"/>
      <c r="D645" s="86" t="n"/>
      <c r="E645" s="63" t="n"/>
      <c r="F645" s="60" t="n"/>
      <c r="G645" s="60" t="n"/>
      <c r="H645" s="71">
        <f>IF(OR($C645="",$D645=""),"",IF(ISNUMBER($E645),$E645,IF($O645="","",IF(N(INDEX('Menu Pricing'!$O$7:$O$56,$O645))&gt;0,INDEX('Menu Pricing'!$O$7:$O$56,$O645),""))))</f>
        <v/>
      </c>
      <c r="I645" s="71">
        <f>IF($N645&lt;&gt;"OK","",$D645*$H645)</f>
        <v/>
      </c>
      <c r="J645" s="71">
        <f>IF($N645&lt;&gt;"OK","",N(INDEX('Menu Pricing'!$F$7:$F$56,$O645))+N(INDEX('Menu Pricing'!$G$7:$G$56,$O645))+N(INDEX('Menu Pricing'!$J$7:$J$56,$O645)))</f>
        <v/>
      </c>
      <c r="K645" s="71">
        <f>IF($N645&lt;&gt;"OK","",$D645*$J645)</f>
        <v/>
      </c>
      <c r="L645" s="71">
        <f>IF($N645&lt;&gt;"OK","",$I645-$K645)</f>
        <v/>
      </c>
      <c r="M645" s="71">
        <f>IF($N645&lt;&gt;"OK","",$D645*N(INDEX('Menu Pricing'!$F$7:$F$56,$O645)))</f>
        <v/>
      </c>
      <c r="N645" s="80">
        <f>IF(AND($B645="",$C645="",$D645=""),"",IF(NOT(ISNUMBER($B645)),"Enter a valid date",IF($C645="","Pick a menu item",IF($O645="","Item not on Menu Pricing",IF(N($D645)&lt;=0,"Qty must be above 0",IF($H645="","No price on menu","OK"))))))</f>
        <v/>
      </c>
      <c r="O645" s="13">
        <f>IF($C645="","",IFERROR(MATCH($C645,'Menu Pricing'!$B$7:$B$56,0),""))</f>
        <v/>
      </c>
    </row>
    <row r="646" ht="17" customHeight="1">
      <c r="B646" s="66" t="n"/>
      <c r="C646" s="60" t="n"/>
      <c r="D646" s="86" t="n"/>
      <c r="E646" s="63" t="n"/>
      <c r="F646" s="60" t="n"/>
      <c r="G646" s="60" t="n"/>
      <c r="H646" s="71">
        <f>IF(OR($C646="",$D646=""),"",IF(ISNUMBER($E646),$E646,IF($O646="","",IF(N(INDEX('Menu Pricing'!$O$7:$O$56,$O646))&gt;0,INDEX('Menu Pricing'!$O$7:$O$56,$O646),""))))</f>
        <v/>
      </c>
      <c r="I646" s="71">
        <f>IF($N646&lt;&gt;"OK","",$D646*$H646)</f>
        <v/>
      </c>
      <c r="J646" s="71">
        <f>IF($N646&lt;&gt;"OK","",N(INDEX('Menu Pricing'!$F$7:$F$56,$O646))+N(INDEX('Menu Pricing'!$G$7:$G$56,$O646))+N(INDEX('Menu Pricing'!$J$7:$J$56,$O646)))</f>
        <v/>
      </c>
      <c r="K646" s="71">
        <f>IF($N646&lt;&gt;"OK","",$D646*$J646)</f>
        <v/>
      </c>
      <c r="L646" s="71">
        <f>IF($N646&lt;&gt;"OK","",$I646-$K646)</f>
        <v/>
      </c>
      <c r="M646" s="71">
        <f>IF($N646&lt;&gt;"OK","",$D646*N(INDEX('Menu Pricing'!$F$7:$F$56,$O646)))</f>
        <v/>
      </c>
      <c r="N646" s="80">
        <f>IF(AND($B646="",$C646="",$D646=""),"",IF(NOT(ISNUMBER($B646)),"Enter a valid date",IF($C646="","Pick a menu item",IF($O646="","Item not on Menu Pricing",IF(N($D646)&lt;=0,"Qty must be above 0",IF($H646="","No price on menu","OK"))))))</f>
        <v/>
      </c>
      <c r="O646" s="13">
        <f>IF($C646="","",IFERROR(MATCH($C646,'Menu Pricing'!$B$7:$B$56,0),""))</f>
        <v/>
      </c>
    </row>
    <row r="647" ht="17" customHeight="1">
      <c r="B647" s="66" t="n"/>
      <c r="C647" s="60" t="n"/>
      <c r="D647" s="86" t="n"/>
      <c r="E647" s="63" t="n"/>
      <c r="F647" s="60" t="n"/>
      <c r="G647" s="60" t="n"/>
      <c r="H647" s="71">
        <f>IF(OR($C647="",$D647=""),"",IF(ISNUMBER($E647),$E647,IF($O647="","",IF(N(INDEX('Menu Pricing'!$O$7:$O$56,$O647))&gt;0,INDEX('Menu Pricing'!$O$7:$O$56,$O647),""))))</f>
        <v/>
      </c>
      <c r="I647" s="71">
        <f>IF($N647&lt;&gt;"OK","",$D647*$H647)</f>
        <v/>
      </c>
      <c r="J647" s="71">
        <f>IF($N647&lt;&gt;"OK","",N(INDEX('Menu Pricing'!$F$7:$F$56,$O647))+N(INDEX('Menu Pricing'!$G$7:$G$56,$O647))+N(INDEX('Menu Pricing'!$J$7:$J$56,$O647)))</f>
        <v/>
      </c>
      <c r="K647" s="71">
        <f>IF($N647&lt;&gt;"OK","",$D647*$J647)</f>
        <v/>
      </c>
      <c r="L647" s="71">
        <f>IF($N647&lt;&gt;"OK","",$I647-$K647)</f>
        <v/>
      </c>
      <c r="M647" s="71">
        <f>IF($N647&lt;&gt;"OK","",$D647*N(INDEX('Menu Pricing'!$F$7:$F$56,$O647)))</f>
        <v/>
      </c>
      <c r="N647" s="80">
        <f>IF(AND($B647="",$C647="",$D647=""),"",IF(NOT(ISNUMBER($B647)),"Enter a valid date",IF($C647="","Pick a menu item",IF($O647="","Item not on Menu Pricing",IF(N($D647)&lt;=0,"Qty must be above 0",IF($H647="","No price on menu","OK"))))))</f>
        <v/>
      </c>
      <c r="O647" s="13">
        <f>IF($C647="","",IFERROR(MATCH($C647,'Menu Pricing'!$B$7:$B$56,0),""))</f>
        <v/>
      </c>
    </row>
    <row r="648" ht="17" customHeight="1">
      <c r="B648" s="66" t="n"/>
      <c r="C648" s="60" t="n"/>
      <c r="D648" s="86" t="n"/>
      <c r="E648" s="63" t="n"/>
      <c r="F648" s="60" t="n"/>
      <c r="G648" s="60" t="n"/>
      <c r="H648" s="71">
        <f>IF(OR($C648="",$D648=""),"",IF(ISNUMBER($E648),$E648,IF($O648="","",IF(N(INDEX('Menu Pricing'!$O$7:$O$56,$O648))&gt;0,INDEX('Menu Pricing'!$O$7:$O$56,$O648),""))))</f>
        <v/>
      </c>
      <c r="I648" s="71">
        <f>IF($N648&lt;&gt;"OK","",$D648*$H648)</f>
        <v/>
      </c>
      <c r="J648" s="71">
        <f>IF($N648&lt;&gt;"OK","",N(INDEX('Menu Pricing'!$F$7:$F$56,$O648))+N(INDEX('Menu Pricing'!$G$7:$G$56,$O648))+N(INDEX('Menu Pricing'!$J$7:$J$56,$O648)))</f>
        <v/>
      </c>
      <c r="K648" s="71">
        <f>IF($N648&lt;&gt;"OK","",$D648*$J648)</f>
        <v/>
      </c>
      <c r="L648" s="71">
        <f>IF($N648&lt;&gt;"OK","",$I648-$K648)</f>
        <v/>
      </c>
      <c r="M648" s="71">
        <f>IF($N648&lt;&gt;"OK","",$D648*N(INDEX('Menu Pricing'!$F$7:$F$56,$O648)))</f>
        <v/>
      </c>
      <c r="N648" s="80">
        <f>IF(AND($B648="",$C648="",$D648=""),"",IF(NOT(ISNUMBER($B648)),"Enter a valid date",IF($C648="","Pick a menu item",IF($O648="","Item not on Menu Pricing",IF(N($D648)&lt;=0,"Qty must be above 0",IF($H648="","No price on menu","OK"))))))</f>
        <v/>
      </c>
      <c r="O648" s="13">
        <f>IF($C648="","",IFERROR(MATCH($C648,'Menu Pricing'!$B$7:$B$56,0),""))</f>
        <v/>
      </c>
    </row>
    <row r="649" ht="17" customHeight="1">
      <c r="B649" s="66" t="n"/>
      <c r="C649" s="60" t="n"/>
      <c r="D649" s="86" t="n"/>
      <c r="E649" s="63" t="n"/>
      <c r="F649" s="60" t="n"/>
      <c r="G649" s="60" t="n"/>
      <c r="H649" s="71">
        <f>IF(OR($C649="",$D649=""),"",IF(ISNUMBER($E649),$E649,IF($O649="","",IF(N(INDEX('Menu Pricing'!$O$7:$O$56,$O649))&gt;0,INDEX('Menu Pricing'!$O$7:$O$56,$O649),""))))</f>
        <v/>
      </c>
      <c r="I649" s="71">
        <f>IF($N649&lt;&gt;"OK","",$D649*$H649)</f>
        <v/>
      </c>
      <c r="J649" s="71">
        <f>IF($N649&lt;&gt;"OK","",N(INDEX('Menu Pricing'!$F$7:$F$56,$O649))+N(INDEX('Menu Pricing'!$G$7:$G$56,$O649))+N(INDEX('Menu Pricing'!$J$7:$J$56,$O649)))</f>
        <v/>
      </c>
      <c r="K649" s="71">
        <f>IF($N649&lt;&gt;"OK","",$D649*$J649)</f>
        <v/>
      </c>
      <c r="L649" s="71">
        <f>IF($N649&lt;&gt;"OK","",$I649-$K649)</f>
        <v/>
      </c>
      <c r="M649" s="71">
        <f>IF($N649&lt;&gt;"OK","",$D649*N(INDEX('Menu Pricing'!$F$7:$F$56,$O649)))</f>
        <v/>
      </c>
      <c r="N649" s="80">
        <f>IF(AND($B649="",$C649="",$D649=""),"",IF(NOT(ISNUMBER($B649)),"Enter a valid date",IF($C649="","Pick a menu item",IF($O649="","Item not on Menu Pricing",IF(N($D649)&lt;=0,"Qty must be above 0",IF($H649="","No price on menu","OK"))))))</f>
        <v/>
      </c>
      <c r="O649" s="13">
        <f>IF($C649="","",IFERROR(MATCH($C649,'Menu Pricing'!$B$7:$B$56,0),""))</f>
        <v/>
      </c>
    </row>
    <row r="650" ht="17" customHeight="1">
      <c r="B650" s="66" t="n"/>
      <c r="C650" s="60" t="n"/>
      <c r="D650" s="86" t="n"/>
      <c r="E650" s="63" t="n"/>
      <c r="F650" s="60" t="n"/>
      <c r="G650" s="60" t="n"/>
      <c r="H650" s="71">
        <f>IF(OR($C650="",$D650=""),"",IF(ISNUMBER($E650),$E650,IF($O650="","",IF(N(INDEX('Menu Pricing'!$O$7:$O$56,$O650))&gt;0,INDEX('Menu Pricing'!$O$7:$O$56,$O650),""))))</f>
        <v/>
      </c>
      <c r="I650" s="71">
        <f>IF($N650&lt;&gt;"OK","",$D650*$H650)</f>
        <v/>
      </c>
      <c r="J650" s="71">
        <f>IF($N650&lt;&gt;"OK","",N(INDEX('Menu Pricing'!$F$7:$F$56,$O650))+N(INDEX('Menu Pricing'!$G$7:$G$56,$O650))+N(INDEX('Menu Pricing'!$J$7:$J$56,$O650)))</f>
        <v/>
      </c>
      <c r="K650" s="71">
        <f>IF($N650&lt;&gt;"OK","",$D650*$J650)</f>
        <v/>
      </c>
      <c r="L650" s="71">
        <f>IF($N650&lt;&gt;"OK","",$I650-$K650)</f>
        <v/>
      </c>
      <c r="M650" s="71">
        <f>IF($N650&lt;&gt;"OK","",$D650*N(INDEX('Menu Pricing'!$F$7:$F$56,$O650)))</f>
        <v/>
      </c>
      <c r="N650" s="80">
        <f>IF(AND($B650="",$C650="",$D650=""),"",IF(NOT(ISNUMBER($B650)),"Enter a valid date",IF($C650="","Pick a menu item",IF($O650="","Item not on Menu Pricing",IF(N($D650)&lt;=0,"Qty must be above 0",IF($H650="","No price on menu","OK"))))))</f>
        <v/>
      </c>
      <c r="O650" s="13">
        <f>IF($C650="","",IFERROR(MATCH($C650,'Menu Pricing'!$B$7:$B$56,0),""))</f>
        <v/>
      </c>
    </row>
    <row r="651" ht="17" customHeight="1">
      <c r="B651" s="66" t="n"/>
      <c r="C651" s="60" t="n"/>
      <c r="D651" s="86" t="n"/>
      <c r="E651" s="63" t="n"/>
      <c r="F651" s="60" t="n"/>
      <c r="G651" s="60" t="n"/>
      <c r="H651" s="71">
        <f>IF(OR($C651="",$D651=""),"",IF(ISNUMBER($E651),$E651,IF($O651="","",IF(N(INDEX('Menu Pricing'!$O$7:$O$56,$O651))&gt;0,INDEX('Menu Pricing'!$O$7:$O$56,$O651),""))))</f>
        <v/>
      </c>
      <c r="I651" s="71">
        <f>IF($N651&lt;&gt;"OK","",$D651*$H651)</f>
        <v/>
      </c>
      <c r="J651" s="71">
        <f>IF($N651&lt;&gt;"OK","",N(INDEX('Menu Pricing'!$F$7:$F$56,$O651))+N(INDEX('Menu Pricing'!$G$7:$G$56,$O651))+N(INDEX('Menu Pricing'!$J$7:$J$56,$O651)))</f>
        <v/>
      </c>
      <c r="K651" s="71">
        <f>IF($N651&lt;&gt;"OK","",$D651*$J651)</f>
        <v/>
      </c>
      <c r="L651" s="71">
        <f>IF($N651&lt;&gt;"OK","",$I651-$K651)</f>
        <v/>
      </c>
      <c r="M651" s="71">
        <f>IF($N651&lt;&gt;"OK","",$D651*N(INDEX('Menu Pricing'!$F$7:$F$56,$O651)))</f>
        <v/>
      </c>
      <c r="N651" s="80">
        <f>IF(AND($B651="",$C651="",$D651=""),"",IF(NOT(ISNUMBER($B651)),"Enter a valid date",IF($C651="","Pick a menu item",IF($O651="","Item not on Menu Pricing",IF(N($D651)&lt;=0,"Qty must be above 0",IF($H651="","No price on menu","OK"))))))</f>
        <v/>
      </c>
      <c r="O651" s="13">
        <f>IF($C651="","",IFERROR(MATCH($C651,'Menu Pricing'!$B$7:$B$56,0),""))</f>
        <v/>
      </c>
    </row>
    <row r="652" ht="17" customHeight="1">
      <c r="B652" s="66" t="n"/>
      <c r="C652" s="60" t="n"/>
      <c r="D652" s="86" t="n"/>
      <c r="E652" s="63" t="n"/>
      <c r="F652" s="60" t="n"/>
      <c r="G652" s="60" t="n"/>
      <c r="H652" s="71">
        <f>IF(OR($C652="",$D652=""),"",IF(ISNUMBER($E652),$E652,IF($O652="","",IF(N(INDEX('Menu Pricing'!$O$7:$O$56,$O652))&gt;0,INDEX('Menu Pricing'!$O$7:$O$56,$O652),""))))</f>
        <v/>
      </c>
      <c r="I652" s="71">
        <f>IF($N652&lt;&gt;"OK","",$D652*$H652)</f>
        <v/>
      </c>
      <c r="J652" s="71">
        <f>IF($N652&lt;&gt;"OK","",N(INDEX('Menu Pricing'!$F$7:$F$56,$O652))+N(INDEX('Menu Pricing'!$G$7:$G$56,$O652))+N(INDEX('Menu Pricing'!$J$7:$J$56,$O652)))</f>
        <v/>
      </c>
      <c r="K652" s="71">
        <f>IF($N652&lt;&gt;"OK","",$D652*$J652)</f>
        <v/>
      </c>
      <c r="L652" s="71">
        <f>IF($N652&lt;&gt;"OK","",$I652-$K652)</f>
        <v/>
      </c>
      <c r="M652" s="71">
        <f>IF($N652&lt;&gt;"OK","",$D652*N(INDEX('Menu Pricing'!$F$7:$F$56,$O652)))</f>
        <v/>
      </c>
      <c r="N652" s="80">
        <f>IF(AND($B652="",$C652="",$D652=""),"",IF(NOT(ISNUMBER($B652)),"Enter a valid date",IF($C652="","Pick a menu item",IF($O652="","Item not on Menu Pricing",IF(N($D652)&lt;=0,"Qty must be above 0",IF($H652="","No price on menu","OK"))))))</f>
        <v/>
      </c>
      <c r="O652" s="13">
        <f>IF($C652="","",IFERROR(MATCH($C652,'Menu Pricing'!$B$7:$B$56,0),""))</f>
        <v/>
      </c>
    </row>
    <row r="653" ht="17" customHeight="1">
      <c r="B653" s="66" t="n"/>
      <c r="C653" s="60" t="n"/>
      <c r="D653" s="86" t="n"/>
      <c r="E653" s="63" t="n"/>
      <c r="F653" s="60" t="n"/>
      <c r="G653" s="60" t="n"/>
      <c r="H653" s="71">
        <f>IF(OR($C653="",$D653=""),"",IF(ISNUMBER($E653),$E653,IF($O653="","",IF(N(INDEX('Menu Pricing'!$O$7:$O$56,$O653))&gt;0,INDEX('Menu Pricing'!$O$7:$O$56,$O653),""))))</f>
        <v/>
      </c>
      <c r="I653" s="71">
        <f>IF($N653&lt;&gt;"OK","",$D653*$H653)</f>
        <v/>
      </c>
      <c r="J653" s="71">
        <f>IF($N653&lt;&gt;"OK","",N(INDEX('Menu Pricing'!$F$7:$F$56,$O653))+N(INDEX('Menu Pricing'!$G$7:$G$56,$O653))+N(INDEX('Menu Pricing'!$J$7:$J$56,$O653)))</f>
        <v/>
      </c>
      <c r="K653" s="71">
        <f>IF($N653&lt;&gt;"OK","",$D653*$J653)</f>
        <v/>
      </c>
      <c r="L653" s="71">
        <f>IF($N653&lt;&gt;"OK","",$I653-$K653)</f>
        <v/>
      </c>
      <c r="M653" s="71">
        <f>IF($N653&lt;&gt;"OK","",$D653*N(INDEX('Menu Pricing'!$F$7:$F$56,$O653)))</f>
        <v/>
      </c>
      <c r="N653" s="80">
        <f>IF(AND($B653="",$C653="",$D653=""),"",IF(NOT(ISNUMBER($B653)),"Enter a valid date",IF($C653="","Pick a menu item",IF($O653="","Item not on Menu Pricing",IF(N($D653)&lt;=0,"Qty must be above 0",IF($H653="","No price on menu","OK"))))))</f>
        <v/>
      </c>
      <c r="O653" s="13">
        <f>IF($C653="","",IFERROR(MATCH($C653,'Menu Pricing'!$B$7:$B$56,0),""))</f>
        <v/>
      </c>
    </row>
    <row r="654" ht="17" customHeight="1">
      <c r="B654" s="66" t="n"/>
      <c r="C654" s="60" t="n"/>
      <c r="D654" s="86" t="n"/>
      <c r="E654" s="63" t="n"/>
      <c r="F654" s="60" t="n"/>
      <c r="G654" s="60" t="n"/>
      <c r="H654" s="71">
        <f>IF(OR($C654="",$D654=""),"",IF(ISNUMBER($E654),$E654,IF($O654="","",IF(N(INDEX('Menu Pricing'!$O$7:$O$56,$O654))&gt;0,INDEX('Menu Pricing'!$O$7:$O$56,$O654),""))))</f>
        <v/>
      </c>
      <c r="I654" s="71">
        <f>IF($N654&lt;&gt;"OK","",$D654*$H654)</f>
        <v/>
      </c>
      <c r="J654" s="71">
        <f>IF($N654&lt;&gt;"OK","",N(INDEX('Menu Pricing'!$F$7:$F$56,$O654))+N(INDEX('Menu Pricing'!$G$7:$G$56,$O654))+N(INDEX('Menu Pricing'!$J$7:$J$56,$O654)))</f>
        <v/>
      </c>
      <c r="K654" s="71">
        <f>IF($N654&lt;&gt;"OK","",$D654*$J654)</f>
        <v/>
      </c>
      <c r="L654" s="71">
        <f>IF($N654&lt;&gt;"OK","",$I654-$K654)</f>
        <v/>
      </c>
      <c r="M654" s="71">
        <f>IF($N654&lt;&gt;"OK","",$D654*N(INDEX('Menu Pricing'!$F$7:$F$56,$O654)))</f>
        <v/>
      </c>
      <c r="N654" s="80">
        <f>IF(AND($B654="",$C654="",$D654=""),"",IF(NOT(ISNUMBER($B654)),"Enter a valid date",IF($C654="","Pick a menu item",IF($O654="","Item not on Menu Pricing",IF(N($D654)&lt;=0,"Qty must be above 0",IF($H654="","No price on menu","OK"))))))</f>
        <v/>
      </c>
      <c r="O654" s="13">
        <f>IF($C654="","",IFERROR(MATCH($C654,'Menu Pricing'!$B$7:$B$56,0),""))</f>
        <v/>
      </c>
    </row>
    <row r="655" ht="17" customHeight="1">
      <c r="B655" s="66" t="n"/>
      <c r="C655" s="60" t="n"/>
      <c r="D655" s="86" t="n"/>
      <c r="E655" s="63" t="n"/>
      <c r="F655" s="60" t="n"/>
      <c r="G655" s="60" t="n"/>
      <c r="H655" s="71">
        <f>IF(OR($C655="",$D655=""),"",IF(ISNUMBER($E655),$E655,IF($O655="","",IF(N(INDEX('Menu Pricing'!$O$7:$O$56,$O655))&gt;0,INDEX('Menu Pricing'!$O$7:$O$56,$O655),""))))</f>
        <v/>
      </c>
      <c r="I655" s="71">
        <f>IF($N655&lt;&gt;"OK","",$D655*$H655)</f>
        <v/>
      </c>
      <c r="J655" s="71">
        <f>IF($N655&lt;&gt;"OK","",N(INDEX('Menu Pricing'!$F$7:$F$56,$O655))+N(INDEX('Menu Pricing'!$G$7:$G$56,$O655))+N(INDEX('Menu Pricing'!$J$7:$J$56,$O655)))</f>
        <v/>
      </c>
      <c r="K655" s="71">
        <f>IF($N655&lt;&gt;"OK","",$D655*$J655)</f>
        <v/>
      </c>
      <c r="L655" s="71">
        <f>IF($N655&lt;&gt;"OK","",$I655-$K655)</f>
        <v/>
      </c>
      <c r="M655" s="71">
        <f>IF($N655&lt;&gt;"OK","",$D655*N(INDEX('Menu Pricing'!$F$7:$F$56,$O655)))</f>
        <v/>
      </c>
      <c r="N655" s="80">
        <f>IF(AND($B655="",$C655="",$D655=""),"",IF(NOT(ISNUMBER($B655)),"Enter a valid date",IF($C655="","Pick a menu item",IF($O655="","Item not on Menu Pricing",IF(N($D655)&lt;=0,"Qty must be above 0",IF($H655="","No price on menu","OK"))))))</f>
        <v/>
      </c>
      <c r="O655" s="13">
        <f>IF($C655="","",IFERROR(MATCH($C655,'Menu Pricing'!$B$7:$B$56,0),""))</f>
        <v/>
      </c>
    </row>
    <row r="656" ht="17" customHeight="1">
      <c r="B656" s="66" t="n"/>
      <c r="C656" s="60" t="n"/>
      <c r="D656" s="86" t="n"/>
      <c r="E656" s="63" t="n"/>
      <c r="F656" s="60" t="n"/>
      <c r="G656" s="60" t="n"/>
      <c r="H656" s="71">
        <f>IF(OR($C656="",$D656=""),"",IF(ISNUMBER($E656),$E656,IF($O656="","",IF(N(INDEX('Menu Pricing'!$O$7:$O$56,$O656))&gt;0,INDEX('Menu Pricing'!$O$7:$O$56,$O656),""))))</f>
        <v/>
      </c>
      <c r="I656" s="71">
        <f>IF($N656&lt;&gt;"OK","",$D656*$H656)</f>
        <v/>
      </c>
      <c r="J656" s="71">
        <f>IF($N656&lt;&gt;"OK","",N(INDEX('Menu Pricing'!$F$7:$F$56,$O656))+N(INDEX('Menu Pricing'!$G$7:$G$56,$O656))+N(INDEX('Menu Pricing'!$J$7:$J$56,$O656)))</f>
        <v/>
      </c>
      <c r="K656" s="71">
        <f>IF($N656&lt;&gt;"OK","",$D656*$J656)</f>
        <v/>
      </c>
      <c r="L656" s="71">
        <f>IF($N656&lt;&gt;"OK","",$I656-$K656)</f>
        <v/>
      </c>
      <c r="M656" s="71">
        <f>IF($N656&lt;&gt;"OK","",$D656*N(INDEX('Menu Pricing'!$F$7:$F$56,$O656)))</f>
        <v/>
      </c>
      <c r="N656" s="80">
        <f>IF(AND($B656="",$C656="",$D656=""),"",IF(NOT(ISNUMBER($B656)),"Enter a valid date",IF($C656="","Pick a menu item",IF($O656="","Item not on Menu Pricing",IF(N($D656)&lt;=0,"Qty must be above 0",IF($H656="","No price on menu","OK"))))))</f>
        <v/>
      </c>
      <c r="O656" s="13">
        <f>IF($C656="","",IFERROR(MATCH($C656,'Menu Pricing'!$B$7:$B$56,0),""))</f>
        <v/>
      </c>
    </row>
    <row r="657" ht="17" customHeight="1">
      <c r="B657" s="66" t="n"/>
      <c r="C657" s="60" t="n"/>
      <c r="D657" s="86" t="n"/>
      <c r="E657" s="63" t="n"/>
      <c r="F657" s="60" t="n"/>
      <c r="G657" s="60" t="n"/>
      <c r="H657" s="71">
        <f>IF(OR($C657="",$D657=""),"",IF(ISNUMBER($E657),$E657,IF($O657="","",IF(N(INDEX('Menu Pricing'!$O$7:$O$56,$O657))&gt;0,INDEX('Menu Pricing'!$O$7:$O$56,$O657),""))))</f>
        <v/>
      </c>
      <c r="I657" s="71">
        <f>IF($N657&lt;&gt;"OK","",$D657*$H657)</f>
        <v/>
      </c>
      <c r="J657" s="71">
        <f>IF($N657&lt;&gt;"OK","",N(INDEX('Menu Pricing'!$F$7:$F$56,$O657))+N(INDEX('Menu Pricing'!$G$7:$G$56,$O657))+N(INDEX('Menu Pricing'!$J$7:$J$56,$O657)))</f>
        <v/>
      </c>
      <c r="K657" s="71">
        <f>IF($N657&lt;&gt;"OK","",$D657*$J657)</f>
        <v/>
      </c>
      <c r="L657" s="71">
        <f>IF($N657&lt;&gt;"OK","",$I657-$K657)</f>
        <v/>
      </c>
      <c r="M657" s="71">
        <f>IF($N657&lt;&gt;"OK","",$D657*N(INDEX('Menu Pricing'!$F$7:$F$56,$O657)))</f>
        <v/>
      </c>
      <c r="N657" s="80">
        <f>IF(AND($B657="",$C657="",$D657=""),"",IF(NOT(ISNUMBER($B657)),"Enter a valid date",IF($C657="","Pick a menu item",IF($O657="","Item not on Menu Pricing",IF(N($D657)&lt;=0,"Qty must be above 0",IF($H657="","No price on menu","OK"))))))</f>
        <v/>
      </c>
      <c r="O657" s="13">
        <f>IF($C657="","",IFERROR(MATCH($C657,'Menu Pricing'!$B$7:$B$56,0),""))</f>
        <v/>
      </c>
    </row>
    <row r="658" ht="17" customHeight="1">
      <c r="B658" s="66" t="n"/>
      <c r="C658" s="60" t="n"/>
      <c r="D658" s="86" t="n"/>
      <c r="E658" s="63" t="n"/>
      <c r="F658" s="60" t="n"/>
      <c r="G658" s="60" t="n"/>
      <c r="H658" s="71">
        <f>IF(OR($C658="",$D658=""),"",IF(ISNUMBER($E658),$E658,IF($O658="","",IF(N(INDEX('Menu Pricing'!$O$7:$O$56,$O658))&gt;0,INDEX('Menu Pricing'!$O$7:$O$56,$O658),""))))</f>
        <v/>
      </c>
      <c r="I658" s="71">
        <f>IF($N658&lt;&gt;"OK","",$D658*$H658)</f>
        <v/>
      </c>
      <c r="J658" s="71">
        <f>IF($N658&lt;&gt;"OK","",N(INDEX('Menu Pricing'!$F$7:$F$56,$O658))+N(INDEX('Menu Pricing'!$G$7:$G$56,$O658))+N(INDEX('Menu Pricing'!$J$7:$J$56,$O658)))</f>
        <v/>
      </c>
      <c r="K658" s="71">
        <f>IF($N658&lt;&gt;"OK","",$D658*$J658)</f>
        <v/>
      </c>
      <c r="L658" s="71">
        <f>IF($N658&lt;&gt;"OK","",$I658-$K658)</f>
        <v/>
      </c>
      <c r="M658" s="71">
        <f>IF($N658&lt;&gt;"OK","",$D658*N(INDEX('Menu Pricing'!$F$7:$F$56,$O658)))</f>
        <v/>
      </c>
      <c r="N658" s="80">
        <f>IF(AND($B658="",$C658="",$D658=""),"",IF(NOT(ISNUMBER($B658)),"Enter a valid date",IF($C658="","Pick a menu item",IF($O658="","Item not on Menu Pricing",IF(N($D658)&lt;=0,"Qty must be above 0",IF($H658="","No price on menu","OK"))))))</f>
        <v/>
      </c>
      <c r="O658" s="13">
        <f>IF($C658="","",IFERROR(MATCH($C658,'Menu Pricing'!$B$7:$B$56,0),""))</f>
        <v/>
      </c>
    </row>
    <row r="659" ht="17" customHeight="1">
      <c r="B659" s="66" t="n"/>
      <c r="C659" s="60" t="n"/>
      <c r="D659" s="86" t="n"/>
      <c r="E659" s="63" t="n"/>
      <c r="F659" s="60" t="n"/>
      <c r="G659" s="60" t="n"/>
      <c r="H659" s="71">
        <f>IF(OR($C659="",$D659=""),"",IF(ISNUMBER($E659),$E659,IF($O659="","",IF(N(INDEX('Menu Pricing'!$O$7:$O$56,$O659))&gt;0,INDEX('Menu Pricing'!$O$7:$O$56,$O659),""))))</f>
        <v/>
      </c>
      <c r="I659" s="71">
        <f>IF($N659&lt;&gt;"OK","",$D659*$H659)</f>
        <v/>
      </c>
      <c r="J659" s="71">
        <f>IF($N659&lt;&gt;"OK","",N(INDEX('Menu Pricing'!$F$7:$F$56,$O659))+N(INDEX('Menu Pricing'!$G$7:$G$56,$O659))+N(INDEX('Menu Pricing'!$J$7:$J$56,$O659)))</f>
        <v/>
      </c>
      <c r="K659" s="71">
        <f>IF($N659&lt;&gt;"OK","",$D659*$J659)</f>
        <v/>
      </c>
      <c r="L659" s="71">
        <f>IF($N659&lt;&gt;"OK","",$I659-$K659)</f>
        <v/>
      </c>
      <c r="M659" s="71">
        <f>IF($N659&lt;&gt;"OK","",$D659*N(INDEX('Menu Pricing'!$F$7:$F$56,$O659)))</f>
        <v/>
      </c>
      <c r="N659" s="80">
        <f>IF(AND($B659="",$C659="",$D659=""),"",IF(NOT(ISNUMBER($B659)),"Enter a valid date",IF($C659="","Pick a menu item",IF($O659="","Item not on Menu Pricing",IF(N($D659)&lt;=0,"Qty must be above 0",IF($H659="","No price on menu","OK"))))))</f>
        <v/>
      </c>
      <c r="O659" s="13">
        <f>IF($C659="","",IFERROR(MATCH($C659,'Menu Pricing'!$B$7:$B$56,0),""))</f>
        <v/>
      </c>
    </row>
    <row r="660" ht="17" customHeight="1">
      <c r="B660" s="66" t="n"/>
      <c r="C660" s="60" t="n"/>
      <c r="D660" s="86" t="n"/>
      <c r="E660" s="63" t="n"/>
      <c r="F660" s="60" t="n"/>
      <c r="G660" s="60" t="n"/>
      <c r="H660" s="71">
        <f>IF(OR($C660="",$D660=""),"",IF(ISNUMBER($E660),$E660,IF($O660="","",IF(N(INDEX('Menu Pricing'!$O$7:$O$56,$O660))&gt;0,INDEX('Menu Pricing'!$O$7:$O$56,$O660),""))))</f>
        <v/>
      </c>
      <c r="I660" s="71">
        <f>IF($N660&lt;&gt;"OK","",$D660*$H660)</f>
        <v/>
      </c>
      <c r="J660" s="71">
        <f>IF($N660&lt;&gt;"OK","",N(INDEX('Menu Pricing'!$F$7:$F$56,$O660))+N(INDEX('Menu Pricing'!$G$7:$G$56,$O660))+N(INDEX('Menu Pricing'!$J$7:$J$56,$O660)))</f>
        <v/>
      </c>
      <c r="K660" s="71">
        <f>IF($N660&lt;&gt;"OK","",$D660*$J660)</f>
        <v/>
      </c>
      <c r="L660" s="71">
        <f>IF($N660&lt;&gt;"OK","",$I660-$K660)</f>
        <v/>
      </c>
      <c r="M660" s="71">
        <f>IF($N660&lt;&gt;"OK","",$D660*N(INDEX('Menu Pricing'!$F$7:$F$56,$O660)))</f>
        <v/>
      </c>
      <c r="N660" s="80">
        <f>IF(AND($B660="",$C660="",$D660=""),"",IF(NOT(ISNUMBER($B660)),"Enter a valid date",IF($C660="","Pick a menu item",IF($O660="","Item not on Menu Pricing",IF(N($D660)&lt;=0,"Qty must be above 0",IF($H660="","No price on menu","OK"))))))</f>
        <v/>
      </c>
      <c r="O660" s="13">
        <f>IF($C660="","",IFERROR(MATCH($C660,'Menu Pricing'!$B$7:$B$56,0),""))</f>
        <v/>
      </c>
    </row>
    <row r="661" ht="17" customHeight="1">
      <c r="B661" s="66" t="n"/>
      <c r="C661" s="60" t="n"/>
      <c r="D661" s="86" t="n"/>
      <c r="E661" s="63" t="n"/>
      <c r="F661" s="60" t="n"/>
      <c r="G661" s="60" t="n"/>
      <c r="H661" s="71">
        <f>IF(OR($C661="",$D661=""),"",IF(ISNUMBER($E661),$E661,IF($O661="","",IF(N(INDEX('Menu Pricing'!$O$7:$O$56,$O661))&gt;0,INDEX('Menu Pricing'!$O$7:$O$56,$O661),""))))</f>
        <v/>
      </c>
      <c r="I661" s="71">
        <f>IF($N661&lt;&gt;"OK","",$D661*$H661)</f>
        <v/>
      </c>
      <c r="J661" s="71">
        <f>IF($N661&lt;&gt;"OK","",N(INDEX('Menu Pricing'!$F$7:$F$56,$O661))+N(INDEX('Menu Pricing'!$G$7:$G$56,$O661))+N(INDEX('Menu Pricing'!$J$7:$J$56,$O661)))</f>
        <v/>
      </c>
      <c r="K661" s="71">
        <f>IF($N661&lt;&gt;"OK","",$D661*$J661)</f>
        <v/>
      </c>
      <c r="L661" s="71">
        <f>IF($N661&lt;&gt;"OK","",$I661-$K661)</f>
        <v/>
      </c>
      <c r="M661" s="71">
        <f>IF($N661&lt;&gt;"OK","",$D661*N(INDEX('Menu Pricing'!$F$7:$F$56,$O661)))</f>
        <v/>
      </c>
      <c r="N661" s="80">
        <f>IF(AND($B661="",$C661="",$D661=""),"",IF(NOT(ISNUMBER($B661)),"Enter a valid date",IF($C661="","Pick a menu item",IF($O661="","Item not on Menu Pricing",IF(N($D661)&lt;=0,"Qty must be above 0",IF($H661="","No price on menu","OK"))))))</f>
        <v/>
      </c>
      <c r="O661" s="13">
        <f>IF($C661="","",IFERROR(MATCH($C661,'Menu Pricing'!$B$7:$B$56,0),""))</f>
        <v/>
      </c>
    </row>
    <row r="662" ht="17" customHeight="1">
      <c r="B662" s="66" t="n"/>
      <c r="C662" s="60" t="n"/>
      <c r="D662" s="86" t="n"/>
      <c r="E662" s="63" t="n"/>
      <c r="F662" s="60" t="n"/>
      <c r="G662" s="60" t="n"/>
      <c r="H662" s="71">
        <f>IF(OR($C662="",$D662=""),"",IF(ISNUMBER($E662),$E662,IF($O662="","",IF(N(INDEX('Menu Pricing'!$O$7:$O$56,$O662))&gt;0,INDEX('Menu Pricing'!$O$7:$O$56,$O662),""))))</f>
        <v/>
      </c>
      <c r="I662" s="71">
        <f>IF($N662&lt;&gt;"OK","",$D662*$H662)</f>
        <v/>
      </c>
      <c r="J662" s="71">
        <f>IF($N662&lt;&gt;"OK","",N(INDEX('Menu Pricing'!$F$7:$F$56,$O662))+N(INDEX('Menu Pricing'!$G$7:$G$56,$O662))+N(INDEX('Menu Pricing'!$J$7:$J$56,$O662)))</f>
        <v/>
      </c>
      <c r="K662" s="71">
        <f>IF($N662&lt;&gt;"OK","",$D662*$J662)</f>
        <v/>
      </c>
      <c r="L662" s="71">
        <f>IF($N662&lt;&gt;"OK","",$I662-$K662)</f>
        <v/>
      </c>
      <c r="M662" s="71">
        <f>IF($N662&lt;&gt;"OK","",$D662*N(INDEX('Menu Pricing'!$F$7:$F$56,$O662)))</f>
        <v/>
      </c>
      <c r="N662" s="80">
        <f>IF(AND($B662="",$C662="",$D662=""),"",IF(NOT(ISNUMBER($B662)),"Enter a valid date",IF($C662="","Pick a menu item",IF($O662="","Item not on Menu Pricing",IF(N($D662)&lt;=0,"Qty must be above 0",IF($H662="","No price on menu","OK"))))))</f>
        <v/>
      </c>
      <c r="O662" s="13">
        <f>IF($C662="","",IFERROR(MATCH($C662,'Menu Pricing'!$B$7:$B$56,0),""))</f>
        <v/>
      </c>
    </row>
    <row r="663" ht="17" customHeight="1">
      <c r="B663" s="66" t="n"/>
      <c r="C663" s="60" t="n"/>
      <c r="D663" s="86" t="n"/>
      <c r="E663" s="63" t="n"/>
      <c r="F663" s="60" t="n"/>
      <c r="G663" s="60" t="n"/>
      <c r="H663" s="71">
        <f>IF(OR($C663="",$D663=""),"",IF(ISNUMBER($E663),$E663,IF($O663="","",IF(N(INDEX('Menu Pricing'!$O$7:$O$56,$O663))&gt;0,INDEX('Menu Pricing'!$O$7:$O$56,$O663),""))))</f>
        <v/>
      </c>
      <c r="I663" s="71">
        <f>IF($N663&lt;&gt;"OK","",$D663*$H663)</f>
        <v/>
      </c>
      <c r="J663" s="71">
        <f>IF($N663&lt;&gt;"OK","",N(INDEX('Menu Pricing'!$F$7:$F$56,$O663))+N(INDEX('Menu Pricing'!$G$7:$G$56,$O663))+N(INDEX('Menu Pricing'!$J$7:$J$56,$O663)))</f>
        <v/>
      </c>
      <c r="K663" s="71">
        <f>IF($N663&lt;&gt;"OK","",$D663*$J663)</f>
        <v/>
      </c>
      <c r="L663" s="71">
        <f>IF($N663&lt;&gt;"OK","",$I663-$K663)</f>
        <v/>
      </c>
      <c r="M663" s="71">
        <f>IF($N663&lt;&gt;"OK","",$D663*N(INDEX('Menu Pricing'!$F$7:$F$56,$O663)))</f>
        <v/>
      </c>
      <c r="N663" s="80">
        <f>IF(AND($B663="",$C663="",$D663=""),"",IF(NOT(ISNUMBER($B663)),"Enter a valid date",IF($C663="","Pick a menu item",IF($O663="","Item not on Menu Pricing",IF(N($D663)&lt;=0,"Qty must be above 0",IF($H663="","No price on menu","OK"))))))</f>
        <v/>
      </c>
      <c r="O663" s="13">
        <f>IF($C663="","",IFERROR(MATCH($C663,'Menu Pricing'!$B$7:$B$56,0),""))</f>
        <v/>
      </c>
    </row>
    <row r="664" ht="17" customHeight="1">
      <c r="B664" s="66" t="n"/>
      <c r="C664" s="60" t="n"/>
      <c r="D664" s="86" t="n"/>
      <c r="E664" s="63" t="n"/>
      <c r="F664" s="60" t="n"/>
      <c r="G664" s="60" t="n"/>
      <c r="H664" s="71">
        <f>IF(OR($C664="",$D664=""),"",IF(ISNUMBER($E664),$E664,IF($O664="","",IF(N(INDEX('Menu Pricing'!$O$7:$O$56,$O664))&gt;0,INDEX('Menu Pricing'!$O$7:$O$56,$O664),""))))</f>
        <v/>
      </c>
      <c r="I664" s="71">
        <f>IF($N664&lt;&gt;"OK","",$D664*$H664)</f>
        <v/>
      </c>
      <c r="J664" s="71">
        <f>IF($N664&lt;&gt;"OK","",N(INDEX('Menu Pricing'!$F$7:$F$56,$O664))+N(INDEX('Menu Pricing'!$G$7:$G$56,$O664))+N(INDEX('Menu Pricing'!$J$7:$J$56,$O664)))</f>
        <v/>
      </c>
      <c r="K664" s="71">
        <f>IF($N664&lt;&gt;"OK","",$D664*$J664)</f>
        <v/>
      </c>
      <c r="L664" s="71">
        <f>IF($N664&lt;&gt;"OK","",$I664-$K664)</f>
        <v/>
      </c>
      <c r="M664" s="71">
        <f>IF($N664&lt;&gt;"OK","",$D664*N(INDEX('Menu Pricing'!$F$7:$F$56,$O664)))</f>
        <v/>
      </c>
      <c r="N664" s="80">
        <f>IF(AND($B664="",$C664="",$D664=""),"",IF(NOT(ISNUMBER($B664)),"Enter a valid date",IF($C664="","Pick a menu item",IF($O664="","Item not on Menu Pricing",IF(N($D664)&lt;=0,"Qty must be above 0",IF($H664="","No price on menu","OK"))))))</f>
        <v/>
      </c>
      <c r="O664" s="13">
        <f>IF($C664="","",IFERROR(MATCH($C664,'Menu Pricing'!$B$7:$B$56,0),""))</f>
        <v/>
      </c>
    </row>
    <row r="665" ht="17" customHeight="1">
      <c r="B665" s="66" t="n"/>
      <c r="C665" s="60" t="n"/>
      <c r="D665" s="86" t="n"/>
      <c r="E665" s="63" t="n"/>
      <c r="F665" s="60" t="n"/>
      <c r="G665" s="60" t="n"/>
      <c r="H665" s="71">
        <f>IF(OR($C665="",$D665=""),"",IF(ISNUMBER($E665),$E665,IF($O665="","",IF(N(INDEX('Menu Pricing'!$O$7:$O$56,$O665))&gt;0,INDEX('Menu Pricing'!$O$7:$O$56,$O665),""))))</f>
        <v/>
      </c>
      <c r="I665" s="71">
        <f>IF($N665&lt;&gt;"OK","",$D665*$H665)</f>
        <v/>
      </c>
      <c r="J665" s="71">
        <f>IF($N665&lt;&gt;"OK","",N(INDEX('Menu Pricing'!$F$7:$F$56,$O665))+N(INDEX('Menu Pricing'!$G$7:$G$56,$O665))+N(INDEX('Menu Pricing'!$J$7:$J$56,$O665)))</f>
        <v/>
      </c>
      <c r="K665" s="71">
        <f>IF($N665&lt;&gt;"OK","",$D665*$J665)</f>
        <v/>
      </c>
      <c r="L665" s="71">
        <f>IF($N665&lt;&gt;"OK","",$I665-$K665)</f>
        <v/>
      </c>
      <c r="M665" s="71">
        <f>IF($N665&lt;&gt;"OK","",$D665*N(INDEX('Menu Pricing'!$F$7:$F$56,$O665)))</f>
        <v/>
      </c>
      <c r="N665" s="80">
        <f>IF(AND($B665="",$C665="",$D665=""),"",IF(NOT(ISNUMBER($B665)),"Enter a valid date",IF($C665="","Pick a menu item",IF($O665="","Item not on Menu Pricing",IF(N($D665)&lt;=0,"Qty must be above 0",IF($H665="","No price on menu","OK"))))))</f>
        <v/>
      </c>
      <c r="O665" s="13">
        <f>IF($C665="","",IFERROR(MATCH($C665,'Menu Pricing'!$B$7:$B$56,0),""))</f>
        <v/>
      </c>
    </row>
    <row r="666" ht="17" customHeight="1">
      <c r="B666" s="66" t="n"/>
      <c r="C666" s="60" t="n"/>
      <c r="D666" s="86" t="n"/>
      <c r="E666" s="63" t="n"/>
      <c r="F666" s="60" t="n"/>
      <c r="G666" s="60" t="n"/>
      <c r="H666" s="71">
        <f>IF(OR($C666="",$D666=""),"",IF(ISNUMBER($E666),$E666,IF($O666="","",IF(N(INDEX('Menu Pricing'!$O$7:$O$56,$O666))&gt;0,INDEX('Menu Pricing'!$O$7:$O$56,$O666),""))))</f>
        <v/>
      </c>
      <c r="I666" s="71">
        <f>IF($N666&lt;&gt;"OK","",$D666*$H666)</f>
        <v/>
      </c>
      <c r="J666" s="71">
        <f>IF($N666&lt;&gt;"OK","",N(INDEX('Menu Pricing'!$F$7:$F$56,$O666))+N(INDEX('Menu Pricing'!$G$7:$G$56,$O666))+N(INDEX('Menu Pricing'!$J$7:$J$56,$O666)))</f>
        <v/>
      </c>
      <c r="K666" s="71">
        <f>IF($N666&lt;&gt;"OK","",$D666*$J666)</f>
        <v/>
      </c>
      <c r="L666" s="71">
        <f>IF($N666&lt;&gt;"OK","",$I666-$K666)</f>
        <v/>
      </c>
      <c r="M666" s="71">
        <f>IF($N666&lt;&gt;"OK","",$D666*N(INDEX('Menu Pricing'!$F$7:$F$56,$O666)))</f>
        <v/>
      </c>
      <c r="N666" s="80">
        <f>IF(AND($B666="",$C666="",$D666=""),"",IF(NOT(ISNUMBER($B666)),"Enter a valid date",IF($C666="","Pick a menu item",IF($O666="","Item not on Menu Pricing",IF(N($D666)&lt;=0,"Qty must be above 0",IF($H666="","No price on menu","OK"))))))</f>
        <v/>
      </c>
      <c r="O666" s="13">
        <f>IF($C666="","",IFERROR(MATCH($C666,'Menu Pricing'!$B$7:$B$56,0),""))</f>
        <v/>
      </c>
    </row>
    <row r="667" ht="17" customHeight="1">
      <c r="B667" s="66" t="n"/>
      <c r="C667" s="60" t="n"/>
      <c r="D667" s="86" t="n"/>
      <c r="E667" s="63" t="n"/>
      <c r="F667" s="60" t="n"/>
      <c r="G667" s="60" t="n"/>
      <c r="H667" s="71">
        <f>IF(OR($C667="",$D667=""),"",IF(ISNUMBER($E667),$E667,IF($O667="","",IF(N(INDEX('Menu Pricing'!$O$7:$O$56,$O667))&gt;0,INDEX('Menu Pricing'!$O$7:$O$56,$O667),""))))</f>
        <v/>
      </c>
      <c r="I667" s="71">
        <f>IF($N667&lt;&gt;"OK","",$D667*$H667)</f>
        <v/>
      </c>
      <c r="J667" s="71">
        <f>IF($N667&lt;&gt;"OK","",N(INDEX('Menu Pricing'!$F$7:$F$56,$O667))+N(INDEX('Menu Pricing'!$G$7:$G$56,$O667))+N(INDEX('Menu Pricing'!$J$7:$J$56,$O667)))</f>
        <v/>
      </c>
      <c r="K667" s="71">
        <f>IF($N667&lt;&gt;"OK","",$D667*$J667)</f>
        <v/>
      </c>
      <c r="L667" s="71">
        <f>IF($N667&lt;&gt;"OK","",$I667-$K667)</f>
        <v/>
      </c>
      <c r="M667" s="71">
        <f>IF($N667&lt;&gt;"OK","",$D667*N(INDEX('Menu Pricing'!$F$7:$F$56,$O667)))</f>
        <v/>
      </c>
      <c r="N667" s="80">
        <f>IF(AND($B667="",$C667="",$D667=""),"",IF(NOT(ISNUMBER($B667)),"Enter a valid date",IF($C667="","Pick a menu item",IF($O667="","Item not on Menu Pricing",IF(N($D667)&lt;=0,"Qty must be above 0",IF($H667="","No price on menu","OK"))))))</f>
        <v/>
      </c>
      <c r="O667" s="13">
        <f>IF($C667="","",IFERROR(MATCH($C667,'Menu Pricing'!$B$7:$B$56,0),""))</f>
        <v/>
      </c>
    </row>
    <row r="668" ht="17" customHeight="1">
      <c r="B668" s="66" t="n"/>
      <c r="C668" s="60" t="n"/>
      <c r="D668" s="86" t="n"/>
      <c r="E668" s="63" t="n"/>
      <c r="F668" s="60" t="n"/>
      <c r="G668" s="60" t="n"/>
      <c r="H668" s="71">
        <f>IF(OR($C668="",$D668=""),"",IF(ISNUMBER($E668),$E668,IF($O668="","",IF(N(INDEX('Menu Pricing'!$O$7:$O$56,$O668))&gt;0,INDEX('Menu Pricing'!$O$7:$O$56,$O668),""))))</f>
        <v/>
      </c>
      <c r="I668" s="71">
        <f>IF($N668&lt;&gt;"OK","",$D668*$H668)</f>
        <v/>
      </c>
      <c r="J668" s="71">
        <f>IF($N668&lt;&gt;"OK","",N(INDEX('Menu Pricing'!$F$7:$F$56,$O668))+N(INDEX('Menu Pricing'!$G$7:$G$56,$O668))+N(INDEX('Menu Pricing'!$J$7:$J$56,$O668)))</f>
        <v/>
      </c>
      <c r="K668" s="71">
        <f>IF($N668&lt;&gt;"OK","",$D668*$J668)</f>
        <v/>
      </c>
      <c r="L668" s="71">
        <f>IF($N668&lt;&gt;"OK","",$I668-$K668)</f>
        <v/>
      </c>
      <c r="M668" s="71">
        <f>IF($N668&lt;&gt;"OK","",$D668*N(INDEX('Menu Pricing'!$F$7:$F$56,$O668)))</f>
        <v/>
      </c>
      <c r="N668" s="80">
        <f>IF(AND($B668="",$C668="",$D668=""),"",IF(NOT(ISNUMBER($B668)),"Enter a valid date",IF($C668="","Pick a menu item",IF($O668="","Item not on Menu Pricing",IF(N($D668)&lt;=0,"Qty must be above 0",IF($H668="","No price on menu","OK"))))))</f>
        <v/>
      </c>
      <c r="O668" s="13">
        <f>IF($C668="","",IFERROR(MATCH($C668,'Menu Pricing'!$B$7:$B$56,0),""))</f>
        <v/>
      </c>
    </row>
    <row r="669" ht="17" customHeight="1">
      <c r="B669" s="66" t="n"/>
      <c r="C669" s="60" t="n"/>
      <c r="D669" s="86" t="n"/>
      <c r="E669" s="63" t="n"/>
      <c r="F669" s="60" t="n"/>
      <c r="G669" s="60" t="n"/>
      <c r="H669" s="71">
        <f>IF(OR($C669="",$D669=""),"",IF(ISNUMBER($E669),$E669,IF($O669="","",IF(N(INDEX('Menu Pricing'!$O$7:$O$56,$O669))&gt;0,INDEX('Menu Pricing'!$O$7:$O$56,$O669),""))))</f>
        <v/>
      </c>
      <c r="I669" s="71">
        <f>IF($N669&lt;&gt;"OK","",$D669*$H669)</f>
        <v/>
      </c>
      <c r="J669" s="71">
        <f>IF($N669&lt;&gt;"OK","",N(INDEX('Menu Pricing'!$F$7:$F$56,$O669))+N(INDEX('Menu Pricing'!$G$7:$G$56,$O669))+N(INDEX('Menu Pricing'!$J$7:$J$56,$O669)))</f>
        <v/>
      </c>
      <c r="K669" s="71">
        <f>IF($N669&lt;&gt;"OK","",$D669*$J669)</f>
        <v/>
      </c>
      <c r="L669" s="71">
        <f>IF($N669&lt;&gt;"OK","",$I669-$K669)</f>
        <v/>
      </c>
      <c r="M669" s="71">
        <f>IF($N669&lt;&gt;"OK","",$D669*N(INDEX('Menu Pricing'!$F$7:$F$56,$O669)))</f>
        <v/>
      </c>
      <c r="N669" s="80">
        <f>IF(AND($B669="",$C669="",$D669=""),"",IF(NOT(ISNUMBER($B669)),"Enter a valid date",IF($C669="","Pick a menu item",IF($O669="","Item not on Menu Pricing",IF(N($D669)&lt;=0,"Qty must be above 0",IF($H669="","No price on menu","OK"))))))</f>
        <v/>
      </c>
      <c r="O669" s="13">
        <f>IF($C669="","",IFERROR(MATCH($C669,'Menu Pricing'!$B$7:$B$56,0),""))</f>
        <v/>
      </c>
    </row>
    <row r="670" ht="17" customHeight="1">
      <c r="B670" s="66" t="n"/>
      <c r="C670" s="60" t="n"/>
      <c r="D670" s="86" t="n"/>
      <c r="E670" s="63" t="n"/>
      <c r="F670" s="60" t="n"/>
      <c r="G670" s="60" t="n"/>
      <c r="H670" s="71">
        <f>IF(OR($C670="",$D670=""),"",IF(ISNUMBER($E670),$E670,IF($O670="","",IF(N(INDEX('Menu Pricing'!$O$7:$O$56,$O670))&gt;0,INDEX('Menu Pricing'!$O$7:$O$56,$O670),""))))</f>
        <v/>
      </c>
      <c r="I670" s="71">
        <f>IF($N670&lt;&gt;"OK","",$D670*$H670)</f>
        <v/>
      </c>
      <c r="J670" s="71">
        <f>IF($N670&lt;&gt;"OK","",N(INDEX('Menu Pricing'!$F$7:$F$56,$O670))+N(INDEX('Menu Pricing'!$G$7:$G$56,$O670))+N(INDEX('Menu Pricing'!$J$7:$J$56,$O670)))</f>
        <v/>
      </c>
      <c r="K670" s="71">
        <f>IF($N670&lt;&gt;"OK","",$D670*$J670)</f>
        <v/>
      </c>
      <c r="L670" s="71">
        <f>IF($N670&lt;&gt;"OK","",$I670-$K670)</f>
        <v/>
      </c>
      <c r="M670" s="71">
        <f>IF($N670&lt;&gt;"OK","",$D670*N(INDEX('Menu Pricing'!$F$7:$F$56,$O670)))</f>
        <v/>
      </c>
      <c r="N670" s="80">
        <f>IF(AND($B670="",$C670="",$D670=""),"",IF(NOT(ISNUMBER($B670)),"Enter a valid date",IF($C670="","Pick a menu item",IF($O670="","Item not on Menu Pricing",IF(N($D670)&lt;=0,"Qty must be above 0",IF($H670="","No price on menu","OK"))))))</f>
        <v/>
      </c>
      <c r="O670" s="13">
        <f>IF($C670="","",IFERROR(MATCH($C670,'Menu Pricing'!$B$7:$B$56,0),""))</f>
        <v/>
      </c>
    </row>
    <row r="671" ht="17" customHeight="1">
      <c r="B671" s="66" t="n"/>
      <c r="C671" s="60" t="n"/>
      <c r="D671" s="86" t="n"/>
      <c r="E671" s="63" t="n"/>
      <c r="F671" s="60" t="n"/>
      <c r="G671" s="60" t="n"/>
      <c r="H671" s="71">
        <f>IF(OR($C671="",$D671=""),"",IF(ISNUMBER($E671),$E671,IF($O671="","",IF(N(INDEX('Menu Pricing'!$O$7:$O$56,$O671))&gt;0,INDEX('Menu Pricing'!$O$7:$O$56,$O671),""))))</f>
        <v/>
      </c>
      <c r="I671" s="71">
        <f>IF($N671&lt;&gt;"OK","",$D671*$H671)</f>
        <v/>
      </c>
      <c r="J671" s="71">
        <f>IF($N671&lt;&gt;"OK","",N(INDEX('Menu Pricing'!$F$7:$F$56,$O671))+N(INDEX('Menu Pricing'!$G$7:$G$56,$O671))+N(INDEX('Menu Pricing'!$J$7:$J$56,$O671)))</f>
        <v/>
      </c>
      <c r="K671" s="71">
        <f>IF($N671&lt;&gt;"OK","",$D671*$J671)</f>
        <v/>
      </c>
      <c r="L671" s="71">
        <f>IF($N671&lt;&gt;"OK","",$I671-$K671)</f>
        <v/>
      </c>
      <c r="M671" s="71">
        <f>IF($N671&lt;&gt;"OK","",$D671*N(INDEX('Menu Pricing'!$F$7:$F$56,$O671)))</f>
        <v/>
      </c>
      <c r="N671" s="80">
        <f>IF(AND($B671="",$C671="",$D671=""),"",IF(NOT(ISNUMBER($B671)),"Enter a valid date",IF($C671="","Pick a menu item",IF($O671="","Item not on Menu Pricing",IF(N($D671)&lt;=0,"Qty must be above 0",IF($H671="","No price on menu","OK"))))))</f>
        <v/>
      </c>
      <c r="O671" s="13">
        <f>IF($C671="","",IFERROR(MATCH($C671,'Menu Pricing'!$B$7:$B$56,0),""))</f>
        <v/>
      </c>
    </row>
    <row r="672" ht="17" customHeight="1">
      <c r="B672" s="66" t="n"/>
      <c r="C672" s="60" t="n"/>
      <c r="D672" s="86" t="n"/>
      <c r="E672" s="63" t="n"/>
      <c r="F672" s="60" t="n"/>
      <c r="G672" s="60" t="n"/>
      <c r="H672" s="71">
        <f>IF(OR($C672="",$D672=""),"",IF(ISNUMBER($E672),$E672,IF($O672="","",IF(N(INDEX('Menu Pricing'!$O$7:$O$56,$O672))&gt;0,INDEX('Menu Pricing'!$O$7:$O$56,$O672),""))))</f>
        <v/>
      </c>
      <c r="I672" s="71">
        <f>IF($N672&lt;&gt;"OK","",$D672*$H672)</f>
        <v/>
      </c>
      <c r="J672" s="71">
        <f>IF($N672&lt;&gt;"OK","",N(INDEX('Menu Pricing'!$F$7:$F$56,$O672))+N(INDEX('Menu Pricing'!$G$7:$G$56,$O672))+N(INDEX('Menu Pricing'!$J$7:$J$56,$O672)))</f>
        <v/>
      </c>
      <c r="K672" s="71">
        <f>IF($N672&lt;&gt;"OK","",$D672*$J672)</f>
        <v/>
      </c>
      <c r="L672" s="71">
        <f>IF($N672&lt;&gt;"OK","",$I672-$K672)</f>
        <v/>
      </c>
      <c r="M672" s="71">
        <f>IF($N672&lt;&gt;"OK","",$D672*N(INDEX('Menu Pricing'!$F$7:$F$56,$O672)))</f>
        <v/>
      </c>
      <c r="N672" s="80">
        <f>IF(AND($B672="",$C672="",$D672=""),"",IF(NOT(ISNUMBER($B672)),"Enter a valid date",IF($C672="","Pick a menu item",IF($O672="","Item not on Menu Pricing",IF(N($D672)&lt;=0,"Qty must be above 0",IF($H672="","No price on menu","OK"))))))</f>
        <v/>
      </c>
      <c r="O672" s="13">
        <f>IF($C672="","",IFERROR(MATCH($C672,'Menu Pricing'!$B$7:$B$56,0),""))</f>
        <v/>
      </c>
    </row>
    <row r="673" ht="17" customHeight="1">
      <c r="B673" s="66" t="n"/>
      <c r="C673" s="60" t="n"/>
      <c r="D673" s="86" t="n"/>
      <c r="E673" s="63" t="n"/>
      <c r="F673" s="60" t="n"/>
      <c r="G673" s="60" t="n"/>
      <c r="H673" s="71">
        <f>IF(OR($C673="",$D673=""),"",IF(ISNUMBER($E673),$E673,IF($O673="","",IF(N(INDEX('Menu Pricing'!$O$7:$O$56,$O673))&gt;0,INDEX('Menu Pricing'!$O$7:$O$56,$O673),""))))</f>
        <v/>
      </c>
      <c r="I673" s="71">
        <f>IF($N673&lt;&gt;"OK","",$D673*$H673)</f>
        <v/>
      </c>
      <c r="J673" s="71">
        <f>IF($N673&lt;&gt;"OK","",N(INDEX('Menu Pricing'!$F$7:$F$56,$O673))+N(INDEX('Menu Pricing'!$G$7:$G$56,$O673))+N(INDEX('Menu Pricing'!$J$7:$J$56,$O673)))</f>
        <v/>
      </c>
      <c r="K673" s="71">
        <f>IF($N673&lt;&gt;"OK","",$D673*$J673)</f>
        <v/>
      </c>
      <c r="L673" s="71">
        <f>IF($N673&lt;&gt;"OK","",$I673-$K673)</f>
        <v/>
      </c>
      <c r="M673" s="71">
        <f>IF($N673&lt;&gt;"OK","",$D673*N(INDEX('Menu Pricing'!$F$7:$F$56,$O673)))</f>
        <v/>
      </c>
      <c r="N673" s="80">
        <f>IF(AND($B673="",$C673="",$D673=""),"",IF(NOT(ISNUMBER($B673)),"Enter a valid date",IF($C673="","Pick a menu item",IF($O673="","Item not on Menu Pricing",IF(N($D673)&lt;=0,"Qty must be above 0",IF($H673="","No price on menu","OK"))))))</f>
        <v/>
      </c>
      <c r="O673" s="13">
        <f>IF($C673="","",IFERROR(MATCH($C673,'Menu Pricing'!$B$7:$B$56,0),""))</f>
        <v/>
      </c>
    </row>
    <row r="674" ht="17" customHeight="1">
      <c r="B674" s="66" t="n"/>
      <c r="C674" s="60" t="n"/>
      <c r="D674" s="86" t="n"/>
      <c r="E674" s="63" t="n"/>
      <c r="F674" s="60" t="n"/>
      <c r="G674" s="60" t="n"/>
      <c r="H674" s="71">
        <f>IF(OR($C674="",$D674=""),"",IF(ISNUMBER($E674),$E674,IF($O674="","",IF(N(INDEX('Menu Pricing'!$O$7:$O$56,$O674))&gt;0,INDEX('Menu Pricing'!$O$7:$O$56,$O674),""))))</f>
        <v/>
      </c>
      <c r="I674" s="71">
        <f>IF($N674&lt;&gt;"OK","",$D674*$H674)</f>
        <v/>
      </c>
      <c r="J674" s="71">
        <f>IF($N674&lt;&gt;"OK","",N(INDEX('Menu Pricing'!$F$7:$F$56,$O674))+N(INDEX('Menu Pricing'!$G$7:$G$56,$O674))+N(INDEX('Menu Pricing'!$J$7:$J$56,$O674)))</f>
        <v/>
      </c>
      <c r="K674" s="71">
        <f>IF($N674&lt;&gt;"OK","",$D674*$J674)</f>
        <v/>
      </c>
      <c r="L674" s="71">
        <f>IF($N674&lt;&gt;"OK","",$I674-$K674)</f>
        <v/>
      </c>
      <c r="M674" s="71">
        <f>IF($N674&lt;&gt;"OK","",$D674*N(INDEX('Menu Pricing'!$F$7:$F$56,$O674)))</f>
        <v/>
      </c>
      <c r="N674" s="80">
        <f>IF(AND($B674="",$C674="",$D674=""),"",IF(NOT(ISNUMBER($B674)),"Enter a valid date",IF($C674="","Pick a menu item",IF($O674="","Item not on Menu Pricing",IF(N($D674)&lt;=0,"Qty must be above 0",IF($H674="","No price on menu","OK"))))))</f>
        <v/>
      </c>
      <c r="O674" s="13">
        <f>IF($C674="","",IFERROR(MATCH($C674,'Menu Pricing'!$B$7:$B$56,0),""))</f>
        <v/>
      </c>
    </row>
    <row r="675" ht="17" customHeight="1">
      <c r="B675" s="66" t="n"/>
      <c r="C675" s="60" t="n"/>
      <c r="D675" s="86" t="n"/>
      <c r="E675" s="63" t="n"/>
      <c r="F675" s="60" t="n"/>
      <c r="G675" s="60" t="n"/>
      <c r="H675" s="71">
        <f>IF(OR($C675="",$D675=""),"",IF(ISNUMBER($E675),$E675,IF($O675="","",IF(N(INDEX('Menu Pricing'!$O$7:$O$56,$O675))&gt;0,INDEX('Menu Pricing'!$O$7:$O$56,$O675),""))))</f>
        <v/>
      </c>
      <c r="I675" s="71">
        <f>IF($N675&lt;&gt;"OK","",$D675*$H675)</f>
        <v/>
      </c>
      <c r="J675" s="71">
        <f>IF($N675&lt;&gt;"OK","",N(INDEX('Menu Pricing'!$F$7:$F$56,$O675))+N(INDEX('Menu Pricing'!$G$7:$G$56,$O675))+N(INDEX('Menu Pricing'!$J$7:$J$56,$O675)))</f>
        <v/>
      </c>
      <c r="K675" s="71">
        <f>IF($N675&lt;&gt;"OK","",$D675*$J675)</f>
        <v/>
      </c>
      <c r="L675" s="71">
        <f>IF($N675&lt;&gt;"OK","",$I675-$K675)</f>
        <v/>
      </c>
      <c r="M675" s="71">
        <f>IF($N675&lt;&gt;"OK","",$D675*N(INDEX('Menu Pricing'!$F$7:$F$56,$O675)))</f>
        <v/>
      </c>
      <c r="N675" s="80">
        <f>IF(AND($B675="",$C675="",$D675=""),"",IF(NOT(ISNUMBER($B675)),"Enter a valid date",IF($C675="","Pick a menu item",IF($O675="","Item not on Menu Pricing",IF(N($D675)&lt;=0,"Qty must be above 0",IF($H675="","No price on menu","OK"))))))</f>
        <v/>
      </c>
      <c r="O675" s="13">
        <f>IF($C675="","",IFERROR(MATCH($C675,'Menu Pricing'!$B$7:$B$56,0),""))</f>
        <v/>
      </c>
    </row>
    <row r="676" ht="17" customHeight="1">
      <c r="B676" s="66" t="n"/>
      <c r="C676" s="60" t="n"/>
      <c r="D676" s="86" t="n"/>
      <c r="E676" s="63" t="n"/>
      <c r="F676" s="60" t="n"/>
      <c r="G676" s="60" t="n"/>
      <c r="H676" s="71">
        <f>IF(OR($C676="",$D676=""),"",IF(ISNUMBER($E676),$E676,IF($O676="","",IF(N(INDEX('Menu Pricing'!$O$7:$O$56,$O676))&gt;0,INDEX('Menu Pricing'!$O$7:$O$56,$O676),""))))</f>
        <v/>
      </c>
      <c r="I676" s="71">
        <f>IF($N676&lt;&gt;"OK","",$D676*$H676)</f>
        <v/>
      </c>
      <c r="J676" s="71">
        <f>IF($N676&lt;&gt;"OK","",N(INDEX('Menu Pricing'!$F$7:$F$56,$O676))+N(INDEX('Menu Pricing'!$G$7:$G$56,$O676))+N(INDEX('Menu Pricing'!$J$7:$J$56,$O676)))</f>
        <v/>
      </c>
      <c r="K676" s="71">
        <f>IF($N676&lt;&gt;"OK","",$D676*$J676)</f>
        <v/>
      </c>
      <c r="L676" s="71">
        <f>IF($N676&lt;&gt;"OK","",$I676-$K676)</f>
        <v/>
      </c>
      <c r="M676" s="71">
        <f>IF($N676&lt;&gt;"OK","",$D676*N(INDEX('Menu Pricing'!$F$7:$F$56,$O676)))</f>
        <v/>
      </c>
      <c r="N676" s="80">
        <f>IF(AND($B676="",$C676="",$D676=""),"",IF(NOT(ISNUMBER($B676)),"Enter a valid date",IF($C676="","Pick a menu item",IF($O676="","Item not on Menu Pricing",IF(N($D676)&lt;=0,"Qty must be above 0",IF($H676="","No price on menu","OK"))))))</f>
        <v/>
      </c>
      <c r="O676" s="13">
        <f>IF($C676="","",IFERROR(MATCH($C676,'Menu Pricing'!$B$7:$B$56,0),""))</f>
        <v/>
      </c>
    </row>
    <row r="677" ht="17" customHeight="1">
      <c r="B677" s="66" t="n"/>
      <c r="C677" s="60" t="n"/>
      <c r="D677" s="86" t="n"/>
      <c r="E677" s="63" t="n"/>
      <c r="F677" s="60" t="n"/>
      <c r="G677" s="60" t="n"/>
      <c r="H677" s="71">
        <f>IF(OR($C677="",$D677=""),"",IF(ISNUMBER($E677),$E677,IF($O677="","",IF(N(INDEX('Menu Pricing'!$O$7:$O$56,$O677))&gt;0,INDEX('Menu Pricing'!$O$7:$O$56,$O677),""))))</f>
        <v/>
      </c>
      <c r="I677" s="71">
        <f>IF($N677&lt;&gt;"OK","",$D677*$H677)</f>
        <v/>
      </c>
      <c r="J677" s="71">
        <f>IF($N677&lt;&gt;"OK","",N(INDEX('Menu Pricing'!$F$7:$F$56,$O677))+N(INDEX('Menu Pricing'!$G$7:$G$56,$O677))+N(INDEX('Menu Pricing'!$J$7:$J$56,$O677)))</f>
        <v/>
      </c>
      <c r="K677" s="71">
        <f>IF($N677&lt;&gt;"OK","",$D677*$J677)</f>
        <v/>
      </c>
      <c r="L677" s="71">
        <f>IF($N677&lt;&gt;"OK","",$I677-$K677)</f>
        <v/>
      </c>
      <c r="M677" s="71">
        <f>IF($N677&lt;&gt;"OK","",$D677*N(INDEX('Menu Pricing'!$F$7:$F$56,$O677)))</f>
        <v/>
      </c>
      <c r="N677" s="80">
        <f>IF(AND($B677="",$C677="",$D677=""),"",IF(NOT(ISNUMBER($B677)),"Enter a valid date",IF($C677="","Pick a menu item",IF($O677="","Item not on Menu Pricing",IF(N($D677)&lt;=0,"Qty must be above 0",IF($H677="","No price on menu","OK"))))))</f>
        <v/>
      </c>
      <c r="O677" s="13">
        <f>IF($C677="","",IFERROR(MATCH($C677,'Menu Pricing'!$B$7:$B$56,0),""))</f>
        <v/>
      </c>
    </row>
    <row r="678" ht="17" customHeight="1">
      <c r="B678" s="66" t="n"/>
      <c r="C678" s="60" t="n"/>
      <c r="D678" s="86" t="n"/>
      <c r="E678" s="63" t="n"/>
      <c r="F678" s="60" t="n"/>
      <c r="G678" s="60" t="n"/>
      <c r="H678" s="71">
        <f>IF(OR($C678="",$D678=""),"",IF(ISNUMBER($E678),$E678,IF($O678="","",IF(N(INDEX('Menu Pricing'!$O$7:$O$56,$O678))&gt;0,INDEX('Menu Pricing'!$O$7:$O$56,$O678),""))))</f>
        <v/>
      </c>
      <c r="I678" s="71">
        <f>IF($N678&lt;&gt;"OK","",$D678*$H678)</f>
        <v/>
      </c>
      <c r="J678" s="71">
        <f>IF($N678&lt;&gt;"OK","",N(INDEX('Menu Pricing'!$F$7:$F$56,$O678))+N(INDEX('Menu Pricing'!$G$7:$G$56,$O678))+N(INDEX('Menu Pricing'!$J$7:$J$56,$O678)))</f>
        <v/>
      </c>
      <c r="K678" s="71">
        <f>IF($N678&lt;&gt;"OK","",$D678*$J678)</f>
        <v/>
      </c>
      <c r="L678" s="71">
        <f>IF($N678&lt;&gt;"OK","",$I678-$K678)</f>
        <v/>
      </c>
      <c r="M678" s="71">
        <f>IF($N678&lt;&gt;"OK","",$D678*N(INDEX('Menu Pricing'!$F$7:$F$56,$O678)))</f>
        <v/>
      </c>
      <c r="N678" s="80">
        <f>IF(AND($B678="",$C678="",$D678=""),"",IF(NOT(ISNUMBER($B678)),"Enter a valid date",IF($C678="","Pick a menu item",IF($O678="","Item not on Menu Pricing",IF(N($D678)&lt;=0,"Qty must be above 0",IF($H678="","No price on menu","OK"))))))</f>
        <v/>
      </c>
      <c r="O678" s="13">
        <f>IF($C678="","",IFERROR(MATCH($C678,'Menu Pricing'!$B$7:$B$56,0),""))</f>
        <v/>
      </c>
    </row>
    <row r="679" ht="17" customHeight="1">
      <c r="B679" s="66" t="n"/>
      <c r="C679" s="60" t="n"/>
      <c r="D679" s="86" t="n"/>
      <c r="E679" s="63" t="n"/>
      <c r="F679" s="60" t="n"/>
      <c r="G679" s="60" t="n"/>
      <c r="H679" s="71">
        <f>IF(OR($C679="",$D679=""),"",IF(ISNUMBER($E679),$E679,IF($O679="","",IF(N(INDEX('Menu Pricing'!$O$7:$O$56,$O679))&gt;0,INDEX('Menu Pricing'!$O$7:$O$56,$O679),""))))</f>
        <v/>
      </c>
      <c r="I679" s="71">
        <f>IF($N679&lt;&gt;"OK","",$D679*$H679)</f>
        <v/>
      </c>
      <c r="J679" s="71">
        <f>IF($N679&lt;&gt;"OK","",N(INDEX('Menu Pricing'!$F$7:$F$56,$O679))+N(INDEX('Menu Pricing'!$G$7:$G$56,$O679))+N(INDEX('Menu Pricing'!$J$7:$J$56,$O679)))</f>
        <v/>
      </c>
      <c r="K679" s="71">
        <f>IF($N679&lt;&gt;"OK","",$D679*$J679)</f>
        <v/>
      </c>
      <c r="L679" s="71">
        <f>IF($N679&lt;&gt;"OK","",$I679-$K679)</f>
        <v/>
      </c>
      <c r="M679" s="71">
        <f>IF($N679&lt;&gt;"OK","",$D679*N(INDEX('Menu Pricing'!$F$7:$F$56,$O679)))</f>
        <v/>
      </c>
      <c r="N679" s="80">
        <f>IF(AND($B679="",$C679="",$D679=""),"",IF(NOT(ISNUMBER($B679)),"Enter a valid date",IF($C679="","Pick a menu item",IF($O679="","Item not on Menu Pricing",IF(N($D679)&lt;=0,"Qty must be above 0",IF($H679="","No price on menu","OK"))))))</f>
        <v/>
      </c>
      <c r="O679" s="13">
        <f>IF($C679="","",IFERROR(MATCH($C679,'Menu Pricing'!$B$7:$B$56,0),""))</f>
        <v/>
      </c>
    </row>
    <row r="680" ht="17" customHeight="1">
      <c r="B680" s="66" t="n"/>
      <c r="C680" s="60" t="n"/>
      <c r="D680" s="86" t="n"/>
      <c r="E680" s="63" t="n"/>
      <c r="F680" s="60" t="n"/>
      <c r="G680" s="60" t="n"/>
      <c r="H680" s="71">
        <f>IF(OR($C680="",$D680=""),"",IF(ISNUMBER($E680),$E680,IF($O680="","",IF(N(INDEX('Menu Pricing'!$O$7:$O$56,$O680))&gt;0,INDEX('Menu Pricing'!$O$7:$O$56,$O680),""))))</f>
        <v/>
      </c>
      <c r="I680" s="71">
        <f>IF($N680&lt;&gt;"OK","",$D680*$H680)</f>
        <v/>
      </c>
      <c r="J680" s="71">
        <f>IF($N680&lt;&gt;"OK","",N(INDEX('Menu Pricing'!$F$7:$F$56,$O680))+N(INDEX('Menu Pricing'!$G$7:$G$56,$O680))+N(INDEX('Menu Pricing'!$J$7:$J$56,$O680)))</f>
        <v/>
      </c>
      <c r="K680" s="71">
        <f>IF($N680&lt;&gt;"OK","",$D680*$J680)</f>
        <v/>
      </c>
      <c r="L680" s="71">
        <f>IF($N680&lt;&gt;"OK","",$I680-$K680)</f>
        <v/>
      </c>
      <c r="M680" s="71">
        <f>IF($N680&lt;&gt;"OK","",$D680*N(INDEX('Menu Pricing'!$F$7:$F$56,$O680)))</f>
        <v/>
      </c>
      <c r="N680" s="80">
        <f>IF(AND($B680="",$C680="",$D680=""),"",IF(NOT(ISNUMBER($B680)),"Enter a valid date",IF($C680="","Pick a menu item",IF($O680="","Item not on Menu Pricing",IF(N($D680)&lt;=0,"Qty must be above 0",IF($H680="","No price on menu","OK"))))))</f>
        <v/>
      </c>
      <c r="O680" s="13">
        <f>IF($C680="","",IFERROR(MATCH($C680,'Menu Pricing'!$B$7:$B$56,0),""))</f>
        <v/>
      </c>
    </row>
    <row r="681" ht="17" customHeight="1">
      <c r="B681" s="66" t="n"/>
      <c r="C681" s="60" t="n"/>
      <c r="D681" s="86" t="n"/>
      <c r="E681" s="63" t="n"/>
      <c r="F681" s="60" t="n"/>
      <c r="G681" s="60" t="n"/>
      <c r="H681" s="71">
        <f>IF(OR($C681="",$D681=""),"",IF(ISNUMBER($E681),$E681,IF($O681="","",IF(N(INDEX('Menu Pricing'!$O$7:$O$56,$O681))&gt;0,INDEX('Menu Pricing'!$O$7:$O$56,$O681),""))))</f>
        <v/>
      </c>
      <c r="I681" s="71">
        <f>IF($N681&lt;&gt;"OK","",$D681*$H681)</f>
        <v/>
      </c>
      <c r="J681" s="71">
        <f>IF($N681&lt;&gt;"OK","",N(INDEX('Menu Pricing'!$F$7:$F$56,$O681))+N(INDEX('Menu Pricing'!$G$7:$G$56,$O681))+N(INDEX('Menu Pricing'!$J$7:$J$56,$O681)))</f>
        <v/>
      </c>
      <c r="K681" s="71">
        <f>IF($N681&lt;&gt;"OK","",$D681*$J681)</f>
        <v/>
      </c>
      <c r="L681" s="71">
        <f>IF($N681&lt;&gt;"OK","",$I681-$K681)</f>
        <v/>
      </c>
      <c r="M681" s="71">
        <f>IF($N681&lt;&gt;"OK","",$D681*N(INDEX('Menu Pricing'!$F$7:$F$56,$O681)))</f>
        <v/>
      </c>
      <c r="N681" s="80">
        <f>IF(AND($B681="",$C681="",$D681=""),"",IF(NOT(ISNUMBER($B681)),"Enter a valid date",IF($C681="","Pick a menu item",IF($O681="","Item not on Menu Pricing",IF(N($D681)&lt;=0,"Qty must be above 0",IF($H681="","No price on menu","OK"))))))</f>
        <v/>
      </c>
      <c r="O681" s="13">
        <f>IF($C681="","",IFERROR(MATCH($C681,'Menu Pricing'!$B$7:$B$56,0),""))</f>
        <v/>
      </c>
    </row>
    <row r="682" ht="17" customHeight="1">
      <c r="B682" s="66" t="n"/>
      <c r="C682" s="60" t="n"/>
      <c r="D682" s="86" t="n"/>
      <c r="E682" s="63" t="n"/>
      <c r="F682" s="60" t="n"/>
      <c r="G682" s="60" t="n"/>
      <c r="H682" s="71">
        <f>IF(OR($C682="",$D682=""),"",IF(ISNUMBER($E682),$E682,IF($O682="","",IF(N(INDEX('Menu Pricing'!$O$7:$O$56,$O682))&gt;0,INDEX('Menu Pricing'!$O$7:$O$56,$O682),""))))</f>
        <v/>
      </c>
      <c r="I682" s="71">
        <f>IF($N682&lt;&gt;"OK","",$D682*$H682)</f>
        <v/>
      </c>
      <c r="J682" s="71">
        <f>IF($N682&lt;&gt;"OK","",N(INDEX('Menu Pricing'!$F$7:$F$56,$O682))+N(INDEX('Menu Pricing'!$G$7:$G$56,$O682))+N(INDEX('Menu Pricing'!$J$7:$J$56,$O682)))</f>
        <v/>
      </c>
      <c r="K682" s="71">
        <f>IF($N682&lt;&gt;"OK","",$D682*$J682)</f>
        <v/>
      </c>
      <c r="L682" s="71">
        <f>IF($N682&lt;&gt;"OK","",$I682-$K682)</f>
        <v/>
      </c>
      <c r="M682" s="71">
        <f>IF($N682&lt;&gt;"OK","",$D682*N(INDEX('Menu Pricing'!$F$7:$F$56,$O682)))</f>
        <v/>
      </c>
      <c r="N682" s="80">
        <f>IF(AND($B682="",$C682="",$D682=""),"",IF(NOT(ISNUMBER($B682)),"Enter a valid date",IF($C682="","Pick a menu item",IF($O682="","Item not on Menu Pricing",IF(N($D682)&lt;=0,"Qty must be above 0",IF($H682="","No price on menu","OK"))))))</f>
        <v/>
      </c>
      <c r="O682" s="13">
        <f>IF($C682="","",IFERROR(MATCH($C682,'Menu Pricing'!$B$7:$B$56,0),""))</f>
        <v/>
      </c>
    </row>
    <row r="683" ht="17" customHeight="1">
      <c r="B683" s="66" t="n"/>
      <c r="C683" s="60" t="n"/>
      <c r="D683" s="86" t="n"/>
      <c r="E683" s="63" t="n"/>
      <c r="F683" s="60" t="n"/>
      <c r="G683" s="60" t="n"/>
      <c r="H683" s="71">
        <f>IF(OR($C683="",$D683=""),"",IF(ISNUMBER($E683),$E683,IF($O683="","",IF(N(INDEX('Menu Pricing'!$O$7:$O$56,$O683))&gt;0,INDEX('Menu Pricing'!$O$7:$O$56,$O683),""))))</f>
        <v/>
      </c>
      <c r="I683" s="71">
        <f>IF($N683&lt;&gt;"OK","",$D683*$H683)</f>
        <v/>
      </c>
      <c r="J683" s="71">
        <f>IF($N683&lt;&gt;"OK","",N(INDEX('Menu Pricing'!$F$7:$F$56,$O683))+N(INDEX('Menu Pricing'!$G$7:$G$56,$O683))+N(INDEX('Menu Pricing'!$J$7:$J$56,$O683)))</f>
        <v/>
      </c>
      <c r="K683" s="71">
        <f>IF($N683&lt;&gt;"OK","",$D683*$J683)</f>
        <v/>
      </c>
      <c r="L683" s="71">
        <f>IF($N683&lt;&gt;"OK","",$I683-$K683)</f>
        <v/>
      </c>
      <c r="M683" s="71">
        <f>IF($N683&lt;&gt;"OK","",$D683*N(INDEX('Menu Pricing'!$F$7:$F$56,$O683)))</f>
        <v/>
      </c>
      <c r="N683" s="80">
        <f>IF(AND($B683="",$C683="",$D683=""),"",IF(NOT(ISNUMBER($B683)),"Enter a valid date",IF($C683="","Pick a menu item",IF($O683="","Item not on Menu Pricing",IF(N($D683)&lt;=0,"Qty must be above 0",IF($H683="","No price on menu","OK"))))))</f>
        <v/>
      </c>
      <c r="O683" s="13">
        <f>IF($C683="","",IFERROR(MATCH($C683,'Menu Pricing'!$B$7:$B$56,0),""))</f>
        <v/>
      </c>
    </row>
    <row r="684" ht="17" customHeight="1">
      <c r="B684" s="66" t="n"/>
      <c r="C684" s="60" t="n"/>
      <c r="D684" s="86" t="n"/>
      <c r="E684" s="63" t="n"/>
      <c r="F684" s="60" t="n"/>
      <c r="G684" s="60" t="n"/>
      <c r="H684" s="71">
        <f>IF(OR($C684="",$D684=""),"",IF(ISNUMBER($E684),$E684,IF($O684="","",IF(N(INDEX('Menu Pricing'!$O$7:$O$56,$O684))&gt;0,INDEX('Menu Pricing'!$O$7:$O$56,$O684),""))))</f>
        <v/>
      </c>
      <c r="I684" s="71">
        <f>IF($N684&lt;&gt;"OK","",$D684*$H684)</f>
        <v/>
      </c>
      <c r="J684" s="71">
        <f>IF($N684&lt;&gt;"OK","",N(INDEX('Menu Pricing'!$F$7:$F$56,$O684))+N(INDEX('Menu Pricing'!$G$7:$G$56,$O684))+N(INDEX('Menu Pricing'!$J$7:$J$56,$O684)))</f>
        <v/>
      </c>
      <c r="K684" s="71">
        <f>IF($N684&lt;&gt;"OK","",$D684*$J684)</f>
        <v/>
      </c>
      <c r="L684" s="71">
        <f>IF($N684&lt;&gt;"OK","",$I684-$K684)</f>
        <v/>
      </c>
      <c r="M684" s="71">
        <f>IF($N684&lt;&gt;"OK","",$D684*N(INDEX('Menu Pricing'!$F$7:$F$56,$O684)))</f>
        <v/>
      </c>
      <c r="N684" s="80">
        <f>IF(AND($B684="",$C684="",$D684=""),"",IF(NOT(ISNUMBER($B684)),"Enter a valid date",IF($C684="","Pick a menu item",IF($O684="","Item not on Menu Pricing",IF(N($D684)&lt;=0,"Qty must be above 0",IF($H684="","No price on menu","OK"))))))</f>
        <v/>
      </c>
      <c r="O684" s="13">
        <f>IF($C684="","",IFERROR(MATCH($C684,'Menu Pricing'!$B$7:$B$56,0),""))</f>
        <v/>
      </c>
    </row>
    <row r="685" ht="17" customHeight="1">
      <c r="B685" s="66" t="n"/>
      <c r="C685" s="60" t="n"/>
      <c r="D685" s="86" t="n"/>
      <c r="E685" s="63" t="n"/>
      <c r="F685" s="60" t="n"/>
      <c r="G685" s="60" t="n"/>
      <c r="H685" s="71">
        <f>IF(OR($C685="",$D685=""),"",IF(ISNUMBER($E685),$E685,IF($O685="","",IF(N(INDEX('Menu Pricing'!$O$7:$O$56,$O685))&gt;0,INDEX('Menu Pricing'!$O$7:$O$56,$O685),""))))</f>
        <v/>
      </c>
      <c r="I685" s="71">
        <f>IF($N685&lt;&gt;"OK","",$D685*$H685)</f>
        <v/>
      </c>
      <c r="J685" s="71">
        <f>IF($N685&lt;&gt;"OK","",N(INDEX('Menu Pricing'!$F$7:$F$56,$O685))+N(INDEX('Menu Pricing'!$G$7:$G$56,$O685))+N(INDEX('Menu Pricing'!$J$7:$J$56,$O685)))</f>
        <v/>
      </c>
      <c r="K685" s="71">
        <f>IF($N685&lt;&gt;"OK","",$D685*$J685)</f>
        <v/>
      </c>
      <c r="L685" s="71">
        <f>IF($N685&lt;&gt;"OK","",$I685-$K685)</f>
        <v/>
      </c>
      <c r="M685" s="71">
        <f>IF($N685&lt;&gt;"OK","",$D685*N(INDEX('Menu Pricing'!$F$7:$F$56,$O685)))</f>
        <v/>
      </c>
      <c r="N685" s="80">
        <f>IF(AND($B685="",$C685="",$D685=""),"",IF(NOT(ISNUMBER($B685)),"Enter a valid date",IF($C685="","Pick a menu item",IF($O685="","Item not on Menu Pricing",IF(N($D685)&lt;=0,"Qty must be above 0",IF($H685="","No price on menu","OK"))))))</f>
        <v/>
      </c>
      <c r="O685" s="13">
        <f>IF($C685="","",IFERROR(MATCH($C685,'Menu Pricing'!$B$7:$B$56,0),""))</f>
        <v/>
      </c>
    </row>
    <row r="686" ht="17" customHeight="1">
      <c r="B686" s="66" t="n"/>
      <c r="C686" s="60" t="n"/>
      <c r="D686" s="86" t="n"/>
      <c r="E686" s="63" t="n"/>
      <c r="F686" s="60" t="n"/>
      <c r="G686" s="60" t="n"/>
      <c r="H686" s="71">
        <f>IF(OR($C686="",$D686=""),"",IF(ISNUMBER($E686),$E686,IF($O686="","",IF(N(INDEX('Menu Pricing'!$O$7:$O$56,$O686))&gt;0,INDEX('Menu Pricing'!$O$7:$O$56,$O686),""))))</f>
        <v/>
      </c>
      <c r="I686" s="71">
        <f>IF($N686&lt;&gt;"OK","",$D686*$H686)</f>
        <v/>
      </c>
      <c r="J686" s="71">
        <f>IF($N686&lt;&gt;"OK","",N(INDEX('Menu Pricing'!$F$7:$F$56,$O686))+N(INDEX('Menu Pricing'!$G$7:$G$56,$O686))+N(INDEX('Menu Pricing'!$J$7:$J$56,$O686)))</f>
        <v/>
      </c>
      <c r="K686" s="71">
        <f>IF($N686&lt;&gt;"OK","",$D686*$J686)</f>
        <v/>
      </c>
      <c r="L686" s="71">
        <f>IF($N686&lt;&gt;"OK","",$I686-$K686)</f>
        <v/>
      </c>
      <c r="M686" s="71">
        <f>IF($N686&lt;&gt;"OK","",$D686*N(INDEX('Menu Pricing'!$F$7:$F$56,$O686)))</f>
        <v/>
      </c>
      <c r="N686" s="80">
        <f>IF(AND($B686="",$C686="",$D686=""),"",IF(NOT(ISNUMBER($B686)),"Enter a valid date",IF($C686="","Pick a menu item",IF($O686="","Item not on Menu Pricing",IF(N($D686)&lt;=0,"Qty must be above 0",IF($H686="","No price on menu","OK"))))))</f>
        <v/>
      </c>
      <c r="O686" s="13">
        <f>IF($C686="","",IFERROR(MATCH($C686,'Menu Pricing'!$B$7:$B$56,0),""))</f>
        <v/>
      </c>
    </row>
    <row r="687" ht="17" customHeight="1">
      <c r="B687" s="66" t="n"/>
      <c r="C687" s="60" t="n"/>
      <c r="D687" s="86" t="n"/>
      <c r="E687" s="63" t="n"/>
      <c r="F687" s="60" t="n"/>
      <c r="G687" s="60" t="n"/>
      <c r="H687" s="71">
        <f>IF(OR($C687="",$D687=""),"",IF(ISNUMBER($E687),$E687,IF($O687="","",IF(N(INDEX('Menu Pricing'!$O$7:$O$56,$O687))&gt;0,INDEX('Menu Pricing'!$O$7:$O$56,$O687),""))))</f>
        <v/>
      </c>
      <c r="I687" s="71">
        <f>IF($N687&lt;&gt;"OK","",$D687*$H687)</f>
        <v/>
      </c>
      <c r="J687" s="71">
        <f>IF($N687&lt;&gt;"OK","",N(INDEX('Menu Pricing'!$F$7:$F$56,$O687))+N(INDEX('Menu Pricing'!$G$7:$G$56,$O687))+N(INDEX('Menu Pricing'!$J$7:$J$56,$O687)))</f>
        <v/>
      </c>
      <c r="K687" s="71">
        <f>IF($N687&lt;&gt;"OK","",$D687*$J687)</f>
        <v/>
      </c>
      <c r="L687" s="71">
        <f>IF($N687&lt;&gt;"OK","",$I687-$K687)</f>
        <v/>
      </c>
      <c r="M687" s="71">
        <f>IF($N687&lt;&gt;"OK","",$D687*N(INDEX('Menu Pricing'!$F$7:$F$56,$O687)))</f>
        <v/>
      </c>
      <c r="N687" s="80">
        <f>IF(AND($B687="",$C687="",$D687=""),"",IF(NOT(ISNUMBER($B687)),"Enter a valid date",IF($C687="","Pick a menu item",IF($O687="","Item not on Menu Pricing",IF(N($D687)&lt;=0,"Qty must be above 0",IF($H687="","No price on menu","OK"))))))</f>
        <v/>
      </c>
      <c r="O687" s="13">
        <f>IF($C687="","",IFERROR(MATCH($C687,'Menu Pricing'!$B$7:$B$56,0),""))</f>
        <v/>
      </c>
    </row>
    <row r="688" ht="17" customHeight="1">
      <c r="B688" s="66" t="n"/>
      <c r="C688" s="60" t="n"/>
      <c r="D688" s="86" t="n"/>
      <c r="E688" s="63" t="n"/>
      <c r="F688" s="60" t="n"/>
      <c r="G688" s="60" t="n"/>
      <c r="H688" s="71">
        <f>IF(OR($C688="",$D688=""),"",IF(ISNUMBER($E688),$E688,IF($O688="","",IF(N(INDEX('Menu Pricing'!$O$7:$O$56,$O688))&gt;0,INDEX('Menu Pricing'!$O$7:$O$56,$O688),""))))</f>
        <v/>
      </c>
      <c r="I688" s="71">
        <f>IF($N688&lt;&gt;"OK","",$D688*$H688)</f>
        <v/>
      </c>
      <c r="J688" s="71">
        <f>IF($N688&lt;&gt;"OK","",N(INDEX('Menu Pricing'!$F$7:$F$56,$O688))+N(INDEX('Menu Pricing'!$G$7:$G$56,$O688))+N(INDEX('Menu Pricing'!$J$7:$J$56,$O688)))</f>
        <v/>
      </c>
      <c r="K688" s="71">
        <f>IF($N688&lt;&gt;"OK","",$D688*$J688)</f>
        <v/>
      </c>
      <c r="L688" s="71">
        <f>IF($N688&lt;&gt;"OK","",$I688-$K688)</f>
        <v/>
      </c>
      <c r="M688" s="71">
        <f>IF($N688&lt;&gt;"OK","",$D688*N(INDEX('Menu Pricing'!$F$7:$F$56,$O688)))</f>
        <v/>
      </c>
      <c r="N688" s="80">
        <f>IF(AND($B688="",$C688="",$D688=""),"",IF(NOT(ISNUMBER($B688)),"Enter a valid date",IF($C688="","Pick a menu item",IF($O688="","Item not on Menu Pricing",IF(N($D688)&lt;=0,"Qty must be above 0",IF($H688="","No price on menu","OK"))))))</f>
        <v/>
      </c>
      <c r="O688" s="13">
        <f>IF($C688="","",IFERROR(MATCH($C688,'Menu Pricing'!$B$7:$B$56,0),""))</f>
        <v/>
      </c>
    </row>
    <row r="689" ht="17" customHeight="1">
      <c r="B689" s="66" t="n"/>
      <c r="C689" s="60" t="n"/>
      <c r="D689" s="86" t="n"/>
      <c r="E689" s="63" t="n"/>
      <c r="F689" s="60" t="n"/>
      <c r="G689" s="60" t="n"/>
      <c r="H689" s="71">
        <f>IF(OR($C689="",$D689=""),"",IF(ISNUMBER($E689),$E689,IF($O689="","",IF(N(INDEX('Menu Pricing'!$O$7:$O$56,$O689))&gt;0,INDEX('Menu Pricing'!$O$7:$O$56,$O689),""))))</f>
        <v/>
      </c>
      <c r="I689" s="71">
        <f>IF($N689&lt;&gt;"OK","",$D689*$H689)</f>
        <v/>
      </c>
      <c r="J689" s="71">
        <f>IF($N689&lt;&gt;"OK","",N(INDEX('Menu Pricing'!$F$7:$F$56,$O689))+N(INDEX('Menu Pricing'!$G$7:$G$56,$O689))+N(INDEX('Menu Pricing'!$J$7:$J$56,$O689)))</f>
        <v/>
      </c>
      <c r="K689" s="71">
        <f>IF($N689&lt;&gt;"OK","",$D689*$J689)</f>
        <v/>
      </c>
      <c r="L689" s="71">
        <f>IF($N689&lt;&gt;"OK","",$I689-$K689)</f>
        <v/>
      </c>
      <c r="M689" s="71">
        <f>IF($N689&lt;&gt;"OK","",$D689*N(INDEX('Menu Pricing'!$F$7:$F$56,$O689)))</f>
        <v/>
      </c>
      <c r="N689" s="80">
        <f>IF(AND($B689="",$C689="",$D689=""),"",IF(NOT(ISNUMBER($B689)),"Enter a valid date",IF($C689="","Pick a menu item",IF($O689="","Item not on Menu Pricing",IF(N($D689)&lt;=0,"Qty must be above 0",IF($H689="","No price on menu","OK"))))))</f>
        <v/>
      </c>
      <c r="O689" s="13">
        <f>IF($C689="","",IFERROR(MATCH($C689,'Menu Pricing'!$B$7:$B$56,0),""))</f>
        <v/>
      </c>
    </row>
    <row r="690" ht="17" customHeight="1">
      <c r="B690" s="66" t="n"/>
      <c r="C690" s="60" t="n"/>
      <c r="D690" s="86" t="n"/>
      <c r="E690" s="63" t="n"/>
      <c r="F690" s="60" t="n"/>
      <c r="G690" s="60" t="n"/>
      <c r="H690" s="71">
        <f>IF(OR($C690="",$D690=""),"",IF(ISNUMBER($E690),$E690,IF($O690="","",IF(N(INDEX('Menu Pricing'!$O$7:$O$56,$O690))&gt;0,INDEX('Menu Pricing'!$O$7:$O$56,$O690),""))))</f>
        <v/>
      </c>
      <c r="I690" s="71">
        <f>IF($N690&lt;&gt;"OK","",$D690*$H690)</f>
        <v/>
      </c>
      <c r="J690" s="71">
        <f>IF($N690&lt;&gt;"OK","",N(INDEX('Menu Pricing'!$F$7:$F$56,$O690))+N(INDEX('Menu Pricing'!$G$7:$G$56,$O690))+N(INDEX('Menu Pricing'!$J$7:$J$56,$O690)))</f>
        <v/>
      </c>
      <c r="K690" s="71">
        <f>IF($N690&lt;&gt;"OK","",$D690*$J690)</f>
        <v/>
      </c>
      <c r="L690" s="71">
        <f>IF($N690&lt;&gt;"OK","",$I690-$K690)</f>
        <v/>
      </c>
      <c r="M690" s="71">
        <f>IF($N690&lt;&gt;"OK","",$D690*N(INDEX('Menu Pricing'!$F$7:$F$56,$O690)))</f>
        <v/>
      </c>
      <c r="N690" s="80">
        <f>IF(AND($B690="",$C690="",$D690=""),"",IF(NOT(ISNUMBER($B690)),"Enter a valid date",IF($C690="","Pick a menu item",IF($O690="","Item not on Menu Pricing",IF(N($D690)&lt;=0,"Qty must be above 0",IF($H690="","No price on menu","OK"))))))</f>
        <v/>
      </c>
      <c r="O690" s="13">
        <f>IF($C690="","",IFERROR(MATCH($C690,'Menu Pricing'!$B$7:$B$56,0),""))</f>
        <v/>
      </c>
    </row>
    <row r="691" ht="17" customHeight="1">
      <c r="B691" s="66" t="n"/>
      <c r="C691" s="60" t="n"/>
      <c r="D691" s="86" t="n"/>
      <c r="E691" s="63" t="n"/>
      <c r="F691" s="60" t="n"/>
      <c r="G691" s="60" t="n"/>
      <c r="H691" s="71">
        <f>IF(OR($C691="",$D691=""),"",IF(ISNUMBER($E691),$E691,IF($O691="","",IF(N(INDEX('Menu Pricing'!$O$7:$O$56,$O691))&gt;0,INDEX('Menu Pricing'!$O$7:$O$56,$O691),""))))</f>
        <v/>
      </c>
      <c r="I691" s="71">
        <f>IF($N691&lt;&gt;"OK","",$D691*$H691)</f>
        <v/>
      </c>
      <c r="J691" s="71">
        <f>IF($N691&lt;&gt;"OK","",N(INDEX('Menu Pricing'!$F$7:$F$56,$O691))+N(INDEX('Menu Pricing'!$G$7:$G$56,$O691))+N(INDEX('Menu Pricing'!$J$7:$J$56,$O691)))</f>
        <v/>
      </c>
      <c r="K691" s="71">
        <f>IF($N691&lt;&gt;"OK","",$D691*$J691)</f>
        <v/>
      </c>
      <c r="L691" s="71">
        <f>IF($N691&lt;&gt;"OK","",$I691-$K691)</f>
        <v/>
      </c>
      <c r="M691" s="71">
        <f>IF($N691&lt;&gt;"OK","",$D691*N(INDEX('Menu Pricing'!$F$7:$F$56,$O691)))</f>
        <v/>
      </c>
      <c r="N691" s="80">
        <f>IF(AND($B691="",$C691="",$D691=""),"",IF(NOT(ISNUMBER($B691)),"Enter a valid date",IF($C691="","Pick a menu item",IF($O691="","Item not on Menu Pricing",IF(N($D691)&lt;=0,"Qty must be above 0",IF($H691="","No price on menu","OK"))))))</f>
        <v/>
      </c>
      <c r="O691" s="13">
        <f>IF($C691="","",IFERROR(MATCH($C691,'Menu Pricing'!$B$7:$B$56,0),""))</f>
        <v/>
      </c>
    </row>
    <row r="692" ht="17" customHeight="1">
      <c r="B692" s="66" t="n"/>
      <c r="C692" s="60" t="n"/>
      <c r="D692" s="86" t="n"/>
      <c r="E692" s="63" t="n"/>
      <c r="F692" s="60" t="n"/>
      <c r="G692" s="60" t="n"/>
      <c r="H692" s="71">
        <f>IF(OR($C692="",$D692=""),"",IF(ISNUMBER($E692),$E692,IF($O692="","",IF(N(INDEX('Menu Pricing'!$O$7:$O$56,$O692))&gt;0,INDEX('Menu Pricing'!$O$7:$O$56,$O692),""))))</f>
        <v/>
      </c>
      <c r="I692" s="71">
        <f>IF($N692&lt;&gt;"OK","",$D692*$H692)</f>
        <v/>
      </c>
      <c r="J692" s="71">
        <f>IF($N692&lt;&gt;"OK","",N(INDEX('Menu Pricing'!$F$7:$F$56,$O692))+N(INDEX('Menu Pricing'!$G$7:$G$56,$O692))+N(INDEX('Menu Pricing'!$J$7:$J$56,$O692)))</f>
        <v/>
      </c>
      <c r="K692" s="71">
        <f>IF($N692&lt;&gt;"OK","",$D692*$J692)</f>
        <v/>
      </c>
      <c r="L692" s="71">
        <f>IF($N692&lt;&gt;"OK","",$I692-$K692)</f>
        <v/>
      </c>
      <c r="M692" s="71">
        <f>IF($N692&lt;&gt;"OK","",$D692*N(INDEX('Menu Pricing'!$F$7:$F$56,$O692)))</f>
        <v/>
      </c>
      <c r="N692" s="80">
        <f>IF(AND($B692="",$C692="",$D692=""),"",IF(NOT(ISNUMBER($B692)),"Enter a valid date",IF($C692="","Pick a menu item",IF($O692="","Item not on Menu Pricing",IF(N($D692)&lt;=0,"Qty must be above 0",IF($H692="","No price on menu","OK"))))))</f>
        <v/>
      </c>
      <c r="O692" s="13">
        <f>IF($C692="","",IFERROR(MATCH($C692,'Menu Pricing'!$B$7:$B$56,0),""))</f>
        <v/>
      </c>
    </row>
    <row r="693" ht="17" customHeight="1">
      <c r="B693" s="66" t="n"/>
      <c r="C693" s="60" t="n"/>
      <c r="D693" s="86" t="n"/>
      <c r="E693" s="63" t="n"/>
      <c r="F693" s="60" t="n"/>
      <c r="G693" s="60" t="n"/>
      <c r="H693" s="71">
        <f>IF(OR($C693="",$D693=""),"",IF(ISNUMBER($E693),$E693,IF($O693="","",IF(N(INDEX('Menu Pricing'!$O$7:$O$56,$O693))&gt;0,INDEX('Menu Pricing'!$O$7:$O$56,$O693),""))))</f>
        <v/>
      </c>
      <c r="I693" s="71">
        <f>IF($N693&lt;&gt;"OK","",$D693*$H693)</f>
        <v/>
      </c>
      <c r="J693" s="71">
        <f>IF($N693&lt;&gt;"OK","",N(INDEX('Menu Pricing'!$F$7:$F$56,$O693))+N(INDEX('Menu Pricing'!$G$7:$G$56,$O693))+N(INDEX('Menu Pricing'!$J$7:$J$56,$O693)))</f>
        <v/>
      </c>
      <c r="K693" s="71">
        <f>IF($N693&lt;&gt;"OK","",$D693*$J693)</f>
        <v/>
      </c>
      <c r="L693" s="71">
        <f>IF($N693&lt;&gt;"OK","",$I693-$K693)</f>
        <v/>
      </c>
      <c r="M693" s="71">
        <f>IF($N693&lt;&gt;"OK","",$D693*N(INDEX('Menu Pricing'!$F$7:$F$56,$O693)))</f>
        <v/>
      </c>
      <c r="N693" s="80">
        <f>IF(AND($B693="",$C693="",$D693=""),"",IF(NOT(ISNUMBER($B693)),"Enter a valid date",IF($C693="","Pick a menu item",IF($O693="","Item not on Menu Pricing",IF(N($D693)&lt;=0,"Qty must be above 0",IF($H693="","No price on menu","OK"))))))</f>
        <v/>
      </c>
      <c r="O693" s="13">
        <f>IF($C693="","",IFERROR(MATCH($C693,'Menu Pricing'!$B$7:$B$56,0),""))</f>
        <v/>
      </c>
    </row>
    <row r="694" ht="17" customHeight="1">
      <c r="B694" s="66" t="n"/>
      <c r="C694" s="60" t="n"/>
      <c r="D694" s="86" t="n"/>
      <c r="E694" s="63" t="n"/>
      <c r="F694" s="60" t="n"/>
      <c r="G694" s="60" t="n"/>
      <c r="H694" s="71">
        <f>IF(OR($C694="",$D694=""),"",IF(ISNUMBER($E694),$E694,IF($O694="","",IF(N(INDEX('Menu Pricing'!$O$7:$O$56,$O694))&gt;0,INDEX('Menu Pricing'!$O$7:$O$56,$O694),""))))</f>
        <v/>
      </c>
      <c r="I694" s="71">
        <f>IF($N694&lt;&gt;"OK","",$D694*$H694)</f>
        <v/>
      </c>
      <c r="J694" s="71">
        <f>IF($N694&lt;&gt;"OK","",N(INDEX('Menu Pricing'!$F$7:$F$56,$O694))+N(INDEX('Menu Pricing'!$G$7:$G$56,$O694))+N(INDEX('Menu Pricing'!$J$7:$J$56,$O694)))</f>
        <v/>
      </c>
      <c r="K694" s="71">
        <f>IF($N694&lt;&gt;"OK","",$D694*$J694)</f>
        <v/>
      </c>
      <c r="L694" s="71">
        <f>IF($N694&lt;&gt;"OK","",$I694-$K694)</f>
        <v/>
      </c>
      <c r="M694" s="71">
        <f>IF($N694&lt;&gt;"OK","",$D694*N(INDEX('Menu Pricing'!$F$7:$F$56,$O694)))</f>
        <v/>
      </c>
      <c r="N694" s="80">
        <f>IF(AND($B694="",$C694="",$D694=""),"",IF(NOT(ISNUMBER($B694)),"Enter a valid date",IF($C694="","Pick a menu item",IF($O694="","Item not on Menu Pricing",IF(N($D694)&lt;=0,"Qty must be above 0",IF($H694="","No price on menu","OK"))))))</f>
        <v/>
      </c>
      <c r="O694" s="13">
        <f>IF($C694="","",IFERROR(MATCH($C694,'Menu Pricing'!$B$7:$B$56,0),""))</f>
        <v/>
      </c>
    </row>
    <row r="695" ht="17" customHeight="1">
      <c r="B695" s="66" t="n"/>
      <c r="C695" s="60" t="n"/>
      <c r="D695" s="86" t="n"/>
      <c r="E695" s="63" t="n"/>
      <c r="F695" s="60" t="n"/>
      <c r="G695" s="60" t="n"/>
      <c r="H695" s="71">
        <f>IF(OR($C695="",$D695=""),"",IF(ISNUMBER($E695),$E695,IF($O695="","",IF(N(INDEX('Menu Pricing'!$O$7:$O$56,$O695))&gt;0,INDEX('Menu Pricing'!$O$7:$O$56,$O695),""))))</f>
        <v/>
      </c>
      <c r="I695" s="71">
        <f>IF($N695&lt;&gt;"OK","",$D695*$H695)</f>
        <v/>
      </c>
      <c r="J695" s="71">
        <f>IF($N695&lt;&gt;"OK","",N(INDEX('Menu Pricing'!$F$7:$F$56,$O695))+N(INDEX('Menu Pricing'!$G$7:$G$56,$O695))+N(INDEX('Menu Pricing'!$J$7:$J$56,$O695)))</f>
        <v/>
      </c>
      <c r="K695" s="71">
        <f>IF($N695&lt;&gt;"OK","",$D695*$J695)</f>
        <v/>
      </c>
      <c r="L695" s="71">
        <f>IF($N695&lt;&gt;"OK","",$I695-$K695)</f>
        <v/>
      </c>
      <c r="M695" s="71">
        <f>IF($N695&lt;&gt;"OK","",$D695*N(INDEX('Menu Pricing'!$F$7:$F$56,$O695)))</f>
        <v/>
      </c>
      <c r="N695" s="80">
        <f>IF(AND($B695="",$C695="",$D695=""),"",IF(NOT(ISNUMBER($B695)),"Enter a valid date",IF($C695="","Pick a menu item",IF($O695="","Item not on Menu Pricing",IF(N($D695)&lt;=0,"Qty must be above 0",IF($H695="","No price on menu","OK"))))))</f>
        <v/>
      </c>
      <c r="O695" s="13">
        <f>IF($C695="","",IFERROR(MATCH($C695,'Menu Pricing'!$B$7:$B$56,0),""))</f>
        <v/>
      </c>
    </row>
    <row r="696" ht="17" customHeight="1">
      <c r="B696" s="66" t="n"/>
      <c r="C696" s="60" t="n"/>
      <c r="D696" s="86" t="n"/>
      <c r="E696" s="63" t="n"/>
      <c r="F696" s="60" t="n"/>
      <c r="G696" s="60" t="n"/>
      <c r="H696" s="71">
        <f>IF(OR($C696="",$D696=""),"",IF(ISNUMBER($E696),$E696,IF($O696="","",IF(N(INDEX('Menu Pricing'!$O$7:$O$56,$O696))&gt;0,INDEX('Menu Pricing'!$O$7:$O$56,$O696),""))))</f>
        <v/>
      </c>
      <c r="I696" s="71">
        <f>IF($N696&lt;&gt;"OK","",$D696*$H696)</f>
        <v/>
      </c>
      <c r="J696" s="71">
        <f>IF($N696&lt;&gt;"OK","",N(INDEX('Menu Pricing'!$F$7:$F$56,$O696))+N(INDEX('Menu Pricing'!$G$7:$G$56,$O696))+N(INDEX('Menu Pricing'!$J$7:$J$56,$O696)))</f>
        <v/>
      </c>
      <c r="K696" s="71">
        <f>IF($N696&lt;&gt;"OK","",$D696*$J696)</f>
        <v/>
      </c>
      <c r="L696" s="71">
        <f>IF($N696&lt;&gt;"OK","",$I696-$K696)</f>
        <v/>
      </c>
      <c r="M696" s="71">
        <f>IF($N696&lt;&gt;"OK","",$D696*N(INDEX('Menu Pricing'!$F$7:$F$56,$O696)))</f>
        <v/>
      </c>
      <c r="N696" s="80">
        <f>IF(AND($B696="",$C696="",$D696=""),"",IF(NOT(ISNUMBER($B696)),"Enter a valid date",IF($C696="","Pick a menu item",IF($O696="","Item not on Menu Pricing",IF(N($D696)&lt;=0,"Qty must be above 0",IF($H696="","No price on menu","OK"))))))</f>
        <v/>
      </c>
      <c r="O696" s="13">
        <f>IF($C696="","",IFERROR(MATCH($C696,'Menu Pricing'!$B$7:$B$56,0),""))</f>
        <v/>
      </c>
    </row>
    <row r="697" ht="17" customHeight="1">
      <c r="B697" s="66" t="n"/>
      <c r="C697" s="60" t="n"/>
      <c r="D697" s="86" t="n"/>
      <c r="E697" s="63" t="n"/>
      <c r="F697" s="60" t="n"/>
      <c r="G697" s="60" t="n"/>
      <c r="H697" s="71">
        <f>IF(OR($C697="",$D697=""),"",IF(ISNUMBER($E697),$E697,IF($O697="","",IF(N(INDEX('Menu Pricing'!$O$7:$O$56,$O697))&gt;0,INDEX('Menu Pricing'!$O$7:$O$56,$O697),""))))</f>
        <v/>
      </c>
      <c r="I697" s="71">
        <f>IF($N697&lt;&gt;"OK","",$D697*$H697)</f>
        <v/>
      </c>
      <c r="J697" s="71">
        <f>IF($N697&lt;&gt;"OK","",N(INDEX('Menu Pricing'!$F$7:$F$56,$O697))+N(INDEX('Menu Pricing'!$G$7:$G$56,$O697))+N(INDEX('Menu Pricing'!$J$7:$J$56,$O697)))</f>
        <v/>
      </c>
      <c r="K697" s="71">
        <f>IF($N697&lt;&gt;"OK","",$D697*$J697)</f>
        <v/>
      </c>
      <c r="L697" s="71">
        <f>IF($N697&lt;&gt;"OK","",$I697-$K697)</f>
        <v/>
      </c>
      <c r="M697" s="71">
        <f>IF($N697&lt;&gt;"OK","",$D697*N(INDEX('Menu Pricing'!$F$7:$F$56,$O697)))</f>
        <v/>
      </c>
      <c r="N697" s="80">
        <f>IF(AND($B697="",$C697="",$D697=""),"",IF(NOT(ISNUMBER($B697)),"Enter a valid date",IF($C697="","Pick a menu item",IF($O697="","Item not on Menu Pricing",IF(N($D697)&lt;=0,"Qty must be above 0",IF($H697="","No price on menu","OK"))))))</f>
        <v/>
      </c>
      <c r="O697" s="13">
        <f>IF($C697="","",IFERROR(MATCH($C697,'Menu Pricing'!$B$7:$B$56,0),""))</f>
        <v/>
      </c>
    </row>
    <row r="698" ht="17" customHeight="1">
      <c r="B698" s="66" t="n"/>
      <c r="C698" s="60" t="n"/>
      <c r="D698" s="86" t="n"/>
      <c r="E698" s="63" t="n"/>
      <c r="F698" s="60" t="n"/>
      <c r="G698" s="60" t="n"/>
      <c r="H698" s="71">
        <f>IF(OR($C698="",$D698=""),"",IF(ISNUMBER($E698),$E698,IF($O698="","",IF(N(INDEX('Menu Pricing'!$O$7:$O$56,$O698))&gt;0,INDEX('Menu Pricing'!$O$7:$O$56,$O698),""))))</f>
        <v/>
      </c>
      <c r="I698" s="71">
        <f>IF($N698&lt;&gt;"OK","",$D698*$H698)</f>
        <v/>
      </c>
      <c r="J698" s="71">
        <f>IF($N698&lt;&gt;"OK","",N(INDEX('Menu Pricing'!$F$7:$F$56,$O698))+N(INDEX('Menu Pricing'!$G$7:$G$56,$O698))+N(INDEX('Menu Pricing'!$J$7:$J$56,$O698)))</f>
        <v/>
      </c>
      <c r="K698" s="71">
        <f>IF($N698&lt;&gt;"OK","",$D698*$J698)</f>
        <v/>
      </c>
      <c r="L698" s="71">
        <f>IF($N698&lt;&gt;"OK","",$I698-$K698)</f>
        <v/>
      </c>
      <c r="M698" s="71">
        <f>IF($N698&lt;&gt;"OK","",$D698*N(INDEX('Menu Pricing'!$F$7:$F$56,$O698)))</f>
        <v/>
      </c>
      <c r="N698" s="80">
        <f>IF(AND($B698="",$C698="",$D698=""),"",IF(NOT(ISNUMBER($B698)),"Enter a valid date",IF($C698="","Pick a menu item",IF($O698="","Item not on Menu Pricing",IF(N($D698)&lt;=0,"Qty must be above 0",IF($H698="","No price on menu","OK"))))))</f>
        <v/>
      </c>
      <c r="O698" s="13">
        <f>IF($C698="","",IFERROR(MATCH($C698,'Menu Pricing'!$B$7:$B$56,0),""))</f>
        <v/>
      </c>
    </row>
    <row r="699" ht="17" customHeight="1">
      <c r="B699" s="66" t="n"/>
      <c r="C699" s="60" t="n"/>
      <c r="D699" s="86" t="n"/>
      <c r="E699" s="63" t="n"/>
      <c r="F699" s="60" t="n"/>
      <c r="G699" s="60" t="n"/>
      <c r="H699" s="71">
        <f>IF(OR($C699="",$D699=""),"",IF(ISNUMBER($E699),$E699,IF($O699="","",IF(N(INDEX('Menu Pricing'!$O$7:$O$56,$O699))&gt;0,INDEX('Menu Pricing'!$O$7:$O$56,$O699),""))))</f>
        <v/>
      </c>
      <c r="I699" s="71">
        <f>IF($N699&lt;&gt;"OK","",$D699*$H699)</f>
        <v/>
      </c>
      <c r="J699" s="71">
        <f>IF($N699&lt;&gt;"OK","",N(INDEX('Menu Pricing'!$F$7:$F$56,$O699))+N(INDEX('Menu Pricing'!$G$7:$G$56,$O699))+N(INDEX('Menu Pricing'!$J$7:$J$56,$O699)))</f>
        <v/>
      </c>
      <c r="K699" s="71">
        <f>IF($N699&lt;&gt;"OK","",$D699*$J699)</f>
        <v/>
      </c>
      <c r="L699" s="71">
        <f>IF($N699&lt;&gt;"OK","",$I699-$K699)</f>
        <v/>
      </c>
      <c r="M699" s="71">
        <f>IF($N699&lt;&gt;"OK","",$D699*N(INDEX('Menu Pricing'!$F$7:$F$56,$O699)))</f>
        <v/>
      </c>
      <c r="N699" s="80">
        <f>IF(AND($B699="",$C699="",$D699=""),"",IF(NOT(ISNUMBER($B699)),"Enter a valid date",IF($C699="","Pick a menu item",IF($O699="","Item not on Menu Pricing",IF(N($D699)&lt;=0,"Qty must be above 0",IF($H699="","No price on menu","OK"))))))</f>
        <v/>
      </c>
      <c r="O699" s="13">
        <f>IF($C699="","",IFERROR(MATCH($C699,'Menu Pricing'!$B$7:$B$56,0),""))</f>
        <v/>
      </c>
    </row>
    <row r="700" ht="17" customHeight="1">
      <c r="B700" s="66" t="n"/>
      <c r="C700" s="60" t="n"/>
      <c r="D700" s="86" t="n"/>
      <c r="E700" s="63" t="n"/>
      <c r="F700" s="60" t="n"/>
      <c r="G700" s="60" t="n"/>
      <c r="H700" s="71">
        <f>IF(OR($C700="",$D700=""),"",IF(ISNUMBER($E700),$E700,IF($O700="","",IF(N(INDEX('Menu Pricing'!$O$7:$O$56,$O700))&gt;0,INDEX('Menu Pricing'!$O$7:$O$56,$O700),""))))</f>
        <v/>
      </c>
      <c r="I700" s="71">
        <f>IF($N700&lt;&gt;"OK","",$D700*$H700)</f>
        <v/>
      </c>
      <c r="J700" s="71">
        <f>IF($N700&lt;&gt;"OK","",N(INDEX('Menu Pricing'!$F$7:$F$56,$O700))+N(INDEX('Menu Pricing'!$G$7:$G$56,$O700))+N(INDEX('Menu Pricing'!$J$7:$J$56,$O700)))</f>
        <v/>
      </c>
      <c r="K700" s="71">
        <f>IF($N700&lt;&gt;"OK","",$D700*$J700)</f>
        <v/>
      </c>
      <c r="L700" s="71">
        <f>IF($N700&lt;&gt;"OK","",$I700-$K700)</f>
        <v/>
      </c>
      <c r="M700" s="71">
        <f>IF($N700&lt;&gt;"OK","",$D700*N(INDEX('Menu Pricing'!$F$7:$F$56,$O700)))</f>
        <v/>
      </c>
      <c r="N700" s="80">
        <f>IF(AND($B700="",$C700="",$D700=""),"",IF(NOT(ISNUMBER($B700)),"Enter a valid date",IF($C700="","Pick a menu item",IF($O700="","Item not on Menu Pricing",IF(N($D700)&lt;=0,"Qty must be above 0",IF($H700="","No price on menu","OK"))))))</f>
        <v/>
      </c>
      <c r="O700" s="13">
        <f>IF($C700="","",IFERROR(MATCH($C700,'Menu Pricing'!$B$7:$B$56,0),""))</f>
        <v/>
      </c>
    </row>
    <row r="701" ht="17" customHeight="1">
      <c r="B701" s="66" t="n"/>
      <c r="C701" s="60" t="n"/>
      <c r="D701" s="86" t="n"/>
      <c r="E701" s="63" t="n"/>
      <c r="F701" s="60" t="n"/>
      <c r="G701" s="60" t="n"/>
      <c r="H701" s="71">
        <f>IF(OR($C701="",$D701=""),"",IF(ISNUMBER($E701),$E701,IF($O701="","",IF(N(INDEX('Menu Pricing'!$O$7:$O$56,$O701))&gt;0,INDEX('Menu Pricing'!$O$7:$O$56,$O701),""))))</f>
        <v/>
      </c>
      <c r="I701" s="71">
        <f>IF($N701&lt;&gt;"OK","",$D701*$H701)</f>
        <v/>
      </c>
      <c r="J701" s="71">
        <f>IF($N701&lt;&gt;"OK","",N(INDEX('Menu Pricing'!$F$7:$F$56,$O701))+N(INDEX('Menu Pricing'!$G$7:$G$56,$O701))+N(INDEX('Menu Pricing'!$J$7:$J$56,$O701)))</f>
        <v/>
      </c>
      <c r="K701" s="71">
        <f>IF($N701&lt;&gt;"OK","",$D701*$J701)</f>
        <v/>
      </c>
      <c r="L701" s="71">
        <f>IF($N701&lt;&gt;"OK","",$I701-$K701)</f>
        <v/>
      </c>
      <c r="M701" s="71">
        <f>IF($N701&lt;&gt;"OK","",$D701*N(INDEX('Menu Pricing'!$F$7:$F$56,$O701)))</f>
        <v/>
      </c>
      <c r="N701" s="80">
        <f>IF(AND($B701="",$C701="",$D701=""),"",IF(NOT(ISNUMBER($B701)),"Enter a valid date",IF($C701="","Pick a menu item",IF($O701="","Item not on Menu Pricing",IF(N($D701)&lt;=0,"Qty must be above 0",IF($H701="","No price on menu","OK"))))))</f>
        <v/>
      </c>
      <c r="O701" s="13">
        <f>IF($C701="","",IFERROR(MATCH($C701,'Menu Pricing'!$B$7:$B$56,0),""))</f>
        <v/>
      </c>
    </row>
    <row r="702" ht="17" customHeight="1">
      <c r="B702" s="66" t="n"/>
      <c r="C702" s="60" t="n"/>
      <c r="D702" s="86" t="n"/>
      <c r="E702" s="63" t="n"/>
      <c r="F702" s="60" t="n"/>
      <c r="G702" s="60" t="n"/>
      <c r="H702" s="71">
        <f>IF(OR($C702="",$D702=""),"",IF(ISNUMBER($E702),$E702,IF($O702="","",IF(N(INDEX('Menu Pricing'!$O$7:$O$56,$O702))&gt;0,INDEX('Menu Pricing'!$O$7:$O$56,$O702),""))))</f>
        <v/>
      </c>
      <c r="I702" s="71">
        <f>IF($N702&lt;&gt;"OK","",$D702*$H702)</f>
        <v/>
      </c>
      <c r="J702" s="71">
        <f>IF($N702&lt;&gt;"OK","",N(INDEX('Menu Pricing'!$F$7:$F$56,$O702))+N(INDEX('Menu Pricing'!$G$7:$G$56,$O702))+N(INDEX('Menu Pricing'!$J$7:$J$56,$O702)))</f>
        <v/>
      </c>
      <c r="K702" s="71">
        <f>IF($N702&lt;&gt;"OK","",$D702*$J702)</f>
        <v/>
      </c>
      <c r="L702" s="71">
        <f>IF($N702&lt;&gt;"OK","",$I702-$K702)</f>
        <v/>
      </c>
      <c r="M702" s="71">
        <f>IF($N702&lt;&gt;"OK","",$D702*N(INDEX('Menu Pricing'!$F$7:$F$56,$O702)))</f>
        <v/>
      </c>
      <c r="N702" s="80">
        <f>IF(AND($B702="",$C702="",$D702=""),"",IF(NOT(ISNUMBER($B702)),"Enter a valid date",IF($C702="","Pick a menu item",IF($O702="","Item not on Menu Pricing",IF(N($D702)&lt;=0,"Qty must be above 0",IF($H702="","No price on menu","OK"))))))</f>
        <v/>
      </c>
      <c r="O702" s="13">
        <f>IF($C702="","",IFERROR(MATCH($C702,'Menu Pricing'!$B$7:$B$56,0),""))</f>
        <v/>
      </c>
    </row>
    <row r="703" ht="17" customHeight="1">
      <c r="B703" s="66" t="n"/>
      <c r="C703" s="60" t="n"/>
      <c r="D703" s="86" t="n"/>
      <c r="E703" s="63" t="n"/>
      <c r="F703" s="60" t="n"/>
      <c r="G703" s="60" t="n"/>
      <c r="H703" s="71">
        <f>IF(OR($C703="",$D703=""),"",IF(ISNUMBER($E703),$E703,IF($O703="","",IF(N(INDEX('Menu Pricing'!$O$7:$O$56,$O703))&gt;0,INDEX('Menu Pricing'!$O$7:$O$56,$O703),""))))</f>
        <v/>
      </c>
      <c r="I703" s="71">
        <f>IF($N703&lt;&gt;"OK","",$D703*$H703)</f>
        <v/>
      </c>
      <c r="J703" s="71">
        <f>IF($N703&lt;&gt;"OK","",N(INDEX('Menu Pricing'!$F$7:$F$56,$O703))+N(INDEX('Menu Pricing'!$G$7:$G$56,$O703))+N(INDEX('Menu Pricing'!$J$7:$J$56,$O703)))</f>
        <v/>
      </c>
      <c r="K703" s="71">
        <f>IF($N703&lt;&gt;"OK","",$D703*$J703)</f>
        <v/>
      </c>
      <c r="L703" s="71">
        <f>IF($N703&lt;&gt;"OK","",$I703-$K703)</f>
        <v/>
      </c>
      <c r="M703" s="71">
        <f>IF($N703&lt;&gt;"OK","",$D703*N(INDEX('Menu Pricing'!$F$7:$F$56,$O703)))</f>
        <v/>
      </c>
      <c r="N703" s="80">
        <f>IF(AND($B703="",$C703="",$D703=""),"",IF(NOT(ISNUMBER($B703)),"Enter a valid date",IF($C703="","Pick a menu item",IF($O703="","Item not on Menu Pricing",IF(N($D703)&lt;=0,"Qty must be above 0",IF($H703="","No price on menu","OK"))))))</f>
        <v/>
      </c>
      <c r="O703" s="13">
        <f>IF($C703="","",IFERROR(MATCH($C703,'Menu Pricing'!$B$7:$B$56,0),""))</f>
        <v/>
      </c>
    </row>
    <row r="704" ht="17" customHeight="1">
      <c r="B704" s="66" t="n"/>
      <c r="C704" s="60" t="n"/>
      <c r="D704" s="86" t="n"/>
      <c r="E704" s="63" t="n"/>
      <c r="F704" s="60" t="n"/>
      <c r="G704" s="60" t="n"/>
      <c r="H704" s="71">
        <f>IF(OR($C704="",$D704=""),"",IF(ISNUMBER($E704),$E704,IF($O704="","",IF(N(INDEX('Menu Pricing'!$O$7:$O$56,$O704))&gt;0,INDEX('Menu Pricing'!$O$7:$O$56,$O704),""))))</f>
        <v/>
      </c>
      <c r="I704" s="71">
        <f>IF($N704&lt;&gt;"OK","",$D704*$H704)</f>
        <v/>
      </c>
      <c r="J704" s="71">
        <f>IF($N704&lt;&gt;"OK","",N(INDEX('Menu Pricing'!$F$7:$F$56,$O704))+N(INDEX('Menu Pricing'!$G$7:$G$56,$O704))+N(INDEX('Menu Pricing'!$J$7:$J$56,$O704)))</f>
        <v/>
      </c>
      <c r="K704" s="71">
        <f>IF($N704&lt;&gt;"OK","",$D704*$J704)</f>
        <v/>
      </c>
      <c r="L704" s="71">
        <f>IF($N704&lt;&gt;"OK","",$I704-$K704)</f>
        <v/>
      </c>
      <c r="M704" s="71">
        <f>IF($N704&lt;&gt;"OK","",$D704*N(INDEX('Menu Pricing'!$F$7:$F$56,$O704)))</f>
        <v/>
      </c>
      <c r="N704" s="80">
        <f>IF(AND($B704="",$C704="",$D704=""),"",IF(NOT(ISNUMBER($B704)),"Enter a valid date",IF($C704="","Pick a menu item",IF($O704="","Item not on Menu Pricing",IF(N($D704)&lt;=0,"Qty must be above 0",IF($H704="","No price on menu","OK"))))))</f>
        <v/>
      </c>
      <c r="O704" s="13">
        <f>IF($C704="","",IFERROR(MATCH($C704,'Menu Pricing'!$B$7:$B$56,0),""))</f>
        <v/>
      </c>
    </row>
    <row r="705" ht="17" customHeight="1">
      <c r="B705" s="66" t="n"/>
      <c r="C705" s="60" t="n"/>
      <c r="D705" s="86" t="n"/>
      <c r="E705" s="63" t="n"/>
      <c r="F705" s="60" t="n"/>
      <c r="G705" s="60" t="n"/>
      <c r="H705" s="71">
        <f>IF(OR($C705="",$D705=""),"",IF(ISNUMBER($E705),$E705,IF($O705="","",IF(N(INDEX('Menu Pricing'!$O$7:$O$56,$O705))&gt;0,INDEX('Menu Pricing'!$O$7:$O$56,$O705),""))))</f>
        <v/>
      </c>
      <c r="I705" s="71">
        <f>IF($N705&lt;&gt;"OK","",$D705*$H705)</f>
        <v/>
      </c>
      <c r="J705" s="71">
        <f>IF($N705&lt;&gt;"OK","",N(INDEX('Menu Pricing'!$F$7:$F$56,$O705))+N(INDEX('Menu Pricing'!$G$7:$G$56,$O705))+N(INDEX('Menu Pricing'!$J$7:$J$56,$O705)))</f>
        <v/>
      </c>
      <c r="K705" s="71">
        <f>IF($N705&lt;&gt;"OK","",$D705*$J705)</f>
        <v/>
      </c>
      <c r="L705" s="71">
        <f>IF($N705&lt;&gt;"OK","",$I705-$K705)</f>
        <v/>
      </c>
      <c r="M705" s="71">
        <f>IF($N705&lt;&gt;"OK","",$D705*N(INDEX('Menu Pricing'!$F$7:$F$56,$O705)))</f>
        <v/>
      </c>
      <c r="N705" s="80">
        <f>IF(AND($B705="",$C705="",$D705=""),"",IF(NOT(ISNUMBER($B705)),"Enter a valid date",IF($C705="","Pick a menu item",IF($O705="","Item not on Menu Pricing",IF(N($D705)&lt;=0,"Qty must be above 0",IF($H705="","No price on menu","OK"))))))</f>
        <v/>
      </c>
      <c r="O705" s="13">
        <f>IF($C705="","",IFERROR(MATCH($C705,'Menu Pricing'!$B$7:$B$56,0),""))</f>
        <v/>
      </c>
    </row>
    <row r="706" ht="17" customHeight="1">
      <c r="B706" s="66" t="n"/>
      <c r="C706" s="60" t="n"/>
      <c r="D706" s="86" t="n"/>
      <c r="E706" s="63" t="n"/>
      <c r="F706" s="60" t="n"/>
      <c r="G706" s="60" t="n"/>
      <c r="H706" s="71">
        <f>IF(OR($C706="",$D706=""),"",IF(ISNUMBER($E706),$E706,IF($O706="","",IF(N(INDEX('Menu Pricing'!$O$7:$O$56,$O706))&gt;0,INDEX('Menu Pricing'!$O$7:$O$56,$O706),""))))</f>
        <v/>
      </c>
      <c r="I706" s="71">
        <f>IF($N706&lt;&gt;"OK","",$D706*$H706)</f>
        <v/>
      </c>
      <c r="J706" s="71">
        <f>IF($N706&lt;&gt;"OK","",N(INDEX('Menu Pricing'!$F$7:$F$56,$O706))+N(INDEX('Menu Pricing'!$G$7:$G$56,$O706))+N(INDEX('Menu Pricing'!$J$7:$J$56,$O706)))</f>
        <v/>
      </c>
      <c r="K706" s="71">
        <f>IF($N706&lt;&gt;"OK","",$D706*$J706)</f>
        <v/>
      </c>
      <c r="L706" s="71">
        <f>IF($N706&lt;&gt;"OK","",$I706-$K706)</f>
        <v/>
      </c>
      <c r="M706" s="71">
        <f>IF($N706&lt;&gt;"OK","",$D706*N(INDEX('Menu Pricing'!$F$7:$F$56,$O706)))</f>
        <v/>
      </c>
      <c r="N706" s="80">
        <f>IF(AND($B706="",$C706="",$D706=""),"",IF(NOT(ISNUMBER($B706)),"Enter a valid date",IF($C706="","Pick a menu item",IF($O706="","Item not on Menu Pricing",IF(N($D706)&lt;=0,"Qty must be above 0",IF($H706="","No price on menu","OK"))))))</f>
        <v/>
      </c>
      <c r="O706" s="13">
        <f>IF($C706="","",IFERROR(MATCH($C706,'Menu Pricing'!$B$7:$B$56,0),""))</f>
        <v/>
      </c>
    </row>
    <row r="707" ht="17" customHeight="1">
      <c r="B707" s="66" t="n"/>
      <c r="C707" s="60" t="n"/>
      <c r="D707" s="86" t="n"/>
      <c r="E707" s="63" t="n"/>
      <c r="F707" s="60" t="n"/>
      <c r="G707" s="60" t="n"/>
      <c r="H707" s="71">
        <f>IF(OR($C707="",$D707=""),"",IF(ISNUMBER($E707),$E707,IF($O707="","",IF(N(INDEX('Menu Pricing'!$O$7:$O$56,$O707))&gt;0,INDEX('Menu Pricing'!$O$7:$O$56,$O707),""))))</f>
        <v/>
      </c>
      <c r="I707" s="71">
        <f>IF($N707&lt;&gt;"OK","",$D707*$H707)</f>
        <v/>
      </c>
      <c r="J707" s="71">
        <f>IF($N707&lt;&gt;"OK","",N(INDEX('Menu Pricing'!$F$7:$F$56,$O707))+N(INDEX('Menu Pricing'!$G$7:$G$56,$O707))+N(INDEX('Menu Pricing'!$J$7:$J$56,$O707)))</f>
        <v/>
      </c>
      <c r="K707" s="71">
        <f>IF($N707&lt;&gt;"OK","",$D707*$J707)</f>
        <v/>
      </c>
      <c r="L707" s="71">
        <f>IF($N707&lt;&gt;"OK","",$I707-$K707)</f>
        <v/>
      </c>
      <c r="M707" s="71">
        <f>IF($N707&lt;&gt;"OK","",$D707*N(INDEX('Menu Pricing'!$F$7:$F$56,$O707)))</f>
        <v/>
      </c>
      <c r="N707" s="80">
        <f>IF(AND($B707="",$C707="",$D707=""),"",IF(NOT(ISNUMBER($B707)),"Enter a valid date",IF($C707="","Pick a menu item",IF($O707="","Item not on Menu Pricing",IF(N($D707)&lt;=0,"Qty must be above 0",IF($H707="","No price on menu","OK"))))))</f>
        <v/>
      </c>
      <c r="O707" s="13">
        <f>IF($C707="","",IFERROR(MATCH($C707,'Menu Pricing'!$B$7:$B$56,0),""))</f>
        <v/>
      </c>
    </row>
    <row r="708" ht="17" customHeight="1">
      <c r="B708" s="66" t="n"/>
      <c r="C708" s="60" t="n"/>
      <c r="D708" s="86" t="n"/>
      <c r="E708" s="63" t="n"/>
      <c r="F708" s="60" t="n"/>
      <c r="G708" s="60" t="n"/>
      <c r="H708" s="71">
        <f>IF(OR($C708="",$D708=""),"",IF(ISNUMBER($E708),$E708,IF($O708="","",IF(N(INDEX('Menu Pricing'!$O$7:$O$56,$O708))&gt;0,INDEX('Menu Pricing'!$O$7:$O$56,$O708),""))))</f>
        <v/>
      </c>
      <c r="I708" s="71">
        <f>IF($N708&lt;&gt;"OK","",$D708*$H708)</f>
        <v/>
      </c>
      <c r="J708" s="71">
        <f>IF($N708&lt;&gt;"OK","",N(INDEX('Menu Pricing'!$F$7:$F$56,$O708))+N(INDEX('Menu Pricing'!$G$7:$G$56,$O708))+N(INDEX('Menu Pricing'!$J$7:$J$56,$O708)))</f>
        <v/>
      </c>
      <c r="K708" s="71">
        <f>IF($N708&lt;&gt;"OK","",$D708*$J708)</f>
        <v/>
      </c>
      <c r="L708" s="71">
        <f>IF($N708&lt;&gt;"OK","",$I708-$K708)</f>
        <v/>
      </c>
      <c r="M708" s="71">
        <f>IF($N708&lt;&gt;"OK","",$D708*N(INDEX('Menu Pricing'!$F$7:$F$56,$O708)))</f>
        <v/>
      </c>
      <c r="N708" s="80">
        <f>IF(AND($B708="",$C708="",$D708=""),"",IF(NOT(ISNUMBER($B708)),"Enter a valid date",IF($C708="","Pick a menu item",IF($O708="","Item not on Menu Pricing",IF(N($D708)&lt;=0,"Qty must be above 0",IF($H708="","No price on menu","OK"))))))</f>
        <v/>
      </c>
      <c r="O708" s="13">
        <f>IF($C708="","",IFERROR(MATCH($C708,'Menu Pricing'!$B$7:$B$56,0),""))</f>
        <v/>
      </c>
    </row>
    <row r="709" ht="17" customHeight="1">
      <c r="B709" s="66" t="n"/>
      <c r="C709" s="60" t="n"/>
      <c r="D709" s="86" t="n"/>
      <c r="E709" s="63" t="n"/>
      <c r="F709" s="60" t="n"/>
      <c r="G709" s="60" t="n"/>
      <c r="H709" s="71">
        <f>IF(OR($C709="",$D709=""),"",IF(ISNUMBER($E709),$E709,IF($O709="","",IF(N(INDEX('Menu Pricing'!$O$7:$O$56,$O709))&gt;0,INDEX('Menu Pricing'!$O$7:$O$56,$O709),""))))</f>
        <v/>
      </c>
      <c r="I709" s="71">
        <f>IF($N709&lt;&gt;"OK","",$D709*$H709)</f>
        <v/>
      </c>
      <c r="J709" s="71">
        <f>IF($N709&lt;&gt;"OK","",N(INDEX('Menu Pricing'!$F$7:$F$56,$O709))+N(INDEX('Menu Pricing'!$G$7:$G$56,$O709))+N(INDEX('Menu Pricing'!$J$7:$J$56,$O709)))</f>
        <v/>
      </c>
      <c r="K709" s="71">
        <f>IF($N709&lt;&gt;"OK","",$D709*$J709)</f>
        <v/>
      </c>
      <c r="L709" s="71">
        <f>IF($N709&lt;&gt;"OK","",$I709-$K709)</f>
        <v/>
      </c>
      <c r="M709" s="71">
        <f>IF($N709&lt;&gt;"OK","",$D709*N(INDEX('Menu Pricing'!$F$7:$F$56,$O709)))</f>
        <v/>
      </c>
      <c r="N709" s="80">
        <f>IF(AND($B709="",$C709="",$D709=""),"",IF(NOT(ISNUMBER($B709)),"Enter a valid date",IF($C709="","Pick a menu item",IF($O709="","Item not on Menu Pricing",IF(N($D709)&lt;=0,"Qty must be above 0",IF($H709="","No price on menu","OK"))))))</f>
        <v/>
      </c>
      <c r="O709" s="13">
        <f>IF($C709="","",IFERROR(MATCH($C709,'Menu Pricing'!$B$7:$B$56,0),""))</f>
        <v/>
      </c>
    </row>
    <row r="710" ht="17" customHeight="1">
      <c r="B710" s="66" t="n"/>
      <c r="C710" s="60" t="n"/>
      <c r="D710" s="86" t="n"/>
      <c r="E710" s="63" t="n"/>
      <c r="F710" s="60" t="n"/>
      <c r="G710" s="60" t="n"/>
      <c r="H710" s="71">
        <f>IF(OR($C710="",$D710=""),"",IF(ISNUMBER($E710),$E710,IF($O710="","",IF(N(INDEX('Menu Pricing'!$O$7:$O$56,$O710))&gt;0,INDEX('Menu Pricing'!$O$7:$O$56,$O710),""))))</f>
        <v/>
      </c>
      <c r="I710" s="71">
        <f>IF($N710&lt;&gt;"OK","",$D710*$H710)</f>
        <v/>
      </c>
      <c r="J710" s="71">
        <f>IF($N710&lt;&gt;"OK","",N(INDEX('Menu Pricing'!$F$7:$F$56,$O710))+N(INDEX('Menu Pricing'!$G$7:$G$56,$O710))+N(INDEX('Menu Pricing'!$J$7:$J$56,$O710)))</f>
        <v/>
      </c>
      <c r="K710" s="71">
        <f>IF($N710&lt;&gt;"OK","",$D710*$J710)</f>
        <v/>
      </c>
      <c r="L710" s="71">
        <f>IF($N710&lt;&gt;"OK","",$I710-$K710)</f>
        <v/>
      </c>
      <c r="M710" s="71">
        <f>IF($N710&lt;&gt;"OK","",$D710*N(INDEX('Menu Pricing'!$F$7:$F$56,$O710)))</f>
        <v/>
      </c>
      <c r="N710" s="80">
        <f>IF(AND($B710="",$C710="",$D710=""),"",IF(NOT(ISNUMBER($B710)),"Enter a valid date",IF($C710="","Pick a menu item",IF($O710="","Item not on Menu Pricing",IF(N($D710)&lt;=0,"Qty must be above 0",IF($H710="","No price on menu","OK"))))))</f>
        <v/>
      </c>
      <c r="O710" s="13">
        <f>IF($C710="","",IFERROR(MATCH($C710,'Menu Pricing'!$B$7:$B$56,0),""))</f>
        <v/>
      </c>
    </row>
    <row r="711" ht="17" customHeight="1">
      <c r="B711" s="66" t="n"/>
      <c r="C711" s="60" t="n"/>
      <c r="D711" s="86" t="n"/>
      <c r="E711" s="63" t="n"/>
      <c r="F711" s="60" t="n"/>
      <c r="G711" s="60" t="n"/>
      <c r="H711" s="71">
        <f>IF(OR($C711="",$D711=""),"",IF(ISNUMBER($E711),$E711,IF($O711="","",IF(N(INDEX('Menu Pricing'!$O$7:$O$56,$O711))&gt;0,INDEX('Menu Pricing'!$O$7:$O$56,$O711),""))))</f>
        <v/>
      </c>
      <c r="I711" s="71">
        <f>IF($N711&lt;&gt;"OK","",$D711*$H711)</f>
        <v/>
      </c>
      <c r="J711" s="71">
        <f>IF($N711&lt;&gt;"OK","",N(INDEX('Menu Pricing'!$F$7:$F$56,$O711))+N(INDEX('Menu Pricing'!$G$7:$G$56,$O711))+N(INDEX('Menu Pricing'!$J$7:$J$56,$O711)))</f>
        <v/>
      </c>
      <c r="K711" s="71">
        <f>IF($N711&lt;&gt;"OK","",$D711*$J711)</f>
        <v/>
      </c>
      <c r="L711" s="71">
        <f>IF($N711&lt;&gt;"OK","",$I711-$K711)</f>
        <v/>
      </c>
      <c r="M711" s="71">
        <f>IF($N711&lt;&gt;"OK","",$D711*N(INDEX('Menu Pricing'!$F$7:$F$56,$O711)))</f>
        <v/>
      </c>
      <c r="N711" s="80">
        <f>IF(AND($B711="",$C711="",$D711=""),"",IF(NOT(ISNUMBER($B711)),"Enter a valid date",IF($C711="","Pick a menu item",IF($O711="","Item not on Menu Pricing",IF(N($D711)&lt;=0,"Qty must be above 0",IF($H711="","No price on menu","OK"))))))</f>
        <v/>
      </c>
      <c r="O711" s="13">
        <f>IF($C711="","",IFERROR(MATCH($C711,'Menu Pricing'!$B$7:$B$56,0),""))</f>
        <v/>
      </c>
    </row>
    <row r="712" ht="17" customHeight="1">
      <c r="B712" s="66" t="n"/>
      <c r="C712" s="60" t="n"/>
      <c r="D712" s="86" t="n"/>
      <c r="E712" s="63" t="n"/>
      <c r="F712" s="60" t="n"/>
      <c r="G712" s="60" t="n"/>
      <c r="H712" s="71">
        <f>IF(OR($C712="",$D712=""),"",IF(ISNUMBER($E712),$E712,IF($O712="","",IF(N(INDEX('Menu Pricing'!$O$7:$O$56,$O712))&gt;0,INDEX('Menu Pricing'!$O$7:$O$56,$O712),""))))</f>
        <v/>
      </c>
      <c r="I712" s="71">
        <f>IF($N712&lt;&gt;"OK","",$D712*$H712)</f>
        <v/>
      </c>
      <c r="J712" s="71">
        <f>IF($N712&lt;&gt;"OK","",N(INDEX('Menu Pricing'!$F$7:$F$56,$O712))+N(INDEX('Menu Pricing'!$G$7:$G$56,$O712))+N(INDEX('Menu Pricing'!$J$7:$J$56,$O712)))</f>
        <v/>
      </c>
      <c r="K712" s="71">
        <f>IF($N712&lt;&gt;"OK","",$D712*$J712)</f>
        <v/>
      </c>
      <c r="L712" s="71">
        <f>IF($N712&lt;&gt;"OK","",$I712-$K712)</f>
        <v/>
      </c>
      <c r="M712" s="71">
        <f>IF($N712&lt;&gt;"OK","",$D712*N(INDEX('Menu Pricing'!$F$7:$F$56,$O712)))</f>
        <v/>
      </c>
      <c r="N712" s="80">
        <f>IF(AND($B712="",$C712="",$D712=""),"",IF(NOT(ISNUMBER($B712)),"Enter a valid date",IF($C712="","Pick a menu item",IF($O712="","Item not on Menu Pricing",IF(N($D712)&lt;=0,"Qty must be above 0",IF($H712="","No price on menu","OK"))))))</f>
        <v/>
      </c>
      <c r="O712" s="13">
        <f>IF($C712="","",IFERROR(MATCH($C712,'Menu Pricing'!$B$7:$B$56,0),""))</f>
        <v/>
      </c>
    </row>
    <row r="713" ht="17" customHeight="1">
      <c r="B713" s="66" t="n"/>
      <c r="C713" s="60" t="n"/>
      <c r="D713" s="86" t="n"/>
      <c r="E713" s="63" t="n"/>
      <c r="F713" s="60" t="n"/>
      <c r="G713" s="60" t="n"/>
      <c r="H713" s="71">
        <f>IF(OR($C713="",$D713=""),"",IF(ISNUMBER($E713),$E713,IF($O713="","",IF(N(INDEX('Menu Pricing'!$O$7:$O$56,$O713))&gt;0,INDEX('Menu Pricing'!$O$7:$O$56,$O713),""))))</f>
        <v/>
      </c>
      <c r="I713" s="71">
        <f>IF($N713&lt;&gt;"OK","",$D713*$H713)</f>
        <v/>
      </c>
      <c r="J713" s="71">
        <f>IF($N713&lt;&gt;"OK","",N(INDEX('Menu Pricing'!$F$7:$F$56,$O713))+N(INDEX('Menu Pricing'!$G$7:$G$56,$O713))+N(INDEX('Menu Pricing'!$J$7:$J$56,$O713)))</f>
        <v/>
      </c>
      <c r="K713" s="71">
        <f>IF($N713&lt;&gt;"OK","",$D713*$J713)</f>
        <v/>
      </c>
      <c r="L713" s="71">
        <f>IF($N713&lt;&gt;"OK","",$I713-$K713)</f>
        <v/>
      </c>
      <c r="M713" s="71">
        <f>IF($N713&lt;&gt;"OK","",$D713*N(INDEX('Menu Pricing'!$F$7:$F$56,$O713)))</f>
        <v/>
      </c>
      <c r="N713" s="80">
        <f>IF(AND($B713="",$C713="",$D713=""),"",IF(NOT(ISNUMBER($B713)),"Enter a valid date",IF($C713="","Pick a menu item",IF($O713="","Item not on Menu Pricing",IF(N($D713)&lt;=0,"Qty must be above 0",IF($H713="","No price on menu","OK"))))))</f>
        <v/>
      </c>
      <c r="O713" s="13">
        <f>IF($C713="","",IFERROR(MATCH($C713,'Menu Pricing'!$B$7:$B$56,0),""))</f>
        <v/>
      </c>
    </row>
    <row r="714" ht="17" customHeight="1">
      <c r="B714" s="66" t="n"/>
      <c r="C714" s="60" t="n"/>
      <c r="D714" s="86" t="n"/>
      <c r="E714" s="63" t="n"/>
      <c r="F714" s="60" t="n"/>
      <c r="G714" s="60" t="n"/>
      <c r="H714" s="71">
        <f>IF(OR($C714="",$D714=""),"",IF(ISNUMBER($E714),$E714,IF($O714="","",IF(N(INDEX('Menu Pricing'!$O$7:$O$56,$O714))&gt;0,INDEX('Menu Pricing'!$O$7:$O$56,$O714),""))))</f>
        <v/>
      </c>
      <c r="I714" s="71">
        <f>IF($N714&lt;&gt;"OK","",$D714*$H714)</f>
        <v/>
      </c>
      <c r="J714" s="71">
        <f>IF($N714&lt;&gt;"OK","",N(INDEX('Menu Pricing'!$F$7:$F$56,$O714))+N(INDEX('Menu Pricing'!$G$7:$G$56,$O714))+N(INDEX('Menu Pricing'!$J$7:$J$56,$O714)))</f>
        <v/>
      </c>
      <c r="K714" s="71">
        <f>IF($N714&lt;&gt;"OK","",$D714*$J714)</f>
        <v/>
      </c>
      <c r="L714" s="71">
        <f>IF($N714&lt;&gt;"OK","",$I714-$K714)</f>
        <v/>
      </c>
      <c r="M714" s="71">
        <f>IF($N714&lt;&gt;"OK","",$D714*N(INDEX('Menu Pricing'!$F$7:$F$56,$O714)))</f>
        <v/>
      </c>
      <c r="N714" s="80">
        <f>IF(AND($B714="",$C714="",$D714=""),"",IF(NOT(ISNUMBER($B714)),"Enter a valid date",IF($C714="","Pick a menu item",IF($O714="","Item not on Menu Pricing",IF(N($D714)&lt;=0,"Qty must be above 0",IF($H714="","No price on menu","OK"))))))</f>
        <v/>
      </c>
      <c r="O714" s="13">
        <f>IF($C714="","",IFERROR(MATCH($C714,'Menu Pricing'!$B$7:$B$56,0),""))</f>
        <v/>
      </c>
    </row>
    <row r="715" ht="17" customHeight="1">
      <c r="B715" s="66" t="n"/>
      <c r="C715" s="60" t="n"/>
      <c r="D715" s="86" t="n"/>
      <c r="E715" s="63" t="n"/>
      <c r="F715" s="60" t="n"/>
      <c r="G715" s="60" t="n"/>
      <c r="H715" s="71">
        <f>IF(OR($C715="",$D715=""),"",IF(ISNUMBER($E715),$E715,IF($O715="","",IF(N(INDEX('Menu Pricing'!$O$7:$O$56,$O715))&gt;0,INDEX('Menu Pricing'!$O$7:$O$56,$O715),""))))</f>
        <v/>
      </c>
      <c r="I715" s="71">
        <f>IF($N715&lt;&gt;"OK","",$D715*$H715)</f>
        <v/>
      </c>
      <c r="J715" s="71">
        <f>IF($N715&lt;&gt;"OK","",N(INDEX('Menu Pricing'!$F$7:$F$56,$O715))+N(INDEX('Menu Pricing'!$G$7:$G$56,$O715))+N(INDEX('Menu Pricing'!$J$7:$J$56,$O715)))</f>
        <v/>
      </c>
      <c r="K715" s="71">
        <f>IF($N715&lt;&gt;"OK","",$D715*$J715)</f>
        <v/>
      </c>
      <c r="L715" s="71">
        <f>IF($N715&lt;&gt;"OK","",$I715-$K715)</f>
        <v/>
      </c>
      <c r="M715" s="71">
        <f>IF($N715&lt;&gt;"OK","",$D715*N(INDEX('Menu Pricing'!$F$7:$F$56,$O715)))</f>
        <v/>
      </c>
      <c r="N715" s="80">
        <f>IF(AND($B715="",$C715="",$D715=""),"",IF(NOT(ISNUMBER($B715)),"Enter a valid date",IF($C715="","Pick a menu item",IF($O715="","Item not on Menu Pricing",IF(N($D715)&lt;=0,"Qty must be above 0",IF($H715="","No price on menu","OK"))))))</f>
        <v/>
      </c>
      <c r="O715" s="13">
        <f>IF($C715="","",IFERROR(MATCH($C715,'Menu Pricing'!$B$7:$B$56,0),""))</f>
        <v/>
      </c>
    </row>
    <row r="716" ht="17" customHeight="1">
      <c r="B716" s="66" t="n"/>
      <c r="C716" s="60" t="n"/>
      <c r="D716" s="86" t="n"/>
      <c r="E716" s="63" t="n"/>
      <c r="F716" s="60" t="n"/>
      <c r="G716" s="60" t="n"/>
      <c r="H716" s="71">
        <f>IF(OR($C716="",$D716=""),"",IF(ISNUMBER($E716),$E716,IF($O716="","",IF(N(INDEX('Menu Pricing'!$O$7:$O$56,$O716))&gt;0,INDEX('Menu Pricing'!$O$7:$O$56,$O716),""))))</f>
        <v/>
      </c>
      <c r="I716" s="71">
        <f>IF($N716&lt;&gt;"OK","",$D716*$H716)</f>
        <v/>
      </c>
      <c r="J716" s="71">
        <f>IF($N716&lt;&gt;"OK","",N(INDEX('Menu Pricing'!$F$7:$F$56,$O716))+N(INDEX('Menu Pricing'!$G$7:$G$56,$O716))+N(INDEX('Menu Pricing'!$J$7:$J$56,$O716)))</f>
        <v/>
      </c>
      <c r="K716" s="71">
        <f>IF($N716&lt;&gt;"OK","",$D716*$J716)</f>
        <v/>
      </c>
      <c r="L716" s="71">
        <f>IF($N716&lt;&gt;"OK","",$I716-$K716)</f>
        <v/>
      </c>
      <c r="M716" s="71">
        <f>IF($N716&lt;&gt;"OK","",$D716*N(INDEX('Menu Pricing'!$F$7:$F$56,$O716)))</f>
        <v/>
      </c>
      <c r="N716" s="80">
        <f>IF(AND($B716="",$C716="",$D716=""),"",IF(NOT(ISNUMBER($B716)),"Enter a valid date",IF($C716="","Pick a menu item",IF($O716="","Item not on Menu Pricing",IF(N($D716)&lt;=0,"Qty must be above 0",IF($H716="","No price on menu","OK"))))))</f>
        <v/>
      </c>
      <c r="O716" s="13">
        <f>IF($C716="","",IFERROR(MATCH($C716,'Menu Pricing'!$B$7:$B$56,0),""))</f>
        <v/>
      </c>
    </row>
    <row r="717" ht="17" customHeight="1">
      <c r="B717" s="66" t="n"/>
      <c r="C717" s="60" t="n"/>
      <c r="D717" s="86" t="n"/>
      <c r="E717" s="63" t="n"/>
      <c r="F717" s="60" t="n"/>
      <c r="G717" s="60" t="n"/>
      <c r="H717" s="71">
        <f>IF(OR($C717="",$D717=""),"",IF(ISNUMBER($E717),$E717,IF($O717="","",IF(N(INDEX('Menu Pricing'!$O$7:$O$56,$O717))&gt;0,INDEX('Menu Pricing'!$O$7:$O$56,$O717),""))))</f>
        <v/>
      </c>
      <c r="I717" s="71">
        <f>IF($N717&lt;&gt;"OK","",$D717*$H717)</f>
        <v/>
      </c>
      <c r="J717" s="71">
        <f>IF($N717&lt;&gt;"OK","",N(INDEX('Menu Pricing'!$F$7:$F$56,$O717))+N(INDEX('Menu Pricing'!$G$7:$G$56,$O717))+N(INDEX('Menu Pricing'!$J$7:$J$56,$O717)))</f>
        <v/>
      </c>
      <c r="K717" s="71">
        <f>IF($N717&lt;&gt;"OK","",$D717*$J717)</f>
        <v/>
      </c>
      <c r="L717" s="71">
        <f>IF($N717&lt;&gt;"OK","",$I717-$K717)</f>
        <v/>
      </c>
      <c r="M717" s="71">
        <f>IF($N717&lt;&gt;"OK","",$D717*N(INDEX('Menu Pricing'!$F$7:$F$56,$O717)))</f>
        <v/>
      </c>
      <c r="N717" s="80">
        <f>IF(AND($B717="",$C717="",$D717=""),"",IF(NOT(ISNUMBER($B717)),"Enter a valid date",IF($C717="","Pick a menu item",IF($O717="","Item not on Menu Pricing",IF(N($D717)&lt;=0,"Qty must be above 0",IF($H717="","No price on menu","OK"))))))</f>
        <v/>
      </c>
      <c r="O717" s="13">
        <f>IF($C717="","",IFERROR(MATCH($C717,'Menu Pricing'!$B$7:$B$56,0),""))</f>
        <v/>
      </c>
    </row>
    <row r="718" ht="17" customHeight="1">
      <c r="B718" s="66" t="n"/>
      <c r="C718" s="60" t="n"/>
      <c r="D718" s="86" t="n"/>
      <c r="E718" s="63" t="n"/>
      <c r="F718" s="60" t="n"/>
      <c r="G718" s="60" t="n"/>
      <c r="H718" s="71">
        <f>IF(OR($C718="",$D718=""),"",IF(ISNUMBER($E718),$E718,IF($O718="","",IF(N(INDEX('Menu Pricing'!$O$7:$O$56,$O718))&gt;0,INDEX('Menu Pricing'!$O$7:$O$56,$O718),""))))</f>
        <v/>
      </c>
      <c r="I718" s="71">
        <f>IF($N718&lt;&gt;"OK","",$D718*$H718)</f>
        <v/>
      </c>
      <c r="J718" s="71">
        <f>IF($N718&lt;&gt;"OK","",N(INDEX('Menu Pricing'!$F$7:$F$56,$O718))+N(INDEX('Menu Pricing'!$G$7:$G$56,$O718))+N(INDEX('Menu Pricing'!$J$7:$J$56,$O718)))</f>
        <v/>
      </c>
      <c r="K718" s="71">
        <f>IF($N718&lt;&gt;"OK","",$D718*$J718)</f>
        <v/>
      </c>
      <c r="L718" s="71">
        <f>IF($N718&lt;&gt;"OK","",$I718-$K718)</f>
        <v/>
      </c>
      <c r="M718" s="71">
        <f>IF($N718&lt;&gt;"OK","",$D718*N(INDEX('Menu Pricing'!$F$7:$F$56,$O718)))</f>
        <v/>
      </c>
      <c r="N718" s="80">
        <f>IF(AND($B718="",$C718="",$D718=""),"",IF(NOT(ISNUMBER($B718)),"Enter a valid date",IF($C718="","Pick a menu item",IF($O718="","Item not on Menu Pricing",IF(N($D718)&lt;=0,"Qty must be above 0",IF($H718="","No price on menu","OK"))))))</f>
        <v/>
      </c>
      <c r="O718" s="13">
        <f>IF($C718="","",IFERROR(MATCH($C718,'Menu Pricing'!$B$7:$B$56,0),""))</f>
        <v/>
      </c>
    </row>
    <row r="719" ht="17" customHeight="1">
      <c r="B719" s="66" t="n"/>
      <c r="C719" s="60" t="n"/>
      <c r="D719" s="86" t="n"/>
      <c r="E719" s="63" t="n"/>
      <c r="F719" s="60" t="n"/>
      <c r="G719" s="60" t="n"/>
      <c r="H719" s="71">
        <f>IF(OR($C719="",$D719=""),"",IF(ISNUMBER($E719),$E719,IF($O719="","",IF(N(INDEX('Menu Pricing'!$O$7:$O$56,$O719))&gt;0,INDEX('Menu Pricing'!$O$7:$O$56,$O719),""))))</f>
        <v/>
      </c>
      <c r="I719" s="71">
        <f>IF($N719&lt;&gt;"OK","",$D719*$H719)</f>
        <v/>
      </c>
      <c r="J719" s="71">
        <f>IF($N719&lt;&gt;"OK","",N(INDEX('Menu Pricing'!$F$7:$F$56,$O719))+N(INDEX('Menu Pricing'!$G$7:$G$56,$O719))+N(INDEX('Menu Pricing'!$J$7:$J$56,$O719)))</f>
        <v/>
      </c>
      <c r="K719" s="71">
        <f>IF($N719&lt;&gt;"OK","",$D719*$J719)</f>
        <v/>
      </c>
      <c r="L719" s="71">
        <f>IF($N719&lt;&gt;"OK","",$I719-$K719)</f>
        <v/>
      </c>
      <c r="M719" s="71">
        <f>IF($N719&lt;&gt;"OK","",$D719*N(INDEX('Menu Pricing'!$F$7:$F$56,$O719)))</f>
        <v/>
      </c>
      <c r="N719" s="80">
        <f>IF(AND($B719="",$C719="",$D719=""),"",IF(NOT(ISNUMBER($B719)),"Enter a valid date",IF($C719="","Pick a menu item",IF($O719="","Item not on Menu Pricing",IF(N($D719)&lt;=0,"Qty must be above 0",IF($H719="","No price on menu","OK"))))))</f>
        <v/>
      </c>
      <c r="O719" s="13">
        <f>IF($C719="","",IFERROR(MATCH($C719,'Menu Pricing'!$B$7:$B$56,0),""))</f>
        <v/>
      </c>
    </row>
    <row r="720" ht="17" customHeight="1">
      <c r="B720" s="66" t="n"/>
      <c r="C720" s="60" t="n"/>
      <c r="D720" s="86" t="n"/>
      <c r="E720" s="63" t="n"/>
      <c r="F720" s="60" t="n"/>
      <c r="G720" s="60" t="n"/>
      <c r="H720" s="71">
        <f>IF(OR($C720="",$D720=""),"",IF(ISNUMBER($E720),$E720,IF($O720="","",IF(N(INDEX('Menu Pricing'!$O$7:$O$56,$O720))&gt;0,INDEX('Menu Pricing'!$O$7:$O$56,$O720),""))))</f>
        <v/>
      </c>
      <c r="I720" s="71">
        <f>IF($N720&lt;&gt;"OK","",$D720*$H720)</f>
        <v/>
      </c>
      <c r="J720" s="71">
        <f>IF($N720&lt;&gt;"OK","",N(INDEX('Menu Pricing'!$F$7:$F$56,$O720))+N(INDEX('Menu Pricing'!$G$7:$G$56,$O720))+N(INDEX('Menu Pricing'!$J$7:$J$56,$O720)))</f>
        <v/>
      </c>
      <c r="K720" s="71">
        <f>IF($N720&lt;&gt;"OK","",$D720*$J720)</f>
        <v/>
      </c>
      <c r="L720" s="71">
        <f>IF($N720&lt;&gt;"OK","",$I720-$K720)</f>
        <v/>
      </c>
      <c r="M720" s="71">
        <f>IF($N720&lt;&gt;"OK","",$D720*N(INDEX('Menu Pricing'!$F$7:$F$56,$O720)))</f>
        <v/>
      </c>
      <c r="N720" s="80">
        <f>IF(AND($B720="",$C720="",$D720=""),"",IF(NOT(ISNUMBER($B720)),"Enter a valid date",IF($C720="","Pick a menu item",IF($O720="","Item not on Menu Pricing",IF(N($D720)&lt;=0,"Qty must be above 0",IF($H720="","No price on menu","OK"))))))</f>
        <v/>
      </c>
      <c r="O720" s="13">
        <f>IF($C720="","",IFERROR(MATCH($C720,'Menu Pricing'!$B$7:$B$56,0),""))</f>
        <v/>
      </c>
    </row>
    <row r="721" ht="17" customHeight="1">
      <c r="B721" s="66" t="n"/>
      <c r="C721" s="60" t="n"/>
      <c r="D721" s="86" t="n"/>
      <c r="E721" s="63" t="n"/>
      <c r="F721" s="60" t="n"/>
      <c r="G721" s="60" t="n"/>
      <c r="H721" s="71">
        <f>IF(OR($C721="",$D721=""),"",IF(ISNUMBER($E721),$E721,IF($O721="","",IF(N(INDEX('Menu Pricing'!$O$7:$O$56,$O721))&gt;0,INDEX('Menu Pricing'!$O$7:$O$56,$O721),""))))</f>
        <v/>
      </c>
      <c r="I721" s="71">
        <f>IF($N721&lt;&gt;"OK","",$D721*$H721)</f>
        <v/>
      </c>
      <c r="J721" s="71">
        <f>IF($N721&lt;&gt;"OK","",N(INDEX('Menu Pricing'!$F$7:$F$56,$O721))+N(INDEX('Menu Pricing'!$G$7:$G$56,$O721))+N(INDEX('Menu Pricing'!$J$7:$J$56,$O721)))</f>
        <v/>
      </c>
      <c r="K721" s="71">
        <f>IF($N721&lt;&gt;"OK","",$D721*$J721)</f>
        <v/>
      </c>
      <c r="L721" s="71">
        <f>IF($N721&lt;&gt;"OK","",$I721-$K721)</f>
        <v/>
      </c>
      <c r="M721" s="71">
        <f>IF($N721&lt;&gt;"OK","",$D721*N(INDEX('Menu Pricing'!$F$7:$F$56,$O721)))</f>
        <v/>
      </c>
      <c r="N721" s="80">
        <f>IF(AND($B721="",$C721="",$D721=""),"",IF(NOT(ISNUMBER($B721)),"Enter a valid date",IF($C721="","Pick a menu item",IF($O721="","Item not on Menu Pricing",IF(N($D721)&lt;=0,"Qty must be above 0",IF($H721="","No price on menu","OK"))))))</f>
        <v/>
      </c>
      <c r="O721" s="13">
        <f>IF($C721="","",IFERROR(MATCH($C721,'Menu Pricing'!$B$7:$B$56,0),""))</f>
        <v/>
      </c>
    </row>
    <row r="722" ht="17" customHeight="1">
      <c r="B722" s="66" t="n"/>
      <c r="C722" s="60" t="n"/>
      <c r="D722" s="86" t="n"/>
      <c r="E722" s="63" t="n"/>
      <c r="F722" s="60" t="n"/>
      <c r="G722" s="60" t="n"/>
      <c r="H722" s="71">
        <f>IF(OR($C722="",$D722=""),"",IF(ISNUMBER($E722),$E722,IF($O722="","",IF(N(INDEX('Menu Pricing'!$O$7:$O$56,$O722))&gt;0,INDEX('Menu Pricing'!$O$7:$O$56,$O722),""))))</f>
        <v/>
      </c>
      <c r="I722" s="71">
        <f>IF($N722&lt;&gt;"OK","",$D722*$H722)</f>
        <v/>
      </c>
      <c r="J722" s="71">
        <f>IF($N722&lt;&gt;"OK","",N(INDEX('Menu Pricing'!$F$7:$F$56,$O722))+N(INDEX('Menu Pricing'!$G$7:$G$56,$O722))+N(INDEX('Menu Pricing'!$J$7:$J$56,$O722)))</f>
        <v/>
      </c>
      <c r="K722" s="71">
        <f>IF($N722&lt;&gt;"OK","",$D722*$J722)</f>
        <v/>
      </c>
      <c r="L722" s="71">
        <f>IF($N722&lt;&gt;"OK","",$I722-$K722)</f>
        <v/>
      </c>
      <c r="M722" s="71">
        <f>IF($N722&lt;&gt;"OK","",$D722*N(INDEX('Menu Pricing'!$F$7:$F$56,$O722)))</f>
        <v/>
      </c>
      <c r="N722" s="80">
        <f>IF(AND($B722="",$C722="",$D722=""),"",IF(NOT(ISNUMBER($B722)),"Enter a valid date",IF($C722="","Pick a menu item",IF($O722="","Item not on Menu Pricing",IF(N($D722)&lt;=0,"Qty must be above 0",IF($H722="","No price on menu","OK"))))))</f>
        <v/>
      </c>
      <c r="O722" s="13">
        <f>IF($C722="","",IFERROR(MATCH($C722,'Menu Pricing'!$B$7:$B$56,0),""))</f>
        <v/>
      </c>
    </row>
    <row r="723" ht="17" customHeight="1">
      <c r="B723" s="66" t="n"/>
      <c r="C723" s="60" t="n"/>
      <c r="D723" s="86" t="n"/>
      <c r="E723" s="63" t="n"/>
      <c r="F723" s="60" t="n"/>
      <c r="G723" s="60" t="n"/>
      <c r="H723" s="71">
        <f>IF(OR($C723="",$D723=""),"",IF(ISNUMBER($E723),$E723,IF($O723="","",IF(N(INDEX('Menu Pricing'!$O$7:$O$56,$O723))&gt;0,INDEX('Menu Pricing'!$O$7:$O$56,$O723),""))))</f>
        <v/>
      </c>
      <c r="I723" s="71">
        <f>IF($N723&lt;&gt;"OK","",$D723*$H723)</f>
        <v/>
      </c>
      <c r="J723" s="71">
        <f>IF($N723&lt;&gt;"OK","",N(INDEX('Menu Pricing'!$F$7:$F$56,$O723))+N(INDEX('Menu Pricing'!$G$7:$G$56,$O723))+N(INDEX('Menu Pricing'!$J$7:$J$56,$O723)))</f>
        <v/>
      </c>
      <c r="K723" s="71">
        <f>IF($N723&lt;&gt;"OK","",$D723*$J723)</f>
        <v/>
      </c>
      <c r="L723" s="71">
        <f>IF($N723&lt;&gt;"OK","",$I723-$K723)</f>
        <v/>
      </c>
      <c r="M723" s="71">
        <f>IF($N723&lt;&gt;"OK","",$D723*N(INDEX('Menu Pricing'!$F$7:$F$56,$O723)))</f>
        <v/>
      </c>
      <c r="N723" s="80">
        <f>IF(AND($B723="",$C723="",$D723=""),"",IF(NOT(ISNUMBER($B723)),"Enter a valid date",IF($C723="","Pick a menu item",IF($O723="","Item not on Menu Pricing",IF(N($D723)&lt;=0,"Qty must be above 0",IF($H723="","No price on menu","OK"))))))</f>
        <v/>
      </c>
      <c r="O723" s="13">
        <f>IF($C723="","",IFERROR(MATCH($C723,'Menu Pricing'!$B$7:$B$56,0),""))</f>
        <v/>
      </c>
    </row>
    <row r="724" ht="17" customHeight="1">
      <c r="B724" s="66" t="n"/>
      <c r="C724" s="60" t="n"/>
      <c r="D724" s="86" t="n"/>
      <c r="E724" s="63" t="n"/>
      <c r="F724" s="60" t="n"/>
      <c r="G724" s="60" t="n"/>
      <c r="H724" s="71">
        <f>IF(OR($C724="",$D724=""),"",IF(ISNUMBER($E724),$E724,IF($O724="","",IF(N(INDEX('Menu Pricing'!$O$7:$O$56,$O724))&gt;0,INDEX('Menu Pricing'!$O$7:$O$56,$O724),""))))</f>
        <v/>
      </c>
      <c r="I724" s="71">
        <f>IF($N724&lt;&gt;"OK","",$D724*$H724)</f>
        <v/>
      </c>
      <c r="J724" s="71">
        <f>IF($N724&lt;&gt;"OK","",N(INDEX('Menu Pricing'!$F$7:$F$56,$O724))+N(INDEX('Menu Pricing'!$G$7:$G$56,$O724))+N(INDEX('Menu Pricing'!$J$7:$J$56,$O724)))</f>
        <v/>
      </c>
      <c r="K724" s="71">
        <f>IF($N724&lt;&gt;"OK","",$D724*$J724)</f>
        <v/>
      </c>
      <c r="L724" s="71">
        <f>IF($N724&lt;&gt;"OK","",$I724-$K724)</f>
        <v/>
      </c>
      <c r="M724" s="71">
        <f>IF($N724&lt;&gt;"OK","",$D724*N(INDEX('Menu Pricing'!$F$7:$F$56,$O724)))</f>
        <v/>
      </c>
      <c r="N724" s="80">
        <f>IF(AND($B724="",$C724="",$D724=""),"",IF(NOT(ISNUMBER($B724)),"Enter a valid date",IF($C724="","Pick a menu item",IF($O724="","Item not on Menu Pricing",IF(N($D724)&lt;=0,"Qty must be above 0",IF($H724="","No price on menu","OK"))))))</f>
        <v/>
      </c>
      <c r="O724" s="13">
        <f>IF($C724="","",IFERROR(MATCH($C724,'Menu Pricing'!$B$7:$B$56,0),""))</f>
        <v/>
      </c>
    </row>
    <row r="725" ht="17" customHeight="1">
      <c r="B725" s="66" t="n"/>
      <c r="C725" s="60" t="n"/>
      <c r="D725" s="86" t="n"/>
      <c r="E725" s="63" t="n"/>
      <c r="F725" s="60" t="n"/>
      <c r="G725" s="60" t="n"/>
      <c r="H725" s="71">
        <f>IF(OR($C725="",$D725=""),"",IF(ISNUMBER($E725),$E725,IF($O725="","",IF(N(INDEX('Menu Pricing'!$O$7:$O$56,$O725))&gt;0,INDEX('Menu Pricing'!$O$7:$O$56,$O725),""))))</f>
        <v/>
      </c>
      <c r="I725" s="71">
        <f>IF($N725&lt;&gt;"OK","",$D725*$H725)</f>
        <v/>
      </c>
      <c r="J725" s="71">
        <f>IF($N725&lt;&gt;"OK","",N(INDEX('Menu Pricing'!$F$7:$F$56,$O725))+N(INDEX('Menu Pricing'!$G$7:$G$56,$O725))+N(INDEX('Menu Pricing'!$J$7:$J$56,$O725)))</f>
        <v/>
      </c>
      <c r="K725" s="71">
        <f>IF($N725&lt;&gt;"OK","",$D725*$J725)</f>
        <v/>
      </c>
      <c r="L725" s="71">
        <f>IF($N725&lt;&gt;"OK","",$I725-$K725)</f>
        <v/>
      </c>
      <c r="M725" s="71">
        <f>IF($N725&lt;&gt;"OK","",$D725*N(INDEX('Menu Pricing'!$F$7:$F$56,$O725)))</f>
        <v/>
      </c>
      <c r="N725" s="80">
        <f>IF(AND($B725="",$C725="",$D725=""),"",IF(NOT(ISNUMBER($B725)),"Enter a valid date",IF($C725="","Pick a menu item",IF($O725="","Item not on Menu Pricing",IF(N($D725)&lt;=0,"Qty must be above 0",IF($H725="","No price on menu","OK"))))))</f>
        <v/>
      </c>
      <c r="O725" s="13">
        <f>IF($C725="","",IFERROR(MATCH($C725,'Menu Pricing'!$B$7:$B$56,0),""))</f>
        <v/>
      </c>
    </row>
    <row r="726" ht="17" customHeight="1">
      <c r="B726" s="66" t="n"/>
      <c r="C726" s="60" t="n"/>
      <c r="D726" s="86" t="n"/>
      <c r="E726" s="63" t="n"/>
      <c r="F726" s="60" t="n"/>
      <c r="G726" s="60" t="n"/>
      <c r="H726" s="71">
        <f>IF(OR($C726="",$D726=""),"",IF(ISNUMBER($E726),$E726,IF($O726="","",IF(N(INDEX('Menu Pricing'!$O$7:$O$56,$O726))&gt;0,INDEX('Menu Pricing'!$O$7:$O$56,$O726),""))))</f>
        <v/>
      </c>
      <c r="I726" s="71">
        <f>IF($N726&lt;&gt;"OK","",$D726*$H726)</f>
        <v/>
      </c>
      <c r="J726" s="71">
        <f>IF($N726&lt;&gt;"OK","",N(INDEX('Menu Pricing'!$F$7:$F$56,$O726))+N(INDEX('Menu Pricing'!$G$7:$G$56,$O726))+N(INDEX('Menu Pricing'!$J$7:$J$56,$O726)))</f>
        <v/>
      </c>
      <c r="K726" s="71">
        <f>IF($N726&lt;&gt;"OK","",$D726*$J726)</f>
        <v/>
      </c>
      <c r="L726" s="71">
        <f>IF($N726&lt;&gt;"OK","",$I726-$K726)</f>
        <v/>
      </c>
      <c r="M726" s="71">
        <f>IF($N726&lt;&gt;"OK","",$D726*N(INDEX('Menu Pricing'!$F$7:$F$56,$O726)))</f>
        <v/>
      </c>
      <c r="N726" s="80">
        <f>IF(AND($B726="",$C726="",$D726=""),"",IF(NOT(ISNUMBER($B726)),"Enter a valid date",IF($C726="","Pick a menu item",IF($O726="","Item not on Menu Pricing",IF(N($D726)&lt;=0,"Qty must be above 0",IF($H726="","No price on menu","OK"))))))</f>
        <v/>
      </c>
      <c r="O726" s="13">
        <f>IF($C726="","",IFERROR(MATCH($C726,'Menu Pricing'!$B$7:$B$56,0),""))</f>
        <v/>
      </c>
    </row>
    <row r="727" ht="17" customHeight="1">
      <c r="B727" s="66" t="n"/>
      <c r="C727" s="60" t="n"/>
      <c r="D727" s="86" t="n"/>
      <c r="E727" s="63" t="n"/>
      <c r="F727" s="60" t="n"/>
      <c r="G727" s="60" t="n"/>
      <c r="H727" s="71">
        <f>IF(OR($C727="",$D727=""),"",IF(ISNUMBER($E727),$E727,IF($O727="","",IF(N(INDEX('Menu Pricing'!$O$7:$O$56,$O727))&gt;0,INDEX('Menu Pricing'!$O$7:$O$56,$O727),""))))</f>
        <v/>
      </c>
      <c r="I727" s="71">
        <f>IF($N727&lt;&gt;"OK","",$D727*$H727)</f>
        <v/>
      </c>
      <c r="J727" s="71">
        <f>IF($N727&lt;&gt;"OK","",N(INDEX('Menu Pricing'!$F$7:$F$56,$O727))+N(INDEX('Menu Pricing'!$G$7:$G$56,$O727))+N(INDEX('Menu Pricing'!$J$7:$J$56,$O727)))</f>
        <v/>
      </c>
      <c r="K727" s="71">
        <f>IF($N727&lt;&gt;"OK","",$D727*$J727)</f>
        <v/>
      </c>
      <c r="L727" s="71">
        <f>IF($N727&lt;&gt;"OK","",$I727-$K727)</f>
        <v/>
      </c>
      <c r="M727" s="71">
        <f>IF($N727&lt;&gt;"OK","",$D727*N(INDEX('Menu Pricing'!$F$7:$F$56,$O727)))</f>
        <v/>
      </c>
      <c r="N727" s="80">
        <f>IF(AND($B727="",$C727="",$D727=""),"",IF(NOT(ISNUMBER($B727)),"Enter a valid date",IF($C727="","Pick a menu item",IF($O727="","Item not on Menu Pricing",IF(N($D727)&lt;=0,"Qty must be above 0",IF($H727="","No price on menu","OK"))))))</f>
        <v/>
      </c>
      <c r="O727" s="13">
        <f>IF($C727="","",IFERROR(MATCH($C727,'Menu Pricing'!$B$7:$B$56,0),""))</f>
        <v/>
      </c>
    </row>
    <row r="728" ht="17" customHeight="1">
      <c r="B728" s="66" t="n"/>
      <c r="C728" s="60" t="n"/>
      <c r="D728" s="86" t="n"/>
      <c r="E728" s="63" t="n"/>
      <c r="F728" s="60" t="n"/>
      <c r="G728" s="60" t="n"/>
      <c r="H728" s="71">
        <f>IF(OR($C728="",$D728=""),"",IF(ISNUMBER($E728),$E728,IF($O728="","",IF(N(INDEX('Menu Pricing'!$O$7:$O$56,$O728))&gt;0,INDEX('Menu Pricing'!$O$7:$O$56,$O728),""))))</f>
        <v/>
      </c>
      <c r="I728" s="71">
        <f>IF($N728&lt;&gt;"OK","",$D728*$H728)</f>
        <v/>
      </c>
      <c r="J728" s="71">
        <f>IF($N728&lt;&gt;"OK","",N(INDEX('Menu Pricing'!$F$7:$F$56,$O728))+N(INDEX('Menu Pricing'!$G$7:$G$56,$O728))+N(INDEX('Menu Pricing'!$J$7:$J$56,$O728)))</f>
        <v/>
      </c>
      <c r="K728" s="71">
        <f>IF($N728&lt;&gt;"OK","",$D728*$J728)</f>
        <v/>
      </c>
      <c r="L728" s="71">
        <f>IF($N728&lt;&gt;"OK","",$I728-$K728)</f>
        <v/>
      </c>
      <c r="M728" s="71">
        <f>IF($N728&lt;&gt;"OK","",$D728*N(INDEX('Menu Pricing'!$F$7:$F$56,$O728)))</f>
        <v/>
      </c>
      <c r="N728" s="80">
        <f>IF(AND($B728="",$C728="",$D728=""),"",IF(NOT(ISNUMBER($B728)),"Enter a valid date",IF($C728="","Pick a menu item",IF($O728="","Item not on Menu Pricing",IF(N($D728)&lt;=0,"Qty must be above 0",IF($H728="","No price on menu","OK"))))))</f>
        <v/>
      </c>
      <c r="O728" s="13">
        <f>IF($C728="","",IFERROR(MATCH($C728,'Menu Pricing'!$B$7:$B$56,0),""))</f>
        <v/>
      </c>
    </row>
    <row r="729" ht="17" customHeight="1">
      <c r="B729" s="66" t="n"/>
      <c r="C729" s="60" t="n"/>
      <c r="D729" s="86" t="n"/>
      <c r="E729" s="63" t="n"/>
      <c r="F729" s="60" t="n"/>
      <c r="G729" s="60" t="n"/>
      <c r="H729" s="71">
        <f>IF(OR($C729="",$D729=""),"",IF(ISNUMBER($E729),$E729,IF($O729="","",IF(N(INDEX('Menu Pricing'!$O$7:$O$56,$O729))&gt;0,INDEX('Menu Pricing'!$O$7:$O$56,$O729),""))))</f>
        <v/>
      </c>
      <c r="I729" s="71">
        <f>IF($N729&lt;&gt;"OK","",$D729*$H729)</f>
        <v/>
      </c>
      <c r="J729" s="71">
        <f>IF($N729&lt;&gt;"OK","",N(INDEX('Menu Pricing'!$F$7:$F$56,$O729))+N(INDEX('Menu Pricing'!$G$7:$G$56,$O729))+N(INDEX('Menu Pricing'!$J$7:$J$56,$O729)))</f>
        <v/>
      </c>
      <c r="K729" s="71">
        <f>IF($N729&lt;&gt;"OK","",$D729*$J729)</f>
        <v/>
      </c>
      <c r="L729" s="71">
        <f>IF($N729&lt;&gt;"OK","",$I729-$K729)</f>
        <v/>
      </c>
      <c r="M729" s="71">
        <f>IF($N729&lt;&gt;"OK","",$D729*N(INDEX('Menu Pricing'!$F$7:$F$56,$O729)))</f>
        <v/>
      </c>
      <c r="N729" s="80">
        <f>IF(AND($B729="",$C729="",$D729=""),"",IF(NOT(ISNUMBER($B729)),"Enter a valid date",IF($C729="","Pick a menu item",IF($O729="","Item not on Menu Pricing",IF(N($D729)&lt;=0,"Qty must be above 0",IF($H729="","No price on menu","OK"))))))</f>
        <v/>
      </c>
      <c r="O729" s="13">
        <f>IF($C729="","",IFERROR(MATCH($C729,'Menu Pricing'!$B$7:$B$56,0),""))</f>
        <v/>
      </c>
    </row>
    <row r="730" ht="17" customHeight="1">
      <c r="B730" s="66" t="n"/>
      <c r="C730" s="60" t="n"/>
      <c r="D730" s="86" t="n"/>
      <c r="E730" s="63" t="n"/>
      <c r="F730" s="60" t="n"/>
      <c r="G730" s="60" t="n"/>
      <c r="H730" s="71">
        <f>IF(OR($C730="",$D730=""),"",IF(ISNUMBER($E730),$E730,IF($O730="","",IF(N(INDEX('Menu Pricing'!$O$7:$O$56,$O730))&gt;0,INDEX('Menu Pricing'!$O$7:$O$56,$O730),""))))</f>
        <v/>
      </c>
      <c r="I730" s="71">
        <f>IF($N730&lt;&gt;"OK","",$D730*$H730)</f>
        <v/>
      </c>
      <c r="J730" s="71">
        <f>IF($N730&lt;&gt;"OK","",N(INDEX('Menu Pricing'!$F$7:$F$56,$O730))+N(INDEX('Menu Pricing'!$G$7:$G$56,$O730))+N(INDEX('Menu Pricing'!$J$7:$J$56,$O730)))</f>
        <v/>
      </c>
      <c r="K730" s="71">
        <f>IF($N730&lt;&gt;"OK","",$D730*$J730)</f>
        <v/>
      </c>
      <c r="L730" s="71">
        <f>IF($N730&lt;&gt;"OK","",$I730-$K730)</f>
        <v/>
      </c>
      <c r="M730" s="71">
        <f>IF($N730&lt;&gt;"OK","",$D730*N(INDEX('Menu Pricing'!$F$7:$F$56,$O730)))</f>
        <v/>
      </c>
      <c r="N730" s="80">
        <f>IF(AND($B730="",$C730="",$D730=""),"",IF(NOT(ISNUMBER($B730)),"Enter a valid date",IF($C730="","Pick a menu item",IF($O730="","Item not on Menu Pricing",IF(N($D730)&lt;=0,"Qty must be above 0",IF($H730="","No price on menu","OK"))))))</f>
        <v/>
      </c>
      <c r="O730" s="13">
        <f>IF($C730="","",IFERROR(MATCH($C730,'Menu Pricing'!$B$7:$B$56,0),""))</f>
        <v/>
      </c>
    </row>
    <row r="731" ht="17" customHeight="1">
      <c r="B731" s="66" t="n"/>
      <c r="C731" s="60" t="n"/>
      <c r="D731" s="86" t="n"/>
      <c r="E731" s="63" t="n"/>
      <c r="F731" s="60" t="n"/>
      <c r="G731" s="60" t="n"/>
      <c r="H731" s="71">
        <f>IF(OR($C731="",$D731=""),"",IF(ISNUMBER($E731),$E731,IF($O731="","",IF(N(INDEX('Menu Pricing'!$O$7:$O$56,$O731))&gt;0,INDEX('Menu Pricing'!$O$7:$O$56,$O731),""))))</f>
        <v/>
      </c>
      <c r="I731" s="71">
        <f>IF($N731&lt;&gt;"OK","",$D731*$H731)</f>
        <v/>
      </c>
      <c r="J731" s="71">
        <f>IF($N731&lt;&gt;"OK","",N(INDEX('Menu Pricing'!$F$7:$F$56,$O731))+N(INDEX('Menu Pricing'!$G$7:$G$56,$O731))+N(INDEX('Menu Pricing'!$J$7:$J$56,$O731)))</f>
        <v/>
      </c>
      <c r="K731" s="71">
        <f>IF($N731&lt;&gt;"OK","",$D731*$J731)</f>
        <v/>
      </c>
      <c r="L731" s="71">
        <f>IF($N731&lt;&gt;"OK","",$I731-$K731)</f>
        <v/>
      </c>
      <c r="M731" s="71">
        <f>IF($N731&lt;&gt;"OK","",$D731*N(INDEX('Menu Pricing'!$F$7:$F$56,$O731)))</f>
        <v/>
      </c>
      <c r="N731" s="80">
        <f>IF(AND($B731="",$C731="",$D731=""),"",IF(NOT(ISNUMBER($B731)),"Enter a valid date",IF($C731="","Pick a menu item",IF($O731="","Item not on Menu Pricing",IF(N($D731)&lt;=0,"Qty must be above 0",IF($H731="","No price on menu","OK"))))))</f>
        <v/>
      </c>
      <c r="O731" s="13">
        <f>IF($C731="","",IFERROR(MATCH($C731,'Menu Pricing'!$B$7:$B$56,0),""))</f>
        <v/>
      </c>
    </row>
    <row r="732" ht="17" customHeight="1">
      <c r="B732" s="66" t="n"/>
      <c r="C732" s="60" t="n"/>
      <c r="D732" s="86" t="n"/>
      <c r="E732" s="63" t="n"/>
      <c r="F732" s="60" t="n"/>
      <c r="G732" s="60" t="n"/>
      <c r="H732" s="71">
        <f>IF(OR($C732="",$D732=""),"",IF(ISNUMBER($E732),$E732,IF($O732="","",IF(N(INDEX('Menu Pricing'!$O$7:$O$56,$O732))&gt;0,INDEX('Menu Pricing'!$O$7:$O$56,$O732),""))))</f>
        <v/>
      </c>
      <c r="I732" s="71">
        <f>IF($N732&lt;&gt;"OK","",$D732*$H732)</f>
        <v/>
      </c>
      <c r="J732" s="71">
        <f>IF($N732&lt;&gt;"OK","",N(INDEX('Menu Pricing'!$F$7:$F$56,$O732))+N(INDEX('Menu Pricing'!$G$7:$G$56,$O732))+N(INDEX('Menu Pricing'!$J$7:$J$56,$O732)))</f>
        <v/>
      </c>
      <c r="K732" s="71">
        <f>IF($N732&lt;&gt;"OK","",$D732*$J732)</f>
        <v/>
      </c>
      <c r="L732" s="71">
        <f>IF($N732&lt;&gt;"OK","",$I732-$K732)</f>
        <v/>
      </c>
      <c r="M732" s="71">
        <f>IF($N732&lt;&gt;"OK","",$D732*N(INDEX('Menu Pricing'!$F$7:$F$56,$O732)))</f>
        <v/>
      </c>
      <c r="N732" s="80">
        <f>IF(AND($B732="",$C732="",$D732=""),"",IF(NOT(ISNUMBER($B732)),"Enter a valid date",IF($C732="","Pick a menu item",IF($O732="","Item not on Menu Pricing",IF(N($D732)&lt;=0,"Qty must be above 0",IF($H732="","No price on menu","OK"))))))</f>
        <v/>
      </c>
      <c r="O732" s="13">
        <f>IF($C732="","",IFERROR(MATCH($C732,'Menu Pricing'!$B$7:$B$56,0),""))</f>
        <v/>
      </c>
    </row>
    <row r="733" ht="17" customHeight="1">
      <c r="B733" s="66" t="n"/>
      <c r="C733" s="60" t="n"/>
      <c r="D733" s="86" t="n"/>
      <c r="E733" s="63" t="n"/>
      <c r="F733" s="60" t="n"/>
      <c r="G733" s="60" t="n"/>
      <c r="H733" s="71">
        <f>IF(OR($C733="",$D733=""),"",IF(ISNUMBER($E733),$E733,IF($O733="","",IF(N(INDEX('Menu Pricing'!$O$7:$O$56,$O733))&gt;0,INDEX('Menu Pricing'!$O$7:$O$56,$O733),""))))</f>
        <v/>
      </c>
      <c r="I733" s="71">
        <f>IF($N733&lt;&gt;"OK","",$D733*$H733)</f>
        <v/>
      </c>
      <c r="J733" s="71">
        <f>IF($N733&lt;&gt;"OK","",N(INDEX('Menu Pricing'!$F$7:$F$56,$O733))+N(INDEX('Menu Pricing'!$G$7:$G$56,$O733))+N(INDEX('Menu Pricing'!$J$7:$J$56,$O733)))</f>
        <v/>
      </c>
      <c r="K733" s="71">
        <f>IF($N733&lt;&gt;"OK","",$D733*$J733)</f>
        <v/>
      </c>
      <c r="L733" s="71">
        <f>IF($N733&lt;&gt;"OK","",$I733-$K733)</f>
        <v/>
      </c>
      <c r="M733" s="71">
        <f>IF($N733&lt;&gt;"OK","",$D733*N(INDEX('Menu Pricing'!$F$7:$F$56,$O733)))</f>
        <v/>
      </c>
      <c r="N733" s="80">
        <f>IF(AND($B733="",$C733="",$D733=""),"",IF(NOT(ISNUMBER($B733)),"Enter a valid date",IF($C733="","Pick a menu item",IF($O733="","Item not on Menu Pricing",IF(N($D733)&lt;=0,"Qty must be above 0",IF($H733="","No price on menu","OK"))))))</f>
        <v/>
      </c>
      <c r="O733" s="13">
        <f>IF($C733="","",IFERROR(MATCH($C733,'Menu Pricing'!$B$7:$B$56,0),""))</f>
        <v/>
      </c>
    </row>
    <row r="734" ht="17" customHeight="1">
      <c r="B734" s="66" t="n"/>
      <c r="C734" s="60" t="n"/>
      <c r="D734" s="86" t="n"/>
      <c r="E734" s="63" t="n"/>
      <c r="F734" s="60" t="n"/>
      <c r="G734" s="60" t="n"/>
      <c r="H734" s="71">
        <f>IF(OR($C734="",$D734=""),"",IF(ISNUMBER($E734),$E734,IF($O734="","",IF(N(INDEX('Menu Pricing'!$O$7:$O$56,$O734))&gt;0,INDEX('Menu Pricing'!$O$7:$O$56,$O734),""))))</f>
        <v/>
      </c>
      <c r="I734" s="71">
        <f>IF($N734&lt;&gt;"OK","",$D734*$H734)</f>
        <v/>
      </c>
      <c r="J734" s="71">
        <f>IF($N734&lt;&gt;"OK","",N(INDEX('Menu Pricing'!$F$7:$F$56,$O734))+N(INDEX('Menu Pricing'!$G$7:$G$56,$O734))+N(INDEX('Menu Pricing'!$J$7:$J$56,$O734)))</f>
        <v/>
      </c>
      <c r="K734" s="71">
        <f>IF($N734&lt;&gt;"OK","",$D734*$J734)</f>
        <v/>
      </c>
      <c r="L734" s="71">
        <f>IF($N734&lt;&gt;"OK","",$I734-$K734)</f>
        <v/>
      </c>
      <c r="M734" s="71">
        <f>IF($N734&lt;&gt;"OK","",$D734*N(INDEX('Menu Pricing'!$F$7:$F$56,$O734)))</f>
        <v/>
      </c>
      <c r="N734" s="80">
        <f>IF(AND($B734="",$C734="",$D734=""),"",IF(NOT(ISNUMBER($B734)),"Enter a valid date",IF($C734="","Pick a menu item",IF($O734="","Item not on Menu Pricing",IF(N($D734)&lt;=0,"Qty must be above 0",IF($H734="","No price on menu","OK"))))))</f>
        <v/>
      </c>
      <c r="O734" s="13">
        <f>IF($C734="","",IFERROR(MATCH($C734,'Menu Pricing'!$B$7:$B$56,0),""))</f>
        <v/>
      </c>
    </row>
    <row r="735" ht="17" customHeight="1">
      <c r="B735" s="66" t="n"/>
      <c r="C735" s="60" t="n"/>
      <c r="D735" s="86" t="n"/>
      <c r="E735" s="63" t="n"/>
      <c r="F735" s="60" t="n"/>
      <c r="G735" s="60" t="n"/>
      <c r="H735" s="71">
        <f>IF(OR($C735="",$D735=""),"",IF(ISNUMBER($E735),$E735,IF($O735="","",IF(N(INDEX('Menu Pricing'!$O$7:$O$56,$O735))&gt;0,INDEX('Menu Pricing'!$O$7:$O$56,$O735),""))))</f>
        <v/>
      </c>
      <c r="I735" s="71">
        <f>IF($N735&lt;&gt;"OK","",$D735*$H735)</f>
        <v/>
      </c>
      <c r="J735" s="71">
        <f>IF($N735&lt;&gt;"OK","",N(INDEX('Menu Pricing'!$F$7:$F$56,$O735))+N(INDEX('Menu Pricing'!$G$7:$G$56,$O735))+N(INDEX('Menu Pricing'!$J$7:$J$56,$O735)))</f>
        <v/>
      </c>
      <c r="K735" s="71">
        <f>IF($N735&lt;&gt;"OK","",$D735*$J735)</f>
        <v/>
      </c>
      <c r="L735" s="71">
        <f>IF($N735&lt;&gt;"OK","",$I735-$K735)</f>
        <v/>
      </c>
      <c r="M735" s="71">
        <f>IF($N735&lt;&gt;"OK","",$D735*N(INDEX('Menu Pricing'!$F$7:$F$56,$O735)))</f>
        <v/>
      </c>
      <c r="N735" s="80">
        <f>IF(AND($B735="",$C735="",$D735=""),"",IF(NOT(ISNUMBER($B735)),"Enter a valid date",IF($C735="","Pick a menu item",IF($O735="","Item not on Menu Pricing",IF(N($D735)&lt;=0,"Qty must be above 0",IF($H735="","No price on menu","OK"))))))</f>
        <v/>
      </c>
      <c r="O735" s="13">
        <f>IF($C735="","",IFERROR(MATCH($C735,'Menu Pricing'!$B$7:$B$56,0),""))</f>
        <v/>
      </c>
    </row>
    <row r="736" ht="17" customHeight="1">
      <c r="B736" s="66" t="n"/>
      <c r="C736" s="60" t="n"/>
      <c r="D736" s="86" t="n"/>
      <c r="E736" s="63" t="n"/>
      <c r="F736" s="60" t="n"/>
      <c r="G736" s="60" t="n"/>
      <c r="H736" s="71">
        <f>IF(OR($C736="",$D736=""),"",IF(ISNUMBER($E736),$E736,IF($O736="","",IF(N(INDEX('Menu Pricing'!$O$7:$O$56,$O736))&gt;0,INDEX('Menu Pricing'!$O$7:$O$56,$O736),""))))</f>
        <v/>
      </c>
      <c r="I736" s="71">
        <f>IF($N736&lt;&gt;"OK","",$D736*$H736)</f>
        <v/>
      </c>
      <c r="J736" s="71">
        <f>IF($N736&lt;&gt;"OK","",N(INDEX('Menu Pricing'!$F$7:$F$56,$O736))+N(INDEX('Menu Pricing'!$G$7:$G$56,$O736))+N(INDEX('Menu Pricing'!$J$7:$J$56,$O736)))</f>
        <v/>
      </c>
      <c r="K736" s="71">
        <f>IF($N736&lt;&gt;"OK","",$D736*$J736)</f>
        <v/>
      </c>
      <c r="L736" s="71">
        <f>IF($N736&lt;&gt;"OK","",$I736-$K736)</f>
        <v/>
      </c>
      <c r="M736" s="71">
        <f>IF($N736&lt;&gt;"OK","",$D736*N(INDEX('Menu Pricing'!$F$7:$F$56,$O736)))</f>
        <v/>
      </c>
      <c r="N736" s="80">
        <f>IF(AND($B736="",$C736="",$D736=""),"",IF(NOT(ISNUMBER($B736)),"Enter a valid date",IF($C736="","Pick a menu item",IF($O736="","Item not on Menu Pricing",IF(N($D736)&lt;=0,"Qty must be above 0",IF($H736="","No price on menu","OK"))))))</f>
        <v/>
      </c>
      <c r="O736" s="13">
        <f>IF($C736="","",IFERROR(MATCH($C736,'Menu Pricing'!$B$7:$B$56,0),""))</f>
        <v/>
      </c>
    </row>
    <row r="737" ht="17" customHeight="1">
      <c r="B737" s="66" t="n"/>
      <c r="C737" s="60" t="n"/>
      <c r="D737" s="86" t="n"/>
      <c r="E737" s="63" t="n"/>
      <c r="F737" s="60" t="n"/>
      <c r="G737" s="60" t="n"/>
      <c r="H737" s="71">
        <f>IF(OR($C737="",$D737=""),"",IF(ISNUMBER($E737),$E737,IF($O737="","",IF(N(INDEX('Menu Pricing'!$O$7:$O$56,$O737))&gt;0,INDEX('Menu Pricing'!$O$7:$O$56,$O737),""))))</f>
        <v/>
      </c>
      <c r="I737" s="71">
        <f>IF($N737&lt;&gt;"OK","",$D737*$H737)</f>
        <v/>
      </c>
      <c r="J737" s="71">
        <f>IF($N737&lt;&gt;"OK","",N(INDEX('Menu Pricing'!$F$7:$F$56,$O737))+N(INDEX('Menu Pricing'!$G$7:$G$56,$O737))+N(INDEX('Menu Pricing'!$J$7:$J$56,$O737)))</f>
        <v/>
      </c>
      <c r="K737" s="71">
        <f>IF($N737&lt;&gt;"OK","",$D737*$J737)</f>
        <v/>
      </c>
      <c r="L737" s="71">
        <f>IF($N737&lt;&gt;"OK","",$I737-$K737)</f>
        <v/>
      </c>
      <c r="M737" s="71">
        <f>IF($N737&lt;&gt;"OK","",$D737*N(INDEX('Menu Pricing'!$F$7:$F$56,$O737)))</f>
        <v/>
      </c>
      <c r="N737" s="80">
        <f>IF(AND($B737="",$C737="",$D737=""),"",IF(NOT(ISNUMBER($B737)),"Enter a valid date",IF($C737="","Pick a menu item",IF($O737="","Item not on Menu Pricing",IF(N($D737)&lt;=0,"Qty must be above 0",IF($H737="","No price on menu","OK"))))))</f>
        <v/>
      </c>
      <c r="O737" s="13">
        <f>IF($C737="","",IFERROR(MATCH($C737,'Menu Pricing'!$B$7:$B$56,0),""))</f>
        <v/>
      </c>
    </row>
    <row r="738" ht="17" customHeight="1">
      <c r="B738" s="66" t="n"/>
      <c r="C738" s="60" t="n"/>
      <c r="D738" s="86" t="n"/>
      <c r="E738" s="63" t="n"/>
      <c r="F738" s="60" t="n"/>
      <c r="G738" s="60" t="n"/>
      <c r="H738" s="71">
        <f>IF(OR($C738="",$D738=""),"",IF(ISNUMBER($E738),$E738,IF($O738="","",IF(N(INDEX('Menu Pricing'!$O$7:$O$56,$O738))&gt;0,INDEX('Menu Pricing'!$O$7:$O$56,$O738),""))))</f>
        <v/>
      </c>
      <c r="I738" s="71">
        <f>IF($N738&lt;&gt;"OK","",$D738*$H738)</f>
        <v/>
      </c>
      <c r="J738" s="71">
        <f>IF($N738&lt;&gt;"OK","",N(INDEX('Menu Pricing'!$F$7:$F$56,$O738))+N(INDEX('Menu Pricing'!$G$7:$G$56,$O738))+N(INDEX('Menu Pricing'!$J$7:$J$56,$O738)))</f>
        <v/>
      </c>
      <c r="K738" s="71">
        <f>IF($N738&lt;&gt;"OK","",$D738*$J738)</f>
        <v/>
      </c>
      <c r="L738" s="71">
        <f>IF($N738&lt;&gt;"OK","",$I738-$K738)</f>
        <v/>
      </c>
      <c r="M738" s="71">
        <f>IF($N738&lt;&gt;"OK","",$D738*N(INDEX('Menu Pricing'!$F$7:$F$56,$O738)))</f>
        <v/>
      </c>
      <c r="N738" s="80">
        <f>IF(AND($B738="",$C738="",$D738=""),"",IF(NOT(ISNUMBER($B738)),"Enter a valid date",IF($C738="","Pick a menu item",IF($O738="","Item not on Menu Pricing",IF(N($D738)&lt;=0,"Qty must be above 0",IF($H738="","No price on menu","OK"))))))</f>
        <v/>
      </c>
      <c r="O738" s="13">
        <f>IF($C738="","",IFERROR(MATCH($C738,'Menu Pricing'!$B$7:$B$56,0),""))</f>
        <v/>
      </c>
    </row>
    <row r="739" ht="17" customHeight="1">
      <c r="B739" s="66" t="n"/>
      <c r="C739" s="60" t="n"/>
      <c r="D739" s="86" t="n"/>
      <c r="E739" s="63" t="n"/>
      <c r="F739" s="60" t="n"/>
      <c r="G739" s="60" t="n"/>
      <c r="H739" s="71">
        <f>IF(OR($C739="",$D739=""),"",IF(ISNUMBER($E739),$E739,IF($O739="","",IF(N(INDEX('Menu Pricing'!$O$7:$O$56,$O739))&gt;0,INDEX('Menu Pricing'!$O$7:$O$56,$O739),""))))</f>
        <v/>
      </c>
      <c r="I739" s="71">
        <f>IF($N739&lt;&gt;"OK","",$D739*$H739)</f>
        <v/>
      </c>
      <c r="J739" s="71">
        <f>IF($N739&lt;&gt;"OK","",N(INDEX('Menu Pricing'!$F$7:$F$56,$O739))+N(INDEX('Menu Pricing'!$G$7:$G$56,$O739))+N(INDEX('Menu Pricing'!$J$7:$J$56,$O739)))</f>
        <v/>
      </c>
      <c r="K739" s="71">
        <f>IF($N739&lt;&gt;"OK","",$D739*$J739)</f>
        <v/>
      </c>
      <c r="L739" s="71">
        <f>IF($N739&lt;&gt;"OK","",$I739-$K739)</f>
        <v/>
      </c>
      <c r="M739" s="71">
        <f>IF($N739&lt;&gt;"OK","",$D739*N(INDEX('Menu Pricing'!$F$7:$F$56,$O739)))</f>
        <v/>
      </c>
      <c r="N739" s="80">
        <f>IF(AND($B739="",$C739="",$D739=""),"",IF(NOT(ISNUMBER($B739)),"Enter a valid date",IF($C739="","Pick a menu item",IF($O739="","Item not on Menu Pricing",IF(N($D739)&lt;=0,"Qty must be above 0",IF($H739="","No price on menu","OK"))))))</f>
        <v/>
      </c>
      <c r="O739" s="13">
        <f>IF($C739="","",IFERROR(MATCH($C739,'Menu Pricing'!$B$7:$B$56,0),""))</f>
        <v/>
      </c>
    </row>
    <row r="740" ht="17" customHeight="1">
      <c r="B740" s="66" t="n"/>
      <c r="C740" s="60" t="n"/>
      <c r="D740" s="86" t="n"/>
      <c r="E740" s="63" t="n"/>
      <c r="F740" s="60" t="n"/>
      <c r="G740" s="60" t="n"/>
      <c r="H740" s="71">
        <f>IF(OR($C740="",$D740=""),"",IF(ISNUMBER($E740),$E740,IF($O740="","",IF(N(INDEX('Menu Pricing'!$O$7:$O$56,$O740))&gt;0,INDEX('Menu Pricing'!$O$7:$O$56,$O740),""))))</f>
        <v/>
      </c>
      <c r="I740" s="71">
        <f>IF($N740&lt;&gt;"OK","",$D740*$H740)</f>
        <v/>
      </c>
      <c r="J740" s="71">
        <f>IF($N740&lt;&gt;"OK","",N(INDEX('Menu Pricing'!$F$7:$F$56,$O740))+N(INDEX('Menu Pricing'!$G$7:$G$56,$O740))+N(INDEX('Menu Pricing'!$J$7:$J$56,$O740)))</f>
        <v/>
      </c>
      <c r="K740" s="71">
        <f>IF($N740&lt;&gt;"OK","",$D740*$J740)</f>
        <v/>
      </c>
      <c r="L740" s="71">
        <f>IF($N740&lt;&gt;"OK","",$I740-$K740)</f>
        <v/>
      </c>
      <c r="M740" s="71">
        <f>IF($N740&lt;&gt;"OK","",$D740*N(INDEX('Menu Pricing'!$F$7:$F$56,$O740)))</f>
        <v/>
      </c>
      <c r="N740" s="80">
        <f>IF(AND($B740="",$C740="",$D740=""),"",IF(NOT(ISNUMBER($B740)),"Enter a valid date",IF($C740="","Pick a menu item",IF($O740="","Item not on Menu Pricing",IF(N($D740)&lt;=0,"Qty must be above 0",IF($H740="","No price on menu","OK"))))))</f>
        <v/>
      </c>
      <c r="O740" s="13">
        <f>IF($C740="","",IFERROR(MATCH($C740,'Menu Pricing'!$B$7:$B$56,0),""))</f>
        <v/>
      </c>
    </row>
    <row r="741" ht="17" customHeight="1">
      <c r="B741" s="66" t="n"/>
      <c r="C741" s="60" t="n"/>
      <c r="D741" s="86" t="n"/>
      <c r="E741" s="63" t="n"/>
      <c r="F741" s="60" t="n"/>
      <c r="G741" s="60" t="n"/>
      <c r="H741" s="71">
        <f>IF(OR($C741="",$D741=""),"",IF(ISNUMBER($E741),$E741,IF($O741="","",IF(N(INDEX('Menu Pricing'!$O$7:$O$56,$O741))&gt;0,INDEX('Menu Pricing'!$O$7:$O$56,$O741),""))))</f>
        <v/>
      </c>
      <c r="I741" s="71">
        <f>IF($N741&lt;&gt;"OK","",$D741*$H741)</f>
        <v/>
      </c>
      <c r="J741" s="71">
        <f>IF($N741&lt;&gt;"OK","",N(INDEX('Menu Pricing'!$F$7:$F$56,$O741))+N(INDEX('Menu Pricing'!$G$7:$G$56,$O741))+N(INDEX('Menu Pricing'!$J$7:$J$56,$O741)))</f>
        <v/>
      </c>
      <c r="K741" s="71">
        <f>IF($N741&lt;&gt;"OK","",$D741*$J741)</f>
        <v/>
      </c>
      <c r="L741" s="71">
        <f>IF($N741&lt;&gt;"OK","",$I741-$K741)</f>
        <v/>
      </c>
      <c r="M741" s="71">
        <f>IF($N741&lt;&gt;"OK","",$D741*N(INDEX('Menu Pricing'!$F$7:$F$56,$O741)))</f>
        <v/>
      </c>
      <c r="N741" s="80">
        <f>IF(AND($B741="",$C741="",$D741=""),"",IF(NOT(ISNUMBER($B741)),"Enter a valid date",IF($C741="","Pick a menu item",IF($O741="","Item not on Menu Pricing",IF(N($D741)&lt;=0,"Qty must be above 0",IF($H741="","No price on menu","OK"))))))</f>
        <v/>
      </c>
      <c r="O741" s="13">
        <f>IF($C741="","",IFERROR(MATCH($C741,'Menu Pricing'!$B$7:$B$56,0),""))</f>
        <v/>
      </c>
    </row>
    <row r="742" ht="17" customHeight="1">
      <c r="B742" s="66" t="n"/>
      <c r="C742" s="60" t="n"/>
      <c r="D742" s="86" t="n"/>
      <c r="E742" s="63" t="n"/>
      <c r="F742" s="60" t="n"/>
      <c r="G742" s="60" t="n"/>
      <c r="H742" s="71">
        <f>IF(OR($C742="",$D742=""),"",IF(ISNUMBER($E742),$E742,IF($O742="","",IF(N(INDEX('Menu Pricing'!$O$7:$O$56,$O742))&gt;0,INDEX('Menu Pricing'!$O$7:$O$56,$O742),""))))</f>
        <v/>
      </c>
      <c r="I742" s="71">
        <f>IF($N742&lt;&gt;"OK","",$D742*$H742)</f>
        <v/>
      </c>
      <c r="J742" s="71">
        <f>IF($N742&lt;&gt;"OK","",N(INDEX('Menu Pricing'!$F$7:$F$56,$O742))+N(INDEX('Menu Pricing'!$G$7:$G$56,$O742))+N(INDEX('Menu Pricing'!$J$7:$J$56,$O742)))</f>
        <v/>
      </c>
      <c r="K742" s="71">
        <f>IF($N742&lt;&gt;"OK","",$D742*$J742)</f>
        <v/>
      </c>
      <c r="L742" s="71">
        <f>IF($N742&lt;&gt;"OK","",$I742-$K742)</f>
        <v/>
      </c>
      <c r="M742" s="71">
        <f>IF($N742&lt;&gt;"OK","",$D742*N(INDEX('Menu Pricing'!$F$7:$F$56,$O742)))</f>
        <v/>
      </c>
      <c r="N742" s="80">
        <f>IF(AND($B742="",$C742="",$D742=""),"",IF(NOT(ISNUMBER($B742)),"Enter a valid date",IF($C742="","Pick a menu item",IF($O742="","Item not on Menu Pricing",IF(N($D742)&lt;=0,"Qty must be above 0",IF($H742="","No price on menu","OK"))))))</f>
        <v/>
      </c>
      <c r="O742" s="13">
        <f>IF($C742="","",IFERROR(MATCH($C742,'Menu Pricing'!$B$7:$B$56,0),""))</f>
        <v/>
      </c>
    </row>
    <row r="743" ht="17" customHeight="1">
      <c r="B743" s="66" t="n"/>
      <c r="C743" s="60" t="n"/>
      <c r="D743" s="86" t="n"/>
      <c r="E743" s="63" t="n"/>
      <c r="F743" s="60" t="n"/>
      <c r="G743" s="60" t="n"/>
      <c r="H743" s="71">
        <f>IF(OR($C743="",$D743=""),"",IF(ISNUMBER($E743),$E743,IF($O743="","",IF(N(INDEX('Menu Pricing'!$O$7:$O$56,$O743))&gt;0,INDEX('Menu Pricing'!$O$7:$O$56,$O743),""))))</f>
        <v/>
      </c>
      <c r="I743" s="71">
        <f>IF($N743&lt;&gt;"OK","",$D743*$H743)</f>
        <v/>
      </c>
      <c r="J743" s="71">
        <f>IF($N743&lt;&gt;"OK","",N(INDEX('Menu Pricing'!$F$7:$F$56,$O743))+N(INDEX('Menu Pricing'!$G$7:$G$56,$O743))+N(INDEX('Menu Pricing'!$J$7:$J$56,$O743)))</f>
        <v/>
      </c>
      <c r="K743" s="71">
        <f>IF($N743&lt;&gt;"OK","",$D743*$J743)</f>
        <v/>
      </c>
      <c r="L743" s="71">
        <f>IF($N743&lt;&gt;"OK","",$I743-$K743)</f>
        <v/>
      </c>
      <c r="M743" s="71">
        <f>IF($N743&lt;&gt;"OK","",$D743*N(INDEX('Menu Pricing'!$F$7:$F$56,$O743)))</f>
        <v/>
      </c>
      <c r="N743" s="80">
        <f>IF(AND($B743="",$C743="",$D743=""),"",IF(NOT(ISNUMBER($B743)),"Enter a valid date",IF($C743="","Pick a menu item",IF($O743="","Item not on Menu Pricing",IF(N($D743)&lt;=0,"Qty must be above 0",IF($H743="","No price on menu","OK"))))))</f>
        <v/>
      </c>
      <c r="O743" s="13">
        <f>IF($C743="","",IFERROR(MATCH($C743,'Menu Pricing'!$B$7:$B$56,0),""))</f>
        <v/>
      </c>
    </row>
    <row r="744" ht="17" customHeight="1">
      <c r="B744" s="66" t="n"/>
      <c r="C744" s="60" t="n"/>
      <c r="D744" s="86" t="n"/>
      <c r="E744" s="63" t="n"/>
      <c r="F744" s="60" t="n"/>
      <c r="G744" s="60" t="n"/>
      <c r="H744" s="71">
        <f>IF(OR($C744="",$D744=""),"",IF(ISNUMBER($E744),$E744,IF($O744="","",IF(N(INDEX('Menu Pricing'!$O$7:$O$56,$O744))&gt;0,INDEX('Menu Pricing'!$O$7:$O$56,$O744),""))))</f>
        <v/>
      </c>
      <c r="I744" s="71">
        <f>IF($N744&lt;&gt;"OK","",$D744*$H744)</f>
        <v/>
      </c>
      <c r="J744" s="71">
        <f>IF($N744&lt;&gt;"OK","",N(INDEX('Menu Pricing'!$F$7:$F$56,$O744))+N(INDEX('Menu Pricing'!$G$7:$G$56,$O744))+N(INDEX('Menu Pricing'!$J$7:$J$56,$O744)))</f>
        <v/>
      </c>
      <c r="K744" s="71">
        <f>IF($N744&lt;&gt;"OK","",$D744*$J744)</f>
        <v/>
      </c>
      <c r="L744" s="71">
        <f>IF($N744&lt;&gt;"OK","",$I744-$K744)</f>
        <v/>
      </c>
      <c r="M744" s="71">
        <f>IF($N744&lt;&gt;"OK","",$D744*N(INDEX('Menu Pricing'!$F$7:$F$56,$O744)))</f>
        <v/>
      </c>
      <c r="N744" s="80">
        <f>IF(AND($B744="",$C744="",$D744=""),"",IF(NOT(ISNUMBER($B744)),"Enter a valid date",IF($C744="","Pick a menu item",IF($O744="","Item not on Menu Pricing",IF(N($D744)&lt;=0,"Qty must be above 0",IF($H744="","No price on menu","OK"))))))</f>
        <v/>
      </c>
      <c r="O744" s="13">
        <f>IF($C744="","",IFERROR(MATCH($C744,'Menu Pricing'!$B$7:$B$56,0),""))</f>
        <v/>
      </c>
    </row>
    <row r="745" ht="17" customHeight="1">
      <c r="B745" s="66" t="n"/>
      <c r="C745" s="60" t="n"/>
      <c r="D745" s="86" t="n"/>
      <c r="E745" s="63" t="n"/>
      <c r="F745" s="60" t="n"/>
      <c r="G745" s="60" t="n"/>
      <c r="H745" s="71">
        <f>IF(OR($C745="",$D745=""),"",IF(ISNUMBER($E745),$E745,IF($O745="","",IF(N(INDEX('Menu Pricing'!$O$7:$O$56,$O745))&gt;0,INDEX('Menu Pricing'!$O$7:$O$56,$O745),""))))</f>
        <v/>
      </c>
      <c r="I745" s="71">
        <f>IF($N745&lt;&gt;"OK","",$D745*$H745)</f>
        <v/>
      </c>
      <c r="J745" s="71">
        <f>IF($N745&lt;&gt;"OK","",N(INDEX('Menu Pricing'!$F$7:$F$56,$O745))+N(INDEX('Menu Pricing'!$G$7:$G$56,$O745))+N(INDEX('Menu Pricing'!$J$7:$J$56,$O745)))</f>
        <v/>
      </c>
      <c r="K745" s="71">
        <f>IF($N745&lt;&gt;"OK","",$D745*$J745)</f>
        <v/>
      </c>
      <c r="L745" s="71">
        <f>IF($N745&lt;&gt;"OK","",$I745-$K745)</f>
        <v/>
      </c>
      <c r="M745" s="71">
        <f>IF($N745&lt;&gt;"OK","",$D745*N(INDEX('Menu Pricing'!$F$7:$F$56,$O745)))</f>
        <v/>
      </c>
      <c r="N745" s="80">
        <f>IF(AND($B745="",$C745="",$D745=""),"",IF(NOT(ISNUMBER($B745)),"Enter a valid date",IF($C745="","Pick a menu item",IF($O745="","Item not on Menu Pricing",IF(N($D745)&lt;=0,"Qty must be above 0",IF($H745="","No price on menu","OK"))))))</f>
        <v/>
      </c>
      <c r="O745" s="13">
        <f>IF($C745="","",IFERROR(MATCH($C745,'Menu Pricing'!$B$7:$B$56,0),""))</f>
        <v/>
      </c>
    </row>
    <row r="746" ht="17" customHeight="1">
      <c r="B746" s="66" t="n"/>
      <c r="C746" s="60" t="n"/>
      <c r="D746" s="86" t="n"/>
      <c r="E746" s="63" t="n"/>
      <c r="F746" s="60" t="n"/>
      <c r="G746" s="60" t="n"/>
      <c r="H746" s="71">
        <f>IF(OR($C746="",$D746=""),"",IF(ISNUMBER($E746),$E746,IF($O746="","",IF(N(INDEX('Menu Pricing'!$O$7:$O$56,$O746))&gt;0,INDEX('Menu Pricing'!$O$7:$O$56,$O746),""))))</f>
        <v/>
      </c>
      <c r="I746" s="71">
        <f>IF($N746&lt;&gt;"OK","",$D746*$H746)</f>
        <v/>
      </c>
      <c r="J746" s="71">
        <f>IF($N746&lt;&gt;"OK","",N(INDEX('Menu Pricing'!$F$7:$F$56,$O746))+N(INDEX('Menu Pricing'!$G$7:$G$56,$O746))+N(INDEX('Menu Pricing'!$J$7:$J$56,$O746)))</f>
        <v/>
      </c>
      <c r="K746" s="71">
        <f>IF($N746&lt;&gt;"OK","",$D746*$J746)</f>
        <v/>
      </c>
      <c r="L746" s="71">
        <f>IF($N746&lt;&gt;"OK","",$I746-$K746)</f>
        <v/>
      </c>
      <c r="M746" s="71">
        <f>IF($N746&lt;&gt;"OK","",$D746*N(INDEX('Menu Pricing'!$F$7:$F$56,$O746)))</f>
        <v/>
      </c>
      <c r="N746" s="80">
        <f>IF(AND($B746="",$C746="",$D746=""),"",IF(NOT(ISNUMBER($B746)),"Enter a valid date",IF($C746="","Pick a menu item",IF($O746="","Item not on Menu Pricing",IF(N($D746)&lt;=0,"Qty must be above 0",IF($H746="","No price on menu","OK"))))))</f>
        <v/>
      </c>
      <c r="O746" s="13">
        <f>IF($C746="","",IFERROR(MATCH($C746,'Menu Pricing'!$B$7:$B$56,0),""))</f>
        <v/>
      </c>
    </row>
    <row r="747" ht="17" customHeight="1">
      <c r="B747" s="66" t="n"/>
      <c r="C747" s="60" t="n"/>
      <c r="D747" s="86" t="n"/>
      <c r="E747" s="63" t="n"/>
      <c r="F747" s="60" t="n"/>
      <c r="G747" s="60" t="n"/>
      <c r="H747" s="71">
        <f>IF(OR($C747="",$D747=""),"",IF(ISNUMBER($E747),$E747,IF($O747="","",IF(N(INDEX('Menu Pricing'!$O$7:$O$56,$O747))&gt;0,INDEX('Menu Pricing'!$O$7:$O$56,$O747),""))))</f>
        <v/>
      </c>
      <c r="I747" s="71">
        <f>IF($N747&lt;&gt;"OK","",$D747*$H747)</f>
        <v/>
      </c>
      <c r="J747" s="71">
        <f>IF($N747&lt;&gt;"OK","",N(INDEX('Menu Pricing'!$F$7:$F$56,$O747))+N(INDEX('Menu Pricing'!$G$7:$G$56,$O747))+N(INDEX('Menu Pricing'!$J$7:$J$56,$O747)))</f>
        <v/>
      </c>
      <c r="K747" s="71">
        <f>IF($N747&lt;&gt;"OK","",$D747*$J747)</f>
        <v/>
      </c>
      <c r="L747" s="71">
        <f>IF($N747&lt;&gt;"OK","",$I747-$K747)</f>
        <v/>
      </c>
      <c r="M747" s="71">
        <f>IF($N747&lt;&gt;"OK","",$D747*N(INDEX('Menu Pricing'!$F$7:$F$56,$O747)))</f>
        <v/>
      </c>
      <c r="N747" s="80">
        <f>IF(AND($B747="",$C747="",$D747=""),"",IF(NOT(ISNUMBER($B747)),"Enter a valid date",IF($C747="","Pick a menu item",IF($O747="","Item not on Menu Pricing",IF(N($D747)&lt;=0,"Qty must be above 0",IF($H747="","No price on menu","OK"))))))</f>
        <v/>
      </c>
      <c r="O747" s="13">
        <f>IF($C747="","",IFERROR(MATCH($C747,'Menu Pricing'!$B$7:$B$56,0),""))</f>
        <v/>
      </c>
    </row>
    <row r="748" ht="17" customHeight="1">
      <c r="B748" s="66" t="n"/>
      <c r="C748" s="60" t="n"/>
      <c r="D748" s="86" t="n"/>
      <c r="E748" s="63" t="n"/>
      <c r="F748" s="60" t="n"/>
      <c r="G748" s="60" t="n"/>
      <c r="H748" s="71">
        <f>IF(OR($C748="",$D748=""),"",IF(ISNUMBER($E748),$E748,IF($O748="","",IF(N(INDEX('Menu Pricing'!$O$7:$O$56,$O748))&gt;0,INDEX('Menu Pricing'!$O$7:$O$56,$O748),""))))</f>
        <v/>
      </c>
      <c r="I748" s="71">
        <f>IF($N748&lt;&gt;"OK","",$D748*$H748)</f>
        <v/>
      </c>
      <c r="J748" s="71">
        <f>IF($N748&lt;&gt;"OK","",N(INDEX('Menu Pricing'!$F$7:$F$56,$O748))+N(INDEX('Menu Pricing'!$G$7:$G$56,$O748))+N(INDEX('Menu Pricing'!$J$7:$J$56,$O748)))</f>
        <v/>
      </c>
      <c r="K748" s="71">
        <f>IF($N748&lt;&gt;"OK","",$D748*$J748)</f>
        <v/>
      </c>
      <c r="L748" s="71">
        <f>IF($N748&lt;&gt;"OK","",$I748-$K748)</f>
        <v/>
      </c>
      <c r="M748" s="71">
        <f>IF($N748&lt;&gt;"OK","",$D748*N(INDEX('Menu Pricing'!$F$7:$F$56,$O748)))</f>
        <v/>
      </c>
      <c r="N748" s="80">
        <f>IF(AND($B748="",$C748="",$D748=""),"",IF(NOT(ISNUMBER($B748)),"Enter a valid date",IF($C748="","Pick a menu item",IF($O748="","Item not on Menu Pricing",IF(N($D748)&lt;=0,"Qty must be above 0",IF($H748="","No price on menu","OK"))))))</f>
        <v/>
      </c>
      <c r="O748" s="13">
        <f>IF($C748="","",IFERROR(MATCH($C748,'Menu Pricing'!$B$7:$B$56,0),""))</f>
        <v/>
      </c>
    </row>
    <row r="749" ht="17" customHeight="1">
      <c r="B749" s="66" t="n"/>
      <c r="C749" s="60" t="n"/>
      <c r="D749" s="86" t="n"/>
      <c r="E749" s="63" t="n"/>
      <c r="F749" s="60" t="n"/>
      <c r="G749" s="60" t="n"/>
      <c r="H749" s="71">
        <f>IF(OR($C749="",$D749=""),"",IF(ISNUMBER($E749),$E749,IF($O749="","",IF(N(INDEX('Menu Pricing'!$O$7:$O$56,$O749))&gt;0,INDEX('Menu Pricing'!$O$7:$O$56,$O749),""))))</f>
        <v/>
      </c>
      <c r="I749" s="71">
        <f>IF($N749&lt;&gt;"OK","",$D749*$H749)</f>
        <v/>
      </c>
      <c r="J749" s="71">
        <f>IF($N749&lt;&gt;"OK","",N(INDEX('Menu Pricing'!$F$7:$F$56,$O749))+N(INDEX('Menu Pricing'!$G$7:$G$56,$O749))+N(INDEX('Menu Pricing'!$J$7:$J$56,$O749)))</f>
        <v/>
      </c>
      <c r="K749" s="71">
        <f>IF($N749&lt;&gt;"OK","",$D749*$J749)</f>
        <v/>
      </c>
      <c r="L749" s="71">
        <f>IF($N749&lt;&gt;"OK","",$I749-$K749)</f>
        <v/>
      </c>
      <c r="M749" s="71">
        <f>IF($N749&lt;&gt;"OK","",$D749*N(INDEX('Menu Pricing'!$F$7:$F$56,$O749)))</f>
        <v/>
      </c>
      <c r="N749" s="80">
        <f>IF(AND($B749="",$C749="",$D749=""),"",IF(NOT(ISNUMBER($B749)),"Enter a valid date",IF($C749="","Pick a menu item",IF($O749="","Item not on Menu Pricing",IF(N($D749)&lt;=0,"Qty must be above 0",IF($H749="","No price on menu","OK"))))))</f>
        <v/>
      </c>
      <c r="O749" s="13">
        <f>IF($C749="","",IFERROR(MATCH($C749,'Menu Pricing'!$B$7:$B$56,0),""))</f>
        <v/>
      </c>
    </row>
    <row r="750" ht="17" customHeight="1">
      <c r="B750" s="66" t="n"/>
      <c r="C750" s="60" t="n"/>
      <c r="D750" s="86" t="n"/>
      <c r="E750" s="63" t="n"/>
      <c r="F750" s="60" t="n"/>
      <c r="G750" s="60" t="n"/>
      <c r="H750" s="71">
        <f>IF(OR($C750="",$D750=""),"",IF(ISNUMBER($E750),$E750,IF($O750="","",IF(N(INDEX('Menu Pricing'!$O$7:$O$56,$O750))&gt;0,INDEX('Menu Pricing'!$O$7:$O$56,$O750),""))))</f>
        <v/>
      </c>
      <c r="I750" s="71">
        <f>IF($N750&lt;&gt;"OK","",$D750*$H750)</f>
        <v/>
      </c>
      <c r="J750" s="71">
        <f>IF($N750&lt;&gt;"OK","",N(INDEX('Menu Pricing'!$F$7:$F$56,$O750))+N(INDEX('Menu Pricing'!$G$7:$G$56,$O750))+N(INDEX('Menu Pricing'!$J$7:$J$56,$O750)))</f>
        <v/>
      </c>
      <c r="K750" s="71">
        <f>IF($N750&lt;&gt;"OK","",$D750*$J750)</f>
        <v/>
      </c>
      <c r="L750" s="71">
        <f>IF($N750&lt;&gt;"OK","",$I750-$K750)</f>
        <v/>
      </c>
      <c r="M750" s="71">
        <f>IF($N750&lt;&gt;"OK","",$D750*N(INDEX('Menu Pricing'!$F$7:$F$56,$O750)))</f>
        <v/>
      </c>
      <c r="N750" s="80">
        <f>IF(AND($B750="",$C750="",$D750=""),"",IF(NOT(ISNUMBER($B750)),"Enter a valid date",IF($C750="","Pick a menu item",IF($O750="","Item not on Menu Pricing",IF(N($D750)&lt;=0,"Qty must be above 0",IF($H750="","No price on menu","OK"))))))</f>
        <v/>
      </c>
      <c r="O750" s="13">
        <f>IF($C750="","",IFERROR(MATCH($C750,'Menu Pricing'!$B$7:$B$56,0),""))</f>
        <v/>
      </c>
    </row>
    <row r="751" ht="17" customHeight="1">
      <c r="B751" s="66" t="n"/>
      <c r="C751" s="60" t="n"/>
      <c r="D751" s="86" t="n"/>
      <c r="E751" s="63" t="n"/>
      <c r="F751" s="60" t="n"/>
      <c r="G751" s="60" t="n"/>
      <c r="H751" s="71">
        <f>IF(OR($C751="",$D751=""),"",IF(ISNUMBER($E751),$E751,IF($O751="","",IF(N(INDEX('Menu Pricing'!$O$7:$O$56,$O751))&gt;0,INDEX('Menu Pricing'!$O$7:$O$56,$O751),""))))</f>
        <v/>
      </c>
      <c r="I751" s="71">
        <f>IF($N751&lt;&gt;"OK","",$D751*$H751)</f>
        <v/>
      </c>
      <c r="J751" s="71">
        <f>IF($N751&lt;&gt;"OK","",N(INDEX('Menu Pricing'!$F$7:$F$56,$O751))+N(INDEX('Menu Pricing'!$G$7:$G$56,$O751))+N(INDEX('Menu Pricing'!$J$7:$J$56,$O751)))</f>
        <v/>
      </c>
      <c r="K751" s="71">
        <f>IF($N751&lt;&gt;"OK","",$D751*$J751)</f>
        <v/>
      </c>
      <c r="L751" s="71">
        <f>IF($N751&lt;&gt;"OK","",$I751-$K751)</f>
        <v/>
      </c>
      <c r="M751" s="71">
        <f>IF($N751&lt;&gt;"OK","",$D751*N(INDEX('Menu Pricing'!$F$7:$F$56,$O751)))</f>
        <v/>
      </c>
      <c r="N751" s="80">
        <f>IF(AND($B751="",$C751="",$D751=""),"",IF(NOT(ISNUMBER($B751)),"Enter a valid date",IF($C751="","Pick a menu item",IF($O751="","Item not on Menu Pricing",IF(N($D751)&lt;=0,"Qty must be above 0",IF($H751="","No price on menu","OK"))))))</f>
        <v/>
      </c>
      <c r="O751" s="13">
        <f>IF($C751="","",IFERROR(MATCH($C751,'Menu Pricing'!$B$7:$B$56,0),""))</f>
        <v/>
      </c>
    </row>
    <row r="752" ht="17" customHeight="1">
      <c r="B752" s="66" t="n"/>
      <c r="C752" s="60" t="n"/>
      <c r="D752" s="86" t="n"/>
      <c r="E752" s="63" t="n"/>
      <c r="F752" s="60" t="n"/>
      <c r="G752" s="60" t="n"/>
      <c r="H752" s="71">
        <f>IF(OR($C752="",$D752=""),"",IF(ISNUMBER($E752),$E752,IF($O752="","",IF(N(INDEX('Menu Pricing'!$O$7:$O$56,$O752))&gt;0,INDEX('Menu Pricing'!$O$7:$O$56,$O752),""))))</f>
        <v/>
      </c>
      <c r="I752" s="71">
        <f>IF($N752&lt;&gt;"OK","",$D752*$H752)</f>
        <v/>
      </c>
      <c r="J752" s="71">
        <f>IF($N752&lt;&gt;"OK","",N(INDEX('Menu Pricing'!$F$7:$F$56,$O752))+N(INDEX('Menu Pricing'!$G$7:$G$56,$O752))+N(INDEX('Menu Pricing'!$J$7:$J$56,$O752)))</f>
        <v/>
      </c>
      <c r="K752" s="71">
        <f>IF($N752&lt;&gt;"OK","",$D752*$J752)</f>
        <v/>
      </c>
      <c r="L752" s="71">
        <f>IF($N752&lt;&gt;"OK","",$I752-$K752)</f>
        <v/>
      </c>
      <c r="M752" s="71">
        <f>IF($N752&lt;&gt;"OK","",$D752*N(INDEX('Menu Pricing'!$F$7:$F$56,$O752)))</f>
        <v/>
      </c>
      <c r="N752" s="80">
        <f>IF(AND($B752="",$C752="",$D752=""),"",IF(NOT(ISNUMBER($B752)),"Enter a valid date",IF($C752="","Pick a menu item",IF($O752="","Item not on Menu Pricing",IF(N($D752)&lt;=0,"Qty must be above 0",IF($H752="","No price on menu","OK"))))))</f>
        <v/>
      </c>
      <c r="O752" s="13">
        <f>IF($C752="","",IFERROR(MATCH($C752,'Menu Pricing'!$B$7:$B$56,0),""))</f>
        <v/>
      </c>
    </row>
    <row r="753" ht="17" customHeight="1">
      <c r="B753" s="66" t="n"/>
      <c r="C753" s="60" t="n"/>
      <c r="D753" s="86" t="n"/>
      <c r="E753" s="63" t="n"/>
      <c r="F753" s="60" t="n"/>
      <c r="G753" s="60" t="n"/>
      <c r="H753" s="71">
        <f>IF(OR($C753="",$D753=""),"",IF(ISNUMBER($E753),$E753,IF($O753="","",IF(N(INDEX('Menu Pricing'!$O$7:$O$56,$O753))&gt;0,INDEX('Menu Pricing'!$O$7:$O$56,$O753),""))))</f>
        <v/>
      </c>
      <c r="I753" s="71">
        <f>IF($N753&lt;&gt;"OK","",$D753*$H753)</f>
        <v/>
      </c>
      <c r="J753" s="71">
        <f>IF($N753&lt;&gt;"OK","",N(INDEX('Menu Pricing'!$F$7:$F$56,$O753))+N(INDEX('Menu Pricing'!$G$7:$G$56,$O753))+N(INDEX('Menu Pricing'!$J$7:$J$56,$O753)))</f>
        <v/>
      </c>
      <c r="K753" s="71">
        <f>IF($N753&lt;&gt;"OK","",$D753*$J753)</f>
        <v/>
      </c>
      <c r="L753" s="71">
        <f>IF($N753&lt;&gt;"OK","",$I753-$K753)</f>
        <v/>
      </c>
      <c r="M753" s="71">
        <f>IF($N753&lt;&gt;"OK","",$D753*N(INDEX('Menu Pricing'!$F$7:$F$56,$O753)))</f>
        <v/>
      </c>
      <c r="N753" s="80">
        <f>IF(AND($B753="",$C753="",$D753=""),"",IF(NOT(ISNUMBER($B753)),"Enter a valid date",IF($C753="","Pick a menu item",IF($O753="","Item not on Menu Pricing",IF(N($D753)&lt;=0,"Qty must be above 0",IF($H753="","No price on menu","OK"))))))</f>
        <v/>
      </c>
      <c r="O753" s="13">
        <f>IF($C753="","",IFERROR(MATCH($C753,'Menu Pricing'!$B$7:$B$56,0),""))</f>
        <v/>
      </c>
    </row>
    <row r="754" ht="17" customHeight="1">
      <c r="B754" s="66" t="n"/>
      <c r="C754" s="60" t="n"/>
      <c r="D754" s="86" t="n"/>
      <c r="E754" s="63" t="n"/>
      <c r="F754" s="60" t="n"/>
      <c r="G754" s="60" t="n"/>
      <c r="H754" s="71">
        <f>IF(OR($C754="",$D754=""),"",IF(ISNUMBER($E754),$E754,IF($O754="","",IF(N(INDEX('Menu Pricing'!$O$7:$O$56,$O754))&gt;0,INDEX('Menu Pricing'!$O$7:$O$56,$O754),""))))</f>
        <v/>
      </c>
      <c r="I754" s="71">
        <f>IF($N754&lt;&gt;"OK","",$D754*$H754)</f>
        <v/>
      </c>
      <c r="J754" s="71">
        <f>IF($N754&lt;&gt;"OK","",N(INDEX('Menu Pricing'!$F$7:$F$56,$O754))+N(INDEX('Menu Pricing'!$G$7:$G$56,$O754))+N(INDEX('Menu Pricing'!$J$7:$J$56,$O754)))</f>
        <v/>
      </c>
      <c r="K754" s="71">
        <f>IF($N754&lt;&gt;"OK","",$D754*$J754)</f>
        <v/>
      </c>
      <c r="L754" s="71">
        <f>IF($N754&lt;&gt;"OK","",$I754-$K754)</f>
        <v/>
      </c>
      <c r="M754" s="71">
        <f>IF($N754&lt;&gt;"OK","",$D754*N(INDEX('Menu Pricing'!$F$7:$F$56,$O754)))</f>
        <v/>
      </c>
      <c r="N754" s="80">
        <f>IF(AND($B754="",$C754="",$D754=""),"",IF(NOT(ISNUMBER($B754)),"Enter a valid date",IF($C754="","Pick a menu item",IF($O754="","Item not on Menu Pricing",IF(N($D754)&lt;=0,"Qty must be above 0",IF($H754="","No price on menu","OK"))))))</f>
        <v/>
      </c>
      <c r="O754" s="13">
        <f>IF($C754="","",IFERROR(MATCH($C754,'Menu Pricing'!$B$7:$B$56,0),""))</f>
        <v/>
      </c>
    </row>
    <row r="755" ht="17" customHeight="1">
      <c r="B755" s="66" t="n"/>
      <c r="C755" s="60" t="n"/>
      <c r="D755" s="86" t="n"/>
      <c r="E755" s="63" t="n"/>
      <c r="F755" s="60" t="n"/>
      <c r="G755" s="60" t="n"/>
      <c r="H755" s="71">
        <f>IF(OR($C755="",$D755=""),"",IF(ISNUMBER($E755),$E755,IF($O755="","",IF(N(INDEX('Menu Pricing'!$O$7:$O$56,$O755))&gt;0,INDEX('Menu Pricing'!$O$7:$O$56,$O755),""))))</f>
        <v/>
      </c>
      <c r="I755" s="71">
        <f>IF($N755&lt;&gt;"OK","",$D755*$H755)</f>
        <v/>
      </c>
      <c r="J755" s="71">
        <f>IF($N755&lt;&gt;"OK","",N(INDEX('Menu Pricing'!$F$7:$F$56,$O755))+N(INDEX('Menu Pricing'!$G$7:$G$56,$O755))+N(INDEX('Menu Pricing'!$J$7:$J$56,$O755)))</f>
        <v/>
      </c>
      <c r="K755" s="71">
        <f>IF($N755&lt;&gt;"OK","",$D755*$J755)</f>
        <v/>
      </c>
      <c r="L755" s="71">
        <f>IF($N755&lt;&gt;"OK","",$I755-$K755)</f>
        <v/>
      </c>
      <c r="M755" s="71">
        <f>IF($N755&lt;&gt;"OK","",$D755*N(INDEX('Menu Pricing'!$F$7:$F$56,$O755)))</f>
        <v/>
      </c>
      <c r="N755" s="80">
        <f>IF(AND($B755="",$C755="",$D755=""),"",IF(NOT(ISNUMBER($B755)),"Enter a valid date",IF($C755="","Pick a menu item",IF($O755="","Item not on Menu Pricing",IF(N($D755)&lt;=0,"Qty must be above 0",IF($H755="","No price on menu","OK"))))))</f>
        <v/>
      </c>
      <c r="O755" s="13">
        <f>IF($C755="","",IFERROR(MATCH($C755,'Menu Pricing'!$B$7:$B$56,0),""))</f>
        <v/>
      </c>
    </row>
    <row r="756" ht="17" customHeight="1">
      <c r="B756" s="66" t="n"/>
      <c r="C756" s="60" t="n"/>
      <c r="D756" s="86" t="n"/>
      <c r="E756" s="63" t="n"/>
      <c r="F756" s="60" t="n"/>
      <c r="G756" s="60" t="n"/>
      <c r="H756" s="71">
        <f>IF(OR($C756="",$D756=""),"",IF(ISNUMBER($E756),$E756,IF($O756="","",IF(N(INDEX('Menu Pricing'!$O$7:$O$56,$O756))&gt;0,INDEX('Menu Pricing'!$O$7:$O$56,$O756),""))))</f>
        <v/>
      </c>
      <c r="I756" s="71">
        <f>IF($N756&lt;&gt;"OK","",$D756*$H756)</f>
        <v/>
      </c>
      <c r="J756" s="71">
        <f>IF($N756&lt;&gt;"OK","",N(INDEX('Menu Pricing'!$F$7:$F$56,$O756))+N(INDEX('Menu Pricing'!$G$7:$G$56,$O756))+N(INDEX('Menu Pricing'!$J$7:$J$56,$O756)))</f>
        <v/>
      </c>
      <c r="K756" s="71">
        <f>IF($N756&lt;&gt;"OK","",$D756*$J756)</f>
        <v/>
      </c>
      <c r="L756" s="71">
        <f>IF($N756&lt;&gt;"OK","",$I756-$K756)</f>
        <v/>
      </c>
      <c r="M756" s="71">
        <f>IF($N756&lt;&gt;"OK","",$D756*N(INDEX('Menu Pricing'!$F$7:$F$56,$O756)))</f>
        <v/>
      </c>
      <c r="N756" s="80">
        <f>IF(AND($B756="",$C756="",$D756=""),"",IF(NOT(ISNUMBER($B756)),"Enter a valid date",IF($C756="","Pick a menu item",IF($O756="","Item not on Menu Pricing",IF(N($D756)&lt;=0,"Qty must be above 0",IF($H756="","No price on menu","OK"))))))</f>
        <v/>
      </c>
      <c r="O756" s="13">
        <f>IF($C756="","",IFERROR(MATCH($C756,'Menu Pricing'!$B$7:$B$56,0),""))</f>
        <v/>
      </c>
    </row>
    <row r="757" ht="17" customHeight="1">
      <c r="B757" s="66" t="n"/>
      <c r="C757" s="60" t="n"/>
      <c r="D757" s="86" t="n"/>
      <c r="E757" s="63" t="n"/>
      <c r="F757" s="60" t="n"/>
      <c r="G757" s="60" t="n"/>
      <c r="H757" s="71">
        <f>IF(OR($C757="",$D757=""),"",IF(ISNUMBER($E757),$E757,IF($O757="","",IF(N(INDEX('Menu Pricing'!$O$7:$O$56,$O757))&gt;0,INDEX('Menu Pricing'!$O$7:$O$56,$O757),""))))</f>
        <v/>
      </c>
      <c r="I757" s="71">
        <f>IF($N757&lt;&gt;"OK","",$D757*$H757)</f>
        <v/>
      </c>
      <c r="J757" s="71">
        <f>IF($N757&lt;&gt;"OK","",N(INDEX('Menu Pricing'!$F$7:$F$56,$O757))+N(INDEX('Menu Pricing'!$G$7:$G$56,$O757))+N(INDEX('Menu Pricing'!$J$7:$J$56,$O757)))</f>
        <v/>
      </c>
      <c r="K757" s="71">
        <f>IF($N757&lt;&gt;"OK","",$D757*$J757)</f>
        <v/>
      </c>
      <c r="L757" s="71">
        <f>IF($N757&lt;&gt;"OK","",$I757-$K757)</f>
        <v/>
      </c>
      <c r="M757" s="71">
        <f>IF($N757&lt;&gt;"OK","",$D757*N(INDEX('Menu Pricing'!$F$7:$F$56,$O757)))</f>
        <v/>
      </c>
      <c r="N757" s="80">
        <f>IF(AND($B757="",$C757="",$D757=""),"",IF(NOT(ISNUMBER($B757)),"Enter a valid date",IF($C757="","Pick a menu item",IF($O757="","Item not on Menu Pricing",IF(N($D757)&lt;=0,"Qty must be above 0",IF($H757="","No price on menu","OK"))))))</f>
        <v/>
      </c>
      <c r="O757" s="13">
        <f>IF($C757="","",IFERROR(MATCH($C757,'Menu Pricing'!$B$7:$B$56,0),""))</f>
        <v/>
      </c>
    </row>
    <row r="758" ht="17" customHeight="1">
      <c r="B758" s="66" t="n"/>
      <c r="C758" s="60" t="n"/>
      <c r="D758" s="86" t="n"/>
      <c r="E758" s="63" t="n"/>
      <c r="F758" s="60" t="n"/>
      <c r="G758" s="60" t="n"/>
      <c r="H758" s="71">
        <f>IF(OR($C758="",$D758=""),"",IF(ISNUMBER($E758),$E758,IF($O758="","",IF(N(INDEX('Menu Pricing'!$O$7:$O$56,$O758))&gt;0,INDEX('Menu Pricing'!$O$7:$O$56,$O758),""))))</f>
        <v/>
      </c>
      <c r="I758" s="71">
        <f>IF($N758&lt;&gt;"OK","",$D758*$H758)</f>
        <v/>
      </c>
      <c r="J758" s="71">
        <f>IF($N758&lt;&gt;"OK","",N(INDEX('Menu Pricing'!$F$7:$F$56,$O758))+N(INDEX('Menu Pricing'!$G$7:$G$56,$O758))+N(INDEX('Menu Pricing'!$J$7:$J$56,$O758)))</f>
        <v/>
      </c>
      <c r="K758" s="71">
        <f>IF($N758&lt;&gt;"OK","",$D758*$J758)</f>
        <v/>
      </c>
      <c r="L758" s="71">
        <f>IF($N758&lt;&gt;"OK","",$I758-$K758)</f>
        <v/>
      </c>
      <c r="M758" s="71">
        <f>IF($N758&lt;&gt;"OK","",$D758*N(INDEX('Menu Pricing'!$F$7:$F$56,$O758)))</f>
        <v/>
      </c>
      <c r="N758" s="80">
        <f>IF(AND($B758="",$C758="",$D758=""),"",IF(NOT(ISNUMBER($B758)),"Enter a valid date",IF($C758="","Pick a menu item",IF($O758="","Item not on Menu Pricing",IF(N($D758)&lt;=0,"Qty must be above 0",IF($H758="","No price on menu","OK"))))))</f>
        <v/>
      </c>
      <c r="O758" s="13">
        <f>IF($C758="","",IFERROR(MATCH($C758,'Menu Pricing'!$B$7:$B$56,0),""))</f>
        <v/>
      </c>
    </row>
    <row r="759" ht="17" customHeight="1">
      <c r="B759" s="66" t="n"/>
      <c r="C759" s="60" t="n"/>
      <c r="D759" s="86" t="n"/>
      <c r="E759" s="63" t="n"/>
      <c r="F759" s="60" t="n"/>
      <c r="G759" s="60" t="n"/>
      <c r="H759" s="71">
        <f>IF(OR($C759="",$D759=""),"",IF(ISNUMBER($E759),$E759,IF($O759="","",IF(N(INDEX('Menu Pricing'!$O$7:$O$56,$O759))&gt;0,INDEX('Menu Pricing'!$O$7:$O$56,$O759),""))))</f>
        <v/>
      </c>
      <c r="I759" s="71">
        <f>IF($N759&lt;&gt;"OK","",$D759*$H759)</f>
        <v/>
      </c>
      <c r="J759" s="71">
        <f>IF($N759&lt;&gt;"OK","",N(INDEX('Menu Pricing'!$F$7:$F$56,$O759))+N(INDEX('Menu Pricing'!$G$7:$G$56,$O759))+N(INDEX('Menu Pricing'!$J$7:$J$56,$O759)))</f>
        <v/>
      </c>
      <c r="K759" s="71">
        <f>IF($N759&lt;&gt;"OK","",$D759*$J759)</f>
        <v/>
      </c>
      <c r="L759" s="71">
        <f>IF($N759&lt;&gt;"OK","",$I759-$K759)</f>
        <v/>
      </c>
      <c r="M759" s="71">
        <f>IF($N759&lt;&gt;"OK","",$D759*N(INDEX('Menu Pricing'!$F$7:$F$56,$O759)))</f>
        <v/>
      </c>
      <c r="N759" s="80">
        <f>IF(AND($B759="",$C759="",$D759=""),"",IF(NOT(ISNUMBER($B759)),"Enter a valid date",IF($C759="","Pick a menu item",IF($O759="","Item not on Menu Pricing",IF(N($D759)&lt;=0,"Qty must be above 0",IF($H759="","No price on menu","OK"))))))</f>
        <v/>
      </c>
      <c r="O759" s="13">
        <f>IF($C759="","",IFERROR(MATCH($C759,'Menu Pricing'!$B$7:$B$56,0),""))</f>
        <v/>
      </c>
    </row>
    <row r="760" ht="17" customHeight="1">
      <c r="B760" s="66" t="n"/>
      <c r="C760" s="60" t="n"/>
      <c r="D760" s="86" t="n"/>
      <c r="E760" s="63" t="n"/>
      <c r="F760" s="60" t="n"/>
      <c r="G760" s="60" t="n"/>
      <c r="H760" s="71">
        <f>IF(OR($C760="",$D760=""),"",IF(ISNUMBER($E760),$E760,IF($O760="","",IF(N(INDEX('Menu Pricing'!$O$7:$O$56,$O760))&gt;0,INDEX('Menu Pricing'!$O$7:$O$56,$O760),""))))</f>
        <v/>
      </c>
      <c r="I760" s="71">
        <f>IF($N760&lt;&gt;"OK","",$D760*$H760)</f>
        <v/>
      </c>
      <c r="J760" s="71">
        <f>IF($N760&lt;&gt;"OK","",N(INDEX('Menu Pricing'!$F$7:$F$56,$O760))+N(INDEX('Menu Pricing'!$G$7:$G$56,$O760))+N(INDEX('Menu Pricing'!$J$7:$J$56,$O760)))</f>
        <v/>
      </c>
      <c r="K760" s="71">
        <f>IF($N760&lt;&gt;"OK","",$D760*$J760)</f>
        <v/>
      </c>
      <c r="L760" s="71">
        <f>IF($N760&lt;&gt;"OK","",$I760-$K760)</f>
        <v/>
      </c>
      <c r="M760" s="71">
        <f>IF($N760&lt;&gt;"OK","",$D760*N(INDEX('Menu Pricing'!$F$7:$F$56,$O760)))</f>
        <v/>
      </c>
      <c r="N760" s="80">
        <f>IF(AND($B760="",$C760="",$D760=""),"",IF(NOT(ISNUMBER($B760)),"Enter a valid date",IF($C760="","Pick a menu item",IF($O760="","Item not on Menu Pricing",IF(N($D760)&lt;=0,"Qty must be above 0",IF($H760="","No price on menu","OK"))))))</f>
        <v/>
      </c>
      <c r="O760" s="13">
        <f>IF($C760="","",IFERROR(MATCH($C760,'Menu Pricing'!$B$7:$B$56,0),""))</f>
        <v/>
      </c>
    </row>
    <row r="761" ht="17" customHeight="1">
      <c r="B761" s="66" t="n"/>
      <c r="C761" s="60" t="n"/>
      <c r="D761" s="86" t="n"/>
      <c r="E761" s="63" t="n"/>
      <c r="F761" s="60" t="n"/>
      <c r="G761" s="60" t="n"/>
      <c r="H761" s="71">
        <f>IF(OR($C761="",$D761=""),"",IF(ISNUMBER($E761),$E761,IF($O761="","",IF(N(INDEX('Menu Pricing'!$O$7:$O$56,$O761))&gt;0,INDEX('Menu Pricing'!$O$7:$O$56,$O761),""))))</f>
        <v/>
      </c>
      <c r="I761" s="71">
        <f>IF($N761&lt;&gt;"OK","",$D761*$H761)</f>
        <v/>
      </c>
      <c r="J761" s="71">
        <f>IF($N761&lt;&gt;"OK","",N(INDEX('Menu Pricing'!$F$7:$F$56,$O761))+N(INDEX('Menu Pricing'!$G$7:$G$56,$O761))+N(INDEX('Menu Pricing'!$J$7:$J$56,$O761)))</f>
        <v/>
      </c>
      <c r="K761" s="71">
        <f>IF($N761&lt;&gt;"OK","",$D761*$J761)</f>
        <v/>
      </c>
      <c r="L761" s="71">
        <f>IF($N761&lt;&gt;"OK","",$I761-$K761)</f>
        <v/>
      </c>
      <c r="M761" s="71">
        <f>IF($N761&lt;&gt;"OK","",$D761*N(INDEX('Menu Pricing'!$F$7:$F$56,$O761)))</f>
        <v/>
      </c>
      <c r="N761" s="80">
        <f>IF(AND($B761="",$C761="",$D761=""),"",IF(NOT(ISNUMBER($B761)),"Enter a valid date",IF($C761="","Pick a menu item",IF($O761="","Item not on Menu Pricing",IF(N($D761)&lt;=0,"Qty must be above 0",IF($H761="","No price on menu","OK"))))))</f>
        <v/>
      </c>
      <c r="O761" s="13">
        <f>IF($C761="","",IFERROR(MATCH($C761,'Menu Pricing'!$B$7:$B$56,0),""))</f>
        <v/>
      </c>
    </row>
    <row r="762" ht="17" customHeight="1">
      <c r="B762" s="66" t="n"/>
      <c r="C762" s="60" t="n"/>
      <c r="D762" s="86" t="n"/>
      <c r="E762" s="63" t="n"/>
      <c r="F762" s="60" t="n"/>
      <c r="G762" s="60" t="n"/>
      <c r="H762" s="71">
        <f>IF(OR($C762="",$D762=""),"",IF(ISNUMBER($E762),$E762,IF($O762="","",IF(N(INDEX('Menu Pricing'!$O$7:$O$56,$O762))&gt;0,INDEX('Menu Pricing'!$O$7:$O$56,$O762),""))))</f>
        <v/>
      </c>
      <c r="I762" s="71">
        <f>IF($N762&lt;&gt;"OK","",$D762*$H762)</f>
        <v/>
      </c>
      <c r="J762" s="71">
        <f>IF($N762&lt;&gt;"OK","",N(INDEX('Menu Pricing'!$F$7:$F$56,$O762))+N(INDEX('Menu Pricing'!$G$7:$G$56,$O762))+N(INDEX('Menu Pricing'!$J$7:$J$56,$O762)))</f>
        <v/>
      </c>
      <c r="K762" s="71">
        <f>IF($N762&lt;&gt;"OK","",$D762*$J762)</f>
        <v/>
      </c>
      <c r="L762" s="71">
        <f>IF($N762&lt;&gt;"OK","",$I762-$K762)</f>
        <v/>
      </c>
      <c r="M762" s="71">
        <f>IF($N762&lt;&gt;"OK","",$D762*N(INDEX('Menu Pricing'!$F$7:$F$56,$O762)))</f>
        <v/>
      </c>
      <c r="N762" s="80">
        <f>IF(AND($B762="",$C762="",$D762=""),"",IF(NOT(ISNUMBER($B762)),"Enter a valid date",IF($C762="","Pick a menu item",IF($O762="","Item not on Menu Pricing",IF(N($D762)&lt;=0,"Qty must be above 0",IF($H762="","No price on menu","OK"))))))</f>
        <v/>
      </c>
      <c r="O762" s="13">
        <f>IF($C762="","",IFERROR(MATCH($C762,'Menu Pricing'!$B$7:$B$56,0),""))</f>
        <v/>
      </c>
    </row>
    <row r="763" ht="17" customHeight="1">
      <c r="B763" s="66" t="n"/>
      <c r="C763" s="60" t="n"/>
      <c r="D763" s="86" t="n"/>
      <c r="E763" s="63" t="n"/>
      <c r="F763" s="60" t="n"/>
      <c r="G763" s="60" t="n"/>
      <c r="H763" s="71">
        <f>IF(OR($C763="",$D763=""),"",IF(ISNUMBER($E763),$E763,IF($O763="","",IF(N(INDEX('Menu Pricing'!$O$7:$O$56,$O763))&gt;0,INDEX('Menu Pricing'!$O$7:$O$56,$O763),""))))</f>
        <v/>
      </c>
      <c r="I763" s="71">
        <f>IF($N763&lt;&gt;"OK","",$D763*$H763)</f>
        <v/>
      </c>
      <c r="J763" s="71">
        <f>IF($N763&lt;&gt;"OK","",N(INDEX('Menu Pricing'!$F$7:$F$56,$O763))+N(INDEX('Menu Pricing'!$G$7:$G$56,$O763))+N(INDEX('Menu Pricing'!$J$7:$J$56,$O763)))</f>
        <v/>
      </c>
      <c r="K763" s="71">
        <f>IF($N763&lt;&gt;"OK","",$D763*$J763)</f>
        <v/>
      </c>
      <c r="L763" s="71">
        <f>IF($N763&lt;&gt;"OK","",$I763-$K763)</f>
        <v/>
      </c>
      <c r="M763" s="71">
        <f>IF($N763&lt;&gt;"OK","",$D763*N(INDEX('Menu Pricing'!$F$7:$F$56,$O763)))</f>
        <v/>
      </c>
      <c r="N763" s="80">
        <f>IF(AND($B763="",$C763="",$D763=""),"",IF(NOT(ISNUMBER($B763)),"Enter a valid date",IF($C763="","Pick a menu item",IF($O763="","Item not on Menu Pricing",IF(N($D763)&lt;=0,"Qty must be above 0",IF($H763="","No price on menu","OK"))))))</f>
        <v/>
      </c>
      <c r="O763" s="13">
        <f>IF($C763="","",IFERROR(MATCH($C763,'Menu Pricing'!$B$7:$B$56,0),""))</f>
        <v/>
      </c>
    </row>
    <row r="764" ht="17" customHeight="1">
      <c r="B764" s="66" t="n"/>
      <c r="C764" s="60" t="n"/>
      <c r="D764" s="86" t="n"/>
      <c r="E764" s="63" t="n"/>
      <c r="F764" s="60" t="n"/>
      <c r="G764" s="60" t="n"/>
      <c r="H764" s="71">
        <f>IF(OR($C764="",$D764=""),"",IF(ISNUMBER($E764),$E764,IF($O764="","",IF(N(INDEX('Menu Pricing'!$O$7:$O$56,$O764))&gt;0,INDEX('Menu Pricing'!$O$7:$O$56,$O764),""))))</f>
        <v/>
      </c>
      <c r="I764" s="71">
        <f>IF($N764&lt;&gt;"OK","",$D764*$H764)</f>
        <v/>
      </c>
      <c r="J764" s="71">
        <f>IF($N764&lt;&gt;"OK","",N(INDEX('Menu Pricing'!$F$7:$F$56,$O764))+N(INDEX('Menu Pricing'!$G$7:$G$56,$O764))+N(INDEX('Menu Pricing'!$J$7:$J$56,$O764)))</f>
        <v/>
      </c>
      <c r="K764" s="71">
        <f>IF($N764&lt;&gt;"OK","",$D764*$J764)</f>
        <v/>
      </c>
      <c r="L764" s="71">
        <f>IF($N764&lt;&gt;"OK","",$I764-$K764)</f>
        <v/>
      </c>
      <c r="M764" s="71">
        <f>IF($N764&lt;&gt;"OK","",$D764*N(INDEX('Menu Pricing'!$F$7:$F$56,$O764)))</f>
        <v/>
      </c>
      <c r="N764" s="80">
        <f>IF(AND($B764="",$C764="",$D764=""),"",IF(NOT(ISNUMBER($B764)),"Enter a valid date",IF($C764="","Pick a menu item",IF($O764="","Item not on Menu Pricing",IF(N($D764)&lt;=0,"Qty must be above 0",IF($H764="","No price on menu","OK"))))))</f>
        <v/>
      </c>
      <c r="O764" s="13">
        <f>IF($C764="","",IFERROR(MATCH($C764,'Menu Pricing'!$B$7:$B$56,0),""))</f>
        <v/>
      </c>
    </row>
    <row r="765" ht="17" customHeight="1">
      <c r="B765" s="66" t="n"/>
      <c r="C765" s="60" t="n"/>
      <c r="D765" s="86" t="n"/>
      <c r="E765" s="63" t="n"/>
      <c r="F765" s="60" t="n"/>
      <c r="G765" s="60" t="n"/>
      <c r="H765" s="71">
        <f>IF(OR($C765="",$D765=""),"",IF(ISNUMBER($E765),$E765,IF($O765="","",IF(N(INDEX('Menu Pricing'!$O$7:$O$56,$O765))&gt;0,INDEX('Menu Pricing'!$O$7:$O$56,$O765),""))))</f>
        <v/>
      </c>
      <c r="I765" s="71">
        <f>IF($N765&lt;&gt;"OK","",$D765*$H765)</f>
        <v/>
      </c>
      <c r="J765" s="71">
        <f>IF($N765&lt;&gt;"OK","",N(INDEX('Menu Pricing'!$F$7:$F$56,$O765))+N(INDEX('Menu Pricing'!$G$7:$G$56,$O765))+N(INDEX('Menu Pricing'!$J$7:$J$56,$O765)))</f>
        <v/>
      </c>
      <c r="K765" s="71">
        <f>IF($N765&lt;&gt;"OK","",$D765*$J765)</f>
        <v/>
      </c>
      <c r="L765" s="71">
        <f>IF($N765&lt;&gt;"OK","",$I765-$K765)</f>
        <v/>
      </c>
      <c r="M765" s="71">
        <f>IF($N765&lt;&gt;"OK","",$D765*N(INDEX('Menu Pricing'!$F$7:$F$56,$O765)))</f>
        <v/>
      </c>
      <c r="N765" s="80">
        <f>IF(AND($B765="",$C765="",$D765=""),"",IF(NOT(ISNUMBER($B765)),"Enter a valid date",IF($C765="","Pick a menu item",IF($O765="","Item not on Menu Pricing",IF(N($D765)&lt;=0,"Qty must be above 0",IF($H765="","No price on menu","OK"))))))</f>
        <v/>
      </c>
      <c r="O765" s="13">
        <f>IF($C765="","",IFERROR(MATCH($C765,'Menu Pricing'!$B$7:$B$56,0),""))</f>
        <v/>
      </c>
    </row>
    <row r="766" ht="17" customHeight="1">
      <c r="B766" s="66" t="n"/>
      <c r="C766" s="60" t="n"/>
      <c r="D766" s="86" t="n"/>
      <c r="E766" s="63" t="n"/>
      <c r="F766" s="60" t="n"/>
      <c r="G766" s="60" t="n"/>
      <c r="H766" s="71">
        <f>IF(OR($C766="",$D766=""),"",IF(ISNUMBER($E766),$E766,IF($O766="","",IF(N(INDEX('Menu Pricing'!$O$7:$O$56,$O766))&gt;0,INDEX('Menu Pricing'!$O$7:$O$56,$O766),""))))</f>
        <v/>
      </c>
      <c r="I766" s="71">
        <f>IF($N766&lt;&gt;"OK","",$D766*$H766)</f>
        <v/>
      </c>
      <c r="J766" s="71">
        <f>IF($N766&lt;&gt;"OK","",N(INDEX('Menu Pricing'!$F$7:$F$56,$O766))+N(INDEX('Menu Pricing'!$G$7:$G$56,$O766))+N(INDEX('Menu Pricing'!$J$7:$J$56,$O766)))</f>
        <v/>
      </c>
      <c r="K766" s="71">
        <f>IF($N766&lt;&gt;"OK","",$D766*$J766)</f>
        <v/>
      </c>
      <c r="L766" s="71">
        <f>IF($N766&lt;&gt;"OK","",$I766-$K766)</f>
        <v/>
      </c>
      <c r="M766" s="71">
        <f>IF($N766&lt;&gt;"OK","",$D766*N(INDEX('Menu Pricing'!$F$7:$F$56,$O766)))</f>
        <v/>
      </c>
      <c r="N766" s="80">
        <f>IF(AND($B766="",$C766="",$D766=""),"",IF(NOT(ISNUMBER($B766)),"Enter a valid date",IF($C766="","Pick a menu item",IF($O766="","Item not on Menu Pricing",IF(N($D766)&lt;=0,"Qty must be above 0",IF($H766="","No price on menu","OK"))))))</f>
        <v/>
      </c>
      <c r="O766" s="13">
        <f>IF($C766="","",IFERROR(MATCH($C766,'Menu Pricing'!$B$7:$B$56,0),""))</f>
        <v/>
      </c>
    </row>
    <row r="767" ht="17" customHeight="1">
      <c r="B767" s="66" t="n"/>
      <c r="C767" s="60" t="n"/>
      <c r="D767" s="86" t="n"/>
      <c r="E767" s="63" t="n"/>
      <c r="F767" s="60" t="n"/>
      <c r="G767" s="60" t="n"/>
      <c r="H767" s="71">
        <f>IF(OR($C767="",$D767=""),"",IF(ISNUMBER($E767),$E767,IF($O767="","",IF(N(INDEX('Menu Pricing'!$O$7:$O$56,$O767))&gt;0,INDEX('Menu Pricing'!$O$7:$O$56,$O767),""))))</f>
        <v/>
      </c>
      <c r="I767" s="71">
        <f>IF($N767&lt;&gt;"OK","",$D767*$H767)</f>
        <v/>
      </c>
      <c r="J767" s="71">
        <f>IF($N767&lt;&gt;"OK","",N(INDEX('Menu Pricing'!$F$7:$F$56,$O767))+N(INDEX('Menu Pricing'!$G$7:$G$56,$O767))+N(INDEX('Menu Pricing'!$J$7:$J$56,$O767)))</f>
        <v/>
      </c>
      <c r="K767" s="71">
        <f>IF($N767&lt;&gt;"OK","",$D767*$J767)</f>
        <v/>
      </c>
      <c r="L767" s="71">
        <f>IF($N767&lt;&gt;"OK","",$I767-$K767)</f>
        <v/>
      </c>
      <c r="M767" s="71">
        <f>IF($N767&lt;&gt;"OK","",$D767*N(INDEX('Menu Pricing'!$F$7:$F$56,$O767)))</f>
        <v/>
      </c>
      <c r="N767" s="80">
        <f>IF(AND($B767="",$C767="",$D767=""),"",IF(NOT(ISNUMBER($B767)),"Enter a valid date",IF($C767="","Pick a menu item",IF($O767="","Item not on Menu Pricing",IF(N($D767)&lt;=0,"Qty must be above 0",IF($H767="","No price on menu","OK"))))))</f>
        <v/>
      </c>
      <c r="O767" s="13">
        <f>IF($C767="","",IFERROR(MATCH($C767,'Menu Pricing'!$B$7:$B$56,0),""))</f>
        <v/>
      </c>
    </row>
    <row r="768" ht="17" customHeight="1">
      <c r="B768" s="66" t="n"/>
      <c r="C768" s="60" t="n"/>
      <c r="D768" s="86" t="n"/>
      <c r="E768" s="63" t="n"/>
      <c r="F768" s="60" t="n"/>
      <c r="G768" s="60" t="n"/>
      <c r="H768" s="71">
        <f>IF(OR($C768="",$D768=""),"",IF(ISNUMBER($E768),$E768,IF($O768="","",IF(N(INDEX('Menu Pricing'!$O$7:$O$56,$O768))&gt;0,INDEX('Menu Pricing'!$O$7:$O$56,$O768),""))))</f>
        <v/>
      </c>
      <c r="I768" s="71">
        <f>IF($N768&lt;&gt;"OK","",$D768*$H768)</f>
        <v/>
      </c>
      <c r="J768" s="71">
        <f>IF($N768&lt;&gt;"OK","",N(INDEX('Menu Pricing'!$F$7:$F$56,$O768))+N(INDEX('Menu Pricing'!$G$7:$G$56,$O768))+N(INDEX('Menu Pricing'!$J$7:$J$56,$O768)))</f>
        <v/>
      </c>
      <c r="K768" s="71">
        <f>IF($N768&lt;&gt;"OK","",$D768*$J768)</f>
        <v/>
      </c>
      <c r="L768" s="71">
        <f>IF($N768&lt;&gt;"OK","",$I768-$K768)</f>
        <v/>
      </c>
      <c r="M768" s="71">
        <f>IF($N768&lt;&gt;"OK","",$D768*N(INDEX('Menu Pricing'!$F$7:$F$56,$O768)))</f>
        <v/>
      </c>
      <c r="N768" s="80">
        <f>IF(AND($B768="",$C768="",$D768=""),"",IF(NOT(ISNUMBER($B768)),"Enter a valid date",IF($C768="","Pick a menu item",IF($O768="","Item not on Menu Pricing",IF(N($D768)&lt;=0,"Qty must be above 0",IF($H768="","No price on menu","OK"))))))</f>
        <v/>
      </c>
      <c r="O768" s="13">
        <f>IF($C768="","",IFERROR(MATCH($C768,'Menu Pricing'!$B$7:$B$56,0),""))</f>
        <v/>
      </c>
    </row>
    <row r="769" ht="17" customHeight="1">
      <c r="B769" s="66" t="n"/>
      <c r="C769" s="60" t="n"/>
      <c r="D769" s="86" t="n"/>
      <c r="E769" s="63" t="n"/>
      <c r="F769" s="60" t="n"/>
      <c r="G769" s="60" t="n"/>
      <c r="H769" s="71">
        <f>IF(OR($C769="",$D769=""),"",IF(ISNUMBER($E769),$E769,IF($O769="","",IF(N(INDEX('Menu Pricing'!$O$7:$O$56,$O769))&gt;0,INDEX('Menu Pricing'!$O$7:$O$56,$O769),""))))</f>
        <v/>
      </c>
      <c r="I769" s="71">
        <f>IF($N769&lt;&gt;"OK","",$D769*$H769)</f>
        <v/>
      </c>
      <c r="J769" s="71">
        <f>IF($N769&lt;&gt;"OK","",N(INDEX('Menu Pricing'!$F$7:$F$56,$O769))+N(INDEX('Menu Pricing'!$G$7:$G$56,$O769))+N(INDEX('Menu Pricing'!$J$7:$J$56,$O769)))</f>
        <v/>
      </c>
      <c r="K769" s="71">
        <f>IF($N769&lt;&gt;"OK","",$D769*$J769)</f>
        <v/>
      </c>
      <c r="L769" s="71">
        <f>IF($N769&lt;&gt;"OK","",$I769-$K769)</f>
        <v/>
      </c>
      <c r="M769" s="71">
        <f>IF($N769&lt;&gt;"OK","",$D769*N(INDEX('Menu Pricing'!$F$7:$F$56,$O769)))</f>
        <v/>
      </c>
      <c r="N769" s="80">
        <f>IF(AND($B769="",$C769="",$D769=""),"",IF(NOT(ISNUMBER($B769)),"Enter a valid date",IF($C769="","Pick a menu item",IF($O769="","Item not on Menu Pricing",IF(N($D769)&lt;=0,"Qty must be above 0",IF($H769="","No price on menu","OK"))))))</f>
        <v/>
      </c>
      <c r="O769" s="13">
        <f>IF($C769="","",IFERROR(MATCH($C769,'Menu Pricing'!$B$7:$B$56,0),""))</f>
        <v/>
      </c>
    </row>
    <row r="770" ht="17" customHeight="1">
      <c r="B770" s="66" t="n"/>
      <c r="C770" s="60" t="n"/>
      <c r="D770" s="86" t="n"/>
      <c r="E770" s="63" t="n"/>
      <c r="F770" s="60" t="n"/>
      <c r="G770" s="60" t="n"/>
      <c r="H770" s="71">
        <f>IF(OR($C770="",$D770=""),"",IF(ISNUMBER($E770),$E770,IF($O770="","",IF(N(INDEX('Menu Pricing'!$O$7:$O$56,$O770))&gt;0,INDEX('Menu Pricing'!$O$7:$O$56,$O770),""))))</f>
        <v/>
      </c>
      <c r="I770" s="71">
        <f>IF($N770&lt;&gt;"OK","",$D770*$H770)</f>
        <v/>
      </c>
      <c r="J770" s="71">
        <f>IF($N770&lt;&gt;"OK","",N(INDEX('Menu Pricing'!$F$7:$F$56,$O770))+N(INDEX('Menu Pricing'!$G$7:$G$56,$O770))+N(INDEX('Menu Pricing'!$J$7:$J$56,$O770)))</f>
        <v/>
      </c>
      <c r="K770" s="71">
        <f>IF($N770&lt;&gt;"OK","",$D770*$J770)</f>
        <v/>
      </c>
      <c r="L770" s="71">
        <f>IF($N770&lt;&gt;"OK","",$I770-$K770)</f>
        <v/>
      </c>
      <c r="M770" s="71">
        <f>IF($N770&lt;&gt;"OK","",$D770*N(INDEX('Menu Pricing'!$F$7:$F$56,$O770)))</f>
        <v/>
      </c>
      <c r="N770" s="80">
        <f>IF(AND($B770="",$C770="",$D770=""),"",IF(NOT(ISNUMBER($B770)),"Enter a valid date",IF($C770="","Pick a menu item",IF($O770="","Item not on Menu Pricing",IF(N($D770)&lt;=0,"Qty must be above 0",IF($H770="","No price on menu","OK"))))))</f>
        <v/>
      </c>
      <c r="O770" s="13">
        <f>IF($C770="","",IFERROR(MATCH($C770,'Menu Pricing'!$B$7:$B$56,0),""))</f>
        <v/>
      </c>
    </row>
    <row r="771" ht="17" customHeight="1">
      <c r="B771" s="66" t="n"/>
      <c r="C771" s="60" t="n"/>
      <c r="D771" s="86" t="n"/>
      <c r="E771" s="63" t="n"/>
      <c r="F771" s="60" t="n"/>
      <c r="G771" s="60" t="n"/>
      <c r="H771" s="71">
        <f>IF(OR($C771="",$D771=""),"",IF(ISNUMBER($E771),$E771,IF($O771="","",IF(N(INDEX('Menu Pricing'!$O$7:$O$56,$O771))&gt;0,INDEX('Menu Pricing'!$O$7:$O$56,$O771),""))))</f>
        <v/>
      </c>
      <c r="I771" s="71">
        <f>IF($N771&lt;&gt;"OK","",$D771*$H771)</f>
        <v/>
      </c>
      <c r="J771" s="71">
        <f>IF($N771&lt;&gt;"OK","",N(INDEX('Menu Pricing'!$F$7:$F$56,$O771))+N(INDEX('Menu Pricing'!$G$7:$G$56,$O771))+N(INDEX('Menu Pricing'!$J$7:$J$56,$O771)))</f>
        <v/>
      </c>
      <c r="K771" s="71">
        <f>IF($N771&lt;&gt;"OK","",$D771*$J771)</f>
        <v/>
      </c>
      <c r="L771" s="71">
        <f>IF($N771&lt;&gt;"OK","",$I771-$K771)</f>
        <v/>
      </c>
      <c r="M771" s="71">
        <f>IF($N771&lt;&gt;"OK","",$D771*N(INDEX('Menu Pricing'!$F$7:$F$56,$O771)))</f>
        <v/>
      </c>
      <c r="N771" s="80">
        <f>IF(AND($B771="",$C771="",$D771=""),"",IF(NOT(ISNUMBER($B771)),"Enter a valid date",IF($C771="","Pick a menu item",IF($O771="","Item not on Menu Pricing",IF(N($D771)&lt;=0,"Qty must be above 0",IF($H771="","No price on menu","OK"))))))</f>
        <v/>
      </c>
      <c r="O771" s="13">
        <f>IF($C771="","",IFERROR(MATCH($C771,'Menu Pricing'!$B$7:$B$56,0),""))</f>
        <v/>
      </c>
    </row>
    <row r="772" ht="17" customHeight="1">
      <c r="B772" s="66" t="n"/>
      <c r="C772" s="60" t="n"/>
      <c r="D772" s="86" t="n"/>
      <c r="E772" s="63" t="n"/>
      <c r="F772" s="60" t="n"/>
      <c r="G772" s="60" t="n"/>
      <c r="H772" s="71">
        <f>IF(OR($C772="",$D772=""),"",IF(ISNUMBER($E772),$E772,IF($O772="","",IF(N(INDEX('Menu Pricing'!$O$7:$O$56,$O772))&gt;0,INDEX('Menu Pricing'!$O$7:$O$56,$O772),""))))</f>
        <v/>
      </c>
      <c r="I772" s="71">
        <f>IF($N772&lt;&gt;"OK","",$D772*$H772)</f>
        <v/>
      </c>
      <c r="J772" s="71">
        <f>IF($N772&lt;&gt;"OK","",N(INDEX('Menu Pricing'!$F$7:$F$56,$O772))+N(INDEX('Menu Pricing'!$G$7:$G$56,$O772))+N(INDEX('Menu Pricing'!$J$7:$J$56,$O772)))</f>
        <v/>
      </c>
      <c r="K772" s="71">
        <f>IF($N772&lt;&gt;"OK","",$D772*$J772)</f>
        <v/>
      </c>
      <c r="L772" s="71">
        <f>IF($N772&lt;&gt;"OK","",$I772-$K772)</f>
        <v/>
      </c>
      <c r="M772" s="71">
        <f>IF($N772&lt;&gt;"OK","",$D772*N(INDEX('Menu Pricing'!$F$7:$F$56,$O772)))</f>
        <v/>
      </c>
      <c r="N772" s="80">
        <f>IF(AND($B772="",$C772="",$D772=""),"",IF(NOT(ISNUMBER($B772)),"Enter a valid date",IF($C772="","Pick a menu item",IF($O772="","Item not on Menu Pricing",IF(N($D772)&lt;=0,"Qty must be above 0",IF($H772="","No price on menu","OK"))))))</f>
        <v/>
      </c>
      <c r="O772" s="13">
        <f>IF($C772="","",IFERROR(MATCH($C772,'Menu Pricing'!$B$7:$B$56,0),""))</f>
        <v/>
      </c>
    </row>
    <row r="773" ht="17" customHeight="1">
      <c r="B773" s="66" t="n"/>
      <c r="C773" s="60" t="n"/>
      <c r="D773" s="86" t="n"/>
      <c r="E773" s="63" t="n"/>
      <c r="F773" s="60" t="n"/>
      <c r="G773" s="60" t="n"/>
      <c r="H773" s="71">
        <f>IF(OR($C773="",$D773=""),"",IF(ISNUMBER($E773),$E773,IF($O773="","",IF(N(INDEX('Menu Pricing'!$O$7:$O$56,$O773))&gt;0,INDEX('Menu Pricing'!$O$7:$O$56,$O773),""))))</f>
        <v/>
      </c>
      <c r="I773" s="71">
        <f>IF($N773&lt;&gt;"OK","",$D773*$H773)</f>
        <v/>
      </c>
      <c r="J773" s="71">
        <f>IF($N773&lt;&gt;"OK","",N(INDEX('Menu Pricing'!$F$7:$F$56,$O773))+N(INDEX('Menu Pricing'!$G$7:$G$56,$O773))+N(INDEX('Menu Pricing'!$J$7:$J$56,$O773)))</f>
        <v/>
      </c>
      <c r="K773" s="71">
        <f>IF($N773&lt;&gt;"OK","",$D773*$J773)</f>
        <v/>
      </c>
      <c r="L773" s="71">
        <f>IF($N773&lt;&gt;"OK","",$I773-$K773)</f>
        <v/>
      </c>
      <c r="M773" s="71">
        <f>IF($N773&lt;&gt;"OK","",$D773*N(INDEX('Menu Pricing'!$F$7:$F$56,$O773)))</f>
        <v/>
      </c>
      <c r="N773" s="80">
        <f>IF(AND($B773="",$C773="",$D773=""),"",IF(NOT(ISNUMBER($B773)),"Enter a valid date",IF($C773="","Pick a menu item",IF($O773="","Item not on Menu Pricing",IF(N($D773)&lt;=0,"Qty must be above 0",IF($H773="","No price on menu","OK"))))))</f>
        <v/>
      </c>
      <c r="O773" s="13">
        <f>IF($C773="","",IFERROR(MATCH($C773,'Menu Pricing'!$B$7:$B$56,0),""))</f>
        <v/>
      </c>
    </row>
    <row r="774" ht="17" customHeight="1">
      <c r="B774" s="66" t="n"/>
      <c r="C774" s="60" t="n"/>
      <c r="D774" s="86" t="n"/>
      <c r="E774" s="63" t="n"/>
      <c r="F774" s="60" t="n"/>
      <c r="G774" s="60" t="n"/>
      <c r="H774" s="71">
        <f>IF(OR($C774="",$D774=""),"",IF(ISNUMBER($E774),$E774,IF($O774="","",IF(N(INDEX('Menu Pricing'!$O$7:$O$56,$O774))&gt;0,INDEX('Menu Pricing'!$O$7:$O$56,$O774),""))))</f>
        <v/>
      </c>
      <c r="I774" s="71">
        <f>IF($N774&lt;&gt;"OK","",$D774*$H774)</f>
        <v/>
      </c>
      <c r="J774" s="71">
        <f>IF($N774&lt;&gt;"OK","",N(INDEX('Menu Pricing'!$F$7:$F$56,$O774))+N(INDEX('Menu Pricing'!$G$7:$G$56,$O774))+N(INDEX('Menu Pricing'!$J$7:$J$56,$O774)))</f>
        <v/>
      </c>
      <c r="K774" s="71">
        <f>IF($N774&lt;&gt;"OK","",$D774*$J774)</f>
        <v/>
      </c>
      <c r="L774" s="71">
        <f>IF($N774&lt;&gt;"OK","",$I774-$K774)</f>
        <v/>
      </c>
      <c r="M774" s="71">
        <f>IF($N774&lt;&gt;"OK","",$D774*N(INDEX('Menu Pricing'!$F$7:$F$56,$O774)))</f>
        <v/>
      </c>
      <c r="N774" s="80">
        <f>IF(AND($B774="",$C774="",$D774=""),"",IF(NOT(ISNUMBER($B774)),"Enter a valid date",IF($C774="","Pick a menu item",IF($O774="","Item not on Menu Pricing",IF(N($D774)&lt;=0,"Qty must be above 0",IF($H774="","No price on menu","OK"))))))</f>
        <v/>
      </c>
      <c r="O774" s="13">
        <f>IF($C774="","",IFERROR(MATCH($C774,'Menu Pricing'!$B$7:$B$56,0),""))</f>
        <v/>
      </c>
    </row>
    <row r="775" ht="17" customHeight="1">
      <c r="B775" s="66" t="n"/>
      <c r="C775" s="60" t="n"/>
      <c r="D775" s="86" t="n"/>
      <c r="E775" s="63" t="n"/>
      <c r="F775" s="60" t="n"/>
      <c r="G775" s="60" t="n"/>
      <c r="H775" s="71">
        <f>IF(OR($C775="",$D775=""),"",IF(ISNUMBER($E775),$E775,IF($O775="","",IF(N(INDEX('Menu Pricing'!$O$7:$O$56,$O775))&gt;0,INDEX('Menu Pricing'!$O$7:$O$56,$O775),""))))</f>
        <v/>
      </c>
      <c r="I775" s="71">
        <f>IF($N775&lt;&gt;"OK","",$D775*$H775)</f>
        <v/>
      </c>
      <c r="J775" s="71">
        <f>IF($N775&lt;&gt;"OK","",N(INDEX('Menu Pricing'!$F$7:$F$56,$O775))+N(INDEX('Menu Pricing'!$G$7:$G$56,$O775))+N(INDEX('Menu Pricing'!$J$7:$J$56,$O775)))</f>
        <v/>
      </c>
      <c r="K775" s="71">
        <f>IF($N775&lt;&gt;"OK","",$D775*$J775)</f>
        <v/>
      </c>
      <c r="L775" s="71">
        <f>IF($N775&lt;&gt;"OK","",$I775-$K775)</f>
        <v/>
      </c>
      <c r="M775" s="71">
        <f>IF($N775&lt;&gt;"OK","",$D775*N(INDEX('Menu Pricing'!$F$7:$F$56,$O775)))</f>
        <v/>
      </c>
      <c r="N775" s="80">
        <f>IF(AND($B775="",$C775="",$D775=""),"",IF(NOT(ISNUMBER($B775)),"Enter a valid date",IF($C775="","Pick a menu item",IF($O775="","Item not on Menu Pricing",IF(N($D775)&lt;=0,"Qty must be above 0",IF($H775="","No price on menu","OK"))))))</f>
        <v/>
      </c>
      <c r="O775" s="13">
        <f>IF($C775="","",IFERROR(MATCH($C775,'Menu Pricing'!$B$7:$B$56,0),""))</f>
        <v/>
      </c>
    </row>
    <row r="776" ht="17" customHeight="1">
      <c r="B776" s="66" t="n"/>
      <c r="C776" s="60" t="n"/>
      <c r="D776" s="86" t="n"/>
      <c r="E776" s="63" t="n"/>
      <c r="F776" s="60" t="n"/>
      <c r="G776" s="60" t="n"/>
      <c r="H776" s="71">
        <f>IF(OR($C776="",$D776=""),"",IF(ISNUMBER($E776),$E776,IF($O776="","",IF(N(INDEX('Menu Pricing'!$O$7:$O$56,$O776))&gt;0,INDEX('Menu Pricing'!$O$7:$O$56,$O776),""))))</f>
        <v/>
      </c>
      <c r="I776" s="71">
        <f>IF($N776&lt;&gt;"OK","",$D776*$H776)</f>
        <v/>
      </c>
      <c r="J776" s="71">
        <f>IF($N776&lt;&gt;"OK","",N(INDEX('Menu Pricing'!$F$7:$F$56,$O776))+N(INDEX('Menu Pricing'!$G$7:$G$56,$O776))+N(INDEX('Menu Pricing'!$J$7:$J$56,$O776)))</f>
        <v/>
      </c>
      <c r="K776" s="71">
        <f>IF($N776&lt;&gt;"OK","",$D776*$J776)</f>
        <v/>
      </c>
      <c r="L776" s="71">
        <f>IF($N776&lt;&gt;"OK","",$I776-$K776)</f>
        <v/>
      </c>
      <c r="M776" s="71">
        <f>IF($N776&lt;&gt;"OK","",$D776*N(INDEX('Menu Pricing'!$F$7:$F$56,$O776)))</f>
        <v/>
      </c>
      <c r="N776" s="80">
        <f>IF(AND($B776="",$C776="",$D776=""),"",IF(NOT(ISNUMBER($B776)),"Enter a valid date",IF($C776="","Pick a menu item",IF($O776="","Item not on Menu Pricing",IF(N($D776)&lt;=0,"Qty must be above 0",IF($H776="","No price on menu","OK"))))))</f>
        <v/>
      </c>
      <c r="O776" s="13">
        <f>IF($C776="","",IFERROR(MATCH($C776,'Menu Pricing'!$B$7:$B$56,0),""))</f>
        <v/>
      </c>
    </row>
    <row r="777" ht="17" customHeight="1">
      <c r="B777" s="66" t="n"/>
      <c r="C777" s="60" t="n"/>
      <c r="D777" s="86" t="n"/>
      <c r="E777" s="63" t="n"/>
      <c r="F777" s="60" t="n"/>
      <c r="G777" s="60" t="n"/>
      <c r="H777" s="71">
        <f>IF(OR($C777="",$D777=""),"",IF(ISNUMBER($E777),$E777,IF($O777="","",IF(N(INDEX('Menu Pricing'!$O$7:$O$56,$O777))&gt;0,INDEX('Menu Pricing'!$O$7:$O$56,$O777),""))))</f>
        <v/>
      </c>
      <c r="I777" s="71">
        <f>IF($N777&lt;&gt;"OK","",$D777*$H777)</f>
        <v/>
      </c>
      <c r="J777" s="71">
        <f>IF($N777&lt;&gt;"OK","",N(INDEX('Menu Pricing'!$F$7:$F$56,$O777))+N(INDEX('Menu Pricing'!$G$7:$G$56,$O777))+N(INDEX('Menu Pricing'!$J$7:$J$56,$O777)))</f>
        <v/>
      </c>
      <c r="K777" s="71">
        <f>IF($N777&lt;&gt;"OK","",$D777*$J777)</f>
        <v/>
      </c>
      <c r="L777" s="71">
        <f>IF($N777&lt;&gt;"OK","",$I777-$K777)</f>
        <v/>
      </c>
      <c r="M777" s="71">
        <f>IF($N777&lt;&gt;"OK","",$D777*N(INDEX('Menu Pricing'!$F$7:$F$56,$O777)))</f>
        <v/>
      </c>
      <c r="N777" s="80">
        <f>IF(AND($B777="",$C777="",$D777=""),"",IF(NOT(ISNUMBER($B777)),"Enter a valid date",IF($C777="","Pick a menu item",IF($O777="","Item not on Menu Pricing",IF(N($D777)&lt;=0,"Qty must be above 0",IF($H777="","No price on menu","OK"))))))</f>
        <v/>
      </c>
      <c r="O777" s="13">
        <f>IF($C777="","",IFERROR(MATCH($C777,'Menu Pricing'!$B$7:$B$56,0),""))</f>
        <v/>
      </c>
    </row>
    <row r="778" ht="17" customHeight="1">
      <c r="B778" s="66" t="n"/>
      <c r="C778" s="60" t="n"/>
      <c r="D778" s="86" t="n"/>
      <c r="E778" s="63" t="n"/>
      <c r="F778" s="60" t="n"/>
      <c r="G778" s="60" t="n"/>
      <c r="H778" s="71">
        <f>IF(OR($C778="",$D778=""),"",IF(ISNUMBER($E778),$E778,IF($O778="","",IF(N(INDEX('Menu Pricing'!$O$7:$O$56,$O778))&gt;0,INDEX('Menu Pricing'!$O$7:$O$56,$O778),""))))</f>
        <v/>
      </c>
      <c r="I778" s="71">
        <f>IF($N778&lt;&gt;"OK","",$D778*$H778)</f>
        <v/>
      </c>
      <c r="J778" s="71">
        <f>IF($N778&lt;&gt;"OK","",N(INDEX('Menu Pricing'!$F$7:$F$56,$O778))+N(INDEX('Menu Pricing'!$G$7:$G$56,$O778))+N(INDEX('Menu Pricing'!$J$7:$J$56,$O778)))</f>
        <v/>
      </c>
      <c r="K778" s="71">
        <f>IF($N778&lt;&gt;"OK","",$D778*$J778)</f>
        <v/>
      </c>
      <c r="L778" s="71">
        <f>IF($N778&lt;&gt;"OK","",$I778-$K778)</f>
        <v/>
      </c>
      <c r="M778" s="71">
        <f>IF($N778&lt;&gt;"OK","",$D778*N(INDEX('Menu Pricing'!$F$7:$F$56,$O778)))</f>
        <v/>
      </c>
      <c r="N778" s="80">
        <f>IF(AND($B778="",$C778="",$D778=""),"",IF(NOT(ISNUMBER($B778)),"Enter a valid date",IF($C778="","Pick a menu item",IF($O778="","Item not on Menu Pricing",IF(N($D778)&lt;=0,"Qty must be above 0",IF($H778="","No price on menu","OK"))))))</f>
        <v/>
      </c>
      <c r="O778" s="13">
        <f>IF($C778="","",IFERROR(MATCH($C778,'Menu Pricing'!$B$7:$B$56,0),""))</f>
        <v/>
      </c>
    </row>
    <row r="779" ht="17" customHeight="1">
      <c r="B779" s="66" t="n"/>
      <c r="C779" s="60" t="n"/>
      <c r="D779" s="86" t="n"/>
      <c r="E779" s="63" t="n"/>
      <c r="F779" s="60" t="n"/>
      <c r="G779" s="60" t="n"/>
      <c r="H779" s="71">
        <f>IF(OR($C779="",$D779=""),"",IF(ISNUMBER($E779),$E779,IF($O779="","",IF(N(INDEX('Menu Pricing'!$O$7:$O$56,$O779))&gt;0,INDEX('Menu Pricing'!$O$7:$O$56,$O779),""))))</f>
        <v/>
      </c>
      <c r="I779" s="71">
        <f>IF($N779&lt;&gt;"OK","",$D779*$H779)</f>
        <v/>
      </c>
      <c r="J779" s="71">
        <f>IF($N779&lt;&gt;"OK","",N(INDEX('Menu Pricing'!$F$7:$F$56,$O779))+N(INDEX('Menu Pricing'!$G$7:$G$56,$O779))+N(INDEX('Menu Pricing'!$J$7:$J$56,$O779)))</f>
        <v/>
      </c>
      <c r="K779" s="71">
        <f>IF($N779&lt;&gt;"OK","",$D779*$J779)</f>
        <v/>
      </c>
      <c r="L779" s="71">
        <f>IF($N779&lt;&gt;"OK","",$I779-$K779)</f>
        <v/>
      </c>
      <c r="M779" s="71">
        <f>IF($N779&lt;&gt;"OK","",$D779*N(INDEX('Menu Pricing'!$F$7:$F$56,$O779)))</f>
        <v/>
      </c>
      <c r="N779" s="80">
        <f>IF(AND($B779="",$C779="",$D779=""),"",IF(NOT(ISNUMBER($B779)),"Enter a valid date",IF($C779="","Pick a menu item",IF($O779="","Item not on Menu Pricing",IF(N($D779)&lt;=0,"Qty must be above 0",IF($H779="","No price on menu","OK"))))))</f>
        <v/>
      </c>
      <c r="O779" s="13">
        <f>IF($C779="","",IFERROR(MATCH($C779,'Menu Pricing'!$B$7:$B$56,0),""))</f>
        <v/>
      </c>
    </row>
    <row r="780" ht="17" customHeight="1">
      <c r="B780" s="66" t="n"/>
      <c r="C780" s="60" t="n"/>
      <c r="D780" s="86" t="n"/>
      <c r="E780" s="63" t="n"/>
      <c r="F780" s="60" t="n"/>
      <c r="G780" s="60" t="n"/>
      <c r="H780" s="71">
        <f>IF(OR($C780="",$D780=""),"",IF(ISNUMBER($E780),$E780,IF($O780="","",IF(N(INDEX('Menu Pricing'!$O$7:$O$56,$O780))&gt;0,INDEX('Menu Pricing'!$O$7:$O$56,$O780),""))))</f>
        <v/>
      </c>
      <c r="I780" s="71">
        <f>IF($N780&lt;&gt;"OK","",$D780*$H780)</f>
        <v/>
      </c>
      <c r="J780" s="71">
        <f>IF($N780&lt;&gt;"OK","",N(INDEX('Menu Pricing'!$F$7:$F$56,$O780))+N(INDEX('Menu Pricing'!$G$7:$G$56,$O780))+N(INDEX('Menu Pricing'!$J$7:$J$56,$O780)))</f>
        <v/>
      </c>
      <c r="K780" s="71">
        <f>IF($N780&lt;&gt;"OK","",$D780*$J780)</f>
        <v/>
      </c>
      <c r="L780" s="71">
        <f>IF($N780&lt;&gt;"OK","",$I780-$K780)</f>
        <v/>
      </c>
      <c r="M780" s="71">
        <f>IF($N780&lt;&gt;"OK","",$D780*N(INDEX('Menu Pricing'!$F$7:$F$56,$O780)))</f>
        <v/>
      </c>
      <c r="N780" s="80">
        <f>IF(AND($B780="",$C780="",$D780=""),"",IF(NOT(ISNUMBER($B780)),"Enter a valid date",IF($C780="","Pick a menu item",IF($O780="","Item not on Menu Pricing",IF(N($D780)&lt;=0,"Qty must be above 0",IF($H780="","No price on menu","OK"))))))</f>
        <v/>
      </c>
      <c r="O780" s="13">
        <f>IF($C780="","",IFERROR(MATCH($C780,'Menu Pricing'!$B$7:$B$56,0),""))</f>
        <v/>
      </c>
    </row>
    <row r="781" ht="17" customHeight="1">
      <c r="B781" s="66" t="n"/>
      <c r="C781" s="60" t="n"/>
      <c r="D781" s="86" t="n"/>
      <c r="E781" s="63" t="n"/>
      <c r="F781" s="60" t="n"/>
      <c r="G781" s="60" t="n"/>
      <c r="H781" s="71">
        <f>IF(OR($C781="",$D781=""),"",IF(ISNUMBER($E781),$E781,IF($O781="","",IF(N(INDEX('Menu Pricing'!$O$7:$O$56,$O781))&gt;0,INDEX('Menu Pricing'!$O$7:$O$56,$O781),""))))</f>
        <v/>
      </c>
      <c r="I781" s="71">
        <f>IF($N781&lt;&gt;"OK","",$D781*$H781)</f>
        <v/>
      </c>
      <c r="J781" s="71">
        <f>IF($N781&lt;&gt;"OK","",N(INDEX('Menu Pricing'!$F$7:$F$56,$O781))+N(INDEX('Menu Pricing'!$G$7:$G$56,$O781))+N(INDEX('Menu Pricing'!$J$7:$J$56,$O781)))</f>
        <v/>
      </c>
      <c r="K781" s="71">
        <f>IF($N781&lt;&gt;"OK","",$D781*$J781)</f>
        <v/>
      </c>
      <c r="L781" s="71">
        <f>IF($N781&lt;&gt;"OK","",$I781-$K781)</f>
        <v/>
      </c>
      <c r="M781" s="71">
        <f>IF($N781&lt;&gt;"OK","",$D781*N(INDEX('Menu Pricing'!$F$7:$F$56,$O781)))</f>
        <v/>
      </c>
      <c r="N781" s="80">
        <f>IF(AND($B781="",$C781="",$D781=""),"",IF(NOT(ISNUMBER($B781)),"Enter a valid date",IF($C781="","Pick a menu item",IF($O781="","Item not on Menu Pricing",IF(N($D781)&lt;=0,"Qty must be above 0",IF($H781="","No price on menu","OK"))))))</f>
        <v/>
      </c>
      <c r="O781" s="13">
        <f>IF($C781="","",IFERROR(MATCH($C781,'Menu Pricing'!$B$7:$B$56,0),""))</f>
        <v/>
      </c>
    </row>
    <row r="782" ht="17" customHeight="1">
      <c r="B782" s="66" t="n"/>
      <c r="C782" s="60" t="n"/>
      <c r="D782" s="86" t="n"/>
      <c r="E782" s="63" t="n"/>
      <c r="F782" s="60" t="n"/>
      <c r="G782" s="60" t="n"/>
      <c r="H782" s="71">
        <f>IF(OR($C782="",$D782=""),"",IF(ISNUMBER($E782),$E782,IF($O782="","",IF(N(INDEX('Menu Pricing'!$O$7:$O$56,$O782))&gt;0,INDEX('Menu Pricing'!$O$7:$O$56,$O782),""))))</f>
        <v/>
      </c>
      <c r="I782" s="71">
        <f>IF($N782&lt;&gt;"OK","",$D782*$H782)</f>
        <v/>
      </c>
      <c r="J782" s="71">
        <f>IF($N782&lt;&gt;"OK","",N(INDEX('Menu Pricing'!$F$7:$F$56,$O782))+N(INDEX('Menu Pricing'!$G$7:$G$56,$O782))+N(INDEX('Menu Pricing'!$J$7:$J$56,$O782)))</f>
        <v/>
      </c>
      <c r="K782" s="71">
        <f>IF($N782&lt;&gt;"OK","",$D782*$J782)</f>
        <v/>
      </c>
      <c r="L782" s="71">
        <f>IF($N782&lt;&gt;"OK","",$I782-$K782)</f>
        <v/>
      </c>
      <c r="M782" s="71">
        <f>IF($N782&lt;&gt;"OK","",$D782*N(INDEX('Menu Pricing'!$F$7:$F$56,$O782)))</f>
        <v/>
      </c>
      <c r="N782" s="80">
        <f>IF(AND($B782="",$C782="",$D782=""),"",IF(NOT(ISNUMBER($B782)),"Enter a valid date",IF($C782="","Pick a menu item",IF($O782="","Item not on Menu Pricing",IF(N($D782)&lt;=0,"Qty must be above 0",IF($H782="","No price on menu","OK"))))))</f>
        <v/>
      </c>
      <c r="O782" s="13">
        <f>IF($C782="","",IFERROR(MATCH($C782,'Menu Pricing'!$B$7:$B$56,0),""))</f>
        <v/>
      </c>
    </row>
    <row r="783" ht="17" customHeight="1">
      <c r="B783" s="66" t="n"/>
      <c r="C783" s="60" t="n"/>
      <c r="D783" s="86" t="n"/>
      <c r="E783" s="63" t="n"/>
      <c r="F783" s="60" t="n"/>
      <c r="G783" s="60" t="n"/>
      <c r="H783" s="71">
        <f>IF(OR($C783="",$D783=""),"",IF(ISNUMBER($E783),$E783,IF($O783="","",IF(N(INDEX('Menu Pricing'!$O$7:$O$56,$O783))&gt;0,INDEX('Menu Pricing'!$O$7:$O$56,$O783),""))))</f>
        <v/>
      </c>
      <c r="I783" s="71">
        <f>IF($N783&lt;&gt;"OK","",$D783*$H783)</f>
        <v/>
      </c>
      <c r="J783" s="71">
        <f>IF($N783&lt;&gt;"OK","",N(INDEX('Menu Pricing'!$F$7:$F$56,$O783))+N(INDEX('Menu Pricing'!$G$7:$G$56,$O783))+N(INDEX('Menu Pricing'!$J$7:$J$56,$O783)))</f>
        <v/>
      </c>
      <c r="K783" s="71">
        <f>IF($N783&lt;&gt;"OK","",$D783*$J783)</f>
        <v/>
      </c>
      <c r="L783" s="71">
        <f>IF($N783&lt;&gt;"OK","",$I783-$K783)</f>
        <v/>
      </c>
      <c r="M783" s="71">
        <f>IF($N783&lt;&gt;"OK","",$D783*N(INDEX('Menu Pricing'!$F$7:$F$56,$O783)))</f>
        <v/>
      </c>
      <c r="N783" s="80">
        <f>IF(AND($B783="",$C783="",$D783=""),"",IF(NOT(ISNUMBER($B783)),"Enter a valid date",IF($C783="","Pick a menu item",IF($O783="","Item not on Menu Pricing",IF(N($D783)&lt;=0,"Qty must be above 0",IF($H783="","No price on menu","OK"))))))</f>
        <v/>
      </c>
      <c r="O783" s="13">
        <f>IF($C783="","",IFERROR(MATCH($C783,'Menu Pricing'!$B$7:$B$56,0),""))</f>
        <v/>
      </c>
    </row>
    <row r="784" ht="17" customHeight="1">
      <c r="B784" s="66" t="n"/>
      <c r="C784" s="60" t="n"/>
      <c r="D784" s="86" t="n"/>
      <c r="E784" s="63" t="n"/>
      <c r="F784" s="60" t="n"/>
      <c r="G784" s="60" t="n"/>
      <c r="H784" s="71">
        <f>IF(OR($C784="",$D784=""),"",IF(ISNUMBER($E784),$E784,IF($O784="","",IF(N(INDEX('Menu Pricing'!$O$7:$O$56,$O784))&gt;0,INDEX('Menu Pricing'!$O$7:$O$56,$O784),""))))</f>
        <v/>
      </c>
      <c r="I784" s="71">
        <f>IF($N784&lt;&gt;"OK","",$D784*$H784)</f>
        <v/>
      </c>
      <c r="J784" s="71">
        <f>IF($N784&lt;&gt;"OK","",N(INDEX('Menu Pricing'!$F$7:$F$56,$O784))+N(INDEX('Menu Pricing'!$G$7:$G$56,$O784))+N(INDEX('Menu Pricing'!$J$7:$J$56,$O784)))</f>
        <v/>
      </c>
      <c r="K784" s="71">
        <f>IF($N784&lt;&gt;"OK","",$D784*$J784)</f>
        <v/>
      </c>
      <c r="L784" s="71">
        <f>IF($N784&lt;&gt;"OK","",$I784-$K784)</f>
        <v/>
      </c>
      <c r="M784" s="71">
        <f>IF($N784&lt;&gt;"OK","",$D784*N(INDEX('Menu Pricing'!$F$7:$F$56,$O784)))</f>
        <v/>
      </c>
      <c r="N784" s="80">
        <f>IF(AND($B784="",$C784="",$D784=""),"",IF(NOT(ISNUMBER($B784)),"Enter a valid date",IF($C784="","Pick a menu item",IF($O784="","Item not on Menu Pricing",IF(N($D784)&lt;=0,"Qty must be above 0",IF($H784="","No price on menu","OK"))))))</f>
        <v/>
      </c>
      <c r="O784" s="13">
        <f>IF($C784="","",IFERROR(MATCH($C784,'Menu Pricing'!$B$7:$B$56,0),""))</f>
        <v/>
      </c>
    </row>
    <row r="785" ht="17" customHeight="1">
      <c r="B785" s="66" t="n"/>
      <c r="C785" s="60" t="n"/>
      <c r="D785" s="86" t="n"/>
      <c r="E785" s="63" t="n"/>
      <c r="F785" s="60" t="n"/>
      <c r="G785" s="60" t="n"/>
      <c r="H785" s="71">
        <f>IF(OR($C785="",$D785=""),"",IF(ISNUMBER($E785),$E785,IF($O785="","",IF(N(INDEX('Menu Pricing'!$O$7:$O$56,$O785))&gt;0,INDEX('Menu Pricing'!$O$7:$O$56,$O785),""))))</f>
        <v/>
      </c>
      <c r="I785" s="71">
        <f>IF($N785&lt;&gt;"OK","",$D785*$H785)</f>
        <v/>
      </c>
      <c r="J785" s="71">
        <f>IF($N785&lt;&gt;"OK","",N(INDEX('Menu Pricing'!$F$7:$F$56,$O785))+N(INDEX('Menu Pricing'!$G$7:$G$56,$O785))+N(INDEX('Menu Pricing'!$J$7:$J$56,$O785)))</f>
        <v/>
      </c>
      <c r="K785" s="71">
        <f>IF($N785&lt;&gt;"OK","",$D785*$J785)</f>
        <v/>
      </c>
      <c r="L785" s="71">
        <f>IF($N785&lt;&gt;"OK","",$I785-$K785)</f>
        <v/>
      </c>
      <c r="M785" s="71">
        <f>IF($N785&lt;&gt;"OK","",$D785*N(INDEX('Menu Pricing'!$F$7:$F$56,$O785)))</f>
        <v/>
      </c>
      <c r="N785" s="80">
        <f>IF(AND($B785="",$C785="",$D785=""),"",IF(NOT(ISNUMBER($B785)),"Enter a valid date",IF($C785="","Pick a menu item",IF($O785="","Item not on Menu Pricing",IF(N($D785)&lt;=0,"Qty must be above 0",IF($H785="","No price on menu","OK"))))))</f>
        <v/>
      </c>
      <c r="O785" s="13">
        <f>IF($C785="","",IFERROR(MATCH($C785,'Menu Pricing'!$B$7:$B$56,0),""))</f>
        <v/>
      </c>
    </row>
    <row r="786" ht="17" customHeight="1">
      <c r="B786" s="66" t="n"/>
      <c r="C786" s="60" t="n"/>
      <c r="D786" s="86" t="n"/>
      <c r="E786" s="63" t="n"/>
      <c r="F786" s="60" t="n"/>
      <c r="G786" s="60" t="n"/>
      <c r="H786" s="71">
        <f>IF(OR($C786="",$D786=""),"",IF(ISNUMBER($E786),$E786,IF($O786="","",IF(N(INDEX('Menu Pricing'!$O$7:$O$56,$O786))&gt;0,INDEX('Menu Pricing'!$O$7:$O$56,$O786),""))))</f>
        <v/>
      </c>
      <c r="I786" s="71">
        <f>IF($N786&lt;&gt;"OK","",$D786*$H786)</f>
        <v/>
      </c>
      <c r="J786" s="71">
        <f>IF($N786&lt;&gt;"OK","",N(INDEX('Menu Pricing'!$F$7:$F$56,$O786))+N(INDEX('Menu Pricing'!$G$7:$G$56,$O786))+N(INDEX('Menu Pricing'!$J$7:$J$56,$O786)))</f>
        <v/>
      </c>
      <c r="K786" s="71">
        <f>IF($N786&lt;&gt;"OK","",$D786*$J786)</f>
        <v/>
      </c>
      <c r="L786" s="71">
        <f>IF($N786&lt;&gt;"OK","",$I786-$K786)</f>
        <v/>
      </c>
      <c r="M786" s="71">
        <f>IF($N786&lt;&gt;"OK","",$D786*N(INDEX('Menu Pricing'!$F$7:$F$56,$O786)))</f>
        <v/>
      </c>
      <c r="N786" s="80">
        <f>IF(AND($B786="",$C786="",$D786=""),"",IF(NOT(ISNUMBER($B786)),"Enter a valid date",IF($C786="","Pick a menu item",IF($O786="","Item not on Menu Pricing",IF(N($D786)&lt;=0,"Qty must be above 0",IF($H786="","No price on menu","OK"))))))</f>
        <v/>
      </c>
      <c r="O786" s="13">
        <f>IF($C786="","",IFERROR(MATCH($C786,'Menu Pricing'!$B$7:$B$56,0),""))</f>
        <v/>
      </c>
    </row>
    <row r="787" ht="17" customHeight="1">
      <c r="B787" s="66" t="n"/>
      <c r="C787" s="60" t="n"/>
      <c r="D787" s="86" t="n"/>
      <c r="E787" s="63" t="n"/>
      <c r="F787" s="60" t="n"/>
      <c r="G787" s="60" t="n"/>
      <c r="H787" s="71">
        <f>IF(OR($C787="",$D787=""),"",IF(ISNUMBER($E787),$E787,IF($O787="","",IF(N(INDEX('Menu Pricing'!$O$7:$O$56,$O787))&gt;0,INDEX('Menu Pricing'!$O$7:$O$56,$O787),""))))</f>
        <v/>
      </c>
      <c r="I787" s="71">
        <f>IF($N787&lt;&gt;"OK","",$D787*$H787)</f>
        <v/>
      </c>
      <c r="J787" s="71">
        <f>IF($N787&lt;&gt;"OK","",N(INDEX('Menu Pricing'!$F$7:$F$56,$O787))+N(INDEX('Menu Pricing'!$G$7:$G$56,$O787))+N(INDEX('Menu Pricing'!$J$7:$J$56,$O787)))</f>
        <v/>
      </c>
      <c r="K787" s="71">
        <f>IF($N787&lt;&gt;"OK","",$D787*$J787)</f>
        <v/>
      </c>
      <c r="L787" s="71">
        <f>IF($N787&lt;&gt;"OK","",$I787-$K787)</f>
        <v/>
      </c>
      <c r="M787" s="71">
        <f>IF($N787&lt;&gt;"OK","",$D787*N(INDEX('Menu Pricing'!$F$7:$F$56,$O787)))</f>
        <v/>
      </c>
      <c r="N787" s="80">
        <f>IF(AND($B787="",$C787="",$D787=""),"",IF(NOT(ISNUMBER($B787)),"Enter a valid date",IF($C787="","Pick a menu item",IF($O787="","Item not on Menu Pricing",IF(N($D787)&lt;=0,"Qty must be above 0",IF($H787="","No price on menu","OK"))))))</f>
        <v/>
      </c>
      <c r="O787" s="13">
        <f>IF($C787="","",IFERROR(MATCH($C787,'Menu Pricing'!$B$7:$B$56,0),""))</f>
        <v/>
      </c>
    </row>
    <row r="788" ht="17" customHeight="1">
      <c r="B788" s="66" t="n"/>
      <c r="C788" s="60" t="n"/>
      <c r="D788" s="86" t="n"/>
      <c r="E788" s="63" t="n"/>
      <c r="F788" s="60" t="n"/>
      <c r="G788" s="60" t="n"/>
      <c r="H788" s="71">
        <f>IF(OR($C788="",$D788=""),"",IF(ISNUMBER($E788),$E788,IF($O788="","",IF(N(INDEX('Menu Pricing'!$O$7:$O$56,$O788))&gt;0,INDEX('Menu Pricing'!$O$7:$O$56,$O788),""))))</f>
        <v/>
      </c>
      <c r="I788" s="71">
        <f>IF($N788&lt;&gt;"OK","",$D788*$H788)</f>
        <v/>
      </c>
      <c r="J788" s="71">
        <f>IF($N788&lt;&gt;"OK","",N(INDEX('Menu Pricing'!$F$7:$F$56,$O788))+N(INDEX('Menu Pricing'!$G$7:$G$56,$O788))+N(INDEX('Menu Pricing'!$J$7:$J$56,$O788)))</f>
        <v/>
      </c>
      <c r="K788" s="71">
        <f>IF($N788&lt;&gt;"OK","",$D788*$J788)</f>
        <v/>
      </c>
      <c r="L788" s="71">
        <f>IF($N788&lt;&gt;"OK","",$I788-$K788)</f>
        <v/>
      </c>
      <c r="M788" s="71">
        <f>IF($N788&lt;&gt;"OK","",$D788*N(INDEX('Menu Pricing'!$F$7:$F$56,$O788)))</f>
        <v/>
      </c>
      <c r="N788" s="80">
        <f>IF(AND($B788="",$C788="",$D788=""),"",IF(NOT(ISNUMBER($B788)),"Enter a valid date",IF($C788="","Pick a menu item",IF($O788="","Item not on Menu Pricing",IF(N($D788)&lt;=0,"Qty must be above 0",IF($H788="","No price on menu","OK"))))))</f>
        <v/>
      </c>
      <c r="O788" s="13">
        <f>IF($C788="","",IFERROR(MATCH($C788,'Menu Pricing'!$B$7:$B$56,0),""))</f>
        <v/>
      </c>
    </row>
    <row r="789" ht="17" customHeight="1">
      <c r="B789" s="66" t="n"/>
      <c r="C789" s="60" t="n"/>
      <c r="D789" s="86" t="n"/>
      <c r="E789" s="63" t="n"/>
      <c r="F789" s="60" t="n"/>
      <c r="G789" s="60" t="n"/>
      <c r="H789" s="71">
        <f>IF(OR($C789="",$D789=""),"",IF(ISNUMBER($E789),$E789,IF($O789="","",IF(N(INDEX('Menu Pricing'!$O$7:$O$56,$O789))&gt;0,INDEX('Menu Pricing'!$O$7:$O$56,$O789),""))))</f>
        <v/>
      </c>
      <c r="I789" s="71">
        <f>IF($N789&lt;&gt;"OK","",$D789*$H789)</f>
        <v/>
      </c>
      <c r="J789" s="71">
        <f>IF($N789&lt;&gt;"OK","",N(INDEX('Menu Pricing'!$F$7:$F$56,$O789))+N(INDEX('Menu Pricing'!$G$7:$G$56,$O789))+N(INDEX('Menu Pricing'!$J$7:$J$56,$O789)))</f>
        <v/>
      </c>
      <c r="K789" s="71">
        <f>IF($N789&lt;&gt;"OK","",$D789*$J789)</f>
        <v/>
      </c>
      <c r="L789" s="71">
        <f>IF($N789&lt;&gt;"OK","",$I789-$K789)</f>
        <v/>
      </c>
      <c r="M789" s="71">
        <f>IF($N789&lt;&gt;"OK","",$D789*N(INDEX('Menu Pricing'!$F$7:$F$56,$O789)))</f>
        <v/>
      </c>
      <c r="N789" s="80">
        <f>IF(AND($B789="",$C789="",$D789=""),"",IF(NOT(ISNUMBER($B789)),"Enter a valid date",IF($C789="","Pick a menu item",IF($O789="","Item not on Menu Pricing",IF(N($D789)&lt;=0,"Qty must be above 0",IF($H789="","No price on menu","OK"))))))</f>
        <v/>
      </c>
      <c r="O789" s="13">
        <f>IF($C789="","",IFERROR(MATCH($C789,'Menu Pricing'!$B$7:$B$56,0),""))</f>
        <v/>
      </c>
    </row>
    <row r="790" ht="17" customHeight="1">
      <c r="B790" s="66" t="n"/>
      <c r="C790" s="60" t="n"/>
      <c r="D790" s="86" t="n"/>
      <c r="E790" s="63" t="n"/>
      <c r="F790" s="60" t="n"/>
      <c r="G790" s="60" t="n"/>
      <c r="H790" s="71">
        <f>IF(OR($C790="",$D790=""),"",IF(ISNUMBER($E790),$E790,IF($O790="","",IF(N(INDEX('Menu Pricing'!$O$7:$O$56,$O790))&gt;0,INDEX('Menu Pricing'!$O$7:$O$56,$O790),""))))</f>
        <v/>
      </c>
      <c r="I790" s="71">
        <f>IF($N790&lt;&gt;"OK","",$D790*$H790)</f>
        <v/>
      </c>
      <c r="J790" s="71">
        <f>IF($N790&lt;&gt;"OK","",N(INDEX('Menu Pricing'!$F$7:$F$56,$O790))+N(INDEX('Menu Pricing'!$G$7:$G$56,$O790))+N(INDEX('Menu Pricing'!$J$7:$J$56,$O790)))</f>
        <v/>
      </c>
      <c r="K790" s="71">
        <f>IF($N790&lt;&gt;"OK","",$D790*$J790)</f>
        <v/>
      </c>
      <c r="L790" s="71">
        <f>IF($N790&lt;&gt;"OK","",$I790-$K790)</f>
        <v/>
      </c>
      <c r="M790" s="71">
        <f>IF($N790&lt;&gt;"OK","",$D790*N(INDEX('Menu Pricing'!$F$7:$F$56,$O790)))</f>
        <v/>
      </c>
      <c r="N790" s="80">
        <f>IF(AND($B790="",$C790="",$D790=""),"",IF(NOT(ISNUMBER($B790)),"Enter a valid date",IF($C790="","Pick a menu item",IF($O790="","Item not on Menu Pricing",IF(N($D790)&lt;=0,"Qty must be above 0",IF($H790="","No price on menu","OK"))))))</f>
        <v/>
      </c>
      <c r="O790" s="13">
        <f>IF($C790="","",IFERROR(MATCH($C790,'Menu Pricing'!$B$7:$B$56,0),""))</f>
        <v/>
      </c>
    </row>
    <row r="791" ht="17" customHeight="1">
      <c r="B791" s="66" t="n"/>
      <c r="C791" s="60" t="n"/>
      <c r="D791" s="86" t="n"/>
      <c r="E791" s="63" t="n"/>
      <c r="F791" s="60" t="n"/>
      <c r="G791" s="60" t="n"/>
      <c r="H791" s="71">
        <f>IF(OR($C791="",$D791=""),"",IF(ISNUMBER($E791),$E791,IF($O791="","",IF(N(INDEX('Menu Pricing'!$O$7:$O$56,$O791))&gt;0,INDEX('Menu Pricing'!$O$7:$O$56,$O791),""))))</f>
        <v/>
      </c>
      <c r="I791" s="71">
        <f>IF($N791&lt;&gt;"OK","",$D791*$H791)</f>
        <v/>
      </c>
      <c r="J791" s="71">
        <f>IF($N791&lt;&gt;"OK","",N(INDEX('Menu Pricing'!$F$7:$F$56,$O791))+N(INDEX('Menu Pricing'!$G$7:$G$56,$O791))+N(INDEX('Menu Pricing'!$J$7:$J$56,$O791)))</f>
        <v/>
      </c>
      <c r="K791" s="71">
        <f>IF($N791&lt;&gt;"OK","",$D791*$J791)</f>
        <v/>
      </c>
      <c r="L791" s="71">
        <f>IF($N791&lt;&gt;"OK","",$I791-$K791)</f>
        <v/>
      </c>
      <c r="M791" s="71">
        <f>IF($N791&lt;&gt;"OK","",$D791*N(INDEX('Menu Pricing'!$F$7:$F$56,$O791)))</f>
        <v/>
      </c>
      <c r="N791" s="80">
        <f>IF(AND($B791="",$C791="",$D791=""),"",IF(NOT(ISNUMBER($B791)),"Enter a valid date",IF($C791="","Pick a menu item",IF($O791="","Item not on Menu Pricing",IF(N($D791)&lt;=0,"Qty must be above 0",IF($H791="","No price on menu","OK"))))))</f>
        <v/>
      </c>
      <c r="O791" s="13">
        <f>IF($C791="","",IFERROR(MATCH($C791,'Menu Pricing'!$B$7:$B$56,0),""))</f>
        <v/>
      </c>
    </row>
    <row r="792" ht="17" customHeight="1">
      <c r="B792" s="66" t="n"/>
      <c r="C792" s="60" t="n"/>
      <c r="D792" s="86" t="n"/>
      <c r="E792" s="63" t="n"/>
      <c r="F792" s="60" t="n"/>
      <c r="G792" s="60" t="n"/>
      <c r="H792" s="71">
        <f>IF(OR($C792="",$D792=""),"",IF(ISNUMBER($E792),$E792,IF($O792="","",IF(N(INDEX('Menu Pricing'!$O$7:$O$56,$O792))&gt;0,INDEX('Menu Pricing'!$O$7:$O$56,$O792),""))))</f>
        <v/>
      </c>
      <c r="I792" s="71">
        <f>IF($N792&lt;&gt;"OK","",$D792*$H792)</f>
        <v/>
      </c>
      <c r="J792" s="71">
        <f>IF($N792&lt;&gt;"OK","",N(INDEX('Menu Pricing'!$F$7:$F$56,$O792))+N(INDEX('Menu Pricing'!$G$7:$G$56,$O792))+N(INDEX('Menu Pricing'!$J$7:$J$56,$O792)))</f>
        <v/>
      </c>
      <c r="K792" s="71">
        <f>IF($N792&lt;&gt;"OK","",$D792*$J792)</f>
        <v/>
      </c>
      <c r="L792" s="71">
        <f>IF($N792&lt;&gt;"OK","",$I792-$K792)</f>
        <v/>
      </c>
      <c r="M792" s="71">
        <f>IF($N792&lt;&gt;"OK","",$D792*N(INDEX('Menu Pricing'!$F$7:$F$56,$O792)))</f>
        <v/>
      </c>
      <c r="N792" s="80">
        <f>IF(AND($B792="",$C792="",$D792=""),"",IF(NOT(ISNUMBER($B792)),"Enter a valid date",IF($C792="","Pick a menu item",IF($O792="","Item not on Menu Pricing",IF(N($D792)&lt;=0,"Qty must be above 0",IF($H792="","No price on menu","OK"))))))</f>
        <v/>
      </c>
      <c r="O792" s="13">
        <f>IF($C792="","",IFERROR(MATCH($C792,'Menu Pricing'!$B$7:$B$56,0),""))</f>
        <v/>
      </c>
    </row>
    <row r="793" ht="17" customHeight="1">
      <c r="B793" s="66" t="n"/>
      <c r="C793" s="60" t="n"/>
      <c r="D793" s="86" t="n"/>
      <c r="E793" s="63" t="n"/>
      <c r="F793" s="60" t="n"/>
      <c r="G793" s="60" t="n"/>
      <c r="H793" s="71">
        <f>IF(OR($C793="",$D793=""),"",IF(ISNUMBER($E793),$E793,IF($O793="","",IF(N(INDEX('Menu Pricing'!$O$7:$O$56,$O793))&gt;0,INDEX('Menu Pricing'!$O$7:$O$56,$O793),""))))</f>
        <v/>
      </c>
      <c r="I793" s="71">
        <f>IF($N793&lt;&gt;"OK","",$D793*$H793)</f>
        <v/>
      </c>
      <c r="J793" s="71">
        <f>IF($N793&lt;&gt;"OK","",N(INDEX('Menu Pricing'!$F$7:$F$56,$O793))+N(INDEX('Menu Pricing'!$G$7:$G$56,$O793))+N(INDEX('Menu Pricing'!$J$7:$J$56,$O793)))</f>
        <v/>
      </c>
      <c r="K793" s="71">
        <f>IF($N793&lt;&gt;"OK","",$D793*$J793)</f>
        <v/>
      </c>
      <c r="L793" s="71">
        <f>IF($N793&lt;&gt;"OK","",$I793-$K793)</f>
        <v/>
      </c>
      <c r="M793" s="71">
        <f>IF($N793&lt;&gt;"OK","",$D793*N(INDEX('Menu Pricing'!$F$7:$F$56,$O793)))</f>
        <v/>
      </c>
      <c r="N793" s="80">
        <f>IF(AND($B793="",$C793="",$D793=""),"",IF(NOT(ISNUMBER($B793)),"Enter a valid date",IF($C793="","Pick a menu item",IF($O793="","Item not on Menu Pricing",IF(N($D793)&lt;=0,"Qty must be above 0",IF($H793="","No price on menu","OK"))))))</f>
        <v/>
      </c>
      <c r="O793" s="13">
        <f>IF($C793="","",IFERROR(MATCH($C793,'Menu Pricing'!$B$7:$B$56,0),""))</f>
        <v/>
      </c>
    </row>
    <row r="794" ht="17" customHeight="1">
      <c r="B794" s="66" t="n"/>
      <c r="C794" s="60" t="n"/>
      <c r="D794" s="86" t="n"/>
      <c r="E794" s="63" t="n"/>
      <c r="F794" s="60" t="n"/>
      <c r="G794" s="60" t="n"/>
      <c r="H794" s="71">
        <f>IF(OR($C794="",$D794=""),"",IF(ISNUMBER($E794),$E794,IF($O794="","",IF(N(INDEX('Menu Pricing'!$O$7:$O$56,$O794))&gt;0,INDEX('Menu Pricing'!$O$7:$O$56,$O794),""))))</f>
        <v/>
      </c>
      <c r="I794" s="71">
        <f>IF($N794&lt;&gt;"OK","",$D794*$H794)</f>
        <v/>
      </c>
      <c r="J794" s="71">
        <f>IF($N794&lt;&gt;"OK","",N(INDEX('Menu Pricing'!$F$7:$F$56,$O794))+N(INDEX('Menu Pricing'!$G$7:$G$56,$O794))+N(INDEX('Menu Pricing'!$J$7:$J$56,$O794)))</f>
        <v/>
      </c>
      <c r="K794" s="71">
        <f>IF($N794&lt;&gt;"OK","",$D794*$J794)</f>
        <v/>
      </c>
      <c r="L794" s="71">
        <f>IF($N794&lt;&gt;"OK","",$I794-$K794)</f>
        <v/>
      </c>
      <c r="M794" s="71">
        <f>IF($N794&lt;&gt;"OK","",$D794*N(INDEX('Menu Pricing'!$F$7:$F$56,$O794)))</f>
        <v/>
      </c>
      <c r="N794" s="80">
        <f>IF(AND($B794="",$C794="",$D794=""),"",IF(NOT(ISNUMBER($B794)),"Enter a valid date",IF($C794="","Pick a menu item",IF($O794="","Item not on Menu Pricing",IF(N($D794)&lt;=0,"Qty must be above 0",IF($H794="","No price on menu","OK"))))))</f>
        <v/>
      </c>
      <c r="O794" s="13">
        <f>IF($C794="","",IFERROR(MATCH($C794,'Menu Pricing'!$B$7:$B$56,0),""))</f>
        <v/>
      </c>
    </row>
    <row r="795" ht="17" customHeight="1">
      <c r="B795" s="66" t="n"/>
      <c r="C795" s="60" t="n"/>
      <c r="D795" s="86" t="n"/>
      <c r="E795" s="63" t="n"/>
      <c r="F795" s="60" t="n"/>
      <c r="G795" s="60" t="n"/>
      <c r="H795" s="71">
        <f>IF(OR($C795="",$D795=""),"",IF(ISNUMBER($E795),$E795,IF($O795="","",IF(N(INDEX('Menu Pricing'!$O$7:$O$56,$O795))&gt;0,INDEX('Menu Pricing'!$O$7:$O$56,$O795),""))))</f>
        <v/>
      </c>
      <c r="I795" s="71">
        <f>IF($N795&lt;&gt;"OK","",$D795*$H795)</f>
        <v/>
      </c>
      <c r="J795" s="71">
        <f>IF($N795&lt;&gt;"OK","",N(INDEX('Menu Pricing'!$F$7:$F$56,$O795))+N(INDEX('Menu Pricing'!$G$7:$G$56,$O795))+N(INDEX('Menu Pricing'!$J$7:$J$56,$O795)))</f>
        <v/>
      </c>
      <c r="K795" s="71">
        <f>IF($N795&lt;&gt;"OK","",$D795*$J795)</f>
        <v/>
      </c>
      <c r="L795" s="71">
        <f>IF($N795&lt;&gt;"OK","",$I795-$K795)</f>
        <v/>
      </c>
      <c r="M795" s="71">
        <f>IF($N795&lt;&gt;"OK","",$D795*N(INDEX('Menu Pricing'!$F$7:$F$56,$O795)))</f>
        <v/>
      </c>
      <c r="N795" s="80">
        <f>IF(AND($B795="",$C795="",$D795=""),"",IF(NOT(ISNUMBER($B795)),"Enter a valid date",IF($C795="","Pick a menu item",IF($O795="","Item not on Menu Pricing",IF(N($D795)&lt;=0,"Qty must be above 0",IF($H795="","No price on menu","OK"))))))</f>
        <v/>
      </c>
      <c r="O795" s="13">
        <f>IF($C795="","",IFERROR(MATCH($C795,'Menu Pricing'!$B$7:$B$56,0),""))</f>
        <v/>
      </c>
    </row>
    <row r="796" ht="17" customHeight="1">
      <c r="B796" s="66" t="n"/>
      <c r="C796" s="60" t="n"/>
      <c r="D796" s="86" t="n"/>
      <c r="E796" s="63" t="n"/>
      <c r="F796" s="60" t="n"/>
      <c r="G796" s="60" t="n"/>
      <c r="H796" s="71">
        <f>IF(OR($C796="",$D796=""),"",IF(ISNUMBER($E796),$E796,IF($O796="","",IF(N(INDEX('Menu Pricing'!$O$7:$O$56,$O796))&gt;0,INDEX('Menu Pricing'!$O$7:$O$56,$O796),""))))</f>
        <v/>
      </c>
      <c r="I796" s="71">
        <f>IF($N796&lt;&gt;"OK","",$D796*$H796)</f>
        <v/>
      </c>
      <c r="J796" s="71">
        <f>IF($N796&lt;&gt;"OK","",N(INDEX('Menu Pricing'!$F$7:$F$56,$O796))+N(INDEX('Menu Pricing'!$G$7:$G$56,$O796))+N(INDEX('Menu Pricing'!$J$7:$J$56,$O796)))</f>
        <v/>
      </c>
      <c r="K796" s="71">
        <f>IF($N796&lt;&gt;"OK","",$D796*$J796)</f>
        <v/>
      </c>
      <c r="L796" s="71">
        <f>IF($N796&lt;&gt;"OK","",$I796-$K796)</f>
        <v/>
      </c>
      <c r="M796" s="71">
        <f>IF($N796&lt;&gt;"OK","",$D796*N(INDEX('Menu Pricing'!$F$7:$F$56,$O796)))</f>
        <v/>
      </c>
      <c r="N796" s="80">
        <f>IF(AND($B796="",$C796="",$D796=""),"",IF(NOT(ISNUMBER($B796)),"Enter a valid date",IF($C796="","Pick a menu item",IF($O796="","Item not on Menu Pricing",IF(N($D796)&lt;=0,"Qty must be above 0",IF($H796="","No price on menu","OK"))))))</f>
        <v/>
      </c>
      <c r="O796" s="13">
        <f>IF($C796="","",IFERROR(MATCH($C796,'Menu Pricing'!$B$7:$B$56,0),""))</f>
        <v/>
      </c>
    </row>
    <row r="797" ht="17" customHeight="1">
      <c r="B797" s="66" t="n"/>
      <c r="C797" s="60" t="n"/>
      <c r="D797" s="86" t="n"/>
      <c r="E797" s="63" t="n"/>
      <c r="F797" s="60" t="n"/>
      <c r="G797" s="60" t="n"/>
      <c r="H797" s="71">
        <f>IF(OR($C797="",$D797=""),"",IF(ISNUMBER($E797),$E797,IF($O797="","",IF(N(INDEX('Menu Pricing'!$O$7:$O$56,$O797))&gt;0,INDEX('Menu Pricing'!$O$7:$O$56,$O797),""))))</f>
        <v/>
      </c>
      <c r="I797" s="71">
        <f>IF($N797&lt;&gt;"OK","",$D797*$H797)</f>
        <v/>
      </c>
      <c r="J797" s="71">
        <f>IF($N797&lt;&gt;"OK","",N(INDEX('Menu Pricing'!$F$7:$F$56,$O797))+N(INDEX('Menu Pricing'!$G$7:$G$56,$O797))+N(INDEX('Menu Pricing'!$J$7:$J$56,$O797)))</f>
        <v/>
      </c>
      <c r="K797" s="71">
        <f>IF($N797&lt;&gt;"OK","",$D797*$J797)</f>
        <v/>
      </c>
      <c r="L797" s="71">
        <f>IF($N797&lt;&gt;"OK","",$I797-$K797)</f>
        <v/>
      </c>
      <c r="M797" s="71">
        <f>IF($N797&lt;&gt;"OK","",$D797*N(INDEX('Menu Pricing'!$F$7:$F$56,$O797)))</f>
        <v/>
      </c>
      <c r="N797" s="80">
        <f>IF(AND($B797="",$C797="",$D797=""),"",IF(NOT(ISNUMBER($B797)),"Enter a valid date",IF($C797="","Pick a menu item",IF($O797="","Item not on Menu Pricing",IF(N($D797)&lt;=0,"Qty must be above 0",IF($H797="","No price on menu","OK"))))))</f>
        <v/>
      </c>
      <c r="O797" s="13">
        <f>IF($C797="","",IFERROR(MATCH($C797,'Menu Pricing'!$B$7:$B$56,0),""))</f>
        <v/>
      </c>
    </row>
    <row r="798" ht="17" customHeight="1">
      <c r="B798" s="66" t="n"/>
      <c r="C798" s="60" t="n"/>
      <c r="D798" s="86" t="n"/>
      <c r="E798" s="63" t="n"/>
      <c r="F798" s="60" t="n"/>
      <c r="G798" s="60" t="n"/>
      <c r="H798" s="71">
        <f>IF(OR($C798="",$D798=""),"",IF(ISNUMBER($E798),$E798,IF($O798="","",IF(N(INDEX('Menu Pricing'!$O$7:$O$56,$O798))&gt;0,INDEX('Menu Pricing'!$O$7:$O$56,$O798),""))))</f>
        <v/>
      </c>
      <c r="I798" s="71">
        <f>IF($N798&lt;&gt;"OK","",$D798*$H798)</f>
        <v/>
      </c>
      <c r="J798" s="71">
        <f>IF($N798&lt;&gt;"OK","",N(INDEX('Menu Pricing'!$F$7:$F$56,$O798))+N(INDEX('Menu Pricing'!$G$7:$G$56,$O798))+N(INDEX('Menu Pricing'!$J$7:$J$56,$O798)))</f>
        <v/>
      </c>
      <c r="K798" s="71">
        <f>IF($N798&lt;&gt;"OK","",$D798*$J798)</f>
        <v/>
      </c>
      <c r="L798" s="71">
        <f>IF($N798&lt;&gt;"OK","",$I798-$K798)</f>
        <v/>
      </c>
      <c r="M798" s="71">
        <f>IF($N798&lt;&gt;"OK","",$D798*N(INDEX('Menu Pricing'!$F$7:$F$56,$O798)))</f>
        <v/>
      </c>
      <c r="N798" s="80">
        <f>IF(AND($B798="",$C798="",$D798=""),"",IF(NOT(ISNUMBER($B798)),"Enter a valid date",IF($C798="","Pick a menu item",IF($O798="","Item not on Menu Pricing",IF(N($D798)&lt;=0,"Qty must be above 0",IF($H798="","No price on menu","OK"))))))</f>
        <v/>
      </c>
      <c r="O798" s="13">
        <f>IF($C798="","",IFERROR(MATCH($C798,'Menu Pricing'!$B$7:$B$56,0),""))</f>
        <v/>
      </c>
    </row>
    <row r="799" ht="17" customHeight="1">
      <c r="B799" s="66" t="n"/>
      <c r="C799" s="60" t="n"/>
      <c r="D799" s="86" t="n"/>
      <c r="E799" s="63" t="n"/>
      <c r="F799" s="60" t="n"/>
      <c r="G799" s="60" t="n"/>
      <c r="H799" s="71">
        <f>IF(OR($C799="",$D799=""),"",IF(ISNUMBER($E799),$E799,IF($O799="","",IF(N(INDEX('Menu Pricing'!$O$7:$O$56,$O799))&gt;0,INDEX('Menu Pricing'!$O$7:$O$56,$O799),""))))</f>
        <v/>
      </c>
      <c r="I799" s="71">
        <f>IF($N799&lt;&gt;"OK","",$D799*$H799)</f>
        <v/>
      </c>
      <c r="J799" s="71">
        <f>IF($N799&lt;&gt;"OK","",N(INDEX('Menu Pricing'!$F$7:$F$56,$O799))+N(INDEX('Menu Pricing'!$G$7:$G$56,$O799))+N(INDEX('Menu Pricing'!$J$7:$J$56,$O799)))</f>
        <v/>
      </c>
      <c r="K799" s="71">
        <f>IF($N799&lt;&gt;"OK","",$D799*$J799)</f>
        <v/>
      </c>
      <c r="L799" s="71">
        <f>IF($N799&lt;&gt;"OK","",$I799-$K799)</f>
        <v/>
      </c>
      <c r="M799" s="71">
        <f>IF($N799&lt;&gt;"OK","",$D799*N(INDEX('Menu Pricing'!$F$7:$F$56,$O799)))</f>
        <v/>
      </c>
      <c r="N799" s="80">
        <f>IF(AND($B799="",$C799="",$D799=""),"",IF(NOT(ISNUMBER($B799)),"Enter a valid date",IF($C799="","Pick a menu item",IF($O799="","Item not on Menu Pricing",IF(N($D799)&lt;=0,"Qty must be above 0",IF($H799="","No price on menu","OK"))))))</f>
        <v/>
      </c>
      <c r="O799" s="13">
        <f>IF($C799="","",IFERROR(MATCH($C799,'Menu Pricing'!$B$7:$B$56,0),""))</f>
        <v/>
      </c>
    </row>
    <row r="800" ht="17" customHeight="1">
      <c r="B800" s="66" t="n"/>
      <c r="C800" s="60" t="n"/>
      <c r="D800" s="86" t="n"/>
      <c r="E800" s="63" t="n"/>
      <c r="F800" s="60" t="n"/>
      <c r="G800" s="60" t="n"/>
      <c r="H800" s="71">
        <f>IF(OR($C800="",$D800=""),"",IF(ISNUMBER($E800),$E800,IF($O800="","",IF(N(INDEX('Menu Pricing'!$O$7:$O$56,$O800))&gt;0,INDEX('Menu Pricing'!$O$7:$O$56,$O800),""))))</f>
        <v/>
      </c>
      <c r="I800" s="71">
        <f>IF($N800&lt;&gt;"OK","",$D800*$H800)</f>
        <v/>
      </c>
      <c r="J800" s="71">
        <f>IF($N800&lt;&gt;"OK","",N(INDEX('Menu Pricing'!$F$7:$F$56,$O800))+N(INDEX('Menu Pricing'!$G$7:$G$56,$O800))+N(INDEX('Menu Pricing'!$J$7:$J$56,$O800)))</f>
        <v/>
      </c>
      <c r="K800" s="71">
        <f>IF($N800&lt;&gt;"OK","",$D800*$J800)</f>
        <v/>
      </c>
      <c r="L800" s="71">
        <f>IF($N800&lt;&gt;"OK","",$I800-$K800)</f>
        <v/>
      </c>
      <c r="M800" s="71">
        <f>IF($N800&lt;&gt;"OK","",$D800*N(INDEX('Menu Pricing'!$F$7:$F$56,$O800)))</f>
        <v/>
      </c>
      <c r="N800" s="80">
        <f>IF(AND($B800="",$C800="",$D800=""),"",IF(NOT(ISNUMBER($B800)),"Enter a valid date",IF($C800="","Pick a menu item",IF($O800="","Item not on Menu Pricing",IF(N($D800)&lt;=0,"Qty must be above 0",IF($H800="","No price on menu","OK"))))))</f>
        <v/>
      </c>
      <c r="O800" s="13">
        <f>IF($C800="","",IFERROR(MATCH($C800,'Menu Pricing'!$B$7:$B$56,0),""))</f>
        <v/>
      </c>
    </row>
    <row r="801" ht="17" customHeight="1">
      <c r="B801" s="66" t="n"/>
      <c r="C801" s="60" t="n"/>
      <c r="D801" s="86" t="n"/>
      <c r="E801" s="63" t="n"/>
      <c r="F801" s="60" t="n"/>
      <c r="G801" s="60" t="n"/>
      <c r="H801" s="71">
        <f>IF(OR($C801="",$D801=""),"",IF(ISNUMBER($E801),$E801,IF($O801="","",IF(N(INDEX('Menu Pricing'!$O$7:$O$56,$O801))&gt;0,INDEX('Menu Pricing'!$O$7:$O$56,$O801),""))))</f>
        <v/>
      </c>
      <c r="I801" s="71">
        <f>IF($N801&lt;&gt;"OK","",$D801*$H801)</f>
        <v/>
      </c>
      <c r="J801" s="71">
        <f>IF($N801&lt;&gt;"OK","",N(INDEX('Menu Pricing'!$F$7:$F$56,$O801))+N(INDEX('Menu Pricing'!$G$7:$G$56,$O801))+N(INDEX('Menu Pricing'!$J$7:$J$56,$O801)))</f>
        <v/>
      </c>
      <c r="K801" s="71">
        <f>IF($N801&lt;&gt;"OK","",$D801*$J801)</f>
        <v/>
      </c>
      <c r="L801" s="71">
        <f>IF($N801&lt;&gt;"OK","",$I801-$K801)</f>
        <v/>
      </c>
      <c r="M801" s="71">
        <f>IF($N801&lt;&gt;"OK","",$D801*N(INDEX('Menu Pricing'!$F$7:$F$56,$O801)))</f>
        <v/>
      </c>
      <c r="N801" s="80">
        <f>IF(AND($B801="",$C801="",$D801=""),"",IF(NOT(ISNUMBER($B801)),"Enter a valid date",IF($C801="","Pick a menu item",IF($O801="","Item not on Menu Pricing",IF(N($D801)&lt;=0,"Qty must be above 0",IF($H801="","No price on menu","OK"))))))</f>
        <v/>
      </c>
      <c r="O801" s="13">
        <f>IF($C801="","",IFERROR(MATCH($C801,'Menu Pricing'!$B$7:$B$56,0),""))</f>
        <v/>
      </c>
    </row>
    <row r="802" ht="17" customHeight="1">
      <c r="B802" s="66" t="n"/>
      <c r="C802" s="60" t="n"/>
      <c r="D802" s="86" t="n"/>
      <c r="E802" s="63" t="n"/>
      <c r="F802" s="60" t="n"/>
      <c r="G802" s="60" t="n"/>
      <c r="H802" s="71">
        <f>IF(OR($C802="",$D802=""),"",IF(ISNUMBER($E802),$E802,IF($O802="","",IF(N(INDEX('Menu Pricing'!$O$7:$O$56,$O802))&gt;0,INDEX('Menu Pricing'!$O$7:$O$56,$O802),""))))</f>
        <v/>
      </c>
      <c r="I802" s="71">
        <f>IF($N802&lt;&gt;"OK","",$D802*$H802)</f>
        <v/>
      </c>
      <c r="J802" s="71">
        <f>IF($N802&lt;&gt;"OK","",N(INDEX('Menu Pricing'!$F$7:$F$56,$O802))+N(INDEX('Menu Pricing'!$G$7:$G$56,$O802))+N(INDEX('Menu Pricing'!$J$7:$J$56,$O802)))</f>
        <v/>
      </c>
      <c r="K802" s="71">
        <f>IF($N802&lt;&gt;"OK","",$D802*$J802)</f>
        <v/>
      </c>
      <c r="L802" s="71">
        <f>IF($N802&lt;&gt;"OK","",$I802-$K802)</f>
        <v/>
      </c>
      <c r="M802" s="71">
        <f>IF($N802&lt;&gt;"OK","",$D802*N(INDEX('Menu Pricing'!$F$7:$F$56,$O802)))</f>
        <v/>
      </c>
      <c r="N802" s="80">
        <f>IF(AND($B802="",$C802="",$D802=""),"",IF(NOT(ISNUMBER($B802)),"Enter a valid date",IF($C802="","Pick a menu item",IF($O802="","Item not on Menu Pricing",IF(N($D802)&lt;=0,"Qty must be above 0",IF($H802="","No price on menu","OK"))))))</f>
        <v/>
      </c>
      <c r="O802" s="13">
        <f>IF($C802="","",IFERROR(MATCH($C802,'Menu Pricing'!$B$7:$B$56,0),""))</f>
        <v/>
      </c>
    </row>
    <row r="803" ht="17" customHeight="1">
      <c r="B803" s="66" t="n"/>
      <c r="C803" s="60" t="n"/>
      <c r="D803" s="86" t="n"/>
      <c r="E803" s="63" t="n"/>
      <c r="F803" s="60" t="n"/>
      <c r="G803" s="60" t="n"/>
      <c r="H803" s="71">
        <f>IF(OR($C803="",$D803=""),"",IF(ISNUMBER($E803),$E803,IF($O803="","",IF(N(INDEX('Menu Pricing'!$O$7:$O$56,$O803))&gt;0,INDEX('Menu Pricing'!$O$7:$O$56,$O803),""))))</f>
        <v/>
      </c>
      <c r="I803" s="71">
        <f>IF($N803&lt;&gt;"OK","",$D803*$H803)</f>
        <v/>
      </c>
      <c r="J803" s="71">
        <f>IF($N803&lt;&gt;"OK","",N(INDEX('Menu Pricing'!$F$7:$F$56,$O803))+N(INDEX('Menu Pricing'!$G$7:$G$56,$O803))+N(INDEX('Menu Pricing'!$J$7:$J$56,$O803)))</f>
        <v/>
      </c>
      <c r="K803" s="71">
        <f>IF($N803&lt;&gt;"OK","",$D803*$J803)</f>
        <v/>
      </c>
      <c r="L803" s="71">
        <f>IF($N803&lt;&gt;"OK","",$I803-$K803)</f>
        <v/>
      </c>
      <c r="M803" s="71">
        <f>IF($N803&lt;&gt;"OK","",$D803*N(INDEX('Menu Pricing'!$F$7:$F$56,$O803)))</f>
        <v/>
      </c>
      <c r="N803" s="80">
        <f>IF(AND($B803="",$C803="",$D803=""),"",IF(NOT(ISNUMBER($B803)),"Enter a valid date",IF($C803="","Pick a menu item",IF($O803="","Item not on Menu Pricing",IF(N($D803)&lt;=0,"Qty must be above 0",IF($H803="","No price on menu","OK"))))))</f>
        <v/>
      </c>
      <c r="O803" s="13">
        <f>IF($C803="","",IFERROR(MATCH($C803,'Menu Pricing'!$B$7:$B$56,0),""))</f>
        <v/>
      </c>
    </row>
    <row r="804" ht="17" customHeight="1">
      <c r="B804" s="66" t="n"/>
      <c r="C804" s="60" t="n"/>
      <c r="D804" s="86" t="n"/>
      <c r="E804" s="63" t="n"/>
      <c r="F804" s="60" t="n"/>
      <c r="G804" s="60" t="n"/>
      <c r="H804" s="71">
        <f>IF(OR($C804="",$D804=""),"",IF(ISNUMBER($E804),$E804,IF($O804="","",IF(N(INDEX('Menu Pricing'!$O$7:$O$56,$O804))&gt;0,INDEX('Menu Pricing'!$O$7:$O$56,$O804),""))))</f>
        <v/>
      </c>
      <c r="I804" s="71">
        <f>IF($N804&lt;&gt;"OK","",$D804*$H804)</f>
        <v/>
      </c>
      <c r="J804" s="71">
        <f>IF($N804&lt;&gt;"OK","",N(INDEX('Menu Pricing'!$F$7:$F$56,$O804))+N(INDEX('Menu Pricing'!$G$7:$G$56,$O804))+N(INDEX('Menu Pricing'!$J$7:$J$56,$O804)))</f>
        <v/>
      </c>
      <c r="K804" s="71">
        <f>IF($N804&lt;&gt;"OK","",$D804*$J804)</f>
        <v/>
      </c>
      <c r="L804" s="71">
        <f>IF($N804&lt;&gt;"OK","",$I804-$K804)</f>
        <v/>
      </c>
      <c r="M804" s="71">
        <f>IF($N804&lt;&gt;"OK","",$D804*N(INDEX('Menu Pricing'!$F$7:$F$56,$O804)))</f>
        <v/>
      </c>
      <c r="N804" s="80">
        <f>IF(AND($B804="",$C804="",$D804=""),"",IF(NOT(ISNUMBER($B804)),"Enter a valid date",IF($C804="","Pick a menu item",IF($O804="","Item not on Menu Pricing",IF(N($D804)&lt;=0,"Qty must be above 0",IF($H804="","No price on menu","OK"))))))</f>
        <v/>
      </c>
      <c r="O804" s="13">
        <f>IF($C804="","",IFERROR(MATCH($C804,'Menu Pricing'!$B$7:$B$56,0),""))</f>
        <v/>
      </c>
    </row>
    <row r="805" ht="17" customHeight="1">
      <c r="B805" s="66" t="n"/>
      <c r="C805" s="60" t="n"/>
      <c r="D805" s="86" t="n"/>
      <c r="E805" s="63" t="n"/>
      <c r="F805" s="60" t="n"/>
      <c r="G805" s="60" t="n"/>
      <c r="H805" s="71">
        <f>IF(OR($C805="",$D805=""),"",IF(ISNUMBER($E805),$E805,IF($O805="","",IF(N(INDEX('Menu Pricing'!$O$7:$O$56,$O805))&gt;0,INDEX('Menu Pricing'!$O$7:$O$56,$O805),""))))</f>
        <v/>
      </c>
      <c r="I805" s="71">
        <f>IF($N805&lt;&gt;"OK","",$D805*$H805)</f>
        <v/>
      </c>
      <c r="J805" s="71">
        <f>IF($N805&lt;&gt;"OK","",N(INDEX('Menu Pricing'!$F$7:$F$56,$O805))+N(INDEX('Menu Pricing'!$G$7:$G$56,$O805))+N(INDEX('Menu Pricing'!$J$7:$J$56,$O805)))</f>
        <v/>
      </c>
      <c r="K805" s="71">
        <f>IF($N805&lt;&gt;"OK","",$D805*$J805)</f>
        <v/>
      </c>
      <c r="L805" s="71">
        <f>IF($N805&lt;&gt;"OK","",$I805-$K805)</f>
        <v/>
      </c>
      <c r="M805" s="71">
        <f>IF($N805&lt;&gt;"OK","",$D805*N(INDEX('Menu Pricing'!$F$7:$F$56,$O805)))</f>
        <v/>
      </c>
      <c r="N805" s="80">
        <f>IF(AND($B805="",$C805="",$D805=""),"",IF(NOT(ISNUMBER($B805)),"Enter a valid date",IF($C805="","Pick a menu item",IF($O805="","Item not on Menu Pricing",IF(N($D805)&lt;=0,"Qty must be above 0",IF($H805="","No price on menu","OK"))))))</f>
        <v/>
      </c>
      <c r="O805" s="13">
        <f>IF($C805="","",IFERROR(MATCH($C805,'Menu Pricing'!$B$7:$B$56,0),""))</f>
        <v/>
      </c>
    </row>
    <row r="806" ht="17" customHeight="1">
      <c r="B806" s="66" t="n"/>
      <c r="C806" s="60" t="n"/>
      <c r="D806" s="86" t="n"/>
      <c r="E806" s="63" t="n"/>
      <c r="F806" s="60" t="n"/>
      <c r="G806" s="60" t="n"/>
      <c r="H806" s="71">
        <f>IF(OR($C806="",$D806=""),"",IF(ISNUMBER($E806),$E806,IF($O806="","",IF(N(INDEX('Menu Pricing'!$O$7:$O$56,$O806))&gt;0,INDEX('Menu Pricing'!$O$7:$O$56,$O806),""))))</f>
        <v/>
      </c>
      <c r="I806" s="71">
        <f>IF($N806&lt;&gt;"OK","",$D806*$H806)</f>
        <v/>
      </c>
      <c r="J806" s="71">
        <f>IF($N806&lt;&gt;"OK","",N(INDEX('Menu Pricing'!$F$7:$F$56,$O806))+N(INDEX('Menu Pricing'!$G$7:$G$56,$O806))+N(INDEX('Menu Pricing'!$J$7:$J$56,$O806)))</f>
        <v/>
      </c>
      <c r="K806" s="71">
        <f>IF($N806&lt;&gt;"OK","",$D806*$J806)</f>
        <v/>
      </c>
      <c r="L806" s="71">
        <f>IF($N806&lt;&gt;"OK","",$I806-$K806)</f>
        <v/>
      </c>
      <c r="M806" s="71">
        <f>IF($N806&lt;&gt;"OK","",$D806*N(INDEX('Menu Pricing'!$F$7:$F$56,$O806)))</f>
        <v/>
      </c>
      <c r="N806" s="80">
        <f>IF(AND($B806="",$C806="",$D806=""),"",IF(NOT(ISNUMBER($B806)),"Enter a valid date",IF($C806="","Pick a menu item",IF($O806="","Item not on Menu Pricing",IF(N($D806)&lt;=0,"Qty must be above 0",IF($H806="","No price on menu","OK"))))))</f>
        <v/>
      </c>
      <c r="O806" s="13">
        <f>IF($C806="","",IFERROR(MATCH($C806,'Menu Pricing'!$B$7:$B$56,0),""))</f>
        <v/>
      </c>
    </row>
    <row r="807" ht="17" customHeight="1">
      <c r="B807" s="66" t="n"/>
      <c r="C807" s="60" t="n"/>
      <c r="D807" s="86" t="n"/>
      <c r="E807" s="63" t="n"/>
      <c r="F807" s="60" t="n"/>
      <c r="G807" s="60" t="n"/>
      <c r="H807" s="71">
        <f>IF(OR($C807="",$D807=""),"",IF(ISNUMBER($E807),$E807,IF($O807="","",IF(N(INDEX('Menu Pricing'!$O$7:$O$56,$O807))&gt;0,INDEX('Menu Pricing'!$O$7:$O$56,$O807),""))))</f>
        <v/>
      </c>
      <c r="I807" s="71">
        <f>IF($N807&lt;&gt;"OK","",$D807*$H807)</f>
        <v/>
      </c>
      <c r="J807" s="71">
        <f>IF($N807&lt;&gt;"OK","",N(INDEX('Menu Pricing'!$F$7:$F$56,$O807))+N(INDEX('Menu Pricing'!$G$7:$G$56,$O807))+N(INDEX('Menu Pricing'!$J$7:$J$56,$O807)))</f>
        <v/>
      </c>
      <c r="K807" s="71">
        <f>IF($N807&lt;&gt;"OK","",$D807*$J807)</f>
        <v/>
      </c>
      <c r="L807" s="71">
        <f>IF($N807&lt;&gt;"OK","",$I807-$K807)</f>
        <v/>
      </c>
      <c r="M807" s="71">
        <f>IF($N807&lt;&gt;"OK","",$D807*N(INDEX('Menu Pricing'!$F$7:$F$56,$O807)))</f>
        <v/>
      </c>
      <c r="N807" s="80">
        <f>IF(AND($B807="",$C807="",$D807=""),"",IF(NOT(ISNUMBER($B807)),"Enter a valid date",IF($C807="","Pick a menu item",IF($O807="","Item not on Menu Pricing",IF(N($D807)&lt;=0,"Qty must be above 0",IF($H807="","No price on menu","OK"))))))</f>
        <v/>
      </c>
      <c r="O807" s="13">
        <f>IF($C807="","",IFERROR(MATCH($C807,'Menu Pricing'!$B$7:$B$56,0),""))</f>
        <v/>
      </c>
    </row>
    <row r="808" ht="17" customHeight="1">
      <c r="B808" s="66" t="n"/>
      <c r="C808" s="60" t="n"/>
      <c r="D808" s="86" t="n"/>
      <c r="E808" s="63" t="n"/>
      <c r="F808" s="60" t="n"/>
      <c r="G808" s="60" t="n"/>
      <c r="H808" s="71">
        <f>IF(OR($C808="",$D808=""),"",IF(ISNUMBER($E808),$E808,IF($O808="","",IF(N(INDEX('Menu Pricing'!$O$7:$O$56,$O808))&gt;0,INDEX('Menu Pricing'!$O$7:$O$56,$O808),""))))</f>
        <v/>
      </c>
      <c r="I808" s="71">
        <f>IF($N808&lt;&gt;"OK","",$D808*$H808)</f>
        <v/>
      </c>
      <c r="J808" s="71">
        <f>IF($N808&lt;&gt;"OK","",N(INDEX('Menu Pricing'!$F$7:$F$56,$O808))+N(INDEX('Menu Pricing'!$G$7:$G$56,$O808))+N(INDEX('Menu Pricing'!$J$7:$J$56,$O808)))</f>
        <v/>
      </c>
      <c r="K808" s="71">
        <f>IF($N808&lt;&gt;"OK","",$D808*$J808)</f>
        <v/>
      </c>
      <c r="L808" s="71">
        <f>IF($N808&lt;&gt;"OK","",$I808-$K808)</f>
        <v/>
      </c>
      <c r="M808" s="71">
        <f>IF($N808&lt;&gt;"OK","",$D808*N(INDEX('Menu Pricing'!$F$7:$F$56,$O808)))</f>
        <v/>
      </c>
      <c r="N808" s="80">
        <f>IF(AND($B808="",$C808="",$D808=""),"",IF(NOT(ISNUMBER($B808)),"Enter a valid date",IF($C808="","Pick a menu item",IF($O808="","Item not on Menu Pricing",IF(N($D808)&lt;=0,"Qty must be above 0",IF($H808="","No price on menu","OK"))))))</f>
        <v/>
      </c>
      <c r="O808" s="13">
        <f>IF($C808="","",IFERROR(MATCH($C808,'Menu Pricing'!$B$7:$B$56,0),""))</f>
        <v/>
      </c>
    </row>
    <row r="809" ht="17" customHeight="1">
      <c r="B809" s="66" t="n"/>
      <c r="C809" s="60" t="n"/>
      <c r="D809" s="86" t="n"/>
      <c r="E809" s="63" t="n"/>
      <c r="F809" s="60" t="n"/>
      <c r="G809" s="60" t="n"/>
      <c r="H809" s="71">
        <f>IF(OR($C809="",$D809=""),"",IF(ISNUMBER($E809),$E809,IF($O809="","",IF(N(INDEX('Menu Pricing'!$O$7:$O$56,$O809))&gt;0,INDEX('Menu Pricing'!$O$7:$O$56,$O809),""))))</f>
        <v/>
      </c>
      <c r="I809" s="71">
        <f>IF($N809&lt;&gt;"OK","",$D809*$H809)</f>
        <v/>
      </c>
      <c r="J809" s="71">
        <f>IF($N809&lt;&gt;"OK","",N(INDEX('Menu Pricing'!$F$7:$F$56,$O809))+N(INDEX('Menu Pricing'!$G$7:$G$56,$O809))+N(INDEX('Menu Pricing'!$J$7:$J$56,$O809)))</f>
        <v/>
      </c>
      <c r="K809" s="71">
        <f>IF($N809&lt;&gt;"OK","",$D809*$J809)</f>
        <v/>
      </c>
      <c r="L809" s="71">
        <f>IF($N809&lt;&gt;"OK","",$I809-$K809)</f>
        <v/>
      </c>
      <c r="M809" s="71">
        <f>IF($N809&lt;&gt;"OK","",$D809*N(INDEX('Menu Pricing'!$F$7:$F$56,$O809)))</f>
        <v/>
      </c>
      <c r="N809" s="80">
        <f>IF(AND($B809="",$C809="",$D809=""),"",IF(NOT(ISNUMBER($B809)),"Enter a valid date",IF($C809="","Pick a menu item",IF($O809="","Item not on Menu Pricing",IF(N($D809)&lt;=0,"Qty must be above 0",IF($H809="","No price on menu","OK"))))))</f>
        <v/>
      </c>
      <c r="O809" s="13">
        <f>IF($C809="","",IFERROR(MATCH($C809,'Menu Pricing'!$B$7:$B$56,0),""))</f>
        <v/>
      </c>
    </row>
    <row r="810" ht="17" customHeight="1">
      <c r="B810" s="66" t="n"/>
      <c r="C810" s="60" t="n"/>
      <c r="D810" s="86" t="n"/>
      <c r="E810" s="63" t="n"/>
      <c r="F810" s="60" t="n"/>
      <c r="G810" s="60" t="n"/>
      <c r="H810" s="71">
        <f>IF(OR($C810="",$D810=""),"",IF(ISNUMBER($E810),$E810,IF($O810="","",IF(N(INDEX('Menu Pricing'!$O$7:$O$56,$O810))&gt;0,INDEX('Menu Pricing'!$O$7:$O$56,$O810),""))))</f>
        <v/>
      </c>
      <c r="I810" s="71">
        <f>IF($N810&lt;&gt;"OK","",$D810*$H810)</f>
        <v/>
      </c>
      <c r="J810" s="71">
        <f>IF($N810&lt;&gt;"OK","",N(INDEX('Menu Pricing'!$F$7:$F$56,$O810))+N(INDEX('Menu Pricing'!$G$7:$G$56,$O810))+N(INDEX('Menu Pricing'!$J$7:$J$56,$O810)))</f>
        <v/>
      </c>
      <c r="K810" s="71">
        <f>IF($N810&lt;&gt;"OK","",$D810*$J810)</f>
        <v/>
      </c>
      <c r="L810" s="71">
        <f>IF($N810&lt;&gt;"OK","",$I810-$K810)</f>
        <v/>
      </c>
      <c r="M810" s="71">
        <f>IF($N810&lt;&gt;"OK","",$D810*N(INDEX('Menu Pricing'!$F$7:$F$56,$O810)))</f>
        <v/>
      </c>
      <c r="N810" s="80">
        <f>IF(AND($B810="",$C810="",$D810=""),"",IF(NOT(ISNUMBER($B810)),"Enter a valid date",IF($C810="","Pick a menu item",IF($O810="","Item not on Menu Pricing",IF(N($D810)&lt;=0,"Qty must be above 0",IF($H810="","No price on menu","OK"))))))</f>
        <v/>
      </c>
      <c r="O810" s="13">
        <f>IF($C810="","",IFERROR(MATCH($C810,'Menu Pricing'!$B$7:$B$56,0),""))</f>
        <v/>
      </c>
    </row>
    <row r="811" ht="17" customHeight="1">
      <c r="B811" s="66" t="n"/>
      <c r="C811" s="60" t="n"/>
      <c r="D811" s="86" t="n"/>
      <c r="E811" s="63" t="n"/>
      <c r="F811" s="60" t="n"/>
      <c r="G811" s="60" t="n"/>
      <c r="H811" s="71">
        <f>IF(OR($C811="",$D811=""),"",IF(ISNUMBER($E811),$E811,IF($O811="","",IF(N(INDEX('Menu Pricing'!$O$7:$O$56,$O811))&gt;0,INDEX('Menu Pricing'!$O$7:$O$56,$O811),""))))</f>
        <v/>
      </c>
      <c r="I811" s="71">
        <f>IF($N811&lt;&gt;"OK","",$D811*$H811)</f>
        <v/>
      </c>
      <c r="J811" s="71">
        <f>IF($N811&lt;&gt;"OK","",N(INDEX('Menu Pricing'!$F$7:$F$56,$O811))+N(INDEX('Menu Pricing'!$G$7:$G$56,$O811))+N(INDEX('Menu Pricing'!$J$7:$J$56,$O811)))</f>
        <v/>
      </c>
      <c r="K811" s="71">
        <f>IF($N811&lt;&gt;"OK","",$D811*$J811)</f>
        <v/>
      </c>
      <c r="L811" s="71">
        <f>IF($N811&lt;&gt;"OK","",$I811-$K811)</f>
        <v/>
      </c>
      <c r="M811" s="71">
        <f>IF($N811&lt;&gt;"OK","",$D811*N(INDEX('Menu Pricing'!$F$7:$F$56,$O811)))</f>
        <v/>
      </c>
      <c r="N811" s="80">
        <f>IF(AND($B811="",$C811="",$D811=""),"",IF(NOT(ISNUMBER($B811)),"Enter a valid date",IF($C811="","Pick a menu item",IF($O811="","Item not on Menu Pricing",IF(N($D811)&lt;=0,"Qty must be above 0",IF($H811="","No price on menu","OK"))))))</f>
        <v/>
      </c>
      <c r="O811" s="13">
        <f>IF($C811="","",IFERROR(MATCH($C811,'Menu Pricing'!$B$7:$B$56,0),""))</f>
        <v/>
      </c>
    </row>
    <row r="812" ht="17" customHeight="1">
      <c r="B812" s="66" t="n"/>
      <c r="C812" s="60" t="n"/>
      <c r="D812" s="86" t="n"/>
      <c r="E812" s="63" t="n"/>
      <c r="F812" s="60" t="n"/>
      <c r="G812" s="60" t="n"/>
      <c r="H812" s="71">
        <f>IF(OR($C812="",$D812=""),"",IF(ISNUMBER($E812),$E812,IF($O812="","",IF(N(INDEX('Menu Pricing'!$O$7:$O$56,$O812))&gt;0,INDEX('Menu Pricing'!$O$7:$O$56,$O812),""))))</f>
        <v/>
      </c>
      <c r="I812" s="71">
        <f>IF($N812&lt;&gt;"OK","",$D812*$H812)</f>
        <v/>
      </c>
      <c r="J812" s="71">
        <f>IF($N812&lt;&gt;"OK","",N(INDEX('Menu Pricing'!$F$7:$F$56,$O812))+N(INDEX('Menu Pricing'!$G$7:$G$56,$O812))+N(INDEX('Menu Pricing'!$J$7:$J$56,$O812)))</f>
        <v/>
      </c>
      <c r="K812" s="71">
        <f>IF($N812&lt;&gt;"OK","",$D812*$J812)</f>
        <v/>
      </c>
      <c r="L812" s="71">
        <f>IF($N812&lt;&gt;"OK","",$I812-$K812)</f>
        <v/>
      </c>
      <c r="M812" s="71">
        <f>IF($N812&lt;&gt;"OK","",$D812*N(INDEX('Menu Pricing'!$F$7:$F$56,$O812)))</f>
        <v/>
      </c>
      <c r="N812" s="80">
        <f>IF(AND($B812="",$C812="",$D812=""),"",IF(NOT(ISNUMBER($B812)),"Enter a valid date",IF($C812="","Pick a menu item",IF($O812="","Item not on Menu Pricing",IF(N($D812)&lt;=0,"Qty must be above 0",IF($H812="","No price on menu","OK"))))))</f>
        <v/>
      </c>
      <c r="O812" s="13">
        <f>IF($C812="","",IFERROR(MATCH($C812,'Menu Pricing'!$B$7:$B$56,0),""))</f>
        <v/>
      </c>
    </row>
    <row r="813" ht="17" customHeight="1">
      <c r="B813" s="66" t="n"/>
      <c r="C813" s="60" t="n"/>
      <c r="D813" s="86" t="n"/>
      <c r="E813" s="63" t="n"/>
      <c r="F813" s="60" t="n"/>
      <c r="G813" s="60" t="n"/>
      <c r="H813" s="71">
        <f>IF(OR($C813="",$D813=""),"",IF(ISNUMBER($E813),$E813,IF($O813="","",IF(N(INDEX('Menu Pricing'!$O$7:$O$56,$O813))&gt;0,INDEX('Menu Pricing'!$O$7:$O$56,$O813),""))))</f>
        <v/>
      </c>
      <c r="I813" s="71">
        <f>IF($N813&lt;&gt;"OK","",$D813*$H813)</f>
        <v/>
      </c>
      <c r="J813" s="71">
        <f>IF($N813&lt;&gt;"OK","",N(INDEX('Menu Pricing'!$F$7:$F$56,$O813))+N(INDEX('Menu Pricing'!$G$7:$G$56,$O813))+N(INDEX('Menu Pricing'!$J$7:$J$56,$O813)))</f>
        <v/>
      </c>
      <c r="K813" s="71">
        <f>IF($N813&lt;&gt;"OK","",$D813*$J813)</f>
        <v/>
      </c>
      <c r="L813" s="71">
        <f>IF($N813&lt;&gt;"OK","",$I813-$K813)</f>
        <v/>
      </c>
      <c r="M813" s="71">
        <f>IF($N813&lt;&gt;"OK","",$D813*N(INDEX('Menu Pricing'!$F$7:$F$56,$O813)))</f>
        <v/>
      </c>
      <c r="N813" s="80">
        <f>IF(AND($B813="",$C813="",$D813=""),"",IF(NOT(ISNUMBER($B813)),"Enter a valid date",IF($C813="","Pick a menu item",IF($O813="","Item not on Menu Pricing",IF(N($D813)&lt;=0,"Qty must be above 0",IF($H813="","No price on menu","OK"))))))</f>
        <v/>
      </c>
      <c r="O813" s="13">
        <f>IF($C813="","",IFERROR(MATCH($C813,'Menu Pricing'!$B$7:$B$56,0),""))</f>
        <v/>
      </c>
    </row>
    <row r="814" ht="17" customHeight="1">
      <c r="B814" s="66" t="n"/>
      <c r="C814" s="60" t="n"/>
      <c r="D814" s="86" t="n"/>
      <c r="E814" s="63" t="n"/>
      <c r="F814" s="60" t="n"/>
      <c r="G814" s="60" t="n"/>
      <c r="H814" s="71">
        <f>IF(OR($C814="",$D814=""),"",IF(ISNUMBER($E814),$E814,IF($O814="","",IF(N(INDEX('Menu Pricing'!$O$7:$O$56,$O814))&gt;0,INDEX('Menu Pricing'!$O$7:$O$56,$O814),""))))</f>
        <v/>
      </c>
      <c r="I814" s="71">
        <f>IF($N814&lt;&gt;"OK","",$D814*$H814)</f>
        <v/>
      </c>
      <c r="J814" s="71">
        <f>IF($N814&lt;&gt;"OK","",N(INDEX('Menu Pricing'!$F$7:$F$56,$O814))+N(INDEX('Menu Pricing'!$G$7:$G$56,$O814))+N(INDEX('Menu Pricing'!$J$7:$J$56,$O814)))</f>
        <v/>
      </c>
      <c r="K814" s="71">
        <f>IF($N814&lt;&gt;"OK","",$D814*$J814)</f>
        <v/>
      </c>
      <c r="L814" s="71">
        <f>IF($N814&lt;&gt;"OK","",$I814-$K814)</f>
        <v/>
      </c>
      <c r="M814" s="71">
        <f>IF($N814&lt;&gt;"OK","",$D814*N(INDEX('Menu Pricing'!$F$7:$F$56,$O814)))</f>
        <v/>
      </c>
      <c r="N814" s="80">
        <f>IF(AND($B814="",$C814="",$D814=""),"",IF(NOT(ISNUMBER($B814)),"Enter a valid date",IF($C814="","Pick a menu item",IF($O814="","Item not on Menu Pricing",IF(N($D814)&lt;=0,"Qty must be above 0",IF($H814="","No price on menu","OK"))))))</f>
        <v/>
      </c>
      <c r="O814" s="13">
        <f>IF($C814="","",IFERROR(MATCH($C814,'Menu Pricing'!$B$7:$B$56,0),""))</f>
        <v/>
      </c>
    </row>
    <row r="815" ht="17" customHeight="1">
      <c r="B815" s="66" t="n"/>
      <c r="C815" s="60" t="n"/>
      <c r="D815" s="86" t="n"/>
      <c r="E815" s="63" t="n"/>
      <c r="F815" s="60" t="n"/>
      <c r="G815" s="60" t="n"/>
      <c r="H815" s="71">
        <f>IF(OR($C815="",$D815=""),"",IF(ISNUMBER($E815),$E815,IF($O815="","",IF(N(INDEX('Menu Pricing'!$O$7:$O$56,$O815))&gt;0,INDEX('Menu Pricing'!$O$7:$O$56,$O815),""))))</f>
        <v/>
      </c>
      <c r="I815" s="71">
        <f>IF($N815&lt;&gt;"OK","",$D815*$H815)</f>
        <v/>
      </c>
      <c r="J815" s="71">
        <f>IF($N815&lt;&gt;"OK","",N(INDEX('Menu Pricing'!$F$7:$F$56,$O815))+N(INDEX('Menu Pricing'!$G$7:$G$56,$O815))+N(INDEX('Menu Pricing'!$J$7:$J$56,$O815)))</f>
        <v/>
      </c>
      <c r="K815" s="71">
        <f>IF($N815&lt;&gt;"OK","",$D815*$J815)</f>
        <v/>
      </c>
      <c r="L815" s="71">
        <f>IF($N815&lt;&gt;"OK","",$I815-$K815)</f>
        <v/>
      </c>
      <c r="M815" s="71">
        <f>IF($N815&lt;&gt;"OK","",$D815*N(INDEX('Menu Pricing'!$F$7:$F$56,$O815)))</f>
        <v/>
      </c>
      <c r="N815" s="80">
        <f>IF(AND($B815="",$C815="",$D815=""),"",IF(NOT(ISNUMBER($B815)),"Enter a valid date",IF($C815="","Pick a menu item",IF($O815="","Item not on Menu Pricing",IF(N($D815)&lt;=0,"Qty must be above 0",IF($H815="","No price on menu","OK"))))))</f>
        <v/>
      </c>
      <c r="O815" s="13">
        <f>IF($C815="","",IFERROR(MATCH($C815,'Menu Pricing'!$B$7:$B$56,0),""))</f>
        <v/>
      </c>
    </row>
    <row r="816" ht="17" customHeight="1">
      <c r="B816" s="66" t="n"/>
      <c r="C816" s="60" t="n"/>
      <c r="D816" s="86" t="n"/>
      <c r="E816" s="63" t="n"/>
      <c r="F816" s="60" t="n"/>
      <c r="G816" s="60" t="n"/>
      <c r="H816" s="71">
        <f>IF(OR($C816="",$D816=""),"",IF(ISNUMBER($E816),$E816,IF($O816="","",IF(N(INDEX('Menu Pricing'!$O$7:$O$56,$O816))&gt;0,INDEX('Menu Pricing'!$O$7:$O$56,$O816),""))))</f>
        <v/>
      </c>
      <c r="I816" s="71">
        <f>IF($N816&lt;&gt;"OK","",$D816*$H816)</f>
        <v/>
      </c>
      <c r="J816" s="71">
        <f>IF($N816&lt;&gt;"OK","",N(INDEX('Menu Pricing'!$F$7:$F$56,$O816))+N(INDEX('Menu Pricing'!$G$7:$G$56,$O816))+N(INDEX('Menu Pricing'!$J$7:$J$56,$O816)))</f>
        <v/>
      </c>
      <c r="K816" s="71">
        <f>IF($N816&lt;&gt;"OK","",$D816*$J816)</f>
        <v/>
      </c>
      <c r="L816" s="71">
        <f>IF($N816&lt;&gt;"OK","",$I816-$K816)</f>
        <v/>
      </c>
      <c r="M816" s="71">
        <f>IF($N816&lt;&gt;"OK","",$D816*N(INDEX('Menu Pricing'!$F$7:$F$56,$O816)))</f>
        <v/>
      </c>
      <c r="N816" s="80">
        <f>IF(AND($B816="",$C816="",$D816=""),"",IF(NOT(ISNUMBER($B816)),"Enter a valid date",IF($C816="","Pick a menu item",IF($O816="","Item not on Menu Pricing",IF(N($D816)&lt;=0,"Qty must be above 0",IF($H816="","No price on menu","OK"))))))</f>
        <v/>
      </c>
      <c r="O816" s="13">
        <f>IF($C816="","",IFERROR(MATCH($C816,'Menu Pricing'!$B$7:$B$56,0),""))</f>
        <v/>
      </c>
    </row>
    <row r="817" ht="17" customHeight="1">
      <c r="B817" s="66" t="n"/>
      <c r="C817" s="60" t="n"/>
      <c r="D817" s="86" t="n"/>
      <c r="E817" s="63" t="n"/>
      <c r="F817" s="60" t="n"/>
      <c r="G817" s="60" t="n"/>
      <c r="H817" s="71">
        <f>IF(OR($C817="",$D817=""),"",IF(ISNUMBER($E817),$E817,IF($O817="","",IF(N(INDEX('Menu Pricing'!$O$7:$O$56,$O817))&gt;0,INDEX('Menu Pricing'!$O$7:$O$56,$O817),""))))</f>
        <v/>
      </c>
      <c r="I817" s="71">
        <f>IF($N817&lt;&gt;"OK","",$D817*$H817)</f>
        <v/>
      </c>
      <c r="J817" s="71">
        <f>IF($N817&lt;&gt;"OK","",N(INDEX('Menu Pricing'!$F$7:$F$56,$O817))+N(INDEX('Menu Pricing'!$G$7:$G$56,$O817))+N(INDEX('Menu Pricing'!$J$7:$J$56,$O817)))</f>
        <v/>
      </c>
      <c r="K817" s="71">
        <f>IF($N817&lt;&gt;"OK","",$D817*$J817)</f>
        <v/>
      </c>
      <c r="L817" s="71">
        <f>IF($N817&lt;&gt;"OK","",$I817-$K817)</f>
        <v/>
      </c>
      <c r="M817" s="71">
        <f>IF($N817&lt;&gt;"OK","",$D817*N(INDEX('Menu Pricing'!$F$7:$F$56,$O817)))</f>
        <v/>
      </c>
      <c r="N817" s="80">
        <f>IF(AND($B817="",$C817="",$D817=""),"",IF(NOT(ISNUMBER($B817)),"Enter a valid date",IF($C817="","Pick a menu item",IF($O817="","Item not on Menu Pricing",IF(N($D817)&lt;=0,"Qty must be above 0",IF($H817="","No price on menu","OK"))))))</f>
        <v/>
      </c>
      <c r="O817" s="13">
        <f>IF($C817="","",IFERROR(MATCH($C817,'Menu Pricing'!$B$7:$B$56,0),""))</f>
        <v/>
      </c>
    </row>
    <row r="818" ht="17" customHeight="1">
      <c r="B818" s="66" t="n"/>
      <c r="C818" s="60" t="n"/>
      <c r="D818" s="86" t="n"/>
      <c r="E818" s="63" t="n"/>
      <c r="F818" s="60" t="n"/>
      <c r="G818" s="60" t="n"/>
      <c r="H818" s="71">
        <f>IF(OR($C818="",$D818=""),"",IF(ISNUMBER($E818),$E818,IF($O818="","",IF(N(INDEX('Menu Pricing'!$O$7:$O$56,$O818))&gt;0,INDEX('Menu Pricing'!$O$7:$O$56,$O818),""))))</f>
        <v/>
      </c>
      <c r="I818" s="71">
        <f>IF($N818&lt;&gt;"OK","",$D818*$H818)</f>
        <v/>
      </c>
      <c r="J818" s="71">
        <f>IF($N818&lt;&gt;"OK","",N(INDEX('Menu Pricing'!$F$7:$F$56,$O818))+N(INDEX('Menu Pricing'!$G$7:$G$56,$O818))+N(INDEX('Menu Pricing'!$J$7:$J$56,$O818)))</f>
        <v/>
      </c>
      <c r="K818" s="71">
        <f>IF($N818&lt;&gt;"OK","",$D818*$J818)</f>
        <v/>
      </c>
      <c r="L818" s="71">
        <f>IF($N818&lt;&gt;"OK","",$I818-$K818)</f>
        <v/>
      </c>
      <c r="M818" s="71">
        <f>IF($N818&lt;&gt;"OK","",$D818*N(INDEX('Menu Pricing'!$F$7:$F$56,$O818)))</f>
        <v/>
      </c>
      <c r="N818" s="80">
        <f>IF(AND($B818="",$C818="",$D818=""),"",IF(NOT(ISNUMBER($B818)),"Enter a valid date",IF($C818="","Pick a menu item",IF($O818="","Item not on Menu Pricing",IF(N($D818)&lt;=0,"Qty must be above 0",IF($H818="","No price on menu","OK"))))))</f>
        <v/>
      </c>
      <c r="O818" s="13">
        <f>IF($C818="","",IFERROR(MATCH($C818,'Menu Pricing'!$B$7:$B$56,0),""))</f>
        <v/>
      </c>
    </row>
    <row r="819" ht="17" customHeight="1">
      <c r="B819" s="66" t="n"/>
      <c r="C819" s="60" t="n"/>
      <c r="D819" s="86" t="n"/>
      <c r="E819" s="63" t="n"/>
      <c r="F819" s="60" t="n"/>
      <c r="G819" s="60" t="n"/>
      <c r="H819" s="71">
        <f>IF(OR($C819="",$D819=""),"",IF(ISNUMBER($E819),$E819,IF($O819="","",IF(N(INDEX('Menu Pricing'!$O$7:$O$56,$O819))&gt;0,INDEX('Menu Pricing'!$O$7:$O$56,$O819),""))))</f>
        <v/>
      </c>
      <c r="I819" s="71">
        <f>IF($N819&lt;&gt;"OK","",$D819*$H819)</f>
        <v/>
      </c>
      <c r="J819" s="71">
        <f>IF($N819&lt;&gt;"OK","",N(INDEX('Menu Pricing'!$F$7:$F$56,$O819))+N(INDEX('Menu Pricing'!$G$7:$G$56,$O819))+N(INDEX('Menu Pricing'!$J$7:$J$56,$O819)))</f>
        <v/>
      </c>
      <c r="K819" s="71">
        <f>IF($N819&lt;&gt;"OK","",$D819*$J819)</f>
        <v/>
      </c>
      <c r="L819" s="71">
        <f>IF($N819&lt;&gt;"OK","",$I819-$K819)</f>
        <v/>
      </c>
      <c r="M819" s="71">
        <f>IF($N819&lt;&gt;"OK","",$D819*N(INDEX('Menu Pricing'!$F$7:$F$56,$O819)))</f>
        <v/>
      </c>
      <c r="N819" s="80">
        <f>IF(AND($B819="",$C819="",$D819=""),"",IF(NOT(ISNUMBER($B819)),"Enter a valid date",IF($C819="","Pick a menu item",IF($O819="","Item not on Menu Pricing",IF(N($D819)&lt;=0,"Qty must be above 0",IF($H819="","No price on menu","OK"))))))</f>
        <v/>
      </c>
      <c r="O819" s="13">
        <f>IF($C819="","",IFERROR(MATCH($C819,'Menu Pricing'!$B$7:$B$56,0),""))</f>
        <v/>
      </c>
    </row>
    <row r="820" ht="17" customHeight="1">
      <c r="B820" s="66" t="n"/>
      <c r="C820" s="60" t="n"/>
      <c r="D820" s="86" t="n"/>
      <c r="E820" s="63" t="n"/>
      <c r="F820" s="60" t="n"/>
      <c r="G820" s="60" t="n"/>
      <c r="H820" s="71">
        <f>IF(OR($C820="",$D820=""),"",IF(ISNUMBER($E820),$E820,IF($O820="","",IF(N(INDEX('Menu Pricing'!$O$7:$O$56,$O820))&gt;0,INDEX('Menu Pricing'!$O$7:$O$56,$O820),""))))</f>
        <v/>
      </c>
      <c r="I820" s="71">
        <f>IF($N820&lt;&gt;"OK","",$D820*$H820)</f>
        <v/>
      </c>
      <c r="J820" s="71">
        <f>IF($N820&lt;&gt;"OK","",N(INDEX('Menu Pricing'!$F$7:$F$56,$O820))+N(INDEX('Menu Pricing'!$G$7:$G$56,$O820))+N(INDEX('Menu Pricing'!$J$7:$J$56,$O820)))</f>
        <v/>
      </c>
      <c r="K820" s="71">
        <f>IF($N820&lt;&gt;"OK","",$D820*$J820)</f>
        <v/>
      </c>
      <c r="L820" s="71">
        <f>IF($N820&lt;&gt;"OK","",$I820-$K820)</f>
        <v/>
      </c>
      <c r="M820" s="71">
        <f>IF($N820&lt;&gt;"OK","",$D820*N(INDEX('Menu Pricing'!$F$7:$F$56,$O820)))</f>
        <v/>
      </c>
      <c r="N820" s="80">
        <f>IF(AND($B820="",$C820="",$D820=""),"",IF(NOT(ISNUMBER($B820)),"Enter a valid date",IF($C820="","Pick a menu item",IF($O820="","Item not on Menu Pricing",IF(N($D820)&lt;=0,"Qty must be above 0",IF($H820="","No price on menu","OK"))))))</f>
        <v/>
      </c>
      <c r="O820" s="13">
        <f>IF($C820="","",IFERROR(MATCH($C820,'Menu Pricing'!$B$7:$B$56,0),""))</f>
        <v/>
      </c>
    </row>
    <row r="821" ht="17" customHeight="1">
      <c r="B821" s="66" t="n"/>
      <c r="C821" s="60" t="n"/>
      <c r="D821" s="86" t="n"/>
      <c r="E821" s="63" t="n"/>
      <c r="F821" s="60" t="n"/>
      <c r="G821" s="60" t="n"/>
      <c r="H821" s="71">
        <f>IF(OR($C821="",$D821=""),"",IF(ISNUMBER($E821),$E821,IF($O821="","",IF(N(INDEX('Menu Pricing'!$O$7:$O$56,$O821))&gt;0,INDEX('Menu Pricing'!$O$7:$O$56,$O821),""))))</f>
        <v/>
      </c>
      <c r="I821" s="71">
        <f>IF($N821&lt;&gt;"OK","",$D821*$H821)</f>
        <v/>
      </c>
      <c r="J821" s="71">
        <f>IF($N821&lt;&gt;"OK","",N(INDEX('Menu Pricing'!$F$7:$F$56,$O821))+N(INDEX('Menu Pricing'!$G$7:$G$56,$O821))+N(INDEX('Menu Pricing'!$J$7:$J$56,$O821)))</f>
        <v/>
      </c>
      <c r="K821" s="71">
        <f>IF($N821&lt;&gt;"OK","",$D821*$J821)</f>
        <v/>
      </c>
      <c r="L821" s="71">
        <f>IF($N821&lt;&gt;"OK","",$I821-$K821)</f>
        <v/>
      </c>
      <c r="M821" s="71">
        <f>IF($N821&lt;&gt;"OK","",$D821*N(INDEX('Menu Pricing'!$F$7:$F$56,$O821)))</f>
        <v/>
      </c>
      <c r="N821" s="80">
        <f>IF(AND($B821="",$C821="",$D821=""),"",IF(NOT(ISNUMBER($B821)),"Enter a valid date",IF($C821="","Pick a menu item",IF($O821="","Item not on Menu Pricing",IF(N($D821)&lt;=0,"Qty must be above 0",IF($H821="","No price on menu","OK"))))))</f>
        <v/>
      </c>
      <c r="O821" s="13">
        <f>IF($C821="","",IFERROR(MATCH($C821,'Menu Pricing'!$B$7:$B$56,0),""))</f>
        <v/>
      </c>
    </row>
    <row r="822" ht="17" customHeight="1">
      <c r="B822" s="66" t="n"/>
      <c r="C822" s="60" t="n"/>
      <c r="D822" s="86" t="n"/>
      <c r="E822" s="63" t="n"/>
      <c r="F822" s="60" t="n"/>
      <c r="G822" s="60" t="n"/>
      <c r="H822" s="71">
        <f>IF(OR($C822="",$D822=""),"",IF(ISNUMBER($E822),$E822,IF($O822="","",IF(N(INDEX('Menu Pricing'!$O$7:$O$56,$O822))&gt;0,INDEX('Menu Pricing'!$O$7:$O$56,$O822),""))))</f>
        <v/>
      </c>
      <c r="I822" s="71">
        <f>IF($N822&lt;&gt;"OK","",$D822*$H822)</f>
        <v/>
      </c>
      <c r="J822" s="71">
        <f>IF($N822&lt;&gt;"OK","",N(INDEX('Menu Pricing'!$F$7:$F$56,$O822))+N(INDEX('Menu Pricing'!$G$7:$G$56,$O822))+N(INDEX('Menu Pricing'!$J$7:$J$56,$O822)))</f>
        <v/>
      </c>
      <c r="K822" s="71">
        <f>IF($N822&lt;&gt;"OK","",$D822*$J822)</f>
        <v/>
      </c>
      <c r="L822" s="71">
        <f>IF($N822&lt;&gt;"OK","",$I822-$K822)</f>
        <v/>
      </c>
      <c r="M822" s="71">
        <f>IF($N822&lt;&gt;"OK","",$D822*N(INDEX('Menu Pricing'!$F$7:$F$56,$O822)))</f>
        <v/>
      </c>
      <c r="N822" s="80">
        <f>IF(AND($B822="",$C822="",$D822=""),"",IF(NOT(ISNUMBER($B822)),"Enter a valid date",IF($C822="","Pick a menu item",IF($O822="","Item not on Menu Pricing",IF(N($D822)&lt;=0,"Qty must be above 0",IF($H822="","No price on menu","OK"))))))</f>
        <v/>
      </c>
      <c r="O822" s="13">
        <f>IF($C822="","",IFERROR(MATCH($C822,'Menu Pricing'!$B$7:$B$56,0),""))</f>
        <v/>
      </c>
    </row>
    <row r="823" ht="17" customHeight="1">
      <c r="B823" s="66" t="n"/>
      <c r="C823" s="60" t="n"/>
      <c r="D823" s="86" t="n"/>
      <c r="E823" s="63" t="n"/>
      <c r="F823" s="60" t="n"/>
      <c r="G823" s="60" t="n"/>
      <c r="H823" s="71">
        <f>IF(OR($C823="",$D823=""),"",IF(ISNUMBER($E823),$E823,IF($O823="","",IF(N(INDEX('Menu Pricing'!$O$7:$O$56,$O823))&gt;0,INDEX('Menu Pricing'!$O$7:$O$56,$O823),""))))</f>
        <v/>
      </c>
      <c r="I823" s="71">
        <f>IF($N823&lt;&gt;"OK","",$D823*$H823)</f>
        <v/>
      </c>
      <c r="J823" s="71">
        <f>IF($N823&lt;&gt;"OK","",N(INDEX('Menu Pricing'!$F$7:$F$56,$O823))+N(INDEX('Menu Pricing'!$G$7:$G$56,$O823))+N(INDEX('Menu Pricing'!$J$7:$J$56,$O823)))</f>
        <v/>
      </c>
      <c r="K823" s="71">
        <f>IF($N823&lt;&gt;"OK","",$D823*$J823)</f>
        <v/>
      </c>
      <c r="L823" s="71">
        <f>IF($N823&lt;&gt;"OK","",$I823-$K823)</f>
        <v/>
      </c>
      <c r="M823" s="71">
        <f>IF($N823&lt;&gt;"OK","",$D823*N(INDEX('Menu Pricing'!$F$7:$F$56,$O823)))</f>
        <v/>
      </c>
      <c r="N823" s="80">
        <f>IF(AND($B823="",$C823="",$D823=""),"",IF(NOT(ISNUMBER($B823)),"Enter a valid date",IF($C823="","Pick a menu item",IF($O823="","Item not on Menu Pricing",IF(N($D823)&lt;=0,"Qty must be above 0",IF($H823="","No price on menu","OK"))))))</f>
        <v/>
      </c>
      <c r="O823" s="13">
        <f>IF($C823="","",IFERROR(MATCH($C823,'Menu Pricing'!$B$7:$B$56,0),""))</f>
        <v/>
      </c>
    </row>
    <row r="824" ht="17" customHeight="1">
      <c r="B824" s="66" t="n"/>
      <c r="C824" s="60" t="n"/>
      <c r="D824" s="86" t="n"/>
      <c r="E824" s="63" t="n"/>
      <c r="F824" s="60" t="n"/>
      <c r="G824" s="60" t="n"/>
      <c r="H824" s="71">
        <f>IF(OR($C824="",$D824=""),"",IF(ISNUMBER($E824),$E824,IF($O824="","",IF(N(INDEX('Menu Pricing'!$O$7:$O$56,$O824))&gt;0,INDEX('Menu Pricing'!$O$7:$O$56,$O824),""))))</f>
        <v/>
      </c>
      <c r="I824" s="71">
        <f>IF($N824&lt;&gt;"OK","",$D824*$H824)</f>
        <v/>
      </c>
      <c r="J824" s="71">
        <f>IF($N824&lt;&gt;"OK","",N(INDEX('Menu Pricing'!$F$7:$F$56,$O824))+N(INDEX('Menu Pricing'!$G$7:$G$56,$O824))+N(INDEX('Menu Pricing'!$J$7:$J$56,$O824)))</f>
        <v/>
      </c>
      <c r="K824" s="71">
        <f>IF($N824&lt;&gt;"OK","",$D824*$J824)</f>
        <v/>
      </c>
      <c r="L824" s="71">
        <f>IF($N824&lt;&gt;"OK","",$I824-$K824)</f>
        <v/>
      </c>
      <c r="M824" s="71">
        <f>IF($N824&lt;&gt;"OK","",$D824*N(INDEX('Menu Pricing'!$F$7:$F$56,$O824)))</f>
        <v/>
      </c>
      <c r="N824" s="80">
        <f>IF(AND($B824="",$C824="",$D824=""),"",IF(NOT(ISNUMBER($B824)),"Enter a valid date",IF($C824="","Pick a menu item",IF($O824="","Item not on Menu Pricing",IF(N($D824)&lt;=0,"Qty must be above 0",IF($H824="","No price on menu","OK"))))))</f>
        <v/>
      </c>
      <c r="O824" s="13">
        <f>IF($C824="","",IFERROR(MATCH($C824,'Menu Pricing'!$B$7:$B$56,0),""))</f>
        <v/>
      </c>
    </row>
    <row r="825" ht="17" customHeight="1">
      <c r="B825" s="66" t="n"/>
      <c r="C825" s="60" t="n"/>
      <c r="D825" s="86" t="n"/>
      <c r="E825" s="63" t="n"/>
      <c r="F825" s="60" t="n"/>
      <c r="G825" s="60" t="n"/>
      <c r="H825" s="71">
        <f>IF(OR($C825="",$D825=""),"",IF(ISNUMBER($E825),$E825,IF($O825="","",IF(N(INDEX('Menu Pricing'!$O$7:$O$56,$O825))&gt;0,INDEX('Menu Pricing'!$O$7:$O$56,$O825),""))))</f>
        <v/>
      </c>
      <c r="I825" s="71">
        <f>IF($N825&lt;&gt;"OK","",$D825*$H825)</f>
        <v/>
      </c>
      <c r="J825" s="71">
        <f>IF($N825&lt;&gt;"OK","",N(INDEX('Menu Pricing'!$F$7:$F$56,$O825))+N(INDEX('Menu Pricing'!$G$7:$G$56,$O825))+N(INDEX('Menu Pricing'!$J$7:$J$56,$O825)))</f>
        <v/>
      </c>
      <c r="K825" s="71">
        <f>IF($N825&lt;&gt;"OK","",$D825*$J825)</f>
        <v/>
      </c>
      <c r="L825" s="71">
        <f>IF($N825&lt;&gt;"OK","",$I825-$K825)</f>
        <v/>
      </c>
      <c r="M825" s="71">
        <f>IF($N825&lt;&gt;"OK","",$D825*N(INDEX('Menu Pricing'!$F$7:$F$56,$O825)))</f>
        <v/>
      </c>
      <c r="N825" s="80">
        <f>IF(AND($B825="",$C825="",$D825=""),"",IF(NOT(ISNUMBER($B825)),"Enter a valid date",IF($C825="","Pick a menu item",IF($O825="","Item not on Menu Pricing",IF(N($D825)&lt;=0,"Qty must be above 0",IF($H825="","No price on menu","OK"))))))</f>
        <v/>
      </c>
      <c r="O825" s="13">
        <f>IF($C825="","",IFERROR(MATCH($C825,'Menu Pricing'!$B$7:$B$56,0),""))</f>
        <v/>
      </c>
    </row>
    <row r="826" ht="17" customHeight="1">
      <c r="B826" s="66" t="n"/>
      <c r="C826" s="60" t="n"/>
      <c r="D826" s="86" t="n"/>
      <c r="E826" s="63" t="n"/>
      <c r="F826" s="60" t="n"/>
      <c r="G826" s="60" t="n"/>
      <c r="H826" s="71">
        <f>IF(OR($C826="",$D826=""),"",IF(ISNUMBER($E826),$E826,IF($O826="","",IF(N(INDEX('Menu Pricing'!$O$7:$O$56,$O826))&gt;0,INDEX('Menu Pricing'!$O$7:$O$56,$O826),""))))</f>
        <v/>
      </c>
      <c r="I826" s="71">
        <f>IF($N826&lt;&gt;"OK","",$D826*$H826)</f>
        <v/>
      </c>
      <c r="J826" s="71">
        <f>IF($N826&lt;&gt;"OK","",N(INDEX('Menu Pricing'!$F$7:$F$56,$O826))+N(INDEX('Menu Pricing'!$G$7:$G$56,$O826))+N(INDEX('Menu Pricing'!$J$7:$J$56,$O826)))</f>
        <v/>
      </c>
      <c r="K826" s="71">
        <f>IF($N826&lt;&gt;"OK","",$D826*$J826)</f>
        <v/>
      </c>
      <c r="L826" s="71">
        <f>IF($N826&lt;&gt;"OK","",$I826-$K826)</f>
        <v/>
      </c>
      <c r="M826" s="71">
        <f>IF($N826&lt;&gt;"OK","",$D826*N(INDEX('Menu Pricing'!$F$7:$F$56,$O826)))</f>
        <v/>
      </c>
      <c r="N826" s="80">
        <f>IF(AND($B826="",$C826="",$D826=""),"",IF(NOT(ISNUMBER($B826)),"Enter a valid date",IF($C826="","Pick a menu item",IF($O826="","Item not on Menu Pricing",IF(N($D826)&lt;=0,"Qty must be above 0",IF($H826="","No price on menu","OK"))))))</f>
        <v/>
      </c>
      <c r="O826" s="13">
        <f>IF($C826="","",IFERROR(MATCH($C826,'Menu Pricing'!$B$7:$B$56,0),""))</f>
        <v/>
      </c>
    </row>
    <row r="827" ht="17" customHeight="1">
      <c r="B827" s="66" t="n"/>
      <c r="C827" s="60" t="n"/>
      <c r="D827" s="86" t="n"/>
      <c r="E827" s="63" t="n"/>
      <c r="F827" s="60" t="n"/>
      <c r="G827" s="60" t="n"/>
      <c r="H827" s="71">
        <f>IF(OR($C827="",$D827=""),"",IF(ISNUMBER($E827),$E827,IF($O827="","",IF(N(INDEX('Menu Pricing'!$O$7:$O$56,$O827))&gt;0,INDEX('Menu Pricing'!$O$7:$O$56,$O827),""))))</f>
        <v/>
      </c>
      <c r="I827" s="71">
        <f>IF($N827&lt;&gt;"OK","",$D827*$H827)</f>
        <v/>
      </c>
      <c r="J827" s="71">
        <f>IF($N827&lt;&gt;"OK","",N(INDEX('Menu Pricing'!$F$7:$F$56,$O827))+N(INDEX('Menu Pricing'!$G$7:$G$56,$O827))+N(INDEX('Menu Pricing'!$J$7:$J$56,$O827)))</f>
        <v/>
      </c>
      <c r="K827" s="71">
        <f>IF($N827&lt;&gt;"OK","",$D827*$J827)</f>
        <v/>
      </c>
      <c r="L827" s="71">
        <f>IF($N827&lt;&gt;"OK","",$I827-$K827)</f>
        <v/>
      </c>
      <c r="M827" s="71">
        <f>IF($N827&lt;&gt;"OK","",$D827*N(INDEX('Menu Pricing'!$F$7:$F$56,$O827)))</f>
        <v/>
      </c>
      <c r="N827" s="80">
        <f>IF(AND($B827="",$C827="",$D827=""),"",IF(NOT(ISNUMBER($B827)),"Enter a valid date",IF($C827="","Pick a menu item",IF($O827="","Item not on Menu Pricing",IF(N($D827)&lt;=0,"Qty must be above 0",IF($H827="","No price on menu","OK"))))))</f>
        <v/>
      </c>
      <c r="O827" s="13">
        <f>IF($C827="","",IFERROR(MATCH($C827,'Menu Pricing'!$B$7:$B$56,0),""))</f>
        <v/>
      </c>
    </row>
    <row r="828" ht="17" customHeight="1">
      <c r="B828" s="66" t="n"/>
      <c r="C828" s="60" t="n"/>
      <c r="D828" s="86" t="n"/>
      <c r="E828" s="63" t="n"/>
      <c r="F828" s="60" t="n"/>
      <c r="G828" s="60" t="n"/>
      <c r="H828" s="71">
        <f>IF(OR($C828="",$D828=""),"",IF(ISNUMBER($E828),$E828,IF($O828="","",IF(N(INDEX('Menu Pricing'!$O$7:$O$56,$O828))&gt;0,INDEX('Menu Pricing'!$O$7:$O$56,$O828),""))))</f>
        <v/>
      </c>
      <c r="I828" s="71">
        <f>IF($N828&lt;&gt;"OK","",$D828*$H828)</f>
        <v/>
      </c>
      <c r="J828" s="71">
        <f>IF($N828&lt;&gt;"OK","",N(INDEX('Menu Pricing'!$F$7:$F$56,$O828))+N(INDEX('Menu Pricing'!$G$7:$G$56,$O828))+N(INDEX('Menu Pricing'!$J$7:$J$56,$O828)))</f>
        <v/>
      </c>
      <c r="K828" s="71">
        <f>IF($N828&lt;&gt;"OK","",$D828*$J828)</f>
        <v/>
      </c>
      <c r="L828" s="71">
        <f>IF($N828&lt;&gt;"OK","",$I828-$K828)</f>
        <v/>
      </c>
      <c r="M828" s="71">
        <f>IF($N828&lt;&gt;"OK","",$D828*N(INDEX('Menu Pricing'!$F$7:$F$56,$O828)))</f>
        <v/>
      </c>
      <c r="N828" s="80">
        <f>IF(AND($B828="",$C828="",$D828=""),"",IF(NOT(ISNUMBER($B828)),"Enter a valid date",IF($C828="","Pick a menu item",IF($O828="","Item not on Menu Pricing",IF(N($D828)&lt;=0,"Qty must be above 0",IF($H828="","No price on menu","OK"))))))</f>
        <v/>
      </c>
      <c r="O828" s="13">
        <f>IF($C828="","",IFERROR(MATCH($C828,'Menu Pricing'!$B$7:$B$56,0),""))</f>
        <v/>
      </c>
    </row>
    <row r="829" ht="17" customHeight="1">
      <c r="B829" s="66" t="n"/>
      <c r="C829" s="60" t="n"/>
      <c r="D829" s="86" t="n"/>
      <c r="E829" s="63" t="n"/>
      <c r="F829" s="60" t="n"/>
      <c r="G829" s="60" t="n"/>
      <c r="H829" s="71">
        <f>IF(OR($C829="",$D829=""),"",IF(ISNUMBER($E829),$E829,IF($O829="","",IF(N(INDEX('Menu Pricing'!$O$7:$O$56,$O829))&gt;0,INDEX('Menu Pricing'!$O$7:$O$56,$O829),""))))</f>
        <v/>
      </c>
      <c r="I829" s="71">
        <f>IF($N829&lt;&gt;"OK","",$D829*$H829)</f>
        <v/>
      </c>
      <c r="J829" s="71">
        <f>IF($N829&lt;&gt;"OK","",N(INDEX('Menu Pricing'!$F$7:$F$56,$O829))+N(INDEX('Menu Pricing'!$G$7:$G$56,$O829))+N(INDEX('Menu Pricing'!$J$7:$J$56,$O829)))</f>
        <v/>
      </c>
      <c r="K829" s="71">
        <f>IF($N829&lt;&gt;"OK","",$D829*$J829)</f>
        <v/>
      </c>
      <c r="L829" s="71">
        <f>IF($N829&lt;&gt;"OK","",$I829-$K829)</f>
        <v/>
      </c>
      <c r="M829" s="71">
        <f>IF($N829&lt;&gt;"OK","",$D829*N(INDEX('Menu Pricing'!$F$7:$F$56,$O829)))</f>
        <v/>
      </c>
      <c r="N829" s="80">
        <f>IF(AND($B829="",$C829="",$D829=""),"",IF(NOT(ISNUMBER($B829)),"Enter a valid date",IF($C829="","Pick a menu item",IF($O829="","Item not on Menu Pricing",IF(N($D829)&lt;=0,"Qty must be above 0",IF($H829="","No price on menu","OK"))))))</f>
        <v/>
      </c>
      <c r="O829" s="13">
        <f>IF($C829="","",IFERROR(MATCH($C829,'Menu Pricing'!$B$7:$B$56,0),""))</f>
        <v/>
      </c>
    </row>
    <row r="830" ht="17" customHeight="1">
      <c r="B830" s="66" t="n"/>
      <c r="C830" s="60" t="n"/>
      <c r="D830" s="86" t="n"/>
      <c r="E830" s="63" t="n"/>
      <c r="F830" s="60" t="n"/>
      <c r="G830" s="60" t="n"/>
      <c r="H830" s="71">
        <f>IF(OR($C830="",$D830=""),"",IF(ISNUMBER($E830),$E830,IF($O830="","",IF(N(INDEX('Menu Pricing'!$O$7:$O$56,$O830))&gt;0,INDEX('Menu Pricing'!$O$7:$O$56,$O830),""))))</f>
        <v/>
      </c>
      <c r="I830" s="71">
        <f>IF($N830&lt;&gt;"OK","",$D830*$H830)</f>
        <v/>
      </c>
      <c r="J830" s="71">
        <f>IF($N830&lt;&gt;"OK","",N(INDEX('Menu Pricing'!$F$7:$F$56,$O830))+N(INDEX('Menu Pricing'!$G$7:$G$56,$O830))+N(INDEX('Menu Pricing'!$J$7:$J$56,$O830)))</f>
        <v/>
      </c>
      <c r="K830" s="71">
        <f>IF($N830&lt;&gt;"OK","",$D830*$J830)</f>
        <v/>
      </c>
      <c r="L830" s="71">
        <f>IF($N830&lt;&gt;"OK","",$I830-$K830)</f>
        <v/>
      </c>
      <c r="M830" s="71">
        <f>IF($N830&lt;&gt;"OK","",$D830*N(INDEX('Menu Pricing'!$F$7:$F$56,$O830)))</f>
        <v/>
      </c>
      <c r="N830" s="80">
        <f>IF(AND($B830="",$C830="",$D830=""),"",IF(NOT(ISNUMBER($B830)),"Enter a valid date",IF($C830="","Pick a menu item",IF($O830="","Item not on Menu Pricing",IF(N($D830)&lt;=0,"Qty must be above 0",IF($H830="","No price on menu","OK"))))))</f>
        <v/>
      </c>
      <c r="O830" s="13">
        <f>IF($C830="","",IFERROR(MATCH($C830,'Menu Pricing'!$B$7:$B$56,0),""))</f>
        <v/>
      </c>
    </row>
    <row r="831" ht="17" customHeight="1">
      <c r="B831" s="66" t="n"/>
      <c r="C831" s="60" t="n"/>
      <c r="D831" s="86" t="n"/>
      <c r="E831" s="63" t="n"/>
      <c r="F831" s="60" t="n"/>
      <c r="G831" s="60" t="n"/>
      <c r="H831" s="71">
        <f>IF(OR($C831="",$D831=""),"",IF(ISNUMBER($E831),$E831,IF($O831="","",IF(N(INDEX('Menu Pricing'!$O$7:$O$56,$O831))&gt;0,INDEX('Menu Pricing'!$O$7:$O$56,$O831),""))))</f>
        <v/>
      </c>
      <c r="I831" s="71">
        <f>IF($N831&lt;&gt;"OK","",$D831*$H831)</f>
        <v/>
      </c>
      <c r="J831" s="71">
        <f>IF($N831&lt;&gt;"OK","",N(INDEX('Menu Pricing'!$F$7:$F$56,$O831))+N(INDEX('Menu Pricing'!$G$7:$G$56,$O831))+N(INDEX('Menu Pricing'!$J$7:$J$56,$O831)))</f>
        <v/>
      </c>
      <c r="K831" s="71">
        <f>IF($N831&lt;&gt;"OK","",$D831*$J831)</f>
        <v/>
      </c>
      <c r="L831" s="71">
        <f>IF($N831&lt;&gt;"OK","",$I831-$K831)</f>
        <v/>
      </c>
      <c r="M831" s="71">
        <f>IF($N831&lt;&gt;"OK","",$D831*N(INDEX('Menu Pricing'!$F$7:$F$56,$O831)))</f>
        <v/>
      </c>
      <c r="N831" s="80">
        <f>IF(AND($B831="",$C831="",$D831=""),"",IF(NOT(ISNUMBER($B831)),"Enter a valid date",IF($C831="","Pick a menu item",IF($O831="","Item not on Menu Pricing",IF(N($D831)&lt;=0,"Qty must be above 0",IF($H831="","No price on menu","OK"))))))</f>
        <v/>
      </c>
      <c r="O831" s="13">
        <f>IF($C831="","",IFERROR(MATCH($C831,'Menu Pricing'!$B$7:$B$56,0),""))</f>
        <v/>
      </c>
    </row>
    <row r="832" ht="17" customHeight="1">
      <c r="B832" s="66" t="n"/>
      <c r="C832" s="60" t="n"/>
      <c r="D832" s="86" t="n"/>
      <c r="E832" s="63" t="n"/>
      <c r="F832" s="60" t="n"/>
      <c r="G832" s="60" t="n"/>
      <c r="H832" s="71">
        <f>IF(OR($C832="",$D832=""),"",IF(ISNUMBER($E832),$E832,IF($O832="","",IF(N(INDEX('Menu Pricing'!$O$7:$O$56,$O832))&gt;0,INDEX('Menu Pricing'!$O$7:$O$56,$O832),""))))</f>
        <v/>
      </c>
      <c r="I832" s="71">
        <f>IF($N832&lt;&gt;"OK","",$D832*$H832)</f>
        <v/>
      </c>
      <c r="J832" s="71">
        <f>IF($N832&lt;&gt;"OK","",N(INDEX('Menu Pricing'!$F$7:$F$56,$O832))+N(INDEX('Menu Pricing'!$G$7:$G$56,$O832))+N(INDEX('Menu Pricing'!$J$7:$J$56,$O832)))</f>
        <v/>
      </c>
      <c r="K832" s="71">
        <f>IF($N832&lt;&gt;"OK","",$D832*$J832)</f>
        <v/>
      </c>
      <c r="L832" s="71">
        <f>IF($N832&lt;&gt;"OK","",$I832-$K832)</f>
        <v/>
      </c>
      <c r="M832" s="71">
        <f>IF($N832&lt;&gt;"OK","",$D832*N(INDEX('Menu Pricing'!$F$7:$F$56,$O832)))</f>
        <v/>
      </c>
      <c r="N832" s="80">
        <f>IF(AND($B832="",$C832="",$D832=""),"",IF(NOT(ISNUMBER($B832)),"Enter a valid date",IF($C832="","Pick a menu item",IF($O832="","Item not on Menu Pricing",IF(N($D832)&lt;=0,"Qty must be above 0",IF($H832="","No price on menu","OK"))))))</f>
        <v/>
      </c>
      <c r="O832" s="13">
        <f>IF($C832="","",IFERROR(MATCH($C832,'Menu Pricing'!$B$7:$B$56,0),""))</f>
        <v/>
      </c>
    </row>
    <row r="833" ht="17" customHeight="1">
      <c r="B833" s="66" t="n"/>
      <c r="C833" s="60" t="n"/>
      <c r="D833" s="86" t="n"/>
      <c r="E833" s="63" t="n"/>
      <c r="F833" s="60" t="n"/>
      <c r="G833" s="60" t="n"/>
      <c r="H833" s="71">
        <f>IF(OR($C833="",$D833=""),"",IF(ISNUMBER($E833),$E833,IF($O833="","",IF(N(INDEX('Menu Pricing'!$O$7:$O$56,$O833))&gt;0,INDEX('Menu Pricing'!$O$7:$O$56,$O833),""))))</f>
        <v/>
      </c>
      <c r="I833" s="71">
        <f>IF($N833&lt;&gt;"OK","",$D833*$H833)</f>
        <v/>
      </c>
      <c r="J833" s="71">
        <f>IF($N833&lt;&gt;"OK","",N(INDEX('Menu Pricing'!$F$7:$F$56,$O833))+N(INDEX('Menu Pricing'!$G$7:$G$56,$O833))+N(INDEX('Menu Pricing'!$J$7:$J$56,$O833)))</f>
        <v/>
      </c>
      <c r="K833" s="71">
        <f>IF($N833&lt;&gt;"OK","",$D833*$J833)</f>
        <v/>
      </c>
      <c r="L833" s="71">
        <f>IF($N833&lt;&gt;"OK","",$I833-$K833)</f>
        <v/>
      </c>
      <c r="M833" s="71">
        <f>IF($N833&lt;&gt;"OK","",$D833*N(INDEX('Menu Pricing'!$F$7:$F$56,$O833)))</f>
        <v/>
      </c>
      <c r="N833" s="80">
        <f>IF(AND($B833="",$C833="",$D833=""),"",IF(NOT(ISNUMBER($B833)),"Enter a valid date",IF($C833="","Pick a menu item",IF($O833="","Item not on Menu Pricing",IF(N($D833)&lt;=0,"Qty must be above 0",IF($H833="","No price on menu","OK"))))))</f>
        <v/>
      </c>
      <c r="O833" s="13">
        <f>IF($C833="","",IFERROR(MATCH($C833,'Menu Pricing'!$B$7:$B$56,0),""))</f>
        <v/>
      </c>
    </row>
    <row r="834" ht="17" customHeight="1">
      <c r="B834" s="66" t="n"/>
      <c r="C834" s="60" t="n"/>
      <c r="D834" s="86" t="n"/>
      <c r="E834" s="63" t="n"/>
      <c r="F834" s="60" t="n"/>
      <c r="G834" s="60" t="n"/>
      <c r="H834" s="71">
        <f>IF(OR($C834="",$D834=""),"",IF(ISNUMBER($E834),$E834,IF($O834="","",IF(N(INDEX('Menu Pricing'!$O$7:$O$56,$O834))&gt;0,INDEX('Menu Pricing'!$O$7:$O$56,$O834),""))))</f>
        <v/>
      </c>
      <c r="I834" s="71">
        <f>IF($N834&lt;&gt;"OK","",$D834*$H834)</f>
        <v/>
      </c>
      <c r="J834" s="71">
        <f>IF($N834&lt;&gt;"OK","",N(INDEX('Menu Pricing'!$F$7:$F$56,$O834))+N(INDEX('Menu Pricing'!$G$7:$G$56,$O834))+N(INDEX('Menu Pricing'!$J$7:$J$56,$O834)))</f>
        <v/>
      </c>
      <c r="K834" s="71">
        <f>IF($N834&lt;&gt;"OK","",$D834*$J834)</f>
        <v/>
      </c>
      <c r="L834" s="71">
        <f>IF($N834&lt;&gt;"OK","",$I834-$K834)</f>
        <v/>
      </c>
      <c r="M834" s="71">
        <f>IF($N834&lt;&gt;"OK","",$D834*N(INDEX('Menu Pricing'!$F$7:$F$56,$O834)))</f>
        <v/>
      </c>
      <c r="N834" s="80">
        <f>IF(AND($B834="",$C834="",$D834=""),"",IF(NOT(ISNUMBER($B834)),"Enter a valid date",IF($C834="","Pick a menu item",IF($O834="","Item not on Menu Pricing",IF(N($D834)&lt;=0,"Qty must be above 0",IF($H834="","No price on menu","OK"))))))</f>
        <v/>
      </c>
      <c r="O834" s="13">
        <f>IF($C834="","",IFERROR(MATCH($C834,'Menu Pricing'!$B$7:$B$56,0),""))</f>
        <v/>
      </c>
    </row>
    <row r="835" ht="17" customHeight="1">
      <c r="B835" s="66" t="n"/>
      <c r="C835" s="60" t="n"/>
      <c r="D835" s="86" t="n"/>
      <c r="E835" s="63" t="n"/>
      <c r="F835" s="60" t="n"/>
      <c r="G835" s="60" t="n"/>
      <c r="H835" s="71">
        <f>IF(OR($C835="",$D835=""),"",IF(ISNUMBER($E835),$E835,IF($O835="","",IF(N(INDEX('Menu Pricing'!$O$7:$O$56,$O835))&gt;0,INDEX('Menu Pricing'!$O$7:$O$56,$O835),""))))</f>
        <v/>
      </c>
      <c r="I835" s="71">
        <f>IF($N835&lt;&gt;"OK","",$D835*$H835)</f>
        <v/>
      </c>
      <c r="J835" s="71">
        <f>IF($N835&lt;&gt;"OK","",N(INDEX('Menu Pricing'!$F$7:$F$56,$O835))+N(INDEX('Menu Pricing'!$G$7:$G$56,$O835))+N(INDEX('Menu Pricing'!$J$7:$J$56,$O835)))</f>
        <v/>
      </c>
      <c r="K835" s="71">
        <f>IF($N835&lt;&gt;"OK","",$D835*$J835)</f>
        <v/>
      </c>
      <c r="L835" s="71">
        <f>IF($N835&lt;&gt;"OK","",$I835-$K835)</f>
        <v/>
      </c>
      <c r="M835" s="71">
        <f>IF($N835&lt;&gt;"OK","",$D835*N(INDEX('Menu Pricing'!$F$7:$F$56,$O835)))</f>
        <v/>
      </c>
      <c r="N835" s="80">
        <f>IF(AND($B835="",$C835="",$D835=""),"",IF(NOT(ISNUMBER($B835)),"Enter a valid date",IF($C835="","Pick a menu item",IF($O835="","Item not on Menu Pricing",IF(N($D835)&lt;=0,"Qty must be above 0",IF($H835="","No price on menu","OK"))))))</f>
        <v/>
      </c>
      <c r="O835" s="13">
        <f>IF($C835="","",IFERROR(MATCH($C835,'Menu Pricing'!$B$7:$B$56,0),""))</f>
        <v/>
      </c>
    </row>
    <row r="836" ht="17" customHeight="1">
      <c r="B836" s="66" t="n"/>
      <c r="C836" s="60" t="n"/>
      <c r="D836" s="86" t="n"/>
      <c r="E836" s="63" t="n"/>
      <c r="F836" s="60" t="n"/>
      <c r="G836" s="60" t="n"/>
      <c r="H836" s="71">
        <f>IF(OR($C836="",$D836=""),"",IF(ISNUMBER($E836),$E836,IF($O836="","",IF(N(INDEX('Menu Pricing'!$O$7:$O$56,$O836))&gt;0,INDEX('Menu Pricing'!$O$7:$O$56,$O836),""))))</f>
        <v/>
      </c>
      <c r="I836" s="71">
        <f>IF($N836&lt;&gt;"OK","",$D836*$H836)</f>
        <v/>
      </c>
      <c r="J836" s="71">
        <f>IF($N836&lt;&gt;"OK","",N(INDEX('Menu Pricing'!$F$7:$F$56,$O836))+N(INDEX('Menu Pricing'!$G$7:$G$56,$O836))+N(INDEX('Menu Pricing'!$J$7:$J$56,$O836)))</f>
        <v/>
      </c>
      <c r="K836" s="71">
        <f>IF($N836&lt;&gt;"OK","",$D836*$J836)</f>
        <v/>
      </c>
      <c r="L836" s="71">
        <f>IF($N836&lt;&gt;"OK","",$I836-$K836)</f>
        <v/>
      </c>
      <c r="M836" s="71">
        <f>IF($N836&lt;&gt;"OK","",$D836*N(INDEX('Menu Pricing'!$F$7:$F$56,$O836)))</f>
        <v/>
      </c>
      <c r="N836" s="80">
        <f>IF(AND($B836="",$C836="",$D836=""),"",IF(NOT(ISNUMBER($B836)),"Enter a valid date",IF($C836="","Pick a menu item",IF($O836="","Item not on Menu Pricing",IF(N($D836)&lt;=0,"Qty must be above 0",IF($H836="","No price on menu","OK"))))))</f>
        <v/>
      </c>
      <c r="O836" s="13">
        <f>IF($C836="","",IFERROR(MATCH($C836,'Menu Pricing'!$B$7:$B$56,0),""))</f>
        <v/>
      </c>
    </row>
    <row r="837" ht="17" customHeight="1">
      <c r="B837" s="66" t="n"/>
      <c r="C837" s="60" t="n"/>
      <c r="D837" s="86" t="n"/>
      <c r="E837" s="63" t="n"/>
      <c r="F837" s="60" t="n"/>
      <c r="G837" s="60" t="n"/>
      <c r="H837" s="71">
        <f>IF(OR($C837="",$D837=""),"",IF(ISNUMBER($E837),$E837,IF($O837="","",IF(N(INDEX('Menu Pricing'!$O$7:$O$56,$O837))&gt;0,INDEX('Menu Pricing'!$O$7:$O$56,$O837),""))))</f>
        <v/>
      </c>
      <c r="I837" s="71">
        <f>IF($N837&lt;&gt;"OK","",$D837*$H837)</f>
        <v/>
      </c>
      <c r="J837" s="71">
        <f>IF($N837&lt;&gt;"OK","",N(INDEX('Menu Pricing'!$F$7:$F$56,$O837))+N(INDEX('Menu Pricing'!$G$7:$G$56,$O837))+N(INDEX('Menu Pricing'!$J$7:$J$56,$O837)))</f>
        <v/>
      </c>
      <c r="K837" s="71">
        <f>IF($N837&lt;&gt;"OK","",$D837*$J837)</f>
        <v/>
      </c>
      <c r="L837" s="71">
        <f>IF($N837&lt;&gt;"OK","",$I837-$K837)</f>
        <v/>
      </c>
      <c r="M837" s="71">
        <f>IF($N837&lt;&gt;"OK","",$D837*N(INDEX('Menu Pricing'!$F$7:$F$56,$O837)))</f>
        <v/>
      </c>
      <c r="N837" s="80">
        <f>IF(AND($B837="",$C837="",$D837=""),"",IF(NOT(ISNUMBER($B837)),"Enter a valid date",IF($C837="","Pick a menu item",IF($O837="","Item not on Menu Pricing",IF(N($D837)&lt;=0,"Qty must be above 0",IF($H837="","No price on menu","OK"))))))</f>
        <v/>
      </c>
      <c r="O837" s="13">
        <f>IF($C837="","",IFERROR(MATCH($C837,'Menu Pricing'!$B$7:$B$56,0),""))</f>
        <v/>
      </c>
    </row>
    <row r="838" ht="17" customHeight="1">
      <c r="B838" s="66" t="n"/>
      <c r="C838" s="60" t="n"/>
      <c r="D838" s="86" t="n"/>
      <c r="E838" s="63" t="n"/>
      <c r="F838" s="60" t="n"/>
      <c r="G838" s="60" t="n"/>
      <c r="H838" s="71">
        <f>IF(OR($C838="",$D838=""),"",IF(ISNUMBER($E838),$E838,IF($O838="","",IF(N(INDEX('Menu Pricing'!$O$7:$O$56,$O838))&gt;0,INDEX('Menu Pricing'!$O$7:$O$56,$O838),""))))</f>
        <v/>
      </c>
      <c r="I838" s="71">
        <f>IF($N838&lt;&gt;"OK","",$D838*$H838)</f>
        <v/>
      </c>
      <c r="J838" s="71">
        <f>IF($N838&lt;&gt;"OK","",N(INDEX('Menu Pricing'!$F$7:$F$56,$O838))+N(INDEX('Menu Pricing'!$G$7:$G$56,$O838))+N(INDEX('Menu Pricing'!$J$7:$J$56,$O838)))</f>
        <v/>
      </c>
      <c r="K838" s="71">
        <f>IF($N838&lt;&gt;"OK","",$D838*$J838)</f>
        <v/>
      </c>
      <c r="L838" s="71">
        <f>IF($N838&lt;&gt;"OK","",$I838-$K838)</f>
        <v/>
      </c>
      <c r="M838" s="71">
        <f>IF($N838&lt;&gt;"OK","",$D838*N(INDEX('Menu Pricing'!$F$7:$F$56,$O838)))</f>
        <v/>
      </c>
      <c r="N838" s="80">
        <f>IF(AND($B838="",$C838="",$D838=""),"",IF(NOT(ISNUMBER($B838)),"Enter a valid date",IF($C838="","Pick a menu item",IF($O838="","Item not on Menu Pricing",IF(N($D838)&lt;=0,"Qty must be above 0",IF($H838="","No price on menu","OK"))))))</f>
        <v/>
      </c>
      <c r="O838" s="13">
        <f>IF($C838="","",IFERROR(MATCH($C838,'Menu Pricing'!$B$7:$B$56,0),""))</f>
        <v/>
      </c>
    </row>
    <row r="839" ht="17" customHeight="1">
      <c r="B839" s="66" t="n"/>
      <c r="C839" s="60" t="n"/>
      <c r="D839" s="86" t="n"/>
      <c r="E839" s="63" t="n"/>
      <c r="F839" s="60" t="n"/>
      <c r="G839" s="60" t="n"/>
      <c r="H839" s="71">
        <f>IF(OR($C839="",$D839=""),"",IF(ISNUMBER($E839),$E839,IF($O839="","",IF(N(INDEX('Menu Pricing'!$O$7:$O$56,$O839))&gt;0,INDEX('Menu Pricing'!$O$7:$O$56,$O839),""))))</f>
        <v/>
      </c>
      <c r="I839" s="71">
        <f>IF($N839&lt;&gt;"OK","",$D839*$H839)</f>
        <v/>
      </c>
      <c r="J839" s="71">
        <f>IF($N839&lt;&gt;"OK","",N(INDEX('Menu Pricing'!$F$7:$F$56,$O839))+N(INDEX('Menu Pricing'!$G$7:$G$56,$O839))+N(INDEX('Menu Pricing'!$J$7:$J$56,$O839)))</f>
        <v/>
      </c>
      <c r="K839" s="71">
        <f>IF($N839&lt;&gt;"OK","",$D839*$J839)</f>
        <v/>
      </c>
      <c r="L839" s="71">
        <f>IF($N839&lt;&gt;"OK","",$I839-$K839)</f>
        <v/>
      </c>
      <c r="M839" s="71">
        <f>IF($N839&lt;&gt;"OK","",$D839*N(INDEX('Menu Pricing'!$F$7:$F$56,$O839)))</f>
        <v/>
      </c>
      <c r="N839" s="80">
        <f>IF(AND($B839="",$C839="",$D839=""),"",IF(NOT(ISNUMBER($B839)),"Enter a valid date",IF($C839="","Pick a menu item",IF($O839="","Item not on Menu Pricing",IF(N($D839)&lt;=0,"Qty must be above 0",IF($H839="","No price on menu","OK"))))))</f>
        <v/>
      </c>
      <c r="O839" s="13">
        <f>IF($C839="","",IFERROR(MATCH($C839,'Menu Pricing'!$B$7:$B$56,0),""))</f>
        <v/>
      </c>
    </row>
    <row r="840" ht="17" customHeight="1">
      <c r="B840" s="66" t="n"/>
      <c r="C840" s="60" t="n"/>
      <c r="D840" s="86" t="n"/>
      <c r="E840" s="63" t="n"/>
      <c r="F840" s="60" t="n"/>
      <c r="G840" s="60" t="n"/>
      <c r="H840" s="71">
        <f>IF(OR($C840="",$D840=""),"",IF(ISNUMBER($E840),$E840,IF($O840="","",IF(N(INDEX('Menu Pricing'!$O$7:$O$56,$O840))&gt;0,INDEX('Menu Pricing'!$O$7:$O$56,$O840),""))))</f>
        <v/>
      </c>
      <c r="I840" s="71">
        <f>IF($N840&lt;&gt;"OK","",$D840*$H840)</f>
        <v/>
      </c>
      <c r="J840" s="71">
        <f>IF($N840&lt;&gt;"OK","",N(INDEX('Menu Pricing'!$F$7:$F$56,$O840))+N(INDEX('Menu Pricing'!$G$7:$G$56,$O840))+N(INDEX('Menu Pricing'!$J$7:$J$56,$O840)))</f>
        <v/>
      </c>
      <c r="K840" s="71">
        <f>IF($N840&lt;&gt;"OK","",$D840*$J840)</f>
        <v/>
      </c>
      <c r="L840" s="71">
        <f>IF($N840&lt;&gt;"OK","",$I840-$K840)</f>
        <v/>
      </c>
      <c r="M840" s="71">
        <f>IF($N840&lt;&gt;"OK","",$D840*N(INDEX('Menu Pricing'!$F$7:$F$56,$O840)))</f>
        <v/>
      </c>
      <c r="N840" s="80">
        <f>IF(AND($B840="",$C840="",$D840=""),"",IF(NOT(ISNUMBER($B840)),"Enter a valid date",IF($C840="","Pick a menu item",IF($O840="","Item not on Menu Pricing",IF(N($D840)&lt;=0,"Qty must be above 0",IF($H840="","No price on menu","OK"))))))</f>
        <v/>
      </c>
      <c r="O840" s="13">
        <f>IF($C840="","",IFERROR(MATCH($C840,'Menu Pricing'!$B$7:$B$56,0),""))</f>
        <v/>
      </c>
    </row>
    <row r="841" ht="17" customHeight="1">
      <c r="B841" s="66" t="n"/>
      <c r="C841" s="60" t="n"/>
      <c r="D841" s="86" t="n"/>
      <c r="E841" s="63" t="n"/>
      <c r="F841" s="60" t="n"/>
      <c r="G841" s="60" t="n"/>
      <c r="H841" s="71">
        <f>IF(OR($C841="",$D841=""),"",IF(ISNUMBER($E841),$E841,IF($O841="","",IF(N(INDEX('Menu Pricing'!$O$7:$O$56,$O841))&gt;0,INDEX('Menu Pricing'!$O$7:$O$56,$O841),""))))</f>
        <v/>
      </c>
      <c r="I841" s="71">
        <f>IF($N841&lt;&gt;"OK","",$D841*$H841)</f>
        <v/>
      </c>
      <c r="J841" s="71">
        <f>IF($N841&lt;&gt;"OK","",N(INDEX('Menu Pricing'!$F$7:$F$56,$O841))+N(INDEX('Menu Pricing'!$G$7:$G$56,$O841))+N(INDEX('Menu Pricing'!$J$7:$J$56,$O841)))</f>
        <v/>
      </c>
      <c r="K841" s="71">
        <f>IF($N841&lt;&gt;"OK","",$D841*$J841)</f>
        <v/>
      </c>
      <c r="L841" s="71">
        <f>IF($N841&lt;&gt;"OK","",$I841-$K841)</f>
        <v/>
      </c>
      <c r="M841" s="71">
        <f>IF($N841&lt;&gt;"OK","",$D841*N(INDEX('Menu Pricing'!$F$7:$F$56,$O841)))</f>
        <v/>
      </c>
      <c r="N841" s="80">
        <f>IF(AND($B841="",$C841="",$D841=""),"",IF(NOT(ISNUMBER($B841)),"Enter a valid date",IF($C841="","Pick a menu item",IF($O841="","Item not on Menu Pricing",IF(N($D841)&lt;=0,"Qty must be above 0",IF($H841="","No price on menu","OK"))))))</f>
        <v/>
      </c>
      <c r="O841" s="13">
        <f>IF($C841="","",IFERROR(MATCH($C841,'Menu Pricing'!$B$7:$B$56,0),""))</f>
        <v/>
      </c>
    </row>
    <row r="842" ht="17" customHeight="1">
      <c r="B842" s="66" t="n"/>
      <c r="C842" s="60" t="n"/>
      <c r="D842" s="86" t="n"/>
      <c r="E842" s="63" t="n"/>
      <c r="F842" s="60" t="n"/>
      <c r="G842" s="60" t="n"/>
      <c r="H842" s="71">
        <f>IF(OR($C842="",$D842=""),"",IF(ISNUMBER($E842),$E842,IF($O842="","",IF(N(INDEX('Menu Pricing'!$O$7:$O$56,$O842))&gt;0,INDEX('Menu Pricing'!$O$7:$O$56,$O842),""))))</f>
        <v/>
      </c>
      <c r="I842" s="71">
        <f>IF($N842&lt;&gt;"OK","",$D842*$H842)</f>
        <v/>
      </c>
      <c r="J842" s="71">
        <f>IF($N842&lt;&gt;"OK","",N(INDEX('Menu Pricing'!$F$7:$F$56,$O842))+N(INDEX('Menu Pricing'!$G$7:$G$56,$O842))+N(INDEX('Menu Pricing'!$J$7:$J$56,$O842)))</f>
        <v/>
      </c>
      <c r="K842" s="71">
        <f>IF($N842&lt;&gt;"OK","",$D842*$J842)</f>
        <v/>
      </c>
      <c r="L842" s="71">
        <f>IF($N842&lt;&gt;"OK","",$I842-$K842)</f>
        <v/>
      </c>
      <c r="M842" s="71">
        <f>IF($N842&lt;&gt;"OK","",$D842*N(INDEX('Menu Pricing'!$F$7:$F$56,$O842)))</f>
        <v/>
      </c>
      <c r="N842" s="80">
        <f>IF(AND($B842="",$C842="",$D842=""),"",IF(NOT(ISNUMBER($B842)),"Enter a valid date",IF($C842="","Pick a menu item",IF($O842="","Item not on Menu Pricing",IF(N($D842)&lt;=0,"Qty must be above 0",IF($H842="","No price on menu","OK"))))))</f>
        <v/>
      </c>
      <c r="O842" s="13">
        <f>IF($C842="","",IFERROR(MATCH($C842,'Menu Pricing'!$B$7:$B$56,0),""))</f>
        <v/>
      </c>
    </row>
    <row r="843" ht="17" customHeight="1">
      <c r="B843" s="66" t="n"/>
      <c r="C843" s="60" t="n"/>
      <c r="D843" s="86" t="n"/>
      <c r="E843" s="63" t="n"/>
      <c r="F843" s="60" t="n"/>
      <c r="G843" s="60" t="n"/>
      <c r="H843" s="71">
        <f>IF(OR($C843="",$D843=""),"",IF(ISNUMBER($E843),$E843,IF($O843="","",IF(N(INDEX('Menu Pricing'!$O$7:$O$56,$O843))&gt;0,INDEX('Menu Pricing'!$O$7:$O$56,$O843),""))))</f>
        <v/>
      </c>
      <c r="I843" s="71">
        <f>IF($N843&lt;&gt;"OK","",$D843*$H843)</f>
        <v/>
      </c>
      <c r="J843" s="71">
        <f>IF($N843&lt;&gt;"OK","",N(INDEX('Menu Pricing'!$F$7:$F$56,$O843))+N(INDEX('Menu Pricing'!$G$7:$G$56,$O843))+N(INDEX('Menu Pricing'!$J$7:$J$56,$O843)))</f>
        <v/>
      </c>
      <c r="K843" s="71">
        <f>IF($N843&lt;&gt;"OK","",$D843*$J843)</f>
        <v/>
      </c>
      <c r="L843" s="71">
        <f>IF($N843&lt;&gt;"OK","",$I843-$K843)</f>
        <v/>
      </c>
      <c r="M843" s="71">
        <f>IF($N843&lt;&gt;"OK","",$D843*N(INDEX('Menu Pricing'!$F$7:$F$56,$O843)))</f>
        <v/>
      </c>
      <c r="N843" s="80">
        <f>IF(AND($B843="",$C843="",$D843=""),"",IF(NOT(ISNUMBER($B843)),"Enter a valid date",IF($C843="","Pick a menu item",IF($O843="","Item not on Menu Pricing",IF(N($D843)&lt;=0,"Qty must be above 0",IF($H843="","No price on menu","OK"))))))</f>
        <v/>
      </c>
      <c r="O843" s="13">
        <f>IF($C843="","",IFERROR(MATCH($C843,'Menu Pricing'!$B$7:$B$56,0),""))</f>
        <v/>
      </c>
    </row>
    <row r="844" ht="17" customHeight="1">
      <c r="B844" s="66" t="n"/>
      <c r="C844" s="60" t="n"/>
      <c r="D844" s="86" t="n"/>
      <c r="E844" s="63" t="n"/>
      <c r="F844" s="60" t="n"/>
      <c r="G844" s="60" t="n"/>
      <c r="H844" s="71">
        <f>IF(OR($C844="",$D844=""),"",IF(ISNUMBER($E844),$E844,IF($O844="","",IF(N(INDEX('Menu Pricing'!$O$7:$O$56,$O844))&gt;0,INDEX('Menu Pricing'!$O$7:$O$56,$O844),""))))</f>
        <v/>
      </c>
      <c r="I844" s="71">
        <f>IF($N844&lt;&gt;"OK","",$D844*$H844)</f>
        <v/>
      </c>
      <c r="J844" s="71">
        <f>IF($N844&lt;&gt;"OK","",N(INDEX('Menu Pricing'!$F$7:$F$56,$O844))+N(INDEX('Menu Pricing'!$G$7:$G$56,$O844))+N(INDEX('Menu Pricing'!$J$7:$J$56,$O844)))</f>
        <v/>
      </c>
      <c r="K844" s="71">
        <f>IF($N844&lt;&gt;"OK","",$D844*$J844)</f>
        <v/>
      </c>
      <c r="L844" s="71">
        <f>IF($N844&lt;&gt;"OK","",$I844-$K844)</f>
        <v/>
      </c>
      <c r="M844" s="71">
        <f>IF($N844&lt;&gt;"OK","",$D844*N(INDEX('Menu Pricing'!$F$7:$F$56,$O844)))</f>
        <v/>
      </c>
      <c r="N844" s="80">
        <f>IF(AND($B844="",$C844="",$D844=""),"",IF(NOT(ISNUMBER($B844)),"Enter a valid date",IF($C844="","Pick a menu item",IF($O844="","Item not on Menu Pricing",IF(N($D844)&lt;=0,"Qty must be above 0",IF($H844="","No price on menu","OK"))))))</f>
        <v/>
      </c>
      <c r="O844" s="13">
        <f>IF($C844="","",IFERROR(MATCH($C844,'Menu Pricing'!$B$7:$B$56,0),""))</f>
        <v/>
      </c>
    </row>
    <row r="845" ht="17" customHeight="1">
      <c r="B845" s="66" t="n"/>
      <c r="C845" s="60" t="n"/>
      <c r="D845" s="86" t="n"/>
      <c r="E845" s="63" t="n"/>
      <c r="F845" s="60" t="n"/>
      <c r="G845" s="60" t="n"/>
      <c r="H845" s="71">
        <f>IF(OR($C845="",$D845=""),"",IF(ISNUMBER($E845),$E845,IF($O845="","",IF(N(INDEX('Menu Pricing'!$O$7:$O$56,$O845))&gt;0,INDEX('Menu Pricing'!$O$7:$O$56,$O845),""))))</f>
        <v/>
      </c>
      <c r="I845" s="71">
        <f>IF($N845&lt;&gt;"OK","",$D845*$H845)</f>
        <v/>
      </c>
      <c r="J845" s="71">
        <f>IF($N845&lt;&gt;"OK","",N(INDEX('Menu Pricing'!$F$7:$F$56,$O845))+N(INDEX('Menu Pricing'!$G$7:$G$56,$O845))+N(INDEX('Menu Pricing'!$J$7:$J$56,$O845)))</f>
        <v/>
      </c>
      <c r="K845" s="71">
        <f>IF($N845&lt;&gt;"OK","",$D845*$J845)</f>
        <v/>
      </c>
      <c r="L845" s="71">
        <f>IF($N845&lt;&gt;"OK","",$I845-$K845)</f>
        <v/>
      </c>
      <c r="M845" s="71">
        <f>IF($N845&lt;&gt;"OK","",$D845*N(INDEX('Menu Pricing'!$F$7:$F$56,$O845)))</f>
        <v/>
      </c>
      <c r="N845" s="80">
        <f>IF(AND($B845="",$C845="",$D845=""),"",IF(NOT(ISNUMBER($B845)),"Enter a valid date",IF($C845="","Pick a menu item",IF($O845="","Item not on Menu Pricing",IF(N($D845)&lt;=0,"Qty must be above 0",IF($H845="","No price on menu","OK"))))))</f>
        <v/>
      </c>
      <c r="O845" s="13">
        <f>IF($C845="","",IFERROR(MATCH($C845,'Menu Pricing'!$B$7:$B$56,0),""))</f>
        <v/>
      </c>
    </row>
    <row r="846" ht="17" customHeight="1">
      <c r="B846" s="66" t="n"/>
      <c r="C846" s="60" t="n"/>
      <c r="D846" s="86" t="n"/>
      <c r="E846" s="63" t="n"/>
      <c r="F846" s="60" t="n"/>
      <c r="G846" s="60" t="n"/>
      <c r="H846" s="71">
        <f>IF(OR($C846="",$D846=""),"",IF(ISNUMBER($E846),$E846,IF($O846="","",IF(N(INDEX('Menu Pricing'!$O$7:$O$56,$O846))&gt;0,INDEX('Menu Pricing'!$O$7:$O$56,$O846),""))))</f>
        <v/>
      </c>
      <c r="I846" s="71">
        <f>IF($N846&lt;&gt;"OK","",$D846*$H846)</f>
        <v/>
      </c>
      <c r="J846" s="71">
        <f>IF($N846&lt;&gt;"OK","",N(INDEX('Menu Pricing'!$F$7:$F$56,$O846))+N(INDEX('Menu Pricing'!$G$7:$G$56,$O846))+N(INDEX('Menu Pricing'!$J$7:$J$56,$O846)))</f>
        <v/>
      </c>
      <c r="K846" s="71">
        <f>IF($N846&lt;&gt;"OK","",$D846*$J846)</f>
        <v/>
      </c>
      <c r="L846" s="71">
        <f>IF($N846&lt;&gt;"OK","",$I846-$K846)</f>
        <v/>
      </c>
      <c r="M846" s="71">
        <f>IF($N846&lt;&gt;"OK","",$D846*N(INDEX('Menu Pricing'!$F$7:$F$56,$O846)))</f>
        <v/>
      </c>
      <c r="N846" s="80">
        <f>IF(AND($B846="",$C846="",$D846=""),"",IF(NOT(ISNUMBER($B846)),"Enter a valid date",IF($C846="","Pick a menu item",IF($O846="","Item not on Menu Pricing",IF(N($D846)&lt;=0,"Qty must be above 0",IF($H846="","No price on menu","OK"))))))</f>
        <v/>
      </c>
      <c r="O846" s="13">
        <f>IF($C846="","",IFERROR(MATCH($C846,'Menu Pricing'!$B$7:$B$56,0),""))</f>
        <v/>
      </c>
    </row>
    <row r="847" ht="17" customHeight="1">
      <c r="B847" s="66" t="n"/>
      <c r="C847" s="60" t="n"/>
      <c r="D847" s="86" t="n"/>
      <c r="E847" s="63" t="n"/>
      <c r="F847" s="60" t="n"/>
      <c r="G847" s="60" t="n"/>
      <c r="H847" s="71">
        <f>IF(OR($C847="",$D847=""),"",IF(ISNUMBER($E847),$E847,IF($O847="","",IF(N(INDEX('Menu Pricing'!$O$7:$O$56,$O847))&gt;0,INDEX('Menu Pricing'!$O$7:$O$56,$O847),""))))</f>
        <v/>
      </c>
      <c r="I847" s="71">
        <f>IF($N847&lt;&gt;"OK","",$D847*$H847)</f>
        <v/>
      </c>
      <c r="J847" s="71">
        <f>IF($N847&lt;&gt;"OK","",N(INDEX('Menu Pricing'!$F$7:$F$56,$O847))+N(INDEX('Menu Pricing'!$G$7:$G$56,$O847))+N(INDEX('Menu Pricing'!$J$7:$J$56,$O847)))</f>
        <v/>
      </c>
      <c r="K847" s="71">
        <f>IF($N847&lt;&gt;"OK","",$D847*$J847)</f>
        <v/>
      </c>
      <c r="L847" s="71">
        <f>IF($N847&lt;&gt;"OK","",$I847-$K847)</f>
        <v/>
      </c>
      <c r="M847" s="71">
        <f>IF($N847&lt;&gt;"OK","",$D847*N(INDEX('Menu Pricing'!$F$7:$F$56,$O847)))</f>
        <v/>
      </c>
      <c r="N847" s="80">
        <f>IF(AND($B847="",$C847="",$D847=""),"",IF(NOT(ISNUMBER($B847)),"Enter a valid date",IF($C847="","Pick a menu item",IF($O847="","Item not on Menu Pricing",IF(N($D847)&lt;=0,"Qty must be above 0",IF($H847="","No price on menu","OK"))))))</f>
        <v/>
      </c>
      <c r="O847" s="13">
        <f>IF($C847="","",IFERROR(MATCH($C847,'Menu Pricing'!$B$7:$B$56,0),""))</f>
        <v/>
      </c>
    </row>
    <row r="848" ht="17" customHeight="1">
      <c r="B848" s="66" t="n"/>
      <c r="C848" s="60" t="n"/>
      <c r="D848" s="86" t="n"/>
      <c r="E848" s="63" t="n"/>
      <c r="F848" s="60" t="n"/>
      <c r="G848" s="60" t="n"/>
      <c r="H848" s="71">
        <f>IF(OR($C848="",$D848=""),"",IF(ISNUMBER($E848),$E848,IF($O848="","",IF(N(INDEX('Menu Pricing'!$O$7:$O$56,$O848))&gt;0,INDEX('Menu Pricing'!$O$7:$O$56,$O848),""))))</f>
        <v/>
      </c>
      <c r="I848" s="71">
        <f>IF($N848&lt;&gt;"OK","",$D848*$H848)</f>
        <v/>
      </c>
      <c r="J848" s="71">
        <f>IF($N848&lt;&gt;"OK","",N(INDEX('Menu Pricing'!$F$7:$F$56,$O848))+N(INDEX('Menu Pricing'!$G$7:$G$56,$O848))+N(INDEX('Menu Pricing'!$J$7:$J$56,$O848)))</f>
        <v/>
      </c>
      <c r="K848" s="71">
        <f>IF($N848&lt;&gt;"OK","",$D848*$J848)</f>
        <v/>
      </c>
      <c r="L848" s="71">
        <f>IF($N848&lt;&gt;"OK","",$I848-$K848)</f>
        <v/>
      </c>
      <c r="M848" s="71">
        <f>IF($N848&lt;&gt;"OK","",$D848*N(INDEX('Menu Pricing'!$F$7:$F$56,$O848)))</f>
        <v/>
      </c>
      <c r="N848" s="80">
        <f>IF(AND($B848="",$C848="",$D848=""),"",IF(NOT(ISNUMBER($B848)),"Enter a valid date",IF($C848="","Pick a menu item",IF($O848="","Item not on Menu Pricing",IF(N($D848)&lt;=0,"Qty must be above 0",IF($H848="","No price on menu","OK"))))))</f>
        <v/>
      </c>
      <c r="O848" s="13">
        <f>IF($C848="","",IFERROR(MATCH($C848,'Menu Pricing'!$B$7:$B$56,0),""))</f>
        <v/>
      </c>
    </row>
    <row r="849" ht="17" customHeight="1">
      <c r="B849" s="66" t="n"/>
      <c r="C849" s="60" t="n"/>
      <c r="D849" s="86" t="n"/>
      <c r="E849" s="63" t="n"/>
      <c r="F849" s="60" t="n"/>
      <c r="G849" s="60" t="n"/>
      <c r="H849" s="71">
        <f>IF(OR($C849="",$D849=""),"",IF(ISNUMBER($E849),$E849,IF($O849="","",IF(N(INDEX('Menu Pricing'!$O$7:$O$56,$O849))&gt;0,INDEX('Menu Pricing'!$O$7:$O$56,$O849),""))))</f>
        <v/>
      </c>
      <c r="I849" s="71">
        <f>IF($N849&lt;&gt;"OK","",$D849*$H849)</f>
        <v/>
      </c>
      <c r="J849" s="71">
        <f>IF($N849&lt;&gt;"OK","",N(INDEX('Menu Pricing'!$F$7:$F$56,$O849))+N(INDEX('Menu Pricing'!$G$7:$G$56,$O849))+N(INDEX('Menu Pricing'!$J$7:$J$56,$O849)))</f>
        <v/>
      </c>
      <c r="K849" s="71">
        <f>IF($N849&lt;&gt;"OK","",$D849*$J849)</f>
        <v/>
      </c>
      <c r="L849" s="71">
        <f>IF($N849&lt;&gt;"OK","",$I849-$K849)</f>
        <v/>
      </c>
      <c r="M849" s="71">
        <f>IF($N849&lt;&gt;"OK","",$D849*N(INDEX('Menu Pricing'!$F$7:$F$56,$O849)))</f>
        <v/>
      </c>
      <c r="N849" s="80">
        <f>IF(AND($B849="",$C849="",$D849=""),"",IF(NOT(ISNUMBER($B849)),"Enter a valid date",IF($C849="","Pick a menu item",IF($O849="","Item not on Menu Pricing",IF(N($D849)&lt;=0,"Qty must be above 0",IF($H849="","No price on menu","OK"))))))</f>
        <v/>
      </c>
      <c r="O849" s="13">
        <f>IF($C849="","",IFERROR(MATCH($C849,'Menu Pricing'!$B$7:$B$56,0),""))</f>
        <v/>
      </c>
    </row>
    <row r="850" ht="17" customHeight="1">
      <c r="B850" s="66" t="n"/>
      <c r="C850" s="60" t="n"/>
      <c r="D850" s="86" t="n"/>
      <c r="E850" s="63" t="n"/>
      <c r="F850" s="60" t="n"/>
      <c r="G850" s="60" t="n"/>
      <c r="H850" s="71">
        <f>IF(OR($C850="",$D850=""),"",IF(ISNUMBER($E850),$E850,IF($O850="","",IF(N(INDEX('Menu Pricing'!$O$7:$O$56,$O850))&gt;0,INDEX('Menu Pricing'!$O$7:$O$56,$O850),""))))</f>
        <v/>
      </c>
      <c r="I850" s="71">
        <f>IF($N850&lt;&gt;"OK","",$D850*$H850)</f>
        <v/>
      </c>
      <c r="J850" s="71">
        <f>IF($N850&lt;&gt;"OK","",N(INDEX('Menu Pricing'!$F$7:$F$56,$O850))+N(INDEX('Menu Pricing'!$G$7:$G$56,$O850))+N(INDEX('Menu Pricing'!$J$7:$J$56,$O850)))</f>
        <v/>
      </c>
      <c r="K850" s="71">
        <f>IF($N850&lt;&gt;"OK","",$D850*$J850)</f>
        <v/>
      </c>
      <c r="L850" s="71">
        <f>IF($N850&lt;&gt;"OK","",$I850-$K850)</f>
        <v/>
      </c>
      <c r="M850" s="71">
        <f>IF($N850&lt;&gt;"OK","",$D850*N(INDEX('Menu Pricing'!$F$7:$F$56,$O850)))</f>
        <v/>
      </c>
      <c r="N850" s="80">
        <f>IF(AND($B850="",$C850="",$D850=""),"",IF(NOT(ISNUMBER($B850)),"Enter a valid date",IF($C850="","Pick a menu item",IF($O850="","Item not on Menu Pricing",IF(N($D850)&lt;=0,"Qty must be above 0",IF($H850="","No price on menu","OK"))))))</f>
        <v/>
      </c>
      <c r="O850" s="13">
        <f>IF($C850="","",IFERROR(MATCH($C850,'Menu Pricing'!$B$7:$B$56,0),""))</f>
        <v/>
      </c>
    </row>
    <row r="851" ht="17" customHeight="1">
      <c r="B851" s="66" t="n"/>
      <c r="C851" s="60" t="n"/>
      <c r="D851" s="86" t="n"/>
      <c r="E851" s="63" t="n"/>
      <c r="F851" s="60" t="n"/>
      <c r="G851" s="60" t="n"/>
      <c r="H851" s="71">
        <f>IF(OR($C851="",$D851=""),"",IF(ISNUMBER($E851),$E851,IF($O851="","",IF(N(INDEX('Menu Pricing'!$O$7:$O$56,$O851))&gt;0,INDEX('Menu Pricing'!$O$7:$O$56,$O851),""))))</f>
        <v/>
      </c>
      <c r="I851" s="71">
        <f>IF($N851&lt;&gt;"OK","",$D851*$H851)</f>
        <v/>
      </c>
      <c r="J851" s="71">
        <f>IF($N851&lt;&gt;"OK","",N(INDEX('Menu Pricing'!$F$7:$F$56,$O851))+N(INDEX('Menu Pricing'!$G$7:$G$56,$O851))+N(INDEX('Menu Pricing'!$J$7:$J$56,$O851)))</f>
        <v/>
      </c>
      <c r="K851" s="71">
        <f>IF($N851&lt;&gt;"OK","",$D851*$J851)</f>
        <v/>
      </c>
      <c r="L851" s="71">
        <f>IF($N851&lt;&gt;"OK","",$I851-$K851)</f>
        <v/>
      </c>
      <c r="M851" s="71">
        <f>IF($N851&lt;&gt;"OK","",$D851*N(INDEX('Menu Pricing'!$F$7:$F$56,$O851)))</f>
        <v/>
      </c>
      <c r="N851" s="80">
        <f>IF(AND($B851="",$C851="",$D851=""),"",IF(NOT(ISNUMBER($B851)),"Enter a valid date",IF($C851="","Pick a menu item",IF($O851="","Item not on Menu Pricing",IF(N($D851)&lt;=0,"Qty must be above 0",IF($H851="","No price on menu","OK"))))))</f>
        <v/>
      </c>
      <c r="O851" s="13">
        <f>IF($C851="","",IFERROR(MATCH($C851,'Menu Pricing'!$B$7:$B$56,0),""))</f>
        <v/>
      </c>
    </row>
    <row r="852" ht="17" customHeight="1">
      <c r="B852" s="66" t="n"/>
      <c r="C852" s="60" t="n"/>
      <c r="D852" s="86" t="n"/>
      <c r="E852" s="63" t="n"/>
      <c r="F852" s="60" t="n"/>
      <c r="G852" s="60" t="n"/>
      <c r="H852" s="71">
        <f>IF(OR($C852="",$D852=""),"",IF(ISNUMBER($E852),$E852,IF($O852="","",IF(N(INDEX('Menu Pricing'!$O$7:$O$56,$O852))&gt;0,INDEX('Menu Pricing'!$O$7:$O$56,$O852),""))))</f>
        <v/>
      </c>
      <c r="I852" s="71">
        <f>IF($N852&lt;&gt;"OK","",$D852*$H852)</f>
        <v/>
      </c>
      <c r="J852" s="71">
        <f>IF($N852&lt;&gt;"OK","",N(INDEX('Menu Pricing'!$F$7:$F$56,$O852))+N(INDEX('Menu Pricing'!$G$7:$G$56,$O852))+N(INDEX('Menu Pricing'!$J$7:$J$56,$O852)))</f>
        <v/>
      </c>
      <c r="K852" s="71">
        <f>IF($N852&lt;&gt;"OK","",$D852*$J852)</f>
        <v/>
      </c>
      <c r="L852" s="71">
        <f>IF($N852&lt;&gt;"OK","",$I852-$K852)</f>
        <v/>
      </c>
      <c r="M852" s="71">
        <f>IF($N852&lt;&gt;"OK","",$D852*N(INDEX('Menu Pricing'!$F$7:$F$56,$O852)))</f>
        <v/>
      </c>
      <c r="N852" s="80">
        <f>IF(AND($B852="",$C852="",$D852=""),"",IF(NOT(ISNUMBER($B852)),"Enter a valid date",IF($C852="","Pick a menu item",IF($O852="","Item not on Menu Pricing",IF(N($D852)&lt;=0,"Qty must be above 0",IF($H852="","No price on menu","OK"))))))</f>
        <v/>
      </c>
      <c r="O852" s="13">
        <f>IF($C852="","",IFERROR(MATCH($C852,'Menu Pricing'!$B$7:$B$56,0),""))</f>
        <v/>
      </c>
    </row>
    <row r="853" ht="17" customHeight="1">
      <c r="B853" s="66" t="n"/>
      <c r="C853" s="60" t="n"/>
      <c r="D853" s="86" t="n"/>
      <c r="E853" s="63" t="n"/>
      <c r="F853" s="60" t="n"/>
      <c r="G853" s="60" t="n"/>
      <c r="H853" s="71">
        <f>IF(OR($C853="",$D853=""),"",IF(ISNUMBER($E853),$E853,IF($O853="","",IF(N(INDEX('Menu Pricing'!$O$7:$O$56,$O853))&gt;0,INDEX('Menu Pricing'!$O$7:$O$56,$O853),""))))</f>
        <v/>
      </c>
      <c r="I853" s="71">
        <f>IF($N853&lt;&gt;"OK","",$D853*$H853)</f>
        <v/>
      </c>
      <c r="J853" s="71">
        <f>IF($N853&lt;&gt;"OK","",N(INDEX('Menu Pricing'!$F$7:$F$56,$O853))+N(INDEX('Menu Pricing'!$G$7:$G$56,$O853))+N(INDEX('Menu Pricing'!$J$7:$J$56,$O853)))</f>
        <v/>
      </c>
      <c r="K853" s="71">
        <f>IF($N853&lt;&gt;"OK","",$D853*$J853)</f>
        <v/>
      </c>
      <c r="L853" s="71">
        <f>IF($N853&lt;&gt;"OK","",$I853-$K853)</f>
        <v/>
      </c>
      <c r="M853" s="71">
        <f>IF($N853&lt;&gt;"OK","",$D853*N(INDEX('Menu Pricing'!$F$7:$F$56,$O853)))</f>
        <v/>
      </c>
      <c r="N853" s="80">
        <f>IF(AND($B853="",$C853="",$D853=""),"",IF(NOT(ISNUMBER($B853)),"Enter a valid date",IF($C853="","Pick a menu item",IF($O853="","Item not on Menu Pricing",IF(N($D853)&lt;=0,"Qty must be above 0",IF($H853="","No price on menu","OK"))))))</f>
        <v/>
      </c>
      <c r="O853" s="13">
        <f>IF($C853="","",IFERROR(MATCH($C853,'Menu Pricing'!$B$7:$B$56,0),""))</f>
        <v/>
      </c>
    </row>
    <row r="854" ht="17" customHeight="1">
      <c r="B854" s="66" t="n"/>
      <c r="C854" s="60" t="n"/>
      <c r="D854" s="86" t="n"/>
      <c r="E854" s="63" t="n"/>
      <c r="F854" s="60" t="n"/>
      <c r="G854" s="60" t="n"/>
      <c r="H854" s="71">
        <f>IF(OR($C854="",$D854=""),"",IF(ISNUMBER($E854),$E854,IF($O854="","",IF(N(INDEX('Menu Pricing'!$O$7:$O$56,$O854))&gt;0,INDEX('Menu Pricing'!$O$7:$O$56,$O854),""))))</f>
        <v/>
      </c>
      <c r="I854" s="71">
        <f>IF($N854&lt;&gt;"OK","",$D854*$H854)</f>
        <v/>
      </c>
      <c r="J854" s="71">
        <f>IF($N854&lt;&gt;"OK","",N(INDEX('Menu Pricing'!$F$7:$F$56,$O854))+N(INDEX('Menu Pricing'!$G$7:$G$56,$O854))+N(INDEX('Menu Pricing'!$J$7:$J$56,$O854)))</f>
        <v/>
      </c>
      <c r="K854" s="71">
        <f>IF($N854&lt;&gt;"OK","",$D854*$J854)</f>
        <v/>
      </c>
      <c r="L854" s="71">
        <f>IF($N854&lt;&gt;"OK","",$I854-$K854)</f>
        <v/>
      </c>
      <c r="M854" s="71">
        <f>IF($N854&lt;&gt;"OK","",$D854*N(INDEX('Menu Pricing'!$F$7:$F$56,$O854)))</f>
        <v/>
      </c>
      <c r="N854" s="80">
        <f>IF(AND($B854="",$C854="",$D854=""),"",IF(NOT(ISNUMBER($B854)),"Enter a valid date",IF($C854="","Pick a menu item",IF($O854="","Item not on Menu Pricing",IF(N($D854)&lt;=0,"Qty must be above 0",IF($H854="","No price on menu","OK"))))))</f>
        <v/>
      </c>
      <c r="O854" s="13">
        <f>IF($C854="","",IFERROR(MATCH($C854,'Menu Pricing'!$B$7:$B$56,0),""))</f>
        <v/>
      </c>
    </row>
    <row r="855" ht="17" customHeight="1">
      <c r="B855" s="66" t="n"/>
      <c r="C855" s="60" t="n"/>
      <c r="D855" s="86" t="n"/>
      <c r="E855" s="63" t="n"/>
      <c r="F855" s="60" t="n"/>
      <c r="G855" s="60" t="n"/>
      <c r="H855" s="71">
        <f>IF(OR($C855="",$D855=""),"",IF(ISNUMBER($E855),$E855,IF($O855="","",IF(N(INDEX('Menu Pricing'!$O$7:$O$56,$O855))&gt;0,INDEX('Menu Pricing'!$O$7:$O$56,$O855),""))))</f>
        <v/>
      </c>
      <c r="I855" s="71">
        <f>IF($N855&lt;&gt;"OK","",$D855*$H855)</f>
        <v/>
      </c>
      <c r="J855" s="71">
        <f>IF($N855&lt;&gt;"OK","",N(INDEX('Menu Pricing'!$F$7:$F$56,$O855))+N(INDEX('Menu Pricing'!$G$7:$G$56,$O855))+N(INDEX('Menu Pricing'!$J$7:$J$56,$O855)))</f>
        <v/>
      </c>
      <c r="K855" s="71">
        <f>IF($N855&lt;&gt;"OK","",$D855*$J855)</f>
        <v/>
      </c>
      <c r="L855" s="71">
        <f>IF($N855&lt;&gt;"OK","",$I855-$K855)</f>
        <v/>
      </c>
      <c r="M855" s="71">
        <f>IF($N855&lt;&gt;"OK","",$D855*N(INDEX('Menu Pricing'!$F$7:$F$56,$O855)))</f>
        <v/>
      </c>
      <c r="N855" s="80">
        <f>IF(AND($B855="",$C855="",$D855=""),"",IF(NOT(ISNUMBER($B855)),"Enter a valid date",IF($C855="","Pick a menu item",IF($O855="","Item not on Menu Pricing",IF(N($D855)&lt;=0,"Qty must be above 0",IF($H855="","No price on menu","OK"))))))</f>
        <v/>
      </c>
      <c r="O855" s="13">
        <f>IF($C855="","",IFERROR(MATCH($C855,'Menu Pricing'!$B$7:$B$56,0),""))</f>
        <v/>
      </c>
    </row>
    <row r="856" ht="17" customHeight="1">
      <c r="B856" s="66" t="n"/>
      <c r="C856" s="60" t="n"/>
      <c r="D856" s="86" t="n"/>
      <c r="E856" s="63" t="n"/>
      <c r="F856" s="60" t="n"/>
      <c r="G856" s="60" t="n"/>
      <c r="H856" s="71">
        <f>IF(OR($C856="",$D856=""),"",IF(ISNUMBER($E856),$E856,IF($O856="","",IF(N(INDEX('Menu Pricing'!$O$7:$O$56,$O856))&gt;0,INDEX('Menu Pricing'!$O$7:$O$56,$O856),""))))</f>
        <v/>
      </c>
      <c r="I856" s="71">
        <f>IF($N856&lt;&gt;"OK","",$D856*$H856)</f>
        <v/>
      </c>
      <c r="J856" s="71">
        <f>IF($N856&lt;&gt;"OK","",N(INDEX('Menu Pricing'!$F$7:$F$56,$O856))+N(INDEX('Menu Pricing'!$G$7:$G$56,$O856))+N(INDEX('Menu Pricing'!$J$7:$J$56,$O856)))</f>
        <v/>
      </c>
      <c r="K856" s="71">
        <f>IF($N856&lt;&gt;"OK","",$D856*$J856)</f>
        <v/>
      </c>
      <c r="L856" s="71">
        <f>IF($N856&lt;&gt;"OK","",$I856-$K856)</f>
        <v/>
      </c>
      <c r="M856" s="71">
        <f>IF($N856&lt;&gt;"OK","",$D856*N(INDEX('Menu Pricing'!$F$7:$F$56,$O856)))</f>
        <v/>
      </c>
      <c r="N856" s="80">
        <f>IF(AND($B856="",$C856="",$D856=""),"",IF(NOT(ISNUMBER($B856)),"Enter a valid date",IF($C856="","Pick a menu item",IF($O856="","Item not on Menu Pricing",IF(N($D856)&lt;=0,"Qty must be above 0",IF($H856="","No price on menu","OK"))))))</f>
        <v/>
      </c>
      <c r="O856" s="13">
        <f>IF($C856="","",IFERROR(MATCH($C856,'Menu Pricing'!$B$7:$B$56,0),""))</f>
        <v/>
      </c>
    </row>
    <row r="857" ht="17" customHeight="1">
      <c r="B857" s="66" t="n"/>
      <c r="C857" s="60" t="n"/>
      <c r="D857" s="86" t="n"/>
      <c r="E857" s="63" t="n"/>
      <c r="F857" s="60" t="n"/>
      <c r="G857" s="60" t="n"/>
      <c r="H857" s="71">
        <f>IF(OR($C857="",$D857=""),"",IF(ISNUMBER($E857),$E857,IF($O857="","",IF(N(INDEX('Menu Pricing'!$O$7:$O$56,$O857))&gt;0,INDEX('Menu Pricing'!$O$7:$O$56,$O857),""))))</f>
        <v/>
      </c>
      <c r="I857" s="71">
        <f>IF($N857&lt;&gt;"OK","",$D857*$H857)</f>
        <v/>
      </c>
      <c r="J857" s="71">
        <f>IF($N857&lt;&gt;"OK","",N(INDEX('Menu Pricing'!$F$7:$F$56,$O857))+N(INDEX('Menu Pricing'!$G$7:$G$56,$O857))+N(INDEX('Menu Pricing'!$J$7:$J$56,$O857)))</f>
        <v/>
      </c>
      <c r="K857" s="71">
        <f>IF($N857&lt;&gt;"OK","",$D857*$J857)</f>
        <v/>
      </c>
      <c r="L857" s="71">
        <f>IF($N857&lt;&gt;"OK","",$I857-$K857)</f>
        <v/>
      </c>
      <c r="M857" s="71">
        <f>IF($N857&lt;&gt;"OK","",$D857*N(INDEX('Menu Pricing'!$F$7:$F$56,$O857)))</f>
        <v/>
      </c>
      <c r="N857" s="80">
        <f>IF(AND($B857="",$C857="",$D857=""),"",IF(NOT(ISNUMBER($B857)),"Enter a valid date",IF($C857="","Pick a menu item",IF($O857="","Item not on Menu Pricing",IF(N($D857)&lt;=0,"Qty must be above 0",IF($H857="","No price on menu","OK"))))))</f>
        <v/>
      </c>
      <c r="O857" s="13">
        <f>IF($C857="","",IFERROR(MATCH($C857,'Menu Pricing'!$B$7:$B$56,0),""))</f>
        <v/>
      </c>
    </row>
    <row r="858" ht="17" customHeight="1">
      <c r="B858" s="66" t="n"/>
      <c r="C858" s="60" t="n"/>
      <c r="D858" s="86" t="n"/>
      <c r="E858" s="63" t="n"/>
      <c r="F858" s="60" t="n"/>
      <c r="G858" s="60" t="n"/>
      <c r="H858" s="71">
        <f>IF(OR($C858="",$D858=""),"",IF(ISNUMBER($E858),$E858,IF($O858="","",IF(N(INDEX('Menu Pricing'!$O$7:$O$56,$O858))&gt;0,INDEX('Menu Pricing'!$O$7:$O$56,$O858),""))))</f>
        <v/>
      </c>
      <c r="I858" s="71">
        <f>IF($N858&lt;&gt;"OK","",$D858*$H858)</f>
        <v/>
      </c>
      <c r="J858" s="71">
        <f>IF($N858&lt;&gt;"OK","",N(INDEX('Menu Pricing'!$F$7:$F$56,$O858))+N(INDEX('Menu Pricing'!$G$7:$G$56,$O858))+N(INDEX('Menu Pricing'!$J$7:$J$56,$O858)))</f>
        <v/>
      </c>
      <c r="K858" s="71">
        <f>IF($N858&lt;&gt;"OK","",$D858*$J858)</f>
        <v/>
      </c>
      <c r="L858" s="71">
        <f>IF($N858&lt;&gt;"OK","",$I858-$K858)</f>
        <v/>
      </c>
      <c r="M858" s="71">
        <f>IF($N858&lt;&gt;"OK","",$D858*N(INDEX('Menu Pricing'!$F$7:$F$56,$O858)))</f>
        <v/>
      </c>
      <c r="N858" s="80">
        <f>IF(AND($B858="",$C858="",$D858=""),"",IF(NOT(ISNUMBER($B858)),"Enter a valid date",IF($C858="","Pick a menu item",IF($O858="","Item not on Menu Pricing",IF(N($D858)&lt;=0,"Qty must be above 0",IF($H858="","No price on menu","OK"))))))</f>
        <v/>
      </c>
      <c r="O858" s="13">
        <f>IF($C858="","",IFERROR(MATCH($C858,'Menu Pricing'!$B$7:$B$56,0),""))</f>
        <v/>
      </c>
    </row>
    <row r="859" ht="17" customHeight="1">
      <c r="B859" s="66" t="n"/>
      <c r="C859" s="60" t="n"/>
      <c r="D859" s="86" t="n"/>
      <c r="E859" s="63" t="n"/>
      <c r="F859" s="60" t="n"/>
      <c r="G859" s="60" t="n"/>
      <c r="H859" s="71">
        <f>IF(OR($C859="",$D859=""),"",IF(ISNUMBER($E859),$E859,IF($O859="","",IF(N(INDEX('Menu Pricing'!$O$7:$O$56,$O859))&gt;0,INDEX('Menu Pricing'!$O$7:$O$56,$O859),""))))</f>
        <v/>
      </c>
      <c r="I859" s="71">
        <f>IF($N859&lt;&gt;"OK","",$D859*$H859)</f>
        <v/>
      </c>
      <c r="J859" s="71">
        <f>IF($N859&lt;&gt;"OK","",N(INDEX('Menu Pricing'!$F$7:$F$56,$O859))+N(INDEX('Menu Pricing'!$G$7:$G$56,$O859))+N(INDEX('Menu Pricing'!$J$7:$J$56,$O859)))</f>
        <v/>
      </c>
      <c r="K859" s="71">
        <f>IF($N859&lt;&gt;"OK","",$D859*$J859)</f>
        <v/>
      </c>
      <c r="L859" s="71">
        <f>IF($N859&lt;&gt;"OK","",$I859-$K859)</f>
        <v/>
      </c>
      <c r="M859" s="71">
        <f>IF($N859&lt;&gt;"OK","",$D859*N(INDEX('Menu Pricing'!$F$7:$F$56,$O859)))</f>
        <v/>
      </c>
      <c r="N859" s="80">
        <f>IF(AND($B859="",$C859="",$D859=""),"",IF(NOT(ISNUMBER($B859)),"Enter a valid date",IF($C859="","Pick a menu item",IF($O859="","Item not on Menu Pricing",IF(N($D859)&lt;=0,"Qty must be above 0",IF($H859="","No price on menu","OK"))))))</f>
        <v/>
      </c>
      <c r="O859" s="13">
        <f>IF($C859="","",IFERROR(MATCH($C859,'Menu Pricing'!$B$7:$B$56,0),""))</f>
        <v/>
      </c>
    </row>
    <row r="860" ht="17" customHeight="1">
      <c r="B860" s="66" t="n"/>
      <c r="C860" s="60" t="n"/>
      <c r="D860" s="86" t="n"/>
      <c r="E860" s="63" t="n"/>
      <c r="F860" s="60" t="n"/>
      <c r="G860" s="60" t="n"/>
      <c r="H860" s="71">
        <f>IF(OR($C860="",$D860=""),"",IF(ISNUMBER($E860),$E860,IF($O860="","",IF(N(INDEX('Menu Pricing'!$O$7:$O$56,$O860))&gt;0,INDEX('Menu Pricing'!$O$7:$O$56,$O860),""))))</f>
        <v/>
      </c>
      <c r="I860" s="71">
        <f>IF($N860&lt;&gt;"OK","",$D860*$H860)</f>
        <v/>
      </c>
      <c r="J860" s="71">
        <f>IF($N860&lt;&gt;"OK","",N(INDEX('Menu Pricing'!$F$7:$F$56,$O860))+N(INDEX('Menu Pricing'!$G$7:$G$56,$O860))+N(INDEX('Menu Pricing'!$J$7:$J$56,$O860)))</f>
        <v/>
      </c>
      <c r="K860" s="71">
        <f>IF($N860&lt;&gt;"OK","",$D860*$J860)</f>
        <v/>
      </c>
      <c r="L860" s="71">
        <f>IF($N860&lt;&gt;"OK","",$I860-$K860)</f>
        <v/>
      </c>
      <c r="M860" s="71">
        <f>IF($N860&lt;&gt;"OK","",$D860*N(INDEX('Menu Pricing'!$F$7:$F$56,$O860)))</f>
        <v/>
      </c>
      <c r="N860" s="80">
        <f>IF(AND($B860="",$C860="",$D860=""),"",IF(NOT(ISNUMBER($B860)),"Enter a valid date",IF($C860="","Pick a menu item",IF($O860="","Item not on Menu Pricing",IF(N($D860)&lt;=0,"Qty must be above 0",IF($H860="","No price on menu","OK"))))))</f>
        <v/>
      </c>
      <c r="O860" s="13">
        <f>IF($C860="","",IFERROR(MATCH($C860,'Menu Pricing'!$B$7:$B$56,0),""))</f>
        <v/>
      </c>
    </row>
    <row r="861" ht="17" customHeight="1">
      <c r="B861" s="66" t="n"/>
      <c r="C861" s="60" t="n"/>
      <c r="D861" s="86" t="n"/>
      <c r="E861" s="63" t="n"/>
      <c r="F861" s="60" t="n"/>
      <c r="G861" s="60" t="n"/>
      <c r="H861" s="71">
        <f>IF(OR($C861="",$D861=""),"",IF(ISNUMBER($E861),$E861,IF($O861="","",IF(N(INDEX('Menu Pricing'!$O$7:$O$56,$O861))&gt;0,INDEX('Menu Pricing'!$O$7:$O$56,$O861),""))))</f>
        <v/>
      </c>
      <c r="I861" s="71">
        <f>IF($N861&lt;&gt;"OK","",$D861*$H861)</f>
        <v/>
      </c>
      <c r="J861" s="71">
        <f>IF($N861&lt;&gt;"OK","",N(INDEX('Menu Pricing'!$F$7:$F$56,$O861))+N(INDEX('Menu Pricing'!$G$7:$G$56,$O861))+N(INDEX('Menu Pricing'!$J$7:$J$56,$O861)))</f>
        <v/>
      </c>
      <c r="K861" s="71">
        <f>IF($N861&lt;&gt;"OK","",$D861*$J861)</f>
        <v/>
      </c>
      <c r="L861" s="71">
        <f>IF($N861&lt;&gt;"OK","",$I861-$K861)</f>
        <v/>
      </c>
      <c r="M861" s="71">
        <f>IF($N861&lt;&gt;"OK","",$D861*N(INDEX('Menu Pricing'!$F$7:$F$56,$O861)))</f>
        <v/>
      </c>
      <c r="N861" s="80">
        <f>IF(AND($B861="",$C861="",$D861=""),"",IF(NOT(ISNUMBER($B861)),"Enter a valid date",IF($C861="","Pick a menu item",IF($O861="","Item not on Menu Pricing",IF(N($D861)&lt;=0,"Qty must be above 0",IF($H861="","No price on menu","OK"))))))</f>
        <v/>
      </c>
      <c r="O861" s="13">
        <f>IF($C861="","",IFERROR(MATCH($C861,'Menu Pricing'!$B$7:$B$56,0),""))</f>
        <v/>
      </c>
    </row>
    <row r="862" ht="17" customHeight="1">
      <c r="B862" s="66" t="n"/>
      <c r="C862" s="60" t="n"/>
      <c r="D862" s="86" t="n"/>
      <c r="E862" s="63" t="n"/>
      <c r="F862" s="60" t="n"/>
      <c r="G862" s="60" t="n"/>
      <c r="H862" s="71">
        <f>IF(OR($C862="",$D862=""),"",IF(ISNUMBER($E862),$E862,IF($O862="","",IF(N(INDEX('Menu Pricing'!$O$7:$O$56,$O862))&gt;0,INDEX('Menu Pricing'!$O$7:$O$56,$O862),""))))</f>
        <v/>
      </c>
      <c r="I862" s="71">
        <f>IF($N862&lt;&gt;"OK","",$D862*$H862)</f>
        <v/>
      </c>
      <c r="J862" s="71">
        <f>IF($N862&lt;&gt;"OK","",N(INDEX('Menu Pricing'!$F$7:$F$56,$O862))+N(INDEX('Menu Pricing'!$G$7:$G$56,$O862))+N(INDEX('Menu Pricing'!$J$7:$J$56,$O862)))</f>
        <v/>
      </c>
      <c r="K862" s="71">
        <f>IF($N862&lt;&gt;"OK","",$D862*$J862)</f>
        <v/>
      </c>
      <c r="L862" s="71">
        <f>IF($N862&lt;&gt;"OK","",$I862-$K862)</f>
        <v/>
      </c>
      <c r="M862" s="71">
        <f>IF($N862&lt;&gt;"OK","",$D862*N(INDEX('Menu Pricing'!$F$7:$F$56,$O862)))</f>
        <v/>
      </c>
      <c r="N862" s="80">
        <f>IF(AND($B862="",$C862="",$D862=""),"",IF(NOT(ISNUMBER($B862)),"Enter a valid date",IF($C862="","Pick a menu item",IF($O862="","Item not on Menu Pricing",IF(N($D862)&lt;=0,"Qty must be above 0",IF($H862="","No price on menu","OK"))))))</f>
        <v/>
      </c>
      <c r="O862" s="13">
        <f>IF($C862="","",IFERROR(MATCH($C862,'Menu Pricing'!$B$7:$B$56,0),""))</f>
        <v/>
      </c>
    </row>
    <row r="863" ht="17" customHeight="1">
      <c r="B863" s="66" t="n"/>
      <c r="C863" s="60" t="n"/>
      <c r="D863" s="86" t="n"/>
      <c r="E863" s="63" t="n"/>
      <c r="F863" s="60" t="n"/>
      <c r="G863" s="60" t="n"/>
      <c r="H863" s="71">
        <f>IF(OR($C863="",$D863=""),"",IF(ISNUMBER($E863),$E863,IF($O863="","",IF(N(INDEX('Menu Pricing'!$O$7:$O$56,$O863))&gt;0,INDEX('Menu Pricing'!$O$7:$O$56,$O863),""))))</f>
        <v/>
      </c>
      <c r="I863" s="71">
        <f>IF($N863&lt;&gt;"OK","",$D863*$H863)</f>
        <v/>
      </c>
      <c r="J863" s="71">
        <f>IF($N863&lt;&gt;"OK","",N(INDEX('Menu Pricing'!$F$7:$F$56,$O863))+N(INDEX('Menu Pricing'!$G$7:$G$56,$O863))+N(INDEX('Menu Pricing'!$J$7:$J$56,$O863)))</f>
        <v/>
      </c>
      <c r="K863" s="71">
        <f>IF($N863&lt;&gt;"OK","",$D863*$J863)</f>
        <v/>
      </c>
      <c r="L863" s="71">
        <f>IF($N863&lt;&gt;"OK","",$I863-$K863)</f>
        <v/>
      </c>
      <c r="M863" s="71">
        <f>IF($N863&lt;&gt;"OK","",$D863*N(INDEX('Menu Pricing'!$F$7:$F$56,$O863)))</f>
        <v/>
      </c>
      <c r="N863" s="80">
        <f>IF(AND($B863="",$C863="",$D863=""),"",IF(NOT(ISNUMBER($B863)),"Enter a valid date",IF($C863="","Pick a menu item",IF($O863="","Item not on Menu Pricing",IF(N($D863)&lt;=0,"Qty must be above 0",IF($H863="","No price on menu","OK"))))))</f>
        <v/>
      </c>
      <c r="O863" s="13">
        <f>IF($C863="","",IFERROR(MATCH($C863,'Menu Pricing'!$B$7:$B$56,0),""))</f>
        <v/>
      </c>
    </row>
    <row r="864" ht="17" customHeight="1">
      <c r="B864" s="66" t="n"/>
      <c r="C864" s="60" t="n"/>
      <c r="D864" s="86" t="n"/>
      <c r="E864" s="63" t="n"/>
      <c r="F864" s="60" t="n"/>
      <c r="G864" s="60" t="n"/>
      <c r="H864" s="71">
        <f>IF(OR($C864="",$D864=""),"",IF(ISNUMBER($E864),$E864,IF($O864="","",IF(N(INDEX('Menu Pricing'!$O$7:$O$56,$O864))&gt;0,INDEX('Menu Pricing'!$O$7:$O$56,$O864),""))))</f>
        <v/>
      </c>
      <c r="I864" s="71">
        <f>IF($N864&lt;&gt;"OK","",$D864*$H864)</f>
        <v/>
      </c>
      <c r="J864" s="71">
        <f>IF($N864&lt;&gt;"OK","",N(INDEX('Menu Pricing'!$F$7:$F$56,$O864))+N(INDEX('Menu Pricing'!$G$7:$G$56,$O864))+N(INDEX('Menu Pricing'!$J$7:$J$56,$O864)))</f>
        <v/>
      </c>
      <c r="K864" s="71">
        <f>IF($N864&lt;&gt;"OK","",$D864*$J864)</f>
        <v/>
      </c>
      <c r="L864" s="71">
        <f>IF($N864&lt;&gt;"OK","",$I864-$K864)</f>
        <v/>
      </c>
      <c r="M864" s="71">
        <f>IF($N864&lt;&gt;"OK","",$D864*N(INDEX('Menu Pricing'!$F$7:$F$56,$O864)))</f>
        <v/>
      </c>
      <c r="N864" s="80">
        <f>IF(AND($B864="",$C864="",$D864=""),"",IF(NOT(ISNUMBER($B864)),"Enter a valid date",IF($C864="","Pick a menu item",IF($O864="","Item not on Menu Pricing",IF(N($D864)&lt;=0,"Qty must be above 0",IF($H864="","No price on menu","OK"))))))</f>
        <v/>
      </c>
      <c r="O864" s="13">
        <f>IF($C864="","",IFERROR(MATCH($C864,'Menu Pricing'!$B$7:$B$56,0),""))</f>
        <v/>
      </c>
    </row>
    <row r="865" ht="17" customHeight="1">
      <c r="B865" s="66" t="n"/>
      <c r="C865" s="60" t="n"/>
      <c r="D865" s="86" t="n"/>
      <c r="E865" s="63" t="n"/>
      <c r="F865" s="60" t="n"/>
      <c r="G865" s="60" t="n"/>
      <c r="H865" s="71">
        <f>IF(OR($C865="",$D865=""),"",IF(ISNUMBER($E865),$E865,IF($O865="","",IF(N(INDEX('Menu Pricing'!$O$7:$O$56,$O865))&gt;0,INDEX('Menu Pricing'!$O$7:$O$56,$O865),""))))</f>
        <v/>
      </c>
      <c r="I865" s="71">
        <f>IF($N865&lt;&gt;"OK","",$D865*$H865)</f>
        <v/>
      </c>
      <c r="J865" s="71">
        <f>IF($N865&lt;&gt;"OK","",N(INDEX('Menu Pricing'!$F$7:$F$56,$O865))+N(INDEX('Menu Pricing'!$G$7:$G$56,$O865))+N(INDEX('Menu Pricing'!$J$7:$J$56,$O865)))</f>
        <v/>
      </c>
      <c r="K865" s="71">
        <f>IF($N865&lt;&gt;"OK","",$D865*$J865)</f>
        <v/>
      </c>
      <c r="L865" s="71">
        <f>IF($N865&lt;&gt;"OK","",$I865-$K865)</f>
        <v/>
      </c>
      <c r="M865" s="71">
        <f>IF($N865&lt;&gt;"OK","",$D865*N(INDEX('Menu Pricing'!$F$7:$F$56,$O865)))</f>
        <v/>
      </c>
      <c r="N865" s="80">
        <f>IF(AND($B865="",$C865="",$D865=""),"",IF(NOT(ISNUMBER($B865)),"Enter a valid date",IF($C865="","Pick a menu item",IF($O865="","Item not on Menu Pricing",IF(N($D865)&lt;=0,"Qty must be above 0",IF($H865="","No price on menu","OK"))))))</f>
        <v/>
      </c>
      <c r="O865" s="13">
        <f>IF($C865="","",IFERROR(MATCH($C865,'Menu Pricing'!$B$7:$B$56,0),""))</f>
        <v/>
      </c>
    </row>
    <row r="866" ht="17" customHeight="1">
      <c r="B866" s="66" t="n"/>
      <c r="C866" s="60" t="n"/>
      <c r="D866" s="86" t="n"/>
      <c r="E866" s="63" t="n"/>
      <c r="F866" s="60" t="n"/>
      <c r="G866" s="60" t="n"/>
      <c r="H866" s="71">
        <f>IF(OR($C866="",$D866=""),"",IF(ISNUMBER($E866),$E866,IF($O866="","",IF(N(INDEX('Menu Pricing'!$O$7:$O$56,$O866))&gt;0,INDEX('Menu Pricing'!$O$7:$O$56,$O866),""))))</f>
        <v/>
      </c>
      <c r="I866" s="71">
        <f>IF($N866&lt;&gt;"OK","",$D866*$H866)</f>
        <v/>
      </c>
      <c r="J866" s="71">
        <f>IF($N866&lt;&gt;"OK","",N(INDEX('Menu Pricing'!$F$7:$F$56,$O866))+N(INDEX('Menu Pricing'!$G$7:$G$56,$O866))+N(INDEX('Menu Pricing'!$J$7:$J$56,$O866)))</f>
        <v/>
      </c>
      <c r="K866" s="71">
        <f>IF($N866&lt;&gt;"OK","",$D866*$J866)</f>
        <v/>
      </c>
      <c r="L866" s="71">
        <f>IF($N866&lt;&gt;"OK","",$I866-$K866)</f>
        <v/>
      </c>
      <c r="M866" s="71">
        <f>IF($N866&lt;&gt;"OK","",$D866*N(INDEX('Menu Pricing'!$F$7:$F$56,$O866)))</f>
        <v/>
      </c>
      <c r="N866" s="80">
        <f>IF(AND($B866="",$C866="",$D866=""),"",IF(NOT(ISNUMBER($B866)),"Enter a valid date",IF($C866="","Pick a menu item",IF($O866="","Item not on Menu Pricing",IF(N($D866)&lt;=0,"Qty must be above 0",IF($H866="","No price on menu","OK"))))))</f>
        <v/>
      </c>
      <c r="O866" s="13">
        <f>IF($C866="","",IFERROR(MATCH($C866,'Menu Pricing'!$B$7:$B$56,0),""))</f>
        <v/>
      </c>
    </row>
    <row r="867" ht="17" customHeight="1">
      <c r="B867" s="66" t="n"/>
      <c r="C867" s="60" t="n"/>
      <c r="D867" s="86" t="n"/>
      <c r="E867" s="63" t="n"/>
      <c r="F867" s="60" t="n"/>
      <c r="G867" s="60" t="n"/>
      <c r="H867" s="71">
        <f>IF(OR($C867="",$D867=""),"",IF(ISNUMBER($E867),$E867,IF($O867="","",IF(N(INDEX('Menu Pricing'!$O$7:$O$56,$O867))&gt;0,INDEX('Menu Pricing'!$O$7:$O$56,$O867),""))))</f>
        <v/>
      </c>
      <c r="I867" s="71">
        <f>IF($N867&lt;&gt;"OK","",$D867*$H867)</f>
        <v/>
      </c>
      <c r="J867" s="71">
        <f>IF($N867&lt;&gt;"OK","",N(INDEX('Menu Pricing'!$F$7:$F$56,$O867))+N(INDEX('Menu Pricing'!$G$7:$G$56,$O867))+N(INDEX('Menu Pricing'!$J$7:$J$56,$O867)))</f>
        <v/>
      </c>
      <c r="K867" s="71">
        <f>IF($N867&lt;&gt;"OK","",$D867*$J867)</f>
        <v/>
      </c>
      <c r="L867" s="71">
        <f>IF($N867&lt;&gt;"OK","",$I867-$K867)</f>
        <v/>
      </c>
      <c r="M867" s="71">
        <f>IF($N867&lt;&gt;"OK","",$D867*N(INDEX('Menu Pricing'!$F$7:$F$56,$O867)))</f>
        <v/>
      </c>
      <c r="N867" s="80">
        <f>IF(AND($B867="",$C867="",$D867=""),"",IF(NOT(ISNUMBER($B867)),"Enter a valid date",IF($C867="","Pick a menu item",IF($O867="","Item not on Menu Pricing",IF(N($D867)&lt;=0,"Qty must be above 0",IF($H867="","No price on menu","OK"))))))</f>
        <v/>
      </c>
      <c r="O867" s="13">
        <f>IF($C867="","",IFERROR(MATCH($C867,'Menu Pricing'!$B$7:$B$56,0),""))</f>
        <v/>
      </c>
    </row>
    <row r="868" ht="17" customHeight="1">
      <c r="B868" s="66" t="n"/>
      <c r="C868" s="60" t="n"/>
      <c r="D868" s="86" t="n"/>
      <c r="E868" s="63" t="n"/>
      <c r="F868" s="60" t="n"/>
      <c r="G868" s="60" t="n"/>
      <c r="H868" s="71">
        <f>IF(OR($C868="",$D868=""),"",IF(ISNUMBER($E868),$E868,IF($O868="","",IF(N(INDEX('Menu Pricing'!$O$7:$O$56,$O868))&gt;0,INDEX('Menu Pricing'!$O$7:$O$56,$O868),""))))</f>
        <v/>
      </c>
      <c r="I868" s="71">
        <f>IF($N868&lt;&gt;"OK","",$D868*$H868)</f>
        <v/>
      </c>
      <c r="J868" s="71">
        <f>IF($N868&lt;&gt;"OK","",N(INDEX('Menu Pricing'!$F$7:$F$56,$O868))+N(INDEX('Menu Pricing'!$G$7:$G$56,$O868))+N(INDEX('Menu Pricing'!$J$7:$J$56,$O868)))</f>
        <v/>
      </c>
      <c r="K868" s="71">
        <f>IF($N868&lt;&gt;"OK","",$D868*$J868)</f>
        <v/>
      </c>
      <c r="L868" s="71">
        <f>IF($N868&lt;&gt;"OK","",$I868-$K868)</f>
        <v/>
      </c>
      <c r="M868" s="71">
        <f>IF($N868&lt;&gt;"OK","",$D868*N(INDEX('Menu Pricing'!$F$7:$F$56,$O868)))</f>
        <v/>
      </c>
      <c r="N868" s="80">
        <f>IF(AND($B868="",$C868="",$D868=""),"",IF(NOT(ISNUMBER($B868)),"Enter a valid date",IF($C868="","Pick a menu item",IF($O868="","Item not on Menu Pricing",IF(N($D868)&lt;=0,"Qty must be above 0",IF($H868="","No price on menu","OK"))))))</f>
        <v/>
      </c>
      <c r="O868" s="13">
        <f>IF($C868="","",IFERROR(MATCH($C868,'Menu Pricing'!$B$7:$B$56,0),""))</f>
        <v/>
      </c>
    </row>
    <row r="869" ht="17" customHeight="1">
      <c r="B869" s="66" t="n"/>
      <c r="C869" s="60" t="n"/>
      <c r="D869" s="86" t="n"/>
      <c r="E869" s="63" t="n"/>
      <c r="F869" s="60" t="n"/>
      <c r="G869" s="60" t="n"/>
      <c r="H869" s="71">
        <f>IF(OR($C869="",$D869=""),"",IF(ISNUMBER($E869),$E869,IF($O869="","",IF(N(INDEX('Menu Pricing'!$O$7:$O$56,$O869))&gt;0,INDEX('Menu Pricing'!$O$7:$O$56,$O869),""))))</f>
        <v/>
      </c>
      <c r="I869" s="71">
        <f>IF($N869&lt;&gt;"OK","",$D869*$H869)</f>
        <v/>
      </c>
      <c r="J869" s="71">
        <f>IF($N869&lt;&gt;"OK","",N(INDEX('Menu Pricing'!$F$7:$F$56,$O869))+N(INDEX('Menu Pricing'!$G$7:$G$56,$O869))+N(INDEX('Menu Pricing'!$J$7:$J$56,$O869)))</f>
        <v/>
      </c>
      <c r="K869" s="71">
        <f>IF($N869&lt;&gt;"OK","",$D869*$J869)</f>
        <v/>
      </c>
      <c r="L869" s="71">
        <f>IF($N869&lt;&gt;"OK","",$I869-$K869)</f>
        <v/>
      </c>
      <c r="M869" s="71">
        <f>IF($N869&lt;&gt;"OK","",$D869*N(INDEX('Menu Pricing'!$F$7:$F$56,$O869)))</f>
        <v/>
      </c>
      <c r="N869" s="80">
        <f>IF(AND($B869="",$C869="",$D869=""),"",IF(NOT(ISNUMBER($B869)),"Enter a valid date",IF($C869="","Pick a menu item",IF($O869="","Item not on Menu Pricing",IF(N($D869)&lt;=0,"Qty must be above 0",IF($H869="","No price on menu","OK"))))))</f>
        <v/>
      </c>
      <c r="O869" s="13">
        <f>IF($C869="","",IFERROR(MATCH($C869,'Menu Pricing'!$B$7:$B$56,0),""))</f>
        <v/>
      </c>
    </row>
    <row r="870" ht="17" customHeight="1">
      <c r="B870" s="66" t="n"/>
      <c r="C870" s="60" t="n"/>
      <c r="D870" s="86" t="n"/>
      <c r="E870" s="63" t="n"/>
      <c r="F870" s="60" t="n"/>
      <c r="G870" s="60" t="n"/>
      <c r="H870" s="71">
        <f>IF(OR($C870="",$D870=""),"",IF(ISNUMBER($E870),$E870,IF($O870="","",IF(N(INDEX('Menu Pricing'!$O$7:$O$56,$O870))&gt;0,INDEX('Menu Pricing'!$O$7:$O$56,$O870),""))))</f>
        <v/>
      </c>
      <c r="I870" s="71">
        <f>IF($N870&lt;&gt;"OK","",$D870*$H870)</f>
        <v/>
      </c>
      <c r="J870" s="71">
        <f>IF($N870&lt;&gt;"OK","",N(INDEX('Menu Pricing'!$F$7:$F$56,$O870))+N(INDEX('Menu Pricing'!$G$7:$G$56,$O870))+N(INDEX('Menu Pricing'!$J$7:$J$56,$O870)))</f>
        <v/>
      </c>
      <c r="K870" s="71">
        <f>IF($N870&lt;&gt;"OK","",$D870*$J870)</f>
        <v/>
      </c>
      <c r="L870" s="71">
        <f>IF($N870&lt;&gt;"OK","",$I870-$K870)</f>
        <v/>
      </c>
      <c r="M870" s="71">
        <f>IF($N870&lt;&gt;"OK","",$D870*N(INDEX('Menu Pricing'!$F$7:$F$56,$O870)))</f>
        <v/>
      </c>
      <c r="N870" s="80">
        <f>IF(AND($B870="",$C870="",$D870=""),"",IF(NOT(ISNUMBER($B870)),"Enter a valid date",IF($C870="","Pick a menu item",IF($O870="","Item not on Menu Pricing",IF(N($D870)&lt;=0,"Qty must be above 0",IF($H870="","No price on menu","OK"))))))</f>
        <v/>
      </c>
      <c r="O870" s="13">
        <f>IF($C870="","",IFERROR(MATCH($C870,'Menu Pricing'!$B$7:$B$56,0),""))</f>
        <v/>
      </c>
    </row>
    <row r="871" ht="17" customHeight="1">
      <c r="B871" s="66" t="n"/>
      <c r="C871" s="60" t="n"/>
      <c r="D871" s="86" t="n"/>
      <c r="E871" s="63" t="n"/>
      <c r="F871" s="60" t="n"/>
      <c r="G871" s="60" t="n"/>
      <c r="H871" s="71">
        <f>IF(OR($C871="",$D871=""),"",IF(ISNUMBER($E871),$E871,IF($O871="","",IF(N(INDEX('Menu Pricing'!$O$7:$O$56,$O871))&gt;0,INDEX('Menu Pricing'!$O$7:$O$56,$O871),""))))</f>
        <v/>
      </c>
      <c r="I871" s="71">
        <f>IF($N871&lt;&gt;"OK","",$D871*$H871)</f>
        <v/>
      </c>
      <c r="J871" s="71">
        <f>IF($N871&lt;&gt;"OK","",N(INDEX('Menu Pricing'!$F$7:$F$56,$O871))+N(INDEX('Menu Pricing'!$G$7:$G$56,$O871))+N(INDEX('Menu Pricing'!$J$7:$J$56,$O871)))</f>
        <v/>
      </c>
      <c r="K871" s="71">
        <f>IF($N871&lt;&gt;"OK","",$D871*$J871)</f>
        <v/>
      </c>
      <c r="L871" s="71">
        <f>IF($N871&lt;&gt;"OK","",$I871-$K871)</f>
        <v/>
      </c>
      <c r="M871" s="71">
        <f>IF($N871&lt;&gt;"OK","",$D871*N(INDEX('Menu Pricing'!$F$7:$F$56,$O871)))</f>
        <v/>
      </c>
      <c r="N871" s="80">
        <f>IF(AND($B871="",$C871="",$D871=""),"",IF(NOT(ISNUMBER($B871)),"Enter a valid date",IF($C871="","Pick a menu item",IF($O871="","Item not on Menu Pricing",IF(N($D871)&lt;=0,"Qty must be above 0",IF($H871="","No price on menu","OK"))))))</f>
        <v/>
      </c>
      <c r="O871" s="13">
        <f>IF($C871="","",IFERROR(MATCH($C871,'Menu Pricing'!$B$7:$B$56,0),""))</f>
        <v/>
      </c>
    </row>
    <row r="872" ht="17" customHeight="1">
      <c r="B872" s="66" t="n"/>
      <c r="C872" s="60" t="n"/>
      <c r="D872" s="86" t="n"/>
      <c r="E872" s="63" t="n"/>
      <c r="F872" s="60" t="n"/>
      <c r="G872" s="60" t="n"/>
      <c r="H872" s="71">
        <f>IF(OR($C872="",$D872=""),"",IF(ISNUMBER($E872),$E872,IF($O872="","",IF(N(INDEX('Menu Pricing'!$O$7:$O$56,$O872))&gt;0,INDEX('Menu Pricing'!$O$7:$O$56,$O872),""))))</f>
        <v/>
      </c>
      <c r="I872" s="71">
        <f>IF($N872&lt;&gt;"OK","",$D872*$H872)</f>
        <v/>
      </c>
      <c r="J872" s="71">
        <f>IF($N872&lt;&gt;"OK","",N(INDEX('Menu Pricing'!$F$7:$F$56,$O872))+N(INDEX('Menu Pricing'!$G$7:$G$56,$O872))+N(INDEX('Menu Pricing'!$J$7:$J$56,$O872)))</f>
        <v/>
      </c>
      <c r="K872" s="71">
        <f>IF($N872&lt;&gt;"OK","",$D872*$J872)</f>
        <v/>
      </c>
      <c r="L872" s="71">
        <f>IF($N872&lt;&gt;"OK","",$I872-$K872)</f>
        <v/>
      </c>
      <c r="M872" s="71">
        <f>IF($N872&lt;&gt;"OK","",$D872*N(INDEX('Menu Pricing'!$F$7:$F$56,$O872)))</f>
        <v/>
      </c>
      <c r="N872" s="80">
        <f>IF(AND($B872="",$C872="",$D872=""),"",IF(NOT(ISNUMBER($B872)),"Enter a valid date",IF($C872="","Pick a menu item",IF($O872="","Item not on Menu Pricing",IF(N($D872)&lt;=0,"Qty must be above 0",IF($H872="","No price on menu","OK"))))))</f>
        <v/>
      </c>
      <c r="O872" s="13">
        <f>IF($C872="","",IFERROR(MATCH($C872,'Menu Pricing'!$B$7:$B$56,0),""))</f>
        <v/>
      </c>
    </row>
    <row r="873" ht="17" customHeight="1">
      <c r="B873" s="66" t="n"/>
      <c r="C873" s="60" t="n"/>
      <c r="D873" s="86" t="n"/>
      <c r="E873" s="63" t="n"/>
      <c r="F873" s="60" t="n"/>
      <c r="G873" s="60" t="n"/>
      <c r="H873" s="71">
        <f>IF(OR($C873="",$D873=""),"",IF(ISNUMBER($E873),$E873,IF($O873="","",IF(N(INDEX('Menu Pricing'!$O$7:$O$56,$O873))&gt;0,INDEX('Menu Pricing'!$O$7:$O$56,$O873),""))))</f>
        <v/>
      </c>
      <c r="I873" s="71">
        <f>IF($N873&lt;&gt;"OK","",$D873*$H873)</f>
        <v/>
      </c>
      <c r="J873" s="71">
        <f>IF($N873&lt;&gt;"OK","",N(INDEX('Menu Pricing'!$F$7:$F$56,$O873))+N(INDEX('Menu Pricing'!$G$7:$G$56,$O873))+N(INDEX('Menu Pricing'!$J$7:$J$56,$O873)))</f>
        <v/>
      </c>
      <c r="K873" s="71">
        <f>IF($N873&lt;&gt;"OK","",$D873*$J873)</f>
        <v/>
      </c>
      <c r="L873" s="71">
        <f>IF($N873&lt;&gt;"OK","",$I873-$K873)</f>
        <v/>
      </c>
      <c r="M873" s="71">
        <f>IF($N873&lt;&gt;"OK","",$D873*N(INDEX('Menu Pricing'!$F$7:$F$56,$O873)))</f>
        <v/>
      </c>
      <c r="N873" s="80">
        <f>IF(AND($B873="",$C873="",$D873=""),"",IF(NOT(ISNUMBER($B873)),"Enter a valid date",IF($C873="","Pick a menu item",IF($O873="","Item not on Menu Pricing",IF(N($D873)&lt;=0,"Qty must be above 0",IF($H873="","No price on menu","OK"))))))</f>
        <v/>
      </c>
      <c r="O873" s="13">
        <f>IF($C873="","",IFERROR(MATCH($C873,'Menu Pricing'!$B$7:$B$56,0),""))</f>
        <v/>
      </c>
    </row>
    <row r="874" ht="17" customHeight="1">
      <c r="B874" s="66" t="n"/>
      <c r="C874" s="60" t="n"/>
      <c r="D874" s="86" t="n"/>
      <c r="E874" s="63" t="n"/>
      <c r="F874" s="60" t="n"/>
      <c r="G874" s="60" t="n"/>
      <c r="H874" s="71">
        <f>IF(OR($C874="",$D874=""),"",IF(ISNUMBER($E874),$E874,IF($O874="","",IF(N(INDEX('Menu Pricing'!$O$7:$O$56,$O874))&gt;0,INDEX('Menu Pricing'!$O$7:$O$56,$O874),""))))</f>
        <v/>
      </c>
      <c r="I874" s="71">
        <f>IF($N874&lt;&gt;"OK","",$D874*$H874)</f>
        <v/>
      </c>
      <c r="J874" s="71">
        <f>IF($N874&lt;&gt;"OK","",N(INDEX('Menu Pricing'!$F$7:$F$56,$O874))+N(INDEX('Menu Pricing'!$G$7:$G$56,$O874))+N(INDEX('Menu Pricing'!$J$7:$J$56,$O874)))</f>
        <v/>
      </c>
      <c r="K874" s="71">
        <f>IF($N874&lt;&gt;"OK","",$D874*$J874)</f>
        <v/>
      </c>
      <c r="L874" s="71">
        <f>IF($N874&lt;&gt;"OK","",$I874-$K874)</f>
        <v/>
      </c>
      <c r="M874" s="71">
        <f>IF($N874&lt;&gt;"OK","",$D874*N(INDEX('Menu Pricing'!$F$7:$F$56,$O874)))</f>
        <v/>
      </c>
      <c r="N874" s="80">
        <f>IF(AND($B874="",$C874="",$D874=""),"",IF(NOT(ISNUMBER($B874)),"Enter a valid date",IF($C874="","Pick a menu item",IF($O874="","Item not on Menu Pricing",IF(N($D874)&lt;=0,"Qty must be above 0",IF($H874="","No price on menu","OK"))))))</f>
        <v/>
      </c>
      <c r="O874" s="13">
        <f>IF($C874="","",IFERROR(MATCH($C874,'Menu Pricing'!$B$7:$B$56,0),""))</f>
        <v/>
      </c>
    </row>
    <row r="875" ht="17" customHeight="1">
      <c r="B875" s="66" t="n"/>
      <c r="C875" s="60" t="n"/>
      <c r="D875" s="86" t="n"/>
      <c r="E875" s="63" t="n"/>
      <c r="F875" s="60" t="n"/>
      <c r="G875" s="60" t="n"/>
      <c r="H875" s="71">
        <f>IF(OR($C875="",$D875=""),"",IF(ISNUMBER($E875),$E875,IF($O875="","",IF(N(INDEX('Menu Pricing'!$O$7:$O$56,$O875))&gt;0,INDEX('Menu Pricing'!$O$7:$O$56,$O875),""))))</f>
        <v/>
      </c>
      <c r="I875" s="71">
        <f>IF($N875&lt;&gt;"OK","",$D875*$H875)</f>
        <v/>
      </c>
      <c r="J875" s="71">
        <f>IF($N875&lt;&gt;"OK","",N(INDEX('Menu Pricing'!$F$7:$F$56,$O875))+N(INDEX('Menu Pricing'!$G$7:$G$56,$O875))+N(INDEX('Menu Pricing'!$J$7:$J$56,$O875)))</f>
        <v/>
      </c>
      <c r="K875" s="71">
        <f>IF($N875&lt;&gt;"OK","",$D875*$J875)</f>
        <v/>
      </c>
      <c r="L875" s="71">
        <f>IF($N875&lt;&gt;"OK","",$I875-$K875)</f>
        <v/>
      </c>
      <c r="M875" s="71">
        <f>IF($N875&lt;&gt;"OK","",$D875*N(INDEX('Menu Pricing'!$F$7:$F$56,$O875)))</f>
        <v/>
      </c>
      <c r="N875" s="80">
        <f>IF(AND($B875="",$C875="",$D875=""),"",IF(NOT(ISNUMBER($B875)),"Enter a valid date",IF($C875="","Pick a menu item",IF($O875="","Item not on Menu Pricing",IF(N($D875)&lt;=0,"Qty must be above 0",IF($H875="","No price on menu","OK"))))))</f>
        <v/>
      </c>
      <c r="O875" s="13">
        <f>IF($C875="","",IFERROR(MATCH($C875,'Menu Pricing'!$B$7:$B$56,0),""))</f>
        <v/>
      </c>
    </row>
    <row r="876" ht="17" customHeight="1">
      <c r="B876" s="66" t="n"/>
      <c r="C876" s="60" t="n"/>
      <c r="D876" s="86" t="n"/>
      <c r="E876" s="63" t="n"/>
      <c r="F876" s="60" t="n"/>
      <c r="G876" s="60" t="n"/>
      <c r="H876" s="71">
        <f>IF(OR($C876="",$D876=""),"",IF(ISNUMBER($E876),$E876,IF($O876="","",IF(N(INDEX('Menu Pricing'!$O$7:$O$56,$O876))&gt;0,INDEX('Menu Pricing'!$O$7:$O$56,$O876),""))))</f>
        <v/>
      </c>
      <c r="I876" s="71">
        <f>IF($N876&lt;&gt;"OK","",$D876*$H876)</f>
        <v/>
      </c>
      <c r="J876" s="71">
        <f>IF($N876&lt;&gt;"OK","",N(INDEX('Menu Pricing'!$F$7:$F$56,$O876))+N(INDEX('Menu Pricing'!$G$7:$G$56,$O876))+N(INDEX('Menu Pricing'!$J$7:$J$56,$O876)))</f>
        <v/>
      </c>
      <c r="K876" s="71">
        <f>IF($N876&lt;&gt;"OK","",$D876*$J876)</f>
        <v/>
      </c>
      <c r="L876" s="71">
        <f>IF($N876&lt;&gt;"OK","",$I876-$K876)</f>
        <v/>
      </c>
      <c r="M876" s="71">
        <f>IF($N876&lt;&gt;"OK","",$D876*N(INDEX('Menu Pricing'!$F$7:$F$56,$O876)))</f>
        <v/>
      </c>
      <c r="N876" s="80">
        <f>IF(AND($B876="",$C876="",$D876=""),"",IF(NOT(ISNUMBER($B876)),"Enter a valid date",IF($C876="","Pick a menu item",IF($O876="","Item not on Menu Pricing",IF(N($D876)&lt;=0,"Qty must be above 0",IF($H876="","No price on menu","OK"))))))</f>
        <v/>
      </c>
      <c r="O876" s="13">
        <f>IF($C876="","",IFERROR(MATCH($C876,'Menu Pricing'!$B$7:$B$56,0),""))</f>
        <v/>
      </c>
    </row>
    <row r="877" ht="17" customHeight="1">
      <c r="B877" s="66" t="n"/>
      <c r="C877" s="60" t="n"/>
      <c r="D877" s="86" t="n"/>
      <c r="E877" s="63" t="n"/>
      <c r="F877" s="60" t="n"/>
      <c r="G877" s="60" t="n"/>
      <c r="H877" s="71">
        <f>IF(OR($C877="",$D877=""),"",IF(ISNUMBER($E877),$E877,IF($O877="","",IF(N(INDEX('Menu Pricing'!$O$7:$O$56,$O877))&gt;0,INDEX('Menu Pricing'!$O$7:$O$56,$O877),""))))</f>
        <v/>
      </c>
      <c r="I877" s="71">
        <f>IF($N877&lt;&gt;"OK","",$D877*$H877)</f>
        <v/>
      </c>
      <c r="J877" s="71">
        <f>IF($N877&lt;&gt;"OK","",N(INDEX('Menu Pricing'!$F$7:$F$56,$O877))+N(INDEX('Menu Pricing'!$G$7:$G$56,$O877))+N(INDEX('Menu Pricing'!$J$7:$J$56,$O877)))</f>
        <v/>
      </c>
      <c r="K877" s="71">
        <f>IF($N877&lt;&gt;"OK","",$D877*$J877)</f>
        <v/>
      </c>
      <c r="L877" s="71">
        <f>IF($N877&lt;&gt;"OK","",$I877-$K877)</f>
        <v/>
      </c>
      <c r="M877" s="71">
        <f>IF($N877&lt;&gt;"OK","",$D877*N(INDEX('Menu Pricing'!$F$7:$F$56,$O877)))</f>
        <v/>
      </c>
      <c r="N877" s="80">
        <f>IF(AND($B877="",$C877="",$D877=""),"",IF(NOT(ISNUMBER($B877)),"Enter a valid date",IF($C877="","Pick a menu item",IF($O877="","Item not on Menu Pricing",IF(N($D877)&lt;=0,"Qty must be above 0",IF($H877="","No price on menu","OK"))))))</f>
        <v/>
      </c>
      <c r="O877" s="13">
        <f>IF($C877="","",IFERROR(MATCH($C877,'Menu Pricing'!$B$7:$B$56,0),""))</f>
        <v/>
      </c>
    </row>
    <row r="878" ht="17" customHeight="1">
      <c r="B878" s="66" t="n"/>
      <c r="C878" s="60" t="n"/>
      <c r="D878" s="86" t="n"/>
      <c r="E878" s="63" t="n"/>
      <c r="F878" s="60" t="n"/>
      <c r="G878" s="60" t="n"/>
      <c r="H878" s="71">
        <f>IF(OR($C878="",$D878=""),"",IF(ISNUMBER($E878),$E878,IF($O878="","",IF(N(INDEX('Menu Pricing'!$O$7:$O$56,$O878))&gt;0,INDEX('Menu Pricing'!$O$7:$O$56,$O878),""))))</f>
        <v/>
      </c>
      <c r="I878" s="71">
        <f>IF($N878&lt;&gt;"OK","",$D878*$H878)</f>
        <v/>
      </c>
      <c r="J878" s="71">
        <f>IF($N878&lt;&gt;"OK","",N(INDEX('Menu Pricing'!$F$7:$F$56,$O878))+N(INDEX('Menu Pricing'!$G$7:$G$56,$O878))+N(INDEX('Menu Pricing'!$J$7:$J$56,$O878)))</f>
        <v/>
      </c>
      <c r="K878" s="71">
        <f>IF($N878&lt;&gt;"OK","",$D878*$J878)</f>
        <v/>
      </c>
      <c r="L878" s="71">
        <f>IF($N878&lt;&gt;"OK","",$I878-$K878)</f>
        <v/>
      </c>
      <c r="M878" s="71">
        <f>IF($N878&lt;&gt;"OK","",$D878*N(INDEX('Menu Pricing'!$F$7:$F$56,$O878)))</f>
        <v/>
      </c>
      <c r="N878" s="80">
        <f>IF(AND($B878="",$C878="",$D878=""),"",IF(NOT(ISNUMBER($B878)),"Enter a valid date",IF($C878="","Pick a menu item",IF($O878="","Item not on Menu Pricing",IF(N($D878)&lt;=0,"Qty must be above 0",IF($H878="","No price on menu","OK"))))))</f>
        <v/>
      </c>
      <c r="O878" s="13">
        <f>IF($C878="","",IFERROR(MATCH($C878,'Menu Pricing'!$B$7:$B$56,0),""))</f>
        <v/>
      </c>
    </row>
    <row r="879" ht="17" customHeight="1">
      <c r="B879" s="66" t="n"/>
      <c r="C879" s="60" t="n"/>
      <c r="D879" s="86" t="n"/>
      <c r="E879" s="63" t="n"/>
      <c r="F879" s="60" t="n"/>
      <c r="G879" s="60" t="n"/>
      <c r="H879" s="71">
        <f>IF(OR($C879="",$D879=""),"",IF(ISNUMBER($E879),$E879,IF($O879="","",IF(N(INDEX('Menu Pricing'!$O$7:$O$56,$O879))&gt;0,INDEX('Menu Pricing'!$O$7:$O$56,$O879),""))))</f>
        <v/>
      </c>
      <c r="I879" s="71">
        <f>IF($N879&lt;&gt;"OK","",$D879*$H879)</f>
        <v/>
      </c>
      <c r="J879" s="71">
        <f>IF($N879&lt;&gt;"OK","",N(INDEX('Menu Pricing'!$F$7:$F$56,$O879))+N(INDEX('Menu Pricing'!$G$7:$G$56,$O879))+N(INDEX('Menu Pricing'!$J$7:$J$56,$O879)))</f>
        <v/>
      </c>
      <c r="K879" s="71">
        <f>IF($N879&lt;&gt;"OK","",$D879*$J879)</f>
        <v/>
      </c>
      <c r="L879" s="71">
        <f>IF($N879&lt;&gt;"OK","",$I879-$K879)</f>
        <v/>
      </c>
      <c r="M879" s="71">
        <f>IF($N879&lt;&gt;"OK","",$D879*N(INDEX('Menu Pricing'!$F$7:$F$56,$O879)))</f>
        <v/>
      </c>
      <c r="N879" s="80">
        <f>IF(AND($B879="",$C879="",$D879=""),"",IF(NOT(ISNUMBER($B879)),"Enter a valid date",IF($C879="","Pick a menu item",IF($O879="","Item not on Menu Pricing",IF(N($D879)&lt;=0,"Qty must be above 0",IF($H879="","No price on menu","OK"))))))</f>
        <v/>
      </c>
      <c r="O879" s="13">
        <f>IF($C879="","",IFERROR(MATCH($C879,'Menu Pricing'!$B$7:$B$56,0),""))</f>
        <v/>
      </c>
    </row>
    <row r="880" ht="17" customHeight="1">
      <c r="B880" s="66" t="n"/>
      <c r="C880" s="60" t="n"/>
      <c r="D880" s="86" t="n"/>
      <c r="E880" s="63" t="n"/>
      <c r="F880" s="60" t="n"/>
      <c r="G880" s="60" t="n"/>
      <c r="H880" s="71">
        <f>IF(OR($C880="",$D880=""),"",IF(ISNUMBER($E880),$E880,IF($O880="","",IF(N(INDEX('Menu Pricing'!$O$7:$O$56,$O880))&gt;0,INDEX('Menu Pricing'!$O$7:$O$56,$O880),""))))</f>
        <v/>
      </c>
      <c r="I880" s="71">
        <f>IF($N880&lt;&gt;"OK","",$D880*$H880)</f>
        <v/>
      </c>
      <c r="J880" s="71">
        <f>IF($N880&lt;&gt;"OK","",N(INDEX('Menu Pricing'!$F$7:$F$56,$O880))+N(INDEX('Menu Pricing'!$G$7:$G$56,$O880))+N(INDEX('Menu Pricing'!$J$7:$J$56,$O880)))</f>
        <v/>
      </c>
      <c r="K880" s="71">
        <f>IF($N880&lt;&gt;"OK","",$D880*$J880)</f>
        <v/>
      </c>
      <c r="L880" s="71">
        <f>IF($N880&lt;&gt;"OK","",$I880-$K880)</f>
        <v/>
      </c>
      <c r="M880" s="71">
        <f>IF($N880&lt;&gt;"OK","",$D880*N(INDEX('Menu Pricing'!$F$7:$F$56,$O880)))</f>
        <v/>
      </c>
      <c r="N880" s="80">
        <f>IF(AND($B880="",$C880="",$D880=""),"",IF(NOT(ISNUMBER($B880)),"Enter a valid date",IF($C880="","Pick a menu item",IF($O880="","Item not on Menu Pricing",IF(N($D880)&lt;=0,"Qty must be above 0",IF($H880="","No price on menu","OK"))))))</f>
        <v/>
      </c>
      <c r="O880" s="13">
        <f>IF($C880="","",IFERROR(MATCH($C880,'Menu Pricing'!$B$7:$B$56,0),""))</f>
        <v/>
      </c>
    </row>
    <row r="881" ht="17" customHeight="1">
      <c r="B881" s="66" t="n"/>
      <c r="C881" s="60" t="n"/>
      <c r="D881" s="86" t="n"/>
      <c r="E881" s="63" t="n"/>
      <c r="F881" s="60" t="n"/>
      <c r="G881" s="60" t="n"/>
      <c r="H881" s="71">
        <f>IF(OR($C881="",$D881=""),"",IF(ISNUMBER($E881),$E881,IF($O881="","",IF(N(INDEX('Menu Pricing'!$O$7:$O$56,$O881))&gt;0,INDEX('Menu Pricing'!$O$7:$O$56,$O881),""))))</f>
        <v/>
      </c>
      <c r="I881" s="71">
        <f>IF($N881&lt;&gt;"OK","",$D881*$H881)</f>
        <v/>
      </c>
      <c r="J881" s="71">
        <f>IF($N881&lt;&gt;"OK","",N(INDEX('Menu Pricing'!$F$7:$F$56,$O881))+N(INDEX('Menu Pricing'!$G$7:$G$56,$O881))+N(INDEX('Menu Pricing'!$J$7:$J$56,$O881)))</f>
        <v/>
      </c>
      <c r="K881" s="71">
        <f>IF($N881&lt;&gt;"OK","",$D881*$J881)</f>
        <v/>
      </c>
      <c r="L881" s="71">
        <f>IF($N881&lt;&gt;"OK","",$I881-$K881)</f>
        <v/>
      </c>
      <c r="M881" s="71">
        <f>IF($N881&lt;&gt;"OK","",$D881*N(INDEX('Menu Pricing'!$F$7:$F$56,$O881)))</f>
        <v/>
      </c>
      <c r="N881" s="80">
        <f>IF(AND($B881="",$C881="",$D881=""),"",IF(NOT(ISNUMBER($B881)),"Enter a valid date",IF($C881="","Pick a menu item",IF($O881="","Item not on Menu Pricing",IF(N($D881)&lt;=0,"Qty must be above 0",IF($H881="","No price on menu","OK"))))))</f>
        <v/>
      </c>
      <c r="O881" s="13">
        <f>IF($C881="","",IFERROR(MATCH($C881,'Menu Pricing'!$B$7:$B$56,0),""))</f>
        <v/>
      </c>
    </row>
    <row r="882" ht="17" customHeight="1">
      <c r="B882" s="66" t="n"/>
      <c r="C882" s="60" t="n"/>
      <c r="D882" s="86" t="n"/>
      <c r="E882" s="63" t="n"/>
      <c r="F882" s="60" t="n"/>
      <c r="G882" s="60" t="n"/>
      <c r="H882" s="71">
        <f>IF(OR($C882="",$D882=""),"",IF(ISNUMBER($E882),$E882,IF($O882="","",IF(N(INDEX('Menu Pricing'!$O$7:$O$56,$O882))&gt;0,INDEX('Menu Pricing'!$O$7:$O$56,$O882),""))))</f>
        <v/>
      </c>
      <c r="I882" s="71">
        <f>IF($N882&lt;&gt;"OK","",$D882*$H882)</f>
        <v/>
      </c>
      <c r="J882" s="71">
        <f>IF($N882&lt;&gt;"OK","",N(INDEX('Menu Pricing'!$F$7:$F$56,$O882))+N(INDEX('Menu Pricing'!$G$7:$G$56,$O882))+N(INDEX('Menu Pricing'!$J$7:$J$56,$O882)))</f>
        <v/>
      </c>
      <c r="K882" s="71">
        <f>IF($N882&lt;&gt;"OK","",$D882*$J882)</f>
        <v/>
      </c>
      <c r="L882" s="71">
        <f>IF($N882&lt;&gt;"OK","",$I882-$K882)</f>
        <v/>
      </c>
      <c r="M882" s="71">
        <f>IF($N882&lt;&gt;"OK","",$D882*N(INDEX('Menu Pricing'!$F$7:$F$56,$O882)))</f>
        <v/>
      </c>
      <c r="N882" s="80">
        <f>IF(AND($B882="",$C882="",$D882=""),"",IF(NOT(ISNUMBER($B882)),"Enter a valid date",IF($C882="","Pick a menu item",IF($O882="","Item not on Menu Pricing",IF(N($D882)&lt;=0,"Qty must be above 0",IF($H882="","No price on menu","OK"))))))</f>
        <v/>
      </c>
      <c r="O882" s="13">
        <f>IF($C882="","",IFERROR(MATCH($C882,'Menu Pricing'!$B$7:$B$56,0),""))</f>
        <v/>
      </c>
    </row>
    <row r="883" ht="17" customHeight="1">
      <c r="B883" s="66" t="n"/>
      <c r="C883" s="60" t="n"/>
      <c r="D883" s="86" t="n"/>
      <c r="E883" s="63" t="n"/>
      <c r="F883" s="60" t="n"/>
      <c r="G883" s="60" t="n"/>
      <c r="H883" s="71">
        <f>IF(OR($C883="",$D883=""),"",IF(ISNUMBER($E883),$E883,IF($O883="","",IF(N(INDEX('Menu Pricing'!$O$7:$O$56,$O883))&gt;0,INDEX('Menu Pricing'!$O$7:$O$56,$O883),""))))</f>
        <v/>
      </c>
      <c r="I883" s="71">
        <f>IF($N883&lt;&gt;"OK","",$D883*$H883)</f>
        <v/>
      </c>
      <c r="J883" s="71">
        <f>IF($N883&lt;&gt;"OK","",N(INDEX('Menu Pricing'!$F$7:$F$56,$O883))+N(INDEX('Menu Pricing'!$G$7:$G$56,$O883))+N(INDEX('Menu Pricing'!$J$7:$J$56,$O883)))</f>
        <v/>
      </c>
      <c r="K883" s="71">
        <f>IF($N883&lt;&gt;"OK","",$D883*$J883)</f>
        <v/>
      </c>
      <c r="L883" s="71">
        <f>IF($N883&lt;&gt;"OK","",$I883-$K883)</f>
        <v/>
      </c>
      <c r="M883" s="71">
        <f>IF($N883&lt;&gt;"OK","",$D883*N(INDEX('Menu Pricing'!$F$7:$F$56,$O883)))</f>
        <v/>
      </c>
      <c r="N883" s="80">
        <f>IF(AND($B883="",$C883="",$D883=""),"",IF(NOT(ISNUMBER($B883)),"Enter a valid date",IF($C883="","Pick a menu item",IF($O883="","Item not on Menu Pricing",IF(N($D883)&lt;=0,"Qty must be above 0",IF($H883="","No price on menu","OK"))))))</f>
        <v/>
      </c>
      <c r="O883" s="13">
        <f>IF($C883="","",IFERROR(MATCH($C883,'Menu Pricing'!$B$7:$B$56,0),""))</f>
        <v/>
      </c>
    </row>
    <row r="884" ht="17" customHeight="1">
      <c r="B884" s="66" t="n"/>
      <c r="C884" s="60" t="n"/>
      <c r="D884" s="86" t="n"/>
      <c r="E884" s="63" t="n"/>
      <c r="F884" s="60" t="n"/>
      <c r="G884" s="60" t="n"/>
      <c r="H884" s="71">
        <f>IF(OR($C884="",$D884=""),"",IF(ISNUMBER($E884),$E884,IF($O884="","",IF(N(INDEX('Menu Pricing'!$O$7:$O$56,$O884))&gt;0,INDEX('Menu Pricing'!$O$7:$O$56,$O884),""))))</f>
        <v/>
      </c>
      <c r="I884" s="71">
        <f>IF($N884&lt;&gt;"OK","",$D884*$H884)</f>
        <v/>
      </c>
      <c r="J884" s="71">
        <f>IF($N884&lt;&gt;"OK","",N(INDEX('Menu Pricing'!$F$7:$F$56,$O884))+N(INDEX('Menu Pricing'!$G$7:$G$56,$O884))+N(INDEX('Menu Pricing'!$J$7:$J$56,$O884)))</f>
        <v/>
      </c>
      <c r="K884" s="71">
        <f>IF($N884&lt;&gt;"OK","",$D884*$J884)</f>
        <v/>
      </c>
      <c r="L884" s="71">
        <f>IF($N884&lt;&gt;"OK","",$I884-$K884)</f>
        <v/>
      </c>
      <c r="M884" s="71">
        <f>IF($N884&lt;&gt;"OK","",$D884*N(INDEX('Menu Pricing'!$F$7:$F$56,$O884)))</f>
        <v/>
      </c>
      <c r="N884" s="80">
        <f>IF(AND($B884="",$C884="",$D884=""),"",IF(NOT(ISNUMBER($B884)),"Enter a valid date",IF($C884="","Pick a menu item",IF($O884="","Item not on Menu Pricing",IF(N($D884)&lt;=0,"Qty must be above 0",IF($H884="","No price on menu","OK"))))))</f>
        <v/>
      </c>
      <c r="O884" s="13">
        <f>IF($C884="","",IFERROR(MATCH($C884,'Menu Pricing'!$B$7:$B$56,0),""))</f>
        <v/>
      </c>
    </row>
    <row r="885" ht="17" customHeight="1">
      <c r="B885" s="66" t="n"/>
      <c r="C885" s="60" t="n"/>
      <c r="D885" s="86" t="n"/>
      <c r="E885" s="63" t="n"/>
      <c r="F885" s="60" t="n"/>
      <c r="G885" s="60" t="n"/>
      <c r="H885" s="71">
        <f>IF(OR($C885="",$D885=""),"",IF(ISNUMBER($E885),$E885,IF($O885="","",IF(N(INDEX('Menu Pricing'!$O$7:$O$56,$O885))&gt;0,INDEX('Menu Pricing'!$O$7:$O$56,$O885),""))))</f>
        <v/>
      </c>
      <c r="I885" s="71">
        <f>IF($N885&lt;&gt;"OK","",$D885*$H885)</f>
        <v/>
      </c>
      <c r="J885" s="71">
        <f>IF($N885&lt;&gt;"OK","",N(INDEX('Menu Pricing'!$F$7:$F$56,$O885))+N(INDEX('Menu Pricing'!$G$7:$G$56,$O885))+N(INDEX('Menu Pricing'!$J$7:$J$56,$O885)))</f>
        <v/>
      </c>
      <c r="K885" s="71">
        <f>IF($N885&lt;&gt;"OK","",$D885*$J885)</f>
        <v/>
      </c>
      <c r="L885" s="71">
        <f>IF($N885&lt;&gt;"OK","",$I885-$K885)</f>
        <v/>
      </c>
      <c r="M885" s="71">
        <f>IF($N885&lt;&gt;"OK","",$D885*N(INDEX('Menu Pricing'!$F$7:$F$56,$O885)))</f>
        <v/>
      </c>
      <c r="N885" s="80">
        <f>IF(AND($B885="",$C885="",$D885=""),"",IF(NOT(ISNUMBER($B885)),"Enter a valid date",IF($C885="","Pick a menu item",IF($O885="","Item not on Menu Pricing",IF(N($D885)&lt;=0,"Qty must be above 0",IF($H885="","No price on menu","OK"))))))</f>
        <v/>
      </c>
      <c r="O885" s="13">
        <f>IF($C885="","",IFERROR(MATCH($C885,'Menu Pricing'!$B$7:$B$56,0),""))</f>
        <v/>
      </c>
    </row>
    <row r="886" ht="17" customHeight="1">
      <c r="B886" s="66" t="n"/>
      <c r="C886" s="60" t="n"/>
      <c r="D886" s="86" t="n"/>
      <c r="E886" s="63" t="n"/>
      <c r="F886" s="60" t="n"/>
      <c r="G886" s="60" t="n"/>
      <c r="H886" s="71">
        <f>IF(OR($C886="",$D886=""),"",IF(ISNUMBER($E886),$E886,IF($O886="","",IF(N(INDEX('Menu Pricing'!$O$7:$O$56,$O886))&gt;0,INDEX('Menu Pricing'!$O$7:$O$56,$O886),""))))</f>
        <v/>
      </c>
      <c r="I886" s="71">
        <f>IF($N886&lt;&gt;"OK","",$D886*$H886)</f>
        <v/>
      </c>
      <c r="J886" s="71">
        <f>IF($N886&lt;&gt;"OK","",N(INDEX('Menu Pricing'!$F$7:$F$56,$O886))+N(INDEX('Menu Pricing'!$G$7:$G$56,$O886))+N(INDEX('Menu Pricing'!$J$7:$J$56,$O886)))</f>
        <v/>
      </c>
      <c r="K886" s="71">
        <f>IF($N886&lt;&gt;"OK","",$D886*$J886)</f>
        <v/>
      </c>
      <c r="L886" s="71">
        <f>IF($N886&lt;&gt;"OK","",$I886-$K886)</f>
        <v/>
      </c>
      <c r="M886" s="71">
        <f>IF($N886&lt;&gt;"OK","",$D886*N(INDEX('Menu Pricing'!$F$7:$F$56,$O886)))</f>
        <v/>
      </c>
      <c r="N886" s="80">
        <f>IF(AND($B886="",$C886="",$D886=""),"",IF(NOT(ISNUMBER($B886)),"Enter a valid date",IF($C886="","Pick a menu item",IF($O886="","Item not on Menu Pricing",IF(N($D886)&lt;=0,"Qty must be above 0",IF($H886="","No price on menu","OK"))))))</f>
        <v/>
      </c>
      <c r="O886" s="13">
        <f>IF($C886="","",IFERROR(MATCH($C886,'Menu Pricing'!$B$7:$B$56,0),""))</f>
        <v/>
      </c>
    </row>
    <row r="887" ht="17" customHeight="1">
      <c r="B887" s="66" t="n"/>
      <c r="C887" s="60" t="n"/>
      <c r="D887" s="86" t="n"/>
      <c r="E887" s="63" t="n"/>
      <c r="F887" s="60" t="n"/>
      <c r="G887" s="60" t="n"/>
      <c r="H887" s="71">
        <f>IF(OR($C887="",$D887=""),"",IF(ISNUMBER($E887),$E887,IF($O887="","",IF(N(INDEX('Menu Pricing'!$O$7:$O$56,$O887))&gt;0,INDEX('Menu Pricing'!$O$7:$O$56,$O887),""))))</f>
        <v/>
      </c>
      <c r="I887" s="71">
        <f>IF($N887&lt;&gt;"OK","",$D887*$H887)</f>
        <v/>
      </c>
      <c r="J887" s="71">
        <f>IF($N887&lt;&gt;"OK","",N(INDEX('Menu Pricing'!$F$7:$F$56,$O887))+N(INDEX('Menu Pricing'!$G$7:$G$56,$O887))+N(INDEX('Menu Pricing'!$J$7:$J$56,$O887)))</f>
        <v/>
      </c>
      <c r="K887" s="71">
        <f>IF($N887&lt;&gt;"OK","",$D887*$J887)</f>
        <v/>
      </c>
      <c r="L887" s="71">
        <f>IF($N887&lt;&gt;"OK","",$I887-$K887)</f>
        <v/>
      </c>
      <c r="M887" s="71">
        <f>IF($N887&lt;&gt;"OK","",$D887*N(INDEX('Menu Pricing'!$F$7:$F$56,$O887)))</f>
        <v/>
      </c>
      <c r="N887" s="80">
        <f>IF(AND($B887="",$C887="",$D887=""),"",IF(NOT(ISNUMBER($B887)),"Enter a valid date",IF($C887="","Pick a menu item",IF($O887="","Item not on Menu Pricing",IF(N($D887)&lt;=0,"Qty must be above 0",IF($H887="","No price on menu","OK"))))))</f>
        <v/>
      </c>
      <c r="O887" s="13">
        <f>IF($C887="","",IFERROR(MATCH($C887,'Menu Pricing'!$B$7:$B$56,0),""))</f>
        <v/>
      </c>
    </row>
    <row r="888" ht="17" customHeight="1">
      <c r="B888" s="66" t="n"/>
      <c r="C888" s="60" t="n"/>
      <c r="D888" s="86" t="n"/>
      <c r="E888" s="63" t="n"/>
      <c r="F888" s="60" t="n"/>
      <c r="G888" s="60" t="n"/>
      <c r="H888" s="71">
        <f>IF(OR($C888="",$D888=""),"",IF(ISNUMBER($E888),$E888,IF($O888="","",IF(N(INDEX('Menu Pricing'!$O$7:$O$56,$O888))&gt;0,INDEX('Menu Pricing'!$O$7:$O$56,$O888),""))))</f>
        <v/>
      </c>
      <c r="I888" s="71">
        <f>IF($N888&lt;&gt;"OK","",$D888*$H888)</f>
        <v/>
      </c>
      <c r="J888" s="71">
        <f>IF($N888&lt;&gt;"OK","",N(INDEX('Menu Pricing'!$F$7:$F$56,$O888))+N(INDEX('Menu Pricing'!$G$7:$G$56,$O888))+N(INDEX('Menu Pricing'!$J$7:$J$56,$O888)))</f>
        <v/>
      </c>
      <c r="K888" s="71">
        <f>IF($N888&lt;&gt;"OK","",$D888*$J888)</f>
        <v/>
      </c>
      <c r="L888" s="71">
        <f>IF($N888&lt;&gt;"OK","",$I888-$K888)</f>
        <v/>
      </c>
      <c r="M888" s="71">
        <f>IF($N888&lt;&gt;"OK","",$D888*N(INDEX('Menu Pricing'!$F$7:$F$56,$O888)))</f>
        <v/>
      </c>
      <c r="N888" s="80">
        <f>IF(AND($B888="",$C888="",$D888=""),"",IF(NOT(ISNUMBER($B888)),"Enter a valid date",IF($C888="","Pick a menu item",IF($O888="","Item not on Menu Pricing",IF(N($D888)&lt;=0,"Qty must be above 0",IF($H888="","No price on menu","OK"))))))</f>
        <v/>
      </c>
      <c r="O888" s="13">
        <f>IF($C888="","",IFERROR(MATCH($C888,'Menu Pricing'!$B$7:$B$56,0),""))</f>
        <v/>
      </c>
    </row>
    <row r="889" ht="17" customHeight="1">
      <c r="B889" s="66" t="n"/>
      <c r="C889" s="60" t="n"/>
      <c r="D889" s="86" t="n"/>
      <c r="E889" s="63" t="n"/>
      <c r="F889" s="60" t="n"/>
      <c r="G889" s="60" t="n"/>
      <c r="H889" s="71">
        <f>IF(OR($C889="",$D889=""),"",IF(ISNUMBER($E889),$E889,IF($O889="","",IF(N(INDEX('Menu Pricing'!$O$7:$O$56,$O889))&gt;0,INDEX('Menu Pricing'!$O$7:$O$56,$O889),""))))</f>
        <v/>
      </c>
      <c r="I889" s="71">
        <f>IF($N889&lt;&gt;"OK","",$D889*$H889)</f>
        <v/>
      </c>
      <c r="J889" s="71">
        <f>IF($N889&lt;&gt;"OK","",N(INDEX('Menu Pricing'!$F$7:$F$56,$O889))+N(INDEX('Menu Pricing'!$G$7:$G$56,$O889))+N(INDEX('Menu Pricing'!$J$7:$J$56,$O889)))</f>
        <v/>
      </c>
      <c r="K889" s="71">
        <f>IF($N889&lt;&gt;"OK","",$D889*$J889)</f>
        <v/>
      </c>
      <c r="L889" s="71">
        <f>IF($N889&lt;&gt;"OK","",$I889-$K889)</f>
        <v/>
      </c>
      <c r="M889" s="71">
        <f>IF($N889&lt;&gt;"OK","",$D889*N(INDEX('Menu Pricing'!$F$7:$F$56,$O889)))</f>
        <v/>
      </c>
      <c r="N889" s="80">
        <f>IF(AND($B889="",$C889="",$D889=""),"",IF(NOT(ISNUMBER($B889)),"Enter a valid date",IF($C889="","Pick a menu item",IF($O889="","Item not on Menu Pricing",IF(N($D889)&lt;=0,"Qty must be above 0",IF($H889="","No price on menu","OK"))))))</f>
        <v/>
      </c>
      <c r="O889" s="13">
        <f>IF($C889="","",IFERROR(MATCH($C889,'Menu Pricing'!$B$7:$B$56,0),""))</f>
        <v/>
      </c>
    </row>
    <row r="890" ht="17" customHeight="1">
      <c r="B890" s="66" t="n"/>
      <c r="C890" s="60" t="n"/>
      <c r="D890" s="86" t="n"/>
      <c r="E890" s="63" t="n"/>
      <c r="F890" s="60" t="n"/>
      <c r="G890" s="60" t="n"/>
      <c r="H890" s="71">
        <f>IF(OR($C890="",$D890=""),"",IF(ISNUMBER($E890),$E890,IF($O890="","",IF(N(INDEX('Menu Pricing'!$O$7:$O$56,$O890))&gt;0,INDEX('Menu Pricing'!$O$7:$O$56,$O890),""))))</f>
        <v/>
      </c>
      <c r="I890" s="71">
        <f>IF($N890&lt;&gt;"OK","",$D890*$H890)</f>
        <v/>
      </c>
      <c r="J890" s="71">
        <f>IF($N890&lt;&gt;"OK","",N(INDEX('Menu Pricing'!$F$7:$F$56,$O890))+N(INDEX('Menu Pricing'!$G$7:$G$56,$O890))+N(INDEX('Menu Pricing'!$J$7:$J$56,$O890)))</f>
        <v/>
      </c>
      <c r="K890" s="71">
        <f>IF($N890&lt;&gt;"OK","",$D890*$J890)</f>
        <v/>
      </c>
      <c r="L890" s="71">
        <f>IF($N890&lt;&gt;"OK","",$I890-$K890)</f>
        <v/>
      </c>
      <c r="M890" s="71">
        <f>IF($N890&lt;&gt;"OK","",$D890*N(INDEX('Menu Pricing'!$F$7:$F$56,$O890)))</f>
        <v/>
      </c>
      <c r="N890" s="80">
        <f>IF(AND($B890="",$C890="",$D890=""),"",IF(NOT(ISNUMBER($B890)),"Enter a valid date",IF($C890="","Pick a menu item",IF($O890="","Item not on Menu Pricing",IF(N($D890)&lt;=0,"Qty must be above 0",IF($H890="","No price on menu","OK"))))))</f>
        <v/>
      </c>
      <c r="O890" s="13">
        <f>IF($C890="","",IFERROR(MATCH($C890,'Menu Pricing'!$B$7:$B$56,0),""))</f>
        <v/>
      </c>
    </row>
    <row r="891" ht="17" customHeight="1">
      <c r="B891" s="66" t="n"/>
      <c r="C891" s="60" t="n"/>
      <c r="D891" s="86" t="n"/>
      <c r="E891" s="63" t="n"/>
      <c r="F891" s="60" t="n"/>
      <c r="G891" s="60" t="n"/>
      <c r="H891" s="71">
        <f>IF(OR($C891="",$D891=""),"",IF(ISNUMBER($E891),$E891,IF($O891="","",IF(N(INDEX('Menu Pricing'!$O$7:$O$56,$O891))&gt;0,INDEX('Menu Pricing'!$O$7:$O$56,$O891),""))))</f>
        <v/>
      </c>
      <c r="I891" s="71">
        <f>IF($N891&lt;&gt;"OK","",$D891*$H891)</f>
        <v/>
      </c>
      <c r="J891" s="71">
        <f>IF($N891&lt;&gt;"OK","",N(INDEX('Menu Pricing'!$F$7:$F$56,$O891))+N(INDEX('Menu Pricing'!$G$7:$G$56,$O891))+N(INDEX('Menu Pricing'!$J$7:$J$56,$O891)))</f>
        <v/>
      </c>
      <c r="K891" s="71">
        <f>IF($N891&lt;&gt;"OK","",$D891*$J891)</f>
        <v/>
      </c>
      <c r="L891" s="71">
        <f>IF($N891&lt;&gt;"OK","",$I891-$K891)</f>
        <v/>
      </c>
      <c r="M891" s="71">
        <f>IF($N891&lt;&gt;"OK","",$D891*N(INDEX('Menu Pricing'!$F$7:$F$56,$O891)))</f>
        <v/>
      </c>
      <c r="N891" s="80">
        <f>IF(AND($B891="",$C891="",$D891=""),"",IF(NOT(ISNUMBER($B891)),"Enter a valid date",IF($C891="","Pick a menu item",IF($O891="","Item not on Menu Pricing",IF(N($D891)&lt;=0,"Qty must be above 0",IF($H891="","No price on menu","OK"))))))</f>
        <v/>
      </c>
      <c r="O891" s="13">
        <f>IF($C891="","",IFERROR(MATCH($C891,'Menu Pricing'!$B$7:$B$56,0),""))</f>
        <v/>
      </c>
    </row>
    <row r="892" ht="17" customHeight="1">
      <c r="B892" s="66" t="n"/>
      <c r="C892" s="60" t="n"/>
      <c r="D892" s="86" t="n"/>
      <c r="E892" s="63" t="n"/>
      <c r="F892" s="60" t="n"/>
      <c r="G892" s="60" t="n"/>
      <c r="H892" s="71">
        <f>IF(OR($C892="",$D892=""),"",IF(ISNUMBER($E892),$E892,IF($O892="","",IF(N(INDEX('Menu Pricing'!$O$7:$O$56,$O892))&gt;0,INDEX('Menu Pricing'!$O$7:$O$56,$O892),""))))</f>
        <v/>
      </c>
      <c r="I892" s="71">
        <f>IF($N892&lt;&gt;"OK","",$D892*$H892)</f>
        <v/>
      </c>
      <c r="J892" s="71">
        <f>IF($N892&lt;&gt;"OK","",N(INDEX('Menu Pricing'!$F$7:$F$56,$O892))+N(INDEX('Menu Pricing'!$G$7:$G$56,$O892))+N(INDEX('Menu Pricing'!$J$7:$J$56,$O892)))</f>
        <v/>
      </c>
      <c r="K892" s="71">
        <f>IF($N892&lt;&gt;"OK","",$D892*$J892)</f>
        <v/>
      </c>
      <c r="L892" s="71">
        <f>IF($N892&lt;&gt;"OK","",$I892-$K892)</f>
        <v/>
      </c>
      <c r="M892" s="71">
        <f>IF($N892&lt;&gt;"OK","",$D892*N(INDEX('Menu Pricing'!$F$7:$F$56,$O892)))</f>
        <v/>
      </c>
      <c r="N892" s="80">
        <f>IF(AND($B892="",$C892="",$D892=""),"",IF(NOT(ISNUMBER($B892)),"Enter a valid date",IF($C892="","Pick a menu item",IF($O892="","Item not on Menu Pricing",IF(N($D892)&lt;=0,"Qty must be above 0",IF($H892="","No price on menu","OK"))))))</f>
        <v/>
      </c>
      <c r="O892" s="13">
        <f>IF($C892="","",IFERROR(MATCH($C892,'Menu Pricing'!$B$7:$B$56,0),""))</f>
        <v/>
      </c>
    </row>
    <row r="893" ht="17" customHeight="1">
      <c r="B893" s="66" t="n"/>
      <c r="C893" s="60" t="n"/>
      <c r="D893" s="86" t="n"/>
      <c r="E893" s="63" t="n"/>
      <c r="F893" s="60" t="n"/>
      <c r="G893" s="60" t="n"/>
      <c r="H893" s="71">
        <f>IF(OR($C893="",$D893=""),"",IF(ISNUMBER($E893),$E893,IF($O893="","",IF(N(INDEX('Menu Pricing'!$O$7:$O$56,$O893))&gt;0,INDEX('Menu Pricing'!$O$7:$O$56,$O893),""))))</f>
        <v/>
      </c>
      <c r="I893" s="71">
        <f>IF($N893&lt;&gt;"OK","",$D893*$H893)</f>
        <v/>
      </c>
      <c r="J893" s="71">
        <f>IF($N893&lt;&gt;"OK","",N(INDEX('Menu Pricing'!$F$7:$F$56,$O893))+N(INDEX('Menu Pricing'!$G$7:$G$56,$O893))+N(INDEX('Menu Pricing'!$J$7:$J$56,$O893)))</f>
        <v/>
      </c>
      <c r="K893" s="71">
        <f>IF($N893&lt;&gt;"OK","",$D893*$J893)</f>
        <v/>
      </c>
      <c r="L893" s="71">
        <f>IF($N893&lt;&gt;"OK","",$I893-$K893)</f>
        <v/>
      </c>
      <c r="M893" s="71">
        <f>IF($N893&lt;&gt;"OK","",$D893*N(INDEX('Menu Pricing'!$F$7:$F$56,$O893)))</f>
        <v/>
      </c>
      <c r="N893" s="80">
        <f>IF(AND($B893="",$C893="",$D893=""),"",IF(NOT(ISNUMBER($B893)),"Enter a valid date",IF($C893="","Pick a menu item",IF($O893="","Item not on Menu Pricing",IF(N($D893)&lt;=0,"Qty must be above 0",IF($H893="","No price on menu","OK"))))))</f>
        <v/>
      </c>
      <c r="O893" s="13">
        <f>IF($C893="","",IFERROR(MATCH($C893,'Menu Pricing'!$B$7:$B$56,0),""))</f>
        <v/>
      </c>
    </row>
    <row r="894" ht="17" customHeight="1">
      <c r="B894" s="66" t="n"/>
      <c r="C894" s="60" t="n"/>
      <c r="D894" s="86" t="n"/>
      <c r="E894" s="63" t="n"/>
      <c r="F894" s="60" t="n"/>
      <c r="G894" s="60" t="n"/>
      <c r="H894" s="71">
        <f>IF(OR($C894="",$D894=""),"",IF(ISNUMBER($E894),$E894,IF($O894="","",IF(N(INDEX('Menu Pricing'!$O$7:$O$56,$O894))&gt;0,INDEX('Menu Pricing'!$O$7:$O$56,$O894),""))))</f>
        <v/>
      </c>
      <c r="I894" s="71">
        <f>IF($N894&lt;&gt;"OK","",$D894*$H894)</f>
        <v/>
      </c>
      <c r="J894" s="71">
        <f>IF($N894&lt;&gt;"OK","",N(INDEX('Menu Pricing'!$F$7:$F$56,$O894))+N(INDEX('Menu Pricing'!$G$7:$G$56,$O894))+N(INDEX('Menu Pricing'!$J$7:$J$56,$O894)))</f>
        <v/>
      </c>
      <c r="K894" s="71">
        <f>IF($N894&lt;&gt;"OK","",$D894*$J894)</f>
        <v/>
      </c>
      <c r="L894" s="71">
        <f>IF($N894&lt;&gt;"OK","",$I894-$K894)</f>
        <v/>
      </c>
      <c r="M894" s="71">
        <f>IF($N894&lt;&gt;"OK","",$D894*N(INDEX('Menu Pricing'!$F$7:$F$56,$O894)))</f>
        <v/>
      </c>
      <c r="N894" s="80">
        <f>IF(AND($B894="",$C894="",$D894=""),"",IF(NOT(ISNUMBER($B894)),"Enter a valid date",IF($C894="","Pick a menu item",IF($O894="","Item not on Menu Pricing",IF(N($D894)&lt;=0,"Qty must be above 0",IF($H894="","No price on menu","OK"))))))</f>
        <v/>
      </c>
      <c r="O894" s="13">
        <f>IF($C894="","",IFERROR(MATCH($C894,'Menu Pricing'!$B$7:$B$56,0),""))</f>
        <v/>
      </c>
    </row>
    <row r="895" ht="17" customHeight="1">
      <c r="B895" s="66" t="n"/>
      <c r="C895" s="60" t="n"/>
      <c r="D895" s="86" t="n"/>
      <c r="E895" s="63" t="n"/>
      <c r="F895" s="60" t="n"/>
      <c r="G895" s="60" t="n"/>
      <c r="H895" s="71">
        <f>IF(OR($C895="",$D895=""),"",IF(ISNUMBER($E895),$E895,IF($O895="","",IF(N(INDEX('Menu Pricing'!$O$7:$O$56,$O895))&gt;0,INDEX('Menu Pricing'!$O$7:$O$56,$O895),""))))</f>
        <v/>
      </c>
      <c r="I895" s="71">
        <f>IF($N895&lt;&gt;"OK","",$D895*$H895)</f>
        <v/>
      </c>
      <c r="J895" s="71">
        <f>IF($N895&lt;&gt;"OK","",N(INDEX('Menu Pricing'!$F$7:$F$56,$O895))+N(INDEX('Menu Pricing'!$G$7:$G$56,$O895))+N(INDEX('Menu Pricing'!$J$7:$J$56,$O895)))</f>
        <v/>
      </c>
      <c r="K895" s="71">
        <f>IF($N895&lt;&gt;"OK","",$D895*$J895)</f>
        <v/>
      </c>
      <c r="L895" s="71">
        <f>IF($N895&lt;&gt;"OK","",$I895-$K895)</f>
        <v/>
      </c>
      <c r="M895" s="71">
        <f>IF($N895&lt;&gt;"OK","",$D895*N(INDEX('Menu Pricing'!$F$7:$F$56,$O895)))</f>
        <v/>
      </c>
      <c r="N895" s="80">
        <f>IF(AND($B895="",$C895="",$D895=""),"",IF(NOT(ISNUMBER($B895)),"Enter a valid date",IF($C895="","Pick a menu item",IF($O895="","Item not on Menu Pricing",IF(N($D895)&lt;=0,"Qty must be above 0",IF($H895="","No price on menu","OK"))))))</f>
        <v/>
      </c>
      <c r="O895" s="13">
        <f>IF($C895="","",IFERROR(MATCH($C895,'Menu Pricing'!$B$7:$B$56,0),""))</f>
        <v/>
      </c>
    </row>
    <row r="896" ht="17" customHeight="1">
      <c r="B896" s="66" t="n"/>
      <c r="C896" s="60" t="n"/>
      <c r="D896" s="86" t="n"/>
      <c r="E896" s="63" t="n"/>
      <c r="F896" s="60" t="n"/>
      <c r="G896" s="60" t="n"/>
      <c r="H896" s="71">
        <f>IF(OR($C896="",$D896=""),"",IF(ISNUMBER($E896),$E896,IF($O896="","",IF(N(INDEX('Menu Pricing'!$O$7:$O$56,$O896))&gt;0,INDEX('Menu Pricing'!$O$7:$O$56,$O896),""))))</f>
        <v/>
      </c>
      <c r="I896" s="71">
        <f>IF($N896&lt;&gt;"OK","",$D896*$H896)</f>
        <v/>
      </c>
      <c r="J896" s="71">
        <f>IF($N896&lt;&gt;"OK","",N(INDEX('Menu Pricing'!$F$7:$F$56,$O896))+N(INDEX('Menu Pricing'!$G$7:$G$56,$O896))+N(INDEX('Menu Pricing'!$J$7:$J$56,$O896)))</f>
        <v/>
      </c>
      <c r="K896" s="71">
        <f>IF($N896&lt;&gt;"OK","",$D896*$J896)</f>
        <v/>
      </c>
      <c r="L896" s="71">
        <f>IF($N896&lt;&gt;"OK","",$I896-$K896)</f>
        <v/>
      </c>
      <c r="M896" s="71">
        <f>IF($N896&lt;&gt;"OK","",$D896*N(INDEX('Menu Pricing'!$F$7:$F$56,$O896)))</f>
        <v/>
      </c>
      <c r="N896" s="80">
        <f>IF(AND($B896="",$C896="",$D896=""),"",IF(NOT(ISNUMBER($B896)),"Enter a valid date",IF($C896="","Pick a menu item",IF($O896="","Item not on Menu Pricing",IF(N($D896)&lt;=0,"Qty must be above 0",IF($H896="","No price on menu","OK"))))))</f>
        <v/>
      </c>
      <c r="O896" s="13">
        <f>IF($C896="","",IFERROR(MATCH($C896,'Menu Pricing'!$B$7:$B$56,0),""))</f>
        <v/>
      </c>
    </row>
    <row r="897" ht="17" customHeight="1">
      <c r="B897" s="66" t="n"/>
      <c r="C897" s="60" t="n"/>
      <c r="D897" s="86" t="n"/>
      <c r="E897" s="63" t="n"/>
      <c r="F897" s="60" t="n"/>
      <c r="G897" s="60" t="n"/>
      <c r="H897" s="71">
        <f>IF(OR($C897="",$D897=""),"",IF(ISNUMBER($E897),$E897,IF($O897="","",IF(N(INDEX('Menu Pricing'!$O$7:$O$56,$O897))&gt;0,INDEX('Menu Pricing'!$O$7:$O$56,$O897),""))))</f>
        <v/>
      </c>
      <c r="I897" s="71">
        <f>IF($N897&lt;&gt;"OK","",$D897*$H897)</f>
        <v/>
      </c>
      <c r="J897" s="71">
        <f>IF($N897&lt;&gt;"OK","",N(INDEX('Menu Pricing'!$F$7:$F$56,$O897))+N(INDEX('Menu Pricing'!$G$7:$G$56,$O897))+N(INDEX('Menu Pricing'!$J$7:$J$56,$O897)))</f>
        <v/>
      </c>
      <c r="K897" s="71">
        <f>IF($N897&lt;&gt;"OK","",$D897*$J897)</f>
        <v/>
      </c>
      <c r="L897" s="71">
        <f>IF($N897&lt;&gt;"OK","",$I897-$K897)</f>
        <v/>
      </c>
      <c r="M897" s="71">
        <f>IF($N897&lt;&gt;"OK","",$D897*N(INDEX('Menu Pricing'!$F$7:$F$56,$O897)))</f>
        <v/>
      </c>
      <c r="N897" s="80">
        <f>IF(AND($B897="",$C897="",$D897=""),"",IF(NOT(ISNUMBER($B897)),"Enter a valid date",IF($C897="","Pick a menu item",IF($O897="","Item not on Menu Pricing",IF(N($D897)&lt;=0,"Qty must be above 0",IF($H897="","No price on menu","OK"))))))</f>
        <v/>
      </c>
      <c r="O897" s="13">
        <f>IF($C897="","",IFERROR(MATCH($C897,'Menu Pricing'!$B$7:$B$56,0),""))</f>
        <v/>
      </c>
    </row>
    <row r="898" ht="17" customHeight="1">
      <c r="B898" s="66" t="n"/>
      <c r="C898" s="60" t="n"/>
      <c r="D898" s="86" t="n"/>
      <c r="E898" s="63" t="n"/>
      <c r="F898" s="60" t="n"/>
      <c r="G898" s="60" t="n"/>
      <c r="H898" s="71">
        <f>IF(OR($C898="",$D898=""),"",IF(ISNUMBER($E898),$E898,IF($O898="","",IF(N(INDEX('Menu Pricing'!$O$7:$O$56,$O898))&gt;0,INDEX('Menu Pricing'!$O$7:$O$56,$O898),""))))</f>
        <v/>
      </c>
      <c r="I898" s="71">
        <f>IF($N898&lt;&gt;"OK","",$D898*$H898)</f>
        <v/>
      </c>
      <c r="J898" s="71">
        <f>IF($N898&lt;&gt;"OK","",N(INDEX('Menu Pricing'!$F$7:$F$56,$O898))+N(INDEX('Menu Pricing'!$G$7:$G$56,$O898))+N(INDEX('Menu Pricing'!$J$7:$J$56,$O898)))</f>
        <v/>
      </c>
      <c r="K898" s="71">
        <f>IF($N898&lt;&gt;"OK","",$D898*$J898)</f>
        <v/>
      </c>
      <c r="L898" s="71">
        <f>IF($N898&lt;&gt;"OK","",$I898-$K898)</f>
        <v/>
      </c>
      <c r="M898" s="71">
        <f>IF($N898&lt;&gt;"OK","",$D898*N(INDEX('Menu Pricing'!$F$7:$F$56,$O898)))</f>
        <v/>
      </c>
      <c r="N898" s="80">
        <f>IF(AND($B898="",$C898="",$D898=""),"",IF(NOT(ISNUMBER($B898)),"Enter a valid date",IF($C898="","Pick a menu item",IF($O898="","Item not on Menu Pricing",IF(N($D898)&lt;=0,"Qty must be above 0",IF($H898="","No price on menu","OK"))))))</f>
        <v/>
      </c>
      <c r="O898" s="13">
        <f>IF($C898="","",IFERROR(MATCH($C898,'Menu Pricing'!$B$7:$B$56,0),""))</f>
        <v/>
      </c>
    </row>
    <row r="899" ht="17" customHeight="1">
      <c r="B899" s="66" t="n"/>
      <c r="C899" s="60" t="n"/>
      <c r="D899" s="86" t="n"/>
      <c r="E899" s="63" t="n"/>
      <c r="F899" s="60" t="n"/>
      <c r="G899" s="60" t="n"/>
      <c r="H899" s="71">
        <f>IF(OR($C899="",$D899=""),"",IF(ISNUMBER($E899),$E899,IF($O899="","",IF(N(INDEX('Menu Pricing'!$O$7:$O$56,$O899))&gt;0,INDEX('Menu Pricing'!$O$7:$O$56,$O899),""))))</f>
        <v/>
      </c>
      <c r="I899" s="71">
        <f>IF($N899&lt;&gt;"OK","",$D899*$H899)</f>
        <v/>
      </c>
      <c r="J899" s="71">
        <f>IF($N899&lt;&gt;"OK","",N(INDEX('Menu Pricing'!$F$7:$F$56,$O899))+N(INDEX('Menu Pricing'!$G$7:$G$56,$O899))+N(INDEX('Menu Pricing'!$J$7:$J$56,$O899)))</f>
        <v/>
      </c>
      <c r="K899" s="71">
        <f>IF($N899&lt;&gt;"OK","",$D899*$J899)</f>
        <v/>
      </c>
      <c r="L899" s="71">
        <f>IF($N899&lt;&gt;"OK","",$I899-$K899)</f>
        <v/>
      </c>
      <c r="M899" s="71">
        <f>IF($N899&lt;&gt;"OK","",$D899*N(INDEX('Menu Pricing'!$F$7:$F$56,$O899)))</f>
        <v/>
      </c>
      <c r="N899" s="80">
        <f>IF(AND($B899="",$C899="",$D899=""),"",IF(NOT(ISNUMBER($B899)),"Enter a valid date",IF($C899="","Pick a menu item",IF($O899="","Item not on Menu Pricing",IF(N($D899)&lt;=0,"Qty must be above 0",IF($H899="","No price on menu","OK"))))))</f>
        <v/>
      </c>
      <c r="O899" s="13">
        <f>IF($C899="","",IFERROR(MATCH($C899,'Menu Pricing'!$B$7:$B$56,0),""))</f>
        <v/>
      </c>
    </row>
    <row r="900" ht="17" customHeight="1">
      <c r="B900" s="66" t="n"/>
      <c r="C900" s="60" t="n"/>
      <c r="D900" s="86" t="n"/>
      <c r="E900" s="63" t="n"/>
      <c r="F900" s="60" t="n"/>
      <c r="G900" s="60" t="n"/>
      <c r="H900" s="71">
        <f>IF(OR($C900="",$D900=""),"",IF(ISNUMBER($E900),$E900,IF($O900="","",IF(N(INDEX('Menu Pricing'!$O$7:$O$56,$O900))&gt;0,INDEX('Menu Pricing'!$O$7:$O$56,$O900),""))))</f>
        <v/>
      </c>
      <c r="I900" s="71">
        <f>IF($N900&lt;&gt;"OK","",$D900*$H900)</f>
        <v/>
      </c>
      <c r="J900" s="71">
        <f>IF($N900&lt;&gt;"OK","",N(INDEX('Menu Pricing'!$F$7:$F$56,$O900))+N(INDEX('Menu Pricing'!$G$7:$G$56,$O900))+N(INDEX('Menu Pricing'!$J$7:$J$56,$O900)))</f>
        <v/>
      </c>
      <c r="K900" s="71">
        <f>IF($N900&lt;&gt;"OK","",$D900*$J900)</f>
        <v/>
      </c>
      <c r="L900" s="71">
        <f>IF($N900&lt;&gt;"OK","",$I900-$K900)</f>
        <v/>
      </c>
      <c r="M900" s="71">
        <f>IF($N900&lt;&gt;"OK","",$D900*N(INDEX('Menu Pricing'!$F$7:$F$56,$O900)))</f>
        <v/>
      </c>
      <c r="N900" s="80">
        <f>IF(AND($B900="",$C900="",$D900=""),"",IF(NOT(ISNUMBER($B900)),"Enter a valid date",IF($C900="","Pick a menu item",IF($O900="","Item not on Menu Pricing",IF(N($D900)&lt;=0,"Qty must be above 0",IF($H900="","No price on menu","OK"))))))</f>
        <v/>
      </c>
      <c r="O900" s="13">
        <f>IF($C900="","",IFERROR(MATCH($C900,'Menu Pricing'!$B$7:$B$56,0),""))</f>
        <v/>
      </c>
    </row>
    <row r="901" ht="17" customHeight="1">
      <c r="B901" s="66" t="n"/>
      <c r="C901" s="60" t="n"/>
      <c r="D901" s="86" t="n"/>
      <c r="E901" s="63" t="n"/>
      <c r="F901" s="60" t="n"/>
      <c r="G901" s="60" t="n"/>
      <c r="H901" s="71">
        <f>IF(OR($C901="",$D901=""),"",IF(ISNUMBER($E901),$E901,IF($O901="","",IF(N(INDEX('Menu Pricing'!$O$7:$O$56,$O901))&gt;0,INDEX('Menu Pricing'!$O$7:$O$56,$O901),""))))</f>
        <v/>
      </c>
      <c r="I901" s="71">
        <f>IF($N901&lt;&gt;"OK","",$D901*$H901)</f>
        <v/>
      </c>
      <c r="J901" s="71">
        <f>IF($N901&lt;&gt;"OK","",N(INDEX('Menu Pricing'!$F$7:$F$56,$O901))+N(INDEX('Menu Pricing'!$G$7:$G$56,$O901))+N(INDEX('Menu Pricing'!$J$7:$J$56,$O901)))</f>
        <v/>
      </c>
      <c r="K901" s="71">
        <f>IF($N901&lt;&gt;"OK","",$D901*$J901)</f>
        <v/>
      </c>
      <c r="L901" s="71">
        <f>IF($N901&lt;&gt;"OK","",$I901-$K901)</f>
        <v/>
      </c>
      <c r="M901" s="71">
        <f>IF($N901&lt;&gt;"OK","",$D901*N(INDEX('Menu Pricing'!$F$7:$F$56,$O901)))</f>
        <v/>
      </c>
      <c r="N901" s="80">
        <f>IF(AND($B901="",$C901="",$D901=""),"",IF(NOT(ISNUMBER($B901)),"Enter a valid date",IF($C901="","Pick a menu item",IF($O901="","Item not on Menu Pricing",IF(N($D901)&lt;=0,"Qty must be above 0",IF($H901="","No price on menu","OK"))))))</f>
        <v/>
      </c>
      <c r="O901" s="13">
        <f>IF($C901="","",IFERROR(MATCH($C901,'Menu Pricing'!$B$7:$B$56,0),""))</f>
        <v/>
      </c>
    </row>
    <row r="902" ht="17" customHeight="1">
      <c r="B902" s="66" t="n"/>
      <c r="C902" s="60" t="n"/>
      <c r="D902" s="86" t="n"/>
      <c r="E902" s="63" t="n"/>
      <c r="F902" s="60" t="n"/>
      <c r="G902" s="60" t="n"/>
      <c r="H902" s="71">
        <f>IF(OR($C902="",$D902=""),"",IF(ISNUMBER($E902),$E902,IF($O902="","",IF(N(INDEX('Menu Pricing'!$O$7:$O$56,$O902))&gt;0,INDEX('Menu Pricing'!$O$7:$O$56,$O902),""))))</f>
        <v/>
      </c>
      <c r="I902" s="71">
        <f>IF($N902&lt;&gt;"OK","",$D902*$H902)</f>
        <v/>
      </c>
      <c r="J902" s="71">
        <f>IF($N902&lt;&gt;"OK","",N(INDEX('Menu Pricing'!$F$7:$F$56,$O902))+N(INDEX('Menu Pricing'!$G$7:$G$56,$O902))+N(INDEX('Menu Pricing'!$J$7:$J$56,$O902)))</f>
        <v/>
      </c>
      <c r="K902" s="71">
        <f>IF($N902&lt;&gt;"OK","",$D902*$J902)</f>
        <v/>
      </c>
      <c r="L902" s="71">
        <f>IF($N902&lt;&gt;"OK","",$I902-$K902)</f>
        <v/>
      </c>
      <c r="M902" s="71">
        <f>IF($N902&lt;&gt;"OK","",$D902*N(INDEX('Menu Pricing'!$F$7:$F$56,$O902)))</f>
        <v/>
      </c>
      <c r="N902" s="80">
        <f>IF(AND($B902="",$C902="",$D902=""),"",IF(NOT(ISNUMBER($B902)),"Enter a valid date",IF($C902="","Pick a menu item",IF($O902="","Item not on Menu Pricing",IF(N($D902)&lt;=0,"Qty must be above 0",IF($H902="","No price on menu","OK"))))))</f>
        <v/>
      </c>
      <c r="O902" s="13">
        <f>IF($C902="","",IFERROR(MATCH($C902,'Menu Pricing'!$B$7:$B$56,0),""))</f>
        <v/>
      </c>
    </row>
    <row r="903" ht="17" customHeight="1">
      <c r="B903" s="66" t="n"/>
      <c r="C903" s="60" t="n"/>
      <c r="D903" s="86" t="n"/>
      <c r="E903" s="63" t="n"/>
      <c r="F903" s="60" t="n"/>
      <c r="G903" s="60" t="n"/>
      <c r="H903" s="71">
        <f>IF(OR($C903="",$D903=""),"",IF(ISNUMBER($E903),$E903,IF($O903="","",IF(N(INDEX('Menu Pricing'!$O$7:$O$56,$O903))&gt;0,INDEX('Menu Pricing'!$O$7:$O$56,$O903),""))))</f>
        <v/>
      </c>
      <c r="I903" s="71">
        <f>IF($N903&lt;&gt;"OK","",$D903*$H903)</f>
        <v/>
      </c>
      <c r="J903" s="71">
        <f>IF($N903&lt;&gt;"OK","",N(INDEX('Menu Pricing'!$F$7:$F$56,$O903))+N(INDEX('Menu Pricing'!$G$7:$G$56,$O903))+N(INDEX('Menu Pricing'!$J$7:$J$56,$O903)))</f>
        <v/>
      </c>
      <c r="K903" s="71">
        <f>IF($N903&lt;&gt;"OK","",$D903*$J903)</f>
        <v/>
      </c>
      <c r="L903" s="71">
        <f>IF($N903&lt;&gt;"OK","",$I903-$K903)</f>
        <v/>
      </c>
      <c r="M903" s="71">
        <f>IF($N903&lt;&gt;"OK","",$D903*N(INDEX('Menu Pricing'!$F$7:$F$56,$O903)))</f>
        <v/>
      </c>
      <c r="N903" s="80">
        <f>IF(AND($B903="",$C903="",$D903=""),"",IF(NOT(ISNUMBER($B903)),"Enter a valid date",IF($C903="","Pick a menu item",IF($O903="","Item not on Menu Pricing",IF(N($D903)&lt;=0,"Qty must be above 0",IF($H903="","No price on menu","OK"))))))</f>
        <v/>
      </c>
      <c r="O903" s="13">
        <f>IF($C903="","",IFERROR(MATCH($C903,'Menu Pricing'!$B$7:$B$56,0),""))</f>
        <v/>
      </c>
    </row>
    <row r="904" ht="17" customHeight="1">
      <c r="B904" s="66" t="n"/>
      <c r="C904" s="60" t="n"/>
      <c r="D904" s="86" t="n"/>
      <c r="E904" s="63" t="n"/>
      <c r="F904" s="60" t="n"/>
      <c r="G904" s="60" t="n"/>
      <c r="H904" s="71">
        <f>IF(OR($C904="",$D904=""),"",IF(ISNUMBER($E904),$E904,IF($O904="","",IF(N(INDEX('Menu Pricing'!$O$7:$O$56,$O904))&gt;0,INDEX('Menu Pricing'!$O$7:$O$56,$O904),""))))</f>
        <v/>
      </c>
      <c r="I904" s="71">
        <f>IF($N904&lt;&gt;"OK","",$D904*$H904)</f>
        <v/>
      </c>
      <c r="J904" s="71">
        <f>IF($N904&lt;&gt;"OK","",N(INDEX('Menu Pricing'!$F$7:$F$56,$O904))+N(INDEX('Menu Pricing'!$G$7:$G$56,$O904))+N(INDEX('Menu Pricing'!$J$7:$J$56,$O904)))</f>
        <v/>
      </c>
      <c r="K904" s="71">
        <f>IF($N904&lt;&gt;"OK","",$D904*$J904)</f>
        <v/>
      </c>
      <c r="L904" s="71">
        <f>IF($N904&lt;&gt;"OK","",$I904-$K904)</f>
        <v/>
      </c>
      <c r="M904" s="71">
        <f>IF($N904&lt;&gt;"OK","",$D904*N(INDEX('Menu Pricing'!$F$7:$F$56,$O904)))</f>
        <v/>
      </c>
      <c r="N904" s="80">
        <f>IF(AND($B904="",$C904="",$D904=""),"",IF(NOT(ISNUMBER($B904)),"Enter a valid date",IF($C904="","Pick a menu item",IF($O904="","Item not on Menu Pricing",IF(N($D904)&lt;=0,"Qty must be above 0",IF($H904="","No price on menu","OK"))))))</f>
        <v/>
      </c>
      <c r="O904" s="13">
        <f>IF($C904="","",IFERROR(MATCH($C904,'Menu Pricing'!$B$7:$B$56,0),""))</f>
        <v/>
      </c>
    </row>
    <row r="905" ht="17" customHeight="1">
      <c r="B905" s="66" t="n"/>
      <c r="C905" s="60" t="n"/>
      <c r="D905" s="86" t="n"/>
      <c r="E905" s="63" t="n"/>
      <c r="F905" s="60" t="n"/>
      <c r="G905" s="60" t="n"/>
      <c r="H905" s="71">
        <f>IF(OR($C905="",$D905=""),"",IF(ISNUMBER($E905),$E905,IF($O905="","",IF(N(INDEX('Menu Pricing'!$O$7:$O$56,$O905))&gt;0,INDEX('Menu Pricing'!$O$7:$O$56,$O905),""))))</f>
        <v/>
      </c>
      <c r="I905" s="71">
        <f>IF($N905&lt;&gt;"OK","",$D905*$H905)</f>
        <v/>
      </c>
      <c r="J905" s="71">
        <f>IF($N905&lt;&gt;"OK","",N(INDEX('Menu Pricing'!$F$7:$F$56,$O905))+N(INDEX('Menu Pricing'!$G$7:$G$56,$O905))+N(INDEX('Menu Pricing'!$J$7:$J$56,$O905)))</f>
        <v/>
      </c>
      <c r="K905" s="71">
        <f>IF($N905&lt;&gt;"OK","",$D905*$J905)</f>
        <v/>
      </c>
      <c r="L905" s="71">
        <f>IF($N905&lt;&gt;"OK","",$I905-$K905)</f>
        <v/>
      </c>
      <c r="M905" s="71">
        <f>IF($N905&lt;&gt;"OK","",$D905*N(INDEX('Menu Pricing'!$F$7:$F$56,$O905)))</f>
        <v/>
      </c>
      <c r="N905" s="80">
        <f>IF(AND($B905="",$C905="",$D905=""),"",IF(NOT(ISNUMBER($B905)),"Enter a valid date",IF($C905="","Pick a menu item",IF($O905="","Item not on Menu Pricing",IF(N($D905)&lt;=0,"Qty must be above 0",IF($H905="","No price on menu","OK"))))))</f>
        <v/>
      </c>
      <c r="O905" s="13">
        <f>IF($C905="","",IFERROR(MATCH($C905,'Menu Pricing'!$B$7:$B$56,0),""))</f>
        <v/>
      </c>
    </row>
    <row r="906" ht="17" customHeight="1">
      <c r="B906" s="66" t="n"/>
      <c r="C906" s="60" t="n"/>
      <c r="D906" s="86" t="n"/>
      <c r="E906" s="63" t="n"/>
      <c r="F906" s="60" t="n"/>
      <c r="G906" s="60" t="n"/>
      <c r="H906" s="71">
        <f>IF(OR($C906="",$D906=""),"",IF(ISNUMBER($E906),$E906,IF($O906="","",IF(N(INDEX('Menu Pricing'!$O$7:$O$56,$O906))&gt;0,INDEX('Menu Pricing'!$O$7:$O$56,$O906),""))))</f>
        <v/>
      </c>
      <c r="I906" s="71">
        <f>IF($N906&lt;&gt;"OK","",$D906*$H906)</f>
        <v/>
      </c>
      <c r="J906" s="71">
        <f>IF($N906&lt;&gt;"OK","",N(INDEX('Menu Pricing'!$F$7:$F$56,$O906))+N(INDEX('Menu Pricing'!$G$7:$G$56,$O906))+N(INDEX('Menu Pricing'!$J$7:$J$56,$O906)))</f>
        <v/>
      </c>
      <c r="K906" s="71">
        <f>IF($N906&lt;&gt;"OK","",$D906*$J906)</f>
        <v/>
      </c>
      <c r="L906" s="71">
        <f>IF($N906&lt;&gt;"OK","",$I906-$K906)</f>
        <v/>
      </c>
      <c r="M906" s="71">
        <f>IF($N906&lt;&gt;"OK","",$D906*N(INDEX('Menu Pricing'!$F$7:$F$56,$O906)))</f>
        <v/>
      </c>
      <c r="N906" s="80">
        <f>IF(AND($B906="",$C906="",$D906=""),"",IF(NOT(ISNUMBER($B906)),"Enter a valid date",IF($C906="","Pick a menu item",IF($O906="","Item not on Menu Pricing",IF(N($D906)&lt;=0,"Qty must be above 0",IF($H906="","No price on menu","OK"))))))</f>
        <v/>
      </c>
      <c r="O906" s="13">
        <f>IF($C906="","",IFERROR(MATCH($C906,'Menu Pricing'!$B$7:$B$56,0),""))</f>
        <v/>
      </c>
    </row>
    <row r="907" ht="17" customHeight="1">
      <c r="B907" s="66" t="n"/>
      <c r="C907" s="60" t="n"/>
      <c r="D907" s="86" t="n"/>
      <c r="E907" s="63" t="n"/>
      <c r="F907" s="60" t="n"/>
      <c r="G907" s="60" t="n"/>
      <c r="H907" s="71">
        <f>IF(OR($C907="",$D907=""),"",IF(ISNUMBER($E907),$E907,IF($O907="","",IF(N(INDEX('Menu Pricing'!$O$7:$O$56,$O907))&gt;0,INDEX('Menu Pricing'!$O$7:$O$56,$O907),""))))</f>
        <v/>
      </c>
      <c r="I907" s="71">
        <f>IF($N907&lt;&gt;"OK","",$D907*$H907)</f>
        <v/>
      </c>
      <c r="J907" s="71">
        <f>IF($N907&lt;&gt;"OK","",N(INDEX('Menu Pricing'!$F$7:$F$56,$O907))+N(INDEX('Menu Pricing'!$G$7:$G$56,$O907))+N(INDEX('Menu Pricing'!$J$7:$J$56,$O907)))</f>
        <v/>
      </c>
      <c r="K907" s="71">
        <f>IF($N907&lt;&gt;"OK","",$D907*$J907)</f>
        <v/>
      </c>
      <c r="L907" s="71">
        <f>IF($N907&lt;&gt;"OK","",$I907-$K907)</f>
        <v/>
      </c>
      <c r="M907" s="71">
        <f>IF($N907&lt;&gt;"OK","",$D907*N(INDEX('Menu Pricing'!$F$7:$F$56,$O907)))</f>
        <v/>
      </c>
      <c r="N907" s="80">
        <f>IF(AND($B907="",$C907="",$D907=""),"",IF(NOT(ISNUMBER($B907)),"Enter a valid date",IF($C907="","Pick a menu item",IF($O907="","Item not on Menu Pricing",IF(N($D907)&lt;=0,"Qty must be above 0",IF($H907="","No price on menu","OK"))))))</f>
        <v/>
      </c>
      <c r="O907" s="13">
        <f>IF($C907="","",IFERROR(MATCH($C907,'Menu Pricing'!$B$7:$B$56,0),""))</f>
        <v/>
      </c>
    </row>
    <row r="908" ht="17" customHeight="1">
      <c r="B908" s="66" t="n"/>
      <c r="C908" s="60" t="n"/>
      <c r="D908" s="86" t="n"/>
      <c r="E908" s="63" t="n"/>
      <c r="F908" s="60" t="n"/>
      <c r="G908" s="60" t="n"/>
      <c r="H908" s="71">
        <f>IF(OR($C908="",$D908=""),"",IF(ISNUMBER($E908),$E908,IF($O908="","",IF(N(INDEX('Menu Pricing'!$O$7:$O$56,$O908))&gt;0,INDEX('Menu Pricing'!$O$7:$O$56,$O908),""))))</f>
        <v/>
      </c>
      <c r="I908" s="71">
        <f>IF($N908&lt;&gt;"OK","",$D908*$H908)</f>
        <v/>
      </c>
      <c r="J908" s="71">
        <f>IF($N908&lt;&gt;"OK","",N(INDEX('Menu Pricing'!$F$7:$F$56,$O908))+N(INDEX('Menu Pricing'!$G$7:$G$56,$O908))+N(INDEX('Menu Pricing'!$J$7:$J$56,$O908)))</f>
        <v/>
      </c>
      <c r="K908" s="71">
        <f>IF($N908&lt;&gt;"OK","",$D908*$J908)</f>
        <v/>
      </c>
      <c r="L908" s="71">
        <f>IF($N908&lt;&gt;"OK","",$I908-$K908)</f>
        <v/>
      </c>
      <c r="M908" s="71">
        <f>IF($N908&lt;&gt;"OK","",$D908*N(INDEX('Menu Pricing'!$F$7:$F$56,$O908)))</f>
        <v/>
      </c>
      <c r="N908" s="80">
        <f>IF(AND($B908="",$C908="",$D908=""),"",IF(NOT(ISNUMBER($B908)),"Enter a valid date",IF($C908="","Pick a menu item",IF($O908="","Item not on Menu Pricing",IF(N($D908)&lt;=0,"Qty must be above 0",IF($H908="","No price on menu","OK"))))))</f>
        <v/>
      </c>
      <c r="O908" s="13">
        <f>IF($C908="","",IFERROR(MATCH($C908,'Menu Pricing'!$B$7:$B$56,0),""))</f>
        <v/>
      </c>
    </row>
    <row r="909" ht="17" customHeight="1">
      <c r="B909" s="66" t="n"/>
      <c r="C909" s="60" t="n"/>
      <c r="D909" s="86" t="n"/>
      <c r="E909" s="63" t="n"/>
      <c r="F909" s="60" t="n"/>
      <c r="G909" s="60" t="n"/>
      <c r="H909" s="71">
        <f>IF(OR($C909="",$D909=""),"",IF(ISNUMBER($E909),$E909,IF($O909="","",IF(N(INDEX('Menu Pricing'!$O$7:$O$56,$O909))&gt;0,INDEX('Menu Pricing'!$O$7:$O$56,$O909),""))))</f>
        <v/>
      </c>
      <c r="I909" s="71">
        <f>IF($N909&lt;&gt;"OK","",$D909*$H909)</f>
        <v/>
      </c>
      <c r="J909" s="71">
        <f>IF($N909&lt;&gt;"OK","",N(INDEX('Menu Pricing'!$F$7:$F$56,$O909))+N(INDEX('Menu Pricing'!$G$7:$G$56,$O909))+N(INDEX('Menu Pricing'!$J$7:$J$56,$O909)))</f>
        <v/>
      </c>
      <c r="K909" s="71">
        <f>IF($N909&lt;&gt;"OK","",$D909*$J909)</f>
        <v/>
      </c>
      <c r="L909" s="71">
        <f>IF($N909&lt;&gt;"OK","",$I909-$K909)</f>
        <v/>
      </c>
      <c r="M909" s="71">
        <f>IF($N909&lt;&gt;"OK","",$D909*N(INDEX('Menu Pricing'!$F$7:$F$56,$O909)))</f>
        <v/>
      </c>
      <c r="N909" s="80">
        <f>IF(AND($B909="",$C909="",$D909=""),"",IF(NOT(ISNUMBER($B909)),"Enter a valid date",IF($C909="","Pick a menu item",IF($O909="","Item not on Menu Pricing",IF(N($D909)&lt;=0,"Qty must be above 0",IF($H909="","No price on menu","OK"))))))</f>
        <v/>
      </c>
      <c r="O909" s="13">
        <f>IF($C909="","",IFERROR(MATCH($C909,'Menu Pricing'!$B$7:$B$56,0),""))</f>
        <v/>
      </c>
    </row>
    <row r="910" ht="17" customHeight="1">
      <c r="B910" s="66" t="n"/>
      <c r="C910" s="60" t="n"/>
      <c r="D910" s="86" t="n"/>
      <c r="E910" s="63" t="n"/>
      <c r="F910" s="60" t="n"/>
      <c r="G910" s="60" t="n"/>
      <c r="H910" s="71">
        <f>IF(OR($C910="",$D910=""),"",IF(ISNUMBER($E910),$E910,IF($O910="","",IF(N(INDEX('Menu Pricing'!$O$7:$O$56,$O910))&gt;0,INDEX('Menu Pricing'!$O$7:$O$56,$O910),""))))</f>
        <v/>
      </c>
      <c r="I910" s="71">
        <f>IF($N910&lt;&gt;"OK","",$D910*$H910)</f>
        <v/>
      </c>
      <c r="J910" s="71">
        <f>IF($N910&lt;&gt;"OK","",N(INDEX('Menu Pricing'!$F$7:$F$56,$O910))+N(INDEX('Menu Pricing'!$G$7:$G$56,$O910))+N(INDEX('Menu Pricing'!$J$7:$J$56,$O910)))</f>
        <v/>
      </c>
      <c r="K910" s="71">
        <f>IF($N910&lt;&gt;"OK","",$D910*$J910)</f>
        <v/>
      </c>
      <c r="L910" s="71">
        <f>IF($N910&lt;&gt;"OK","",$I910-$K910)</f>
        <v/>
      </c>
      <c r="M910" s="71">
        <f>IF($N910&lt;&gt;"OK","",$D910*N(INDEX('Menu Pricing'!$F$7:$F$56,$O910)))</f>
        <v/>
      </c>
      <c r="N910" s="80">
        <f>IF(AND($B910="",$C910="",$D910=""),"",IF(NOT(ISNUMBER($B910)),"Enter a valid date",IF($C910="","Pick a menu item",IF($O910="","Item not on Menu Pricing",IF(N($D910)&lt;=0,"Qty must be above 0",IF($H910="","No price on menu","OK"))))))</f>
        <v/>
      </c>
      <c r="O910" s="13">
        <f>IF($C910="","",IFERROR(MATCH($C910,'Menu Pricing'!$B$7:$B$56,0),""))</f>
        <v/>
      </c>
    </row>
    <row r="911" ht="17" customHeight="1">
      <c r="B911" s="66" t="n"/>
      <c r="C911" s="60" t="n"/>
      <c r="D911" s="86" t="n"/>
      <c r="E911" s="63" t="n"/>
      <c r="F911" s="60" t="n"/>
      <c r="G911" s="60" t="n"/>
      <c r="H911" s="71">
        <f>IF(OR($C911="",$D911=""),"",IF(ISNUMBER($E911),$E911,IF($O911="","",IF(N(INDEX('Menu Pricing'!$O$7:$O$56,$O911))&gt;0,INDEX('Menu Pricing'!$O$7:$O$56,$O911),""))))</f>
        <v/>
      </c>
      <c r="I911" s="71">
        <f>IF($N911&lt;&gt;"OK","",$D911*$H911)</f>
        <v/>
      </c>
      <c r="J911" s="71">
        <f>IF($N911&lt;&gt;"OK","",N(INDEX('Menu Pricing'!$F$7:$F$56,$O911))+N(INDEX('Menu Pricing'!$G$7:$G$56,$O911))+N(INDEX('Menu Pricing'!$J$7:$J$56,$O911)))</f>
        <v/>
      </c>
      <c r="K911" s="71">
        <f>IF($N911&lt;&gt;"OK","",$D911*$J911)</f>
        <v/>
      </c>
      <c r="L911" s="71">
        <f>IF($N911&lt;&gt;"OK","",$I911-$K911)</f>
        <v/>
      </c>
      <c r="M911" s="71">
        <f>IF($N911&lt;&gt;"OK","",$D911*N(INDEX('Menu Pricing'!$F$7:$F$56,$O911)))</f>
        <v/>
      </c>
      <c r="N911" s="80">
        <f>IF(AND($B911="",$C911="",$D911=""),"",IF(NOT(ISNUMBER($B911)),"Enter a valid date",IF($C911="","Pick a menu item",IF($O911="","Item not on Menu Pricing",IF(N($D911)&lt;=0,"Qty must be above 0",IF($H911="","No price on menu","OK"))))))</f>
        <v/>
      </c>
      <c r="O911" s="13">
        <f>IF($C911="","",IFERROR(MATCH($C911,'Menu Pricing'!$B$7:$B$56,0),""))</f>
        <v/>
      </c>
    </row>
    <row r="912" ht="17" customHeight="1">
      <c r="B912" s="66" t="n"/>
      <c r="C912" s="60" t="n"/>
      <c r="D912" s="86" t="n"/>
      <c r="E912" s="63" t="n"/>
      <c r="F912" s="60" t="n"/>
      <c r="G912" s="60" t="n"/>
      <c r="H912" s="71">
        <f>IF(OR($C912="",$D912=""),"",IF(ISNUMBER($E912),$E912,IF($O912="","",IF(N(INDEX('Menu Pricing'!$O$7:$O$56,$O912))&gt;0,INDEX('Menu Pricing'!$O$7:$O$56,$O912),""))))</f>
        <v/>
      </c>
      <c r="I912" s="71">
        <f>IF($N912&lt;&gt;"OK","",$D912*$H912)</f>
        <v/>
      </c>
      <c r="J912" s="71">
        <f>IF($N912&lt;&gt;"OK","",N(INDEX('Menu Pricing'!$F$7:$F$56,$O912))+N(INDEX('Menu Pricing'!$G$7:$G$56,$O912))+N(INDEX('Menu Pricing'!$J$7:$J$56,$O912)))</f>
        <v/>
      </c>
      <c r="K912" s="71">
        <f>IF($N912&lt;&gt;"OK","",$D912*$J912)</f>
        <v/>
      </c>
      <c r="L912" s="71">
        <f>IF($N912&lt;&gt;"OK","",$I912-$K912)</f>
        <v/>
      </c>
      <c r="M912" s="71">
        <f>IF($N912&lt;&gt;"OK","",$D912*N(INDEX('Menu Pricing'!$F$7:$F$56,$O912)))</f>
        <v/>
      </c>
      <c r="N912" s="80">
        <f>IF(AND($B912="",$C912="",$D912=""),"",IF(NOT(ISNUMBER($B912)),"Enter a valid date",IF($C912="","Pick a menu item",IF($O912="","Item not on Menu Pricing",IF(N($D912)&lt;=0,"Qty must be above 0",IF($H912="","No price on menu","OK"))))))</f>
        <v/>
      </c>
      <c r="O912" s="13">
        <f>IF($C912="","",IFERROR(MATCH($C912,'Menu Pricing'!$B$7:$B$56,0),""))</f>
        <v/>
      </c>
    </row>
    <row r="913" ht="17" customHeight="1">
      <c r="B913" s="66" t="n"/>
      <c r="C913" s="60" t="n"/>
      <c r="D913" s="86" t="n"/>
      <c r="E913" s="63" t="n"/>
      <c r="F913" s="60" t="n"/>
      <c r="G913" s="60" t="n"/>
      <c r="H913" s="71">
        <f>IF(OR($C913="",$D913=""),"",IF(ISNUMBER($E913),$E913,IF($O913="","",IF(N(INDEX('Menu Pricing'!$O$7:$O$56,$O913))&gt;0,INDEX('Menu Pricing'!$O$7:$O$56,$O913),""))))</f>
        <v/>
      </c>
      <c r="I913" s="71">
        <f>IF($N913&lt;&gt;"OK","",$D913*$H913)</f>
        <v/>
      </c>
      <c r="J913" s="71">
        <f>IF($N913&lt;&gt;"OK","",N(INDEX('Menu Pricing'!$F$7:$F$56,$O913))+N(INDEX('Menu Pricing'!$G$7:$G$56,$O913))+N(INDEX('Menu Pricing'!$J$7:$J$56,$O913)))</f>
        <v/>
      </c>
      <c r="K913" s="71">
        <f>IF($N913&lt;&gt;"OK","",$D913*$J913)</f>
        <v/>
      </c>
      <c r="L913" s="71">
        <f>IF($N913&lt;&gt;"OK","",$I913-$K913)</f>
        <v/>
      </c>
      <c r="M913" s="71">
        <f>IF($N913&lt;&gt;"OK","",$D913*N(INDEX('Menu Pricing'!$F$7:$F$56,$O913)))</f>
        <v/>
      </c>
      <c r="N913" s="80">
        <f>IF(AND($B913="",$C913="",$D913=""),"",IF(NOT(ISNUMBER($B913)),"Enter a valid date",IF($C913="","Pick a menu item",IF($O913="","Item not on Menu Pricing",IF(N($D913)&lt;=0,"Qty must be above 0",IF($H913="","No price on menu","OK"))))))</f>
        <v/>
      </c>
      <c r="O913" s="13">
        <f>IF($C913="","",IFERROR(MATCH($C913,'Menu Pricing'!$B$7:$B$56,0),""))</f>
        <v/>
      </c>
    </row>
    <row r="914" ht="17" customHeight="1">
      <c r="B914" s="66" t="n"/>
      <c r="C914" s="60" t="n"/>
      <c r="D914" s="86" t="n"/>
      <c r="E914" s="63" t="n"/>
      <c r="F914" s="60" t="n"/>
      <c r="G914" s="60" t="n"/>
      <c r="H914" s="71">
        <f>IF(OR($C914="",$D914=""),"",IF(ISNUMBER($E914),$E914,IF($O914="","",IF(N(INDEX('Menu Pricing'!$O$7:$O$56,$O914))&gt;0,INDEX('Menu Pricing'!$O$7:$O$56,$O914),""))))</f>
        <v/>
      </c>
      <c r="I914" s="71">
        <f>IF($N914&lt;&gt;"OK","",$D914*$H914)</f>
        <v/>
      </c>
      <c r="J914" s="71">
        <f>IF($N914&lt;&gt;"OK","",N(INDEX('Menu Pricing'!$F$7:$F$56,$O914))+N(INDEX('Menu Pricing'!$G$7:$G$56,$O914))+N(INDEX('Menu Pricing'!$J$7:$J$56,$O914)))</f>
        <v/>
      </c>
      <c r="K914" s="71">
        <f>IF($N914&lt;&gt;"OK","",$D914*$J914)</f>
        <v/>
      </c>
      <c r="L914" s="71">
        <f>IF($N914&lt;&gt;"OK","",$I914-$K914)</f>
        <v/>
      </c>
      <c r="M914" s="71">
        <f>IF($N914&lt;&gt;"OK","",$D914*N(INDEX('Menu Pricing'!$F$7:$F$56,$O914)))</f>
        <v/>
      </c>
      <c r="N914" s="80">
        <f>IF(AND($B914="",$C914="",$D914=""),"",IF(NOT(ISNUMBER($B914)),"Enter a valid date",IF($C914="","Pick a menu item",IF($O914="","Item not on Menu Pricing",IF(N($D914)&lt;=0,"Qty must be above 0",IF($H914="","No price on menu","OK"))))))</f>
        <v/>
      </c>
      <c r="O914" s="13">
        <f>IF($C914="","",IFERROR(MATCH($C914,'Menu Pricing'!$B$7:$B$56,0),""))</f>
        <v/>
      </c>
    </row>
    <row r="915" ht="17" customHeight="1">
      <c r="B915" s="66" t="n"/>
      <c r="C915" s="60" t="n"/>
      <c r="D915" s="86" t="n"/>
      <c r="E915" s="63" t="n"/>
      <c r="F915" s="60" t="n"/>
      <c r="G915" s="60" t="n"/>
      <c r="H915" s="71">
        <f>IF(OR($C915="",$D915=""),"",IF(ISNUMBER($E915),$E915,IF($O915="","",IF(N(INDEX('Menu Pricing'!$O$7:$O$56,$O915))&gt;0,INDEX('Menu Pricing'!$O$7:$O$56,$O915),""))))</f>
        <v/>
      </c>
      <c r="I915" s="71">
        <f>IF($N915&lt;&gt;"OK","",$D915*$H915)</f>
        <v/>
      </c>
      <c r="J915" s="71">
        <f>IF($N915&lt;&gt;"OK","",N(INDEX('Menu Pricing'!$F$7:$F$56,$O915))+N(INDEX('Menu Pricing'!$G$7:$G$56,$O915))+N(INDEX('Menu Pricing'!$J$7:$J$56,$O915)))</f>
        <v/>
      </c>
      <c r="K915" s="71">
        <f>IF($N915&lt;&gt;"OK","",$D915*$J915)</f>
        <v/>
      </c>
      <c r="L915" s="71">
        <f>IF($N915&lt;&gt;"OK","",$I915-$K915)</f>
        <v/>
      </c>
      <c r="M915" s="71">
        <f>IF($N915&lt;&gt;"OK","",$D915*N(INDEX('Menu Pricing'!$F$7:$F$56,$O915)))</f>
        <v/>
      </c>
      <c r="N915" s="80">
        <f>IF(AND($B915="",$C915="",$D915=""),"",IF(NOT(ISNUMBER($B915)),"Enter a valid date",IF($C915="","Pick a menu item",IF($O915="","Item not on Menu Pricing",IF(N($D915)&lt;=0,"Qty must be above 0",IF($H915="","No price on menu","OK"))))))</f>
        <v/>
      </c>
      <c r="O915" s="13">
        <f>IF($C915="","",IFERROR(MATCH($C915,'Menu Pricing'!$B$7:$B$56,0),""))</f>
        <v/>
      </c>
    </row>
    <row r="916" ht="17" customHeight="1">
      <c r="B916" s="66" t="n"/>
      <c r="C916" s="60" t="n"/>
      <c r="D916" s="86" t="n"/>
      <c r="E916" s="63" t="n"/>
      <c r="F916" s="60" t="n"/>
      <c r="G916" s="60" t="n"/>
      <c r="H916" s="71">
        <f>IF(OR($C916="",$D916=""),"",IF(ISNUMBER($E916),$E916,IF($O916="","",IF(N(INDEX('Menu Pricing'!$O$7:$O$56,$O916))&gt;0,INDEX('Menu Pricing'!$O$7:$O$56,$O916),""))))</f>
        <v/>
      </c>
      <c r="I916" s="71">
        <f>IF($N916&lt;&gt;"OK","",$D916*$H916)</f>
        <v/>
      </c>
      <c r="J916" s="71">
        <f>IF($N916&lt;&gt;"OK","",N(INDEX('Menu Pricing'!$F$7:$F$56,$O916))+N(INDEX('Menu Pricing'!$G$7:$G$56,$O916))+N(INDEX('Menu Pricing'!$J$7:$J$56,$O916)))</f>
        <v/>
      </c>
      <c r="K916" s="71">
        <f>IF($N916&lt;&gt;"OK","",$D916*$J916)</f>
        <v/>
      </c>
      <c r="L916" s="71">
        <f>IF($N916&lt;&gt;"OK","",$I916-$K916)</f>
        <v/>
      </c>
      <c r="M916" s="71">
        <f>IF($N916&lt;&gt;"OK","",$D916*N(INDEX('Menu Pricing'!$F$7:$F$56,$O916)))</f>
        <v/>
      </c>
      <c r="N916" s="80">
        <f>IF(AND($B916="",$C916="",$D916=""),"",IF(NOT(ISNUMBER($B916)),"Enter a valid date",IF($C916="","Pick a menu item",IF($O916="","Item not on Menu Pricing",IF(N($D916)&lt;=0,"Qty must be above 0",IF($H916="","No price on menu","OK"))))))</f>
        <v/>
      </c>
      <c r="O916" s="13">
        <f>IF($C916="","",IFERROR(MATCH($C916,'Menu Pricing'!$B$7:$B$56,0),""))</f>
        <v/>
      </c>
    </row>
    <row r="917" ht="17" customHeight="1">
      <c r="B917" s="66" t="n"/>
      <c r="C917" s="60" t="n"/>
      <c r="D917" s="86" t="n"/>
      <c r="E917" s="63" t="n"/>
      <c r="F917" s="60" t="n"/>
      <c r="G917" s="60" t="n"/>
      <c r="H917" s="71">
        <f>IF(OR($C917="",$D917=""),"",IF(ISNUMBER($E917),$E917,IF($O917="","",IF(N(INDEX('Menu Pricing'!$O$7:$O$56,$O917))&gt;0,INDEX('Menu Pricing'!$O$7:$O$56,$O917),""))))</f>
        <v/>
      </c>
      <c r="I917" s="71">
        <f>IF($N917&lt;&gt;"OK","",$D917*$H917)</f>
        <v/>
      </c>
      <c r="J917" s="71">
        <f>IF($N917&lt;&gt;"OK","",N(INDEX('Menu Pricing'!$F$7:$F$56,$O917))+N(INDEX('Menu Pricing'!$G$7:$G$56,$O917))+N(INDEX('Menu Pricing'!$J$7:$J$56,$O917)))</f>
        <v/>
      </c>
      <c r="K917" s="71">
        <f>IF($N917&lt;&gt;"OK","",$D917*$J917)</f>
        <v/>
      </c>
      <c r="L917" s="71">
        <f>IF($N917&lt;&gt;"OK","",$I917-$K917)</f>
        <v/>
      </c>
      <c r="M917" s="71">
        <f>IF($N917&lt;&gt;"OK","",$D917*N(INDEX('Menu Pricing'!$F$7:$F$56,$O917)))</f>
        <v/>
      </c>
      <c r="N917" s="80">
        <f>IF(AND($B917="",$C917="",$D917=""),"",IF(NOT(ISNUMBER($B917)),"Enter a valid date",IF($C917="","Pick a menu item",IF($O917="","Item not on Menu Pricing",IF(N($D917)&lt;=0,"Qty must be above 0",IF($H917="","No price on menu","OK"))))))</f>
        <v/>
      </c>
      <c r="O917" s="13">
        <f>IF($C917="","",IFERROR(MATCH($C917,'Menu Pricing'!$B$7:$B$56,0),""))</f>
        <v/>
      </c>
    </row>
    <row r="918" ht="17" customHeight="1">
      <c r="B918" s="66" t="n"/>
      <c r="C918" s="60" t="n"/>
      <c r="D918" s="86" t="n"/>
      <c r="E918" s="63" t="n"/>
      <c r="F918" s="60" t="n"/>
      <c r="G918" s="60" t="n"/>
      <c r="H918" s="71">
        <f>IF(OR($C918="",$D918=""),"",IF(ISNUMBER($E918),$E918,IF($O918="","",IF(N(INDEX('Menu Pricing'!$O$7:$O$56,$O918))&gt;0,INDEX('Menu Pricing'!$O$7:$O$56,$O918),""))))</f>
        <v/>
      </c>
      <c r="I918" s="71">
        <f>IF($N918&lt;&gt;"OK","",$D918*$H918)</f>
        <v/>
      </c>
      <c r="J918" s="71">
        <f>IF($N918&lt;&gt;"OK","",N(INDEX('Menu Pricing'!$F$7:$F$56,$O918))+N(INDEX('Menu Pricing'!$G$7:$G$56,$O918))+N(INDEX('Menu Pricing'!$J$7:$J$56,$O918)))</f>
        <v/>
      </c>
      <c r="K918" s="71">
        <f>IF($N918&lt;&gt;"OK","",$D918*$J918)</f>
        <v/>
      </c>
      <c r="L918" s="71">
        <f>IF($N918&lt;&gt;"OK","",$I918-$K918)</f>
        <v/>
      </c>
      <c r="M918" s="71">
        <f>IF($N918&lt;&gt;"OK","",$D918*N(INDEX('Menu Pricing'!$F$7:$F$56,$O918)))</f>
        <v/>
      </c>
      <c r="N918" s="80">
        <f>IF(AND($B918="",$C918="",$D918=""),"",IF(NOT(ISNUMBER($B918)),"Enter a valid date",IF($C918="","Pick a menu item",IF($O918="","Item not on Menu Pricing",IF(N($D918)&lt;=0,"Qty must be above 0",IF($H918="","No price on menu","OK"))))))</f>
        <v/>
      </c>
      <c r="O918" s="13">
        <f>IF($C918="","",IFERROR(MATCH($C918,'Menu Pricing'!$B$7:$B$56,0),""))</f>
        <v/>
      </c>
    </row>
    <row r="919" ht="17" customHeight="1">
      <c r="B919" s="66" t="n"/>
      <c r="C919" s="60" t="n"/>
      <c r="D919" s="86" t="n"/>
      <c r="E919" s="63" t="n"/>
      <c r="F919" s="60" t="n"/>
      <c r="G919" s="60" t="n"/>
      <c r="H919" s="71">
        <f>IF(OR($C919="",$D919=""),"",IF(ISNUMBER($E919),$E919,IF($O919="","",IF(N(INDEX('Menu Pricing'!$O$7:$O$56,$O919))&gt;0,INDEX('Menu Pricing'!$O$7:$O$56,$O919),""))))</f>
        <v/>
      </c>
      <c r="I919" s="71">
        <f>IF($N919&lt;&gt;"OK","",$D919*$H919)</f>
        <v/>
      </c>
      <c r="J919" s="71">
        <f>IF($N919&lt;&gt;"OK","",N(INDEX('Menu Pricing'!$F$7:$F$56,$O919))+N(INDEX('Menu Pricing'!$G$7:$G$56,$O919))+N(INDEX('Menu Pricing'!$J$7:$J$56,$O919)))</f>
        <v/>
      </c>
      <c r="K919" s="71">
        <f>IF($N919&lt;&gt;"OK","",$D919*$J919)</f>
        <v/>
      </c>
      <c r="L919" s="71">
        <f>IF($N919&lt;&gt;"OK","",$I919-$K919)</f>
        <v/>
      </c>
      <c r="M919" s="71">
        <f>IF($N919&lt;&gt;"OK","",$D919*N(INDEX('Menu Pricing'!$F$7:$F$56,$O919)))</f>
        <v/>
      </c>
      <c r="N919" s="80">
        <f>IF(AND($B919="",$C919="",$D919=""),"",IF(NOT(ISNUMBER($B919)),"Enter a valid date",IF($C919="","Pick a menu item",IF($O919="","Item not on Menu Pricing",IF(N($D919)&lt;=0,"Qty must be above 0",IF($H919="","No price on menu","OK"))))))</f>
        <v/>
      </c>
      <c r="O919" s="13">
        <f>IF($C919="","",IFERROR(MATCH($C919,'Menu Pricing'!$B$7:$B$56,0),""))</f>
        <v/>
      </c>
    </row>
    <row r="920" ht="17" customHeight="1">
      <c r="B920" s="66" t="n"/>
      <c r="C920" s="60" t="n"/>
      <c r="D920" s="86" t="n"/>
      <c r="E920" s="63" t="n"/>
      <c r="F920" s="60" t="n"/>
      <c r="G920" s="60" t="n"/>
      <c r="H920" s="71">
        <f>IF(OR($C920="",$D920=""),"",IF(ISNUMBER($E920),$E920,IF($O920="","",IF(N(INDEX('Menu Pricing'!$O$7:$O$56,$O920))&gt;0,INDEX('Menu Pricing'!$O$7:$O$56,$O920),""))))</f>
        <v/>
      </c>
      <c r="I920" s="71">
        <f>IF($N920&lt;&gt;"OK","",$D920*$H920)</f>
        <v/>
      </c>
      <c r="J920" s="71">
        <f>IF($N920&lt;&gt;"OK","",N(INDEX('Menu Pricing'!$F$7:$F$56,$O920))+N(INDEX('Menu Pricing'!$G$7:$G$56,$O920))+N(INDEX('Menu Pricing'!$J$7:$J$56,$O920)))</f>
        <v/>
      </c>
      <c r="K920" s="71">
        <f>IF($N920&lt;&gt;"OK","",$D920*$J920)</f>
        <v/>
      </c>
      <c r="L920" s="71">
        <f>IF($N920&lt;&gt;"OK","",$I920-$K920)</f>
        <v/>
      </c>
      <c r="M920" s="71">
        <f>IF($N920&lt;&gt;"OK","",$D920*N(INDEX('Menu Pricing'!$F$7:$F$56,$O920)))</f>
        <v/>
      </c>
      <c r="N920" s="80">
        <f>IF(AND($B920="",$C920="",$D920=""),"",IF(NOT(ISNUMBER($B920)),"Enter a valid date",IF($C920="","Pick a menu item",IF($O920="","Item not on Menu Pricing",IF(N($D920)&lt;=0,"Qty must be above 0",IF($H920="","No price on menu","OK"))))))</f>
        <v/>
      </c>
      <c r="O920" s="13">
        <f>IF($C920="","",IFERROR(MATCH($C920,'Menu Pricing'!$B$7:$B$56,0),""))</f>
        <v/>
      </c>
    </row>
    <row r="921" ht="17" customHeight="1">
      <c r="B921" s="66" t="n"/>
      <c r="C921" s="60" t="n"/>
      <c r="D921" s="86" t="n"/>
      <c r="E921" s="63" t="n"/>
      <c r="F921" s="60" t="n"/>
      <c r="G921" s="60" t="n"/>
      <c r="H921" s="71">
        <f>IF(OR($C921="",$D921=""),"",IF(ISNUMBER($E921),$E921,IF($O921="","",IF(N(INDEX('Menu Pricing'!$O$7:$O$56,$O921))&gt;0,INDEX('Menu Pricing'!$O$7:$O$56,$O921),""))))</f>
        <v/>
      </c>
      <c r="I921" s="71">
        <f>IF($N921&lt;&gt;"OK","",$D921*$H921)</f>
        <v/>
      </c>
      <c r="J921" s="71">
        <f>IF($N921&lt;&gt;"OK","",N(INDEX('Menu Pricing'!$F$7:$F$56,$O921))+N(INDEX('Menu Pricing'!$G$7:$G$56,$O921))+N(INDEX('Menu Pricing'!$J$7:$J$56,$O921)))</f>
        <v/>
      </c>
      <c r="K921" s="71">
        <f>IF($N921&lt;&gt;"OK","",$D921*$J921)</f>
        <v/>
      </c>
      <c r="L921" s="71">
        <f>IF($N921&lt;&gt;"OK","",$I921-$K921)</f>
        <v/>
      </c>
      <c r="M921" s="71">
        <f>IF($N921&lt;&gt;"OK","",$D921*N(INDEX('Menu Pricing'!$F$7:$F$56,$O921)))</f>
        <v/>
      </c>
      <c r="N921" s="80">
        <f>IF(AND($B921="",$C921="",$D921=""),"",IF(NOT(ISNUMBER($B921)),"Enter a valid date",IF($C921="","Pick a menu item",IF($O921="","Item not on Menu Pricing",IF(N($D921)&lt;=0,"Qty must be above 0",IF($H921="","No price on menu","OK"))))))</f>
        <v/>
      </c>
      <c r="O921" s="13">
        <f>IF($C921="","",IFERROR(MATCH($C921,'Menu Pricing'!$B$7:$B$56,0),""))</f>
        <v/>
      </c>
    </row>
    <row r="922" ht="17" customHeight="1">
      <c r="B922" s="66" t="n"/>
      <c r="C922" s="60" t="n"/>
      <c r="D922" s="86" t="n"/>
      <c r="E922" s="63" t="n"/>
      <c r="F922" s="60" t="n"/>
      <c r="G922" s="60" t="n"/>
      <c r="H922" s="71">
        <f>IF(OR($C922="",$D922=""),"",IF(ISNUMBER($E922),$E922,IF($O922="","",IF(N(INDEX('Menu Pricing'!$O$7:$O$56,$O922))&gt;0,INDEX('Menu Pricing'!$O$7:$O$56,$O922),""))))</f>
        <v/>
      </c>
      <c r="I922" s="71">
        <f>IF($N922&lt;&gt;"OK","",$D922*$H922)</f>
        <v/>
      </c>
      <c r="J922" s="71">
        <f>IF($N922&lt;&gt;"OK","",N(INDEX('Menu Pricing'!$F$7:$F$56,$O922))+N(INDEX('Menu Pricing'!$G$7:$G$56,$O922))+N(INDEX('Menu Pricing'!$J$7:$J$56,$O922)))</f>
        <v/>
      </c>
      <c r="K922" s="71">
        <f>IF($N922&lt;&gt;"OK","",$D922*$J922)</f>
        <v/>
      </c>
      <c r="L922" s="71">
        <f>IF($N922&lt;&gt;"OK","",$I922-$K922)</f>
        <v/>
      </c>
      <c r="M922" s="71">
        <f>IF($N922&lt;&gt;"OK","",$D922*N(INDEX('Menu Pricing'!$F$7:$F$56,$O922)))</f>
        <v/>
      </c>
      <c r="N922" s="80">
        <f>IF(AND($B922="",$C922="",$D922=""),"",IF(NOT(ISNUMBER($B922)),"Enter a valid date",IF($C922="","Pick a menu item",IF($O922="","Item not on Menu Pricing",IF(N($D922)&lt;=0,"Qty must be above 0",IF($H922="","No price on menu","OK"))))))</f>
        <v/>
      </c>
      <c r="O922" s="13">
        <f>IF($C922="","",IFERROR(MATCH($C922,'Menu Pricing'!$B$7:$B$56,0),""))</f>
        <v/>
      </c>
    </row>
    <row r="923" ht="17" customHeight="1">
      <c r="B923" s="66" t="n"/>
      <c r="C923" s="60" t="n"/>
      <c r="D923" s="86" t="n"/>
      <c r="E923" s="63" t="n"/>
      <c r="F923" s="60" t="n"/>
      <c r="G923" s="60" t="n"/>
      <c r="H923" s="71">
        <f>IF(OR($C923="",$D923=""),"",IF(ISNUMBER($E923),$E923,IF($O923="","",IF(N(INDEX('Menu Pricing'!$O$7:$O$56,$O923))&gt;0,INDEX('Menu Pricing'!$O$7:$O$56,$O923),""))))</f>
        <v/>
      </c>
      <c r="I923" s="71">
        <f>IF($N923&lt;&gt;"OK","",$D923*$H923)</f>
        <v/>
      </c>
      <c r="J923" s="71">
        <f>IF($N923&lt;&gt;"OK","",N(INDEX('Menu Pricing'!$F$7:$F$56,$O923))+N(INDEX('Menu Pricing'!$G$7:$G$56,$O923))+N(INDEX('Menu Pricing'!$J$7:$J$56,$O923)))</f>
        <v/>
      </c>
      <c r="K923" s="71">
        <f>IF($N923&lt;&gt;"OK","",$D923*$J923)</f>
        <v/>
      </c>
      <c r="L923" s="71">
        <f>IF($N923&lt;&gt;"OK","",$I923-$K923)</f>
        <v/>
      </c>
      <c r="M923" s="71">
        <f>IF($N923&lt;&gt;"OK","",$D923*N(INDEX('Menu Pricing'!$F$7:$F$56,$O923)))</f>
        <v/>
      </c>
      <c r="N923" s="80">
        <f>IF(AND($B923="",$C923="",$D923=""),"",IF(NOT(ISNUMBER($B923)),"Enter a valid date",IF($C923="","Pick a menu item",IF($O923="","Item not on Menu Pricing",IF(N($D923)&lt;=0,"Qty must be above 0",IF($H923="","No price on menu","OK"))))))</f>
        <v/>
      </c>
      <c r="O923" s="13">
        <f>IF($C923="","",IFERROR(MATCH($C923,'Menu Pricing'!$B$7:$B$56,0),""))</f>
        <v/>
      </c>
    </row>
    <row r="924" ht="17" customHeight="1">
      <c r="B924" s="66" t="n"/>
      <c r="C924" s="60" t="n"/>
      <c r="D924" s="86" t="n"/>
      <c r="E924" s="63" t="n"/>
      <c r="F924" s="60" t="n"/>
      <c r="G924" s="60" t="n"/>
      <c r="H924" s="71">
        <f>IF(OR($C924="",$D924=""),"",IF(ISNUMBER($E924),$E924,IF($O924="","",IF(N(INDEX('Menu Pricing'!$O$7:$O$56,$O924))&gt;0,INDEX('Menu Pricing'!$O$7:$O$56,$O924),""))))</f>
        <v/>
      </c>
      <c r="I924" s="71">
        <f>IF($N924&lt;&gt;"OK","",$D924*$H924)</f>
        <v/>
      </c>
      <c r="J924" s="71">
        <f>IF($N924&lt;&gt;"OK","",N(INDEX('Menu Pricing'!$F$7:$F$56,$O924))+N(INDEX('Menu Pricing'!$G$7:$G$56,$O924))+N(INDEX('Menu Pricing'!$J$7:$J$56,$O924)))</f>
        <v/>
      </c>
      <c r="K924" s="71">
        <f>IF($N924&lt;&gt;"OK","",$D924*$J924)</f>
        <v/>
      </c>
      <c r="L924" s="71">
        <f>IF($N924&lt;&gt;"OK","",$I924-$K924)</f>
        <v/>
      </c>
      <c r="M924" s="71">
        <f>IF($N924&lt;&gt;"OK","",$D924*N(INDEX('Menu Pricing'!$F$7:$F$56,$O924)))</f>
        <v/>
      </c>
      <c r="N924" s="80">
        <f>IF(AND($B924="",$C924="",$D924=""),"",IF(NOT(ISNUMBER($B924)),"Enter a valid date",IF($C924="","Pick a menu item",IF($O924="","Item not on Menu Pricing",IF(N($D924)&lt;=0,"Qty must be above 0",IF($H924="","No price on menu","OK"))))))</f>
        <v/>
      </c>
      <c r="O924" s="13">
        <f>IF($C924="","",IFERROR(MATCH($C924,'Menu Pricing'!$B$7:$B$56,0),""))</f>
        <v/>
      </c>
    </row>
    <row r="925" ht="17" customHeight="1">
      <c r="B925" s="66" t="n"/>
      <c r="C925" s="60" t="n"/>
      <c r="D925" s="86" t="n"/>
      <c r="E925" s="63" t="n"/>
      <c r="F925" s="60" t="n"/>
      <c r="G925" s="60" t="n"/>
      <c r="H925" s="71">
        <f>IF(OR($C925="",$D925=""),"",IF(ISNUMBER($E925),$E925,IF($O925="","",IF(N(INDEX('Menu Pricing'!$O$7:$O$56,$O925))&gt;0,INDEX('Menu Pricing'!$O$7:$O$56,$O925),""))))</f>
        <v/>
      </c>
      <c r="I925" s="71">
        <f>IF($N925&lt;&gt;"OK","",$D925*$H925)</f>
        <v/>
      </c>
      <c r="J925" s="71">
        <f>IF($N925&lt;&gt;"OK","",N(INDEX('Menu Pricing'!$F$7:$F$56,$O925))+N(INDEX('Menu Pricing'!$G$7:$G$56,$O925))+N(INDEX('Menu Pricing'!$J$7:$J$56,$O925)))</f>
        <v/>
      </c>
      <c r="K925" s="71">
        <f>IF($N925&lt;&gt;"OK","",$D925*$J925)</f>
        <v/>
      </c>
      <c r="L925" s="71">
        <f>IF($N925&lt;&gt;"OK","",$I925-$K925)</f>
        <v/>
      </c>
      <c r="M925" s="71">
        <f>IF($N925&lt;&gt;"OK","",$D925*N(INDEX('Menu Pricing'!$F$7:$F$56,$O925)))</f>
        <v/>
      </c>
      <c r="N925" s="80">
        <f>IF(AND($B925="",$C925="",$D925=""),"",IF(NOT(ISNUMBER($B925)),"Enter a valid date",IF($C925="","Pick a menu item",IF($O925="","Item not on Menu Pricing",IF(N($D925)&lt;=0,"Qty must be above 0",IF($H925="","No price on menu","OK"))))))</f>
        <v/>
      </c>
      <c r="O925" s="13">
        <f>IF($C925="","",IFERROR(MATCH($C925,'Menu Pricing'!$B$7:$B$56,0),""))</f>
        <v/>
      </c>
    </row>
    <row r="926" ht="17" customHeight="1">
      <c r="B926" s="66" t="n"/>
      <c r="C926" s="60" t="n"/>
      <c r="D926" s="86" t="n"/>
      <c r="E926" s="63" t="n"/>
      <c r="F926" s="60" t="n"/>
      <c r="G926" s="60" t="n"/>
      <c r="H926" s="71">
        <f>IF(OR($C926="",$D926=""),"",IF(ISNUMBER($E926),$E926,IF($O926="","",IF(N(INDEX('Menu Pricing'!$O$7:$O$56,$O926))&gt;0,INDEX('Menu Pricing'!$O$7:$O$56,$O926),""))))</f>
        <v/>
      </c>
      <c r="I926" s="71">
        <f>IF($N926&lt;&gt;"OK","",$D926*$H926)</f>
        <v/>
      </c>
      <c r="J926" s="71">
        <f>IF($N926&lt;&gt;"OK","",N(INDEX('Menu Pricing'!$F$7:$F$56,$O926))+N(INDEX('Menu Pricing'!$G$7:$G$56,$O926))+N(INDEX('Menu Pricing'!$J$7:$J$56,$O926)))</f>
        <v/>
      </c>
      <c r="K926" s="71">
        <f>IF($N926&lt;&gt;"OK","",$D926*$J926)</f>
        <v/>
      </c>
      <c r="L926" s="71">
        <f>IF($N926&lt;&gt;"OK","",$I926-$K926)</f>
        <v/>
      </c>
      <c r="M926" s="71">
        <f>IF($N926&lt;&gt;"OK","",$D926*N(INDEX('Menu Pricing'!$F$7:$F$56,$O926)))</f>
        <v/>
      </c>
      <c r="N926" s="80">
        <f>IF(AND($B926="",$C926="",$D926=""),"",IF(NOT(ISNUMBER($B926)),"Enter a valid date",IF($C926="","Pick a menu item",IF($O926="","Item not on Menu Pricing",IF(N($D926)&lt;=0,"Qty must be above 0",IF($H926="","No price on menu","OK"))))))</f>
        <v/>
      </c>
      <c r="O926" s="13">
        <f>IF($C926="","",IFERROR(MATCH($C926,'Menu Pricing'!$B$7:$B$56,0),""))</f>
        <v/>
      </c>
    </row>
    <row r="927" ht="17" customHeight="1">
      <c r="B927" s="66" t="n"/>
      <c r="C927" s="60" t="n"/>
      <c r="D927" s="86" t="n"/>
      <c r="E927" s="63" t="n"/>
      <c r="F927" s="60" t="n"/>
      <c r="G927" s="60" t="n"/>
      <c r="H927" s="71">
        <f>IF(OR($C927="",$D927=""),"",IF(ISNUMBER($E927),$E927,IF($O927="","",IF(N(INDEX('Menu Pricing'!$O$7:$O$56,$O927))&gt;0,INDEX('Menu Pricing'!$O$7:$O$56,$O927),""))))</f>
        <v/>
      </c>
      <c r="I927" s="71">
        <f>IF($N927&lt;&gt;"OK","",$D927*$H927)</f>
        <v/>
      </c>
      <c r="J927" s="71">
        <f>IF($N927&lt;&gt;"OK","",N(INDEX('Menu Pricing'!$F$7:$F$56,$O927))+N(INDEX('Menu Pricing'!$G$7:$G$56,$O927))+N(INDEX('Menu Pricing'!$J$7:$J$56,$O927)))</f>
        <v/>
      </c>
      <c r="K927" s="71">
        <f>IF($N927&lt;&gt;"OK","",$D927*$J927)</f>
        <v/>
      </c>
      <c r="L927" s="71">
        <f>IF($N927&lt;&gt;"OK","",$I927-$K927)</f>
        <v/>
      </c>
      <c r="M927" s="71">
        <f>IF($N927&lt;&gt;"OK","",$D927*N(INDEX('Menu Pricing'!$F$7:$F$56,$O927)))</f>
        <v/>
      </c>
      <c r="N927" s="80">
        <f>IF(AND($B927="",$C927="",$D927=""),"",IF(NOT(ISNUMBER($B927)),"Enter a valid date",IF($C927="","Pick a menu item",IF($O927="","Item not on Menu Pricing",IF(N($D927)&lt;=0,"Qty must be above 0",IF($H927="","No price on menu","OK"))))))</f>
        <v/>
      </c>
      <c r="O927" s="13">
        <f>IF($C927="","",IFERROR(MATCH($C927,'Menu Pricing'!$B$7:$B$56,0),""))</f>
        <v/>
      </c>
    </row>
    <row r="928" ht="17" customHeight="1">
      <c r="B928" s="66" t="n"/>
      <c r="C928" s="60" t="n"/>
      <c r="D928" s="86" t="n"/>
      <c r="E928" s="63" t="n"/>
      <c r="F928" s="60" t="n"/>
      <c r="G928" s="60" t="n"/>
      <c r="H928" s="71">
        <f>IF(OR($C928="",$D928=""),"",IF(ISNUMBER($E928),$E928,IF($O928="","",IF(N(INDEX('Menu Pricing'!$O$7:$O$56,$O928))&gt;0,INDEX('Menu Pricing'!$O$7:$O$56,$O928),""))))</f>
        <v/>
      </c>
      <c r="I928" s="71">
        <f>IF($N928&lt;&gt;"OK","",$D928*$H928)</f>
        <v/>
      </c>
      <c r="J928" s="71">
        <f>IF($N928&lt;&gt;"OK","",N(INDEX('Menu Pricing'!$F$7:$F$56,$O928))+N(INDEX('Menu Pricing'!$G$7:$G$56,$O928))+N(INDEX('Menu Pricing'!$J$7:$J$56,$O928)))</f>
        <v/>
      </c>
      <c r="K928" s="71">
        <f>IF($N928&lt;&gt;"OK","",$D928*$J928)</f>
        <v/>
      </c>
      <c r="L928" s="71">
        <f>IF($N928&lt;&gt;"OK","",$I928-$K928)</f>
        <v/>
      </c>
      <c r="M928" s="71">
        <f>IF($N928&lt;&gt;"OK","",$D928*N(INDEX('Menu Pricing'!$F$7:$F$56,$O928)))</f>
        <v/>
      </c>
      <c r="N928" s="80">
        <f>IF(AND($B928="",$C928="",$D928=""),"",IF(NOT(ISNUMBER($B928)),"Enter a valid date",IF($C928="","Pick a menu item",IF($O928="","Item not on Menu Pricing",IF(N($D928)&lt;=0,"Qty must be above 0",IF($H928="","No price on menu","OK"))))))</f>
        <v/>
      </c>
      <c r="O928" s="13">
        <f>IF($C928="","",IFERROR(MATCH($C928,'Menu Pricing'!$B$7:$B$56,0),""))</f>
        <v/>
      </c>
    </row>
    <row r="929" ht="17" customHeight="1">
      <c r="B929" s="66" t="n"/>
      <c r="C929" s="60" t="n"/>
      <c r="D929" s="86" t="n"/>
      <c r="E929" s="63" t="n"/>
      <c r="F929" s="60" t="n"/>
      <c r="G929" s="60" t="n"/>
      <c r="H929" s="71">
        <f>IF(OR($C929="",$D929=""),"",IF(ISNUMBER($E929),$E929,IF($O929="","",IF(N(INDEX('Menu Pricing'!$O$7:$O$56,$O929))&gt;0,INDEX('Menu Pricing'!$O$7:$O$56,$O929),""))))</f>
        <v/>
      </c>
      <c r="I929" s="71">
        <f>IF($N929&lt;&gt;"OK","",$D929*$H929)</f>
        <v/>
      </c>
      <c r="J929" s="71">
        <f>IF($N929&lt;&gt;"OK","",N(INDEX('Menu Pricing'!$F$7:$F$56,$O929))+N(INDEX('Menu Pricing'!$G$7:$G$56,$O929))+N(INDEX('Menu Pricing'!$J$7:$J$56,$O929)))</f>
        <v/>
      </c>
      <c r="K929" s="71">
        <f>IF($N929&lt;&gt;"OK","",$D929*$J929)</f>
        <v/>
      </c>
      <c r="L929" s="71">
        <f>IF($N929&lt;&gt;"OK","",$I929-$K929)</f>
        <v/>
      </c>
      <c r="M929" s="71">
        <f>IF($N929&lt;&gt;"OK","",$D929*N(INDEX('Menu Pricing'!$F$7:$F$56,$O929)))</f>
        <v/>
      </c>
      <c r="N929" s="80">
        <f>IF(AND($B929="",$C929="",$D929=""),"",IF(NOT(ISNUMBER($B929)),"Enter a valid date",IF($C929="","Pick a menu item",IF($O929="","Item not on Menu Pricing",IF(N($D929)&lt;=0,"Qty must be above 0",IF($H929="","No price on menu","OK"))))))</f>
        <v/>
      </c>
      <c r="O929" s="13">
        <f>IF($C929="","",IFERROR(MATCH($C929,'Menu Pricing'!$B$7:$B$56,0),""))</f>
        <v/>
      </c>
    </row>
    <row r="930" ht="17" customHeight="1">
      <c r="B930" s="66" t="n"/>
      <c r="C930" s="60" t="n"/>
      <c r="D930" s="86" t="n"/>
      <c r="E930" s="63" t="n"/>
      <c r="F930" s="60" t="n"/>
      <c r="G930" s="60" t="n"/>
      <c r="H930" s="71">
        <f>IF(OR($C930="",$D930=""),"",IF(ISNUMBER($E930),$E930,IF($O930="","",IF(N(INDEX('Menu Pricing'!$O$7:$O$56,$O930))&gt;0,INDEX('Menu Pricing'!$O$7:$O$56,$O930),""))))</f>
        <v/>
      </c>
      <c r="I930" s="71">
        <f>IF($N930&lt;&gt;"OK","",$D930*$H930)</f>
        <v/>
      </c>
      <c r="J930" s="71">
        <f>IF($N930&lt;&gt;"OK","",N(INDEX('Menu Pricing'!$F$7:$F$56,$O930))+N(INDEX('Menu Pricing'!$G$7:$G$56,$O930))+N(INDEX('Menu Pricing'!$J$7:$J$56,$O930)))</f>
        <v/>
      </c>
      <c r="K930" s="71">
        <f>IF($N930&lt;&gt;"OK","",$D930*$J930)</f>
        <v/>
      </c>
      <c r="L930" s="71">
        <f>IF($N930&lt;&gt;"OK","",$I930-$K930)</f>
        <v/>
      </c>
      <c r="M930" s="71">
        <f>IF($N930&lt;&gt;"OK","",$D930*N(INDEX('Menu Pricing'!$F$7:$F$56,$O930)))</f>
        <v/>
      </c>
      <c r="N930" s="80">
        <f>IF(AND($B930="",$C930="",$D930=""),"",IF(NOT(ISNUMBER($B930)),"Enter a valid date",IF($C930="","Pick a menu item",IF($O930="","Item not on Menu Pricing",IF(N($D930)&lt;=0,"Qty must be above 0",IF($H930="","No price on menu","OK"))))))</f>
        <v/>
      </c>
      <c r="O930" s="13">
        <f>IF($C930="","",IFERROR(MATCH($C930,'Menu Pricing'!$B$7:$B$56,0),""))</f>
        <v/>
      </c>
    </row>
    <row r="931" ht="17" customHeight="1">
      <c r="B931" s="66" t="n"/>
      <c r="C931" s="60" t="n"/>
      <c r="D931" s="86" t="n"/>
      <c r="E931" s="63" t="n"/>
      <c r="F931" s="60" t="n"/>
      <c r="G931" s="60" t="n"/>
      <c r="H931" s="71">
        <f>IF(OR($C931="",$D931=""),"",IF(ISNUMBER($E931),$E931,IF($O931="","",IF(N(INDEX('Menu Pricing'!$O$7:$O$56,$O931))&gt;0,INDEX('Menu Pricing'!$O$7:$O$56,$O931),""))))</f>
        <v/>
      </c>
      <c r="I931" s="71">
        <f>IF($N931&lt;&gt;"OK","",$D931*$H931)</f>
        <v/>
      </c>
      <c r="J931" s="71">
        <f>IF($N931&lt;&gt;"OK","",N(INDEX('Menu Pricing'!$F$7:$F$56,$O931))+N(INDEX('Menu Pricing'!$G$7:$G$56,$O931))+N(INDEX('Menu Pricing'!$J$7:$J$56,$O931)))</f>
        <v/>
      </c>
      <c r="K931" s="71">
        <f>IF($N931&lt;&gt;"OK","",$D931*$J931)</f>
        <v/>
      </c>
      <c r="L931" s="71">
        <f>IF($N931&lt;&gt;"OK","",$I931-$K931)</f>
        <v/>
      </c>
      <c r="M931" s="71">
        <f>IF($N931&lt;&gt;"OK","",$D931*N(INDEX('Menu Pricing'!$F$7:$F$56,$O931)))</f>
        <v/>
      </c>
      <c r="N931" s="80">
        <f>IF(AND($B931="",$C931="",$D931=""),"",IF(NOT(ISNUMBER($B931)),"Enter a valid date",IF($C931="","Pick a menu item",IF($O931="","Item not on Menu Pricing",IF(N($D931)&lt;=0,"Qty must be above 0",IF($H931="","No price on menu","OK"))))))</f>
        <v/>
      </c>
      <c r="O931" s="13">
        <f>IF($C931="","",IFERROR(MATCH($C931,'Menu Pricing'!$B$7:$B$56,0),""))</f>
        <v/>
      </c>
    </row>
    <row r="932" ht="17" customHeight="1">
      <c r="B932" s="66" t="n"/>
      <c r="C932" s="60" t="n"/>
      <c r="D932" s="86" t="n"/>
      <c r="E932" s="63" t="n"/>
      <c r="F932" s="60" t="n"/>
      <c r="G932" s="60" t="n"/>
      <c r="H932" s="71">
        <f>IF(OR($C932="",$D932=""),"",IF(ISNUMBER($E932),$E932,IF($O932="","",IF(N(INDEX('Menu Pricing'!$O$7:$O$56,$O932))&gt;0,INDEX('Menu Pricing'!$O$7:$O$56,$O932),""))))</f>
        <v/>
      </c>
      <c r="I932" s="71">
        <f>IF($N932&lt;&gt;"OK","",$D932*$H932)</f>
        <v/>
      </c>
      <c r="J932" s="71">
        <f>IF($N932&lt;&gt;"OK","",N(INDEX('Menu Pricing'!$F$7:$F$56,$O932))+N(INDEX('Menu Pricing'!$G$7:$G$56,$O932))+N(INDEX('Menu Pricing'!$J$7:$J$56,$O932)))</f>
        <v/>
      </c>
      <c r="K932" s="71">
        <f>IF($N932&lt;&gt;"OK","",$D932*$J932)</f>
        <v/>
      </c>
      <c r="L932" s="71">
        <f>IF($N932&lt;&gt;"OK","",$I932-$K932)</f>
        <v/>
      </c>
      <c r="M932" s="71">
        <f>IF($N932&lt;&gt;"OK","",$D932*N(INDEX('Menu Pricing'!$F$7:$F$56,$O932)))</f>
        <v/>
      </c>
      <c r="N932" s="80">
        <f>IF(AND($B932="",$C932="",$D932=""),"",IF(NOT(ISNUMBER($B932)),"Enter a valid date",IF($C932="","Pick a menu item",IF($O932="","Item not on Menu Pricing",IF(N($D932)&lt;=0,"Qty must be above 0",IF($H932="","No price on menu","OK"))))))</f>
        <v/>
      </c>
      <c r="O932" s="13">
        <f>IF($C932="","",IFERROR(MATCH($C932,'Menu Pricing'!$B$7:$B$56,0),""))</f>
        <v/>
      </c>
    </row>
    <row r="933" ht="17" customHeight="1">
      <c r="B933" s="66" t="n"/>
      <c r="C933" s="60" t="n"/>
      <c r="D933" s="86" t="n"/>
      <c r="E933" s="63" t="n"/>
      <c r="F933" s="60" t="n"/>
      <c r="G933" s="60" t="n"/>
      <c r="H933" s="71">
        <f>IF(OR($C933="",$D933=""),"",IF(ISNUMBER($E933),$E933,IF($O933="","",IF(N(INDEX('Menu Pricing'!$O$7:$O$56,$O933))&gt;0,INDEX('Menu Pricing'!$O$7:$O$56,$O933),""))))</f>
        <v/>
      </c>
      <c r="I933" s="71">
        <f>IF($N933&lt;&gt;"OK","",$D933*$H933)</f>
        <v/>
      </c>
      <c r="J933" s="71">
        <f>IF($N933&lt;&gt;"OK","",N(INDEX('Menu Pricing'!$F$7:$F$56,$O933))+N(INDEX('Menu Pricing'!$G$7:$G$56,$O933))+N(INDEX('Menu Pricing'!$J$7:$J$56,$O933)))</f>
        <v/>
      </c>
      <c r="K933" s="71">
        <f>IF($N933&lt;&gt;"OK","",$D933*$J933)</f>
        <v/>
      </c>
      <c r="L933" s="71">
        <f>IF($N933&lt;&gt;"OK","",$I933-$K933)</f>
        <v/>
      </c>
      <c r="M933" s="71">
        <f>IF($N933&lt;&gt;"OK","",$D933*N(INDEX('Menu Pricing'!$F$7:$F$56,$O933)))</f>
        <v/>
      </c>
      <c r="N933" s="80">
        <f>IF(AND($B933="",$C933="",$D933=""),"",IF(NOT(ISNUMBER($B933)),"Enter a valid date",IF($C933="","Pick a menu item",IF($O933="","Item not on Menu Pricing",IF(N($D933)&lt;=0,"Qty must be above 0",IF($H933="","No price on menu","OK"))))))</f>
        <v/>
      </c>
      <c r="O933" s="13">
        <f>IF($C933="","",IFERROR(MATCH($C933,'Menu Pricing'!$B$7:$B$56,0),""))</f>
        <v/>
      </c>
    </row>
    <row r="934" ht="17" customHeight="1">
      <c r="B934" s="66" t="n"/>
      <c r="C934" s="60" t="n"/>
      <c r="D934" s="86" t="n"/>
      <c r="E934" s="63" t="n"/>
      <c r="F934" s="60" t="n"/>
      <c r="G934" s="60" t="n"/>
      <c r="H934" s="71">
        <f>IF(OR($C934="",$D934=""),"",IF(ISNUMBER($E934),$E934,IF($O934="","",IF(N(INDEX('Menu Pricing'!$O$7:$O$56,$O934))&gt;0,INDEX('Menu Pricing'!$O$7:$O$56,$O934),""))))</f>
        <v/>
      </c>
      <c r="I934" s="71">
        <f>IF($N934&lt;&gt;"OK","",$D934*$H934)</f>
        <v/>
      </c>
      <c r="J934" s="71">
        <f>IF($N934&lt;&gt;"OK","",N(INDEX('Menu Pricing'!$F$7:$F$56,$O934))+N(INDEX('Menu Pricing'!$G$7:$G$56,$O934))+N(INDEX('Menu Pricing'!$J$7:$J$56,$O934)))</f>
        <v/>
      </c>
      <c r="K934" s="71">
        <f>IF($N934&lt;&gt;"OK","",$D934*$J934)</f>
        <v/>
      </c>
      <c r="L934" s="71">
        <f>IF($N934&lt;&gt;"OK","",$I934-$K934)</f>
        <v/>
      </c>
      <c r="M934" s="71">
        <f>IF($N934&lt;&gt;"OK","",$D934*N(INDEX('Menu Pricing'!$F$7:$F$56,$O934)))</f>
        <v/>
      </c>
      <c r="N934" s="80">
        <f>IF(AND($B934="",$C934="",$D934=""),"",IF(NOT(ISNUMBER($B934)),"Enter a valid date",IF($C934="","Pick a menu item",IF($O934="","Item not on Menu Pricing",IF(N($D934)&lt;=0,"Qty must be above 0",IF($H934="","No price on menu","OK"))))))</f>
        <v/>
      </c>
      <c r="O934" s="13">
        <f>IF($C934="","",IFERROR(MATCH($C934,'Menu Pricing'!$B$7:$B$56,0),""))</f>
        <v/>
      </c>
    </row>
    <row r="935" ht="17" customHeight="1">
      <c r="B935" s="66" t="n"/>
      <c r="C935" s="60" t="n"/>
      <c r="D935" s="86" t="n"/>
      <c r="E935" s="63" t="n"/>
      <c r="F935" s="60" t="n"/>
      <c r="G935" s="60" t="n"/>
      <c r="H935" s="71">
        <f>IF(OR($C935="",$D935=""),"",IF(ISNUMBER($E935),$E935,IF($O935="","",IF(N(INDEX('Menu Pricing'!$O$7:$O$56,$O935))&gt;0,INDEX('Menu Pricing'!$O$7:$O$56,$O935),""))))</f>
        <v/>
      </c>
      <c r="I935" s="71">
        <f>IF($N935&lt;&gt;"OK","",$D935*$H935)</f>
        <v/>
      </c>
      <c r="J935" s="71">
        <f>IF($N935&lt;&gt;"OK","",N(INDEX('Menu Pricing'!$F$7:$F$56,$O935))+N(INDEX('Menu Pricing'!$G$7:$G$56,$O935))+N(INDEX('Menu Pricing'!$J$7:$J$56,$O935)))</f>
        <v/>
      </c>
      <c r="K935" s="71">
        <f>IF($N935&lt;&gt;"OK","",$D935*$J935)</f>
        <v/>
      </c>
      <c r="L935" s="71">
        <f>IF($N935&lt;&gt;"OK","",$I935-$K935)</f>
        <v/>
      </c>
      <c r="M935" s="71">
        <f>IF($N935&lt;&gt;"OK","",$D935*N(INDEX('Menu Pricing'!$F$7:$F$56,$O935)))</f>
        <v/>
      </c>
      <c r="N935" s="80">
        <f>IF(AND($B935="",$C935="",$D935=""),"",IF(NOT(ISNUMBER($B935)),"Enter a valid date",IF($C935="","Pick a menu item",IF($O935="","Item not on Menu Pricing",IF(N($D935)&lt;=0,"Qty must be above 0",IF($H935="","No price on menu","OK"))))))</f>
        <v/>
      </c>
      <c r="O935" s="13">
        <f>IF($C935="","",IFERROR(MATCH($C935,'Menu Pricing'!$B$7:$B$56,0),""))</f>
        <v/>
      </c>
    </row>
    <row r="936" ht="17" customHeight="1">
      <c r="B936" s="66" t="n"/>
      <c r="C936" s="60" t="n"/>
      <c r="D936" s="86" t="n"/>
      <c r="E936" s="63" t="n"/>
      <c r="F936" s="60" t="n"/>
      <c r="G936" s="60" t="n"/>
      <c r="H936" s="71">
        <f>IF(OR($C936="",$D936=""),"",IF(ISNUMBER($E936),$E936,IF($O936="","",IF(N(INDEX('Menu Pricing'!$O$7:$O$56,$O936))&gt;0,INDEX('Menu Pricing'!$O$7:$O$56,$O936),""))))</f>
        <v/>
      </c>
      <c r="I936" s="71">
        <f>IF($N936&lt;&gt;"OK","",$D936*$H936)</f>
        <v/>
      </c>
      <c r="J936" s="71">
        <f>IF($N936&lt;&gt;"OK","",N(INDEX('Menu Pricing'!$F$7:$F$56,$O936))+N(INDEX('Menu Pricing'!$G$7:$G$56,$O936))+N(INDEX('Menu Pricing'!$J$7:$J$56,$O936)))</f>
        <v/>
      </c>
      <c r="K936" s="71">
        <f>IF($N936&lt;&gt;"OK","",$D936*$J936)</f>
        <v/>
      </c>
      <c r="L936" s="71">
        <f>IF($N936&lt;&gt;"OK","",$I936-$K936)</f>
        <v/>
      </c>
      <c r="M936" s="71">
        <f>IF($N936&lt;&gt;"OK","",$D936*N(INDEX('Menu Pricing'!$F$7:$F$56,$O936)))</f>
        <v/>
      </c>
      <c r="N936" s="80">
        <f>IF(AND($B936="",$C936="",$D936=""),"",IF(NOT(ISNUMBER($B936)),"Enter a valid date",IF($C936="","Pick a menu item",IF($O936="","Item not on Menu Pricing",IF(N($D936)&lt;=0,"Qty must be above 0",IF($H936="","No price on menu","OK"))))))</f>
        <v/>
      </c>
      <c r="O936" s="13">
        <f>IF($C936="","",IFERROR(MATCH($C936,'Menu Pricing'!$B$7:$B$56,0),""))</f>
        <v/>
      </c>
    </row>
    <row r="937" ht="17" customHeight="1">
      <c r="B937" s="66" t="n"/>
      <c r="C937" s="60" t="n"/>
      <c r="D937" s="86" t="n"/>
      <c r="E937" s="63" t="n"/>
      <c r="F937" s="60" t="n"/>
      <c r="G937" s="60" t="n"/>
      <c r="H937" s="71">
        <f>IF(OR($C937="",$D937=""),"",IF(ISNUMBER($E937),$E937,IF($O937="","",IF(N(INDEX('Menu Pricing'!$O$7:$O$56,$O937))&gt;0,INDEX('Menu Pricing'!$O$7:$O$56,$O937),""))))</f>
        <v/>
      </c>
      <c r="I937" s="71">
        <f>IF($N937&lt;&gt;"OK","",$D937*$H937)</f>
        <v/>
      </c>
      <c r="J937" s="71">
        <f>IF($N937&lt;&gt;"OK","",N(INDEX('Menu Pricing'!$F$7:$F$56,$O937))+N(INDEX('Menu Pricing'!$G$7:$G$56,$O937))+N(INDEX('Menu Pricing'!$J$7:$J$56,$O937)))</f>
        <v/>
      </c>
      <c r="K937" s="71">
        <f>IF($N937&lt;&gt;"OK","",$D937*$J937)</f>
        <v/>
      </c>
      <c r="L937" s="71">
        <f>IF($N937&lt;&gt;"OK","",$I937-$K937)</f>
        <v/>
      </c>
      <c r="M937" s="71">
        <f>IF($N937&lt;&gt;"OK","",$D937*N(INDEX('Menu Pricing'!$F$7:$F$56,$O937)))</f>
        <v/>
      </c>
      <c r="N937" s="80">
        <f>IF(AND($B937="",$C937="",$D937=""),"",IF(NOT(ISNUMBER($B937)),"Enter a valid date",IF($C937="","Pick a menu item",IF($O937="","Item not on Menu Pricing",IF(N($D937)&lt;=0,"Qty must be above 0",IF($H937="","No price on menu","OK"))))))</f>
        <v/>
      </c>
      <c r="O937" s="13">
        <f>IF($C937="","",IFERROR(MATCH($C937,'Menu Pricing'!$B$7:$B$56,0),""))</f>
        <v/>
      </c>
    </row>
    <row r="938" ht="17" customHeight="1">
      <c r="B938" s="66" t="n"/>
      <c r="C938" s="60" t="n"/>
      <c r="D938" s="86" t="n"/>
      <c r="E938" s="63" t="n"/>
      <c r="F938" s="60" t="n"/>
      <c r="G938" s="60" t="n"/>
      <c r="H938" s="71">
        <f>IF(OR($C938="",$D938=""),"",IF(ISNUMBER($E938),$E938,IF($O938="","",IF(N(INDEX('Menu Pricing'!$O$7:$O$56,$O938))&gt;0,INDEX('Menu Pricing'!$O$7:$O$56,$O938),""))))</f>
        <v/>
      </c>
      <c r="I938" s="71">
        <f>IF($N938&lt;&gt;"OK","",$D938*$H938)</f>
        <v/>
      </c>
      <c r="J938" s="71">
        <f>IF($N938&lt;&gt;"OK","",N(INDEX('Menu Pricing'!$F$7:$F$56,$O938))+N(INDEX('Menu Pricing'!$G$7:$G$56,$O938))+N(INDEX('Menu Pricing'!$J$7:$J$56,$O938)))</f>
        <v/>
      </c>
      <c r="K938" s="71">
        <f>IF($N938&lt;&gt;"OK","",$D938*$J938)</f>
        <v/>
      </c>
      <c r="L938" s="71">
        <f>IF($N938&lt;&gt;"OK","",$I938-$K938)</f>
        <v/>
      </c>
      <c r="M938" s="71">
        <f>IF($N938&lt;&gt;"OK","",$D938*N(INDEX('Menu Pricing'!$F$7:$F$56,$O938)))</f>
        <v/>
      </c>
      <c r="N938" s="80">
        <f>IF(AND($B938="",$C938="",$D938=""),"",IF(NOT(ISNUMBER($B938)),"Enter a valid date",IF($C938="","Pick a menu item",IF($O938="","Item not on Menu Pricing",IF(N($D938)&lt;=0,"Qty must be above 0",IF($H938="","No price on menu","OK"))))))</f>
        <v/>
      </c>
      <c r="O938" s="13">
        <f>IF($C938="","",IFERROR(MATCH($C938,'Menu Pricing'!$B$7:$B$56,0),""))</f>
        <v/>
      </c>
    </row>
    <row r="939" ht="17" customHeight="1">
      <c r="B939" s="66" t="n"/>
      <c r="C939" s="60" t="n"/>
      <c r="D939" s="86" t="n"/>
      <c r="E939" s="63" t="n"/>
      <c r="F939" s="60" t="n"/>
      <c r="G939" s="60" t="n"/>
      <c r="H939" s="71">
        <f>IF(OR($C939="",$D939=""),"",IF(ISNUMBER($E939),$E939,IF($O939="","",IF(N(INDEX('Menu Pricing'!$O$7:$O$56,$O939))&gt;0,INDEX('Menu Pricing'!$O$7:$O$56,$O939),""))))</f>
        <v/>
      </c>
      <c r="I939" s="71">
        <f>IF($N939&lt;&gt;"OK","",$D939*$H939)</f>
        <v/>
      </c>
      <c r="J939" s="71">
        <f>IF($N939&lt;&gt;"OK","",N(INDEX('Menu Pricing'!$F$7:$F$56,$O939))+N(INDEX('Menu Pricing'!$G$7:$G$56,$O939))+N(INDEX('Menu Pricing'!$J$7:$J$56,$O939)))</f>
        <v/>
      </c>
      <c r="K939" s="71">
        <f>IF($N939&lt;&gt;"OK","",$D939*$J939)</f>
        <v/>
      </c>
      <c r="L939" s="71">
        <f>IF($N939&lt;&gt;"OK","",$I939-$K939)</f>
        <v/>
      </c>
      <c r="M939" s="71">
        <f>IF($N939&lt;&gt;"OK","",$D939*N(INDEX('Menu Pricing'!$F$7:$F$56,$O939)))</f>
        <v/>
      </c>
      <c r="N939" s="80">
        <f>IF(AND($B939="",$C939="",$D939=""),"",IF(NOT(ISNUMBER($B939)),"Enter a valid date",IF($C939="","Pick a menu item",IF($O939="","Item not on Menu Pricing",IF(N($D939)&lt;=0,"Qty must be above 0",IF($H939="","No price on menu","OK"))))))</f>
        <v/>
      </c>
      <c r="O939" s="13">
        <f>IF($C939="","",IFERROR(MATCH($C939,'Menu Pricing'!$B$7:$B$56,0),""))</f>
        <v/>
      </c>
    </row>
    <row r="940" ht="17" customHeight="1">
      <c r="B940" s="66" t="n"/>
      <c r="C940" s="60" t="n"/>
      <c r="D940" s="86" t="n"/>
      <c r="E940" s="63" t="n"/>
      <c r="F940" s="60" t="n"/>
      <c r="G940" s="60" t="n"/>
      <c r="H940" s="71">
        <f>IF(OR($C940="",$D940=""),"",IF(ISNUMBER($E940),$E940,IF($O940="","",IF(N(INDEX('Menu Pricing'!$O$7:$O$56,$O940))&gt;0,INDEX('Menu Pricing'!$O$7:$O$56,$O940),""))))</f>
        <v/>
      </c>
      <c r="I940" s="71">
        <f>IF($N940&lt;&gt;"OK","",$D940*$H940)</f>
        <v/>
      </c>
      <c r="J940" s="71">
        <f>IF($N940&lt;&gt;"OK","",N(INDEX('Menu Pricing'!$F$7:$F$56,$O940))+N(INDEX('Menu Pricing'!$G$7:$G$56,$O940))+N(INDEX('Menu Pricing'!$J$7:$J$56,$O940)))</f>
        <v/>
      </c>
      <c r="K940" s="71">
        <f>IF($N940&lt;&gt;"OK","",$D940*$J940)</f>
        <v/>
      </c>
      <c r="L940" s="71">
        <f>IF($N940&lt;&gt;"OK","",$I940-$K940)</f>
        <v/>
      </c>
      <c r="M940" s="71">
        <f>IF($N940&lt;&gt;"OK","",$D940*N(INDEX('Menu Pricing'!$F$7:$F$56,$O940)))</f>
        <v/>
      </c>
      <c r="N940" s="80">
        <f>IF(AND($B940="",$C940="",$D940=""),"",IF(NOT(ISNUMBER($B940)),"Enter a valid date",IF($C940="","Pick a menu item",IF($O940="","Item not on Menu Pricing",IF(N($D940)&lt;=0,"Qty must be above 0",IF($H940="","No price on menu","OK"))))))</f>
        <v/>
      </c>
      <c r="O940" s="13">
        <f>IF($C940="","",IFERROR(MATCH($C940,'Menu Pricing'!$B$7:$B$56,0),""))</f>
        <v/>
      </c>
    </row>
    <row r="941" ht="17" customHeight="1">
      <c r="B941" s="66" t="n"/>
      <c r="C941" s="60" t="n"/>
      <c r="D941" s="86" t="n"/>
      <c r="E941" s="63" t="n"/>
      <c r="F941" s="60" t="n"/>
      <c r="G941" s="60" t="n"/>
      <c r="H941" s="71">
        <f>IF(OR($C941="",$D941=""),"",IF(ISNUMBER($E941),$E941,IF($O941="","",IF(N(INDEX('Menu Pricing'!$O$7:$O$56,$O941))&gt;0,INDEX('Menu Pricing'!$O$7:$O$56,$O941),""))))</f>
        <v/>
      </c>
      <c r="I941" s="71">
        <f>IF($N941&lt;&gt;"OK","",$D941*$H941)</f>
        <v/>
      </c>
      <c r="J941" s="71">
        <f>IF($N941&lt;&gt;"OK","",N(INDEX('Menu Pricing'!$F$7:$F$56,$O941))+N(INDEX('Menu Pricing'!$G$7:$G$56,$O941))+N(INDEX('Menu Pricing'!$J$7:$J$56,$O941)))</f>
        <v/>
      </c>
      <c r="K941" s="71">
        <f>IF($N941&lt;&gt;"OK","",$D941*$J941)</f>
        <v/>
      </c>
      <c r="L941" s="71">
        <f>IF($N941&lt;&gt;"OK","",$I941-$K941)</f>
        <v/>
      </c>
      <c r="M941" s="71">
        <f>IF($N941&lt;&gt;"OK","",$D941*N(INDEX('Menu Pricing'!$F$7:$F$56,$O941)))</f>
        <v/>
      </c>
      <c r="N941" s="80">
        <f>IF(AND($B941="",$C941="",$D941=""),"",IF(NOT(ISNUMBER($B941)),"Enter a valid date",IF($C941="","Pick a menu item",IF($O941="","Item not on Menu Pricing",IF(N($D941)&lt;=0,"Qty must be above 0",IF($H941="","No price on menu","OK"))))))</f>
        <v/>
      </c>
      <c r="O941" s="13">
        <f>IF($C941="","",IFERROR(MATCH($C941,'Menu Pricing'!$B$7:$B$56,0),""))</f>
        <v/>
      </c>
    </row>
    <row r="942" ht="17" customHeight="1">
      <c r="B942" s="66" t="n"/>
      <c r="C942" s="60" t="n"/>
      <c r="D942" s="86" t="n"/>
      <c r="E942" s="63" t="n"/>
      <c r="F942" s="60" t="n"/>
      <c r="G942" s="60" t="n"/>
      <c r="H942" s="71">
        <f>IF(OR($C942="",$D942=""),"",IF(ISNUMBER($E942),$E942,IF($O942="","",IF(N(INDEX('Menu Pricing'!$O$7:$O$56,$O942))&gt;0,INDEX('Menu Pricing'!$O$7:$O$56,$O942),""))))</f>
        <v/>
      </c>
      <c r="I942" s="71">
        <f>IF($N942&lt;&gt;"OK","",$D942*$H942)</f>
        <v/>
      </c>
      <c r="J942" s="71">
        <f>IF($N942&lt;&gt;"OK","",N(INDEX('Menu Pricing'!$F$7:$F$56,$O942))+N(INDEX('Menu Pricing'!$G$7:$G$56,$O942))+N(INDEX('Menu Pricing'!$J$7:$J$56,$O942)))</f>
        <v/>
      </c>
      <c r="K942" s="71">
        <f>IF($N942&lt;&gt;"OK","",$D942*$J942)</f>
        <v/>
      </c>
      <c r="L942" s="71">
        <f>IF($N942&lt;&gt;"OK","",$I942-$K942)</f>
        <v/>
      </c>
      <c r="M942" s="71">
        <f>IF($N942&lt;&gt;"OK","",$D942*N(INDEX('Menu Pricing'!$F$7:$F$56,$O942)))</f>
        <v/>
      </c>
      <c r="N942" s="80">
        <f>IF(AND($B942="",$C942="",$D942=""),"",IF(NOT(ISNUMBER($B942)),"Enter a valid date",IF($C942="","Pick a menu item",IF($O942="","Item not on Menu Pricing",IF(N($D942)&lt;=0,"Qty must be above 0",IF($H942="","No price on menu","OK"))))))</f>
        <v/>
      </c>
      <c r="O942" s="13">
        <f>IF($C942="","",IFERROR(MATCH($C942,'Menu Pricing'!$B$7:$B$56,0),""))</f>
        <v/>
      </c>
    </row>
    <row r="943" ht="17" customHeight="1">
      <c r="B943" s="66" t="n"/>
      <c r="C943" s="60" t="n"/>
      <c r="D943" s="86" t="n"/>
      <c r="E943" s="63" t="n"/>
      <c r="F943" s="60" t="n"/>
      <c r="G943" s="60" t="n"/>
      <c r="H943" s="71">
        <f>IF(OR($C943="",$D943=""),"",IF(ISNUMBER($E943),$E943,IF($O943="","",IF(N(INDEX('Menu Pricing'!$O$7:$O$56,$O943))&gt;0,INDEX('Menu Pricing'!$O$7:$O$56,$O943),""))))</f>
        <v/>
      </c>
      <c r="I943" s="71">
        <f>IF($N943&lt;&gt;"OK","",$D943*$H943)</f>
        <v/>
      </c>
      <c r="J943" s="71">
        <f>IF($N943&lt;&gt;"OK","",N(INDEX('Menu Pricing'!$F$7:$F$56,$O943))+N(INDEX('Menu Pricing'!$G$7:$G$56,$O943))+N(INDEX('Menu Pricing'!$J$7:$J$56,$O943)))</f>
        <v/>
      </c>
      <c r="K943" s="71">
        <f>IF($N943&lt;&gt;"OK","",$D943*$J943)</f>
        <v/>
      </c>
      <c r="L943" s="71">
        <f>IF($N943&lt;&gt;"OK","",$I943-$K943)</f>
        <v/>
      </c>
      <c r="M943" s="71">
        <f>IF($N943&lt;&gt;"OK","",$D943*N(INDEX('Menu Pricing'!$F$7:$F$56,$O943)))</f>
        <v/>
      </c>
      <c r="N943" s="80">
        <f>IF(AND($B943="",$C943="",$D943=""),"",IF(NOT(ISNUMBER($B943)),"Enter a valid date",IF($C943="","Pick a menu item",IF($O943="","Item not on Menu Pricing",IF(N($D943)&lt;=0,"Qty must be above 0",IF($H943="","No price on menu","OK"))))))</f>
        <v/>
      </c>
      <c r="O943" s="13">
        <f>IF($C943="","",IFERROR(MATCH($C943,'Menu Pricing'!$B$7:$B$56,0),""))</f>
        <v/>
      </c>
    </row>
    <row r="944" ht="17" customHeight="1">
      <c r="B944" s="66" t="n"/>
      <c r="C944" s="60" t="n"/>
      <c r="D944" s="86" t="n"/>
      <c r="E944" s="63" t="n"/>
      <c r="F944" s="60" t="n"/>
      <c r="G944" s="60" t="n"/>
      <c r="H944" s="71">
        <f>IF(OR($C944="",$D944=""),"",IF(ISNUMBER($E944),$E944,IF($O944="","",IF(N(INDEX('Menu Pricing'!$O$7:$O$56,$O944))&gt;0,INDEX('Menu Pricing'!$O$7:$O$56,$O944),""))))</f>
        <v/>
      </c>
      <c r="I944" s="71">
        <f>IF($N944&lt;&gt;"OK","",$D944*$H944)</f>
        <v/>
      </c>
      <c r="J944" s="71">
        <f>IF($N944&lt;&gt;"OK","",N(INDEX('Menu Pricing'!$F$7:$F$56,$O944))+N(INDEX('Menu Pricing'!$G$7:$G$56,$O944))+N(INDEX('Menu Pricing'!$J$7:$J$56,$O944)))</f>
        <v/>
      </c>
      <c r="K944" s="71">
        <f>IF($N944&lt;&gt;"OK","",$D944*$J944)</f>
        <v/>
      </c>
      <c r="L944" s="71">
        <f>IF($N944&lt;&gt;"OK","",$I944-$K944)</f>
        <v/>
      </c>
      <c r="M944" s="71">
        <f>IF($N944&lt;&gt;"OK","",$D944*N(INDEX('Menu Pricing'!$F$7:$F$56,$O944)))</f>
        <v/>
      </c>
      <c r="N944" s="80">
        <f>IF(AND($B944="",$C944="",$D944=""),"",IF(NOT(ISNUMBER($B944)),"Enter a valid date",IF($C944="","Pick a menu item",IF($O944="","Item not on Menu Pricing",IF(N($D944)&lt;=0,"Qty must be above 0",IF($H944="","No price on menu","OK"))))))</f>
        <v/>
      </c>
      <c r="O944" s="13">
        <f>IF($C944="","",IFERROR(MATCH($C944,'Menu Pricing'!$B$7:$B$56,0),""))</f>
        <v/>
      </c>
    </row>
    <row r="945" ht="17" customHeight="1">
      <c r="B945" s="66" t="n"/>
      <c r="C945" s="60" t="n"/>
      <c r="D945" s="86" t="n"/>
      <c r="E945" s="63" t="n"/>
      <c r="F945" s="60" t="n"/>
      <c r="G945" s="60" t="n"/>
      <c r="H945" s="71">
        <f>IF(OR($C945="",$D945=""),"",IF(ISNUMBER($E945),$E945,IF($O945="","",IF(N(INDEX('Menu Pricing'!$O$7:$O$56,$O945))&gt;0,INDEX('Menu Pricing'!$O$7:$O$56,$O945),""))))</f>
        <v/>
      </c>
      <c r="I945" s="71">
        <f>IF($N945&lt;&gt;"OK","",$D945*$H945)</f>
        <v/>
      </c>
      <c r="J945" s="71">
        <f>IF($N945&lt;&gt;"OK","",N(INDEX('Menu Pricing'!$F$7:$F$56,$O945))+N(INDEX('Menu Pricing'!$G$7:$G$56,$O945))+N(INDEX('Menu Pricing'!$J$7:$J$56,$O945)))</f>
        <v/>
      </c>
      <c r="K945" s="71">
        <f>IF($N945&lt;&gt;"OK","",$D945*$J945)</f>
        <v/>
      </c>
      <c r="L945" s="71">
        <f>IF($N945&lt;&gt;"OK","",$I945-$K945)</f>
        <v/>
      </c>
      <c r="M945" s="71">
        <f>IF($N945&lt;&gt;"OK","",$D945*N(INDEX('Menu Pricing'!$F$7:$F$56,$O945)))</f>
        <v/>
      </c>
      <c r="N945" s="80">
        <f>IF(AND($B945="",$C945="",$D945=""),"",IF(NOT(ISNUMBER($B945)),"Enter a valid date",IF($C945="","Pick a menu item",IF($O945="","Item not on Menu Pricing",IF(N($D945)&lt;=0,"Qty must be above 0",IF($H945="","No price on menu","OK"))))))</f>
        <v/>
      </c>
      <c r="O945" s="13">
        <f>IF($C945="","",IFERROR(MATCH($C945,'Menu Pricing'!$B$7:$B$56,0),""))</f>
        <v/>
      </c>
    </row>
    <row r="946" ht="17" customHeight="1">
      <c r="B946" s="66" t="n"/>
      <c r="C946" s="60" t="n"/>
      <c r="D946" s="86" t="n"/>
      <c r="E946" s="63" t="n"/>
      <c r="F946" s="60" t="n"/>
      <c r="G946" s="60" t="n"/>
      <c r="H946" s="71">
        <f>IF(OR($C946="",$D946=""),"",IF(ISNUMBER($E946),$E946,IF($O946="","",IF(N(INDEX('Menu Pricing'!$O$7:$O$56,$O946))&gt;0,INDEX('Menu Pricing'!$O$7:$O$56,$O946),""))))</f>
        <v/>
      </c>
      <c r="I946" s="71">
        <f>IF($N946&lt;&gt;"OK","",$D946*$H946)</f>
        <v/>
      </c>
      <c r="J946" s="71">
        <f>IF($N946&lt;&gt;"OK","",N(INDEX('Menu Pricing'!$F$7:$F$56,$O946))+N(INDEX('Menu Pricing'!$G$7:$G$56,$O946))+N(INDEX('Menu Pricing'!$J$7:$J$56,$O946)))</f>
        <v/>
      </c>
      <c r="K946" s="71">
        <f>IF($N946&lt;&gt;"OK","",$D946*$J946)</f>
        <v/>
      </c>
      <c r="L946" s="71">
        <f>IF($N946&lt;&gt;"OK","",$I946-$K946)</f>
        <v/>
      </c>
      <c r="M946" s="71">
        <f>IF($N946&lt;&gt;"OK","",$D946*N(INDEX('Menu Pricing'!$F$7:$F$56,$O946)))</f>
        <v/>
      </c>
      <c r="N946" s="80">
        <f>IF(AND($B946="",$C946="",$D946=""),"",IF(NOT(ISNUMBER($B946)),"Enter a valid date",IF($C946="","Pick a menu item",IF($O946="","Item not on Menu Pricing",IF(N($D946)&lt;=0,"Qty must be above 0",IF($H946="","No price on menu","OK"))))))</f>
        <v/>
      </c>
      <c r="O946" s="13">
        <f>IF($C946="","",IFERROR(MATCH($C946,'Menu Pricing'!$B$7:$B$56,0),""))</f>
        <v/>
      </c>
    </row>
    <row r="947" ht="17" customHeight="1">
      <c r="B947" s="66" t="n"/>
      <c r="C947" s="60" t="n"/>
      <c r="D947" s="86" t="n"/>
      <c r="E947" s="63" t="n"/>
      <c r="F947" s="60" t="n"/>
      <c r="G947" s="60" t="n"/>
      <c r="H947" s="71">
        <f>IF(OR($C947="",$D947=""),"",IF(ISNUMBER($E947),$E947,IF($O947="","",IF(N(INDEX('Menu Pricing'!$O$7:$O$56,$O947))&gt;0,INDEX('Menu Pricing'!$O$7:$O$56,$O947),""))))</f>
        <v/>
      </c>
      <c r="I947" s="71">
        <f>IF($N947&lt;&gt;"OK","",$D947*$H947)</f>
        <v/>
      </c>
      <c r="J947" s="71">
        <f>IF($N947&lt;&gt;"OK","",N(INDEX('Menu Pricing'!$F$7:$F$56,$O947))+N(INDEX('Menu Pricing'!$G$7:$G$56,$O947))+N(INDEX('Menu Pricing'!$J$7:$J$56,$O947)))</f>
        <v/>
      </c>
      <c r="K947" s="71">
        <f>IF($N947&lt;&gt;"OK","",$D947*$J947)</f>
        <v/>
      </c>
      <c r="L947" s="71">
        <f>IF($N947&lt;&gt;"OK","",$I947-$K947)</f>
        <v/>
      </c>
      <c r="M947" s="71">
        <f>IF($N947&lt;&gt;"OK","",$D947*N(INDEX('Menu Pricing'!$F$7:$F$56,$O947)))</f>
        <v/>
      </c>
      <c r="N947" s="80">
        <f>IF(AND($B947="",$C947="",$D947=""),"",IF(NOT(ISNUMBER($B947)),"Enter a valid date",IF($C947="","Pick a menu item",IF($O947="","Item not on Menu Pricing",IF(N($D947)&lt;=0,"Qty must be above 0",IF($H947="","No price on menu","OK"))))))</f>
        <v/>
      </c>
      <c r="O947" s="13">
        <f>IF($C947="","",IFERROR(MATCH($C947,'Menu Pricing'!$B$7:$B$56,0),""))</f>
        <v/>
      </c>
    </row>
    <row r="948" ht="17" customHeight="1">
      <c r="B948" s="66" t="n"/>
      <c r="C948" s="60" t="n"/>
      <c r="D948" s="86" t="n"/>
      <c r="E948" s="63" t="n"/>
      <c r="F948" s="60" t="n"/>
      <c r="G948" s="60" t="n"/>
      <c r="H948" s="71">
        <f>IF(OR($C948="",$D948=""),"",IF(ISNUMBER($E948),$E948,IF($O948="","",IF(N(INDEX('Menu Pricing'!$O$7:$O$56,$O948))&gt;0,INDEX('Menu Pricing'!$O$7:$O$56,$O948),""))))</f>
        <v/>
      </c>
      <c r="I948" s="71">
        <f>IF($N948&lt;&gt;"OK","",$D948*$H948)</f>
        <v/>
      </c>
      <c r="J948" s="71">
        <f>IF($N948&lt;&gt;"OK","",N(INDEX('Menu Pricing'!$F$7:$F$56,$O948))+N(INDEX('Menu Pricing'!$G$7:$G$56,$O948))+N(INDEX('Menu Pricing'!$J$7:$J$56,$O948)))</f>
        <v/>
      </c>
      <c r="K948" s="71">
        <f>IF($N948&lt;&gt;"OK","",$D948*$J948)</f>
        <v/>
      </c>
      <c r="L948" s="71">
        <f>IF($N948&lt;&gt;"OK","",$I948-$K948)</f>
        <v/>
      </c>
      <c r="M948" s="71">
        <f>IF($N948&lt;&gt;"OK","",$D948*N(INDEX('Menu Pricing'!$F$7:$F$56,$O948)))</f>
        <v/>
      </c>
      <c r="N948" s="80">
        <f>IF(AND($B948="",$C948="",$D948=""),"",IF(NOT(ISNUMBER($B948)),"Enter a valid date",IF($C948="","Pick a menu item",IF($O948="","Item not on Menu Pricing",IF(N($D948)&lt;=0,"Qty must be above 0",IF($H948="","No price on menu","OK"))))))</f>
        <v/>
      </c>
      <c r="O948" s="13">
        <f>IF($C948="","",IFERROR(MATCH($C948,'Menu Pricing'!$B$7:$B$56,0),""))</f>
        <v/>
      </c>
    </row>
    <row r="949" ht="17" customHeight="1">
      <c r="B949" s="66" t="n"/>
      <c r="C949" s="60" t="n"/>
      <c r="D949" s="86" t="n"/>
      <c r="E949" s="63" t="n"/>
      <c r="F949" s="60" t="n"/>
      <c r="G949" s="60" t="n"/>
      <c r="H949" s="71">
        <f>IF(OR($C949="",$D949=""),"",IF(ISNUMBER($E949),$E949,IF($O949="","",IF(N(INDEX('Menu Pricing'!$O$7:$O$56,$O949))&gt;0,INDEX('Menu Pricing'!$O$7:$O$56,$O949),""))))</f>
        <v/>
      </c>
      <c r="I949" s="71">
        <f>IF($N949&lt;&gt;"OK","",$D949*$H949)</f>
        <v/>
      </c>
      <c r="J949" s="71">
        <f>IF($N949&lt;&gt;"OK","",N(INDEX('Menu Pricing'!$F$7:$F$56,$O949))+N(INDEX('Menu Pricing'!$G$7:$G$56,$O949))+N(INDEX('Menu Pricing'!$J$7:$J$56,$O949)))</f>
        <v/>
      </c>
      <c r="K949" s="71">
        <f>IF($N949&lt;&gt;"OK","",$D949*$J949)</f>
        <v/>
      </c>
      <c r="L949" s="71">
        <f>IF($N949&lt;&gt;"OK","",$I949-$K949)</f>
        <v/>
      </c>
      <c r="M949" s="71">
        <f>IF($N949&lt;&gt;"OK","",$D949*N(INDEX('Menu Pricing'!$F$7:$F$56,$O949)))</f>
        <v/>
      </c>
      <c r="N949" s="80">
        <f>IF(AND($B949="",$C949="",$D949=""),"",IF(NOT(ISNUMBER($B949)),"Enter a valid date",IF($C949="","Pick a menu item",IF($O949="","Item not on Menu Pricing",IF(N($D949)&lt;=0,"Qty must be above 0",IF($H949="","No price on menu","OK"))))))</f>
        <v/>
      </c>
      <c r="O949" s="13">
        <f>IF($C949="","",IFERROR(MATCH($C949,'Menu Pricing'!$B$7:$B$56,0),""))</f>
        <v/>
      </c>
    </row>
    <row r="950" ht="17" customHeight="1">
      <c r="B950" s="66" t="n"/>
      <c r="C950" s="60" t="n"/>
      <c r="D950" s="86" t="n"/>
      <c r="E950" s="63" t="n"/>
      <c r="F950" s="60" t="n"/>
      <c r="G950" s="60" t="n"/>
      <c r="H950" s="71">
        <f>IF(OR($C950="",$D950=""),"",IF(ISNUMBER($E950),$E950,IF($O950="","",IF(N(INDEX('Menu Pricing'!$O$7:$O$56,$O950))&gt;0,INDEX('Menu Pricing'!$O$7:$O$56,$O950),""))))</f>
        <v/>
      </c>
      <c r="I950" s="71">
        <f>IF($N950&lt;&gt;"OK","",$D950*$H950)</f>
        <v/>
      </c>
      <c r="J950" s="71">
        <f>IF($N950&lt;&gt;"OK","",N(INDEX('Menu Pricing'!$F$7:$F$56,$O950))+N(INDEX('Menu Pricing'!$G$7:$G$56,$O950))+N(INDEX('Menu Pricing'!$J$7:$J$56,$O950)))</f>
        <v/>
      </c>
      <c r="K950" s="71">
        <f>IF($N950&lt;&gt;"OK","",$D950*$J950)</f>
        <v/>
      </c>
      <c r="L950" s="71">
        <f>IF($N950&lt;&gt;"OK","",$I950-$K950)</f>
        <v/>
      </c>
      <c r="M950" s="71">
        <f>IF($N950&lt;&gt;"OK","",$D950*N(INDEX('Menu Pricing'!$F$7:$F$56,$O950)))</f>
        <v/>
      </c>
      <c r="N950" s="80">
        <f>IF(AND($B950="",$C950="",$D950=""),"",IF(NOT(ISNUMBER($B950)),"Enter a valid date",IF($C950="","Pick a menu item",IF($O950="","Item not on Menu Pricing",IF(N($D950)&lt;=0,"Qty must be above 0",IF($H950="","No price on menu","OK"))))))</f>
        <v/>
      </c>
      <c r="O950" s="13">
        <f>IF($C950="","",IFERROR(MATCH($C950,'Menu Pricing'!$B$7:$B$56,0),""))</f>
        <v/>
      </c>
    </row>
    <row r="951" ht="17" customHeight="1">
      <c r="B951" s="66" t="n"/>
      <c r="C951" s="60" t="n"/>
      <c r="D951" s="86" t="n"/>
      <c r="E951" s="63" t="n"/>
      <c r="F951" s="60" t="n"/>
      <c r="G951" s="60" t="n"/>
      <c r="H951" s="71">
        <f>IF(OR($C951="",$D951=""),"",IF(ISNUMBER($E951),$E951,IF($O951="","",IF(N(INDEX('Menu Pricing'!$O$7:$O$56,$O951))&gt;0,INDEX('Menu Pricing'!$O$7:$O$56,$O951),""))))</f>
        <v/>
      </c>
      <c r="I951" s="71">
        <f>IF($N951&lt;&gt;"OK","",$D951*$H951)</f>
        <v/>
      </c>
      <c r="J951" s="71">
        <f>IF($N951&lt;&gt;"OK","",N(INDEX('Menu Pricing'!$F$7:$F$56,$O951))+N(INDEX('Menu Pricing'!$G$7:$G$56,$O951))+N(INDEX('Menu Pricing'!$J$7:$J$56,$O951)))</f>
        <v/>
      </c>
      <c r="K951" s="71">
        <f>IF($N951&lt;&gt;"OK","",$D951*$J951)</f>
        <v/>
      </c>
      <c r="L951" s="71">
        <f>IF($N951&lt;&gt;"OK","",$I951-$K951)</f>
        <v/>
      </c>
      <c r="M951" s="71">
        <f>IF($N951&lt;&gt;"OK","",$D951*N(INDEX('Menu Pricing'!$F$7:$F$56,$O951)))</f>
        <v/>
      </c>
      <c r="N951" s="80">
        <f>IF(AND($B951="",$C951="",$D951=""),"",IF(NOT(ISNUMBER($B951)),"Enter a valid date",IF($C951="","Pick a menu item",IF($O951="","Item not on Menu Pricing",IF(N($D951)&lt;=0,"Qty must be above 0",IF($H951="","No price on menu","OK"))))))</f>
        <v/>
      </c>
      <c r="O951" s="13">
        <f>IF($C951="","",IFERROR(MATCH($C951,'Menu Pricing'!$B$7:$B$56,0),""))</f>
        <v/>
      </c>
    </row>
    <row r="952" ht="17" customHeight="1">
      <c r="B952" s="66" t="n"/>
      <c r="C952" s="60" t="n"/>
      <c r="D952" s="86" t="n"/>
      <c r="E952" s="63" t="n"/>
      <c r="F952" s="60" t="n"/>
      <c r="G952" s="60" t="n"/>
      <c r="H952" s="71">
        <f>IF(OR($C952="",$D952=""),"",IF(ISNUMBER($E952),$E952,IF($O952="","",IF(N(INDEX('Menu Pricing'!$O$7:$O$56,$O952))&gt;0,INDEX('Menu Pricing'!$O$7:$O$56,$O952),""))))</f>
        <v/>
      </c>
      <c r="I952" s="71">
        <f>IF($N952&lt;&gt;"OK","",$D952*$H952)</f>
        <v/>
      </c>
      <c r="J952" s="71">
        <f>IF($N952&lt;&gt;"OK","",N(INDEX('Menu Pricing'!$F$7:$F$56,$O952))+N(INDEX('Menu Pricing'!$G$7:$G$56,$O952))+N(INDEX('Menu Pricing'!$J$7:$J$56,$O952)))</f>
        <v/>
      </c>
      <c r="K952" s="71">
        <f>IF($N952&lt;&gt;"OK","",$D952*$J952)</f>
        <v/>
      </c>
      <c r="L952" s="71">
        <f>IF($N952&lt;&gt;"OK","",$I952-$K952)</f>
        <v/>
      </c>
      <c r="M952" s="71">
        <f>IF($N952&lt;&gt;"OK","",$D952*N(INDEX('Menu Pricing'!$F$7:$F$56,$O952)))</f>
        <v/>
      </c>
      <c r="N952" s="80">
        <f>IF(AND($B952="",$C952="",$D952=""),"",IF(NOT(ISNUMBER($B952)),"Enter a valid date",IF($C952="","Pick a menu item",IF($O952="","Item not on Menu Pricing",IF(N($D952)&lt;=0,"Qty must be above 0",IF($H952="","No price on menu","OK"))))))</f>
        <v/>
      </c>
      <c r="O952" s="13">
        <f>IF($C952="","",IFERROR(MATCH($C952,'Menu Pricing'!$B$7:$B$56,0),""))</f>
        <v/>
      </c>
    </row>
    <row r="953" ht="17" customHeight="1">
      <c r="B953" s="66" t="n"/>
      <c r="C953" s="60" t="n"/>
      <c r="D953" s="86" t="n"/>
      <c r="E953" s="63" t="n"/>
      <c r="F953" s="60" t="n"/>
      <c r="G953" s="60" t="n"/>
      <c r="H953" s="71">
        <f>IF(OR($C953="",$D953=""),"",IF(ISNUMBER($E953),$E953,IF($O953="","",IF(N(INDEX('Menu Pricing'!$O$7:$O$56,$O953))&gt;0,INDEX('Menu Pricing'!$O$7:$O$56,$O953),""))))</f>
        <v/>
      </c>
      <c r="I953" s="71">
        <f>IF($N953&lt;&gt;"OK","",$D953*$H953)</f>
        <v/>
      </c>
      <c r="J953" s="71">
        <f>IF($N953&lt;&gt;"OK","",N(INDEX('Menu Pricing'!$F$7:$F$56,$O953))+N(INDEX('Menu Pricing'!$G$7:$G$56,$O953))+N(INDEX('Menu Pricing'!$J$7:$J$56,$O953)))</f>
        <v/>
      </c>
      <c r="K953" s="71">
        <f>IF($N953&lt;&gt;"OK","",$D953*$J953)</f>
        <v/>
      </c>
      <c r="L953" s="71">
        <f>IF($N953&lt;&gt;"OK","",$I953-$K953)</f>
        <v/>
      </c>
      <c r="M953" s="71">
        <f>IF($N953&lt;&gt;"OK","",$D953*N(INDEX('Menu Pricing'!$F$7:$F$56,$O953)))</f>
        <v/>
      </c>
      <c r="N953" s="80">
        <f>IF(AND($B953="",$C953="",$D953=""),"",IF(NOT(ISNUMBER($B953)),"Enter a valid date",IF($C953="","Pick a menu item",IF($O953="","Item not on Menu Pricing",IF(N($D953)&lt;=0,"Qty must be above 0",IF($H953="","No price on menu","OK"))))))</f>
        <v/>
      </c>
      <c r="O953" s="13">
        <f>IF($C953="","",IFERROR(MATCH($C953,'Menu Pricing'!$B$7:$B$56,0),""))</f>
        <v/>
      </c>
    </row>
    <row r="954" ht="17" customHeight="1">
      <c r="B954" s="66" t="n"/>
      <c r="C954" s="60" t="n"/>
      <c r="D954" s="86" t="n"/>
      <c r="E954" s="63" t="n"/>
      <c r="F954" s="60" t="n"/>
      <c r="G954" s="60" t="n"/>
      <c r="H954" s="71">
        <f>IF(OR($C954="",$D954=""),"",IF(ISNUMBER($E954),$E954,IF($O954="","",IF(N(INDEX('Menu Pricing'!$O$7:$O$56,$O954))&gt;0,INDEX('Menu Pricing'!$O$7:$O$56,$O954),""))))</f>
        <v/>
      </c>
      <c r="I954" s="71">
        <f>IF($N954&lt;&gt;"OK","",$D954*$H954)</f>
        <v/>
      </c>
      <c r="J954" s="71">
        <f>IF($N954&lt;&gt;"OK","",N(INDEX('Menu Pricing'!$F$7:$F$56,$O954))+N(INDEX('Menu Pricing'!$G$7:$G$56,$O954))+N(INDEX('Menu Pricing'!$J$7:$J$56,$O954)))</f>
        <v/>
      </c>
      <c r="K954" s="71">
        <f>IF($N954&lt;&gt;"OK","",$D954*$J954)</f>
        <v/>
      </c>
      <c r="L954" s="71">
        <f>IF($N954&lt;&gt;"OK","",$I954-$K954)</f>
        <v/>
      </c>
      <c r="M954" s="71">
        <f>IF($N954&lt;&gt;"OK","",$D954*N(INDEX('Menu Pricing'!$F$7:$F$56,$O954)))</f>
        <v/>
      </c>
      <c r="N954" s="80">
        <f>IF(AND($B954="",$C954="",$D954=""),"",IF(NOT(ISNUMBER($B954)),"Enter a valid date",IF($C954="","Pick a menu item",IF($O954="","Item not on Menu Pricing",IF(N($D954)&lt;=0,"Qty must be above 0",IF($H954="","No price on menu","OK"))))))</f>
        <v/>
      </c>
      <c r="O954" s="13">
        <f>IF($C954="","",IFERROR(MATCH($C954,'Menu Pricing'!$B$7:$B$56,0),""))</f>
        <v/>
      </c>
    </row>
    <row r="955" ht="17" customHeight="1">
      <c r="B955" s="66" t="n"/>
      <c r="C955" s="60" t="n"/>
      <c r="D955" s="86" t="n"/>
      <c r="E955" s="63" t="n"/>
      <c r="F955" s="60" t="n"/>
      <c r="G955" s="60" t="n"/>
      <c r="H955" s="71">
        <f>IF(OR($C955="",$D955=""),"",IF(ISNUMBER($E955),$E955,IF($O955="","",IF(N(INDEX('Menu Pricing'!$O$7:$O$56,$O955))&gt;0,INDEX('Menu Pricing'!$O$7:$O$56,$O955),""))))</f>
        <v/>
      </c>
      <c r="I955" s="71">
        <f>IF($N955&lt;&gt;"OK","",$D955*$H955)</f>
        <v/>
      </c>
      <c r="J955" s="71">
        <f>IF($N955&lt;&gt;"OK","",N(INDEX('Menu Pricing'!$F$7:$F$56,$O955))+N(INDEX('Menu Pricing'!$G$7:$G$56,$O955))+N(INDEX('Menu Pricing'!$J$7:$J$56,$O955)))</f>
        <v/>
      </c>
      <c r="K955" s="71">
        <f>IF($N955&lt;&gt;"OK","",$D955*$J955)</f>
        <v/>
      </c>
      <c r="L955" s="71">
        <f>IF($N955&lt;&gt;"OK","",$I955-$K955)</f>
        <v/>
      </c>
      <c r="M955" s="71">
        <f>IF($N955&lt;&gt;"OK","",$D955*N(INDEX('Menu Pricing'!$F$7:$F$56,$O955)))</f>
        <v/>
      </c>
      <c r="N955" s="80">
        <f>IF(AND($B955="",$C955="",$D955=""),"",IF(NOT(ISNUMBER($B955)),"Enter a valid date",IF($C955="","Pick a menu item",IF($O955="","Item not on Menu Pricing",IF(N($D955)&lt;=0,"Qty must be above 0",IF($H955="","No price on menu","OK"))))))</f>
        <v/>
      </c>
      <c r="O955" s="13">
        <f>IF($C955="","",IFERROR(MATCH($C955,'Menu Pricing'!$B$7:$B$56,0),""))</f>
        <v/>
      </c>
    </row>
    <row r="956" ht="17" customHeight="1">
      <c r="B956" s="66" t="n"/>
      <c r="C956" s="60" t="n"/>
      <c r="D956" s="86" t="n"/>
      <c r="E956" s="63" t="n"/>
      <c r="F956" s="60" t="n"/>
      <c r="G956" s="60" t="n"/>
      <c r="H956" s="71">
        <f>IF(OR($C956="",$D956=""),"",IF(ISNUMBER($E956),$E956,IF($O956="","",IF(N(INDEX('Menu Pricing'!$O$7:$O$56,$O956))&gt;0,INDEX('Menu Pricing'!$O$7:$O$56,$O956),""))))</f>
        <v/>
      </c>
      <c r="I956" s="71">
        <f>IF($N956&lt;&gt;"OK","",$D956*$H956)</f>
        <v/>
      </c>
      <c r="J956" s="71">
        <f>IF($N956&lt;&gt;"OK","",N(INDEX('Menu Pricing'!$F$7:$F$56,$O956))+N(INDEX('Menu Pricing'!$G$7:$G$56,$O956))+N(INDEX('Menu Pricing'!$J$7:$J$56,$O956)))</f>
        <v/>
      </c>
      <c r="K956" s="71">
        <f>IF($N956&lt;&gt;"OK","",$D956*$J956)</f>
        <v/>
      </c>
      <c r="L956" s="71">
        <f>IF($N956&lt;&gt;"OK","",$I956-$K956)</f>
        <v/>
      </c>
      <c r="M956" s="71">
        <f>IF($N956&lt;&gt;"OK","",$D956*N(INDEX('Menu Pricing'!$F$7:$F$56,$O956)))</f>
        <v/>
      </c>
      <c r="N956" s="80">
        <f>IF(AND($B956="",$C956="",$D956=""),"",IF(NOT(ISNUMBER($B956)),"Enter a valid date",IF($C956="","Pick a menu item",IF($O956="","Item not on Menu Pricing",IF(N($D956)&lt;=0,"Qty must be above 0",IF($H956="","No price on menu","OK"))))))</f>
        <v/>
      </c>
      <c r="O956" s="13">
        <f>IF($C956="","",IFERROR(MATCH($C956,'Menu Pricing'!$B$7:$B$56,0),""))</f>
        <v/>
      </c>
    </row>
    <row r="957" ht="17" customHeight="1">
      <c r="B957" s="66" t="n"/>
      <c r="C957" s="60" t="n"/>
      <c r="D957" s="86" t="n"/>
      <c r="E957" s="63" t="n"/>
      <c r="F957" s="60" t="n"/>
      <c r="G957" s="60" t="n"/>
      <c r="H957" s="71">
        <f>IF(OR($C957="",$D957=""),"",IF(ISNUMBER($E957),$E957,IF($O957="","",IF(N(INDEX('Menu Pricing'!$O$7:$O$56,$O957))&gt;0,INDEX('Menu Pricing'!$O$7:$O$56,$O957),""))))</f>
        <v/>
      </c>
      <c r="I957" s="71">
        <f>IF($N957&lt;&gt;"OK","",$D957*$H957)</f>
        <v/>
      </c>
      <c r="J957" s="71">
        <f>IF($N957&lt;&gt;"OK","",N(INDEX('Menu Pricing'!$F$7:$F$56,$O957))+N(INDEX('Menu Pricing'!$G$7:$G$56,$O957))+N(INDEX('Menu Pricing'!$J$7:$J$56,$O957)))</f>
        <v/>
      </c>
      <c r="K957" s="71">
        <f>IF($N957&lt;&gt;"OK","",$D957*$J957)</f>
        <v/>
      </c>
      <c r="L957" s="71">
        <f>IF($N957&lt;&gt;"OK","",$I957-$K957)</f>
        <v/>
      </c>
      <c r="M957" s="71">
        <f>IF($N957&lt;&gt;"OK","",$D957*N(INDEX('Menu Pricing'!$F$7:$F$56,$O957)))</f>
        <v/>
      </c>
      <c r="N957" s="80">
        <f>IF(AND($B957="",$C957="",$D957=""),"",IF(NOT(ISNUMBER($B957)),"Enter a valid date",IF($C957="","Pick a menu item",IF($O957="","Item not on Menu Pricing",IF(N($D957)&lt;=0,"Qty must be above 0",IF($H957="","No price on menu","OK"))))))</f>
        <v/>
      </c>
      <c r="O957" s="13">
        <f>IF($C957="","",IFERROR(MATCH($C957,'Menu Pricing'!$B$7:$B$56,0),""))</f>
        <v/>
      </c>
    </row>
    <row r="958" ht="17" customHeight="1">
      <c r="B958" s="66" t="n"/>
      <c r="C958" s="60" t="n"/>
      <c r="D958" s="86" t="n"/>
      <c r="E958" s="63" t="n"/>
      <c r="F958" s="60" t="n"/>
      <c r="G958" s="60" t="n"/>
      <c r="H958" s="71">
        <f>IF(OR($C958="",$D958=""),"",IF(ISNUMBER($E958),$E958,IF($O958="","",IF(N(INDEX('Menu Pricing'!$O$7:$O$56,$O958))&gt;0,INDEX('Menu Pricing'!$O$7:$O$56,$O958),""))))</f>
        <v/>
      </c>
      <c r="I958" s="71">
        <f>IF($N958&lt;&gt;"OK","",$D958*$H958)</f>
        <v/>
      </c>
      <c r="J958" s="71">
        <f>IF($N958&lt;&gt;"OK","",N(INDEX('Menu Pricing'!$F$7:$F$56,$O958))+N(INDEX('Menu Pricing'!$G$7:$G$56,$O958))+N(INDEX('Menu Pricing'!$J$7:$J$56,$O958)))</f>
        <v/>
      </c>
      <c r="K958" s="71">
        <f>IF($N958&lt;&gt;"OK","",$D958*$J958)</f>
        <v/>
      </c>
      <c r="L958" s="71">
        <f>IF($N958&lt;&gt;"OK","",$I958-$K958)</f>
        <v/>
      </c>
      <c r="M958" s="71">
        <f>IF($N958&lt;&gt;"OK","",$D958*N(INDEX('Menu Pricing'!$F$7:$F$56,$O958)))</f>
        <v/>
      </c>
      <c r="N958" s="80">
        <f>IF(AND($B958="",$C958="",$D958=""),"",IF(NOT(ISNUMBER($B958)),"Enter a valid date",IF($C958="","Pick a menu item",IF($O958="","Item not on Menu Pricing",IF(N($D958)&lt;=0,"Qty must be above 0",IF($H958="","No price on menu","OK"))))))</f>
        <v/>
      </c>
      <c r="O958" s="13">
        <f>IF($C958="","",IFERROR(MATCH($C958,'Menu Pricing'!$B$7:$B$56,0),""))</f>
        <v/>
      </c>
    </row>
    <row r="959" ht="17" customHeight="1">
      <c r="B959" s="66" t="n"/>
      <c r="C959" s="60" t="n"/>
      <c r="D959" s="86" t="n"/>
      <c r="E959" s="63" t="n"/>
      <c r="F959" s="60" t="n"/>
      <c r="G959" s="60" t="n"/>
      <c r="H959" s="71">
        <f>IF(OR($C959="",$D959=""),"",IF(ISNUMBER($E959),$E959,IF($O959="","",IF(N(INDEX('Menu Pricing'!$O$7:$O$56,$O959))&gt;0,INDEX('Menu Pricing'!$O$7:$O$56,$O959),""))))</f>
        <v/>
      </c>
      <c r="I959" s="71">
        <f>IF($N959&lt;&gt;"OK","",$D959*$H959)</f>
        <v/>
      </c>
      <c r="J959" s="71">
        <f>IF($N959&lt;&gt;"OK","",N(INDEX('Menu Pricing'!$F$7:$F$56,$O959))+N(INDEX('Menu Pricing'!$G$7:$G$56,$O959))+N(INDEX('Menu Pricing'!$J$7:$J$56,$O959)))</f>
        <v/>
      </c>
      <c r="K959" s="71">
        <f>IF($N959&lt;&gt;"OK","",$D959*$J959)</f>
        <v/>
      </c>
      <c r="L959" s="71">
        <f>IF($N959&lt;&gt;"OK","",$I959-$K959)</f>
        <v/>
      </c>
      <c r="M959" s="71">
        <f>IF($N959&lt;&gt;"OK","",$D959*N(INDEX('Menu Pricing'!$F$7:$F$56,$O959)))</f>
        <v/>
      </c>
      <c r="N959" s="80">
        <f>IF(AND($B959="",$C959="",$D959=""),"",IF(NOT(ISNUMBER($B959)),"Enter a valid date",IF($C959="","Pick a menu item",IF($O959="","Item not on Menu Pricing",IF(N($D959)&lt;=0,"Qty must be above 0",IF($H959="","No price on menu","OK"))))))</f>
        <v/>
      </c>
      <c r="O959" s="13">
        <f>IF($C959="","",IFERROR(MATCH($C959,'Menu Pricing'!$B$7:$B$56,0),""))</f>
        <v/>
      </c>
    </row>
    <row r="960" ht="17" customHeight="1">
      <c r="B960" s="66" t="n"/>
      <c r="C960" s="60" t="n"/>
      <c r="D960" s="86" t="n"/>
      <c r="E960" s="63" t="n"/>
      <c r="F960" s="60" t="n"/>
      <c r="G960" s="60" t="n"/>
      <c r="H960" s="71">
        <f>IF(OR($C960="",$D960=""),"",IF(ISNUMBER($E960),$E960,IF($O960="","",IF(N(INDEX('Menu Pricing'!$O$7:$O$56,$O960))&gt;0,INDEX('Menu Pricing'!$O$7:$O$56,$O960),""))))</f>
        <v/>
      </c>
      <c r="I960" s="71">
        <f>IF($N960&lt;&gt;"OK","",$D960*$H960)</f>
        <v/>
      </c>
      <c r="J960" s="71">
        <f>IF($N960&lt;&gt;"OK","",N(INDEX('Menu Pricing'!$F$7:$F$56,$O960))+N(INDEX('Menu Pricing'!$G$7:$G$56,$O960))+N(INDEX('Menu Pricing'!$J$7:$J$56,$O960)))</f>
        <v/>
      </c>
      <c r="K960" s="71">
        <f>IF($N960&lt;&gt;"OK","",$D960*$J960)</f>
        <v/>
      </c>
      <c r="L960" s="71">
        <f>IF($N960&lt;&gt;"OK","",$I960-$K960)</f>
        <v/>
      </c>
      <c r="M960" s="71">
        <f>IF($N960&lt;&gt;"OK","",$D960*N(INDEX('Menu Pricing'!$F$7:$F$56,$O960)))</f>
        <v/>
      </c>
      <c r="N960" s="80">
        <f>IF(AND($B960="",$C960="",$D960=""),"",IF(NOT(ISNUMBER($B960)),"Enter a valid date",IF($C960="","Pick a menu item",IF($O960="","Item not on Menu Pricing",IF(N($D960)&lt;=0,"Qty must be above 0",IF($H960="","No price on menu","OK"))))))</f>
        <v/>
      </c>
      <c r="O960" s="13">
        <f>IF($C960="","",IFERROR(MATCH($C960,'Menu Pricing'!$B$7:$B$56,0),""))</f>
        <v/>
      </c>
    </row>
    <row r="961" ht="17" customHeight="1">
      <c r="B961" s="66" t="n"/>
      <c r="C961" s="60" t="n"/>
      <c r="D961" s="86" t="n"/>
      <c r="E961" s="63" t="n"/>
      <c r="F961" s="60" t="n"/>
      <c r="G961" s="60" t="n"/>
      <c r="H961" s="71">
        <f>IF(OR($C961="",$D961=""),"",IF(ISNUMBER($E961),$E961,IF($O961="","",IF(N(INDEX('Menu Pricing'!$O$7:$O$56,$O961))&gt;0,INDEX('Menu Pricing'!$O$7:$O$56,$O961),""))))</f>
        <v/>
      </c>
      <c r="I961" s="71">
        <f>IF($N961&lt;&gt;"OK","",$D961*$H961)</f>
        <v/>
      </c>
      <c r="J961" s="71">
        <f>IF($N961&lt;&gt;"OK","",N(INDEX('Menu Pricing'!$F$7:$F$56,$O961))+N(INDEX('Menu Pricing'!$G$7:$G$56,$O961))+N(INDEX('Menu Pricing'!$J$7:$J$56,$O961)))</f>
        <v/>
      </c>
      <c r="K961" s="71">
        <f>IF($N961&lt;&gt;"OK","",$D961*$J961)</f>
        <v/>
      </c>
      <c r="L961" s="71">
        <f>IF($N961&lt;&gt;"OK","",$I961-$K961)</f>
        <v/>
      </c>
      <c r="M961" s="71">
        <f>IF($N961&lt;&gt;"OK","",$D961*N(INDEX('Menu Pricing'!$F$7:$F$56,$O961)))</f>
        <v/>
      </c>
      <c r="N961" s="80">
        <f>IF(AND($B961="",$C961="",$D961=""),"",IF(NOT(ISNUMBER($B961)),"Enter a valid date",IF($C961="","Pick a menu item",IF($O961="","Item not on Menu Pricing",IF(N($D961)&lt;=0,"Qty must be above 0",IF($H961="","No price on menu","OK"))))))</f>
        <v/>
      </c>
      <c r="O961" s="13">
        <f>IF($C961="","",IFERROR(MATCH($C961,'Menu Pricing'!$B$7:$B$56,0),""))</f>
        <v/>
      </c>
    </row>
    <row r="962" ht="17" customHeight="1">
      <c r="B962" s="66" t="n"/>
      <c r="C962" s="60" t="n"/>
      <c r="D962" s="86" t="n"/>
      <c r="E962" s="63" t="n"/>
      <c r="F962" s="60" t="n"/>
      <c r="G962" s="60" t="n"/>
      <c r="H962" s="71">
        <f>IF(OR($C962="",$D962=""),"",IF(ISNUMBER($E962),$E962,IF($O962="","",IF(N(INDEX('Menu Pricing'!$O$7:$O$56,$O962))&gt;0,INDEX('Menu Pricing'!$O$7:$O$56,$O962),""))))</f>
        <v/>
      </c>
      <c r="I962" s="71">
        <f>IF($N962&lt;&gt;"OK","",$D962*$H962)</f>
        <v/>
      </c>
      <c r="J962" s="71">
        <f>IF($N962&lt;&gt;"OK","",N(INDEX('Menu Pricing'!$F$7:$F$56,$O962))+N(INDEX('Menu Pricing'!$G$7:$G$56,$O962))+N(INDEX('Menu Pricing'!$J$7:$J$56,$O962)))</f>
        <v/>
      </c>
      <c r="K962" s="71">
        <f>IF($N962&lt;&gt;"OK","",$D962*$J962)</f>
        <v/>
      </c>
      <c r="L962" s="71">
        <f>IF($N962&lt;&gt;"OK","",$I962-$K962)</f>
        <v/>
      </c>
      <c r="M962" s="71">
        <f>IF($N962&lt;&gt;"OK","",$D962*N(INDEX('Menu Pricing'!$F$7:$F$56,$O962)))</f>
        <v/>
      </c>
      <c r="N962" s="80">
        <f>IF(AND($B962="",$C962="",$D962=""),"",IF(NOT(ISNUMBER($B962)),"Enter a valid date",IF($C962="","Pick a menu item",IF($O962="","Item not on Menu Pricing",IF(N($D962)&lt;=0,"Qty must be above 0",IF($H962="","No price on menu","OK"))))))</f>
        <v/>
      </c>
      <c r="O962" s="13">
        <f>IF($C962="","",IFERROR(MATCH($C962,'Menu Pricing'!$B$7:$B$56,0),""))</f>
        <v/>
      </c>
    </row>
    <row r="963" ht="17" customHeight="1">
      <c r="B963" s="66" t="n"/>
      <c r="C963" s="60" t="n"/>
      <c r="D963" s="86" t="n"/>
      <c r="E963" s="63" t="n"/>
      <c r="F963" s="60" t="n"/>
      <c r="G963" s="60" t="n"/>
      <c r="H963" s="71">
        <f>IF(OR($C963="",$D963=""),"",IF(ISNUMBER($E963),$E963,IF($O963="","",IF(N(INDEX('Menu Pricing'!$O$7:$O$56,$O963))&gt;0,INDEX('Menu Pricing'!$O$7:$O$56,$O963),""))))</f>
        <v/>
      </c>
      <c r="I963" s="71">
        <f>IF($N963&lt;&gt;"OK","",$D963*$H963)</f>
        <v/>
      </c>
      <c r="J963" s="71">
        <f>IF($N963&lt;&gt;"OK","",N(INDEX('Menu Pricing'!$F$7:$F$56,$O963))+N(INDEX('Menu Pricing'!$G$7:$G$56,$O963))+N(INDEX('Menu Pricing'!$J$7:$J$56,$O963)))</f>
        <v/>
      </c>
      <c r="K963" s="71">
        <f>IF($N963&lt;&gt;"OK","",$D963*$J963)</f>
        <v/>
      </c>
      <c r="L963" s="71">
        <f>IF($N963&lt;&gt;"OK","",$I963-$K963)</f>
        <v/>
      </c>
      <c r="M963" s="71">
        <f>IF($N963&lt;&gt;"OK","",$D963*N(INDEX('Menu Pricing'!$F$7:$F$56,$O963)))</f>
        <v/>
      </c>
      <c r="N963" s="80">
        <f>IF(AND($B963="",$C963="",$D963=""),"",IF(NOT(ISNUMBER($B963)),"Enter a valid date",IF($C963="","Pick a menu item",IF($O963="","Item not on Menu Pricing",IF(N($D963)&lt;=0,"Qty must be above 0",IF($H963="","No price on menu","OK"))))))</f>
        <v/>
      </c>
      <c r="O963" s="13">
        <f>IF($C963="","",IFERROR(MATCH($C963,'Menu Pricing'!$B$7:$B$56,0),""))</f>
        <v/>
      </c>
    </row>
    <row r="964" ht="17" customHeight="1">
      <c r="B964" s="66" t="n"/>
      <c r="C964" s="60" t="n"/>
      <c r="D964" s="86" t="n"/>
      <c r="E964" s="63" t="n"/>
      <c r="F964" s="60" t="n"/>
      <c r="G964" s="60" t="n"/>
      <c r="H964" s="71">
        <f>IF(OR($C964="",$D964=""),"",IF(ISNUMBER($E964),$E964,IF($O964="","",IF(N(INDEX('Menu Pricing'!$O$7:$O$56,$O964))&gt;0,INDEX('Menu Pricing'!$O$7:$O$56,$O964),""))))</f>
        <v/>
      </c>
      <c r="I964" s="71">
        <f>IF($N964&lt;&gt;"OK","",$D964*$H964)</f>
        <v/>
      </c>
      <c r="J964" s="71">
        <f>IF($N964&lt;&gt;"OK","",N(INDEX('Menu Pricing'!$F$7:$F$56,$O964))+N(INDEX('Menu Pricing'!$G$7:$G$56,$O964))+N(INDEX('Menu Pricing'!$J$7:$J$56,$O964)))</f>
        <v/>
      </c>
      <c r="K964" s="71">
        <f>IF($N964&lt;&gt;"OK","",$D964*$J964)</f>
        <v/>
      </c>
      <c r="L964" s="71">
        <f>IF($N964&lt;&gt;"OK","",$I964-$K964)</f>
        <v/>
      </c>
      <c r="M964" s="71">
        <f>IF($N964&lt;&gt;"OK","",$D964*N(INDEX('Menu Pricing'!$F$7:$F$56,$O964)))</f>
        <v/>
      </c>
      <c r="N964" s="80">
        <f>IF(AND($B964="",$C964="",$D964=""),"",IF(NOT(ISNUMBER($B964)),"Enter a valid date",IF($C964="","Pick a menu item",IF($O964="","Item not on Menu Pricing",IF(N($D964)&lt;=0,"Qty must be above 0",IF($H964="","No price on menu","OK"))))))</f>
        <v/>
      </c>
      <c r="O964" s="13">
        <f>IF($C964="","",IFERROR(MATCH($C964,'Menu Pricing'!$B$7:$B$56,0),""))</f>
        <v/>
      </c>
    </row>
    <row r="965" ht="17" customHeight="1">
      <c r="B965" s="66" t="n"/>
      <c r="C965" s="60" t="n"/>
      <c r="D965" s="86" t="n"/>
      <c r="E965" s="63" t="n"/>
      <c r="F965" s="60" t="n"/>
      <c r="G965" s="60" t="n"/>
      <c r="H965" s="71">
        <f>IF(OR($C965="",$D965=""),"",IF(ISNUMBER($E965),$E965,IF($O965="","",IF(N(INDEX('Menu Pricing'!$O$7:$O$56,$O965))&gt;0,INDEX('Menu Pricing'!$O$7:$O$56,$O965),""))))</f>
        <v/>
      </c>
      <c r="I965" s="71">
        <f>IF($N965&lt;&gt;"OK","",$D965*$H965)</f>
        <v/>
      </c>
      <c r="J965" s="71">
        <f>IF($N965&lt;&gt;"OK","",N(INDEX('Menu Pricing'!$F$7:$F$56,$O965))+N(INDEX('Menu Pricing'!$G$7:$G$56,$O965))+N(INDEX('Menu Pricing'!$J$7:$J$56,$O965)))</f>
        <v/>
      </c>
      <c r="K965" s="71">
        <f>IF($N965&lt;&gt;"OK","",$D965*$J965)</f>
        <v/>
      </c>
      <c r="L965" s="71">
        <f>IF($N965&lt;&gt;"OK","",$I965-$K965)</f>
        <v/>
      </c>
      <c r="M965" s="71">
        <f>IF($N965&lt;&gt;"OK","",$D965*N(INDEX('Menu Pricing'!$F$7:$F$56,$O965)))</f>
        <v/>
      </c>
      <c r="N965" s="80">
        <f>IF(AND($B965="",$C965="",$D965=""),"",IF(NOT(ISNUMBER($B965)),"Enter a valid date",IF($C965="","Pick a menu item",IF($O965="","Item not on Menu Pricing",IF(N($D965)&lt;=0,"Qty must be above 0",IF($H965="","No price on menu","OK"))))))</f>
        <v/>
      </c>
      <c r="O965" s="13">
        <f>IF($C965="","",IFERROR(MATCH($C965,'Menu Pricing'!$B$7:$B$56,0),""))</f>
        <v/>
      </c>
    </row>
    <row r="966" ht="17" customHeight="1">
      <c r="B966" s="66" t="n"/>
      <c r="C966" s="60" t="n"/>
      <c r="D966" s="86" t="n"/>
      <c r="E966" s="63" t="n"/>
      <c r="F966" s="60" t="n"/>
      <c r="G966" s="60" t="n"/>
      <c r="H966" s="71">
        <f>IF(OR($C966="",$D966=""),"",IF(ISNUMBER($E966),$E966,IF($O966="","",IF(N(INDEX('Menu Pricing'!$O$7:$O$56,$O966))&gt;0,INDEX('Menu Pricing'!$O$7:$O$56,$O966),""))))</f>
        <v/>
      </c>
      <c r="I966" s="71">
        <f>IF($N966&lt;&gt;"OK","",$D966*$H966)</f>
        <v/>
      </c>
      <c r="J966" s="71">
        <f>IF($N966&lt;&gt;"OK","",N(INDEX('Menu Pricing'!$F$7:$F$56,$O966))+N(INDEX('Menu Pricing'!$G$7:$G$56,$O966))+N(INDEX('Menu Pricing'!$J$7:$J$56,$O966)))</f>
        <v/>
      </c>
      <c r="K966" s="71">
        <f>IF($N966&lt;&gt;"OK","",$D966*$J966)</f>
        <v/>
      </c>
      <c r="L966" s="71">
        <f>IF($N966&lt;&gt;"OK","",$I966-$K966)</f>
        <v/>
      </c>
      <c r="M966" s="71">
        <f>IF($N966&lt;&gt;"OK","",$D966*N(INDEX('Menu Pricing'!$F$7:$F$56,$O966)))</f>
        <v/>
      </c>
      <c r="N966" s="80">
        <f>IF(AND($B966="",$C966="",$D966=""),"",IF(NOT(ISNUMBER($B966)),"Enter a valid date",IF($C966="","Pick a menu item",IF($O966="","Item not on Menu Pricing",IF(N($D966)&lt;=0,"Qty must be above 0",IF($H966="","No price on menu","OK"))))))</f>
        <v/>
      </c>
      <c r="O966" s="13">
        <f>IF($C966="","",IFERROR(MATCH($C966,'Menu Pricing'!$B$7:$B$56,0),""))</f>
        <v/>
      </c>
    </row>
    <row r="967" ht="17" customHeight="1">
      <c r="B967" s="66" t="n"/>
      <c r="C967" s="60" t="n"/>
      <c r="D967" s="86" t="n"/>
      <c r="E967" s="63" t="n"/>
      <c r="F967" s="60" t="n"/>
      <c r="G967" s="60" t="n"/>
      <c r="H967" s="71">
        <f>IF(OR($C967="",$D967=""),"",IF(ISNUMBER($E967),$E967,IF($O967="","",IF(N(INDEX('Menu Pricing'!$O$7:$O$56,$O967))&gt;0,INDEX('Menu Pricing'!$O$7:$O$56,$O967),""))))</f>
        <v/>
      </c>
      <c r="I967" s="71">
        <f>IF($N967&lt;&gt;"OK","",$D967*$H967)</f>
        <v/>
      </c>
      <c r="J967" s="71">
        <f>IF($N967&lt;&gt;"OK","",N(INDEX('Menu Pricing'!$F$7:$F$56,$O967))+N(INDEX('Menu Pricing'!$G$7:$G$56,$O967))+N(INDEX('Menu Pricing'!$J$7:$J$56,$O967)))</f>
        <v/>
      </c>
      <c r="K967" s="71">
        <f>IF($N967&lt;&gt;"OK","",$D967*$J967)</f>
        <v/>
      </c>
      <c r="L967" s="71">
        <f>IF($N967&lt;&gt;"OK","",$I967-$K967)</f>
        <v/>
      </c>
      <c r="M967" s="71">
        <f>IF($N967&lt;&gt;"OK","",$D967*N(INDEX('Menu Pricing'!$F$7:$F$56,$O967)))</f>
        <v/>
      </c>
      <c r="N967" s="80">
        <f>IF(AND($B967="",$C967="",$D967=""),"",IF(NOT(ISNUMBER($B967)),"Enter a valid date",IF($C967="","Pick a menu item",IF($O967="","Item not on Menu Pricing",IF(N($D967)&lt;=0,"Qty must be above 0",IF($H967="","No price on menu","OK"))))))</f>
        <v/>
      </c>
      <c r="O967" s="13">
        <f>IF($C967="","",IFERROR(MATCH($C967,'Menu Pricing'!$B$7:$B$56,0),""))</f>
        <v/>
      </c>
    </row>
    <row r="968" ht="17" customHeight="1">
      <c r="B968" s="66" t="n"/>
      <c r="C968" s="60" t="n"/>
      <c r="D968" s="86" t="n"/>
      <c r="E968" s="63" t="n"/>
      <c r="F968" s="60" t="n"/>
      <c r="G968" s="60" t="n"/>
      <c r="H968" s="71">
        <f>IF(OR($C968="",$D968=""),"",IF(ISNUMBER($E968),$E968,IF($O968="","",IF(N(INDEX('Menu Pricing'!$O$7:$O$56,$O968))&gt;0,INDEX('Menu Pricing'!$O$7:$O$56,$O968),""))))</f>
        <v/>
      </c>
      <c r="I968" s="71">
        <f>IF($N968&lt;&gt;"OK","",$D968*$H968)</f>
        <v/>
      </c>
      <c r="J968" s="71">
        <f>IF($N968&lt;&gt;"OK","",N(INDEX('Menu Pricing'!$F$7:$F$56,$O968))+N(INDEX('Menu Pricing'!$G$7:$G$56,$O968))+N(INDEX('Menu Pricing'!$J$7:$J$56,$O968)))</f>
        <v/>
      </c>
      <c r="K968" s="71">
        <f>IF($N968&lt;&gt;"OK","",$D968*$J968)</f>
        <v/>
      </c>
      <c r="L968" s="71">
        <f>IF($N968&lt;&gt;"OK","",$I968-$K968)</f>
        <v/>
      </c>
      <c r="M968" s="71">
        <f>IF($N968&lt;&gt;"OK","",$D968*N(INDEX('Menu Pricing'!$F$7:$F$56,$O968)))</f>
        <v/>
      </c>
      <c r="N968" s="80">
        <f>IF(AND($B968="",$C968="",$D968=""),"",IF(NOT(ISNUMBER($B968)),"Enter a valid date",IF($C968="","Pick a menu item",IF($O968="","Item not on Menu Pricing",IF(N($D968)&lt;=0,"Qty must be above 0",IF($H968="","No price on menu","OK"))))))</f>
        <v/>
      </c>
      <c r="O968" s="13">
        <f>IF($C968="","",IFERROR(MATCH($C968,'Menu Pricing'!$B$7:$B$56,0),""))</f>
        <v/>
      </c>
    </row>
    <row r="969" ht="17" customHeight="1">
      <c r="B969" s="66" t="n"/>
      <c r="C969" s="60" t="n"/>
      <c r="D969" s="86" t="n"/>
      <c r="E969" s="63" t="n"/>
      <c r="F969" s="60" t="n"/>
      <c r="G969" s="60" t="n"/>
      <c r="H969" s="71">
        <f>IF(OR($C969="",$D969=""),"",IF(ISNUMBER($E969),$E969,IF($O969="","",IF(N(INDEX('Menu Pricing'!$O$7:$O$56,$O969))&gt;0,INDEX('Menu Pricing'!$O$7:$O$56,$O969),""))))</f>
        <v/>
      </c>
      <c r="I969" s="71">
        <f>IF($N969&lt;&gt;"OK","",$D969*$H969)</f>
        <v/>
      </c>
      <c r="J969" s="71">
        <f>IF($N969&lt;&gt;"OK","",N(INDEX('Menu Pricing'!$F$7:$F$56,$O969))+N(INDEX('Menu Pricing'!$G$7:$G$56,$O969))+N(INDEX('Menu Pricing'!$J$7:$J$56,$O969)))</f>
        <v/>
      </c>
      <c r="K969" s="71">
        <f>IF($N969&lt;&gt;"OK","",$D969*$J969)</f>
        <v/>
      </c>
      <c r="L969" s="71">
        <f>IF($N969&lt;&gt;"OK","",$I969-$K969)</f>
        <v/>
      </c>
      <c r="M969" s="71">
        <f>IF($N969&lt;&gt;"OK","",$D969*N(INDEX('Menu Pricing'!$F$7:$F$56,$O969)))</f>
        <v/>
      </c>
      <c r="N969" s="80">
        <f>IF(AND($B969="",$C969="",$D969=""),"",IF(NOT(ISNUMBER($B969)),"Enter a valid date",IF($C969="","Pick a menu item",IF($O969="","Item not on Menu Pricing",IF(N($D969)&lt;=0,"Qty must be above 0",IF($H969="","No price on menu","OK"))))))</f>
        <v/>
      </c>
      <c r="O969" s="13">
        <f>IF($C969="","",IFERROR(MATCH($C969,'Menu Pricing'!$B$7:$B$56,0),""))</f>
        <v/>
      </c>
    </row>
    <row r="970" ht="17" customHeight="1">
      <c r="B970" s="66" t="n"/>
      <c r="C970" s="60" t="n"/>
      <c r="D970" s="86" t="n"/>
      <c r="E970" s="63" t="n"/>
      <c r="F970" s="60" t="n"/>
      <c r="G970" s="60" t="n"/>
      <c r="H970" s="71">
        <f>IF(OR($C970="",$D970=""),"",IF(ISNUMBER($E970),$E970,IF($O970="","",IF(N(INDEX('Menu Pricing'!$O$7:$O$56,$O970))&gt;0,INDEX('Menu Pricing'!$O$7:$O$56,$O970),""))))</f>
        <v/>
      </c>
      <c r="I970" s="71">
        <f>IF($N970&lt;&gt;"OK","",$D970*$H970)</f>
        <v/>
      </c>
      <c r="J970" s="71">
        <f>IF($N970&lt;&gt;"OK","",N(INDEX('Menu Pricing'!$F$7:$F$56,$O970))+N(INDEX('Menu Pricing'!$G$7:$G$56,$O970))+N(INDEX('Menu Pricing'!$J$7:$J$56,$O970)))</f>
        <v/>
      </c>
      <c r="K970" s="71">
        <f>IF($N970&lt;&gt;"OK","",$D970*$J970)</f>
        <v/>
      </c>
      <c r="L970" s="71">
        <f>IF($N970&lt;&gt;"OK","",$I970-$K970)</f>
        <v/>
      </c>
      <c r="M970" s="71">
        <f>IF($N970&lt;&gt;"OK","",$D970*N(INDEX('Menu Pricing'!$F$7:$F$56,$O970)))</f>
        <v/>
      </c>
      <c r="N970" s="80">
        <f>IF(AND($B970="",$C970="",$D970=""),"",IF(NOT(ISNUMBER($B970)),"Enter a valid date",IF($C970="","Pick a menu item",IF($O970="","Item not on Menu Pricing",IF(N($D970)&lt;=0,"Qty must be above 0",IF($H970="","No price on menu","OK"))))))</f>
        <v/>
      </c>
      <c r="O970" s="13">
        <f>IF($C970="","",IFERROR(MATCH($C970,'Menu Pricing'!$B$7:$B$56,0),""))</f>
        <v/>
      </c>
    </row>
    <row r="971" ht="17" customHeight="1">
      <c r="B971" s="66" t="n"/>
      <c r="C971" s="60" t="n"/>
      <c r="D971" s="86" t="n"/>
      <c r="E971" s="63" t="n"/>
      <c r="F971" s="60" t="n"/>
      <c r="G971" s="60" t="n"/>
      <c r="H971" s="71">
        <f>IF(OR($C971="",$D971=""),"",IF(ISNUMBER($E971),$E971,IF($O971="","",IF(N(INDEX('Menu Pricing'!$O$7:$O$56,$O971))&gt;0,INDEX('Menu Pricing'!$O$7:$O$56,$O971),""))))</f>
        <v/>
      </c>
      <c r="I971" s="71">
        <f>IF($N971&lt;&gt;"OK","",$D971*$H971)</f>
        <v/>
      </c>
      <c r="J971" s="71">
        <f>IF($N971&lt;&gt;"OK","",N(INDEX('Menu Pricing'!$F$7:$F$56,$O971))+N(INDEX('Menu Pricing'!$G$7:$G$56,$O971))+N(INDEX('Menu Pricing'!$J$7:$J$56,$O971)))</f>
        <v/>
      </c>
      <c r="K971" s="71">
        <f>IF($N971&lt;&gt;"OK","",$D971*$J971)</f>
        <v/>
      </c>
      <c r="L971" s="71">
        <f>IF($N971&lt;&gt;"OK","",$I971-$K971)</f>
        <v/>
      </c>
      <c r="M971" s="71">
        <f>IF($N971&lt;&gt;"OK","",$D971*N(INDEX('Menu Pricing'!$F$7:$F$56,$O971)))</f>
        <v/>
      </c>
      <c r="N971" s="80">
        <f>IF(AND($B971="",$C971="",$D971=""),"",IF(NOT(ISNUMBER($B971)),"Enter a valid date",IF($C971="","Pick a menu item",IF($O971="","Item not on Menu Pricing",IF(N($D971)&lt;=0,"Qty must be above 0",IF($H971="","No price on menu","OK"))))))</f>
        <v/>
      </c>
      <c r="O971" s="13">
        <f>IF($C971="","",IFERROR(MATCH($C971,'Menu Pricing'!$B$7:$B$56,0),""))</f>
        <v/>
      </c>
    </row>
    <row r="972" ht="17" customHeight="1">
      <c r="B972" s="66" t="n"/>
      <c r="C972" s="60" t="n"/>
      <c r="D972" s="86" t="n"/>
      <c r="E972" s="63" t="n"/>
      <c r="F972" s="60" t="n"/>
      <c r="G972" s="60" t="n"/>
      <c r="H972" s="71">
        <f>IF(OR($C972="",$D972=""),"",IF(ISNUMBER($E972),$E972,IF($O972="","",IF(N(INDEX('Menu Pricing'!$O$7:$O$56,$O972))&gt;0,INDEX('Menu Pricing'!$O$7:$O$56,$O972),""))))</f>
        <v/>
      </c>
      <c r="I972" s="71">
        <f>IF($N972&lt;&gt;"OK","",$D972*$H972)</f>
        <v/>
      </c>
      <c r="J972" s="71">
        <f>IF($N972&lt;&gt;"OK","",N(INDEX('Menu Pricing'!$F$7:$F$56,$O972))+N(INDEX('Menu Pricing'!$G$7:$G$56,$O972))+N(INDEX('Menu Pricing'!$J$7:$J$56,$O972)))</f>
        <v/>
      </c>
      <c r="K972" s="71">
        <f>IF($N972&lt;&gt;"OK","",$D972*$J972)</f>
        <v/>
      </c>
      <c r="L972" s="71">
        <f>IF($N972&lt;&gt;"OK","",$I972-$K972)</f>
        <v/>
      </c>
      <c r="M972" s="71">
        <f>IF($N972&lt;&gt;"OK","",$D972*N(INDEX('Menu Pricing'!$F$7:$F$56,$O972)))</f>
        <v/>
      </c>
      <c r="N972" s="80">
        <f>IF(AND($B972="",$C972="",$D972=""),"",IF(NOT(ISNUMBER($B972)),"Enter a valid date",IF($C972="","Pick a menu item",IF($O972="","Item not on Menu Pricing",IF(N($D972)&lt;=0,"Qty must be above 0",IF($H972="","No price on menu","OK"))))))</f>
        <v/>
      </c>
      <c r="O972" s="13">
        <f>IF($C972="","",IFERROR(MATCH($C972,'Menu Pricing'!$B$7:$B$56,0),""))</f>
        <v/>
      </c>
    </row>
    <row r="973" ht="17" customHeight="1">
      <c r="B973" s="66" t="n"/>
      <c r="C973" s="60" t="n"/>
      <c r="D973" s="86" t="n"/>
      <c r="E973" s="63" t="n"/>
      <c r="F973" s="60" t="n"/>
      <c r="G973" s="60" t="n"/>
      <c r="H973" s="71">
        <f>IF(OR($C973="",$D973=""),"",IF(ISNUMBER($E973),$E973,IF($O973="","",IF(N(INDEX('Menu Pricing'!$O$7:$O$56,$O973))&gt;0,INDEX('Menu Pricing'!$O$7:$O$56,$O973),""))))</f>
        <v/>
      </c>
      <c r="I973" s="71">
        <f>IF($N973&lt;&gt;"OK","",$D973*$H973)</f>
        <v/>
      </c>
      <c r="J973" s="71">
        <f>IF($N973&lt;&gt;"OK","",N(INDEX('Menu Pricing'!$F$7:$F$56,$O973))+N(INDEX('Menu Pricing'!$G$7:$G$56,$O973))+N(INDEX('Menu Pricing'!$J$7:$J$56,$O973)))</f>
        <v/>
      </c>
      <c r="K973" s="71">
        <f>IF($N973&lt;&gt;"OK","",$D973*$J973)</f>
        <v/>
      </c>
      <c r="L973" s="71">
        <f>IF($N973&lt;&gt;"OK","",$I973-$K973)</f>
        <v/>
      </c>
      <c r="M973" s="71">
        <f>IF($N973&lt;&gt;"OK","",$D973*N(INDEX('Menu Pricing'!$F$7:$F$56,$O973)))</f>
        <v/>
      </c>
      <c r="N973" s="80">
        <f>IF(AND($B973="",$C973="",$D973=""),"",IF(NOT(ISNUMBER($B973)),"Enter a valid date",IF($C973="","Pick a menu item",IF($O973="","Item not on Menu Pricing",IF(N($D973)&lt;=0,"Qty must be above 0",IF($H973="","No price on menu","OK"))))))</f>
        <v/>
      </c>
      <c r="O973" s="13">
        <f>IF($C973="","",IFERROR(MATCH($C973,'Menu Pricing'!$B$7:$B$56,0),""))</f>
        <v/>
      </c>
    </row>
    <row r="974" ht="17" customHeight="1">
      <c r="B974" s="66" t="n"/>
      <c r="C974" s="60" t="n"/>
      <c r="D974" s="86" t="n"/>
      <c r="E974" s="63" t="n"/>
      <c r="F974" s="60" t="n"/>
      <c r="G974" s="60" t="n"/>
      <c r="H974" s="71">
        <f>IF(OR($C974="",$D974=""),"",IF(ISNUMBER($E974),$E974,IF($O974="","",IF(N(INDEX('Menu Pricing'!$O$7:$O$56,$O974))&gt;0,INDEX('Menu Pricing'!$O$7:$O$56,$O974),""))))</f>
        <v/>
      </c>
      <c r="I974" s="71">
        <f>IF($N974&lt;&gt;"OK","",$D974*$H974)</f>
        <v/>
      </c>
      <c r="J974" s="71">
        <f>IF($N974&lt;&gt;"OK","",N(INDEX('Menu Pricing'!$F$7:$F$56,$O974))+N(INDEX('Menu Pricing'!$G$7:$G$56,$O974))+N(INDEX('Menu Pricing'!$J$7:$J$56,$O974)))</f>
        <v/>
      </c>
      <c r="K974" s="71">
        <f>IF($N974&lt;&gt;"OK","",$D974*$J974)</f>
        <v/>
      </c>
      <c r="L974" s="71">
        <f>IF($N974&lt;&gt;"OK","",$I974-$K974)</f>
        <v/>
      </c>
      <c r="M974" s="71">
        <f>IF($N974&lt;&gt;"OK","",$D974*N(INDEX('Menu Pricing'!$F$7:$F$56,$O974)))</f>
        <v/>
      </c>
      <c r="N974" s="80">
        <f>IF(AND($B974="",$C974="",$D974=""),"",IF(NOT(ISNUMBER($B974)),"Enter a valid date",IF($C974="","Pick a menu item",IF($O974="","Item not on Menu Pricing",IF(N($D974)&lt;=0,"Qty must be above 0",IF($H974="","No price on menu","OK"))))))</f>
        <v/>
      </c>
      <c r="O974" s="13">
        <f>IF($C974="","",IFERROR(MATCH($C974,'Menu Pricing'!$B$7:$B$56,0),""))</f>
        <v/>
      </c>
    </row>
    <row r="975" ht="17" customHeight="1">
      <c r="B975" s="66" t="n"/>
      <c r="C975" s="60" t="n"/>
      <c r="D975" s="86" t="n"/>
      <c r="E975" s="63" t="n"/>
      <c r="F975" s="60" t="n"/>
      <c r="G975" s="60" t="n"/>
      <c r="H975" s="71">
        <f>IF(OR($C975="",$D975=""),"",IF(ISNUMBER($E975),$E975,IF($O975="","",IF(N(INDEX('Menu Pricing'!$O$7:$O$56,$O975))&gt;0,INDEX('Menu Pricing'!$O$7:$O$56,$O975),""))))</f>
        <v/>
      </c>
      <c r="I975" s="71">
        <f>IF($N975&lt;&gt;"OK","",$D975*$H975)</f>
        <v/>
      </c>
      <c r="J975" s="71">
        <f>IF($N975&lt;&gt;"OK","",N(INDEX('Menu Pricing'!$F$7:$F$56,$O975))+N(INDEX('Menu Pricing'!$G$7:$G$56,$O975))+N(INDEX('Menu Pricing'!$J$7:$J$56,$O975)))</f>
        <v/>
      </c>
      <c r="K975" s="71">
        <f>IF($N975&lt;&gt;"OK","",$D975*$J975)</f>
        <v/>
      </c>
      <c r="L975" s="71">
        <f>IF($N975&lt;&gt;"OK","",$I975-$K975)</f>
        <v/>
      </c>
      <c r="M975" s="71">
        <f>IF($N975&lt;&gt;"OK","",$D975*N(INDEX('Menu Pricing'!$F$7:$F$56,$O975)))</f>
        <v/>
      </c>
      <c r="N975" s="80">
        <f>IF(AND($B975="",$C975="",$D975=""),"",IF(NOT(ISNUMBER($B975)),"Enter a valid date",IF($C975="","Pick a menu item",IF($O975="","Item not on Menu Pricing",IF(N($D975)&lt;=0,"Qty must be above 0",IF($H975="","No price on menu","OK"))))))</f>
        <v/>
      </c>
      <c r="O975" s="13">
        <f>IF($C975="","",IFERROR(MATCH($C975,'Menu Pricing'!$B$7:$B$56,0),""))</f>
        <v/>
      </c>
    </row>
    <row r="976" ht="17" customHeight="1">
      <c r="B976" s="66" t="n"/>
      <c r="C976" s="60" t="n"/>
      <c r="D976" s="86" t="n"/>
      <c r="E976" s="63" t="n"/>
      <c r="F976" s="60" t="n"/>
      <c r="G976" s="60" t="n"/>
      <c r="H976" s="71">
        <f>IF(OR($C976="",$D976=""),"",IF(ISNUMBER($E976),$E976,IF($O976="","",IF(N(INDEX('Menu Pricing'!$O$7:$O$56,$O976))&gt;0,INDEX('Menu Pricing'!$O$7:$O$56,$O976),""))))</f>
        <v/>
      </c>
      <c r="I976" s="71">
        <f>IF($N976&lt;&gt;"OK","",$D976*$H976)</f>
        <v/>
      </c>
      <c r="J976" s="71">
        <f>IF($N976&lt;&gt;"OK","",N(INDEX('Menu Pricing'!$F$7:$F$56,$O976))+N(INDEX('Menu Pricing'!$G$7:$G$56,$O976))+N(INDEX('Menu Pricing'!$J$7:$J$56,$O976)))</f>
        <v/>
      </c>
      <c r="K976" s="71">
        <f>IF($N976&lt;&gt;"OK","",$D976*$J976)</f>
        <v/>
      </c>
      <c r="L976" s="71">
        <f>IF($N976&lt;&gt;"OK","",$I976-$K976)</f>
        <v/>
      </c>
      <c r="M976" s="71">
        <f>IF($N976&lt;&gt;"OK","",$D976*N(INDEX('Menu Pricing'!$F$7:$F$56,$O976)))</f>
        <v/>
      </c>
      <c r="N976" s="80">
        <f>IF(AND($B976="",$C976="",$D976=""),"",IF(NOT(ISNUMBER($B976)),"Enter a valid date",IF($C976="","Pick a menu item",IF($O976="","Item not on Menu Pricing",IF(N($D976)&lt;=0,"Qty must be above 0",IF($H976="","No price on menu","OK"))))))</f>
        <v/>
      </c>
      <c r="O976" s="13">
        <f>IF($C976="","",IFERROR(MATCH($C976,'Menu Pricing'!$B$7:$B$56,0),""))</f>
        <v/>
      </c>
    </row>
    <row r="977" ht="17" customHeight="1">
      <c r="B977" s="66" t="n"/>
      <c r="C977" s="60" t="n"/>
      <c r="D977" s="86" t="n"/>
      <c r="E977" s="63" t="n"/>
      <c r="F977" s="60" t="n"/>
      <c r="G977" s="60" t="n"/>
      <c r="H977" s="71">
        <f>IF(OR($C977="",$D977=""),"",IF(ISNUMBER($E977),$E977,IF($O977="","",IF(N(INDEX('Menu Pricing'!$O$7:$O$56,$O977))&gt;0,INDEX('Menu Pricing'!$O$7:$O$56,$O977),""))))</f>
        <v/>
      </c>
      <c r="I977" s="71">
        <f>IF($N977&lt;&gt;"OK","",$D977*$H977)</f>
        <v/>
      </c>
      <c r="J977" s="71">
        <f>IF($N977&lt;&gt;"OK","",N(INDEX('Menu Pricing'!$F$7:$F$56,$O977))+N(INDEX('Menu Pricing'!$G$7:$G$56,$O977))+N(INDEX('Menu Pricing'!$J$7:$J$56,$O977)))</f>
        <v/>
      </c>
      <c r="K977" s="71">
        <f>IF($N977&lt;&gt;"OK","",$D977*$J977)</f>
        <v/>
      </c>
      <c r="L977" s="71">
        <f>IF($N977&lt;&gt;"OK","",$I977-$K977)</f>
        <v/>
      </c>
      <c r="M977" s="71">
        <f>IF($N977&lt;&gt;"OK","",$D977*N(INDEX('Menu Pricing'!$F$7:$F$56,$O977)))</f>
        <v/>
      </c>
      <c r="N977" s="80">
        <f>IF(AND($B977="",$C977="",$D977=""),"",IF(NOT(ISNUMBER($B977)),"Enter a valid date",IF($C977="","Pick a menu item",IF($O977="","Item not on Menu Pricing",IF(N($D977)&lt;=0,"Qty must be above 0",IF($H977="","No price on menu","OK"))))))</f>
        <v/>
      </c>
      <c r="O977" s="13">
        <f>IF($C977="","",IFERROR(MATCH($C977,'Menu Pricing'!$B$7:$B$56,0),""))</f>
        <v/>
      </c>
    </row>
    <row r="978" ht="17" customHeight="1">
      <c r="B978" s="66" t="n"/>
      <c r="C978" s="60" t="n"/>
      <c r="D978" s="86" t="n"/>
      <c r="E978" s="63" t="n"/>
      <c r="F978" s="60" t="n"/>
      <c r="G978" s="60" t="n"/>
      <c r="H978" s="71">
        <f>IF(OR($C978="",$D978=""),"",IF(ISNUMBER($E978),$E978,IF($O978="","",IF(N(INDEX('Menu Pricing'!$O$7:$O$56,$O978))&gt;0,INDEX('Menu Pricing'!$O$7:$O$56,$O978),""))))</f>
        <v/>
      </c>
      <c r="I978" s="71">
        <f>IF($N978&lt;&gt;"OK","",$D978*$H978)</f>
        <v/>
      </c>
      <c r="J978" s="71">
        <f>IF($N978&lt;&gt;"OK","",N(INDEX('Menu Pricing'!$F$7:$F$56,$O978))+N(INDEX('Menu Pricing'!$G$7:$G$56,$O978))+N(INDEX('Menu Pricing'!$J$7:$J$56,$O978)))</f>
        <v/>
      </c>
      <c r="K978" s="71">
        <f>IF($N978&lt;&gt;"OK","",$D978*$J978)</f>
        <v/>
      </c>
      <c r="L978" s="71">
        <f>IF($N978&lt;&gt;"OK","",$I978-$K978)</f>
        <v/>
      </c>
      <c r="M978" s="71">
        <f>IF($N978&lt;&gt;"OK","",$D978*N(INDEX('Menu Pricing'!$F$7:$F$56,$O978)))</f>
        <v/>
      </c>
      <c r="N978" s="80">
        <f>IF(AND($B978="",$C978="",$D978=""),"",IF(NOT(ISNUMBER($B978)),"Enter a valid date",IF($C978="","Pick a menu item",IF($O978="","Item not on Menu Pricing",IF(N($D978)&lt;=0,"Qty must be above 0",IF($H978="","No price on menu","OK"))))))</f>
        <v/>
      </c>
      <c r="O978" s="13">
        <f>IF($C978="","",IFERROR(MATCH($C978,'Menu Pricing'!$B$7:$B$56,0),""))</f>
        <v/>
      </c>
    </row>
    <row r="979" ht="17" customHeight="1">
      <c r="B979" s="66" t="n"/>
      <c r="C979" s="60" t="n"/>
      <c r="D979" s="86" t="n"/>
      <c r="E979" s="63" t="n"/>
      <c r="F979" s="60" t="n"/>
      <c r="G979" s="60" t="n"/>
      <c r="H979" s="71">
        <f>IF(OR($C979="",$D979=""),"",IF(ISNUMBER($E979),$E979,IF($O979="","",IF(N(INDEX('Menu Pricing'!$O$7:$O$56,$O979))&gt;0,INDEX('Menu Pricing'!$O$7:$O$56,$O979),""))))</f>
        <v/>
      </c>
      <c r="I979" s="71">
        <f>IF($N979&lt;&gt;"OK","",$D979*$H979)</f>
        <v/>
      </c>
      <c r="J979" s="71">
        <f>IF($N979&lt;&gt;"OK","",N(INDEX('Menu Pricing'!$F$7:$F$56,$O979))+N(INDEX('Menu Pricing'!$G$7:$G$56,$O979))+N(INDEX('Menu Pricing'!$J$7:$J$56,$O979)))</f>
        <v/>
      </c>
      <c r="K979" s="71">
        <f>IF($N979&lt;&gt;"OK","",$D979*$J979)</f>
        <v/>
      </c>
      <c r="L979" s="71">
        <f>IF($N979&lt;&gt;"OK","",$I979-$K979)</f>
        <v/>
      </c>
      <c r="M979" s="71">
        <f>IF($N979&lt;&gt;"OK","",$D979*N(INDEX('Menu Pricing'!$F$7:$F$56,$O979)))</f>
        <v/>
      </c>
      <c r="N979" s="80">
        <f>IF(AND($B979="",$C979="",$D979=""),"",IF(NOT(ISNUMBER($B979)),"Enter a valid date",IF($C979="","Pick a menu item",IF($O979="","Item not on Menu Pricing",IF(N($D979)&lt;=0,"Qty must be above 0",IF($H979="","No price on menu","OK"))))))</f>
        <v/>
      </c>
      <c r="O979" s="13">
        <f>IF($C979="","",IFERROR(MATCH($C979,'Menu Pricing'!$B$7:$B$56,0),""))</f>
        <v/>
      </c>
    </row>
    <row r="980" ht="17" customHeight="1">
      <c r="B980" s="66" t="n"/>
      <c r="C980" s="60" t="n"/>
      <c r="D980" s="86" t="n"/>
      <c r="E980" s="63" t="n"/>
      <c r="F980" s="60" t="n"/>
      <c r="G980" s="60" t="n"/>
      <c r="H980" s="71">
        <f>IF(OR($C980="",$D980=""),"",IF(ISNUMBER($E980),$E980,IF($O980="","",IF(N(INDEX('Menu Pricing'!$O$7:$O$56,$O980))&gt;0,INDEX('Menu Pricing'!$O$7:$O$56,$O980),""))))</f>
        <v/>
      </c>
      <c r="I980" s="71">
        <f>IF($N980&lt;&gt;"OK","",$D980*$H980)</f>
        <v/>
      </c>
      <c r="J980" s="71">
        <f>IF($N980&lt;&gt;"OK","",N(INDEX('Menu Pricing'!$F$7:$F$56,$O980))+N(INDEX('Menu Pricing'!$G$7:$G$56,$O980))+N(INDEX('Menu Pricing'!$J$7:$J$56,$O980)))</f>
        <v/>
      </c>
      <c r="K980" s="71">
        <f>IF($N980&lt;&gt;"OK","",$D980*$J980)</f>
        <v/>
      </c>
      <c r="L980" s="71">
        <f>IF($N980&lt;&gt;"OK","",$I980-$K980)</f>
        <v/>
      </c>
      <c r="M980" s="71">
        <f>IF($N980&lt;&gt;"OK","",$D980*N(INDEX('Menu Pricing'!$F$7:$F$56,$O980)))</f>
        <v/>
      </c>
      <c r="N980" s="80">
        <f>IF(AND($B980="",$C980="",$D980=""),"",IF(NOT(ISNUMBER($B980)),"Enter a valid date",IF($C980="","Pick a menu item",IF($O980="","Item not on Menu Pricing",IF(N($D980)&lt;=0,"Qty must be above 0",IF($H980="","No price on menu","OK"))))))</f>
        <v/>
      </c>
      <c r="O980" s="13">
        <f>IF($C980="","",IFERROR(MATCH($C980,'Menu Pricing'!$B$7:$B$56,0),""))</f>
        <v/>
      </c>
    </row>
    <row r="981" ht="17" customHeight="1">
      <c r="B981" s="66" t="n"/>
      <c r="C981" s="60" t="n"/>
      <c r="D981" s="86" t="n"/>
      <c r="E981" s="63" t="n"/>
      <c r="F981" s="60" t="n"/>
      <c r="G981" s="60" t="n"/>
      <c r="H981" s="71">
        <f>IF(OR($C981="",$D981=""),"",IF(ISNUMBER($E981),$E981,IF($O981="","",IF(N(INDEX('Menu Pricing'!$O$7:$O$56,$O981))&gt;0,INDEX('Menu Pricing'!$O$7:$O$56,$O981),""))))</f>
        <v/>
      </c>
      <c r="I981" s="71">
        <f>IF($N981&lt;&gt;"OK","",$D981*$H981)</f>
        <v/>
      </c>
      <c r="J981" s="71">
        <f>IF($N981&lt;&gt;"OK","",N(INDEX('Menu Pricing'!$F$7:$F$56,$O981))+N(INDEX('Menu Pricing'!$G$7:$G$56,$O981))+N(INDEX('Menu Pricing'!$J$7:$J$56,$O981)))</f>
        <v/>
      </c>
      <c r="K981" s="71">
        <f>IF($N981&lt;&gt;"OK","",$D981*$J981)</f>
        <v/>
      </c>
      <c r="L981" s="71">
        <f>IF($N981&lt;&gt;"OK","",$I981-$K981)</f>
        <v/>
      </c>
      <c r="M981" s="71">
        <f>IF($N981&lt;&gt;"OK","",$D981*N(INDEX('Menu Pricing'!$F$7:$F$56,$O981)))</f>
        <v/>
      </c>
      <c r="N981" s="80">
        <f>IF(AND($B981="",$C981="",$D981=""),"",IF(NOT(ISNUMBER($B981)),"Enter a valid date",IF($C981="","Pick a menu item",IF($O981="","Item not on Menu Pricing",IF(N($D981)&lt;=0,"Qty must be above 0",IF($H981="","No price on menu","OK"))))))</f>
        <v/>
      </c>
      <c r="O981" s="13">
        <f>IF($C981="","",IFERROR(MATCH($C981,'Menu Pricing'!$B$7:$B$56,0),""))</f>
        <v/>
      </c>
    </row>
    <row r="982" ht="17" customHeight="1">
      <c r="B982" s="66" t="n"/>
      <c r="C982" s="60" t="n"/>
      <c r="D982" s="86" t="n"/>
      <c r="E982" s="63" t="n"/>
      <c r="F982" s="60" t="n"/>
      <c r="G982" s="60" t="n"/>
      <c r="H982" s="71">
        <f>IF(OR($C982="",$D982=""),"",IF(ISNUMBER($E982),$E982,IF($O982="","",IF(N(INDEX('Menu Pricing'!$O$7:$O$56,$O982))&gt;0,INDEX('Menu Pricing'!$O$7:$O$56,$O982),""))))</f>
        <v/>
      </c>
      <c r="I982" s="71">
        <f>IF($N982&lt;&gt;"OK","",$D982*$H982)</f>
        <v/>
      </c>
      <c r="J982" s="71">
        <f>IF($N982&lt;&gt;"OK","",N(INDEX('Menu Pricing'!$F$7:$F$56,$O982))+N(INDEX('Menu Pricing'!$G$7:$G$56,$O982))+N(INDEX('Menu Pricing'!$J$7:$J$56,$O982)))</f>
        <v/>
      </c>
      <c r="K982" s="71">
        <f>IF($N982&lt;&gt;"OK","",$D982*$J982)</f>
        <v/>
      </c>
      <c r="L982" s="71">
        <f>IF($N982&lt;&gt;"OK","",$I982-$K982)</f>
        <v/>
      </c>
      <c r="M982" s="71">
        <f>IF($N982&lt;&gt;"OK","",$D982*N(INDEX('Menu Pricing'!$F$7:$F$56,$O982)))</f>
        <v/>
      </c>
      <c r="N982" s="80">
        <f>IF(AND($B982="",$C982="",$D982=""),"",IF(NOT(ISNUMBER($B982)),"Enter a valid date",IF($C982="","Pick a menu item",IF($O982="","Item not on Menu Pricing",IF(N($D982)&lt;=0,"Qty must be above 0",IF($H982="","No price on menu","OK"))))))</f>
        <v/>
      </c>
      <c r="O982" s="13">
        <f>IF($C982="","",IFERROR(MATCH($C982,'Menu Pricing'!$B$7:$B$56,0),""))</f>
        <v/>
      </c>
    </row>
    <row r="983" ht="17" customHeight="1">
      <c r="B983" s="66" t="n"/>
      <c r="C983" s="60" t="n"/>
      <c r="D983" s="86" t="n"/>
      <c r="E983" s="63" t="n"/>
      <c r="F983" s="60" t="n"/>
      <c r="G983" s="60" t="n"/>
      <c r="H983" s="71">
        <f>IF(OR($C983="",$D983=""),"",IF(ISNUMBER($E983),$E983,IF($O983="","",IF(N(INDEX('Menu Pricing'!$O$7:$O$56,$O983))&gt;0,INDEX('Menu Pricing'!$O$7:$O$56,$O983),""))))</f>
        <v/>
      </c>
      <c r="I983" s="71">
        <f>IF($N983&lt;&gt;"OK","",$D983*$H983)</f>
        <v/>
      </c>
      <c r="J983" s="71">
        <f>IF($N983&lt;&gt;"OK","",N(INDEX('Menu Pricing'!$F$7:$F$56,$O983))+N(INDEX('Menu Pricing'!$G$7:$G$56,$O983))+N(INDEX('Menu Pricing'!$J$7:$J$56,$O983)))</f>
        <v/>
      </c>
      <c r="K983" s="71">
        <f>IF($N983&lt;&gt;"OK","",$D983*$J983)</f>
        <v/>
      </c>
      <c r="L983" s="71">
        <f>IF($N983&lt;&gt;"OK","",$I983-$K983)</f>
        <v/>
      </c>
      <c r="M983" s="71">
        <f>IF($N983&lt;&gt;"OK","",$D983*N(INDEX('Menu Pricing'!$F$7:$F$56,$O983)))</f>
        <v/>
      </c>
      <c r="N983" s="80">
        <f>IF(AND($B983="",$C983="",$D983=""),"",IF(NOT(ISNUMBER($B983)),"Enter a valid date",IF($C983="","Pick a menu item",IF($O983="","Item not on Menu Pricing",IF(N($D983)&lt;=0,"Qty must be above 0",IF($H983="","No price on menu","OK"))))))</f>
        <v/>
      </c>
      <c r="O983" s="13">
        <f>IF($C983="","",IFERROR(MATCH($C983,'Menu Pricing'!$B$7:$B$56,0),""))</f>
        <v/>
      </c>
    </row>
    <row r="984" ht="17" customHeight="1">
      <c r="B984" s="66" t="n"/>
      <c r="C984" s="60" t="n"/>
      <c r="D984" s="86" t="n"/>
      <c r="E984" s="63" t="n"/>
      <c r="F984" s="60" t="n"/>
      <c r="G984" s="60" t="n"/>
      <c r="H984" s="71">
        <f>IF(OR($C984="",$D984=""),"",IF(ISNUMBER($E984),$E984,IF($O984="","",IF(N(INDEX('Menu Pricing'!$O$7:$O$56,$O984))&gt;0,INDEX('Menu Pricing'!$O$7:$O$56,$O984),""))))</f>
        <v/>
      </c>
      <c r="I984" s="71">
        <f>IF($N984&lt;&gt;"OK","",$D984*$H984)</f>
        <v/>
      </c>
      <c r="J984" s="71">
        <f>IF($N984&lt;&gt;"OK","",N(INDEX('Menu Pricing'!$F$7:$F$56,$O984))+N(INDEX('Menu Pricing'!$G$7:$G$56,$O984))+N(INDEX('Menu Pricing'!$J$7:$J$56,$O984)))</f>
        <v/>
      </c>
      <c r="K984" s="71">
        <f>IF($N984&lt;&gt;"OK","",$D984*$J984)</f>
        <v/>
      </c>
      <c r="L984" s="71">
        <f>IF($N984&lt;&gt;"OK","",$I984-$K984)</f>
        <v/>
      </c>
      <c r="M984" s="71">
        <f>IF($N984&lt;&gt;"OK","",$D984*N(INDEX('Menu Pricing'!$F$7:$F$56,$O984)))</f>
        <v/>
      </c>
      <c r="N984" s="80">
        <f>IF(AND($B984="",$C984="",$D984=""),"",IF(NOT(ISNUMBER($B984)),"Enter a valid date",IF($C984="","Pick a menu item",IF($O984="","Item not on Menu Pricing",IF(N($D984)&lt;=0,"Qty must be above 0",IF($H984="","No price on menu","OK"))))))</f>
        <v/>
      </c>
      <c r="O984" s="13">
        <f>IF($C984="","",IFERROR(MATCH($C984,'Menu Pricing'!$B$7:$B$56,0),""))</f>
        <v/>
      </c>
    </row>
    <row r="985" ht="17" customHeight="1">
      <c r="B985" s="66" t="n"/>
      <c r="C985" s="60" t="n"/>
      <c r="D985" s="86" t="n"/>
      <c r="E985" s="63" t="n"/>
      <c r="F985" s="60" t="n"/>
      <c r="G985" s="60" t="n"/>
      <c r="H985" s="71">
        <f>IF(OR($C985="",$D985=""),"",IF(ISNUMBER($E985),$E985,IF($O985="","",IF(N(INDEX('Menu Pricing'!$O$7:$O$56,$O985))&gt;0,INDEX('Menu Pricing'!$O$7:$O$56,$O985),""))))</f>
        <v/>
      </c>
      <c r="I985" s="71">
        <f>IF($N985&lt;&gt;"OK","",$D985*$H985)</f>
        <v/>
      </c>
      <c r="J985" s="71">
        <f>IF($N985&lt;&gt;"OK","",N(INDEX('Menu Pricing'!$F$7:$F$56,$O985))+N(INDEX('Menu Pricing'!$G$7:$G$56,$O985))+N(INDEX('Menu Pricing'!$J$7:$J$56,$O985)))</f>
        <v/>
      </c>
      <c r="K985" s="71">
        <f>IF($N985&lt;&gt;"OK","",$D985*$J985)</f>
        <v/>
      </c>
      <c r="L985" s="71">
        <f>IF($N985&lt;&gt;"OK","",$I985-$K985)</f>
        <v/>
      </c>
      <c r="M985" s="71">
        <f>IF($N985&lt;&gt;"OK","",$D985*N(INDEX('Menu Pricing'!$F$7:$F$56,$O985)))</f>
        <v/>
      </c>
      <c r="N985" s="80">
        <f>IF(AND($B985="",$C985="",$D985=""),"",IF(NOT(ISNUMBER($B985)),"Enter a valid date",IF($C985="","Pick a menu item",IF($O985="","Item not on Menu Pricing",IF(N($D985)&lt;=0,"Qty must be above 0",IF($H985="","No price on menu","OK"))))))</f>
        <v/>
      </c>
      <c r="O985" s="13">
        <f>IF($C985="","",IFERROR(MATCH($C985,'Menu Pricing'!$B$7:$B$56,0),""))</f>
        <v/>
      </c>
    </row>
    <row r="986" ht="17" customHeight="1">
      <c r="B986" s="66" t="n"/>
      <c r="C986" s="60" t="n"/>
      <c r="D986" s="86" t="n"/>
      <c r="E986" s="63" t="n"/>
      <c r="F986" s="60" t="n"/>
      <c r="G986" s="60" t="n"/>
      <c r="H986" s="71">
        <f>IF(OR($C986="",$D986=""),"",IF(ISNUMBER($E986),$E986,IF($O986="","",IF(N(INDEX('Menu Pricing'!$O$7:$O$56,$O986))&gt;0,INDEX('Menu Pricing'!$O$7:$O$56,$O986),""))))</f>
        <v/>
      </c>
      <c r="I986" s="71">
        <f>IF($N986&lt;&gt;"OK","",$D986*$H986)</f>
        <v/>
      </c>
      <c r="J986" s="71">
        <f>IF($N986&lt;&gt;"OK","",N(INDEX('Menu Pricing'!$F$7:$F$56,$O986))+N(INDEX('Menu Pricing'!$G$7:$G$56,$O986))+N(INDEX('Menu Pricing'!$J$7:$J$56,$O986)))</f>
        <v/>
      </c>
      <c r="K986" s="71">
        <f>IF($N986&lt;&gt;"OK","",$D986*$J986)</f>
        <v/>
      </c>
      <c r="L986" s="71">
        <f>IF($N986&lt;&gt;"OK","",$I986-$K986)</f>
        <v/>
      </c>
      <c r="M986" s="71">
        <f>IF($N986&lt;&gt;"OK","",$D986*N(INDEX('Menu Pricing'!$F$7:$F$56,$O986)))</f>
        <v/>
      </c>
      <c r="N986" s="80">
        <f>IF(AND($B986="",$C986="",$D986=""),"",IF(NOT(ISNUMBER($B986)),"Enter a valid date",IF($C986="","Pick a menu item",IF($O986="","Item not on Menu Pricing",IF(N($D986)&lt;=0,"Qty must be above 0",IF($H986="","No price on menu","OK"))))))</f>
        <v/>
      </c>
      <c r="O986" s="13">
        <f>IF($C986="","",IFERROR(MATCH($C986,'Menu Pricing'!$B$7:$B$56,0),""))</f>
        <v/>
      </c>
    </row>
    <row r="987" ht="17" customHeight="1">
      <c r="B987" s="66" t="n"/>
      <c r="C987" s="60" t="n"/>
      <c r="D987" s="86" t="n"/>
      <c r="E987" s="63" t="n"/>
      <c r="F987" s="60" t="n"/>
      <c r="G987" s="60" t="n"/>
      <c r="H987" s="71">
        <f>IF(OR($C987="",$D987=""),"",IF(ISNUMBER($E987),$E987,IF($O987="","",IF(N(INDEX('Menu Pricing'!$O$7:$O$56,$O987))&gt;0,INDEX('Menu Pricing'!$O$7:$O$56,$O987),""))))</f>
        <v/>
      </c>
      <c r="I987" s="71">
        <f>IF($N987&lt;&gt;"OK","",$D987*$H987)</f>
        <v/>
      </c>
      <c r="J987" s="71">
        <f>IF($N987&lt;&gt;"OK","",N(INDEX('Menu Pricing'!$F$7:$F$56,$O987))+N(INDEX('Menu Pricing'!$G$7:$G$56,$O987))+N(INDEX('Menu Pricing'!$J$7:$J$56,$O987)))</f>
        <v/>
      </c>
      <c r="K987" s="71">
        <f>IF($N987&lt;&gt;"OK","",$D987*$J987)</f>
        <v/>
      </c>
      <c r="L987" s="71">
        <f>IF($N987&lt;&gt;"OK","",$I987-$K987)</f>
        <v/>
      </c>
      <c r="M987" s="71">
        <f>IF($N987&lt;&gt;"OK","",$D987*N(INDEX('Menu Pricing'!$F$7:$F$56,$O987)))</f>
        <v/>
      </c>
      <c r="N987" s="80">
        <f>IF(AND($B987="",$C987="",$D987=""),"",IF(NOT(ISNUMBER($B987)),"Enter a valid date",IF($C987="","Pick a menu item",IF($O987="","Item not on Menu Pricing",IF(N($D987)&lt;=0,"Qty must be above 0",IF($H987="","No price on menu","OK"))))))</f>
        <v/>
      </c>
      <c r="O987" s="13">
        <f>IF($C987="","",IFERROR(MATCH($C987,'Menu Pricing'!$B$7:$B$56,0),""))</f>
        <v/>
      </c>
    </row>
    <row r="988" ht="17" customHeight="1">
      <c r="B988" s="66" t="n"/>
      <c r="C988" s="60" t="n"/>
      <c r="D988" s="86" t="n"/>
      <c r="E988" s="63" t="n"/>
      <c r="F988" s="60" t="n"/>
      <c r="G988" s="60" t="n"/>
      <c r="H988" s="71">
        <f>IF(OR($C988="",$D988=""),"",IF(ISNUMBER($E988),$E988,IF($O988="","",IF(N(INDEX('Menu Pricing'!$O$7:$O$56,$O988))&gt;0,INDEX('Menu Pricing'!$O$7:$O$56,$O988),""))))</f>
        <v/>
      </c>
      <c r="I988" s="71">
        <f>IF($N988&lt;&gt;"OK","",$D988*$H988)</f>
        <v/>
      </c>
      <c r="J988" s="71">
        <f>IF($N988&lt;&gt;"OK","",N(INDEX('Menu Pricing'!$F$7:$F$56,$O988))+N(INDEX('Menu Pricing'!$G$7:$G$56,$O988))+N(INDEX('Menu Pricing'!$J$7:$J$56,$O988)))</f>
        <v/>
      </c>
      <c r="K988" s="71">
        <f>IF($N988&lt;&gt;"OK","",$D988*$J988)</f>
        <v/>
      </c>
      <c r="L988" s="71">
        <f>IF($N988&lt;&gt;"OK","",$I988-$K988)</f>
        <v/>
      </c>
      <c r="M988" s="71">
        <f>IF($N988&lt;&gt;"OK","",$D988*N(INDEX('Menu Pricing'!$F$7:$F$56,$O988)))</f>
        <v/>
      </c>
      <c r="N988" s="80">
        <f>IF(AND($B988="",$C988="",$D988=""),"",IF(NOT(ISNUMBER($B988)),"Enter a valid date",IF($C988="","Pick a menu item",IF($O988="","Item not on Menu Pricing",IF(N($D988)&lt;=0,"Qty must be above 0",IF($H988="","No price on menu","OK"))))))</f>
        <v/>
      </c>
      <c r="O988" s="13">
        <f>IF($C988="","",IFERROR(MATCH($C988,'Menu Pricing'!$B$7:$B$56,0),""))</f>
        <v/>
      </c>
    </row>
    <row r="989" ht="17" customHeight="1">
      <c r="B989" s="66" t="n"/>
      <c r="C989" s="60" t="n"/>
      <c r="D989" s="86" t="n"/>
      <c r="E989" s="63" t="n"/>
      <c r="F989" s="60" t="n"/>
      <c r="G989" s="60" t="n"/>
      <c r="H989" s="71">
        <f>IF(OR($C989="",$D989=""),"",IF(ISNUMBER($E989),$E989,IF($O989="","",IF(N(INDEX('Menu Pricing'!$O$7:$O$56,$O989))&gt;0,INDEX('Menu Pricing'!$O$7:$O$56,$O989),""))))</f>
        <v/>
      </c>
      <c r="I989" s="71">
        <f>IF($N989&lt;&gt;"OK","",$D989*$H989)</f>
        <v/>
      </c>
      <c r="J989" s="71">
        <f>IF($N989&lt;&gt;"OK","",N(INDEX('Menu Pricing'!$F$7:$F$56,$O989))+N(INDEX('Menu Pricing'!$G$7:$G$56,$O989))+N(INDEX('Menu Pricing'!$J$7:$J$56,$O989)))</f>
        <v/>
      </c>
      <c r="K989" s="71">
        <f>IF($N989&lt;&gt;"OK","",$D989*$J989)</f>
        <v/>
      </c>
      <c r="L989" s="71">
        <f>IF($N989&lt;&gt;"OK","",$I989-$K989)</f>
        <v/>
      </c>
      <c r="M989" s="71">
        <f>IF($N989&lt;&gt;"OK","",$D989*N(INDEX('Menu Pricing'!$F$7:$F$56,$O989)))</f>
        <v/>
      </c>
      <c r="N989" s="80">
        <f>IF(AND($B989="",$C989="",$D989=""),"",IF(NOT(ISNUMBER($B989)),"Enter a valid date",IF($C989="","Pick a menu item",IF($O989="","Item not on Menu Pricing",IF(N($D989)&lt;=0,"Qty must be above 0",IF($H989="","No price on menu","OK"))))))</f>
        <v/>
      </c>
      <c r="O989" s="13">
        <f>IF($C989="","",IFERROR(MATCH($C989,'Menu Pricing'!$B$7:$B$56,0),""))</f>
        <v/>
      </c>
    </row>
    <row r="990" ht="17" customHeight="1">
      <c r="B990" s="66" t="n"/>
      <c r="C990" s="60" t="n"/>
      <c r="D990" s="86" t="n"/>
      <c r="E990" s="63" t="n"/>
      <c r="F990" s="60" t="n"/>
      <c r="G990" s="60" t="n"/>
      <c r="H990" s="71">
        <f>IF(OR($C990="",$D990=""),"",IF(ISNUMBER($E990),$E990,IF($O990="","",IF(N(INDEX('Menu Pricing'!$O$7:$O$56,$O990))&gt;0,INDEX('Menu Pricing'!$O$7:$O$56,$O990),""))))</f>
        <v/>
      </c>
      <c r="I990" s="71">
        <f>IF($N990&lt;&gt;"OK","",$D990*$H990)</f>
        <v/>
      </c>
      <c r="J990" s="71">
        <f>IF($N990&lt;&gt;"OK","",N(INDEX('Menu Pricing'!$F$7:$F$56,$O990))+N(INDEX('Menu Pricing'!$G$7:$G$56,$O990))+N(INDEX('Menu Pricing'!$J$7:$J$56,$O990)))</f>
        <v/>
      </c>
      <c r="K990" s="71">
        <f>IF($N990&lt;&gt;"OK","",$D990*$J990)</f>
        <v/>
      </c>
      <c r="L990" s="71">
        <f>IF($N990&lt;&gt;"OK","",$I990-$K990)</f>
        <v/>
      </c>
      <c r="M990" s="71">
        <f>IF($N990&lt;&gt;"OK","",$D990*N(INDEX('Menu Pricing'!$F$7:$F$56,$O990)))</f>
        <v/>
      </c>
      <c r="N990" s="80">
        <f>IF(AND($B990="",$C990="",$D990=""),"",IF(NOT(ISNUMBER($B990)),"Enter a valid date",IF($C990="","Pick a menu item",IF($O990="","Item not on Menu Pricing",IF(N($D990)&lt;=0,"Qty must be above 0",IF($H990="","No price on menu","OK"))))))</f>
        <v/>
      </c>
      <c r="O990" s="13">
        <f>IF($C990="","",IFERROR(MATCH($C990,'Menu Pricing'!$B$7:$B$56,0),""))</f>
        <v/>
      </c>
    </row>
    <row r="991" ht="17" customHeight="1">
      <c r="B991" s="66" t="n"/>
      <c r="C991" s="60" t="n"/>
      <c r="D991" s="86" t="n"/>
      <c r="E991" s="63" t="n"/>
      <c r="F991" s="60" t="n"/>
      <c r="G991" s="60" t="n"/>
      <c r="H991" s="71">
        <f>IF(OR($C991="",$D991=""),"",IF(ISNUMBER($E991),$E991,IF($O991="","",IF(N(INDEX('Menu Pricing'!$O$7:$O$56,$O991))&gt;0,INDEX('Menu Pricing'!$O$7:$O$56,$O991),""))))</f>
        <v/>
      </c>
      <c r="I991" s="71">
        <f>IF($N991&lt;&gt;"OK","",$D991*$H991)</f>
        <v/>
      </c>
      <c r="J991" s="71">
        <f>IF($N991&lt;&gt;"OK","",N(INDEX('Menu Pricing'!$F$7:$F$56,$O991))+N(INDEX('Menu Pricing'!$G$7:$G$56,$O991))+N(INDEX('Menu Pricing'!$J$7:$J$56,$O991)))</f>
        <v/>
      </c>
      <c r="K991" s="71">
        <f>IF($N991&lt;&gt;"OK","",$D991*$J991)</f>
        <v/>
      </c>
      <c r="L991" s="71">
        <f>IF($N991&lt;&gt;"OK","",$I991-$K991)</f>
        <v/>
      </c>
      <c r="M991" s="71">
        <f>IF($N991&lt;&gt;"OK","",$D991*N(INDEX('Menu Pricing'!$F$7:$F$56,$O991)))</f>
        <v/>
      </c>
      <c r="N991" s="80">
        <f>IF(AND($B991="",$C991="",$D991=""),"",IF(NOT(ISNUMBER($B991)),"Enter a valid date",IF($C991="","Pick a menu item",IF($O991="","Item not on Menu Pricing",IF(N($D991)&lt;=0,"Qty must be above 0",IF($H991="","No price on menu","OK"))))))</f>
        <v/>
      </c>
      <c r="O991" s="13">
        <f>IF($C991="","",IFERROR(MATCH($C991,'Menu Pricing'!$B$7:$B$56,0),""))</f>
        <v/>
      </c>
    </row>
    <row r="992" ht="17" customHeight="1">
      <c r="B992" s="66" t="n"/>
      <c r="C992" s="60" t="n"/>
      <c r="D992" s="86" t="n"/>
      <c r="E992" s="63" t="n"/>
      <c r="F992" s="60" t="n"/>
      <c r="G992" s="60" t="n"/>
      <c r="H992" s="71">
        <f>IF(OR($C992="",$D992=""),"",IF(ISNUMBER($E992),$E992,IF($O992="","",IF(N(INDEX('Menu Pricing'!$O$7:$O$56,$O992))&gt;0,INDEX('Menu Pricing'!$O$7:$O$56,$O992),""))))</f>
        <v/>
      </c>
      <c r="I992" s="71">
        <f>IF($N992&lt;&gt;"OK","",$D992*$H992)</f>
        <v/>
      </c>
      <c r="J992" s="71">
        <f>IF($N992&lt;&gt;"OK","",N(INDEX('Menu Pricing'!$F$7:$F$56,$O992))+N(INDEX('Menu Pricing'!$G$7:$G$56,$O992))+N(INDEX('Menu Pricing'!$J$7:$J$56,$O992)))</f>
        <v/>
      </c>
      <c r="K992" s="71">
        <f>IF($N992&lt;&gt;"OK","",$D992*$J992)</f>
        <v/>
      </c>
      <c r="L992" s="71">
        <f>IF($N992&lt;&gt;"OK","",$I992-$K992)</f>
        <v/>
      </c>
      <c r="M992" s="71">
        <f>IF($N992&lt;&gt;"OK","",$D992*N(INDEX('Menu Pricing'!$F$7:$F$56,$O992)))</f>
        <v/>
      </c>
      <c r="N992" s="80">
        <f>IF(AND($B992="",$C992="",$D992=""),"",IF(NOT(ISNUMBER($B992)),"Enter a valid date",IF($C992="","Pick a menu item",IF($O992="","Item not on Menu Pricing",IF(N($D992)&lt;=0,"Qty must be above 0",IF($H992="","No price on menu","OK"))))))</f>
        <v/>
      </c>
      <c r="O992" s="13">
        <f>IF($C992="","",IFERROR(MATCH($C992,'Menu Pricing'!$B$7:$B$56,0),""))</f>
        <v/>
      </c>
    </row>
    <row r="993" ht="17" customHeight="1">
      <c r="B993" s="66" t="n"/>
      <c r="C993" s="60" t="n"/>
      <c r="D993" s="86" t="n"/>
      <c r="E993" s="63" t="n"/>
      <c r="F993" s="60" t="n"/>
      <c r="G993" s="60" t="n"/>
      <c r="H993" s="71">
        <f>IF(OR($C993="",$D993=""),"",IF(ISNUMBER($E993),$E993,IF($O993="","",IF(N(INDEX('Menu Pricing'!$O$7:$O$56,$O993))&gt;0,INDEX('Menu Pricing'!$O$7:$O$56,$O993),""))))</f>
        <v/>
      </c>
      <c r="I993" s="71">
        <f>IF($N993&lt;&gt;"OK","",$D993*$H993)</f>
        <v/>
      </c>
      <c r="J993" s="71">
        <f>IF($N993&lt;&gt;"OK","",N(INDEX('Menu Pricing'!$F$7:$F$56,$O993))+N(INDEX('Menu Pricing'!$G$7:$G$56,$O993))+N(INDEX('Menu Pricing'!$J$7:$J$56,$O993)))</f>
        <v/>
      </c>
      <c r="K993" s="71">
        <f>IF($N993&lt;&gt;"OK","",$D993*$J993)</f>
        <v/>
      </c>
      <c r="L993" s="71">
        <f>IF($N993&lt;&gt;"OK","",$I993-$K993)</f>
        <v/>
      </c>
      <c r="M993" s="71">
        <f>IF($N993&lt;&gt;"OK","",$D993*N(INDEX('Menu Pricing'!$F$7:$F$56,$O993)))</f>
        <v/>
      </c>
      <c r="N993" s="80">
        <f>IF(AND($B993="",$C993="",$D993=""),"",IF(NOT(ISNUMBER($B993)),"Enter a valid date",IF($C993="","Pick a menu item",IF($O993="","Item not on Menu Pricing",IF(N($D993)&lt;=0,"Qty must be above 0",IF($H993="","No price on menu","OK"))))))</f>
        <v/>
      </c>
      <c r="O993" s="13">
        <f>IF($C993="","",IFERROR(MATCH($C993,'Menu Pricing'!$B$7:$B$56,0),""))</f>
        <v/>
      </c>
    </row>
    <row r="994" ht="17" customHeight="1">
      <c r="B994" s="66" t="n"/>
      <c r="C994" s="60" t="n"/>
      <c r="D994" s="86" t="n"/>
      <c r="E994" s="63" t="n"/>
      <c r="F994" s="60" t="n"/>
      <c r="G994" s="60" t="n"/>
      <c r="H994" s="71">
        <f>IF(OR($C994="",$D994=""),"",IF(ISNUMBER($E994),$E994,IF($O994="","",IF(N(INDEX('Menu Pricing'!$O$7:$O$56,$O994))&gt;0,INDEX('Menu Pricing'!$O$7:$O$56,$O994),""))))</f>
        <v/>
      </c>
      <c r="I994" s="71">
        <f>IF($N994&lt;&gt;"OK","",$D994*$H994)</f>
        <v/>
      </c>
      <c r="J994" s="71">
        <f>IF($N994&lt;&gt;"OK","",N(INDEX('Menu Pricing'!$F$7:$F$56,$O994))+N(INDEX('Menu Pricing'!$G$7:$G$56,$O994))+N(INDEX('Menu Pricing'!$J$7:$J$56,$O994)))</f>
        <v/>
      </c>
      <c r="K994" s="71">
        <f>IF($N994&lt;&gt;"OK","",$D994*$J994)</f>
        <v/>
      </c>
      <c r="L994" s="71">
        <f>IF($N994&lt;&gt;"OK","",$I994-$K994)</f>
        <v/>
      </c>
      <c r="M994" s="71">
        <f>IF($N994&lt;&gt;"OK","",$D994*N(INDEX('Menu Pricing'!$F$7:$F$56,$O994)))</f>
        <v/>
      </c>
      <c r="N994" s="80">
        <f>IF(AND($B994="",$C994="",$D994=""),"",IF(NOT(ISNUMBER($B994)),"Enter a valid date",IF($C994="","Pick a menu item",IF($O994="","Item not on Menu Pricing",IF(N($D994)&lt;=0,"Qty must be above 0",IF($H994="","No price on menu","OK"))))))</f>
        <v/>
      </c>
      <c r="O994" s="13">
        <f>IF($C994="","",IFERROR(MATCH($C994,'Menu Pricing'!$B$7:$B$56,0),""))</f>
        <v/>
      </c>
    </row>
    <row r="995" ht="17" customHeight="1">
      <c r="B995" s="66" t="n"/>
      <c r="C995" s="60" t="n"/>
      <c r="D995" s="86" t="n"/>
      <c r="E995" s="63" t="n"/>
      <c r="F995" s="60" t="n"/>
      <c r="G995" s="60" t="n"/>
      <c r="H995" s="71">
        <f>IF(OR($C995="",$D995=""),"",IF(ISNUMBER($E995),$E995,IF($O995="","",IF(N(INDEX('Menu Pricing'!$O$7:$O$56,$O995))&gt;0,INDEX('Menu Pricing'!$O$7:$O$56,$O995),""))))</f>
        <v/>
      </c>
      <c r="I995" s="71">
        <f>IF($N995&lt;&gt;"OK","",$D995*$H995)</f>
        <v/>
      </c>
      <c r="J995" s="71">
        <f>IF($N995&lt;&gt;"OK","",N(INDEX('Menu Pricing'!$F$7:$F$56,$O995))+N(INDEX('Menu Pricing'!$G$7:$G$56,$O995))+N(INDEX('Menu Pricing'!$J$7:$J$56,$O995)))</f>
        <v/>
      </c>
      <c r="K995" s="71">
        <f>IF($N995&lt;&gt;"OK","",$D995*$J995)</f>
        <v/>
      </c>
      <c r="L995" s="71">
        <f>IF($N995&lt;&gt;"OK","",$I995-$K995)</f>
        <v/>
      </c>
      <c r="M995" s="71">
        <f>IF($N995&lt;&gt;"OK","",$D995*N(INDEX('Menu Pricing'!$F$7:$F$56,$O995)))</f>
        <v/>
      </c>
      <c r="N995" s="80">
        <f>IF(AND($B995="",$C995="",$D995=""),"",IF(NOT(ISNUMBER($B995)),"Enter a valid date",IF($C995="","Pick a menu item",IF($O995="","Item not on Menu Pricing",IF(N($D995)&lt;=0,"Qty must be above 0",IF($H995="","No price on menu","OK"))))))</f>
        <v/>
      </c>
      <c r="O995" s="13">
        <f>IF($C995="","",IFERROR(MATCH($C995,'Menu Pricing'!$B$7:$B$56,0),""))</f>
        <v/>
      </c>
    </row>
    <row r="996" ht="17" customHeight="1">
      <c r="B996" s="66" t="n"/>
      <c r="C996" s="60" t="n"/>
      <c r="D996" s="86" t="n"/>
      <c r="E996" s="63" t="n"/>
      <c r="F996" s="60" t="n"/>
      <c r="G996" s="60" t="n"/>
      <c r="H996" s="71">
        <f>IF(OR($C996="",$D996=""),"",IF(ISNUMBER($E996),$E996,IF($O996="","",IF(N(INDEX('Menu Pricing'!$O$7:$O$56,$O996))&gt;0,INDEX('Menu Pricing'!$O$7:$O$56,$O996),""))))</f>
        <v/>
      </c>
      <c r="I996" s="71">
        <f>IF($N996&lt;&gt;"OK","",$D996*$H996)</f>
        <v/>
      </c>
      <c r="J996" s="71">
        <f>IF($N996&lt;&gt;"OK","",N(INDEX('Menu Pricing'!$F$7:$F$56,$O996))+N(INDEX('Menu Pricing'!$G$7:$G$56,$O996))+N(INDEX('Menu Pricing'!$J$7:$J$56,$O996)))</f>
        <v/>
      </c>
      <c r="K996" s="71">
        <f>IF($N996&lt;&gt;"OK","",$D996*$J996)</f>
        <v/>
      </c>
      <c r="L996" s="71">
        <f>IF($N996&lt;&gt;"OK","",$I996-$K996)</f>
        <v/>
      </c>
      <c r="M996" s="71">
        <f>IF($N996&lt;&gt;"OK","",$D996*N(INDEX('Menu Pricing'!$F$7:$F$56,$O996)))</f>
        <v/>
      </c>
      <c r="N996" s="80">
        <f>IF(AND($B996="",$C996="",$D996=""),"",IF(NOT(ISNUMBER($B996)),"Enter a valid date",IF($C996="","Pick a menu item",IF($O996="","Item not on Menu Pricing",IF(N($D996)&lt;=0,"Qty must be above 0",IF($H996="","No price on menu","OK"))))))</f>
        <v/>
      </c>
      <c r="O996" s="13">
        <f>IF($C996="","",IFERROR(MATCH($C996,'Menu Pricing'!$B$7:$B$56,0),""))</f>
        <v/>
      </c>
    </row>
    <row r="997" ht="17" customHeight="1">
      <c r="B997" s="66" t="n"/>
      <c r="C997" s="60" t="n"/>
      <c r="D997" s="86" t="n"/>
      <c r="E997" s="63" t="n"/>
      <c r="F997" s="60" t="n"/>
      <c r="G997" s="60" t="n"/>
      <c r="H997" s="71">
        <f>IF(OR($C997="",$D997=""),"",IF(ISNUMBER($E997),$E997,IF($O997="","",IF(N(INDEX('Menu Pricing'!$O$7:$O$56,$O997))&gt;0,INDEX('Menu Pricing'!$O$7:$O$56,$O997),""))))</f>
        <v/>
      </c>
      <c r="I997" s="71">
        <f>IF($N997&lt;&gt;"OK","",$D997*$H997)</f>
        <v/>
      </c>
      <c r="J997" s="71">
        <f>IF($N997&lt;&gt;"OK","",N(INDEX('Menu Pricing'!$F$7:$F$56,$O997))+N(INDEX('Menu Pricing'!$G$7:$G$56,$O997))+N(INDEX('Menu Pricing'!$J$7:$J$56,$O997)))</f>
        <v/>
      </c>
      <c r="K997" s="71">
        <f>IF($N997&lt;&gt;"OK","",$D997*$J997)</f>
        <v/>
      </c>
      <c r="L997" s="71">
        <f>IF($N997&lt;&gt;"OK","",$I997-$K997)</f>
        <v/>
      </c>
      <c r="M997" s="71">
        <f>IF($N997&lt;&gt;"OK","",$D997*N(INDEX('Menu Pricing'!$F$7:$F$56,$O997)))</f>
        <v/>
      </c>
      <c r="N997" s="80">
        <f>IF(AND($B997="",$C997="",$D997=""),"",IF(NOT(ISNUMBER($B997)),"Enter a valid date",IF($C997="","Pick a menu item",IF($O997="","Item not on Menu Pricing",IF(N($D997)&lt;=0,"Qty must be above 0",IF($H997="","No price on menu","OK"))))))</f>
        <v/>
      </c>
      <c r="O997" s="13">
        <f>IF($C997="","",IFERROR(MATCH($C997,'Menu Pricing'!$B$7:$B$56,0),""))</f>
        <v/>
      </c>
    </row>
    <row r="998" ht="17" customHeight="1">
      <c r="B998" s="66" t="n"/>
      <c r="C998" s="60" t="n"/>
      <c r="D998" s="86" t="n"/>
      <c r="E998" s="63" t="n"/>
      <c r="F998" s="60" t="n"/>
      <c r="G998" s="60" t="n"/>
      <c r="H998" s="71">
        <f>IF(OR($C998="",$D998=""),"",IF(ISNUMBER($E998),$E998,IF($O998="","",IF(N(INDEX('Menu Pricing'!$O$7:$O$56,$O998))&gt;0,INDEX('Menu Pricing'!$O$7:$O$56,$O998),""))))</f>
        <v/>
      </c>
      <c r="I998" s="71">
        <f>IF($N998&lt;&gt;"OK","",$D998*$H998)</f>
        <v/>
      </c>
      <c r="J998" s="71">
        <f>IF($N998&lt;&gt;"OK","",N(INDEX('Menu Pricing'!$F$7:$F$56,$O998))+N(INDEX('Menu Pricing'!$G$7:$G$56,$O998))+N(INDEX('Menu Pricing'!$J$7:$J$56,$O998)))</f>
        <v/>
      </c>
      <c r="K998" s="71">
        <f>IF($N998&lt;&gt;"OK","",$D998*$J998)</f>
        <v/>
      </c>
      <c r="L998" s="71">
        <f>IF($N998&lt;&gt;"OK","",$I998-$K998)</f>
        <v/>
      </c>
      <c r="M998" s="71">
        <f>IF($N998&lt;&gt;"OK","",$D998*N(INDEX('Menu Pricing'!$F$7:$F$56,$O998)))</f>
        <v/>
      </c>
      <c r="N998" s="80">
        <f>IF(AND($B998="",$C998="",$D998=""),"",IF(NOT(ISNUMBER($B998)),"Enter a valid date",IF($C998="","Pick a menu item",IF($O998="","Item not on Menu Pricing",IF(N($D998)&lt;=0,"Qty must be above 0",IF($H998="","No price on menu","OK"))))))</f>
        <v/>
      </c>
      <c r="O998" s="13">
        <f>IF($C998="","",IFERROR(MATCH($C998,'Menu Pricing'!$B$7:$B$56,0),""))</f>
        <v/>
      </c>
    </row>
    <row r="999" ht="17" customHeight="1">
      <c r="B999" s="66" t="n"/>
      <c r="C999" s="60" t="n"/>
      <c r="D999" s="86" t="n"/>
      <c r="E999" s="63" t="n"/>
      <c r="F999" s="60" t="n"/>
      <c r="G999" s="60" t="n"/>
      <c r="H999" s="71">
        <f>IF(OR($C999="",$D999=""),"",IF(ISNUMBER($E999),$E999,IF($O999="","",IF(N(INDEX('Menu Pricing'!$O$7:$O$56,$O999))&gt;0,INDEX('Menu Pricing'!$O$7:$O$56,$O999),""))))</f>
        <v/>
      </c>
      <c r="I999" s="71">
        <f>IF($N999&lt;&gt;"OK","",$D999*$H999)</f>
        <v/>
      </c>
      <c r="J999" s="71">
        <f>IF($N999&lt;&gt;"OK","",N(INDEX('Menu Pricing'!$F$7:$F$56,$O999))+N(INDEX('Menu Pricing'!$G$7:$G$56,$O999))+N(INDEX('Menu Pricing'!$J$7:$J$56,$O999)))</f>
        <v/>
      </c>
      <c r="K999" s="71">
        <f>IF($N999&lt;&gt;"OK","",$D999*$J999)</f>
        <v/>
      </c>
      <c r="L999" s="71">
        <f>IF($N999&lt;&gt;"OK","",$I999-$K999)</f>
        <v/>
      </c>
      <c r="M999" s="71">
        <f>IF($N999&lt;&gt;"OK","",$D999*N(INDEX('Menu Pricing'!$F$7:$F$56,$O999)))</f>
        <v/>
      </c>
      <c r="N999" s="80">
        <f>IF(AND($B999="",$C999="",$D999=""),"",IF(NOT(ISNUMBER($B999)),"Enter a valid date",IF($C999="","Pick a menu item",IF($O999="","Item not on Menu Pricing",IF(N($D999)&lt;=0,"Qty must be above 0",IF($H999="","No price on menu","OK"))))))</f>
        <v/>
      </c>
      <c r="O999" s="13">
        <f>IF($C999="","",IFERROR(MATCH($C999,'Menu Pricing'!$B$7:$B$56,0),""))</f>
        <v/>
      </c>
    </row>
    <row r="1000" ht="17" customHeight="1">
      <c r="B1000" s="66" t="n"/>
      <c r="C1000" s="60" t="n"/>
      <c r="D1000" s="86" t="n"/>
      <c r="E1000" s="63" t="n"/>
      <c r="F1000" s="60" t="n"/>
      <c r="G1000" s="60" t="n"/>
      <c r="H1000" s="71">
        <f>IF(OR($C1000="",$D1000=""),"",IF(ISNUMBER($E1000),$E1000,IF($O1000="","",IF(N(INDEX('Menu Pricing'!$O$7:$O$56,$O1000))&gt;0,INDEX('Menu Pricing'!$O$7:$O$56,$O1000),""))))</f>
        <v/>
      </c>
      <c r="I1000" s="71">
        <f>IF($N1000&lt;&gt;"OK","",$D1000*$H1000)</f>
        <v/>
      </c>
      <c r="J1000" s="71">
        <f>IF($N1000&lt;&gt;"OK","",N(INDEX('Menu Pricing'!$F$7:$F$56,$O1000))+N(INDEX('Menu Pricing'!$G$7:$G$56,$O1000))+N(INDEX('Menu Pricing'!$J$7:$J$56,$O1000)))</f>
        <v/>
      </c>
      <c r="K1000" s="71">
        <f>IF($N1000&lt;&gt;"OK","",$D1000*$J1000)</f>
        <v/>
      </c>
      <c r="L1000" s="71">
        <f>IF($N1000&lt;&gt;"OK","",$I1000-$K1000)</f>
        <v/>
      </c>
      <c r="M1000" s="71">
        <f>IF($N1000&lt;&gt;"OK","",$D1000*N(INDEX('Menu Pricing'!$F$7:$F$56,$O1000)))</f>
        <v/>
      </c>
      <c r="N1000" s="80">
        <f>IF(AND($B1000="",$C1000="",$D1000=""),"",IF(NOT(ISNUMBER($B1000)),"Enter a valid date",IF($C1000="","Pick a menu item",IF($O1000="","Item not on Menu Pricing",IF(N($D1000)&lt;=0,"Qty must be above 0",IF($H1000="","No price on menu","OK"))))))</f>
        <v/>
      </c>
      <c r="O1000" s="13">
        <f>IF($C1000="","",IFERROR(MATCH($C1000,'Menu Pricing'!$B$7:$B$56,0),""))</f>
        <v/>
      </c>
    </row>
    <row r="1001" ht="17" customHeight="1">
      <c r="B1001" s="66" t="n"/>
      <c r="C1001" s="60" t="n"/>
      <c r="D1001" s="86" t="n"/>
      <c r="E1001" s="63" t="n"/>
      <c r="F1001" s="60" t="n"/>
      <c r="G1001" s="60" t="n"/>
      <c r="H1001" s="71">
        <f>IF(OR($C1001="",$D1001=""),"",IF(ISNUMBER($E1001),$E1001,IF($O1001="","",IF(N(INDEX('Menu Pricing'!$O$7:$O$56,$O1001))&gt;0,INDEX('Menu Pricing'!$O$7:$O$56,$O1001),""))))</f>
        <v/>
      </c>
      <c r="I1001" s="71">
        <f>IF($N1001&lt;&gt;"OK","",$D1001*$H1001)</f>
        <v/>
      </c>
      <c r="J1001" s="71">
        <f>IF($N1001&lt;&gt;"OK","",N(INDEX('Menu Pricing'!$F$7:$F$56,$O1001))+N(INDEX('Menu Pricing'!$G$7:$G$56,$O1001))+N(INDEX('Menu Pricing'!$J$7:$J$56,$O1001)))</f>
        <v/>
      </c>
      <c r="K1001" s="71">
        <f>IF($N1001&lt;&gt;"OK","",$D1001*$J1001)</f>
        <v/>
      </c>
      <c r="L1001" s="71">
        <f>IF($N1001&lt;&gt;"OK","",$I1001-$K1001)</f>
        <v/>
      </c>
      <c r="M1001" s="71">
        <f>IF($N1001&lt;&gt;"OK","",$D1001*N(INDEX('Menu Pricing'!$F$7:$F$56,$O1001)))</f>
        <v/>
      </c>
      <c r="N1001" s="80">
        <f>IF(AND($B1001="",$C1001="",$D1001=""),"",IF(NOT(ISNUMBER($B1001)),"Enter a valid date",IF($C1001="","Pick a menu item",IF($O1001="","Item not on Menu Pricing",IF(N($D1001)&lt;=0,"Qty must be above 0",IF($H1001="","No price on menu","OK"))))))</f>
        <v/>
      </c>
      <c r="O1001" s="13">
        <f>IF($C1001="","",IFERROR(MATCH($C1001,'Menu Pricing'!$B$7:$B$56,0),""))</f>
        <v/>
      </c>
    </row>
    <row r="1002" ht="17" customHeight="1">
      <c r="B1002" s="66" t="n"/>
      <c r="C1002" s="60" t="n"/>
      <c r="D1002" s="86" t="n"/>
      <c r="E1002" s="63" t="n"/>
      <c r="F1002" s="60" t="n"/>
      <c r="G1002" s="60" t="n"/>
      <c r="H1002" s="71">
        <f>IF(OR($C1002="",$D1002=""),"",IF(ISNUMBER($E1002),$E1002,IF($O1002="","",IF(N(INDEX('Menu Pricing'!$O$7:$O$56,$O1002))&gt;0,INDEX('Menu Pricing'!$O$7:$O$56,$O1002),""))))</f>
        <v/>
      </c>
      <c r="I1002" s="71">
        <f>IF($N1002&lt;&gt;"OK","",$D1002*$H1002)</f>
        <v/>
      </c>
      <c r="J1002" s="71">
        <f>IF($N1002&lt;&gt;"OK","",N(INDEX('Menu Pricing'!$F$7:$F$56,$O1002))+N(INDEX('Menu Pricing'!$G$7:$G$56,$O1002))+N(INDEX('Menu Pricing'!$J$7:$J$56,$O1002)))</f>
        <v/>
      </c>
      <c r="K1002" s="71">
        <f>IF($N1002&lt;&gt;"OK","",$D1002*$J1002)</f>
        <v/>
      </c>
      <c r="L1002" s="71">
        <f>IF($N1002&lt;&gt;"OK","",$I1002-$K1002)</f>
        <v/>
      </c>
      <c r="M1002" s="71">
        <f>IF($N1002&lt;&gt;"OK","",$D1002*N(INDEX('Menu Pricing'!$F$7:$F$56,$O1002)))</f>
        <v/>
      </c>
      <c r="N1002" s="80">
        <f>IF(AND($B1002="",$C1002="",$D1002=""),"",IF(NOT(ISNUMBER($B1002)),"Enter a valid date",IF($C1002="","Pick a menu item",IF($O1002="","Item not on Menu Pricing",IF(N($D1002)&lt;=0,"Qty must be above 0",IF($H1002="","No price on menu","OK"))))))</f>
        <v/>
      </c>
      <c r="O1002" s="13">
        <f>IF($C1002="","",IFERROR(MATCH($C1002,'Menu Pricing'!$B$7:$B$56,0),""))</f>
        <v/>
      </c>
    </row>
    <row r="1003" ht="17" customHeight="1">
      <c r="B1003" s="66" t="n"/>
      <c r="C1003" s="60" t="n"/>
      <c r="D1003" s="86" t="n"/>
      <c r="E1003" s="63" t="n"/>
      <c r="F1003" s="60" t="n"/>
      <c r="G1003" s="60" t="n"/>
      <c r="H1003" s="71">
        <f>IF(OR($C1003="",$D1003=""),"",IF(ISNUMBER($E1003),$E1003,IF($O1003="","",IF(N(INDEX('Menu Pricing'!$O$7:$O$56,$O1003))&gt;0,INDEX('Menu Pricing'!$O$7:$O$56,$O1003),""))))</f>
        <v/>
      </c>
      <c r="I1003" s="71">
        <f>IF($N1003&lt;&gt;"OK","",$D1003*$H1003)</f>
        <v/>
      </c>
      <c r="J1003" s="71">
        <f>IF($N1003&lt;&gt;"OK","",N(INDEX('Menu Pricing'!$F$7:$F$56,$O1003))+N(INDEX('Menu Pricing'!$G$7:$G$56,$O1003))+N(INDEX('Menu Pricing'!$J$7:$J$56,$O1003)))</f>
        <v/>
      </c>
      <c r="K1003" s="71">
        <f>IF($N1003&lt;&gt;"OK","",$D1003*$J1003)</f>
        <v/>
      </c>
      <c r="L1003" s="71">
        <f>IF($N1003&lt;&gt;"OK","",$I1003-$K1003)</f>
        <v/>
      </c>
      <c r="M1003" s="71">
        <f>IF($N1003&lt;&gt;"OK","",$D1003*N(INDEX('Menu Pricing'!$F$7:$F$56,$O1003)))</f>
        <v/>
      </c>
      <c r="N1003" s="80">
        <f>IF(AND($B1003="",$C1003="",$D1003=""),"",IF(NOT(ISNUMBER($B1003)),"Enter a valid date",IF($C1003="","Pick a menu item",IF($O1003="","Item not on Menu Pricing",IF(N($D1003)&lt;=0,"Qty must be above 0",IF($H1003="","No price on menu","OK"))))))</f>
        <v/>
      </c>
      <c r="O1003" s="13">
        <f>IF($C1003="","",IFERROR(MATCH($C1003,'Menu Pricing'!$B$7:$B$56,0),""))</f>
        <v/>
      </c>
    </row>
    <row r="1004" ht="17" customHeight="1">
      <c r="B1004" s="66" t="n"/>
      <c r="C1004" s="60" t="n"/>
      <c r="D1004" s="86" t="n"/>
      <c r="E1004" s="63" t="n"/>
      <c r="F1004" s="60" t="n"/>
      <c r="G1004" s="60" t="n"/>
      <c r="H1004" s="71">
        <f>IF(OR($C1004="",$D1004=""),"",IF(ISNUMBER($E1004),$E1004,IF($O1004="","",IF(N(INDEX('Menu Pricing'!$O$7:$O$56,$O1004))&gt;0,INDEX('Menu Pricing'!$O$7:$O$56,$O1004),""))))</f>
        <v/>
      </c>
      <c r="I1004" s="71">
        <f>IF($N1004&lt;&gt;"OK","",$D1004*$H1004)</f>
        <v/>
      </c>
      <c r="J1004" s="71">
        <f>IF($N1004&lt;&gt;"OK","",N(INDEX('Menu Pricing'!$F$7:$F$56,$O1004))+N(INDEX('Menu Pricing'!$G$7:$G$56,$O1004))+N(INDEX('Menu Pricing'!$J$7:$J$56,$O1004)))</f>
        <v/>
      </c>
      <c r="K1004" s="71">
        <f>IF($N1004&lt;&gt;"OK","",$D1004*$J1004)</f>
        <v/>
      </c>
      <c r="L1004" s="71">
        <f>IF($N1004&lt;&gt;"OK","",$I1004-$K1004)</f>
        <v/>
      </c>
      <c r="M1004" s="71">
        <f>IF($N1004&lt;&gt;"OK","",$D1004*N(INDEX('Menu Pricing'!$F$7:$F$56,$O1004)))</f>
        <v/>
      </c>
      <c r="N1004" s="80">
        <f>IF(AND($B1004="",$C1004="",$D1004=""),"",IF(NOT(ISNUMBER($B1004)),"Enter a valid date",IF($C1004="","Pick a menu item",IF($O1004="","Item not on Menu Pricing",IF(N($D1004)&lt;=0,"Qty must be above 0",IF($H1004="","No price on menu","OK"))))))</f>
        <v/>
      </c>
      <c r="O1004" s="13">
        <f>IF($C1004="","",IFERROR(MATCH($C1004,'Menu Pricing'!$B$7:$B$56,0),""))</f>
        <v/>
      </c>
    </row>
    <row r="1005" ht="17" customHeight="1">
      <c r="B1005" s="66" t="n"/>
      <c r="C1005" s="60" t="n"/>
      <c r="D1005" s="86" t="n"/>
      <c r="E1005" s="63" t="n"/>
      <c r="F1005" s="60" t="n"/>
      <c r="G1005" s="60" t="n"/>
      <c r="H1005" s="71">
        <f>IF(OR($C1005="",$D1005=""),"",IF(ISNUMBER($E1005),$E1005,IF($O1005="","",IF(N(INDEX('Menu Pricing'!$O$7:$O$56,$O1005))&gt;0,INDEX('Menu Pricing'!$O$7:$O$56,$O1005),""))))</f>
        <v/>
      </c>
      <c r="I1005" s="71">
        <f>IF($N1005&lt;&gt;"OK","",$D1005*$H1005)</f>
        <v/>
      </c>
      <c r="J1005" s="71">
        <f>IF($N1005&lt;&gt;"OK","",N(INDEX('Menu Pricing'!$F$7:$F$56,$O1005))+N(INDEX('Menu Pricing'!$G$7:$G$56,$O1005))+N(INDEX('Menu Pricing'!$J$7:$J$56,$O1005)))</f>
        <v/>
      </c>
      <c r="K1005" s="71">
        <f>IF($N1005&lt;&gt;"OK","",$D1005*$J1005)</f>
        <v/>
      </c>
      <c r="L1005" s="71">
        <f>IF($N1005&lt;&gt;"OK","",$I1005-$K1005)</f>
        <v/>
      </c>
      <c r="M1005" s="71">
        <f>IF($N1005&lt;&gt;"OK","",$D1005*N(INDEX('Menu Pricing'!$F$7:$F$56,$O1005)))</f>
        <v/>
      </c>
      <c r="N1005" s="80">
        <f>IF(AND($B1005="",$C1005="",$D1005=""),"",IF(NOT(ISNUMBER($B1005)),"Enter a valid date",IF($C1005="","Pick a menu item",IF($O1005="","Item not on Menu Pricing",IF(N($D1005)&lt;=0,"Qty must be above 0",IF($H1005="","No price on menu","OK"))))))</f>
        <v/>
      </c>
      <c r="O1005" s="13">
        <f>IF($C1005="","",IFERROR(MATCH($C1005,'Menu Pricing'!$B$7:$B$56,0),""))</f>
        <v/>
      </c>
    </row>
    <row r="1006" ht="17" customHeight="1">
      <c r="B1006" s="66" t="n"/>
      <c r="C1006" s="60" t="n"/>
      <c r="D1006" s="86" t="n"/>
      <c r="E1006" s="63" t="n"/>
      <c r="F1006" s="60" t="n"/>
      <c r="G1006" s="60" t="n"/>
      <c r="H1006" s="71">
        <f>IF(OR($C1006="",$D1006=""),"",IF(ISNUMBER($E1006),$E1006,IF($O1006="","",IF(N(INDEX('Menu Pricing'!$O$7:$O$56,$O1006))&gt;0,INDEX('Menu Pricing'!$O$7:$O$56,$O1006),""))))</f>
        <v/>
      </c>
      <c r="I1006" s="71">
        <f>IF($N1006&lt;&gt;"OK","",$D1006*$H1006)</f>
        <v/>
      </c>
      <c r="J1006" s="71">
        <f>IF($N1006&lt;&gt;"OK","",N(INDEX('Menu Pricing'!$F$7:$F$56,$O1006))+N(INDEX('Menu Pricing'!$G$7:$G$56,$O1006))+N(INDEX('Menu Pricing'!$J$7:$J$56,$O1006)))</f>
        <v/>
      </c>
      <c r="K1006" s="71">
        <f>IF($N1006&lt;&gt;"OK","",$D1006*$J1006)</f>
        <v/>
      </c>
      <c r="L1006" s="71">
        <f>IF($N1006&lt;&gt;"OK","",$I1006-$K1006)</f>
        <v/>
      </c>
      <c r="M1006" s="71">
        <f>IF($N1006&lt;&gt;"OK","",$D1006*N(INDEX('Menu Pricing'!$F$7:$F$56,$O1006)))</f>
        <v/>
      </c>
      <c r="N1006" s="80">
        <f>IF(AND($B1006="",$C1006="",$D1006=""),"",IF(NOT(ISNUMBER($B1006)),"Enter a valid date",IF($C1006="","Pick a menu item",IF($O1006="","Item not on Menu Pricing",IF(N($D1006)&lt;=0,"Qty must be above 0",IF($H1006="","No price on menu","OK"))))))</f>
        <v/>
      </c>
      <c r="O1006" s="13">
        <f>IF($C1006="","",IFERROR(MATCH($C1006,'Menu Pricing'!$B$7:$B$56,0),""))</f>
        <v/>
      </c>
    </row>
    <row r="1007" ht="17" customHeight="1">
      <c r="B1007" s="66" t="n"/>
      <c r="C1007" s="60" t="n"/>
      <c r="D1007" s="86" t="n"/>
      <c r="E1007" s="63" t="n"/>
      <c r="F1007" s="60" t="n"/>
      <c r="G1007" s="60" t="n"/>
      <c r="H1007" s="71">
        <f>IF(OR($C1007="",$D1007=""),"",IF(ISNUMBER($E1007),$E1007,IF($O1007="","",IF(N(INDEX('Menu Pricing'!$O$7:$O$56,$O1007))&gt;0,INDEX('Menu Pricing'!$O$7:$O$56,$O1007),""))))</f>
        <v/>
      </c>
      <c r="I1007" s="71">
        <f>IF($N1007&lt;&gt;"OK","",$D1007*$H1007)</f>
        <v/>
      </c>
      <c r="J1007" s="71">
        <f>IF($N1007&lt;&gt;"OK","",N(INDEX('Menu Pricing'!$F$7:$F$56,$O1007))+N(INDEX('Menu Pricing'!$G$7:$G$56,$O1007))+N(INDEX('Menu Pricing'!$J$7:$J$56,$O1007)))</f>
        <v/>
      </c>
      <c r="K1007" s="71">
        <f>IF($N1007&lt;&gt;"OK","",$D1007*$J1007)</f>
        <v/>
      </c>
      <c r="L1007" s="71">
        <f>IF($N1007&lt;&gt;"OK","",$I1007-$K1007)</f>
        <v/>
      </c>
      <c r="M1007" s="71">
        <f>IF($N1007&lt;&gt;"OK","",$D1007*N(INDEX('Menu Pricing'!$F$7:$F$56,$O1007)))</f>
        <v/>
      </c>
      <c r="N1007" s="80">
        <f>IF(AND($B1007="",$C1007="",$D1007=""),"",IF(NOT(ISNUMBER($B1007)),"Enter a valid date",IF($C1007="","Pick a menu item",IF($O1007="","Item not on Menu Pricing",IF(N($D1007)&lt;=0,"Qty must be above 0",IF($H1007="","No price on menu","OK"))))))</f>
        <v/>
      </c>
      <c r="O1007" s="13">
        <f>IF($C1007="","",IFERROR(MATCH($C1007,'Menu Pricing'!$B$7:$B$56,0),""))</f>
        <v/>
      </c>
    </row>
    <row r="1008" ht="17" customHeight="1">
      <c r="B1008" s="66" t="n"/>
      <c r="C1008" s="60" t="n"/>
      <c r="D1008" s="86" t="n"/>
      <c r="E1008" s="63" t="n"/>
      <c r="F1008" s="60" t="n"/>
      <c r="G1008" s="60" t="n"/>
      <c r="H1008" s="71">
        <f>IF(OR($C1008="",$D1008=""),"",IF(ISNUMBER($E1008),$E1008,IF($O1008="","",IF(N(INDEX('Menu Pricing'!$O$7:$O$56,$O1008))&gt;0,INDEX('Menu Pricing'!$O$7:$O$56,$O1008),""))))</f>
        <v/>
      </c>
      <c r="I1008" s="71">
        <f>IF($N1008&lt;&gt;"OK","",$D1008*$H1008)</f>
        <v/>
      </c>
      <c r="J1008" s="71">
        <f>IF($N1008&lt;&gt;"OK","",N(INDEX('Menu Pricing'!$F$7:$F$56,$O1008))+N(INDEX('Menu Pricing'!$G$7:$G$56,$O1008))+N(INDEX('Menu Pricing'!$J$7:$J$56,$O1008)))</f>
        <v/>
      </c>
      <c r="K1008" s="71">
        <f>IF($N1008&lt;&gt;"OK","",$D1008*$J1008)</f>
        <v/>
      </c>
      <c r="L1008" s="71">
        <f>IF($N1008&lt;&gt;"OK","",$I1008-$K1008)</f>
        <v/>
      </c>
      <c r="M1008" s="71">
        <f>IF($N1008&lt;&gt;"OK","",$D1008*N(INDEX('Menu Pricing'!$F$7:$F$56,$O1008)))</f>
        <v/>
      </c>
      <c r="N1008" s="80">
        <f>IF(AND($B1008="",$C1008="",$D1008=""),"",IF(NOT(ISNUMBER($B1008)),"Enter a valid date",IF($C1008="","Pick a menu item",IF($O1008="","Item not on Menu Pricing",IF(N($D1008)&lt;=0,"Qty must be above 0",IF($H1008="","No price on menu","OK"))))))</f>
        <v/>
      </c>
      <c r="O1008" s="13">
        <f>IF($C1008="","",IFERROR(MATCH($C1008,'Menu Pricing'!$B$7:$B$56,0),""))</f>
        <v/>
      </c>
    </row>
    <row r="1009" ht="17" customHeight="1">
      <c r="B1009" s="66" t="n"/>
      <c r="C1009" s="60" t="n"/>
      <c r="D1009" s="86" t="n"/>
      <c r="E1009" s="63" t="n"/>
      <c r="F1009" s="60" t="n"/>
      <c r="G1009" s="60" t="n"/>
      <c r="H1009" s="71">
        <f>IF(OR($C1009="",$D1009=""),"",IF(ISNUMBER($E1009),$E1009,IF($O1009="","",IF(N(INDEX('Menu Pricing'!$O$7:$O$56,$O1009))&gt;0,INDEX('Menu Pricing'!$O$7:$O$56,$O1009),""))))</f>
        <v/>
      </c>
      <c r="I1009" s="71">
        <f>IF($N1009&lt;&gt;"OK","",$D1009*$H1009)</f>
        <v/>
      </c>
      <c r="J1009" s="71">
        <f>IF($N1009&lt;&gt;"OK","",N(INDEX('Menu Pricing'!$F$7:$F$56,$O1009))+N(INDEX('Menu Pricing'!$G$7:$G$56,$O1009))+N(INDEX('Menu Pricing'!$J$7:$J$56,$O1009)))</f>
        <v/>
      </c>
      <c r="K1009" s="71">
        <f>IF($N1009&lt;&gt;"OK","",$D1009*$J1009)</f>
        <v/>
      </c>
      <c r="L1009" s="71">
        <f>IF($N1009&lt;&gt;"OK","",$I1009-$K1009)</f>
        <v/>
      </c>
      <c r="M1009" s="71">
        <f>IF($N1009&lt;&gt;"OK","",$D1009*N(INDEX('Menu Pricing'!$F$7:$F$56,$O1009)))</f>
        <v/>
      </c>
      <c r="N1009" s="80">
        <f>IF(AND($B1009="",$C1009="",$D1009=""),"",IF(NOT(ISNUMBER($B1009)),"Enter a valid date",IF($C1009="","Pick a menu item",IF($O1009="","Item not on Menu Pricing",IF(N($D1009)&lt;=0,"Qty must be above 0",IF($H1009="","No price on menu","OK"))))))</f>
        <v/>
      </c>
      <c r="O1009" s="13">
        <f>IF($C1009="","",IFERROR(MATCH($C1009,'Menu Pricing'!$B$7:$B$56,0),""))</f>
        <v/>
      </c>
    </row>
    <row r="1010" ht="17" customHeight="1">
      <c r="B1010" s="66" t="n"/>
      <c r="C1010" s="60" t="n"/>
      <c r="D1010" s="86" t="n"/>
      <c r="E1010" s="63" t="n"/>
      <c r="F1010" s="60" t="n"/>
      <c r="G1010" s="60" t="n"/>
      <c r="H1010" s="71">
        <f>IF(OR($C1010="",$D1010=""),"",IF(ISNUMBER($E1010),$E1010,IF($O1010="","",IF(N(INDEX('Menu Pricing'!$O$7:$O$56,$O1010))&gt;0,INDEX('Menu Pricing'!$O$7:$O$56,$O1010),""))))</f>
        <v/>
      </c>
      <c r="I1010" s="71">
        <f>IF($N1010&lt;&gt;"OK","",$D1010*$H1010)</f>
        <v/>
      </c>
      <c r="J1010" s="71">
        <f>IF($N1010&lt;&gt;"OK","",N(INDEX('Menu Pricing'!$F$7:$F$56,$O1010))+N(INDEX('Menu Pricing'!$G$7:$G$56,$O1010))+N(INDEX('Menu Pricing'!$J$7:$J$56,$O1010)))</f>
        <v/>
      </c>
      <c r="K1010" s="71">
        <f>IF($N1010&lt;&gt;"OK","",$D1010*$J1010)</f>
        <v/>
      </c>
      <c r="L1010" s="71">
        <f>IF($N1010&lt;&gt;"OK","",$I1010-$K1010)</f>
        <v/>
      </c>
      <c r="M1010" s="71">
        <f>IF($N1010&lt;&gt;"OK","",$D1010*N(INDEX('Menu Pricing'!$F$7:$F$56,$O1010)))</f>
        <v/>
      </c>
      <c r="N1010" s="80">
        <f>IF(AND($B1010="",$C1010="",$D1010=""),"",IF(NOT(ISNUMBER($B1010)),"Enter a valid date",IF($C1010="","Pick a menu item",IF($O1010="","Item not on Menu Pricing",IF(N($D1010)&lt;=0,"Qty must be above 0",IF($H1010="","No price on menu","OK"))))))</f>
        <v/>
      </c>
      <c r="O1010" s="13">
        <f>IF($C1010="","",IFERROR(MATCH($C1010,'Menu Pricing'!$B$7:$B$56,0),""))</f>
        <v/>
      </c>
    </row>
    <row r="1011" ht="17" customHeight="1">
      <c r="B1011" s="66" t="n"/>
      <c r="C1011" s="60" t="n"/>
      <c r="D1011" s="86" t="n"/>
      <c r="E1011" s="63" t="n"/>
      <c r="F1011" s="60" t="n"/>
      <c r="G1011" s="60" t="n"/>
      <c r="H1011" s="71">
        <f>IF(OR($C1011="",$D1011=""),"",IF(ISNUMBER($E1011),$E1011,IF($O1011="","",IF(N(INDEX('Menu Pricing'!$O$7:$O$56,$O1011))&gt;0,INDEX('Menu Pricing'!$O$7:$O$56,$O1011),""))))</f>
        <v/>
      </c>
      <c r="I1011" s="71">
        <f>IF($N1011&lt;&gt;"OK","",$D1011*$H1011)</f>
        <v/>
      </c>
      <c r="J1011" s="71">
        <f>IF($N1011&lt;&gt;"OK","",N(INDEX('Menu Pricing'!$F$7:$F$56,$O1011))+N(INDEX('Menu Pricing'!$G$7:$G$56,$O1011))+N(INDEX('Menu Pricing'!$J$7:$J$56,$O1011)))</f>
        <v/>
      </c>
      <c r="K1011" s="71">
        <f>IF($N1011&lt;&gt;"OK","",$D1011*$J1011)</f>
        <v/>
      </c>
      <c r="L1011" s="71">
        <f>IF($N1011&lt;&gt;"OK","",$I1011-$K1011)</f>
        <v/>
      </c>
      <c r="M1011" s="71">
        <f>IF($N1011&lt;&gt;"OK","",$D1011*N(INDEX('Menu Pricing'!$F$7:$F$56,$O1011)))</f>
        <v/>
      </c>
      <c r="N1011" s="80">
        <f>IF(AND($B1011="",$C1011="",$D1011=""),"",IF(NOT(ISNUMBER($B1011)),"Enter a valid date",IF($C1011="","Pick a menu item",IF($O1011="","Item not on Menu Pricing",IF(N($D1011)&lt;=0,"Qty must be above 0",IF($H1011="","No price on menu","OK"))))))</f>
        <v/>
      </c>
      <c r="O1011" s="13">
        <f>IF($C1011="","",IFERROR(MATCH($C1011,'Menu Pricing'!$B$7:$B$56,0),""))</f>
        <v/>
      </c>
    </row>
    <row r="1012" ht="17" customHeight="1">
      <c r="B1012" s="66" t="n"/>
      <c r="C1012" s="60" t="n"/>
      <c r="D1012" s="86" t="n"/>
      <c r="E1012" s="63" t="n"/>
      <c r="F1012" s="60" t="n"/>
      <c r="G1012" s="60" t="n"/>
      <c r="H1012" s="71">
        <f>IF(OR($C1012="",$D1012=""),"",IF(ISNUMBER($E1012),$E1012,IF($O1012="","",IF(N(INDEX('Menu Pricing'!$O$7:$O$56,$O1012))&gt;0,INDEX('Menu Pricing'!$O$7:$O$56,$O1012),""))))</f>
        <v/>
      </c>
      <c r="I1012" s="71">
        <f>IF($N1012&lt;&gt;"OK","",$D1012*$H1012)</f>
        <v/>
      </c>
      <c r="J1012" s="71">
        <f>IF($N1012&lt;&gt;"OK","",N(INDEX('Menu Pricing'!$F$7:$F$56,$O1012))+N(INDEX('Menu Pricing'!$G$7:$G$56,$O1012))+N(INDEX('Menu Pricing'!$J$7:$J$56,$O1012)))</f>
        <v/>
      </c>
      <c r="K1012" s="71">
        <f>IF($N1012&lt;&gt;"OK","",$D1012*$J1012)</f>
        <v/>
      </c>
      <c r="L1012" s="71">
        <f>IF($N1012&lt;&gt;"OK","",$I1012-$K1012)</f>
        <v/>
      </c>
      <c r="M1012" s="71">
        <f>IF($N1012&lt;&gt;"OK","",$D1012*N(INDEX('Menu Pricing'!$F$7:$F$56,$O1012)))</f>
        <v/>
      </c>
      <c r="N1012" s="80">
        <f>IF(AND($B1012="",$C1012="",$D1012=""),"",IF(NOT(ISNUMBER($B1012)),"Enter a valid date",IF($C1012="","Pick a menu item",IF($O1012="","Item not on Menu Pricing",IF(N($D1012)&lt;=0,"Qty must be above 0",IF($H1012="","No price on menu","OK"))))))</f>
        <v/>
      </c>
      <c r="O1012" s="13">
        <f>IF($C1012="","",IFERROR(MATCH($C1012,'Menu Pricing'!$B$7:$B$56,0),""))</f>
        <v/>
      </c>
    </row>
    <row r="1013" ht="17" customHeight="1">
      <c r="B1013" s="66" t="n"/>
      <c r="C1013" s="60" t="n"/>
      <c r="D1013" s="86" t="n"/>
      <c r="E1013" s="63" t="n"/>
      <c r="F1013" s="60" t="n"/>
      <c r="G1013" s="60" t="n"/>
      <c r="H1013" s="71">
        <f>IF(OR($C1013="",$D1013=""),"",IF(ISNUMBER($E1013),$E1013,IF($O1013="","",IF(N(INDEX('Menu Pricing'!$O$7:$O$56,$O1013))&gt;0,INDEX('Menu Pricing'!$O$7:$O$56,$O1013),""))))</f>
        <v/>
      </c>
      <c r="I1013" s="71">
        <f>IF($N1013&lt;&gt;"OK","",$D1013*$H1013)</f>
        <v/>
      </c>
      <c r="J1013" s="71">
        <f>IF($N1013&lt;&gt;"OK","",N(INDEX('Menu Pricing'!$F$7:$F$56,$O1013))+N(INDEX('Menu Pricing'!$G$7:$G$56,$O1013))+N(INDEX('Menu Pricing'!$J$7:$J$56,$O1013)))</f>
        <v/>
      </c>
      <c r="K1013" s="71">
        <f>IF($N1013&lt;&gt;"OK","",$D1013*$J1013)</f>
        <v/>
      </c>
      <c r="L1013" s="71">
        <f>IF($N1013&lt;&gt;"OK","",$I1013-$K1013)</f>
        <v/>
      </c>
      <c r="M1013" s="71">
        <f>IF($N1013&lt;&gt;"OK","",$D1013*N(INDEX('Menu Pricing'!$F$7:$F$56,$O1013)))</f>
        <v/>
      </c>
      <c r="N1013" s="80">
        <f>IF(AND($B1013="",$C1013="",$D1013=""),"",IF(NOT(ISNUMBER($B1013)),"Enter a valid date",IF($C1013="","Pick a menu item",IF($O1013="","Item not on Menu Pricing",IF(N($D1013)&lt;=0,"Qty must be above 0",IF($H1013="","No price on menu","OK"))))))</f>
        <v/>
      </c>
      <c r="O1013" s="13">
        <f>IF($C1013="","",IFERROR(MATCH($C1013,'Menu Pricing'!$B$7:$B$56,0),""))</f>
        <v/>
      </c>
    </row>
    <row r="1014" ht="17" customHeight="1">
      <c r="B1014" s="66" t="n"/>
      <c r="C1014" s="60" t="n"/>
      <c r="D1014" s="86" t="n"/>
      <c r="E1014" s="63" t="n"/>
      <c r="F1014" s="60" t="n"/>
      <c r="G1014" s="60" t="n"/>
      <c r="H1014" s="71">
        <f>IF(OR($C1014="",$D1014=""),"",IF(ISNUMBER($E1014),$E1014,IF($O1014="","",IF(N(INDEX('Menu Pricing'!$O$7:$O$56,$O1014))&gt;0,INDEX('Menu Pricing'!$O$7:$O$56,$O1014),""))))</f>
        <v/>
      </c>
      <c r="I1014" s="71">
        <f>IF($N1014&lt;&gt;"OK","",$D1014*$H1014)</f>
        <v/>
      </c>
      <c r="J1014" s="71">
        <f>IF($N1014&lt;&gt;"OK","",N(INDEX('Menu Pricing'!$F$7:$F$56,$O1014))+N(INDEX('Menu Pricing'!$G$7:$G$56,$O1014))+N(INDEX('Menu Pricing'!$J$7:$J$56,$O1014)))</f>
        <v/>
      </c>
      <c r="K1014" s="71">
        <f>IF($N1014&lt;&gt;"OK","",$D1014*$J1014)</f>
        <v/>
      </c>
      <c r="L1014" s="71">
        <f>IF($N1014&lt;&gt;"OK","",$I1014-$K1014)</f>
        <v/>
      </c>
      <c r="M1014" s="71">
        <f>IF($N1014&lt;&gt;"OK","",$D1014*N(INDEX('Menu Pricing'!$F$7:$F$56,$O1014)))</f>
        <v/>
      </c>
      <c r="N1014" s="80">
        <f>IF(AND($B1014="",$C1014="",$D1014=""),"",IF(NOT(ISNUMBER($B1014)),"Enter a valid date",IF($C1014="","Pick a menu item",IF($O1014="","Item not on Menu Pricing",IF(N($D1014)&lt;=0,"Qty must be above 0",IF($H1014="","No price on menu","OK"))))))</f>
        <v/>
      </c>
      <c r="O1014" s="13">
        <f>IF($C1014="","",IFERROR(MATCH($C1014,'Menu Pricing'!$B$7:$B$56,0),""))</f>
        <v/>
      </c>
    </row>
    <row r="1015" ht="17" customHeight="1">
      <c r="B1015" s="66" t="n"/>
      <c r="C1015" s="60" t="n"/>
      <c r="D1015" s="86" t="n"/>
      <c r="E1015" s="63" t="n"/>
      <c r="F1015" s="60" t="n"/>
      <c r="G1015" s="60" t="n"/>
      <c r="H1015" s="71">
        <f>IF(OR($C1015="",$D1015=""),"",IF(ISNUMBER($E1015),$E1015,IF($O1015="","",IF(N(INDEX('Menu Pricing'!$O$7:$O$56,$O1015))&gt;0,INDEX('Menu Pricing'!$O$7:$O$56,$O1015),""))))</f>
        <v/>
      </c>
      <c r="I1015" s="71">
        <f>IF($N1015&lt;&gt;"OK","",$D1015*$H1015)</f>
        <v/>
      </c>
      <c r="J1015" s="71">
        <f>IF($N1015&lt;&gt;"OK","",N(INDEX('Menu Pricing'!$F$7:$F$56,$O1015))+N(INDEX('Menu Pricing'!$G$7:$G$56,$O1015))+N(INDEX('Menu Pricing'!$J$7:$J$56,$O1015)))</f>
        <v/>
      </c>
      <c r="K1015" s="71">
        <f>IF($N1015&lt;&gt;"OK","",$D1015*$J1015)</f>
        <v/>
      </c>
      <c r="L1015" s="71">
        <f>IF($N1015&lt;&gt;"OK","",$I1015-$K1015)</f>
        <v/>
      </c>
      <c r="M1015" s="71">
        <f>IF($N1015&lt;&gt;"OK","",$D1015*N(INDEX('Menu Pricing'!$F$7:$F$56,$O1015)))</f>
        <v/>
      </c>
      <c r="N1015" s="80">
        <f>IF(AND($B1015="",$C1015="",$D1015=""),"",IF(NOT(ISNUMBER($B1015)),"Enter a valid date",IF($C1015="","Pick a menu item",IF($O1015="","Item not on Menu Pricing",IF(N($D1015)&lt;=0,"Qty must be above 0",IF($H1015="","No price on menu","OK"))))))</f>
        <v/>
      </c>
      <c r="O1015" s="13">
        <f>IF($C1015="","",IFERROR(MATCH($C1015,'Menu Pricing'!$B$7:$B$56,0),""))</f>
        <v/>
      </c>
    </row>
    <row r="1016" ht="17" customHeight="1">
      <c r="B1016" s="66" t="n"/>
      <c r="C1016" s="60" t="n"/>
      <c r="D1016" s="86" t="n"/>
      <c r="E1016" s="63" t="n"/>
      <c r="F1016" s="60" t="n"/>
      <c r="G1016" s="60" t="n"/>
      <c r="H1016" s="71">
        <f>IF(OR($C1016="",$D1016=""),"",IF(ISNUMBER($E1016),$E1016,IF($O1016="","",IF(N(INDEX('Menu Pricing'!$O$7:$O$56,$O1016))&gt;0,INDEX('Menu Pricing'!$O$7:$O$56,$O1016),""))))</f>
        <v/>
      </c>
      <c r="I1016" s="71">
        <f>IF($N1016&lt;&gt;"OK","",$D1016*$H1016)</f>
        <v/>
      </c>
      <c r="J1016" s="71">
        <f>IF($N1016&lt;&gt;"OK","",N(INDEX('Menu Pricing'!$F$7:$F$56,$O1016))+N(INDEX('Menu Pricing'!$G$7:$G$56,$O1016))+N(INDEX('Menu Pricing'!$J$7:$J$56,$O1016)))</f>
        <v/>
      </c>
      <c r="K1016" s="71">
        <f>IF($N1016&lt;&gt;"OK","",$D1016*$J1016)</f>
        <v/>
      </c>
      <c r="L1016" s="71">
        <f>IF($N1016&lt;&gt;"OK","",$I1016-$K1016)</f>
        <v/>
      </c>
      <c r="M1016" s="71">
        <f>IF($N1016&lt;&gt;"OK","",$D1016*N(INDEX('Menu Pricing'!$F$7:$F$56,$O1016)))</f>
        <v/>
      </c>
      <c r="N1016" s="80">
        <f>IF(AND($B1016="",$C1016="",$D1016=""),"",IF(NOT(ISNUMBER($B1016)),"Enter a valid date",IF($C1016="","Pick a menu item",IF($O1016="","Item not on Menu Pricing",IF(N($D1016)&lt;=0,"Qty must be above 0",IF($H1016="","No price on menu","OK"))))))</f>
        <v/>
      </c>
      <c r="O1016" s="13">
        <f>IF($C1016="","",IFERROR(MATCH($C1016,'Menu Pricing'!$B$7:$B$56,0),""))</f>
        <v/>
      </c>
    </row>
    <row r="1017" ht="17" customHeight="1">
      <c r="B1017" s="66" t="n"/>
      <c r="C1017" s="60" t="n"/>
      <c r="D1017" s="86" t="n"/>
      <c r="E1017" s="63" t="n"/>
      <c r="F1017" s="60" t="n"/>
      <c r="G1017" s="60" t="n"/>
      <c r="H1017" s="71">
        <f>IF(OR($C1017="",$D1017=""),"",IF(ISNUMBER($E1017),$E1017,IF($O1017="","",IF(N(INDEX('Menu Pricing'!$O$7:$O$56,$O1017))&gt;0,INDEX('Menu Pricing'!$O$7:$O$56,$O1017),""))))</f>
        <v/>
      </c>
      <c r="I1017" s="71">
        <f>IF($N1017&lt;&gt;"OK","",$D1017*$H1017)</f>
        <v/>
      </c>
      <c r="J1017" s="71">
        <f>IF($N1017&lt;&gt;"OK","",N(INDEX('Menu Pricing'!$F$7:$F$56,$O1017))+N(INDEX('Menu Pricing'!$G$7:$G$56,$O1017))+N(INDEX('Menu Pricing'!$J$7:$J$56,$O1017)))</f>
        <v/>
      </c>
      <c r="K1017" s="71">
        <f>IF($N1017&lt;&gt;"OK","",$D1017*$J1017)</f>
        <v/>
      </c>
      <c r="L1017" s="71">
        <f>IF($N1017&lt;&gt;"OK","",$I1017-$K1017)</f>
        <v/>
      </c>
      <c r="M1017" s="71">
        <f>IF($N1017&lt;&gt;"OK","",$D1017*N(INDEX('Menu Pricing'!$F$7:$F$56,$O1017)))</f>
        <v/>
      </c>
      <c r="N1017" s="80">
        <f>IF(AND($B1017="",$C1017="",$D1017=""),"",IF(NOT(ISNUMBER($B1017)),"Enter a valid date",IF($C1017="","Pick a menu item",IF($O1017="","Item not on Menu Pricing",IF(N($D1017)&lt;=0,"Qty must be above 0",IF($H1017="","No price on menu","OK"))))))</f>
        <v/>
      </c>
      <c r="O1017" s="13">
        <f>IF($C1017="","",IFERROR(MATCH($C1017,'Menu Pricing'!$B$7:$B$56,0),""))</f>
        <v/>
      </c>
    </row>
    <row r="1018" ht="17" customHeight="1">
      <c r="B1018" s="66" t="n"/>
      <c r="C1018" s="60" t="n"/>
      <c r="D1018" s="86" t="n"/>
      <c r="E1018" s="63" t="n"/>
      <c r="F1018" s="60" t="n"/>
      <c r="G1018" s="60" t="n"/>
      <c r="H1018" s="71">
        <f>IF(OR($C1018="",$D1018=""),"",IF(ISNUMBER($E1018),$E1018,IF($O1018="","",IF(N(INDEX('Menu Pricing'!$O$7:$O$56,$O1018))&gt;0,INDEX('Menu Pricing'!$O$7:$O$56,$O1018),""))))</f>
        <v/>
      </c>
      <c r="I1018" s="71">
        <f>IF($N1018&lt;&gt;"OK","",$D1018*$H1018)</f>
        <v/>
      </c>
      <c r="J1018" s="71">
        <f>IF($N1018&lt;&gt;"OK","",N(INDEX('Menu Pricing'!$F$7:$F$56,$O1018))+N(INDEX('Menu Pricing'!$G$7:$G$56,$O1018))+N(INDEX('Menu Pricing'!$J$7:$J$56,$O1018)))</f>
        <v/>
      </c>
      <c r="K1018" s="71">
        <f>IF($N1018&lt;&gt;"OK","",$D1018*$J1018)</f>
        <v/>
      </c>
      <c r="L1018" s="71">
        <f>IF($N1018&lt;&gt;"OK","",$I1018-$K1018)</f>
        <v/>
      </c>
      <c r="M1018" s="71">
        <f>IF($N1018&lt;&gt;"OK","",$D1018*N(INDEX('Menu Pricing'!$F$7:$F$56,$O1018)))</f>
        <v/>
      </c>
      <c r="N1018" s="80">
        <f>IF(AND($B1018="",$C1018="",$D1018=""),"",IF(NOT(ISNUMBER($B1018)),"Enter a valid date",IF($C1018="","Pick a menu item",IF($O1018="","Item not on Menu Pricing",IF(N($D1018)&lt;=0,"Qty must be above 0",IF($H1018="","No price on menu","OK"))))))</f>
        <v/>
      </c>
      <c r="O1018" s="13">
        <f>IF($C1018="","",IFERROR(MATCH($C1018,'Menu Pricing'!$B$7:$B$56,0),""))</f>
        <v/>
      </c>
    </row>
    <row r="1019" ht="17" customHeight="1">
      <c r="B1019" s="66" t="n"/>
      <c r="C1019" s="60" t="n"/>
      <c r="D1019" s="86" t="n"/>
      <c r="E1019" s="63" t="n"/>
      <c r="F1019" s="60" t="n"/>
      <c r="G1019" s="60" t="n"/>
      <c r="H1019" s="71">
        <f>IF(OR($C1019="",$D1019=""),"",IF(ISNUMBER($E1019),$E1019,IF($O1019="","",IF(N(INDEX('Menu Pricing'!$O$7:$O$56,$O1019))&gt;0,INDEX('Menu Pricing'!$O$7:$O$56,$O1019),""))))</f>
        <v/>
      </c>
      <c r="I1019" s="71">
        <f>IF($N1019&lt;&gt;"OK","",$D1019*$H1019)</f>
        <v/>
      </c>
      <c r="J1019" s="71">
        <f>IF($N1019&lt;&gt;"OK","",N(INDEX('Menu Pricing'!$F$7:$F$56,$O1019))+N(INDEX('Menu Pricing'!$G$7:$G$56,$O1019))+N(INDEX('Menu Pricing'!$J$7:$J$56,$O1019)))</f>
        <v/>
      </c>
      <c r="K1019" s="71">
        <f>IF($N1019&lt;&gt;"OK","",$D1019*$J1019)</f>
        <v/>
      </c>
      <c r="L1019" s="71">
        <f>IF($N1019&lt;&gt;"OK","",$I1019-$K1019)</f>
        <v/>
      </c>
      <c r="M1019" s="71">
        <f>IF($N1019&lt;&gt;"OK","",$D1019*N(INDEX('Menu Pricing'!$F$7:$F$56,$O1019)))</f>
        <v/>
      </c>
      <c r="N1019" s="80">
        <f>IF(AND($B1019="",$C1019="",$D1019=""),"",IF(NOT(ISNUMBER($B1019)),"Enter a valid date",IF($C1019="","Pick a menu item",IF($O1019="","Item not on Menu Pricing",IF(N($D1019)&lt;=0,"Qty must be above 0",IF($H1019="","No price on menu","OK"))))))</f>
        <v/>
      </c>
      <c r="O1019" s="13">
        <f>IF($C1019="","",IFERROR(MATCH($C1019,'Menu Pricing'!$B$7:$B$56,0),""))</f>
        <v/>
      </c>
    </row>
    <row r="1020" ht="17" customHeight="1">
      <c r="B1020" s="66" t="n"/>
      <c r="C1020" s="60" t="n"/>
      <c r="D1020" s="86" t="n"/>
      <c r="E1020" s="63" t="n"/>
      <c r="F1020" s="60" t="n"/>
      <c r="G1020" s="60" t="n"/>
      <c r="H1020" s="71">
        <f>IF(OR($C1020="",$D1020=""),"",IF(ISNUMBER($E1020),$E1020,IF($O1020="","",IF(N(INDEX('Menu Pricing'!$O$7:$O$56,$O1020))&gt;0,INDEX('Menu Pricing'!$O$7:$O$56,$O1020),""))))</f>
        <v/>
      </c>
      <c r="I1020" s="71">
        <f>IF($N1020&lt;&gt;"OK","",$D1020*$H1020)</f>
        <v/>
      </c>
      <c r="J1020" s="71">
        <f>IF($N1020&lt;&gt;"OK","",N(INDEX('Menu Pricing'!$F$7:$F$56,$O1020))+N(INDEX('Menu Pricing'!$G$7:$G$56,$O1020))+N(INDEX('Menu Pricing'!$J$7:$J$56,$O1020)))</f>
        <v/>
      </c>
      <c r="K1020" s="71">
        <f>IF($N1020&lt;&gt;"OK","",$D1020*$J1020)</f>
        <v/>
      </c>
      <c r="L1020" s="71">
        <f>IF($N1020&lt;&gt;"OK","",$I1020-$K1020)</f>
        <v/>
      </c>
      <c r="M1020" s="71">
        <f>IF($N1020&lt;&gt;"OK","",$D1020*N(INDEX('Menu Pricing'!$F$7:$F$56,$O1020)))</f>
        <v/>
      </c>
      <c r="N1020" s="80">
        <f>IF(AND($B1020="",$C1020="",$D1020=""),"",IF(NOT(ISNUMBER($B1020)),"Enter a valid date",IF($C1020="","Pick a menu item",IF($O1020="","Item not on Menu Pricing",IF(N($D1020)&lt;=0,"Qty must be above 0",IF($H1020="","No price on menu","OK"))))))</f>
        <v/>
      </c>
      <c r="O1020" s="13">
        <f>IF($C1020="","",IFERROR(MATCH($C1020,'Menu Pricing'!$B$7:$B$56,0),""))</f>
        <v/>
      </c>
    </row>
    <row r="1021" ht="17" customHeight="1">
      <c r="B1021" s="66" t="n"/>
      <c r="C1021" s="60" t="n"/>
      <c r="D1021" s="86" t="n"/>
      <c r="E1021" s="63" t="n"/>
      <c r="F1021" s="60" t="n"/>
      <c r="G1021" s="60" t="n"/>
      <c r="H1021" s="71">
        <f>IF(OR($C1021="",$D1021=""),"",IF(ISNUMBER($E1021),$E1021,IF($O1021="","",IF(N(INDEX('Menu Pricing'!$O$7:$O$56,$O1021))&gt;0,INDEX('Menu Pricing'!$O$7:$O$56,$O1021),""))))</f>
        <v/>
      </c>
      <c r="I1021" s="71">
        <f>IF($N1021&lt;&gt;"OK","",$D1021*$H1021)</f>
        <v/>
      </c>
      <c r="J1021" s="71">
        <f>IF($N1021&lt;&gt;"OK","",N(INDEX('Menu Pricing'!$F$7:$F$56,$O1021))+N(INDEX('Menu Pricing'!$G$7:$G$56,$O1021))+N(INDEX('Menu Pricing'!$J$7:$J$56,$O1021)))</f>
        <v/>
      </c>
      <c r="K1021" s="71">
        <f>IF($N1021&lt;&gt;"OK","",$D1021*$J1021)</f>
        <v/>
      </c>
      <c r="L1021" s="71">
        <f>IF($N1021&lt;&gt;"OK","",$I1021-$K1021)</f>
        <v/>
      </c>
      <c r="M1021" s="71">
        <f>IF($N1021&lt;&gt;"OK","",$D1021*N(INDEX('Menu Pricing'!$F$7:$F$56,$O1021)))</f>
        <v/>
      </c>
      <c r="N1021" s="80">
        <f>IF(AND($B1021="",$C1021="",$D1021=""),"",IF(NOT(ISNUMBER($B1021)),"Enter a valid date",IF($C1021="","Pick a menu item",IF($O1021="","Item not on Menu Pricing",IF(N($D1021)&lt;=0,"Qty must be above 0",IF($H1021="","No price on menu","OK"))))))</f>
        <v/>
      </c>
      <c r="O1021" s="13">
        <f>IF($C1021="","",IFERROR(MATCH($C1021,'Menu Pricing'!$B$7:$B$56,0),""))</f>
        <v/>
      </c>
    </row>
    <row r="1022" ht="17" customHeight="1">
      <c r="B1022" s="66" t="n"/>
      <c r="C1022" s="60" t="n"/>
      <c r="D1022" s="86" t="n"/>
      <c r="E1022" s="63" t="n"/>
      <c r="F1022" s="60" t="n"/>
      <c r="G1022" s="60" t="n"/>
      <c r="H1022" s="71">
        <f>IF(OR($C1022="",$D1022=""),"",IF(ISNUMBER($E1022),$E1022,IF($O1022="","",IF(N(INDEX('Menu Pricing'!$O$7:$O$56,$O1022))&gt;0,INDEX('Menu Pricing'!$O$7:$O$56,$O1022),""))))</f>
        <v/>
      </c>
      <c r="I1022" s="71">
        <f>IF($N1022&lt;&gt;"OK","",$D1022*$H1022)</f>
        <v/>
      </c>
      <c r="J1022" s="71">
        <f>IF($N1022&lt;&gt;"OK","",N(INDEX('Menu Pricing'!$F$7:$F$56,$O1022))+N(INDEX('Menu Pricing'!$G$7:$G$56,$O1022))+N(INDEX('Menu Pricing'!$J$7:$J$56,$O1022)))</f>
        <v/>
      </c>
      <c r="K1022" s="71">
        <f>IF($N1022&lt;&gt;"OK","",$D1022*$J1022)</f>
        <v/>
      </c>
      <c r="L1022" s="71">
        <f>IF($N1022&lt;&gt;"OK","",$I1022-$K1022)</f>
        <v/>
      </c>
      <c r="M1022" s="71">
        <f>IF($N1022&lt;&gt;"OK","",$D1022*N(INDEX('Menu Pricing'!$F$7:$F$56,$O1022)))</f>
        <v/>
      </c>
      <c r="N1022" s="80">
        <f>IF(AND($B1022="",$C1022="",$D1022=""),"",IF(NOT(ISNUMBER($B1022)),"Enter a valid date",IF($C1022="","Pick a menu item",IF($O1022="","Item not on Menu Pricing",IF(N($D1022)&lt;=0,"Qty must be above 0",IF($H1022="","No price on menu","OK"))))))</f>
        <v/>
      </c>
      <c r="O1022" s="13">
        <f>IF($C1022="","",IFERROR(MATCH($C1022,'Menu Pricing'!$B$7:$B$56,0),""))</f>
        <v/>
      </c>
    </row>
    <row r="1023" ht="17" customHeight="1">
      <c r="B1023" s="66" t="n"/>
      <c r="C1023" s="60" t="n"/>
      <c r="D1023" s="86" t="n"/>
      <c r="E1023" s="63" t="n"/>
      <c r="F1023" s="60" t="n"/>
      <c r="G1023" s="60" t="n"/>
      <c r="H1023" s="71">
        <f>IF(OR($C1023="",$D1023=""),"",IF(ISNUMBER($E1023),$E1023,IF($O1023="","",IF(N(INDEX('Menu Pricing'!$O$7:$O$56,$O1023))&gt;0,INDEX('Menu Pricing'!$O$7:$O$56,$O1023),""))))</f>
        <v/>
      </c>
      <c r="I1023" s="71">
        <f>IF($N1023&lt;&gt;"OK","",$D1023*$H1023)</f>
        <v/>
      </c>
      <c r="J1023" s="71">
        <f>IF($N1023&lt;&gt;"OK","",N(INDEX('Menu Pricing'!$F$7:$F$56,$O1023))+N(INDEX('Menu Pricing'!$G$7:$G$56,$O1023))+N(INDEX('Menu Pricing'!$J$7:$J$56,$O1023)))</f>
        <v/>
      </c>
      <c r="K1023" s="71">
        <f>IF($N1023&lt;&gt;"OK","",$D1023*$J1023)</f>
        <v/>
      </c>
      <c r="L1023" s="71">
        <f>IF($N1023&lt;&gt;"OK","",$I1023-$K1023)</f>
        <v/>
      </c>
      <c r="M1023" s="71">
        <f>IF($N1023&lt;&gt;"OK","",$D1023*N(INDEX('Menu Pricing'!$F$7:$F$56,$O1023)))</f>
        <v/>
      </c>
      <c r="N1023" s="80">
        <f>IF(AND($B1023="",$C1023="",$D1023=""),"",IF(NOT(ISNUMBER($B1023)),"Enter a valid date",IF($C1023="","Pick a menu item",IF($O1023="","Item not on Menu Pricing",IF(N($D1023)&lt;=0,"Qty must be above 0",IF($H1023="","No price on menu","OK"))))))</f>
        <v/>
      </c>
      <c r="O1023" s="13">
        <f>IF($C1023="","",IFERROR(MATCH($C1023,'Menu Pricing'!$B$7:$B$56,0),""))</f>
        <v/>
      </c>
    </row>
    <row r="1024" ht="17" customHeight="1">
      <c r="B1024" s="66" t="n"/>
      <c r="C1024" s="60" t="n"/>
      <c r="D1024" s="86" t="n"/>
      <c r="E1024" s="63" t="n"/>
      <c r="F1024" s="60" t="n"/>
      <c r="G1024" s="60" t="n"/>
      <c r="H1024" s="71">
        <f>IF(OR($C1024="",$D1024=""),"",IF(ISNUMBER($E1024),$E1024,IF($O1024="","",IF(N(INDEX('Menu Pricing'!$O$7:$O$56,$O1024))&gt;0,INDEX('Menu Pricing'!$O$7:$O$56,$O1024),""))))</f>
        <v/>
      </c>
      <c r="I1024" s="71">
        <f>IF($N1024&lt;&gt;"OK","",$D1024*$H1024)</f>
        <v/>
      </c>
      <c r="J1024" s="71">
        <f>IF($N1024&lt;&gt;"OK","",N(INDEX('Menu Pricing'!$F$7:$F$56,$O1024))+N(INDEX('Menu Pricing'!$G$7:$G$56,$O1024))+N(INDEX('Menu Pricing'!$J$7:$J$56,$O1024)))</f>
        <v/>
      </c>
      <c r="K1024" s="71">
        <f>IF($N1024&lt;&gt;"OK","",$D1024*$J1024)</f>
        <v/>
      </c>
      <c r="L1024" s="71">
        <f>IF($N1024&lt;&gt;"OK","",$I1024-$K1024)</f>
        <v/>
      </c>
      <c r="M1024" s="71">
        <f>IF($N1024&lt;&gt;"OK","",$D1024*N(INDEX('Menu Pricing'!$F$7:$F$56,$O1024)))</f>
        <v/>
      </c>
      <c r="N1024" s="80">
        <f>IF(AND($B1024="",$C1024="",$D1024=""),"",IF(NOT(ISNUMBER($B1024)),"Enter a valid date",IF($C1024="","Pick a menu item",IF($O1024="","Item not on Menu Pricing",IF(N($D1024)&lt;=0,"Qty must be above 0",IF($H1024="","No price on menu","OK"))))))</f>
        <v/>
      </c>
      <c r="O1024" s="13">
        <f>IF($C1024="","",IFERROR(MATCH($C1024,'Menu Pricing'!$B$7:$B$56,0),""))</f>
        <v/>
      </c>
    </row>
    <row r="1025" ht="17" customHeight="1">
      <c r="B1025" s="66" t="n"/>
      <c r="C1025" s="60" t="n"/>
      <c r="D1025" s="86" t="n"/>
      <c r="E1025" s="63" t="n"/>
      <c r="F1025" s="60" t="n"/>
      <c r="G1025" s="60" t="n"/>
      <c r="H1025" s="71">
        <f>IF(OR($C1025="",$D1025=""),"",IF(ISNUMBER($E1025),$E1025,IF($O1025="","",IF(N(INDEX('Menu Pricing'!$O$7:$O$56,$O1025))&gt;0,INDEX('Menu Pricing'!$O$7:$O$56,$O1025),""))))</f>
        <v/>
      </c>
      <c r="I1025" s="71">
        <f>IF($N1025&lt;&gt;"OK","",$D1025*$H1025)</f>
        <v/>
      </c>
      <c r="J1025" s="71">
        <f>IF($N1025&lt;&gt;"OK","",N(INDEX('Menu Pricing'!$F$7:$F$56,$O1025))+N(INDEX('Menu Pricing'!$G$7:$G$56,$O1025))+N(INDEX('Menu Pricing'!$J$7:$J$56,$O1025)))</f>
        <v/>
      </c>
      <c r="K1025" s="71">
        <f>IF($N1025&lt;&gt;"OK","",$D1025*$J1025)</f>
        <v/>
      </c>
      <c r="L1025" s="71">
        <f>IF($N1025&lt;&gt;"OK","",$I1025-$K1025)</f>
        <v/>
      </c>
      <c r="M1025" s="71">
        <f>IF($N1025&lt;&gt;"OK","",$D1025*N(INDEX('Menu Pricing'!$F$7:$F$56,$O1025)))</f>
        <v/>
      </c>
      <c r="N1025" s="80">
        <f>IF(AND($B1025="",$C1025="",$D1025=""),"",IF(NOT(ISNUMBER($B1025)),"Enter a valid date",IF($C1025="","Pick a menu item",IF($O1025="","Item not on Menu Pricing",IF(N($D1025)&lt;=0,"Qty must be above 0",IF($H1025="","No price on menu","OK"))))))</f>
        <v/>
      </c>
      <c r="O1025" s="13">
        <f>IF($C1025="","",IFERROR(MATCH($C1025,'Menu Pricing'!$B$7:$B$56,0),""))</f>
        <v/>
      </c>
    </row>
    <row r="1026" ht="17" customHeight="1">
      <c r="B1026" s="66" t="n"/>
      <c r="C1026" s="60" t="n"/>
      <c r="D1026" s="86" t="n"/>
      <c r="E1026" s="63" t="n"/>
      <c r="F1026" s="60" t="n"/>
      <c r="G1026" s="60" t="n"/>
      <c r="H1026" s="71">
        <f>IF(OR($C1026="",$D1026=""),"",IF(ISNUMBER($E1026),$E1026,IF($O1026="","",IF(N(INDEX('Menu Pricing'!$O$7:$O$56,$O1026))&gt;0,INDEX('Menu Pricing'!$O$7:$O$56,$O1026),""))))</f>
        <v/>
      </c>
      <c r="I1026" s="71">
        <f>IF($N1026&lt;&gt;"OK","",$D1026*$H1026)</f>
        <v/>
      </c>
      <c r="J1026" s="71">
        <f>IF($N1026&lt;&gt;"OK","",N(INDEX('Menu Pricing'!$F$7:$F$56,$O1026))+N(INDEX('Menu Pricing'!$G$7:$G$56,$O1026))+N(INDEX('Menu Pricing'!$J$7:$J$56,$O1026)))</f>
        <v/>
      </c>
      <c r="K1026" s="71">
        <f>IF($N1026&lt;&gt;"OK","",$D1026*$J1026)</f>
        <v/>
      </c>
      <c r="L1026" s="71">
        <f>IF($N1026&lt;&gt;"OK","",$I1026-$K1026)</f>
        <v/>
      </c>
      <c r="M1026" s="71">
        <f>IF($N1026&lt;&gt;"OK","",$D1026*N(INDEX('Menu Pricing'!$F$7:$F$56,$O1026)))</f>
        <v/>
      </c>
      <c r="N1026" s="80">
        <f>IF(AND($B1026="",$C1026="",$D1026=""),"",IF(NOT(ISNUMBER($B1026)),"Enter a valid date",IF($C1026="","Pick a menu item",IF($O1026="","Item not on Menu Pricing",IF(N($D1026)&lt;=0,"Qty must be above 0",IF($H1026="","No price on menu","OK"))))))</f>
        <v/>
      </c>
      <c r="O1026" s="13">
        <f>IF($C1026="","",IFERROR(MATCH($C1026,'Menu Pricing'!$B$7:$B$56,0),""))</f>
        <v/>
      </c>
    </row>
    <row r="1027" ht="17" customHeight="1">
      <c r="B1027" s="66" t="n"/>
      <c r="C1027" s="60" t="n"/>
      <c r="D1027" s="86" t="n"/>
      <c r="E1027" s="63" t="n"/>
      <c r="F1027" s="60" t="n"/>
      <c r="G1027" s="60" t="n"/>
      <c r="H1027" s="71">
        <f>IF(OR($C1027="",$D1027=""),"",IF(ISNUMBER($E1027),$E1027,IF($O1027="","",IF(N(INDEX('Menu Pricing'!$O$7:$O$56,$O1027))&gt;0,INDEX('Menu Pricing'!$O$7:$O$56,$O1027),""))))</f>
        <v/>
      </c>
      <c r="I1027" s="71">
        <f>IF($N1027&lt;&gt;"OK","",$D1027*$H1027)</f>
        <v/>
      </c>
      <c r="J1027" s="71">
        <f>IF($N1027&lt;&gt;"OK","",N(INDEX('Menu Pricing'!$F$7:$F$56,$O1027))+N(INDEX('Menu Pricing'!$G$7:$G$56,$O1027))+N(INDEX('Menu Pricing'!$J$7:$J$56,$O1027)))</f>
        <v/>
      </c>
      <c r="K1027" s="71">
        <f>IF($N1027&lt;&gt;"OK","",$D1027*$J1027)</f>
        <v/>
      </c>
      <c r="L1027" s="71">
        <f>IF($N1027&lt;&gt;"OK","",$I1027-$K1027)</f>
        <v/>
      </c>
      <c r="M1027" s="71">
        <f>IF($N1027&lt;&gt;"OK","",$D1027*N(INDEX('Menu Pricing'!$F$7:$F$56,$O1027)))</f>
        <v/>
      </c>
      <c r="N1027" s="80">
        <f>IF(AND($B1027="",$C1027="",$D1027=""),"",IF(NOT(ISNUMBER($B1027)),"Enter a valid date",IF($C1027="","Pick a menu item",IF($O1027="","Item not on Menu Pricing",IF(N($D1027)&lt;=0,"Qty must be above 0",IF($H1027="","No price on menu","OK"))))))</f>
        <v/>
      </c>
      <c r="O1027" s="13">
        <f>IF($C1027="","",IFERROR(MATCH($C1027,'Menu Pricing'!$B$7:$B$56,0),""))</f>
        <v/>
      </c>
    </row>
    <row r="1028" ht="17" customHeight="1">
      <c r="B1028" s="66" t="n"/>
      <c r="C1028" s="60" t="n"/>
      <c r="D1028" s="86" t="n"/>
      <c r="E1028" s="63" t="n"/>
      <c r="F1028" s="60" t="n"/>
      <c r="G1028" s="60" t="n"/>
      <c r="H1028" s="71">
        <f>IF(OR($C1028="",$D1028=""),"",IF(ISNUMBER($E1028),$E1028,IF($O1028="","",IF(N(INDEX('Menu Pricing'!$O$7:$O$56,$O1028))&gt;0,INDEX('Menu Pricing'!$O$7:$O$56,$O1028),""))))</f>
        <v/>
      </c>
      <c r="I1028" s="71">
        <f>IF($N1028&lt;&gt;"OK","",$D1028*$H1028)</f>
        <v/>
      </c>
      <c r="J1028" s="71">
        <f>IF($N1028&lt;&gt;"OK","",N(INDEX('Menu Pricing'!$F$7:$F$56,$O1028))+N(INDEX('Menu Pricing'!$G$7:$G$56,$O1028))+N(INDEX('Menu Pricing'!$J$7:$J$56,$O1028)))</f>
        <v/>
      </c>
      <c r="K1028" s="71">
        <f>IF($N1028&lt;&gt;"OK","",$D1028*$J1028)</f>
        <v/>
      </c>
      <c r="L1028" s="71">
        <f>IF($N1028&lt;&gt;"OK","",$I1028-$K1028)</f>
        <v/>
      </c>
      <c r="M1028" s="71">
        <f>IF($N1028&lt;&gt;"OK","",$D1028*N(INDEX('Menu Pricing'!$F$7:$F$56,$O1028)))</f>
        <v/>
      </c>
      <c r="N1028" s="80">
        <f>IF(AND($B1028="",$C1028="",$D1028=""),"",IF(NOT(ISNUMBER($B1028)),"Enter a valid date",IF($C1028="","Pick a menu item",IF($O1028="","Item not on Menu Pricing",IF(N($D1028)&lt;=0,"Qty must be above 0",IF($H1028="","No price on menu","OK"))))))</f>
        <v/>
      </c>
      <c r="O1028" s="13">
        <f>IF($C1028="","",IFERROR(MATCH($C1028,'Menu Pricing'!$B$7:$B$56,0),""))</f>
        <v/>
      </c>
    </row>
    <row r="1029" ht="17" customHeight="1">
      <c r="B1029" s="66" t="n"/>
      <c r="C1029" s="60" t="n"/>
      <c r="D1029" s="86" t="n"/>
      <c r="E1029" s="63" t="n"/>
      <c r="F1029" s="60" t="n"/>
      <c r="G1029" s="60" t="n"/>
      <c r="H1029" s="71">
        <f>IF(OR($C1029="",$D1029=""),"",IF(ISNUMBER($E1029),$E1029,IF($O1029="","",IF(N(INDEX('Menu Pricing'!$O$7:$O$56,$O1029))&gt;0,INDEX('Menu Pricing'!$O$7:$O$56,$O1029),""))))</f>
        <v/>
      </c>
      <c r="I1029" s="71">
        <f>IF($N1029&lt;&gt;"OK","",$D1029*$H1029)</f>
        <v/>
      </c>
      <c r="J1029" s="71">
        <f>IF($N1029&lt;&gt;"OK","",N(INDEX('Menu Pricing'!$F$7:$F$56,$O1029))+N(INDEX('Menu Pricing'!$G$7:$G$56,$O1029))+N(INDEX('Menu Pricing'!$J$7:$J$56,$O1029)))</f>
        <v/>
      </c>
      <c r="K1029" s="71">
        <f>IF($N1029&lt;&gt;"OK","",$D1029*$J1029)</f>
        <v/>
      </c>
      <c r="L1029" s="71">
        <f>IF($N1029&lt;&gt;"OK","",$I1029-$K1029)</f>
        <v/>
      </c>
      <c r="M1029" s="71">
        <f>IF($N1029&lt;&gt;"OK","",$D1029*N(INDEX('Menu Pricing'!$F$7:$F$56,$O1029)))</f>
        <v/>
      </c>
      <c r="N1029" s="80">
        <f>IF(AND($B1029="",$C1029="",$D1029=""),"",IF(NOT(ISNUMBER($B1029)),"Enter a valid date",IF($C1029="","Pick a menu item",IF($O1029="","Item not on Menu Pricing",IF(N($D1029)&lt;=0,"Qty must be above 0",IF($H1029="","No price on menu","OK"))))))</f>
        <v/>
      </c>
      <c r="O1029" s="13">
        <f>IF($C1029="","",IFERROR(MATCH($C1029,'Menu Pricing'!$B$7:$B$56,0),""))</f>
        <v/>
      </c>
    </row>
    <row r="1030" ht="17" customHeight="1">
      <c r="B1030" s="66" t="n"/>
      <c r="C1030" s="60" t="n"/>
      <c r="D1030" s="86" t="n"/>
      <c r="E1030" s="63" t="n"/>
      <c r="F1030" s="60" t="n"/>
      <c r="G1030" s="60" t="n"/>
      <c r="H1030" s="71">
        <f>IF(OR($C1030="",$D1030=""),"",IF(ISNUMBER($E1030),$E1030,IF($O1030="","",IF(N(INDEX('Menu Pricing'!$O$7:$O$56,$O1030))&gt;0,INDEX('Menu Pricing'!$O$7:$O$56,$O1030),""))))</f>
        <v/>
      </c>
      <c r="I1030" s="71">
        <f>IF($N1030&lt;&gt;"OK","",$D1030*$H1030)</f>
        <v/>
      </c>
      <c r="J1030" s="71">
        <f>IF($N1030&lt;&gt;"OK","",N(INDEX('Menu Pricing'!$F$7:$F$56,$O1030))+N(INDEX('Menu Pricing'!$G$7:$G$56,$O1030))+N(INDEX('Menu Pricing'!$J$7:$J$56,$O1030)))</f>
        <v/>
      </c>
      <c r="K1030" s="71">
        <f>IF($N1030&lt;&gt;"OK","",$D1030*$J1030)</f>
        <v/>
      </c>
      <c r="L1030" s="71">
        <f>IF($N1030&lt;&gt;"OK","",$I1030-$K1030)</f>
        <v/>
      </c>
      <c r="M1030" s="71">
        <f>IF($N1030&lt;&gt;"OK","",$D1030*N(INDEX('Menu Pricing'!$F$7:$F$56,$O1030)))</f>
        <v/>
      </c>
      <c r="N1030" s="80">
        <f>IF(AND($B1030="",$C1030="",$D1030=""),"",IF(NOT(ISNUMBER($B1030)),"Enter a valid date",IF($C1030="","Pick a menu item",IF($O1030="","Item not on Menu Pricing",IF(N($D1030)&lt;=0,"Qty must be above 0",IF($H1030="","No price on menu","OK"))))))</f>
        <v/>
      </c>
      <c r="O1030" s="13">
        <f>IF($C1030="","",IFERROR(MATCH($C1030,'Menu Pricing'!$B$7:$B$56,0),""))</f>
        <v/>
      </c>
    </row>
    <row r="1031" ht="17" customHeight="1">
      <c r="B1031" s="66" t="n"/>
      <c r="C1031" s="60" t="n"/>
      <c r="D1031" s="86" t="n"/>
      <c r="E1031" s="63" t="n"/>
      <c r="F1031" s="60" t="n"/>
      <c r="G1031" s="60" t="n"/>
      <c r="H1031" s="71">
        <f>IF(OR($C1031="",$D1031=""),"",IF(ISNUMBER($E1031),$E1031,IF($O1031="","",IF(N(INDEX('Menu Pricing'!$O$7:$O$56,$O1031))&gt;0,INDEX('Menu Pricing'!$O$7:$O$56,$O1031),""))))</f>
        <v/>
      </c>
      <c r="I1031" s="71">
        <f>IF($N1031&lt;&gt;"OK","",$D1031*$H1031)</f>
        <v/>
      </c>
      <c r="J1031" s="71">
        <f>IF($N1031&lt;&gt;"OK","",N(INDEX('Menu Pricing'!$F$7:$F$56,$O1031))+N(INDEX('Menu Pricing'!$G$7:$G$56,$O1031))+N(INDEX('Menu Pricing'!$J$7:$J$56,$O1031)))</f>
        <v/>
      </c>
      <c r="K1031" s="71">
        <f>IF($N1031&lt;&gt;"OK","",$D1031*$J1031)</f>
        <v/>
      </c>
      <c r="L1031" s="71">
        <f>IF($N1031&lt;&gt;"OK","",$I1031-$K1031)</f>
        <v/>
      </c>
      <c r="M1031" s="71">
        <f>IF($N1031&lt;&gt;"OK","",$D1031*N(INDEX('Menu Pricing'!$F$7:$F$56,$O1031)))</f>
        <v/>
      </c>
      <c r="N1031" s="80">
        <f>IF(AND($B1031="",$C1031="",$D1031=""),"",IF(NOT(ISNUMBER($B1031)),"Enter a valid date",IF($C1031="","Pick a menu item",IF($O1031="","Item not on Menu Pricing",IF(N($D1031)&lt;=0,"Qty must be above 0",IF($H1031="","No price on menu","OK"))))))</f>
        <v/>
      </c>
      <c r="O1031" s="13">
        <f>IF($C1031="","",IFERROR(MATCH($C1031,'Menu Pricing'!$B$7:$B$56,0),""))</f>
        <v/>
      </c>
    </row>
    <row r="1032" ht="17" customHeight="1">
      <c r="B1032" s="66" t="n"/>
      <c r="C1032" s="60" t="n"/>
      <c r="D1032" s="86" t="n"/>
      <c r="E1032" s="63" t="n"/>
      <c r="F1032" s="60" t="n"/>
      <c r="G1032" s="60" t="n"/>
      <c r="H1032" s="71">
        <f>IF(OR($C1032="",$D1032=""),"",IF(ISNUMBER($E1032),$E1032,IF($O1032="","",IF(N(INDEX('Menu Pricing'!$O$7:$O$56,$O1032))&gt;0,INDEX('Menu Pricing'!$O$7:$O$56,$O1032),""))))</f>
        <v/>
      </c>
      <c r="I1032" s="71">
        <f>IF($N1032&lt;&gt;"OK","",$D1032*$H1032)</f>
        <v/>
      </c>
      <c r="J1032" s="71">
        <f>IF($N1032&lt;&gt;"OK","",N(INDEX('Menu Pricing'!$F$7:$F$56,$O1032))+N(INDEX('Menu Pricing'!$G$7:$G$56,$O1032))+N(INDEX('Menu Pricing'!$J$7:$J$56,$O1032)))</f>
        <v/>
      </c>
      <c r="K1032" s="71">
        <f>IF($N1032&lt;&gt;"OK","",$D1032*$J1032)</f>
        <v/>
      </c>
      <c r="L1032" s="71">
        <f>IF($N1032&lt;&gt;"OK","",$I1032-$K1032)</f>
        <v/>
      </c>
      <c r="M1032" s="71">
        <f>IF($N1032&lt;&gt;"OK","",$D1032*N(INDEX('Menu Pricing'!$F$7:$F$56,$O1032)))</f>
        <v/>
      </c>
      <c r="N1032" s="80">
        <f>IF(AND($B1032="",$C1032="",$D1032=""),"",IF(NOT(ISNUMBER($B1032)),"Enter a valid date",IF($C1032="","Pick a menu item",IF($O1032="","Item not on Menu Pricing",IF(N($D1032)&lt;=0,"Qty must be above 0",IF($H1032="","No price on menu","OK"))))))</f>
        <v/>
      </c>
      <c r="O1032" s="13">
        <f>IF($C1032="","",IFERROR(MATCH($C1032,'Menu Pricing'!$B$7:$B$56,0),""))</f>
        <v/>
      </c>
    </row>
    <row r="1033" ht="17" customHeight="1">
      <c r="B1033" s="66" t="n"/>
      <c r="C1033" s="60" t="n"/>
      <c r="D1033" s="86" t="n"/>
      <c r="E1033" s="63" t="n"/>
      <c r="F1033" s="60" t="n"/>
      <c r="G1033" s="60" t="n"/>
      <c r="H1033" s="71">
        <f>IF(OR($C1033="",$D1033=""),"",IF(ISNUMBER($E1033),$E1033,IF($O1033="","",IF(N(INDEX('Menu Pricing'!$O$7:$O$56,$O1033))&gt;0,INDEX('Menu Pricing'!$O$7:$O$56,$O1033),""))))</f>
        <v/>
      </c>
      <c r="I1033" s="71">
        <f>IF($N1033&lt;&gt;"OK","",$D1033*$H1033)</f>
        <v/>
      </c>
      <c r="J1033" s="71">
        <f>IF($N1033&lt;&gt;"OK","",N(INDEX('Menu Pricing'!$F$7:$F$56,$O1033))+N(INDEX('Menu Pricing'!$G$7:$G$56,$O1033))+N(INDEX('Menu Pricing'!$J$7:$J$56,$O1033)))</f>
        <v/>
      </c>
      <c r="K1033" s="71">
        <f>IF($N1033&lt;&gt;"OK","",$D1033*$J1033)</f>
        <v/>
      </c>
      <c r="L1033" s="71">
        <f>IF($N1033&lt;&gt;"OK","",$I1033-$K1033)</f>
        <v/>
      </c>
      <c r="M1033" s="71">
        <f>IF($N1033&lt;&gt;"OK","",$D1033*N(INDEX('Menu Pricing'!$F$7:$F$56,$O1033)))</f>
        <v/>
      </c>
      <c r="N1033" s="80">
        <f>IF(AND($B1033="",$C1033="",$D1033=""),"",IF(NOT(ISNUMBER($B1033)),"Enter a valid date",IF($C1033="","Pick a menu item",IF($O1033="","Item not on Menu Pricing",IF(N($D1033)&lt;=0,"Qty must be above 0",IF($H1033="","No price on menu","OK"))))))</f>
        <v/>
      </c>
      <c r="O1033" s="13">
        <f>IF($C1033="","",IFERROR(MATCH($C1033,'Menu Pricing'!$B$7:$B$56,0),""))</f>
        <v/>
      </c>
    </row>
    <row r="1034" ht="17" customHeight="1">
      <c r="B1034" s="66" t="n"/>
      <c r="C1034" s="60" t="n"/>
      <c r="D1034" s="86" t="n"/>
      <c r="E1034" s="63" t="n"/>
      <c r="F1034" s="60" t="n"/>
      <c r="G1034" s="60" t="n"/>
      <c r="H1034" s="71">
        <f>IF(OR($C1034="",$D1034=""),"",IF(ISNUMBER($E1034),$E1034,IF($O1034="","",IF(N(INDEX('Menu Pricing'!$O$7:$O$56,$O1034))&gt;0,INDEX('Menu Pricing'!$O$7:$O$56,$O1034),""))))</f>
        <v/>
      </c>
      <c r="I1034" s="71">
        <f>IF($N1034&lt;&gt;"OK","",$D1034*$H1034)</f>
        <v/>
      </c>
      <c r="J1034" s="71">
        <f>IF($N1034&lt;&gt;"OK","",N(INDEX('Menu Pricing'!$F$7:$F$56,$O1034))+N(INDEX('Menu Pricing'!$G$7:$G$56,$O1034))+N(INDEX('Menu Pricing'!$J$7:$J$56,$O1034)))</f>
        <v/>
      </c>
      <c r="K1034" s="71">
        <f>IF($N1034&lt;&gt;"OK","",$D1034*$J1034)</f>
        <v/>
      </c>
      <c r="L1034" s="71">
        <f>IF($N1034&lt;&gt;"OK","",$I1034-$K1034)</f>
        <v/>
      </c>
      <c r="M1034" s="71">
        <f>IF($N1034&lt;&gt;"OK","",$D1034*N(INDEX('Menu Pricing'!$F$7:$F$56,$O1034)))</f>
        <v/>
      </c>
      <c r="N1034" s="80">
        <f>IF(AND($B1034="",$C1034="",$D1034=""),"",IF(NOT(ISNUMBER($B1034)),"Enter a valid date",IF($C1034="","Pick a menu item",IF($O1034="","Item not on Menu Pricing",IF(N($D1034)&lt;=0,"Qty must be above 0",IF($H1034="","No price on menu","OK"))))))</f>
        <v/>
      </c>
      <c r="O1034" s="13">
        <f>IF($C1034="","",IFERROR(MATCH($C1034,'Menu Pricing'!$B$7:$B$56,0),""))</f>
        <v/>
      </c>
    </row>
    <row r="1035" ht="17" customHeight="1">
      <c r="B1035" s="66" t="n"/>
      <c r="C1035" s="60" t="n"/>
      <c r="D1035" s="86" t="n"/>
      <c r="E1035" s="63" t="n"/>
      <c r="F1035" s="60" t="n"/>
      <c r="G1035" s="60" t="n"/>
      <c r="H1035" s="71">
        <f>IF(OR($C1035="",$D1035=""),"",IF(ISNUMBER($E1035),$E1035,IF($O1035="","",IF(N(INDEX('Menu Pricing'!$O$7:$O$56,$O1035))&gt;0,INDEX('Menu Pricing'!$O$7:$O$56,$O1035),""))))</f>
        <v/>
      </c>
      <c r="I1035" s="71">
        <f>IF($N1035&lt;&gt;"OK","",$D1035*$H1035)</f>
        <v/>
      </c>
      <c r="J1035" s="71">
        <f>IF($N1035&lt;&gt;"OK","",N(INDEX('Menu Pricing'!$F$7:$F$56,$O1035))+N(INDEX('Menu Pricing'!$G$7:$G$56,$O1035))+N(INDEX('Menu Pricing'!$J$7:$J$56,$O1035)))</f>
        <v/>
      </c>
      <c r="K1035" s="71">
        <f>IF($N1035&lt;&gt;"OK","",$D1035*$J1035)</f>
        <v/>
      </c>
      <c r="L1035" s="71">
        <f>IF($N1035&lt;&gt;"OK","",$I1035-$K1035)</f>
        <v/>
      </c>
      <c r="M1035" s="71">
        <f>IF($N1035&lt;&gt;"OK","",$D1035*N(INDEX('Menu Pricing'!$F$7:$F$56,$O1035)))</f>
        <v/>
      </c>
      <c r="N1035" s="80">
        <f>IF(AND($B1035="",$C1035="",$D1035=""),"",IF(NOT(ISNUMBER($B1035)),"Enter a valid date",IF($C1035="","Pick a menu item",IF($O1035="","Item not on Menu Pricing",IF(N($D1035)&lt;=0,"Qty must be above 0",IF($H1035="","No price on menu","OK"))))))</f>
        <v/>
      </c>
      <c r="O1035" s="13">
        <f>IF($C1035="","",IFERROR(MATCH($C1035,'Menu Pricing'!$B$7:$B$56,0),""))</f>
        <v/>
      </c>
    </row>
    <row r="1036" ht="17" customHeight="1">
      <c r="B1036" s="66" t="n"/>
      <c r="C1036" s="60" t="n"/>
      <c r="D1036" s="86" t="n"/>
      <c r="E1036" s="63" t="n"/>
      <c r="F1036" s="60" t="n"/>
      <c r="G1036" s="60" t="n"/>
      <c r="H1036" s="71">
        <f>IF(OR($C1036="",$D1036=""),"",IF(ISNUMBER($E1036),$E1036,IF($O1036="","",IF(N(INDEX('Menu Pricing'!$O$7:$O$56,$O1036))&gt;0,INDEX('Menu Pricing'!$O$7:$O$56,$O1036),""))))</f>
        <v/>
      </c>
      <c r="I1036" s="71">
        <f>IF($N1036&lt;&gt;"OK","",$D1036*$H1036)</f>
        <v/>
      </c>
      <c r="J1036" s="71">
        <f>IF($N1036&lt;&gt;"OK","",N(INDEX('Menu Pricing'!$F$7:$F$56,$O1036))+N(INDEX('Menu Pricing'!$G$7:$G$56,$O1036))+N(INDEX('Menu Pricing'!$J$7:$J$56,$O1036)))</f>
        <v/>
      </c>
      <c r="K1036" s="71">
        <f>IF($N1036&lt;&gt;"OK","",$D1036*$J1036)</f>
        <v/>
      </c>
      <c r="L1036" s="71">
        <f>IF($N1036&lt;&gt;"OK","",$I1036-$K1036)</f>
        <v/>
      </c>
      <c r="M1036" s="71">
        <f>IF($N1036&lt;&gt;"OK","",$D1036*N(INDEX('Menu Pricing'!$F$7:$F$56,$O1036)))</f>
        <v/>
      </c>
      <c r="N1036" s="80">
        <f>IF(AND($B1036="",$C1036="",$D1036=""),"",IF(NOT(ISNUMBER($B1036)),"Enter a valid date",IF($C1036="","Pick a menu item",IF($O1036="","Item not on Menu Pricing",IF(N($D1036)&lt;=0,"Qty must be above 0",IF($H1036="","No price on menu","OK"))))))</f>
        <v/>
      </c>
      <c r="O1036" s="13">
        <f>IF($C1036="","",IFERROR(MATCH($C1036,'Menu Pricing'!$B$7:$B$56,0),""))</f>
        <v/>
      </c>
    </row>
    <row r="1037" ht="17" customHeight="1">
      <c r="B1037" s="66" t="n"/>
      <c r="C1037" s="60" t="n"/>
      <c r="D1037" s="86" t="n"/>
      <c r="E1037" s="63" t="n"/>
      <c r="F1037" s="60" t="n"/>
      <c r="G1037" s="60" t="n"/>
      <c r="H1037" s="71">
        <f>IF(OR($C1037="",$D1037=""),"",IF(ISNUMBER($E1037),$E1037,IF($O1037="","",IF(N(INDEX('Menu Pricing'!$O$7:$O$56,$O1037))&gt;0,INDEX('Menu Pricing'!$O$7:$O$56,$O1037),""))))</f>
        <v/>
      </c>
      <c r="I1037" s="71">
        <f>IF($N1037&lt;&gt;"OK","",$D1037*$H1037)</f>
        <v/>
      </c>
      <c r="J1037" s="71">
        <f>IF($N1037&lt;&gt;"OK","",N(INDEX('Menu Pricing'!$F$7:$F$56,$O1037))+N(INDEX('Menu Pricing'!$G$7:$G$56,$O1037))+N(INDEX('Menu Pricing'!$J$7:$J$56,$O1037)))</f>
        <v/>
      </c>
      <c r="K1037" s="71">
        <f>IF($N1037&lt;&gt;"OK","",$D1037*$J1037)</f>
        <v/>
      </c>
      <c r="L1037" s="71">
        <f>IF($N1037&lt;&gt;"OK","",$I1037-$K1037)</f>
        <v/>
      </c>
      <c r="M1037" s="71">
        <f>IF($N1037&lt;&gt;"OK","",$D1037*N(INDEX('Menu Pricing'!$F$7:$F$56,$O1037)))</f>
        <v/>
      </c>
      <c r="N1037" s="80">
        <f>IF(AND($B1037="",$C1037="",$D1037=""),"",IF(NOT(ISNUMBER($B1037)),"Enter a valid date",IF($C1037="","Pick a menu item",IF($O1037="","Item not on Menu Pricing",IF(N($D1037)&lt;=0,"Qty must be above 0",IF($H1037="","No price on menu","OK"))))))</f>
        <v/>
      </c>
      <c r="O1037" s="13">
        <f>IF($C1037="","",IFERROR(MATCH($C1037,'Menu Pricing'!$B$7:$B$56,0),""))</f>
        <v/>
      </c>
    </row>
    <row r="1038" ht="17" customHeight="1">
      <c r="B1038" s="66" t="n"/>
      <c r="C1038" s="60" t="n"/>
      <c r="D1038" s="86" t="n"/>
      <c r="E1038" s="63" t="n"/>
      <c r="F1038" s="60" t="n"/>
      <c r="G1038" s="60" t="n"/>
      <c r="H1038" s="71">
        <f>IF(OR($C1038="",$D1038=""),"",IF(ISNUMBER($E1038),$E1038,IF($O1038="","",IF(N(INDEX('Menu Pricing'!$O$7:$O$56,$O1038))&gt;0,INDEX('Menu Pricing'!$O$7:$O$56,$O1038),""))))</f>
        <v/>
      </c>
      <c r="I1038" s="71">
        <f>IF($N1038&lt;&gt;"OK","",$D1038*$H1038)</f>
        <v/>
      </c>
      <c r="J1038" s="71">
        <f>IF($N1038&lt;&gt;"OK","",N(INDEX('Menu Pricing'!$F$7:$F$56,$O1038))+N(INDEX('Menu Pricing'!$G$7:$G$56,$O1038))+N(INDEX('Menu Pricing'!$J$7:$J$56,$O1038)))</f>
        <v/>
      </c>
      <c r="K1038" s="71">
        <f>IF($N1038&lt;&gt;"OK","",$D1038*$J1038)</f>
        <v/>
      </c>
      <c r="L1038" s="71">
        <f>IF($N1038&lt;&gt;"OK","",$I1038-$K1038)</f>
        <v/>
      </c>
      <c r="M1038" s="71">
        <f>IF($N1038&lt;&gt;"OK","",$D1038*N(INDEX('Menu Pricing'!$F$7:$F$56,$O1038)))</f>
        <v/>
      </c>
      <c r="N1038" s="80">
        <f>IF(AND($B1038="",$C1038="",$D1038=""),"",IF(NOT(ISNUMBER($B1038)),"Enter a valid date",IF($C1038="","Pick a menu item",IF($O1038="","Item not on Menu Pricing",IF(N($D1038)&lt;=0,"Qty must be above 0",IF($H1038="","No price on menu","OK"))))))</f>
        <v/>
      </c>
      <c r="O1038" s="13">
        <f>IF($C1038="","",IFERROR(MATCH($C1038,'Menu Pricing'!$B$7:$B$56,0),""))</f>
        <v/>
      </c>
    </row>
    <row r="1039" ht="17" customHeight="1">
      <c r="B1039" s="66" t="n"/>
      <c r="C1039" s="60" t="n"/>
      <c r="D1039" s="86" t="n"/>
      <c r="E1039" s="63" t="n"/>
      <c r="F1039" s="60" t="n"/>
      <c r="G1039" s="60" t="n"/>
      <c r="H1039" s="71">
        <f>IF(OR($C1039="",$D1039=""),"",IF(ISNUMBER($E1039),$E1039,IF($O1039="","",IF(N(INDEX('Menu Pricing'!$O$7:$O$56,$O1039))&gt;0,INDEX('Menu Pricing'!$O$7:$O$56,$O1039),""))))</f>
        <v/>
      </c>
      <c r="I1039" s="71">
        <f>IF($N1039&lt;&gt;"OK","",$D1039*$H1039)</f>
        <v/>
      </c>
      <c r="J1039" s="71">
        <f>IF($N1039&lt;&gt;"OK","",N(INDEX('Menu Pricing'!$F$7:$F$56,$O1039))+N(INDEX('Menu Pricing'!$G$7:$G$56,$O1039))+N(INDEX('Menu Pricing'!$J$7:$J$56,$O1039)))</f>
        <v/>
      </c>
      <c r="K1039" s="71">
        <f>IF($N1039&lt;&gt;"OK","",$D1039*$J1039)</f>
        <v/>
      </c>
      <c r="L1039" s="71">
        <f>IF($N1039&lt;&gt;"OK","",$I1039-$K1039)</f>
        <v/>
      </c>
      <c r="M1039" s="71">
        <f>IF($N1039&lt;&gt;"OK","",$D1039*N(INDEX('Menu Pricing'!$F$7:$F$56,$O1039)))</f>
        <v/>
      </c>
      <c r="N1039" s="80">
        <f>IF(AND($B1039="",$C1039="",$D1039=""),"",IF(NOT(ISNUMBER($B1039)),"Enter a valid date",IF($C1039="","Pick a menu item",IF($O1039="","Item not on Menu Pricing",IF(N($D1039)&lt;=0,"Qty must be above 0",IF($H1039="","No price on menu","OK"))))))</f>
        <v/>
      </c>
      <c r="O1039" s="13">
        <f>IF($C1039="","",IFERROR(MATCH($C1039,'Menu Pricing'!$B$7:$B$56,0),""))</f>
        <v/>
      </c>
    </row>
    <row r="1040" ht="17" customHeight="1">
      <c r="B1040" s="66" t="n"/>
      <c r="C1040" s="60" t="n"/>
      <c r="D1040" s="86" t="n"/>
      <c r="E1040" s="63" t="n"/>
      <c r="F1040" s="60" t="n"/>
      <c r="G1040" s="60" t="n"/>
      <c r="H1040" s="71">
        <f>IF(OR($C1040="",$D1040=""),"",IF(ISNUMBER($E1040),$E1040,IF($O1040="","",IF(N(INDEX('Menu Pricing'!$O$7:$O$56,$O1040))&gt;0,INDEX('Menu Pricing'!$O$7:$O$56,$O1040),""))))</f>
        <v/>
      </c>
      <c r="I1040" s="71">
        <f>IF($N1040&lt;&gt;"OK","",$D1040*$H1040)</f>
        <v/>
      </c>
      <c r="J1040" s="71">
        <f>IF($N1040&lt;&gt;"OK","",N(INDEX('Menu Pricing'!$F$7:$F$56,$O1040))+N(INDEX('Menu Pricing'!$G$7:$G$56,$O1040))+N(INDEX('Menu Pricing'!$J$7:$J$56,$O1040)))</f>
        <v/>
      </c>
      <c r="K1040" s="71">
        <f>IF($N1040&lt;&gt;"OK","",$D1040*$J1040)</f>
        <v/>
      </c>
      <c r="L1040" s="71">
        <f>IF($N1040&lt;&gt;"OK","",$I1040-$K1040)</f>
        <v/>
      </c>
      <c r="M1040" s="71">
        <f>IF($N1040&lt;&gt;"OK","",$D1040*N(INDEX('Menu Pricing'!$F$7:$F$56,$O1040)))</f>
        <v/>
      </c>
      <c r="N1040" s="80">
        <f>IF(AND($B1040="",$C1040="",$D1040=""),"",IF(NOT(ISNUMBER($B1040)),"Enter a valid date",IF($C1040="","Pick a menu item",IF($O1040="","Item not on Menu Pricing",IF(N($D1040)&lt;=0,"Qty must be above 0",IF($H1040="","No price on menu","OK"))))))</f>
        <v/>
      </c>
      <c r="O1040" s="13">
        <f>IF($C1040="","",IFERROR(MATCH($C1040,'Menu Pricing'!$B$7:$B$56,0),""))</f>
        <v/>
      </c>
    </row>
    <row r="1041" ht="17" customHeight="1">
      <c r="B1041" s="66" t="n"/>
      <c r="C1041" s="60" t="n"/>
      <c r="D1041" s="86" t="n"/>
      <c r="E1041" s="63" t="n"/>
      <c r="F1041" s="60" t="n"/>
      <c r="G1041" s="60" t="n"/>
      <c r="H1041" s="71">
        <f>IF(OR($C1041="",$D1041=""),"",IF(ISNUMBER($E1041),$E1041,IF($O1041="","",IF(N(INDEX('Menu Pricing'!$O$7:$O$56,$O1041))&gt;0,INDEX('Menu Pricing'!$O$7:$O$56,$O1041),""))))</f>
        <v/>
      </c>
      <c r="I1041" s="71">
        <f>IF($N1041&lt;&gt;"OK","",$D1041*$H1041)</f>
        <v/>
      </c>
      <c r="J1041" s="71">
        <f>IF($N1041&lt;&gt;"OK","",N(INDEX('Menu Pricing'!$F$7:$F$56,$O1041))+N(INDEX('Menu Pricing'!$G$7:$G$56,$O1041))+N(INDEX('Menu Pricing'!$J$7:$J$56,$O1041)))</f>
        <v/>
      </c>
      <c r="K1041" s="71">
        <f>IF($N1041&lt;&gt;"OK","",$D1041*$J1041)</f>
        <v/>
      </c>
      <c r="L1041" s="71">
        <f>IF($N1041&lt;&gt;"OK","",$I1041-$K1041)</f>
        <v/>
      </c>
      <c r="M1041" s="71">
        <f>IF($N1041&lt;&gt;"OK","",$D1041*N(INDEX('Menu Pricing'!$F$7:$F$56,$O1041)))</f>
        <v/>
      </c>
      <c r="N1041" s="80">
        <f>IF(AND($B1041="",$C1041="",$D1041=""),"",IF(NOT(ISNUMBER($B1041)),"Enter a valid date",IF($C1041="","Pick a menu item",IF($O1041="","Item not on Menu Pricing",IF(N($D1041)&lt;=0,"Qty must be above 0",IF($H1041="","No price on menu","OK"))))))</f>
        <v/>
      </c>
      <c r="O1041" s="13">
        <f>IF($C1041="","",IFERROR(MATCH($C1041,'Menu Pricing'!$B$7:$B$56,0),""))</f>
        <v/>
      </c>
    </row>
    <row r="1042" ht="17" customHeight="1">
      <c r="B1042" s="66" t="n"/>
      <c r="C1042" s="60" t="n"/>
      <c r="D1042" s="86" t="n"/>
      <c r="E1042" s="63" t="n"/>
      <c r="F1042" s="60" t="n"/>
      <c r="G1042" s="60" t="n"/>
      <c r="H1042" s="71">
        <f>IF(OR($C1042="",$D1042=""),"",IF(ISNUMBER($E1042),$E1042,IF($O1042="","",IF(N(INDEX('Menu Pricing'!$O$7:$O$56,$O1042))&gt;0,INDEX('Menu Pricing'!$O$7:$O$56,$O1042),""))))</f>
        <v/>
      </c>
      <c r="I1042" s="71">
        <f>IF($N1042&lt;&gt;"OK","",$D1042*$H1042)</f>
        <v/>
      </c>
      <c r="J1042" s="71">
        <f>IF($N1042&lt;&gt;"OK","",N(INDEX('Menu Pricing'!$F$7:$F$56,$O1042))+N(INDEX('Menu Pricing'!$G$7:$G$56,$O1042))+N(INDEX('Menu Pricing'!$J$7:$J$56,$O1042)))</f>
        <v/>
      </c>
      <c r="K1042" s="71">
        <f>IF($N1042&lt;&gt;"OK","",$D1042*$J1042)</f>
        <v/>
      </c>
      <c r="L1042" s="71">
        <f>IF($N1042&lt;&gt;"OK","",$I1042-$K1042)</f>
        <v/>
      </c>
      <c r="M1042" s="71">
        <f>IF($N1042&lt;&gt;"OK","",$D1042*N(INDEX('Menu Pricing'!$F$7:$F$56,$O1042)))</f>
        <v/>
      </c>
      <c r="N1042" s="80">
        <f>IF(AND($B1042="",$C1042="",$D1042=""),"",IF(NOT(ISNUMBER($B1042)),"Enter a valid date",IF($C1042="","Pick a menu item",IF($O1042="","Item not on Menu Pricing",IF(N($D1042)&lt;=0,"Qty must be above 0",IF($H1042="","No price on menu","OK"))))))</f>
        <v/>
      </c>
      <c r="O1042" s="13">
        <f>IF($C1042="","",IFERROR(MATCH($C1042,'Menu Pricing'!$B$7:$B$56,0),""))</f>
        <v/>
      </c>
    </row>
    <row r="1043" ht="17" customHeight="1">
      <c r="B1043" s="66" t="n"/>
      <c r="C1043" s="60" t="n"/>
      <c r="D1043" s="86" t="n"/>
      <c r="E1043" s="63" t="n"/>
      <c r="F1043" s="60" t="n"/>
      <c r="G1043" s="60" t="n"/>
      <c r="H1043" s="71">
        <f>IF(OR($C1043="",$D1043=""),"",IF(ISNUMBER($E1043),$E1043,IF($O1043="","",IF(N(INDEX('Menu Pricing'!$O$7:$O$56,$O1043))&gt;0,INDEX('Menu Pricing'!$O$7:$O$56,$O1043),""))))</f>
        <v/>
      </c>
      <c r="I1043" s="71">
        <f>IF($N1043&lt;&gt;"OK","",$D1043*$H1043)</f>
        <v/>
      </c>
      <c r="J1043" s="71">
        <f>IF($N1043&lt;&gt;"OK","",N(INDEX('Menu Pricing'!$F$7:$F$56,$O1043))+N(INDEX('Menu Pricing'!$G$7:$G$56,$O1043))+N(INDEX('Menu Pricing'!$J$7:$J$56,$O1043)))</f>
        <v/>
      </c>
      <c r="K1043" s="71">
        <f>IF($N1043&lt;&gt;"OK","",$D1043*$J1043)</f>
        <v/>
      </c>
      <c r="L1043" s="71">
        <f>IF($N1043&lt;&gt;"OK","",$I1043-$K1043)</f>
        <v/>
      </c>
      <c r="M1043" s="71">
        <f>IF($N1043&lt;&gt;"OK","",$D1043*N(INDEX('Menu Pricing'!$F$7:$F$56,$O1043)))</f>
        <v/>
      </c>
      <c r="N1043" s="80">
        <f>IF(AND($B1043="",$C1043="",$D1043=""),"",IF(NOT(ISNUMBER($B1043)),"Enter a valid date",IF($C1043="","Pick a menu item",IF($O1043="","Item not on Menu Pricing",IF(N($D1043)&lt;=0,"Qty must be above 0",IF($H1043="","No price on menu","OK"))))))</f>
        <v/>
      </c>
      <c r="O1043" s="13">
        <f>IF($C1043="","",IFERROR(MATCH($C1043,'Menu Pricing'!$B$7:$B$56,0),""))</f>
        <v/>
      </c>
    </row>
    <row r="1044" ht="17" customHeight="1">
      <c r="B1044" s="66" t="n"/>
      <c r="C1044" s="60" t="n"/>
      <c r="D1044" s="86" t="n"/>
      <c r="E1044" s="63" t="n"/>
      <c r="F1044" s="60" t="n"/>
      <c r="G1044" s="60" t="n"/>
      <c r="H1044" s="71">
        <f>IF(OR($C1044="",$D1044=""),"",IF(ISNUMBER($E1044),$E1044,IF($O1044="","",IF(N(INDEX('Menu Pricing'!$O$7:$O$56,$O1044))&gt;0,INDEX('Menu Pricing'!$O$7:$O$56,$O1044),""))))</f>
        <v/>
      </c>
      <c r="I1044" s="71">
        <f>IF($N1044&lt;&gt;"OK","",$D1044*$H1044)</f>
        <v/>
      </c>
      <c r="J1044" s="71">
        <f>IF($N1044&lt;&gt;"OK","",N(INDEX('Menu Pricing'!$F$7:$F$56,$O1044))+N(INDEX('Menu Pricing'!$G$7:$G$56,$O1044))+N(INDEX('Menu Pricing'!$J$7:$J$56,$O1044)))</f>
        <v/>
      </c>
      <c r="K1044" s="71">
        <f>IF($N1044&lt;&gt;"OK","",$D1044*$J1044)</f>
        <v/>
      </c>
      <c r="L1044" s="71">
        <f>IF($N1044&lt;&gt;"OK","",$I1044-$K1044)</f>
        <v/>
      </c>
      <c r="M1044" s="71">
        <f>IF($N1044&lt;&gt;"OK","",$D1044*N(INDEX('Menu Pricing'!$F$7:$F$56,$O1044)))</f>
        <v/>
      </c>
      <c r="N1044" s="80">
        <f>IF(AND($B1044="",$C1044="",$D1044=""),"",IF(NOT(ISNUMBER($B1044)),"Enter a valid date",IF($C1044="","Pick a menu item",IF($O1044="","Item not on Menu Pricing",IF(N($D1044)&lt;=0,"Qty must be above 0",IF($H1044="","No price on menu","OK"))))))</f>
        <v/>
      </c>
      <c r="O1044" s="13">
        <f>IF($C1044="","",IFERROR(MATCH($C1044,'Menu Pricing'!$B$7:$B$56,0),""))</f>
        <v/>
      </c>
    </row>
    <row r="1045" ht="17" customHeight="1">
      <c r="B1045" s="66" t="n"/>
      <c r="C1045" s="60" t="n"/>
      <c r="D1045" s="86" t="n"/>
      <c r="E1045" s="63" t="n"/>
      <c r="F1045" s="60" t="n"/>
      <c r="G1045" s="60" t="n"/>
      <c r="H1045" s="71">
        <f>IF(OR($C1045="",$D1045=""),"",IF(ISNUMBER($E1045),$E1045,IF($O1045="","",IF(N(INDEX('Menu Pricing'!$O$7:$O$56,$O1045))&gt;0,INDEX('Menu Pricing'!$O$7:$O$56,$O1045),""))))</f>
        <v/>
      </c>
      <c r="I1045" s="71">
        <f>IF($N1045&lt;&gt;"OK","",$D1045*$H1045)</f>
        <v/>
      </c>
      <c r="J1045" s="71">
        <f>IF($N1045&lt;&gt;"OK","",N(INDEX('Menu Pricing'!$F$7:$F$56,$O1045))+N(INDEX('Menu Pricing'!$G$7:$G$56,$O1045))+N(INDEX('Menu Pricing'!$J$7:$J$56,$O1045)))</f>
        <v/>
      </c>
      <c r="K1045" s="71">
        <f>IF($N1045&lt;&gt;"OK","",$D1045*$J1045)</f>
        <v/>
      </c>
      <c r="L1045" s="71">
        <f>IF($N1045&lt;&gt;"OK","",$I1045-$K1045)</f>
        <v/>
      </c>
      <c r="M1045" s="71">
        <f>IF($N1045&lt;&gt;"OK","",$D1045*N(INDEX('Menu Pricing'!$F$7:$F$56,$O1045)))</f>
        <v/>
      </c>
      <c r="N1045" s="80">
        <f>IF(AND($B1045="",$C1045="",$D1045=""),"",IF(NOT(ISNUMBER($B1045)),"Enter a valid date",IF($C1045="","Pick a menu item",IF($O1045="","Item not on Menu Pricing",IF(N($D1045)&lt;=0,"Qty must be above 0",IF($H1045="","No price on menu","OK"))))))</f>
        <v/>
      </c>
      <c r="O1045" s="13">
        <f>IF($C1045="","",IFERROR(MATCH($C1045,'Menu Pricing'!$B$7:$B$56,0),""))</f>
        <v/>
      </c>
    </row>
    <row r="1046" ht="17" customHeight="1">
      <c r="B1046" s="66" t="n"/>
      <c r="C1046" s="60" t="n"/>
      <c r="D1046" s="86" t="n"/>
      <c r="E1046" s="63" t="n"/>
      <c r="F1046" s="60" t="n"/>
      <c r="G1046" s="60" t="n"/>
      <c r="H1046" s="71">
        <f>IF(OR($C1046="",$D1046=""),"",IF(ISNUMBER($E1046),$E1046,IF($O1046="","",IF(N(INDEX('Menu Pricing'!$O$7:$O$56,$O1046))&gt;0,INDEX('Menu Pricing'!$O$7:$O$56,$O1046),""))))</f>
        <v/>
      </c>
      <c r="I1046" s="71">
        <f>IF($N1046&lt;&gt;"OK","",$D1046*$H1046)</f>
        <v/>
      </c>
      <c r="J1046" s="71">
        <f>IF($N1046&lt;&gt;"OK","",N(INDEX('Menu Pricing'!$F$7:$F$56,$O1046))+N(INDEX('Menu Pricing'!$G$7:$G$56,$O1046))+N(INDEX('Menu Pricing'!$J$7:$J$56,$O1046)))</f>
        <v/>
      </c>
      <c r="K1046" s="71">
        <f>IF($N1046&lt;&gt;"OK","",$D1046*$J1046)</f>
        <v/>
      </c>
      <c r="L1046" s="71">
        <f>IF($N1046&lt;&gt;"OK","",$I1046-$K1046)</f>
        <v/>
      </c>
      <c r="M1046" s="71">
        <f>IF($N1046&lt;&gt;"OK","",$D1046*N(INDEX('Menu Pricing'!$F$7:$F$56,$O1046)))</f>
        <v/>
      </c>
      <c r="N1046" s="80">
        <f>IF(AND($B1046="",$C1046="",$D1046=""),"",IF(NOT(ISNUMBER($B1046)),"Enter a valid date",IF($C1046="","Pick a menu item",IF($O1046="","Item not on Menu Pricing",IF(N($D1046)&lt;=0,"Qty must be above 0",IF($H1046="","No price on menu","OK"))))))</f>
        <v/>
      </c>
      <c r="O1046" s="13">
        <f>IF($C1046="","",IFERROR(MATCH($C1046,'Menu Pricing'!$B$7:$B$56,0),""))</f>
        <v/>
      </c>
    </row>
    <row r="1047" ht="17" customHeight="1">
      <c r="B1047" s="66" t="n"/>
      <c r="C1047" s="60" t="n"/>
      <c r="D1047" s="86" t="n"/>
      <c r="E1047" s="63" t="n"/>
      <c r="F1047" s="60" t="n"/>
      <c r="G1047" s="60" t="n"/>
      <c r="H1047" s="71">
        <f>IF(OR($C1047="",$D1047=""),"",IF(ISNUMBER($E1047),$E1047,IF($O1047="","",IF(N(INDEX('Menu Pricing'!$O$7:$O$56,$O1047))&gt;0,INDEX('Menu Pricing'!$O$7:$O$56,$O1047),""))))</f>
        <v/>
      </c>
      <c r="I1047" s="71">
        <f>IF($N1047&lt;&gt;"OK","",$D1047*$H1047)</f>
        <v/>
      </c>
      <c r="J1047" s="71">
        <f>IF($N1047&lt;&gt;"OK","",N(INDEX('Menu Pricing'!$F$7:$F$56,$O1047))+N(INDEX('Menu Pricing'!$G$7:$G$56,$O1047))+N(INDEX('Menu Pricing'!$J$7:$J$56,$O1047)))</f>
        <v/>
      </c>
      <c r="K1047" s="71">
        <f>IF($N1047&lt;&gt;"OK","",$D1047*$J1047)</f>
        <v/>
      </c>
      <c r="L1047" s="71">
        <f>IF($N1047&lt;&gt;"OK","",$I1047-$K1047)</f>
        <v/>
      </c>
      <c r="M1047" s="71">
        <f>IF($N1047&lt;&gt;"OK","",$D1047*N(INDEX('Menu Pricing'!$F$7:$F$56,$O1047)))</f>
        <v/>
      </c>
      <c r="N1047" s="80">
        <f>IF(AND($B1047="",$C1047="",$D1047=""),"",IF(NOT(ISNUMBER($B1047)),"Enter a valid date",IF($C1047="","Pick a menu item",IF($O1047="","Item not on Menu Pricing",IF(N($D1047)&lt;=0,"Qty must be above 0",IF($H1047="","No price on menu","OK"))))))</f>
        <v/>
      </c>
      <c r="O1047" s="13">
        <f>IF($C1047="","",IFERROR(MATCH($C1047,'Menu Pricing'!$B$7:$B$56,0),""))</f>
        <v/>
      </c>
    </row>
    <row r="1048" ht="17" customHeight="1">
      <c r="B1048" s="66" t="n"/>
      <c r="C1048" s="60" t="n"/>
      <c r="D1048" s="86" t="n"/>
      <c r="E1048" s="63" t="n"/>
      <c r="F1048" s="60" t="n"/>
      <c r="G1048" s="60" t="n"/>
      <c r="H1048" s="71">
        <f>IF(OR($C1048="",$D1048=""),"",IF(ISNUMBER($E1048),$E1048,IF($O1048="","",IF(N(INDEX('Menu Pricing'!$O$7:$O$56,$O1048))&gt;0,INDEX('Menu Pricing'!$O$7:$O$56,$O1048),""))))</f>
        <v/>
      </c>
      <c r="I1048" s="71">
        <f>IF($N1048&lt;&gt;"OK","",$D1048*$H1048)</f>
        <v/>
      </c>
      <c r="J1048" s="71">
        <f>IF($N1048&lt;&gt;"OK","",N(INDEX('Menu Pricing'!$F$7:$F$56,$O1048))+N(INDEX('Menu Pricing'!$G$7:$G$56,$O1048))+N(INDEX('Menu Pricing'!$J$7:$J$56,$O1048)))</f>
        <v/>
      </c>
      <c r="K1048" s="71">
        <f>IF($N1048&lt;&gt;"OK","",$D1048*$J1048)</f>
        <v/>
      </c>
      <c r="L1048" s="71">
        <f>IF($N1048&lt;&gt;"OK","",$I1048-$K1048)</f>
        <v/>
      </c>
      <c r="M1048" s="71">
        <f>IF($N1048&lt;&gt;"OK","",$D1048*N(INDEX('Menu Pricing'!$F$7:$F$56,$O1048)))</f>
        <v/>
      </c>
      <c r="N1048" s="80">
        <f>IF(AND($B1048="",$C1048="",$D1048=""),"",IF(NOT(ISNUMBER($B1048)),"Enter a valid date",IF($C1048="","Pick a menu item",IF($O1048="","Item not on Menu Pricing",IF(N($D1048)&lt;=0,"Qty must be above 0",IF($H1048="","No price on menu","OK"))))))</f>
        <v/>
      </c>
      <c r="O1048" s="13">
        <f>IF($C1048="","",IFERROR(MATCH($C1048,'Menu Pricing'!$B$7:$B$56,0),""))</f>
        <v/>
      </c>
    </row>
    <row r="1049" ht="17" customHeight="1">
      <c r="B1049" s="66" t="n"/>
      <c r="C1049" s="60" t="n"/>
      <c r="D1049" s="86" t="n"/>
      <c r="E1049" s="63" t="n"/>
      <c r="F1049" s="60" t="n"/>
      <c r="G1049" s="60" t="n"/>
      <c r="H1049" s="71">
        <f>IF(OR($C1049="",$D1049=""),"",IF(ISNUMBER($E1049),$E1049,IF($O1049="","",IF(N(INDEX('Menu Pricing'!$O$7:$O$56,$O1049))&gt;0,INDEX('Menu Pricing'!$O$7:$O$56,$O1049),""))))</f>
        <v/>
      </c>
      <c r="I1049" s="71">
        <f>IF($N1049&lt;&gt;"OK","",$D1049*$H1049)</f>
        <v/>
      </c>
      <c r="J1049" s="71">
        <f>IF($N1049&lt;&gt;"OK","",N(INDEX('Menu Pricing'!$F$7:$F$56,$O1049))+N(INDEX('Menu Pricing'!$G$7:$G$56,$O1049))+N(INDEX('Menu Pricing'!$J$7:$J$56,$O1049)))</f>
        <v/>
      </c>
      <c r="K1049" s="71">
        <f>IF($N1049&lt;&gt;"OK","",$D1049*$J1049)</f>
        <v/>
      </c>
      <c r="L1049" s="71">
        <f>IF($N1049&lt;&gt;"OK","",$I1049-$K1049)</f>
        <v/>
      </c>
      <c r="M1049" s="71">
        <f>IF($N1049&lt;&gt;"OK","",$D1049*N(INDEX('Menu Pricing'!$F$7:$F$56,$O1049)))</f>
        <v/>
      </c>
      <c r="N1049" s="80">
        <f>IF(AND($B1049="",$C1049="",$D1049=""),"",IF(NOT(ISNUMBER($B1049)),"Enter a valid date",IF($C1049="","Pick a menu item",IF($O1049="","Item not on Menu Pricing",IF(N($D1049)&lt;=0,"Qty must be above 0",IF($H1049="","No price on menu","OK"))))))</f>
        <v/>
      </c>
      <c r="O1049" s="13">
        <f>IF($C1049="","",IFERROR(MATCH($C1049,'Menu Pricing'!$B$7:$B$56,0),""))</f>
        <v/>
      </c>
    </row>
    <row r="1050" ht="17" customHeight="1">
      <c r="B1050" s="66" t="n"/>
      <c r="C1050" s="60" t="n"/>
      <c r="D1050" s="86" t="n"/>
      <c r="E1050" s="63" t="n"/>
      <c r="F1050" s="60" t="n"/>
      <c r="G1050" s="60" t="n"/>
      <c r="H1050" s="71">
        <f>IF(OR($C1050="",$D1050=""),"",IF(ISNUMBER($E1050),$E1050,IF($O1050="","",IF(N(INDEX('Menu Pricing'!$O$7:$O$56,$O1050))&gt;0,INDEX('Menu Pricing'!$O$7:$O$56,$O1050),""))))</f>
        <v/>
      </c>
      <c r="I1050" s="71">
        <f>IF($N1050&lt;&gt;"OK","",$D1050*$H1050)</f>
        <v/>
      </c>
      <c r="J1050" s="71">
        <f>IF($N1050&lt;&gt;"OK","",N(INDEX('Menu Pricing'!$F$7:$F$56,$O1050))+N(INDEX('Menu Pricing'!$G$7:$G$56,$O1050))+N(INDEX('Menu Pricing'!$J$7:$J$56,$O1050)))</f>
        <v/>
      </c>
      <c r="K1050" s="71">
        <f>IF($N1050&lt;&gt;"OK","",$D1050*$J1050)</f>
        <v/>
      </c>
      <c r="L1050" s="71">
        <f>IF($N1050&lt;&gt;"OK","",$I1050-$K1050)</f>
        <v/>
      </c>
      <c r="M1050" s="71">
        <f>IF($N1050&lt;&gt;"OK","",$D1050*N(INDEX('Menu Pricing'!$F$7:$F$56,$O1050)))</f>
        <v/>
      </c>
      <c r="N1050" s="80">
        <f>IF(AND($B1050="",$C1050="",$D1050=""),"",IF(NOT(ISNUMBER($B1050)),"Enter a valid date",IF($C1050="","Pick a menu item",IF($O1050="","Item not on Menu Pricing",IF(N($D1050)&lt;=0,"Qty must be above 0",IF($H1050="","No price on menu","OK"))))))</f>
        <v/>
      </c>
      <c r="O1050" s="13">
        <f>IF($C1050="","",IFERROR(MATCH($C1050,'Menu Pricing'!$B$7:$B$56,0),""))</f>
        <v/>
      </c>
    </row>
    <row r="1051" ht="17" customHeight="1">
      <c r="B1051" s="66" t="n"/>
      <c r="C1051" s="60" t="n"/>
      <c r="D1051" s="86" t="n"/>
      <c r="E1051" s="63" t="n"/>
      <c r="F1051" s="60" t="n"/>
      <c r="G1051" s="60" t="n"/>
      <c r="H1051" s="71">
        <f>IF(OR($C1051="",$D1051=""),"",IF(ISNUMBER($E1051),$E1051,IF($O1051="","",IF(N(INDEX('Menu Pricing'!$O$7:$O$56,$O1051))&gt;0,INDEX('Menu Pricing'!$O$7:$O$56,$O1051),""))))</f>
        <v/>
      </c>
      <c r="I1051" s="71">
        <f>IF($N1051&lt;&gt;"OK","",$D1051*$H1051)</f>
        <v/>
      </c>
      <c r="J1051" s="71">
        <f>IF($N1051&lt;&gt;"OK","",N(INDEX('Menu Pricing'!$F$7:$F$56,$O1051))+N(INDEX('Menu Pricing'!$G$7:$G$56,$O1051))+N(INDEX('Menu Pricing'!$J$7:$J$56,$O1051)))</f>
        <v/>
      </c>
      <c r="K1051" s="71">
        <f>IF($N1051&lt;&gt;"OK","",$D1051*$J1051)</f>
        <v/>
      </c>
      <c r="L1051" s="71">
        <f>IF($N1051&lt;&gt;"OK","",$I1051-$K1051)</f>
        <v/>
      </c>
      <c r="M1051" s="71">
        <f>IF($N1051&lt;&gt;"OK","",$D1051*N(INDEX('Menu Pricing'!$F$7:$F$56,$O1051)))</f>
        <v/>
      </c>
      <c r="N1051" s="80">
        <f>IF(AND($B1051="",$C1051="",$D1051=""),"",IF(NOT(ISNUMBER($B1051)),"Enter a valid date",IF($C1051="","Pick a menu item",IF($O1051="","Item not on Menu Pricing",IF(N($D1051)&lt;=0,"Qty must be above 0",IF($H1051="","No price on menu","OK"))))))</f>
        <v/>
      </c>
      <c r="O1051" s="13">
        <f>IF($C1051="","",IFERROR(MATCH($C1051,'Menu Pricing'!$B$7:$B$56,0),""))</f>
        <v/>
      </c>
    </row>
    <row r="1052" ht="17" customHeight="1">
      <c r="B1052" s="66" t="n"/>
      <c r="C1052" s="60" t="n"/>
      <c r="D1052" s="86" t="n"/>
      <c r="E1052" s="63" t="n"/>
      <c r="F1052" s="60" t="n"/>
      <c r="G1052" s="60" t="n"/>
      <c r="H1052" s="71">
        <f>IF(OR($C1052="",$D1052=""),"",IF(ISNUMBER($E1052),$E1052,IF($O1052="","",IF(N(INDEX('Menu Pricing'!$O$7:$O$56,$O1052))&gt;0,INDEX('Menu Pricing'!$O$7:$O$56,$O1052),""))))</f>
        <v/>
      </c>
      <c r="I1052" s="71">
        <f>IF($N1052&lt;&gt;"OK","",$D1052*$H1052)</f>
        <v/>
      </c>
      <c r="J1052" s="71">
        <f>IF($N1052&lt;&gt;"OK","",N(INDEX('Menu Pricing'!$F$7:$F$56,$O1052))+N(INDEX('Menu Pricing'!$G$7:$G$56,$O1052))+N(INDEX('Menu Pricing'!$J$7:$J$56,$O1052)))</f>
        <v/>
      </c>
      <c r="K1052" s="71">
        <f>IF($N1052&lt;&gt;"OK","",$D1052*$J1052)</f>
        <v/>
      </c>
      <c r="L1052" s="71">
        <f>IF($N1052&lt;&gt;"OK","",$I1052-$K1052)</f>
        <v/>
      </c>
      <c r="M1052" s="71">
        <f>IF($N1052&lt;&gt;"OK","",$D1052*N(INDEX('Menu Pricing'!$F$7:$F$56,$O1052)))</f>
        <v/>
      </c>
      <c r="N1052" s="80">
        <f>IF(AND($B1052="",$C1052="",$D1052=""),"",IF(NOT(ISNUMBER($B1052)),"Enter a valid date",IF($C1052="","Pick a menu item",IF($O1052="","Item not on Menu Pricing",IF(N($D1052)&lt;=0,"Qty must be above 0",IF($H1052="","No price on menu","OK"))))))</f>
        <v/>
      </c>
      <c r="O1052" s="13">
        <f>IF($C1052="","",IFERROR(MATCH($C1052,'Menu Pricing'!$B$7:$B$56,0),""))</f>
        <v/>
      </c>
    </row>
    <row r="1053" ht="17" customHeight="1">
      <c r="B1053" s="66" t="n"/>
      <c r="C1053" s="60" t="n"/>
      <c r="D1053" s="86" t="n"/>
      <c r="E1053" s="63" t="n"/>
      <c r="F1053" s="60" t="n"/>
      <c r="G1053" s="60" t="n"/>
      <c r="H1053" s="71">
        <f>IF(OR($C1053="",$D1053=""),"",IF(ISNUMBER($E1053),$E1053,IF($O1053="","",IF(N(INDEX('Menu Pricing'!$O$7:$O$56,$O1053))&gt;0,INDEX('Menu Pricing'!$O$7:$O$56,$O1053),""))))</f>
        <v/>
      </c>
      <c r="I1053" s="71">
        <f>IF($N1053&lt;&gt;"OK","",$D1053*$H1053)</f>
        <v/>
      </c>
      <c r="J1053" s="71">
        <f>IF($N1053&lt;&gt;"OK","",N(INDEX('Menu Pricing'!$F$7:$F$56,$O1053))+N(INDEX('Menu Pricing'!$G$7:$G$56,$O1053))+N(INDEX('Menu Pricing'!$J$7:$J$56,$O1053)))</f>
        <v/>
      </c>
      <c r="K1053" s="71">
        <f>IF($N1053&lt;&gt;"OK","",$D1053*$J1053)</f>
        <v/>
      </c>
      <c r="L1053" s="71">
        <f>IF($N1053&lt;&gt;"OK","",$I1053-$K1053)</f>
        <v/>
      </c>
      <c r="M1053" s="71">
        <f>IF($N1053&lt;&gt;"OK","",$D1053*N(INDEX('Menu Pricing'!$F$7:$F$56,$O1053)))</f>
        <v/>
      </c>
      <c r="N1053" s="80">
        <f>IF(AND($B1053="",$C1053="",$D1053=""),"",IF(NOT(ISNUMBER($B1053)),"Enter a valid date",IF($C1053="","Pick a menu item",IF($O1053="","Item not on Menu Pricing",IF(N($D1053)&lt;=0,"Qty must be above 0",IF($H1053="","No price on menu","OK"))))))</f>
        <v/>
      </c>
      <c r="O1053" s="13">
        <f>IF($C1053="","",IFERROR(MATCH($C1053,'Menu Pricing'!$B$7:$B$56,0),""))</f>
        <v/>
      </c>
    </row>
    <row r="1054" ht="17" customHeight="1">
      <c r="B1054" s="66" t="n"/>
      <c r="C1054" s="60" t="n"/>
      <c r="D1054" s="86" t="n"/>
      <c r="E1054" s="63" t="n"/>
      <c r="F1054" s="60" t="n"/>
      <c r="G1054" s="60" t="n"/>
      <c r="H1054" s="71">
        <f>IF(OR($C1054="",$D1054=""),"",IF(ISNUMBER($E1054),$E1054,IF($O1054="","",IF(N(INDEX('Menu Pricing'!$O$7:$O$56,$O1054))&gt;0,INDEX('Menu Pricing'!$O$7:$O$56,$O1054),""))))</f>
        <v/>
      </c>
      <c r="I1054" s="71">
        <f>IF($N1054&lt;&gt;"OK","",$D1054*$H1054)</f>
        <v/>
      </c>
      <c r="J1054" s="71">
        <f>IF($N1054&lt;&gt;"OK","",N(INDEX('Menu Pricing'!$F$7:$F$56,$O1054))+N(INDEX('Menu Pricing'!$G$7:$G$56,$O1054))+N(INDEX('Menu Pricing'!$J$7:$J$56,$O1054)))</f>
        <v/>
      </c>
      <c r="K1054" s="71">
        <f>IF($N1054&lt;&gt;"OK","",$D1054*$J1054)</f>
        <v/>
      </c>
      <c r="L1054" s="71">
        <f>IF($N1054&lt;&gt;"OK","",$I1054-$K1054)</f>
        <v/>
      </c>
      <c r="M1054" s="71">
        <f>IF($N1054&lt;&gt;"OK","",$D1054*N(INDEX('Menu Pricing'!$F$7:$F$56,$O1054)))</f>
        <v/>
      </c>
      <c r="N1054" s="80">
        <f>IF(AND($B1054="",$C1054="",$D1054=""),"",IF(NOT(ISNUMBER($B1054)),"Enter a valid date",IF($C1054="","Pick a menu item",IF($O1054="","Item not on Menu Pricing",IF(N($D1054)&lt;=0,"Qty must be above 0",IF($H1054="","No price on menu","OK"))))))</f>
        <v/>
      </c>
      <c r="O1054" s="13">
        <f>IF($C1054="","",IFERROR(MATCH($C1054,'Menu Pricing'!$B$7:$B$56,0),""))</f>
        <v/>
      </c>
    </row>
    <row r="1055" ht="17" customHeight="1">
      <c r="B1055" s="66" t="n"/>
      <c r="C1055" s="60" t="n"/>
      <c r="D1055" s="86" t="n"/>
      <c r="E1055" s="63" t="n"/>
      <c r="F1055" s="60" t="n"/>
      <c r="G1055" s="60" t="n"/>
      <c r="H1055" s="71">
        <f>IF(OR($C1055="",$D1055=""),"",IF(ISNUMBER($E1055),$E1055,IF($O1055="","",IF(N(INDEX('Menu Pricing'!$O$7:$O$56,$O1055))&gt;0,INDEX('Menu Pricing'!$O$7:$O$56,$O1055),""))))</f>
        <v/>
      </c>
      <c r="I1055" s="71">
        <f>IF($N1055&lt;&gt;"OK","",$D1055*$H1055)</f>
        <v/>
      </c>
      <c r="J1055" s="71">
        <f>IF($N1055&lt;&gt;"OK","",N(INDEX('Menu Pricing'!$F$7:$F$56,$O1055))+N(INDEX('Menu Pricing'!$G$7:$G$56,$O1055))+N(INDEX('Menu Pricing'!$J$7:$J$56,$O1055)))</f>
        <v/>
      </c>
      <c r="K1055" s="71">
        <f>IF($N1055&lt;&gt;"OK","",$D1055*$J1055)</f>
        <v/>
      </c>
      <c r="L1055" s="71">
        <f>IF($N1055&lt;&gt;"OK","",$I1055-$K1055)</f>
        <v/>
      </c>
      <c r="M1055" s="71">
        <f>IF($N1055&lt;&gt;"OK","",$D1055*N(INDEX('Menu Pricing'!$F$7:$F$56,$O1055)))</f>
        <v/>
      </c>
      <c r="N1055" s="80">
        <f>IF(AND($B1055="",$C1055="",$D1055=""),"",IF(NOT(ISNUMBER($B1055)),"Enter a valid date",IF($C1055="","Pick a menu item",IF($O1055="","Item not on Menu Pricing",IF(N($D1055)&lt;=0,"Qty must be above 0",IF($H1055="","No price on menu","OK"))))))</f>
        <v/>
      </c>
      <c r="O1055" s="13">
        <f>IF($C1055="","",IFERROR(MATCH($C1055,'Menu Pricing'!$B$7:$B$56,0),""))</f>
        <v/>
      </c>
    </row>
    <row r="1056" ht="17" customHeight="1">
      <c r="B1056" s="66" t="n"/>
      <c r="C1056" s="60" t="n"/>
      <c r="D1056" s="86" t="n"/>
      <c r="E1056" s="63" t="n"/>
      <c r="F1056" s="60" t="n"/>
      <c r="G1056" s="60" t="n"/>
      <c r="H1056" s="71">
        <f>IF(OR($C1056="",$D1056=""),"",IF(ISNUMBER($E1056),$E1056,IF($O1056="","",IF(N(INDEX('Menu Pricing'!$O$7:$O$56,$O1056))&gt;0,INDEX('Menu Pricing'!$O$7:$O$56,$O1056),""))))</f>
        <v/>
      </c>
      <c r="I1056" s="71">
        <f>IF($N1056&lt;&gt;"OK","",$D1056*$H1056)</f>
        <v/>
      </c>
      <c r="J1056" s="71">
        <f>IF($N1056&lt;&gt;"OK","",N(INDEX('Menu Pricing'!$F$7:$F$56,$O1056))+N(INDEX('Menu Pricing'!$G$7:$G$56,$O1056))+N(INDEX('Menu Pricing'!$J$7:$J$56,$O1056)))</f>
        <v/>
      </c>
      <c r="K1056" s="71">
        <f>IF($N1056&lt;&gt;"OK","",$D1056*$J1056)</f>
        <v/>
      </c>
      <c r="L1056" s="71">
        <f>IF($N1056&lt;&gt;"OK","",$I1056-$K1056)</f>
        <v/>
      </c>
      <c r="M1056" s="71">
        <f>IF($N1056&lt;&gt;"OK","",$D1056*N(INDEX('Menu Pricing'!$F$7:$F$56,$O1056)))</f>
        <v/>
      </c>
      <c r="N1056" s="80">
        <f>IF(AND($B1056="",$C1056="",$D1056=""),"",IF(NOT(ISNUMBER($B1056)),"Enter a valid date",IF($C1056="","Pick a menu item",IF($O1056="","Item not on Menu Pricing",IF(N($D1056)&lt;=0,"Qty must be above 0",IF($H1056="","No price on menu","OK"))))))</f>
        <v/>
      </c>
      <c r="O1056" s="13">
        <f>IF($C1056="","",IFERROR(MATCH($C1056,'Menu Pricing'!$B$7:$B$56,0),""))</f>
        <v/>
      </c>
    </row>
    <row r="1057" ht="17" customHeight="1">
      <c r="B1057" s="66" t="n"/>
      <c r="C1057" s="60" t="n"/>
      <c r="D1057" s="86" t="n"/>
      <c r="E1057" s="63" t="n"/>
      <c r="F1057" s="60" t="n"/>
      <c r="G1057" s="60" t="n"/>
      <c r="H1057" s="71">
        <f>IF(OR($C1057="",$D1057=""),"",IF(ISNUMBER($E1057),$E1057,IF($O1057="","",IF(N(INDEX('Menu Pricing'!$O$7:$O$56,$O1057))&gt;0,INDEX('Menu Pricing'!$O$7:$O$56,$O1057),""))))</f>
        <v/>
      </c>
      <c r="I1057" s="71">
        <f>IF($N1057&lt;&gt;"OK","",$D1057*$H1057)</f>
        <v/>
      </c>
      <c r="J1057" s="71">
        <f>IF($N1057&lt;&gt;"OK","",N(INDEX('Menu Pricing'!$F$7:$F$56,$O1057))+N(INDEX('Menu Pricing'!$G$7:$G$56,$O1057))+N(INDEX('Menu Pricing'!$J$7:$J$56,$O1057)))</f>
        <v/>
      </c>
      <c r="K1057" s="71">
        <f>IF($N1057&lt;&gt;"OK","",$D1057*$J1057)</f>
        <v/>
      </c>
      <c r="L1057" s="71">
        <f>IF($N1057&lt;&gt;"OK","",$I1057-$K1057)</f>
        <v/>
      </c>
      <c r="M1057" s="71">
        <f>IF($N1057&lt;&gt;"OK","",$D1057*N(INDEX('Menu Pricing'!$F$7:$F$56,$O1057)))</f>
        <v/>
      </c>
      <c r="N1057" s="80">
        <f>IF(AND($B1057="",$C1057="",$D1057=""),"",IF(NOT(ISNUMBER($B1057)),"Enter a valid date",IF($C1057="","Pick a menu item",IF($O1057="","Item not on Menu Pricing",IF(N($D1057)&lt;=0,"Qty must be above 0",IF($H1057="","No price on menu","OK"))))))</f>
        <v/>
      </c>
      <c r="O1057" s="13">
        <f>IF($C1057="","",IFERROR(MATCH($C1057,'Menu Pricing'!$B$7:$B$56,0),""))</f>
        <v/>
      </c>
    </row>
    <row r="1058" ht="17" customHeight="1">
      <c r="B1058" s="66" t="n"/>
      <c r="C1058" s="60" t="n"/>
      <c r="D1058" s="86" t="n"/>
      <c r="E1058" s="63" t="n"/>
      <c r="F1058" s="60" t="n"/>
      <c r="G1058" s="60" t="n"/>
      <c r="H1058" s="71">
        <f>IF(OR($C1058="",$D1058=""),"",IF(ISNUMBER($E1058),$E1058,IF($O1058="","",IF(N(INDEX('Menu Pricing'!$O$7:$O$56,$O1058))&gt;0,INDEX('Menu Pricing'!$O$7:$O$56,$O1058),""))))</f>
        <v/>
      </c>
      <c r="I1058" s="71">
        <f>IF($N1058&lt;&gt;"OK","",$D1058*$H1058)</f>
        <v/>
      </c>
      <c r="J1058" s="71">
        <f>IF($N1058&lt;&gt;"OK","",N(INDEX('Menu Pricing'!$F$7:$F$56,$O1058))+N(INDEX('Menu Pricing'!$G$7:$G$56,$O1058))+N(INDEX('Menu Pricing'!$J$7:$J$56,$O1058)))</f>
        <v/>
      </c>
      <c r="K1058" s="71">
        <f>IF($N1058&lt;&gt;"OK","",$D1058*$J1058)</f>
        <v/>
      </c>
      <c r="L1058" s="71">
        <f>IF($N1058&lt;&gt;"OK","",$I1058-$K1058)</f>
        <v/>
      </c>
      <c r="M1058" s="71">
        <f>IF($N1058&lt;&gt;"OK","",$D1058*N(INDEX('Menu Pricing'!$F$7:$F$56,$O1058)))</f>
        <v/>
      </c>
      <c r="N1058" s="80">
        <f>IF(AND($B1058="",$C1058="",$D1058=""),"",IF(NOT(ISNUMBER($B1058)),"Enter a valid date",IF($C1058="","Pick a menu item",IF($O1058="","Item not on Menu Pricing",IF(N($D1058)&lt;=0,"Qty must be above 0",IF($H1058="","No price on menu","OK"))))))</f>
        <v/>
      </c>
      <c r="O1058" s="13">
        <f>IF($C1058="","",IFERROR(MATCH($C1058,'Menu Pricing'!$B$7:$B$56,0),""))</f>
        <v/>
      </c>
    </row>
    <row r="1059" ht="17" customHeight="1">
      <c r="B1059" s="66" t="n"/>
      <c r="C1059" s="60" t="n"/>
      <c r="D1059" s="86" t="n"/>
      <c r="E1059" s="63" t="n"/>
      <c r="F1059" s="60" t="n"/>
      <c r="G1059" s="60" t="n"/>
      <c r="H1059" s="71">
        <f>IF(OR($C1059="",$D1059=""),"",IF(ISNUMBER($E1059),$E1059,IF($O1059="","",IF(N(INDEX('Menu Pricing'!$O$7:$O$56,$O1059))&gt;0,INDEX('Menu Pricing'!$O$7:$O$56,$O1059),""))))</f>
        <v/>
      </c>
      <c r="I1059" s="71">
        <f>IF($N1059&lt;&gt;"OK","",$D1059*$H1059)</f>
        <v/>
      </c>
      <c r="J1059" s="71">
        <f>IF($N1059&lt;&gt;"OK","",N(INDEX('Menu Pricing'!$F$7:$F$56,$O1059))+N(INDEX('Menu Pricing'!$G$7:$G$56,$O1059))+N(INDEX('Menu Pricing'!$J$7:$J$56,$O1059)))</f>
        <v/>
      </c>
      <c r="K1059" s="71">
        <f>IF($N1059&lt;&gt;"OK","",$D1059*$J1059)</f>
        <v/>
      </c>
      <c r="L1059" s="71">
        <f>IF($N1059&lt;&gt;"OK","",$I1059-$K1059)</f>
        <v/>
      </c>
      <c r="M1059" s="71">
        <f>IF($N1059&lt;&gt;"OK","",$D1059*N(INDEX('Menu Pricing'!$F$7:$F$56,$O1059)))</f>
        <v/>
      </c>
      <c r="N1059" s="80">
        <f>IF(AND($B1059="",$C1059="",$D1059=""),"",IF(NOT(ISNUMBER($B1059)),"Enter a valid date",IF($C1059="","Pick a menu item",IF($O1059="","Item not on Menu Pricing",IF(N($D1059)&lt;=0,"Qty must be above 0",IF($H1059="","No price on menu","OK"))))))</f>
        <v/>
      </c>
      <c r="O1059" s="13">
        <f>IF($C1059="","",IFERROR(MATCH($C1059,'Menu Pricing'!$B$7:$B$56,0),""))</f>
        <v/>
      </c>
    </row>
    <row r="1060" ht="17" customHeight="1">
      <c r="B1060" s="66" t="n"/>
      <c r="C1060" s="60" t="n"/>
      <c r="D1060" s="86" t="n"/>
      <c r="E1060" s="63" t="n"/>
      <c r="F1060" s="60" t="n"/>
      <c r="G1060" s="60" t="n"/>
      <c r="H1060" s="71">
        <f>IF(OR($C1060="",$D1060=""),"",IF(ISNUMBER($E1060),$E1060,IF($O1060="","",IF(N(INDEX('Menu Pricing'!$O$7:$O$56,$O1060))&gt;0,INDEX('Menu Pricing'!$O$7:$O$56,$O1060),""))))</f>
        <v/>
      </c>
      <c r="I1060" s="71">
        <f>IF($N1060&lt;&gt;"OK","",$D1060*$H1060)</f>
        <v/>
      </c>
      <c r="J1060" s="71">
        <f>IF($N1060&lt;&gt;"OK","",N(INDEX('Menu Pricing'!$F$7:$F$56,$O1060))+N(INDEX('Menu Pricing'!$G$7:$G$56,$O1060))+N(INDEX('Menu Pricing'!$J$7:$J$56,$O1060)))</f>
        <v/>
      </c>
      <c r="K1060" s="71">
        <f>IF($N1060&lt;&gt;"OK","",$D1060*$J1060)</f>
        <v/>
      </c>
      <c r="L1060" s="71">
        <f>IF($N1060&lt;&gt;"OK","",$I1060-$K1060)</f>
        <v/>
      </c>
      <c r="M1060" s="71">
        <f>IF($N1060&lt;&gt;"OK","",$D1060*N(INDEX('Menu Pricing'!$F$7:$F$56,$O1060)))</f>
        <v/>
      </c>
      <c r="N1060" s="80">
        <f>IF(AND($B1060="",$C1060="",$D1060=""),"",IF(NOT(ISNUMBER($B1060)),"Enter a valid date",IF($C1060="","Pick a menu item",IF($O1060="","Item not on Menu Pricing",IF(N($D1060)&lt;=0,"Qty must be above 0",IF($H1060="","No price on menu","OK"))))))</f>
        <v/>
      </c>
      <c r="O1060" s="13">
        <f>IF($C1060="","",IFERROR(MATCH($C1060,'Menu Pricing'!$B$7:$B$56,0),""))</f>
        <v/>
      </c>
    </row>
    <row r="1061" ht="17" customHeight="1">
      <c r="B1061" s="66" t="n"/>
      <c r="C1061" s="60" t="n"/>
      <c r="D1061" s="86" t="n"/>
      <c r="E1061" s="63" t="n"/>
      <c r="F1061" s="60" t="n"/>
      <c r="G1061" s="60" t="n"/>
      <c r="H1061" s="71">
        <f>IF(OR($C1061="",$D1061=""),"",IF(ISNUMBER($E1061),$E1061,IF($O1061="","",IF(N(INDEX('Menu Pricing'!$O$7:$O$56,$O1061))&gt;0,INDEX('Menu Pricing'!$O$7:$O$56,$O1061),""))))</f>
        <v/>
      </c>
      <c r="I1061" s="71">
        <f>IF($N1061&lt;&gt;"OK","",$D1061*$H1061)</f>
        <v/>
      </c>
      <c r="J1061" s="71">
        <f>IF($N1061&lt;&gt;"OK","",N(INDEX('Menu Pricing'!$F$7:$F$56,$O1061))+N(INDEX('Menu Pricing'!$G$7:$G$56,$O1061))+N(INDEX('Menu Pricing'!$J$7:$J$56,$O1061)))</f>
        <v/>
      </c>
      <c r="K1061" s="71">
        <f>IF($N1061&lt;&gt;"OK","",$D1061*$J1061)</f>
        <v/>
      </c>
      <c r="L1061" s="71">
        <f>IF($N1061&lt;&gt;"OK","",$I1061-$K1061)</f>
        <v/>
      </c>
      <c r="M1061" s="71">
        <f>IF($N1061&lt;&gt;"OK","",$D1061*N(INDEX('Menu Pricing'!$F$7:$F$56,$O1061)))</f>
        <v/>
      </c>
      <c r="N1061" s="80">
        <f>IF(AND($B1061="",$C1061="",$D1061=""),"",IF(NOT(ISNUMBER($B1061)),"Enter a valid date",IF($C1061="","Pick a menu item",IF($O1061="","Item not on Menu Pricing",IF(N($D1061)&lt;=0,"Qty must be above 0",IF($H1061="","No price on menu","OK"))))))</f>
        <v/>
      </c>
      <c r="O1061" s="13">
        <f>IF($C1061="","",IFERROR(MATCH($C1061,'Menu Pricing'!$B$7:$B$56,0),""))</f>
        <v/>
      </c>
    </row>
    <row r="1062" ht="17" customHeight="1">
      <c r="B1062" s="66" t="n"/>
      <c r="C1062" s="60" t="n"/>
      <c r="D1062" s="86" t="n"/>
      <c r="E1062" s="63" t="n"/>
      <c r="F1062" s="60" t="n"/>
      <c r="G1062" s="60" t="n"/>
      <c r="H1062" s="71">
        <f>IF(OR($C1062="",$D1062=""),"",IF(ISNUMBER($E1062),$E1062,IF($O1062="","",IF(N(INDEX('Menu Pricing'!$O$7:$O$56,$O1062))&gt;0,INDEX('Menu Pricing'!$O$7:$O$56,$O1062),""))))</f>
        <v/>
      </c>
      <c r="I1062" s="71">
        <f>IF($N1062&lt;&gt;"OK","",$D1062*$H1062)</f>
        <v/>
      </c>
      <c r="J1062" s="71">
        <f>IF($N1062&lt;&gt;"OK","",N(INDEX('Menu Pricing'!$F$7:$F$56,$O1062))+N(INDEX('Menu Pricing'!$G$7:$G$56,$O1062))+N(INDEX('Menu Pricing'!$J$7:$J$56,$O1062)))</f>
        <v/>
      </c>
      <c r="K1062" s="71">
        <f>IF($N1062&lt;&gt;"OK","",$D1062*$J1062)</f>
        <v/>
      </c>
      <c r="L1062" s="71">
        <f>IF($N1062&lt;&gt;"OK","",$I1062-$K1062)</f>
        <v/>
      </c>
      <c r="M1062" s="71">
        <f>IF($N1062&lt;&gt;"OK","",$D1062*N(INDEX('Menu Pricing'!$F$7:$F$56,$O1062)))</f>
        <v/>
      </c>
      <c r="N1062" s="80">
        <f>IF(AND($B1062="",$C1062="",$D1062=""),"",IF(NOT(ISNUMBER($B1062)),"Enter a valid date",IF($C1062="","Pick a menu item",IF($O1062="","Item not on Menu Pricing",IF(N($D1062)&lt;=0,"Qty must be above 0",IF($H1062="","No price on menu","OK"))))))</f>
        <v/>
      </c>
      <c r="O1062" s="13">
        <f>IF($C1062="","",IFERROR(MATCH($C1062,'Menu Pricing'!$B$7:$B$56,0),""))</f>
        <v/>
      </c>
    </row>
    <row r="1063" ht="17" customHeight="1">
      <c r="B1063" s="66" t="n"/>
      <c r="C1063" s="60" t="n"/>
      <c r="D1063" s="86" t="n"/>
      <c r="E1063" s="63" t="n"/>
      <c r="F1063" s="60" t="n"/>
      <c r="G1063" s="60" t="n"/>
      <c r="H1063" s="71">
        <f>IF(OR($C1063="",$D1063=""),"",IF(ISNUMBER($E1063),$E1063,IF($O1063="","",IF(N(INDEX('Menu Pricing'!$O$7:$O$56,$O1063))&gt;0,INDEX('Menu Pricing'!$O$7:$O$56,$O1063),""))))</f>
        <v/>
      </c>
      <c r="I1063" s="71">
        <f>IF($N1063&lt;&gt;"OK","",$D1063*$H1063)</f>
        <v/>
      </c>
      <c r="J1063" s="71">
        <f>IF($N1063&lt;&gt;"OK","",N(INDEX('Menu Pricing'!$F$7:$F$56,$O1063))+N(INDEX('Menu Pricing'!$G$7:$G$56,$O1063))+N(INDEX('Menu Pricing'!$J$7:$J$56,$O1063)))</f>
        <v/>
      </c>
      <c r="K1063" s="71">
        <f>IF($N1063&lt;&gt;"OK","",$D1063*$J1063)</f>
        <v/>
      </c>
      <c r="L1063" s="71">
        <f>IF($N1063&lt;&gt;"OK","",$I1063-$K1063)</f>
        <v/>
      </c>
      <c r="M1063" s="71">
        <f>IF($N1063&lt;&gt;"OK","",$D1063*N(INDEX('Menu Pricing'!$F$7:$F$56,$O1063)))</f>
        <v/>
      </c>
      <c r="N1063" s="80">
        <f>IF(AND($B1063="",$C1063="",$D1063=""),"",IF(NOT(ISNUMBER($B1063)),"Enter a valid date",IF($C1063="","Pick a menu item",IF($O1063="","Item not on Menu Pricing",IF(N($D1063)&lt;=0,"Qty must be above 0",IF($H1063="","No price on menu","OK"))))))</f>
        <v/>
      </c>
      <c r="O1063" s="13">
        <f>IF($C1063="","",IFERROR(MATCH($C1063,'Menu Pricing'!$B$7:$B$56,0),""))</f>
        <v/>
      </c>
    </row>
    <row r="1064" ht="17" customHeight="1">
      <c r="B1064" s="66" t="n"/>
      <c r="C1064" s="60" t="n"/>
      <c r="D1064" s="86" t="n"/>
      <c r="E1064" s="63" t="n"/>
      <c r="F1064" s="60" t="n"/>
      <c r="G1064" s="60" t="n"/>
      <c r="H1064" s="71">
        <f>IF(OR($C1064="",$D1064=""),"",IF(ISNUMBER($E1064),$E1064,IF($O1064="","",IF(N(INDEX('Menu Pricing'!$O$7:$O$56,$O1064))&gt;0,INDEX('Menu Pricing'!$O$7:$O$56,$O1064),""))))</f>
        <v/>
      </c>
      <c r="I1064" s="71">
        <f>IF($N1064&lt;&gt;"OK","",$D1064*$H1064)</f>
        <v/>
      </c>
      <c r="J1064" s="71">
        <f>IF($N1064&lt;&gt;"OK","",N(INDEX('Menu Pricing'!$F$7:$F$56,$O1064))+N(INDEX('Menu Pricing'!$G$7:$G$56,$O1064))+N(INDEX('Menu Pricing'!$J$7:$J$56,$O1064)))</f>
        <v/>
      </c>
      <c r="K1064" s="71">
        <f>IF($N1064&lt;&gt;"OK","",$D1064*$J1064)</f>
        <v/>
      </c>
      <c r="L1064" s="71">
        <f>IF($N1064&lt;&gt;"OK","",$I1064-$K1064)</f>
        <v/>
      </c>
      <c r="M1064" s="71">
        <f>IF($N1064&lt;&gt;"OK","",$D1064*N(INDEX('Menu Pricing'!$F$7:$F$56,$O1064)))</f>
        <v/>
      </c>
      <c r="N1064" s="80">
        <f>IF(AND($B1064="",$C1064="",$D1064=""),"",IF(NOT(ISNUMBER($B1064)),"Enter a valid date",IF($C1064="","Pick a menu item",IF($O1064="","Item not on Menu Pricing",IF(N($D1064)&lt;=0,"Qty must be above 0",IF($H1064="","No price on menu","OK"))))))</f>
        <v/>
      </c>
      <c r="O1064" s="13">
        <f>IF($C1064="","",IFERROR(MATCH($C1064,'Menu Pricing'!$B$7:$B$56,0),""))</f>
        <v/>
      </c>
    </row>
    <row r="1065" ht="17" customHeight="1">
      <c r="B1065" s="66" t="n"/>
      <c r="C1065" s="60" t="n"/>
      <c r="D1065" s="86" t="n"/>
      <c r="E1065" s="63" t="n"/>
      <c r="F1065" s="60" t="n"/>
      <c r="G1065" s="60" t="n"/>
      <c r="H1065" s="71">
        <f>IF(OR($C1065="",$D1065=""),"",IF(ISNUMBER($E1065),$E1065,IF($O1065="","",IF(N(INDEX('Menu Pricing'!$O$7:$O$56,$O1065))&gt;0,INDEX('Menu Pricing'!$O$7:$O$56,$O1065),""))))</f>
        <v/>
      </c>
      <c r="I1065" s="71">
        <f>IF($N1065&lt;&gt;"OK","",$D1065*$H1065)</f>
        <v/>
      </c>
      <c r="J1065" s="71">
        <f>IF($N1065&lt;&gt;"OK","",N(INDEX('Menu Pricing'!$F$7:$F$56,$O1065))+N(INDEX('Menu Pricing'!$G$7:$G$56,$O1065))+N(INDEX('Menu Pricing'!$J$7:$J$56,$O1065)))</f>
        <v/>
      </c>
      <c r="K1065" s="71">
        <f>IF($N1065&lt;&gt;"OK","",$D1065*$J1065)</f>
        <v/>
      </c>
      <c r="L1065" s="71">
        <f>IF($N1065&lt;&gt;"OK","",$I1065-$K1065)</f>
        <v/>
      </c>
      <c r="M1065" s="71">
        <f>IF($N1065&lt;&gt;"OK","",$D1065*N(INDEX('Menu Pricing'!$F$7:$F$56,$O1065)))</f>
        <v/>
      </c>
      <c r="N1065" s="80">
        <f>IF(AND($B1065="",$C1065="",$D1065=""),"",IF(NOT(ISNUMBER($B1065)),"Enter a valid date",IF($C1065="","Pick a menu item",IF($O1065="","Item not on Menu Pricing",IF(N($D1065)&lt;=0,"Qty must be above 0",IF($H1065="","No price on menu","OK"))))))</f>
        <v/>
      </c>
      <c r="O1065" s="13">
        <f>IF($C1065="","",IFERROR(MATCH($C1065,'Menu Pricing'!$B$7:$B$56,0),""))</f>
        <v/>
      </c>
    </row>
    <row r="1066" ht="17" customHeight="1">
      <c r="B1066" s="66" t="n"/>
      <c r="C1066" s="60" t="n"/>
      <c r="D1066" s="86" t="n"/>
      <c r="E1066" s="63" t="n"/>
      <c r="F1066" s="60" t="n"/>
      <c r="G1066" s="60" t="n"/>
      <c r="H1066" s="71">
        <f>IF(OR($C1066="",$D1066=""),"",IF(ISNUMBER($E1066),$E1066,IF($O1066="","",IF(N(INDEX('Menu Pricing'!$O$7:$O$56,$O1066))&gt;0,INDEX('Menu Pricing'!$O$7:$O$56,$O1066),""))))</f>
        <v/>
      </c>
      <c r="I1066" s="71">
        <f>IF($N1066&lt;&gt;"OK","",$D1066*$H1066)</f>
        <v/>
      </c>
      <c r="J1066" s="71">
        <f>IF($N1066&lt;&gt;"OK","",N(INDEX('Menu Pricing'!$F$7:$F$56,$O1066))+N(INDEX('Menu Pricing'!$G$7:$G$56,$O1066))+N(INDEX('Menu Pricing'!$J$7:$J$56,$O1066)))</f>
        <v/>
      </c>
      <c r="K1066" s="71">
        <f>IF($N1066&lt;&gt;"OK","",$D1066*$J1066)</f>
        <v/>
      </c>
      <c r="L1066" s="71">
        <f>IF($N1066&lt;&gt;"OK","",$I1066-$K1066)</f>
        <v/>
      </c>
      <c r="M1066" s="71">
        <f>IF($N1066&lt;&gt;"OK","",$D1066*N(INDEX('Menu Pricing'!$F$7:$F$56,$O1066)))</f>
        <v/>
      </c>
      <c r="N1066" s="80">
        <f>IF(AND($B1066="",$C1066="",$D1066=""),"",IF(NOT(ISNUMBER($B1066)),"Enter a valid date",IF($C1066="","Pick a menu item",IF($O1066="","Item not on Menu Pricing",IF(N($D1066)&lt;=0,"Qty must be above 0",IF($H1066="","No price on menu","OK"))))))</f>
        <v/>
      </c>
      <c r="O1066" s="13">
        <f>IF($C1066="","",IFERROR(MATCH($C1066,'Menu Pricing'!$B$7:$B$56,0),""))</f>
        <v/>
      </c>
    </row>
    <row r="1067" ht="17" customHeight="1">
      <c r="B1067" s="66" t="n"/>
      <c r="C1067" s="60" t="n"/>
      <c r="D1067" s="86" t="n"/>
      <c r="E1067" s="63" t="n"/>
      <c r="F1067" s="60" t="n"/>
      <c r="G1067" s="60" t="n"/>
      <c r="H1067" s="71">
        <f>IF(OR($C1067="",$D1067=""),"",IF(ISNUMBER($E1067),$E1067,IF($O1067="","",IF(N(INDEX('Menu Pricing'!$O$7:$O$56,$O1067))&gt;0,INDEX('Menu Pricing'!$O$7:$O$56,$O1067),""))))</f>
        <v/>
      </c>
      <c r="I1067" s="71">
        <f>IF($N1067&lt;&gt;"OK","",$D1067*$H1067)</f>
        <v/>
      </c>
      <c r="J1067" s="71">
        <f>IF($N1067&lt;&gt;"OK","",N(INDEX('Menu Pricing'!$F$7:$F$56,$O1067))+N(INDEX('Menu Pricing'!$G$7:$G$56,$O1067))+N(INDEX('Menu Pricing'!$J$7:$J$56,$O1067)))</f>
        <v/>
      </c>
      <c r="K1067" s="71">
        <f>IF($N1067&lt;&gt;"OK","",$D1067*$J1067)</f>
        <v/>
      </c>
      <c r="L1067" s="71">
        <f>IF($N1067&lt;&gt;"OK","",$I1067-$K1067)</f>
        <v/>
      </c>
      <c r="M1067" s="71">
        <f>IF($N1067&lt;&gt;"OK","",$D1067*N(INDEX('Menu Pricing'!$F$7:$F$56,$O1067)))</f>
        <v/>
      </c>
      <c r="N1067" s="80">
        <f>IF(AND($B1067="",$C1067="",$D1067=""),"",IF(NOT(ISNUMBER($B1067)),"Enter a valid date",IF($C1067="","Pick a menu item",IF($O1067="","Item not on Menu Pricing",IF(N($D1067)&lt;=0,"Qty must be above 0",IF($H1067="","No price on menu","OK"))))))</f>
        <v/>
      </c>
      <c r="O1067" s="13">
        <f>IF($C1067="","",IFERROR(MATCH($C1067,'Menu Pricing'!$B$7:$B$56,0),""))</f>
        <v/>
      </c>
    </row>
    <row r="1068" ht="17" customHeight="1">
      <c r="B1068" s="66" t="n"/>
      <c r="C1068" s="60" t="n"/>
      <c r="D1068" s="86" t="n"/>
      <c r="E1068" s="63" t="n"/>
      <c r="F1068" s="60" t="n"/>
      <c r="G1068" s="60" t="n"/>
      <c r="H1068" s="71">
        <f>IF(OR($C1068="",$D1068=""),"",IF(ISNUMBER($E1068),$E1068,IF($O1068="","",IF(N(INDEX('Menu Pricing'!$O$7:$O$56,$O1068))&gt;0,INDEX('Menu Pricing'!$O$7:$O$56,$O1068),""))))</f>
        <v/>
      </c>
      <c r="I1068" s="71">
        <f>IF($N1068&lt;&gt;"OK","",$D1068*$H1068)</f>
        <v/>
      </c>
      <c r="J1068" s="71">
        <f>IF($N1068&lt;&gt;"OK","",N(INDEX('Menu Pricing'!$F$7:$F$56,$O1068))+N(INDEX('Menu Pricing'!$G$7:$G$56,$O1068))+N(INDEX('Menu Pricing'!$J$7:$J$56,$O1068)))</f>
        <v/>
      </c>
      <c r="K1068" s="71">
        <f>IF($N1068&lt;&gt;"OK","",$D1068*$J1068)</f>
        <v/>
      </c>
      <c r="L1068" s="71">
        <f>IF($N1068&lt;&gt;"OK","",$I1068-$K1068)</f>
        <v/>
      </c>
      <c r="M1068" s="71">
        <f>IF($N1068&lt;&gt;"OK","",$D1068*N(INDEX('Menu Pricing'!$F$7:$F$56,$O1068)))</f>
        <v/>
      </c>
      <c r="N1068" s="80">
        <f>IF(AND($B1068="",$C1068="",$D1068=""),"",IF(NOT(ISNUMBER($B1068)),"Enter a valid date",IF($C1068="","Pick a menu item",IF($O1068="","Item not on Menu Pricing",IF(N($D1068)&lt;=0,"Qty must be above 0",IF($H1068="","No price on menu","OK"))))))</f>
        <v/>
      </c>
      <c r="O1068" s="13">
        <f>IF($C1068="","",IFERROR(MATCH($C1068,'Menu Pricing'!$B$7:$B$56,0),""))</f>
        <v/>
      </c>
    </row>
    <row r="1069" ht="17" customHeight="1">
      <c r="B1069" s="66" t="n"/>
      <c r="C1069" s="60" t="n"/>
      <c r="D1069" s="86" t="n"/>
      <c r="E1069" s="63" t="n"/>
      <c r="F1069" s="60" t="n"/>
      <c r="G1069" s="60" t="n"/>
      <c r="H1069" s="71">
        <f>IF(OR($C1069="",$D1069=""),"",IF(ISNUMBER($E1069),$E1069,IF($O1069="","",IF(N(INDEX('Menu Pricing'!$O$7:$O$56,$O1069))&gt;0,INDEX('Menu Pricing'!$O$7:$O$56,$O1069),""))))</f>
        <v/>
      </c>
      <c r="I1069" s="71">
        <f>IF($N1069&lt;&gt;"OK","",$D1069*$H1069)</f>
        <v/>
      </c>
      <c r="J1069" s="71">
        <f>IF($N1069&lt;&gt;"OK","",N(INDEX('Menu Pricing'!$F$7:$F$56,$O1069))+N(INDEX('Menu Pricing'!$G$7:$G$56,$O1069))+N(INDEX('Menu Pricing'!$J$7:$J$56,$O1069)))</f>
        <v/>
      </c>
      <c r="K1069" s="71">
        <f>IF($N1069&lt;&gt;"OK","",$D1069*$J1069)</f>
        <v/>
      </c>
      <c r="L1069" s="71">
        <f>IF($N1069&lt;&gt;"OK","",$I1069-$K1069)</f>
        <v/>
      </c>
      <c r="M1069" s="71">
        <f>IF($N1069&lt;&gt;"OK","",$D1069*N(INDEX('Menu Pricing'!$F$7:$F$56,$O1069)))</f>
        <v/>
      </c>
      <c r="N1069" s="80">
        <f>IF(AND($B1069="",$C1069="",$D1069=""),"",IF(NOT(ISNUMBER($B1069)),"Enter a valid date",IF($C1069="","Pick a menu item",IF($O1069="","Item not on Menu Pricing",IF(N($D1069)&lt;=0,"Qty must be above 0",IF($H1069="","No price on menu","OK"))))))</f>
        <v/>
      </c>
      <c r="O1069" s="13">
        <f>IF($C1069="","",IFERROR(MATCH($C1069,'Menu Pricing'!$B$7:$B$56,0),""))</f>
        <v/>
      </c>
    </row>
    <row r="1070" ht="17" customHeight="1">
      <c r="B1070" s="66" t="n"/>
      <c r="C1070" s="60" t="n"/>
      <c r="D1070" s="86" t="n"/>
      <c r="E1070" s="63" t="n"/>
      <c r="F1070" s="60" t="n"/>
      <c r="G1070" s="60" t="n"/>
      <c r="H1070" s="71">
        <f>IF(OR($C1070="",$D1070=""),"",IF(ISNUMBER($E1070),$E1070,IF($O1070="","",IF(N(INDEX('Menu Pricing'!$O$7:$O$56,$O1070))&gt;0,INDEX('Menu Pricing'!$O$7:$O$56,$O1070),""))))</f>
        <v/>
      </c>
      <c r="I1070" s="71">
        <f>IF($N1070&lt;&gt;"OK","",$D1070*$H1070)</f>
        <v/>
      </c>
      <c r="J1070" s="71">
        <f>IF($N1070&lt;&gt;"OK","",N(INDEX('Menu Pricing'!$F$7:$F$56,$O1070))+N(INDEX('Menu Pricing'!$G$7:$G$56,$O1070))+N(INDEX('Menu Pricing'!$J$7:$J$56,$O1070)))</f>
        <v/>
      </c>
      <c r="K1070" s="71">
        <f>IF($N1070&lt;&gt;"OK","",$D1070*$J1070)</f>
        <v/>
      </c>
      <c r="L1070" s="71">
        <f>IF($N1070&lt;&gt;"OK","",$I1070-$K1070)</f>
        <v/>
      </c>
      <c r="M1070" s="71">
        <f>IF($N1070&lt;&gt;"OK","",$D1070*N(INDEX('Menu Pricing'!$F$7:$F$56,$O1070)))</f>
        <v/>
      </c>
      <c r="N1070" s="80">
        <f>IF(AND($B1070="",$C1070="",$D1070=""),"",IF(NOT(ISNUMBER($B1070)),"Enter a valid date",IF($C1070="","Pick a menu item",IF($O1070="","Item not on Menu Pricing",IF(N($D1070)&lt;=0,"Qty must be above 0",IF($H1070="","No price on menu","OK"))))))</f>
        <v/>
      </c>
      <c r="O1070" s="13">
        <f>IF($C1070="","",IFERROR(MATCH($C1070,'Menu Pricing'!$B$7:$B$56,0),""))</f>
        <v/>
      </c>
    </row>
    <row r="1071" ht="17" customHeight="1">
      <c r="B1071" s="66" t="n"/>
      <c r="C1071" s="60" t="n"/>
      <c r="D1071" s="86" t="n"/>
      <c r="E1071" s="63" t="n"/>
      <c r="F1071" s="60" t="n"/>
      <c r="G1071" s="60" t="n"/>
      <c r="H1071" s="71">
        <f>IF(OR($C1071="",$D1071=""),"",IF(ISNUMBER($E1071),$E1071,IF($O1071="","",IF(N(INDEX('Menu Pricing'!$O$7:$O$56,$O1071))&gt;0,INDEX('Menu Pricing'!$O$7:$O$56,$O1071),""))))</f>
        <v/>
      </c>
      <c r="I1071" s="71">
        <f>IF($N1071&lt;&gt;"OK","",$D1071*$H1071)</f>
        <v/>
      </c>
      <c r="J1071" s="71">
        <f>IF($N1071&lt;&gt;"OK","",N(INDEX('Menu Pricing'!$F$7:$F$56,$O1071))+N(INDEX('Menu Pricing'!$G$7:$G$56,$O1071))+N(INDEX('Menu Pricing'!$J$7:$J$56,$O1071)))</f>
        <v/>
      </c>
      <c r="K1071" s="71">
        <f>IF($N1071&lt;&gt;"OK","",$D1071*$J1071)</f>
        <v/>
      </c>
      <c r="L1071" s="71">
        <f>IF($N1071&lt;&gt;"OK","",$I1071-$K1071)</f>
        <v/>
      </c>
      <c r="M1071" s="71">
        <f>IF($N1071&lt;&gt;"OK","",$D1071*N(INDEX('Menu Pricing'!$F$7:$F$56,$O1071)))</f>
        <v/>
      </c>
      <c r="N1071" s="80">
        <f>IF(AND($B1071="",$C1071="",$D1071=""),"",IF(NOT(ISNUMBER($B1071)),"Enter a valid date",IF($C1071="","Pick a menu item",IF($O1071="","Item not on Menu Pricing",IF(N($D1071)&lt;=0,"Qty must be above 0",IF($H1071="","No price on menu","OK"))))))</f>
        <v/>
      </c>
      <c r="O1071" s="13">
        <f>IF($C1071="","",IFERROR(MATCH($C1071,'Menu Pricing'!$B$7:$B$56,0),""))</f>
        <v/>
      </c>
    </row>
    <row r="1072" ht="17" customHeight="1">
      <c r="B1072" s="66" t="n"/>
      <c r="C1072" s="60" t="n"/>
      <c r="D1072" s="86" t="n"/>
      <c r="E1072" s="63" t="n"/>
      <c r="F1072" s="60" t="n"/>
      <c r="G1072" s="60" t="n"/>
      <c r="H1072" s="71">
        <f>IF(OR($C1072="",$D1072=""),"",IF(ISNUMBER($E1072),$E1072,IF($O1072="","",IF(N(INDEX('Menu Pricing'!$O$7:$O$56,$O1072))&gt;0,INDEX('Menu Pricing'!$O$7:$O$56,$O1072),""))))</f>
        <v/>
      </c>
      <c r="I1072" s="71">
        <f>IF($N1072&lt;&gt;"OK","",$D1072*$H1072)</f>
        <v/>
      </c>
      <c r="J1072" s="71">
        <f>IF($N1072&lt;&gt;"OK","",N(INDEX('Menu Pricing'!$F$7:$F$56,$O1072))+N(INDEX('Menu Pricing'!$G$7:$G$56,$O1072))+N(INDEX('Menu Pricing'!$J$7:$J$56,$O1072)))</f>
        <v/>
      </c>
      <c r="K1072" s="71">
        <f>IF($N1072&lt;&gt;"OK","",$D1072*$J1072)</f>
        <v/>
      </c>
      <c r="L1072" s="71">
        <f>IF($N1072&lt;&gt;"OK","",$I1072-$K1072)</f>
        <v/>
      </c>
      <c r="M1072" s="71">
        <f>IF($N1072&lt;&gt;"OK","",$D1072*N(INDEX('Menu Pricing'!$F$7:$F$56,$O1072)))</f>
        <v/>
      </c>
      <c r="N1072" s="80">
        <f>IF(AND($B1072="",$C1072="",$D1072=""),"",IF(NOT(ISNUMBER($B1072)),"Enter a valid date",IF($C1072="","Pick a menu item",IF($O1072="","Item not on Menu Pricing",IF(N($D1072)&lt;=0,"Qty must be above 0",IF($H1072="","No price on menu","OK"))))))</f>
        <v/>
      </c>
      <c r="O1072" s="13">
        <f>IF($C1072="","",IFERROR(MATCH($C1072,'Menu Pricing'!$B$7:$B$56,0),""))</f>
        <v/>
      </c>
    </row>
    <row r="1073" ht="17" customHeight="1">
      <c r="B1073" s="66" t="n"/>
      <c r="C1073" s="60" t="n"/>
      <c r="D1073" s="86" t="n"/>
      <c r="E1073" s="63" t="n"/>
      <c r="F1073" s="60" t="n"/>
      <c r="G1073" s="60" t="n"/>
      <c r="H1073" s="71">
        <f>IF(OR($C1073="",$D1073=""),"",IF(ISNUMBER($E1073),$E1073,IF($O1073="","",IF(N(INDEX('Menu Pricing'!$O$7:$O$56,$O1073))&gt;0,INDEX('Menu Pricing'!$O$7:$O$56,$O1073),""))))</f>
        <v/>
      </c>
      <c r="I1073" s="71">
        <f>IF($N1073&lt;&gt;"OK","",$D1073*$H1073)</f>
        <v/>
      </c>
      <c r="J1073" s="71">
        <f>IF($N1073&lt;&gt;"OK","",N(INDEX('Menu Pricing'!$F$7:$F$56,$O1073))+N(INDEX('Menu Pricing'!$G$7:$G$56,$O1073))+N(INDEX('Menu Pricing'!$J$7:$J$56,$O1073)))</f>
        <v/>
      </c>
      <c r="K1073" s="71">
        <f>IF($N1073&lt;&gt;"OK","",$D1073*$J1073)</f>
        <v/>
      </c>
      <c r="L1073" s="71">
        <f>IF($N1073&lt;&gt;"OK","",$I1073-$K1073)</f>
        <v/>
      </c>
      <c r="M1073" s="71">
        <f>IF($N1073&lt;&gt;"OK","",$D1073*N(INDEX('Menu Pricing'!$F$7:$F$56,$O1073)))</f>
        <v/>
      </c>
      <c r="N1073" s="80">
        <f>IF(AND($B1073="",$C1073="",$D1073=""),"",IF(NOT(ISNUMBER($B1073)),"Enter a valid date",IF($C1073="","Pick a menu item",IF($O1073="","Item not on Menu Pricing",IF(N($D1073)&lt;=0,"Qty must be above 0",IF($H1073="","No price on menu","OK"))))))</f>
        <v/>
      </c>
      <c r="O1073" s="13">
        <f>IF($C1073="","",IFERROR(MATCH($C1073,'Menu Pricing'!$B$7:$B$56,0),""))</f>
        <v/>
      </c>
    </row>
    <row r="1074" ht="17" customHeight="1">
      <c r="B1074" s="66" t="n"/>
      <c r="C1074" s="60" t="n"/>
      <c r="D1074" s="86" t="n"/>
      <c r="E1074" s="63" t="n"/>
      <c r="F1074" s="60" t="n"/>
      <c r="G1074" s="60" t="n"/>
      <c r="H1074" s="71">
        <f>IF(OR($C1074="",$D1074=""),"",IF(ISNUMBER($E1074),$E1074,IF($O1074="","",IF(N(INDEX('Menu Pricing'!$O$7:$O$56,$O1074))&gt;0,INDEX('Menu Pricing'!$O$7:$O$56,$O1074),""))))</f>
        <v/>
      </c>
      <c r="I1074" s="71">
        <f>IF($N1074&lt;&gt;"OK","",$D1074*$H1074)</f>
        <v/>
      </c>
      <c r="J1074" s="71">
        <f>IF($N1074&lt;&gt;"OK","",N(INDEX('Menu Pricing'!$F$7:$F$56,$O1074))+N(INDEX('Menu Pricing'!$G$7:$G$56,$O1074))+N(INDEX('Menu Pricing'!$J$7:$J$56,$O1074)))</f>
        <v/>
      </c>
      <c r="K1074" s="71">
        <f>IF($N1074&lt;&gt;"OK","",$D1074*$J1074)</f>
        <v/>
      </c>
      <c r="L1074" s="71">
        <f>IF($N1074&lt;&gt;"OK","",$I1074-$K1074)</f>
        <v/>
      </c>
      <c r="M1074" s="71">
        <f>IF($N1074&lt;&gt;"OK","",$D1074*N(INDEX('Menu Pricing'!$F$7:$F$56,$O1074)))</f>
        <v/>
      </c>
      <c r="N1074" s="80">
        <f>IF(AND($B1074="",$C1074="",$D1074=""),"",IF(NOT(ISNUMBER($B1074)),"Enter a valid date",IF($C1074="","Pick a menu item",IF($O1074="","Item not on Menu Pricing",IF(N($D1074)&lt;=0,"Qty must be above 0",IF($H1074="","No price on menu","OK"))))))</f>
        <v/>
      </c>
      <c r="O1074" s="13">
        <f>IF($C1074="","",IFERROR(MATCH($C1074,'Menu Pricing'!$B$7:$B$56,0),""))</f>
        <v/>
      </c>
    </row>
    <row r="1075" ht="17" customHeight="1">
      <c r="B1075" s="66" t="n"/>
      <c r="C1075" s="60" t="n"/>
      <c r="D1075" s="86" t="n"/>
      <c r="E1075" s="63" t="n"/>
      <c r="F1075" s="60" t="n"/>
      <c r="G1075" s="60" t="n"/>
      <c r="H1075" s="71">
        <f>IF(OR($C1075="",$D1075=""),"",IF(ISNUMBER($E1075),$E1075,IF($O1075="","",IF(N(INDEX('Menu Pricing'!$O$7:$O$56,$O1075))&gt;0,INDEX('Menu Pricing'!$O$7:$O$56,$O1075),""))))</f>
        <v/>
      </c>
      <c r="I1075" s="71">
        <f>IF($N1075&lt;&gt;"OK","",$D1075*$H1075)</f>
        <v/>
      </c>
      <c r="J1075" s="71">
        <f>IF($N1075&lt;&gt;"OK","",N(INDEX('Menu Pricing'!$F$7:$F$56,$O1075))+N(INDEX('Menu Pricing'!$G$7:$G$56,$O1075))+N(INDEX('Menu Pricing'!$J$7:$J$56,$O1075)))</f>
        <v/>
      </c>
      <c r="K1075" s="71">
        <f>IF($N1075&lt;&gt;"OK","",$D1075*$J1075)</f>
        <v/>
      </c>
      <c r="L1075" s="71">
        <f>IF($N1075&lt;&gt;"OK","",$I1075-$K1075)</f>
        <v/>
      </c>
      <c r="M1075" s="71">
        <f>IF($N1075&lt;&gt;"OK","",$D1075*N(INDEX('Menu Pricing'!$F$7:$F$56,$O1075)))</f>
        <v/>
      </c>
      <c r="N1075" s="80">
        <f>IF(AND($B1075="",$C1075="",$D1075=""),"",IF(NOT(ISNUMBER($B1075)),"Enter a valid date",IF($C1075="","Pick a menu item",IF($O1075="","Item not on Menu Pricing",IF(N($D1075)&lt;=0,"Qty must be above 0",IF($H1075="","No price on menu","OK"))))))</f>
        <v/>
      </c>
      <c r="O1075" s="13">
        <f>IF($C1075="","",IFERROR(MATCH($C1075,'Menu Pricing'!$B$7:$B$56,0),""))</f>
        <v/>
      </c>
    </row>
    <row r="1076" ht="17" customHeight="1">
      <c r="B1076" s="66" t="n"/>
      <c r="C1076" s="60" t="n"/>
      <c r="D1076" s="86" t="n"/>
      <c r="E1076" s="63" t="n"/>
      <c r="F1076" s="60" t="n"/>
      <c r="G1076" s="60" t="n"/>
      <c r="H1076" s="71">
        <f>IF(OR($C1076="",$D1076=""),"",IF(ISNUMBER($E1076),$E1076,IF($O1076="","",IF(N(INDEX('Menu Pricing'!$O$7:$O$56,$O1076))&gt;0,INDEX('Menu Pricing'!$O$7:$O$56,$O1076),""))))</f>
        <v/>
      </c>
      <c r="I1076" s="71">
        <f>IF($N1076&lt;&gt;"OK","",$D1076*$H1076)</f>
        <v/>
      </c>
      <c r="J1076" s="71">
        <f>IF($N1076&lt;&gt;"OK","",N(INDEX('Menu Pricing'!$F$7:$F$56,$O1076))+N(INDEX('Menu Pricing'!$G$7:$G$56,$O1076))+N(INDEX('Menu Pricing'!$J$7:$J$56,$O1076)))</f>
        <v/>
      </c>
      <c r="K1076" s="71">
        <f>IF($N1076&lt;&gt;"OK","",$D1076*$J1076)</f>
        <v/>
      </c>
      <c r="L1076" s="71">
        <f>IF($N1076&lt;&gt;"OK","",$I1076-$K1076)</f>
        <v/>
      </c>
      <c r="M1076" s="71">
        <f>IF($N1076&lt;&gt;"OK","",$D1076*N(INDEX('Menu Pricing'!$F$7:$F$56,$O1076)))</f>
        <v/>
      </c>
      <c r="N1076" s="80">
        <f>IF(AND($B1076="",$C1076="",$D1076=""),"",IF(NOT(ISNUMBER($B1076)),"Enter a valid date",IF($C1076="","Pick a menu item",IF($O1076="","Item not on Menu Pricing",IF(N($D1076)&lt;=0,"Qty must be above 0",IF($H1076="","No price on menu","OK"))))))</f>
        <v/>
      </c>
      <c r="O1076" s="13">
        <f>IF($C1076="","",IFERROR(MATCH($C1076,'Menu Pricing'!$B$7:$B$56,0),""))</f>
        <v/>
      </c>
    </row>
    <row r="1077" ht="17" customHeight="1">
      <c r="B1077" s="66" t="n"/>
      <c r="C1077" s="60" t="n"/>
      <c r="D1077" s="86" t="n"/>
      <c r="E1077" s="63" t="n"/>
      <c r="F1077" s="60" t="n"/>
      <c r="G1077" s="60" t="n"/>
      <c r="H1077" s="71">
        <f>IF(OR($C1077="",$D1077=""),"",IF(ISNUMBER($E1077),$E1077,IF($O1077="","",IF(N(INDEX('Menu Pricing'!$O$7:$O$56,$O1077))&gt;0,INDEX('Menu Pricing'!$O$7:$O$56,$O1077),""))))</f>
        <v/>
      </c>
      <c r="I1077" s="71">
        <f>IF($N1077&lt;&gt;"OK","",$D1077*$H1077)</f>
        <v/>
      </c>
      <c r="J1077" s="71">
        <f>IF($N1077&lt;&gt;"OK","",N(INDEX('Menu Pricing'!$F$7:$F$56,$O1077))+N(INDEX('Menu Pricing'!$G$7:$G$56,$O1077))+N(INDEX('Menu Pricing'!$J$7:$J$56,$O1077)))</f>
        <v/>
      </c>
      <c r="K1077" s="71">
        <f>IF($N1077&lt;&gt;"OK","",$D1077*$J1077)</f>
        <v/>
      </c>
      <c r="L1077" s="71">
        <f>IF($N1077&lt;&gt;"OK","",$I1077-$K1077)</f>
        <v/>
      </c>
      <c r="M1077" s="71">
        <f>IF($N1077&lt;&gt;"OK","",$D1077*N(INDEX('Menu Pricing'!$F$7:$F$56,$O1077)))</f>
        <v/>
      </c>
      <c r="N1077" s="80">
        <f>IF(AND($B1077="",$C1077="",$D1077=""),"",IF(NOT(ISNUMBER($B1077)),"Enter a valid date",IF($C1077="","Pick a menu item",IF($O1077="","Item not on Menu Pricing",IF(N($D1077)&lt;=0,"Qty must be above 0",IF($H1077="","No price on menu","OK"))))))</f>
        <v/>
      </c>
      <c r="O1077" s="13">
        <f>IF($C1077="","",IFERROR(MATCH($C1077,'Menu Pricing'!$B$7:$B$56,0),""))</f>
        <v/>
      </c>
    </row>
    <row r="1078" ht="17" customHeight="1">
      <c r="B1078" s="66" t="n"/>
      <c r="C1078" s="60" t="n"/>
      <c r="D1078" s="86" t="n"/>
      <c r="E1078" s="63" t="n"/>
      <c r="F1078" s="60" t="n"/>
      <c r="G1078" s="60" t="n"/>
      <c r="H1078" s="71">
        <f>IF(OR($C1078="",$D1078=""),"",IF(ISNUMBER($E1078),$E1078,IF($O1078="","",IF(N(INDEX('Menu Pricing'!$O$7:$O$56,$O1078))&gt;0,INDEX('Menu Pricing'!$O$7:$O$56,$O1078),""))))</f>
        <v/>
      </c>
      <c r="I1078" s="71">
        <f>IF($N1078&lt;&gt;"OK","",$D1078*$H1078)</f>
        <v/>
      </c>
      <c r="J1078" s="71">
        <f>IF($N1078&lt;&gt;"OK","",N(INDEX('Menu Pricing'!$F$7:$F$56,$O1078))+N(INDEX('Menu Pricing'!$G$7:$G$56,$O1078))+N(INDEX('Menu Pricing'!$J$7:$J$56,$O1078)))</f>
        <v/>
      </c>
      <c r="K1078" s="71">
        <f>IF($N1078&lt;&gt;"OK","",$D1078*$J1078)</f>
        <v/>
      </c>
      <c r="L1078" s="71">
        <f>IF($N1078&lt;&gt;"OK","",$I1078-$K1078)</f>
        <v/>
      </c>
      <c r="M1078" s="71">
        <f>IF($N1078&lt;&gt;"OK","",$D1078*N(INDEX('Menu Pricing'!$F$7:$F$56,$O1078)))</f>
        <v/>
      </c>
      <c r="N1078" s="80">
        <f>IF(AND($B1078="",$C1078="",$D1078=""),"",IF(NOT(ISNUMBER($B1078)),"Enter a valid date",IF($C1078="","Pick a menu item",IF($O1078="","Item not on Menu Pricing",IF(N($D1078)&lt;=0,"Qty must be above 0",IF($H1078="","No price on menu","OK"))))))</f>
        <v/>
      </c>
      <c r="O1078" s="13">
        <f>IF($C1078="","",IFERROR(MATCH($C1078,'Menu Pricing'!$B$7:$B$56,0),""))</f>
        <v/>
      </c>
    </row>
    <row r="1079" ht="17" customHeight="1">
      <c r="B1079" s="66" t="n"/>
      <c r="C1079" s="60" t="n"/>
      <c r="D1079" s="86" t="n"/>
      <c r="E1079" s="63" t="n"/>
      <c r="F1079" s="60" t="n"/>
      <c r="G1079" s="60" t="n"/>
      <c r="H1079" s="71">
        <f>IF(OR($C1079="",$D1079=""),"",IF(ISNUMBER($E1079),$E1079,IF($O1079="","",IF(N(INDEX('Menu Pricing'!$O$7:$O$56,$O1079))&gt;0,INDEX('Menu Pricing'!$O$7:$O$56,$O1079),""))))</f>
        <v/>
      </c>
      <c r="I1079" s="71">
        <f>IF($N1079&lt;&gt;"OK","",$D1079*$H1079)</f>
        <v/>
      </c>
      <c r="J1079" s="71">
        <f>IF($N1079&lt;&gt;"OK","",N(INDEX('Menu Pricing'!$F$7:$F$56,$O1079))+N(INDEX('Menu Pricing'!$G$7:$G$56,$O1079))+N(INDEX('Menu Pricing'!$J$7:$J$56,$O1079)))</f>
        <v/>
      </c>
      <c r="K1079" s="71">
        <f>IF($N1079&lt;&gt;"OK","",$D1079*$J1079)</f>
        <v/>
      </c>
      <c r="L1079" s="71">
        <f>IF($N1079&lt;&gt;"OK","",$I1079-$K1079)</f>
        <v/>
      </c>
      <c r="M1079" s="71">
        <f>IF($N1079&lt;&gt;"OK","",$D1079*N(INDEX('Menu Pricing'!$F$7:$F$56,$O1079)))</f>
        <v/>
      </c>
      <c r="N1079" s="80">
        <f>IF(AND($B1079="",$C1079="",$D1079=""),"",IF(NOT(ISNUMBER($B1079)),"Enter a valid date",IF($C1079="","Pick a menu item",IF($O1079="","Item not on Menu Pricing",IF(N($D1079)&lt;=0,"Qty must be above 0",IF($H1079="","No price on menu","OK"))))))</f>
        <v/>
      </c>
      <c r="O1079" s="13">
        <f>IF($C1079="","",IFERROR(MATCH($C1079,'Menu Pricing'!$B$7:$B$56,0),""))</f>
        <v/>
      </c>
    </row>
    <row r="1080" ht="17" customHeight="1">
      <c r="B1080" s="66" t="n"/>
      <c r="C1080" s="60" t="n"/>
      <c r="D1080" s="86" t="n"/>
      <c r="E1080" s="63" t="n"/>
      <c r="F1080" s="60" t="n"/>
      <c r="G1080" s="60" t="n"/>
      <c r="H1080" s="71">
        <f>IF(OR($C1080="",$D1080=""),"",IF(ISNUMBER($E1080),$E1080,IF($O1080="","",IF(N(INDEX('Menu Pricing'!$O$7:$O$56,$O1080))&gt;0,INDEX('Menu Pricing'!$O$7:$O$56,$O1080),""))))</f>
        <v/>
      </c>
      <c r="I1080" s="71">
        <f>IF($N1080&lt;&gt;"OK","",$D1080*$H1080)</f>
        <v/>
      </c>
      <c r="J1080" s="71">
        <f>IF($N1080&lt;&gt;"OK","",N(INDEX('Menu Pricing'!$F$7:$F$56,$O1080))+N(INDEX('Menu Pricing'!$G$7:$G$56,$O1080))+N(INDEX('Menu Pricing'!$J$7:$J$56,$O1080)))</f>
        <v/>
      </c>
      <c r="K1080" s="71">
        <f>IF($N1080&lt;&gt;"OK","",$D1080*$J1080)</f>
        <v/>
      </c>
      <c r="L1080" s="71">
        <f>IF($N1080&lt;&gt;"OK","",$I1080-$K1080)</f>
        <v/>
      </c>
      <c r="M1080" s="71">
        <f>IF($N1080&lt;&gt;"OK","",$D1080*N(INDEX('Menu Pricing'!$F$7:$F$56,$O1080)))</f>
        <v/>
      </c>
      <c r="N1080" s="80">
        <f>IF(AND($B1080="",$C1080="",$D1080=""),"",IF(NOT(ISNUMBER($B1080)),"Enter a valid date",IF($C1080="","Pick a menu item",IF($O1080="","Item not on Menu Pricing",IF(N($D1080)&lt;=0,"Qty must be above 0",IF($H1080="","No price on menu","OK"))))))</f>
        <v/>
      </c>
      <c r="O1080" s="13">
        <f>IF($C1080="","",IFERROR(MATCH($C1080,'Menu Pricing'!$B$7:$B$56,0),""))</f>
        <v/>
      </c>
    </row>
    <row r="1081" ht="17" customHeight="1">
      <c r="B1081" s="66" t="n"/>
      <c r="C1081" s="60" t="n"/>
      <c r="D1081" s="86" t="n"/>
      <c r="E1081" s="63" t="n"/>
      <c r="F1081" s="60" t="n"/>
      <c r="G1081" s="60" t="n"/>
      <c r="H1081" s="71">
        <f>IF(OR($C1081="",$D1081=""),"",IF(ISNUMBER($E1081),$E1081,IF($O1081="","",IF(N(INDEX('Menu Pricing'!$O$7:$O$56,$O1081))&gt;0,INDEX('Menu Pricing'!$O$7:$O$56,$O1081),""))))</f>
        <v/>
      </c>
      <c r="I1081" s="71">
        <f>IF($N1081&lt;&gt;"OK","",$D1081*$H1081)</f>
        <v/>
      </c>
      <c r="J1081" s="71">
        <f>IF($N1081&lt;&gt;"OK","",N(INDEX('Menu Pricing'!$F$7:$F$56,$O1081))+N(INDEX('Menu Pricing'!$G$7:$G$56,$O1081))+N(INDEX('Menu Pricing'!$J$7:$J$56,$O1081)))</f>
        <v/>
      </c>
      <c r="K1081" s="71">
        <f>IF($N1081&lt;&gt;"OK","",$D1081*$J1081)</f>
        <v/>
      </c>
      <c r="L1081" s="71">
        <f>IF($N1081&lt;&gt;"OK","",$I1081-$K1081)</f>
        <v/>
      </c>
      <c r="M1081" s="71">
        <f>IF($N1081&lt;&gt;"OK","",$D1081*N(INDEX('Menu Pricing'!$F$7:$F$56,$O1081)))</f>
        <v/>
      </c>
      <c r="N1081" s="80">
        <f>IF(AND($B1081="",$C1081="",$D1081=""),"",IF(NOT(ISNUMBER($B1081)),"Enter a valid date",IF($C1081="","Pick a menu item",IF($O1081="","Item not on Menu Pricing",IF(N($D1081)&lt;=0,"Qty must be above 0",IF($H1081="","No price on menu","OK"))))))</f>
        <v/>
      </c>
      <c r="O1081" s="13">
        <f>IF($C1081="","",IFERROR(MATCH($C1081,'Menu Pricing'!$B$7:$B$56,0),""))</f>
        <v/>
      </c>
    </row>
    <row r="1082" ht="17" customHeight="1">
      <c r="B1082" s="66" t="n"/>
      <c r="C1082" s="60" t="n"/>
      <c r="D1082" s="86" t="n"/>
      <c r="E1082" s="63" t="n"/>
      <c r="F1082" s="60" t="n"/>
      <c r="G1082" s="60" t="n"/>
      <c r="H1082" s="71">
        <f>IF(OR($C1082="",$D1082=""),"",IF(ISNUMBER($E1082),$E1082,IF($O1082="","",IF(N(INDEX('Menu Pricing'!$O$7:$O$56,$O1082))&gt;0,INDEX('Menu Pricing'!$O$7:$O$56,$O1082),""))))</f>
        <v/>
      </c>
      <c r="I1082" s="71">
        <f>IF($N1082&lt;&gt;"OK","",$D1082*$H1082)</f>
        <v/>
      </c>
      <c r="J1082" s="71">
        <f>IF($N1082&lt;&gt;"OK","",N(INDEX('Menu Pricing'!$F$7:$F$56,$O1082))+N(INDEX('Menu Pricing'!$G$7:$G$56,$O1082))+N(INDEX('Menu Pricing'!$J$7:$J$56,$O1082)))</f>
        <v/>
      </c>
      <c r="K1082" s="71">
        <f>IF($N1082&lt;&gt;"OK","",$D1082*$J1082)</f>
        <v/>
      </c>
      <c r="L1082" s="71">
        <f>IF($N1082&lt;&gt;"OK","",$I1082-$K1082)</f>
        <v/>
      </c>
      <c r="M1082" s="71">
        <f>IF($N1082&lt;&gt;"OK","",$D1082*N(INDEX('Menu Pricing'!$F$7:$F$56,$O1082)))</f>
        <v/>
      </c>
      <c r="N1082" s="80">
        <f>IF(AND($B1082="",$C1082="",$D1082=""),"",IF(NOT(ISNUMBER($B1082)),"Enter a valid date",IF($C1082="","Pick a menu item",IF($O1082="","Item not on Menu Pricing",IF(N($D1082)&lt;=0,"Qty must be above 0",IF($H1082="","No price on menu","OK"))))))</f>
        <v/>
      </c>
      <c r="O1082" s="13">
        <f>IF($C1082="","",IFERROR(MATCH($C1082,'Menu Pricing'!$B$7:$B$56,0),""))</f>
        <v/>
      </c>
    </row>
    <row r="1083" ht="17" customHeight="1">
      <c r="B1083" s="66" t="n"/>
      <c r="C1083" s="60" t="n"/>
      <c r="D1083" s="86" t="n"/>
      <c r="E1083" s="63" t="n"/>
      <c r="F1083" s="60" t="n"/>
      <c r="G1083" s="60" t="n"/>
      <c r="H1083" s="71">
        <f>IF(OR($C1083="",$D1083=""),"",IF(ISNUMBER($E1083),$E1083,IF($O1083="","",IF(N(INDEX('Menu Pricing'!$O$7:$O$56,$O1083))&gt;0,INDEX('Menu Pricing'!$O$7:$O$56,$O1083),""))))</f>
        <v/>
      </c>
      <c r="I1083" s="71">
        <f>IF($N1083&lt;&gt;"OK","",$D1083*$H1083)</f>
        <v/>
      </c>
      <c r="J1083" s="71">
        <f>IF($N1083&lt;&gt;"OK","",N(INDEX('Menu Pricing'!$F$7:$F$56,$O1083))+N(INDEX('Menu Pricing'!$G$7:$G$56,$O1083))+N(INDEX('Menu Pricing'!$J$7:$J$56,$O1083)))</f>
        <v/>
      </c>
      <c r="K1083" s="71">
        <f>IF($N1083&lt;&gt;"OK","",$D1083*$J1083)</f>
        <v/>
      </c>
      <c r="L1083" s="71">
        <f>IF($N1083&lt;&gt;"OK","",$I1083-$K1083)</f>
        <v/>
      </c>
      <c r="M1083" s="71">
        <f>IF($N1083&lt;&gt;"OK","",$D1083*N(INDEX('Menu Pricing'!$F$7:$F$56,$O1083)))</f>
        <v/>
      </c>
      <c r="N1083" s="80">
        <f>IF(AND($B1083="",$C1083="",$D1083=""),"",IF(NOT(ISNUMBER($B1083)),"Enter a valid date",IF($C1083="","Pick a menu item",IF($O1083="","Item not on Menu Pricing",IF(N($D1083)&lt;=0,"Qty must be above 0",IF($H1083="","No price on menu","OK"))))))</f>
        <v/>
      </c>
      <c r="O1083" s="13">
        <f>IF($C1083="","",IFERROR(MATCH($C1083,'Menu Pricing'!$B$7:$B$56,0),""))</f>
        <v/>
      </c>
    </row>
    <row r="1084" ht="17" customHeight="1">
      <c r="B1084" s="66" t="n"/>
      <c r="C1084" s="60" t="n"/>
      <c r="D1084" s="86" t="n"/>
      <c r="E1084" s="63" t="n"/>
      <c r="F1084" s="60" t="n"/>
      <c r="G1084" s="60" t="n"/>
      <c r="H1084" s="71">
        <f>IF(OR($C1084="",$D1084=""),"",IF(ISNUMBER($E1084),$E1084,IF($O1084="","",IF(N(INDEX('Menu Pricing'!$O$7:$O$56,$O1084))&gt;0,INDEX('Menu Pricing'!$O$7:$O$56,$O1084),""))))</f>
        <v/>
      </c>
      <c r="I1084" s="71">
        <f>IF($N1084&lt;&gt;"OK","",$D1084*$H1084)</f>
        <v/>
      </c>
      <c r="J1084" s="71">
        <f>IF($N1084&lt;&gt;"OK","",N(INDEX('Menu Pricing'!$F$7:$F$56,$O1084))+N(INDEX('Menu Pricing'!$G$7:$G$56,$O1084))+N(INDEX('Menu Pricing'!$J$7:$J$56,$O1084)))</f>
        <v/>
      </c>
      <c r="K1084" s="71">
        <f>IF($N1084&lt;&gt;"OK","",$D1084*$J1084)</f>
        <v/>
      </c>
      <c r="L1084" s="71">
        <f>IF($N1084&lt;&gt;"OK","",$I1084-$K1084)</f>
        <v/>
      </c>
      <c r="M1084" s="71">
        <f>IF($N1084&lt;&gt;"OK","",$D1084*N(INDEX('Menu Pricing'!$F$7:$F$56,$O1084)))</f>
        <v/>
      </c>
      <c r="N1084" s="80">
        <f>IF(AND($B1084="",$C1084="",$D1084=""),"",IF(NOT(ISNUMBER($B1084)),"Enter a valid date",IF($C1084="","Pick a menu item",IF($O1084="","Item not on Menu Pricing",IF(N($D1084)&lt;=0,"Qty must be above 0",IF($H1084="","No price on menu","OK"))))))</f>
        <v/>
      </c>
      <c r="O1084" s="13">
        <f>IF($C1084="","",IFERROR(MATCH($C1084,'Menu Pricing'!$B$7:$B$56,0),""))</f>
        <v/>
      </c>
    </row>
    <row r="1085" ht="17" customHeight="1">
      <c r="B1085" s="66" t="n"/>
      <c r="C1085" s="60" t="n"/>
      <c r="D1085" s="86" t="n"/>
      <c r="E1085" s="63" t="n"/>
      <c r="F1085" s="60" t="n"/>
      <c r="G1085" s="60" t="n"/>
      <c r="H1085" s="71">
        <f>IF(OR($C1085="",$D1085=""),"",IF(ISNUMBER($E1085),$E1085,IF($O1085="","",IF(N(INDEX('Menu Pricing'!$O$7:$O$56,$O1085))&gt;0,INDEX('Menu Pricing'!$O$7:$O$56,$O1085),""))))</f>
        <v/>
      </c>
      <c r="I1085" s="71">
        <f>IF($N1085&lt;&gt;"OK","",$D1085*$H1085)</f>
        <v/>
      </c>
      <c r="J1085" s="71">
        <f>IF($N1085&lt;&gt;"OK","",N(INDEX('Menu Pricing'!$F$7:$F$56,$O1085))+N(INDEX('Menu Pricing'!$G$7:$G$56,$O1085))+N(INDEX('Menu Pricing'!$J$7:$J$56,$O1085)))</f>
        <v/>
      </c>
      <c r="K1085" s="71">
        <f>IF($N1085&lt;&gt;"OK","",$D1085*$J1085)</f>
        <v/>
      </c>
      <c r="L1085" s="71">
        <f>IF($N1085&lt;&gt;"OK","",$I1085-$K1085)</f>
        <v/>
      </c>
      <c r="M1085" s="71">
        <f>IF($N1085&lt;&gt;"OK","",$D1085*N(INDEX('Menu Pricing'!$F$7:$F$56,$O1085)))</f>
        <v/>
      </c>
      <c r="N1085" s="80">
        <f>IF(AND($B1085="",$C1085="",$D1085=""),"",IF(NOT(ISNUMBER($B1085)),"Enter a valid date",IF($C1085="","Pick a menu item",IF($O1085="","Item not on Menu Pricing",IF(N($D1085)&lt;=0,"Qty must be above 0",IF($H1085="","No price on menu","OK"))))))</f>
        <v/>
      </c>
      <c r="O1085" s="13">
        <f>IF($C1085="","",IFERROR(MATCH($C1085,'Menu Pricing'!$B$7:$B$56,0),""))</f>
        <v/>
      </c>
    </row>
    <row r="1086" ht="17" customHeight="1">
      <c r="B1086" s="66" t="n"/>
      <c r="C1086" s="60" t="n"/>
      <c r="D1086" s="86" t="n"/>
      <c r="E1086" s="63" t="n"/>
      <c r="F1086" s="60" t="n"/>
      <c r="G1086" s="60" t="n"/>
      <c r="H1086" s="71">
        <f>IF(OR($C1086="",$D1086=""),"",IF(ISNUMBER($E1086),$E1086,IF($O1086="","",IF(N(INDEX('Menu Pricing'!$O$7:$O$56,$O1086))&gt;0,INDEX('Menu Pricing'!$O$7:$O$56,$O1086),""))))</f>
        <v/>
      </c>
      <c r="I1086" s="71">
        <f>IF($N1086&lt;&gt;"OK","",$D1086*$H1086)</f>
        <v/>
      </c>
      <c r="J1086" s="71">
        <f>IF($N1086&lt;&gt;"OK","",N(INDEX('Menu Pricing'!$F$7:$F$56,$O1086))+N(INDEX('Menu Pricing'!$G$7:$G$56,$O1086))+N(INDEX('Menu Pricing'!$J$7:$J$56,$O1086)))</f>
        <v/>
      </c>
      <c r="K1086" s="71">
        <f>IF($N1086&lt;&gt;"OK","",$D1086*$J1086)</f>
        <v/>
      </c>
      <c r="L1086" s="71">
        <f>IF($N1086&lt;&gt;"OK","",$I1086-$K1086)</f>
        <v/>
      </c>
      <c r="M1086" s="71">
        <f>IF($N1086&lt;&gt;"OK","",$D1086*N(INDEX('Menu Pricing'!$F$7:$F$56,$O1086)))</f>
        <v/>
      </c>
      <c r="N1086" s="80">
        <f>IF(AND($B1086="",$C1086="",$D1086=""),"",IF(NOT(ISNUMBER($B1086)),"Enter a valid date",IF($C1086="","Pick a menu item",IF($O1086="","Item not on Menu Pricing",IF(N($D1086)&lt;=0,"Qty must be above 0",IF($H1086="","No price on menu","OK"))))))</f>
        <v/>
      </c>
      <c r="O1086" s="13">
        <f>IF($C1086="","",IFERROR(MATCH($C1086,'Menu Pricing'!$B$7:$B$56,0),""))</f>
        <v/>
      </c>
    </row>
    <row r="1087" ht="17" customHeight="1">
      <c r="B1087" s="66" t="n"/>
      <c r="C1087" s="60" t="n"/>
      <c r="D1087" s="86" t="n"/>
      <c r="E1087" s="63" t="n"/>
      <c r="F1087" s="60" t="n"/>
      <c r="G1087" s="60" t="n"/>
      <c r="H1087" s="71">
        <f>IF(OR($C1087="",$D1087=""),"",IF(ISNUMBER($E1087),$E1087,IF($O1087="","",IF(N(INDEX('Menu Pricing'!$O$7:$O$56,$O1087))&gt;0,INDEX('Menu Pricing'!$O$7:$O$56,$O1087),""))))</f>
        <v/>
      </c>
      <c r="I1087" s="71">
        <f>IF($N1087&lt;&gt;"OK","",$D1087*$H1087)</f>
        <v/>
      </c>
      <c r="J1087" s="71">
        <f>IF($N1087&lt;&gt;"OK","",N(INDEX('Menu Pricing'!$F$7:$F$56,$O1087))+N(INDEX('Menu Pricing'!$G$7:$G$56,$O1087))+N(INDEX('Menu Pricing'!$J$7:$J$56,$O1087)))</f>
        <v/>
      </c>
      <c r="K1087" s="71">
        <f>IF($N1087&lt;&gt;"OK","",$D1087*$J1087)</f>
        <v/>
      </c>
      <c r="L1087" s="71">
        <f>IF($N1087&lt;&gt;"OK","",$I1087-$K1087)</f>
        <v/>
      </c>
      <c r="M1087" s="71">
        <f>IF($N1087&lt;&gt;"OK","",$D1087*N(INDEX('Menu Pricing'!$F$7:$F$56,$O1087)))</f>
        <v/>
      </c>
      <c r="N1087" s="80">
        <f>IF(AND($B1087="",$C1087="",$D1087=""),"",IF(NOT(ISNUMBER($B1087)),"Enter a valid date",IF($C1087="","Pick a menu item",IF($O1087="","Item not on Menu Pricing",IF(N($D1087)&lt;=0,"Qty must be above 0",IF($H1087="","No price on menu","OK"))))))</f>
        <v/>
      </c>
      <c r="O1087" s="13">
        <f>IF($C1087="","",IFERROR(MATCH($C1087,'Menu Pricing'!$B$7:$B$56,0),""))</f>
        <v/>
      </c>
    </row>
    <row r="1088" ht="17" customHeight="1">
      <c r="B1088" s="66" t="n"/>
      <c r="C1088" s="60" t="n"/>
      <c r="D1088" s="86" t="n"/>
      <c r="E1088" s="63" t="n"/>
      <c r="F1088" s="60" t="n"/>
      <c r="G1088" s="60" t="n"/>
      <c r="H1088" s="71">
        <f>IF(OR($C1088="",$D1088=""),"",IF(ISNUMBER($E1088),$E1088,IF($O1088="","",IF(N(INDEX('Menu Pricing'!$O$7:$O$56,$O1088))&gt;0,INDEX('Menu Pricing'!$O$7:$O$56,$O1088),""))))</f>
        <v/>
      </c>
      <c r="I1088" s="71">
        <f>IF($N1088&lt;&gt;"OK","",$D1088*$H1088)</f>
        <v/>
      </c>
      <c r="J1088" s="71">
        <f>IF($N1088&lt;&gt;"OK","",N(INDEX('Menu Pricing'!$F$7:$F$56,$O1088))+N(INDEX('Menu Pricing'!$G$7:$G$56,$O1088))+N(INDEX('Menu Pricing'!$J$7:$J$56,$O1088)))</f>
        <v/>
      </c>
      <c r="K1088" s="71">
        <f>IF($N1088&lt;&gt;"OK","",$D1088*$J1088)</f>
        <v/>
      </c>
      <c r="L1088" s="71">
        <f>IF($N1088&lt;&gt;"OK","",$I1088-$K1088)</f>
        <v/>
      </c>
      <c r="M1088" s="71">
        <f>IF($N1088&lt;&gt;"OK","",$D1088*N(INDEX('Menu Pricing'!$F$7:$F$56,$O1088)))</f>
        <v/>
      </c>
      <c r="N1088" s="80">
        <f>IF(AND($B1088="",$C1088="",$D1088=""),"",IF(NOT(ISNUMBER($B1088)),"Enter a valid date",IF($C1088="","Pick a menu item",IF($O1088="","Item not on Menu Pricing",IF(N($D1088)&lt;=0,"Qty must be above 0",IF($H1088="","No price on menu","OK"))))))</f>
        <v/>
      </c>
      <c r="O1088" s="13">
        <f>IF($C1088="","",IFERROR(MATCH($C1088,'Menu Pricing'!$B$7:$B$56,0),""))</f>
        <v/>
      </c>
    </row>
    <row r="1089" ht="17" customHeight="1">
      <c r="B1089" s="66" t="n"/>
      <c r="C1089" s="60" t="n"/>
      <c r="D1089" s="86" t="n"/>
      <c r="E1089" s="63" t="n"/>
      <c r="F1089" s="60" t="n"/>
      <c r="G1089" s="60" t="n"/>
      <c r="H1089" s="71">
        <f>IF(OR($C1089="",$D1089=""),"",IF(ISNUMBER($E1089),$E1089,IF($O1089="","",IF(N(INDEX('Menu Pricing'!$O$7:$O$56,$O1089))&gt;0,INDEX('Menu Pricing'!$O$7:$O$56,$O1089),""))))</f>
        <v/>
      </c>
      <c r="I1089" s="71">
        <f>IF($N1089&lt;&gt;"OK","",$D1089*$H1089)</f>
        <v/>
      </c>
      <c r="J1089" s="71">
        <f>IF($N1089&lt;&gt;"OK","",N(INDEX('Menu Pricing'!$F$7:$F$56,$O1089))+N(INDEX('Menu Pricing'!$G$7:$G$56,$O1089))+N(INDEX('Menu Pricing'!$J$7:$J$56,$O1089)))</f>
        <v/>
      </c>
      <c r="K1089" s="71">
        <f>IF($N1089&lt;&gt;"OK","",$D1089*$J1089)</f>
        <v/>
      </c>
      <c r="L1089" s="71">
        <f>IF($N1089&lt;&gt;"OK","",$I1089-$K1089)</f>
        <v/>
      </c>
      <c r="M1089" s="71">
        <f>IF($N1089&lt;&gt;"OK","",$D1089*N(INDEX('Menu Pricing'!$F$7:$F$56,$O1089)))</f>
        <v/>
      </c>
      <c r="N1089" s="80">
        <f>IF(AND($B1089="",$C1089="",$D1089=""),"",IF(NOT(ISNUMBER($B1089)),"Enter a valid date",IF($C1089="","Pick a menu item",IF($O1089="","Item not on Menu Pricing",IF(N($D1089)&lt;=0,"Qty must be above 0",IF($H1089="","No price on menu","OK"))))))</f>
        <v/>
      </c>
      <c r="O1089" s="13">
        <f>IF($C1089="","",IFERROR(MATCH($C1089,'Menu Pricing'!$B$7:$B$56,0),""))</f>
        <v/>
      </c>
    </row>
    <row r="1090" ht="17" customHeight="1">
      <c r="B1090" s="66" t="n"/>
      <c r="C1090" s="60" t="n"/>
      <c r="D1090" s="86" t="n"/>
      <c r="E1090" s="63" t="n"/>
      <c r="F1090" s="60" t="n"/>
      <c r="G1090" s="60" t="n"/>
      <c r="H1090" s="71">
        <f>IF(OR($C1090="",$D1090=""),"",IF(ISNUMBER($E1090),$E1090,IF($O1090="","",IF(N(INDEX('Menu Pricing'!$O$7:$O$56,$O1090))&gt;0,INDEX('Menu Pricing'!$O$7:$O$56,$O1090),""))))</f>
        <v/>
      </c>
      <c r="I1090" s="71">
        <f>IF($N1090&lt;&gt;"OK","",$D1090*$H1090)</f>
        <v/>
      </c>
      <c r="J1090" s="71">
        <f>IF($N1090&lt;&gt;"OK","",N(INDEX('Menu Pricing'!$F$7:$F$56,$O1090))+N(INDEX('Menu Pricing'!$G$7:$G$56,$O1090))+N(INDEX('Menu Pricing'!$J$7:$J$56,$O1090)))</f>
        <v/>
      </c>
      <c r="K1090" s="71">
        <f>IF($N1090&lt;&gt;"OK","",$D1090*$J1090)</f>
        <v/>
      </c>
      <c r="L1090" s="71">
        <f>IF($N1090&lt;&gt;"OK","",$I1090-$K1090)</f>
        <v/>
      </c>
      <c r="M1090" s="71">
        <f>IF($N1090&lt;&gt;"OK","",$D1090*N(INDEX('Menu Pricing'!$F$7:$F$56,$O1090)))</f>
        <v/>
      </c>
      <c r="N1090" s="80">
        <f>IF(AND($B1090="",$C1090="",$D1090=""),"",IF(NOT(ISNUMBER($B1090)),"Enter a valid date",IF($C1090="","Pick a menu item",IF($O1090="","Item not on Menu Pricing",IF(N($D1090)&lt;=0,"Qty must be above 0",IF($H1090="","No price on menu","OK"))))))</f>
        <v/>
      </c>
      <c r="O1090" s="13">
        <f>IF($C1090="","",IFERROR(MATCH($C1090,'Menu Pricing'!$B$7:$B$56,0),""))</f>
        <v/>
      </c>
    </row>
    <row r="1091" ht="17" customHeight="1">
      <c r="B1091" s="66" t="n"/>
      <c r="C1091" s="60" t="n"/>
      <c r="D1091" s="86" t="n"/>
      <c r="E1091" s="63" t="n"/>
      <c r="F1091" s="60" t="n"/>
      <c r="G1091" s="60" t="n"/>
      <c r="H1091" s="71">
        <f>IF(OR($C1091="",$D1091=""),"",IF(ISNUMBER($E1091),$E1091,IF($O1091="","",IF(N(INDEX('Menu Pricing'!$O$7:$O$56,$O1091))&gt;0,INDEX('Menu Pricing'!$O$7:$O$56,$O1091),""))))</f>
        <v/>
      </c>
      <c r="I1091" s="71">
        <f>IF($N1091&lt;&gt;"OK","",$D1091*$H1091)</f>
        <v/>
      </c>
      <c r="J1091" s="71">
        <f>IF($N1091&lt;&gt;"OK","",N(INDEX('Menu Pricing'!$F$7:$F$56,$O1091))+N(INDEX('Menu Pricing'!$G$7:$G$56,$O1091))+N(INDEX('Menu Pricing'!$J$7:$J$56,$O1091)))</f>
        <v/>
      </c>
      <c r="K1091" s="71">
        <f>IF($N1091&lt;&gt;"OK","",$D1091*$J1091)</f>
        <v/>
      </c>
      <c r="L1091" s="71">
        <f>IF($N1091&lt;&gt;"OK","",$I1091-$K1091)</f>
        <v/>
      </c>
      <c r="M1091" s="71">
        <f>IF($N1091&lt;&gt;"OK","",$D1091*N(INDEX('Menu Pricing'!$F$7:$F$56,$O1091)))</f>
        <v/>
      </c>
      <c r="N1091" s="80">
        <f>IF(AND($B1091="",$C1091="",$D1091=""),"",IF(NOT(ISNUMBER($B1091)),"Enter a valid date",IF($C1091="","Pick a menu item",IF($O1091="","Item not on Menu Pricing",IF(N($D1091)&lt;=0,"Qty must be above 0",IF($H1091="","No price on menu","OK"))))))</f>
        <v/>
      </c>
      <c r="O1091" s="13">
        <f>IF($C1091="","",IFERROR(MATCH($C1091,'Menu Pricing'!$B$7:$B$56,0),""))</f>
        <v/>
      </c>
    </row>
    <row r="1092" ht="17" customHeight="1">
      <c r="B1092" s="66" t="n"/>
      <c r="C1092" s="60" t="n"/>
      <c r="D1092" s="86" t="n"/>
      <c r="E1092" s="63" t="n"/>
      <c r="F1092" s="60" t="n"/>
      <c r="G1092" s="60" t="n"/>
      <c r="H1092" s="71">
        <f>IF(OR($C1092="",$D1092=""),"",IF(ISNUMBER($E1092),$E1092,IF($O1092="","",IF(N(INDEX('Menu Pricing'!$O$7:$O$56,$O1092))&gt;0,INDEX('Menu Pricing'!$O$7:$O$56,$O1092),""))))</f>
        <v/>
      </c>
      <c r="I1092" s="71">
        <f>IF($N1092&lt;&gt;"OK","",$D1092*$H1092)</f>
        <v/>
      </c>
      <c r="J1092" s="71">
        <f>IF($N1092&lt;&gt;"OK","",N(INDEX('Menu Pricing'!$F$7:$F$56,$O1092))+N(INDEX('Menu Pricing'!$G$7:$G$56,$O1092))+N(INDEX('Menu Pricing'!$J$7:$J$56,$O1092)))</f>
        <v/>
      </c>
      <c r="K1092" s="71">
        <f>IF($N1092&lt;&gt;"OK","",$D1092*$J1092)</f>
        <v/>
      </c>
      <c r="L1092" s="71">
        <f>IF($N1092&lt;&gt;"OK","",$I1092-$K1092)</f>
        <v/>
      </c>
      <c r="M1092" s="71">
        <f>IF($N1092&lt;&gt;"OK","",$D1092*N(INDEX('Menu Pricing'!$F$7:$F$56,$O1092)))</f>
        <v/>
      </c>
      <c r="N1092" s="80">
        <f>IF(AND($B1092="",$C1092="",$D1092=""),"",IF(NOT(ISNUMBER($B1092)),"Enter a valid date",IF($C1092="","Pick a menu item",IF($O1092="","Item not on Menu Pricing",IF(N($D1092)&lt;=0,"Qty must be above 0",IF($H1092="","No price on menu","OK"))))))</f>
        <v/>
      </c>
      <c r="O1092" s="13">
        <f>IF($C1092="","",IFERROR(MATCH($C1092,'Menu Pricing'!$B$7:$B$56,0),""))</f>
        <v/>
      </c>
    </row>
    <row r="1093" ht="17" customHeight="1">
      <c r="B1093" s="66" t="n"/>
      <c r="C1093" s="60" t="n"/>
      <c r="D1093" s="86" t="n"/>
      <c r="E1093" s="63" t="n"/>
      <c r="F1093" s="60" t="n"/>
      <c r="G1093" s="60" t="n"/>
      <c r="H1093" s="71">
        <f>IF(OR($C1093="",$D1093=""),"",IF(ISNUMBER($E1093),$E1093,IF($O1093="","",IF(N(INDEX('Menu Pricing'!$O$7:$O$56,$O1093))&gt;0,INDEX('Menu Pricing'!$O$7:$O$56,$O1093),""))))</f>
        <v/>
      </c>
      <c r="I1093" s="71">
        <f>IF($N1093&lt;&gt;"OK","",$D1093*$H1093)</f>
        <v/>
      </c>
      <c r="J1093" s="71">
        <f>IF($N1093&lt;&gt;"OK","",N(INDEX('Menu Pricing'!$F$7:$F$56,$O1093))+N(INDEX('Menu Pricing'!$G$7:$G$56,$O1093))+N(INDEX('Menu Pricing'!$J$7:$J$56,$O1093)))</f>
        <v/>
      </c>
      <c r="K1093" s="71">
        <f>IF($N1093&lt;&gt;"OK","",$D1093*$J1093)</f>
        <v/>
      </c>
      <c r="L1093" s="71">
        <f>IF($N1093&lt;&gt;"OK","",$I1093-$K1093)</f>
        <v/>
      </c>
      <c r="M1093" s="71">
        <f>IF($N1093&lt;&gt;"OK","",$D1093*N(INDEX('Menu Pricing'!$F$7:$F$56,$O1093)))</f>
        <v/>
      </c>
      <c r="N1093" s="80">
        <f>IF(AND($B1093="",$C1093="",$D1093=""),"",IF(NOT(ISNUMBER($B1093)),"Enter a valid date",IF($C1093="","Pick a menu item",IF($O1093="","Item not on Menu Pricing",IF(N($D1093)&lt;=0,"Qty must be above 0",IF($H1093="","No price on menu","OK"))))))</f>
        <v/>
      </c>
      <c r="O1093" s="13">
        <f>IF($C1093="","",IFERROR(MATCH($C1093,'Menu Pricing'!$B$7:$B$56,0),""))</f>
        <v/>
      </c>
    </row>
    <row r="1094" ht="17" customHeight="1">
      <c r="B1094" s="66" t="n"/>
      <c r="C1094" s="60" t="n"/>
      <c r="D1094" s="86" t="n"/>
      <c r="E1094" s="63" t="n"/>
      <c r="F1094" s="60" t="n"/>
      <c r="G1094" s="60" t="n"/>
      <c r="H1094" s="71">
        <f>IF(OR($C1094="",$D1094=""),"",IF(ISNUMBER($E1094),$E1094,IF($O1094="","",IF(N(INDEX('Menu Pricing'!$O$7:$O$56,$O1094))&gt;0,INDEX('Menu Pricing'!$O$7:$O$56,$O1094),""))))</f>
        <v/>
      </c>
      <c r="I1094" s="71">
        <f>IF($N1094&lt;&gt;"OK","",$D1094*$H1094)</f>
        <v/>
      </c>
      <c r="J1094" s="71">
        <f>IF($N1094&lt;&gt;"OK","",N(INDEX('Menu Pricing'!$F$7:$F$56,$O1094))+N(INDEX('Menu Pricing'!$G$7:$G$56,$O1094))+N(INDEX('Menu Pricing'!$J$7:$J$56,$O1094)))</f>
        <v/>
      </c>
      <c r="K1094" s="71">
        <f>IF($N1094&lt;&gt;"OK","",$D1094*$J1094)</f>
        <v/>
      </c>
      <c r="L1094" s="71">
        <f>IF($N1094&lt;&gt;"OK","",$I1094-$K1094)</f>
        <v/>
      </c>
      <c r="M1094" s="71">
        <f>IF($N1094&lt;&gt;"OK","",$D1094*N(INDEX('Menu Pricing'!$F$7:$F$56,$O1094)))</f>
        <v/>
      </c>
      <c r="N1094" s="80">
        <f>IF(AND($B1094="",$C1094="",$D1094=""),"",IF(NOT(ISNUMBER($B1094)),"Enter a valid date",IF($C1094="","Pick a menu item",IF($O1094="","Item not on Menu Pricing",IF(N($D1094)&lt;=0,"Qty must be above 0",IF($H1094="","No price on menu","OK"))))))</f>
        <v/>
      </c>
      <c r="O1094" s="13">
        <f>IF($C1094="","",IFERROR(MATCH($C1094,'Menu Pricing'!$B$7:$B$56,0),""))</f>
        <v/>
      </c>
    </row>
    <row r="1095" ht="17" customHeight="1">
      <c r="B1095" s="66" t="n"/>
      <c r="C1095" s="60" t="n"/>
      <c r="D1095" s="86" t="n"/>
      <c r="E1095" s="63" t="n"/>
      <c r="F1095" s="60" t="n"/>
      <c r="G1095" s="60" t="n"/>
      <c r="H1095" s="71">
        <f>IF(OR($C1095="",$D1095=""),"",IF(ISNUMBER($E1095),$E1095,IF($O1095="","",IF(N(INDEX('Menu Pricing'!$O$7:$O$56,$O1095))&gt;0,INDEX('Menu Pricing'!$O$7:$O$56,$O1095),""))))</f>
        <v/>
      </c>
      <c r="I1095" s="71">
        <f>IF($N1095&lt;&gt;"OK","",$D1095*$H1095)</f>
        <v/>
      </c>
      <c r="J1095" s="71">
        <f>IF($N1095&lt;&gt;"OK","",N(INDEX('Menu Pricing'!$F$7:$F$56,$O1095))+N(INDEX('Menu Pricing'!$G$7:$G$56,$O1095))+N(INDEX('Menu Pricing'!$J$7:$J$56,$O1095)))</f>
        <v/>
      </c>
      <c r="K1095" s="71">
        <f>IF($N1095&lt;&gt;"OK","",$D1095*$J1095)</f>
        <v/>
      </c>
      <c r="L1095" s="71">
        <f>IF($N1095&lt;&gt;"OK","",$I1095-$K1095)</f>
        <v/>
      </c>
      <c r="M1095" s="71">
        <f>IF($N1095&lt;&gt;"OK","",$D1095*N(INDEX('Menu Pricing'!$F$7:$F$56,$O1095)))</f>
        <v/>
      </c>
      <c r="N1095" s="80">
        <f>IF(AND($B1095="",$C1095="",$D1095=""),"",IF(NOT(ISNUMBER($B1095)),"Enter a valid date",IF($C1095="","Pick a menu item",IF($O1095="","Item not on Menu Pricing",IF(N($D1095)&lt;=0,"Qty must be above 0",IF($H1095="","No price on menu","OK"))))))</f>
        <v/>
      </c>
      <c r="O1095" s="13">
        <f>IF($C1095="","",IFERROR(MATCH($C1095,'Menu Pricing'!$B$7:$B$56,0),""))</f>
        <v/>
      </c>
    </row>
    <row r="1096" ht="17" customHeight="1">
      <c r="B1096" s="66" t="n"/>
      <c r="C1096" s="60" t="n"/>
      <c r="D1096" s="86" t="n"/>
      <c r="E1096" s="63" t="n"/>
      <c r="F1096" s="60" t="n"/>
      <c r="G1096" s="60" t="n"/>
      <c r="H1096" s="71">
        <f>IF(OR($C1096="",$D1096=""),"",IF(ISNUMBER($E1096),$E1096,IF($O1096="","",IF(N(INDEX('Menu Pricing'!$O$7:$O$56,$O1096))&gt;0,INDEX('Menu Pricing'!$O$7:$O$56,$O1096),""))))</f>
        <v/>
      </c>
      <c r="I1096" s="71">
        <f>IF($N1096&lt;&gt;"OK","",$D1096*$H1096)</f>
        <v/>
      </c>
      <c r="J1096" s="71">
        <f>IF($N1096&lt;&gt;"OK","",N(INDEX('Menu Pricing'!$F$7:$F$56,$O1096))+N(INDEX('Menu Pricing'!$G$7:$G$56,$O1096))+N(INDEX('Menu Pricing'!$J$7:$J$56,$O1096)))</f>
        <v/>
      </c>
      <c r="K1096" s="71">
        <f>IF($N1096&lt;&gt;"OK","",$D1096*$J1096)</f>
        <v/>
      </c>
      <c r="L1096" s="71">
        <f>IF($N1096&lt;&gt;"OK","",$I1096-$K1096)</f>
        <v/>
      </c>
      <c r="M1096" s="71">
        <f>IF($N1096&lt;&gt;"OK","",$D1096*N(INDEX('Menu Pricing'!$F$7:$F$56,$O1096)))</f>
        <v/>
      </c>
      <c r="N1096" s="80">
        <f>IF(AND($B1096="",$C1096="",$D1096=""),"",IF(NOT(ISNUMBER($B1096)),"Enter a valid date",IF($C1096="","Pick a menu item",IF($O1096="","Item not on Menu Pricing",IF(N($D1096)&lt;=0,"Qty must be above 0",IF($H1096="","No price on menu","OK"))))))</f>
        <v/>
      </c>
      <c r="O1096" s="13">
        <f>IF($C1096="","",IFERROR(MATCH($C1096,'Menu Pricing'!$B$7:$B$56,0),""))</f>
        <v/>
      </c>
    </row>
    <row r="1097" ht="17" customHeight="1">
      <c r="B1097" s="66" t="n"/>
      <c r="C1097" s="60" t="n"/>
      <c r="D1097" s="86" t="n"/>
      <c r="E1097" s="63" t="n"/>
      <c r="F1097" s="60" t="n"/>
      <c r="G1097" s="60" t="n"/>
      <c r="H1097" s="71">
        <f>IF(OR($C1097="",$D1097=""),"",IF(ISNUMBER($E1097),$E1097,IF($O1097="","",IF(N(INDEX('Menu Pricing'!$O$7:$O$56,$O1097))&gt;0,INDEX('Menu Pricing'!$O$7:$O$56,$O1097),""))))</f>
        <v/>
      </c>
      <c r="I1097" s="71">
        <f>IF($N1097&lt;&gt;"OK","",$D1097*$H1097)</f>
        <v/>
      </c>
      <c r="J1097" s="71">
        <f>IF($N1097&lt;&gt;"OK","",N(INDEX('Menu Pricing'!$F$7:$F$56,$O1097))+N(INDEX('Menu Pricing'!$G$7:$G$56,$O1097))+N(INDEX('Menu Pricing'!$J$7:$J$56,$O1097)))</f>
        <v/>
      </c>
      <c r="K1097" s="71">
        <f>IF($N1097&lt;&gt;"OK","",$D1097*$J1097)</f>
        <v/>
      </c>
      <c r="L1097" s="71">
        <f>IF($N1097&lt;&gt;"OK","",$I1097-$K1097)</f>
        <v/>
      </c>
      <c r="M1097" s="71">
        <f>IF($N1097&lt;&gt;"OK","",$D1097*N(INDEX('Menu Pricing'!$F$7:$F$56,$O1097)))</f>
        <v/>
      </c>
      <c r="N1097" s="80">
        <f>IF(AND($B1097="",$C1097="",$D1097=""),"",IF(NOT(ISNUMBER($B1097)),"Enter a valid date",IF($C1097="","Pick a menu item",IF($O1097="","Item not on Menu Pricing",IF(N($D1097)&lt;=0,"Qty must be above 0",IF($H1097="","No price on menu","OK"))))))</f>
        <v/>
      </c>
      <c r="O1097" s="13">
        <f>IF($C1097="","",IFERROR(MATCH($C1097,'Menu Pricing'!$B$7:$B$56,0),""))</f>
        <v/>
      </c>
    </row>
    <row r="1098" ht="17" customHeight="1">
      <c r="B1098" s="66" t="n"/>
      <c r="C1098" s="60" t="n"/>
      <c r="D1098" s="86" t="n"/>
      <c r="E1098" s="63" t="n"/>
      <c r="F1098" s="60" t="n"/>
      <c r="G1098" s="60" t="n"/>
      <c r="H1098" s="71">
        <f>IF(OR($C1098="",$D1098=""),"",IF(ISNUMBER($E1098),$E1098,IF($O1098="","",IF(N(INDEX('Menu Pricing'!$O$7:$O$56,$O1098))&gt;0,INDEX('Menu Pricing'!$O$7:$O$56,$O1098),""))))</f>
        <v/>
      </c>
      <c r="I1098" s="71">
        <f>IF($N1098&lt;&gt;"OK","",$D1098*$H1098)</f>
        <v/>
      </c>
      <c r="J1098" s="71">
        <f>IF($N1098&lt;&gt;"OK","",N(INDEX('Menu Pricing'!$F$7:$F$56,$O1098))+N(INDEX('Menu Pricing'!$G$7:$G$56,$O1098))+N(INDEX('Menu Pricing'!$J$7:$J$56,$O1098)))</f>
        <v/>
      </c>
      <c r="K1098" s="71">
        <f>IF($N1098&lt;&gt;"OK","",$D1098*$J1098)</f>
        <v/>
      </c>
      <c r="L1098" s="71">
        <f>IF($N1098&lt;&gt;"OK","",$I1098-$K1098)</f>
        <v/>
      </c>
      <c r="M1098" s="71">
        <f>IF($N1098&lt;&gt;"OK","",$D1098*N(INDEX('Menu Pricing'!$F$7:$F$56,$O1098)))</f>
        <v/>
      </c>
      <c r="N1098" s="80">
        <f>IF(AND($B1098="",$C1098="",$D1098=""),"",IF(NOT(ISNUMBER($B1098)),"Enter a valid date",IF($C1098="","Pick a menu item",IF($O1098="","Item not on Menu Pricing",IF(N($D1098)&lt;=0,"Qty must be above 0",IF($H1098="","No price on menu","OK"))))))</f>
        <v/>
      </c>
      <c r="O1098" s="13">
        <f>IF($C1098="","",IFERROR(MATCH($C1098,'Menu Pricing'!$B$7:$B$56,0),""))</f>
        <v/>
      </c>
    </row>
    <row r="1099" ht="17" customHeight="1">
      <c r="B1099" s="66" t="n"/>
      <c r="C1099" s="60" t="n"/>
      <c r="D1099" s="86" t="n"/>
      <c r="E1099" s="63" t="n"/>
      <c r="F1099" s="60" t="n"/>
      <c r="G1099" s="60" t="n"/>
      <c r="H1099" s="71">
        <f>IF(OR($C1099="",$D1099=""),"",IF(ISNUMBER($E1099),$E1099,IF($O1099="","",IF(N(INDEX('Menu Pricing'!$O$7:$O$56,$O1099))&gt;0,INDEX('Menu Pricing'!$O$7:$O$56,$O1099),""))))</f>
        <v/>
      </c>
      <c r="I1099" s="71">
        <f>IF($N1099&lt;&gt;"OK","",$D1099*$H1099)</f>
        <v/>
      </c>
      <c r="J1099" s="71">
        <f>IF($N1099&lt;&gt;"OK","",N(INDEX('Menu Pricing'!$F$7:$F$56,$O1099))+N(INDEX('Menu Pricing'!$G$7:$G$56,$O1099))+N(INDEX('Menu Pricing'!$J$7:$J$56,$O1099)))</f>
        <v/>
      </c>
      <c r="K1099" s="71">
        <f>IF($N1099&lt;&gt;"OK","",$D1099*$J1099)</f>
        <v/>
      </c>
      <c r="L1099" s="71">
        <f>IF($N1099&lt;&gt;"OK","",$I1099-$K1099)</f>
        <v/>
      </c>
      <c r="M1099" s="71">
        <f>IF($N1099&lt;&gt;"OK","",$D1099*N(INDEX('Menu Pricing'!$F$7:$F$56,$O1099)))</f>
        <v/>
      </c>
      <c r="N1099" s="80">
        <f>IF(AND($B1099="",$C1099="",$D1099=""),"",IF(NOT(ISNUMBER($B1099)),"Enter a valid date",IF($C1099="","Pick a menu item",IF($O1099="","Item not on Menu Pricing",IF(N($D1099)&lt;=0,"Qty must be above 0",IF($H1099="","No price on menu","OK"))))))</f>
        <v/>
      </c>
      <c r="O1099" s="13">
        <f>IF($C1099="","",IFERROR(MATCH($C1099,'Menu Pricing'!$B$7:$B$56,0),""))</f>
        <v/>
      </c>
    </row>
    <row r="1100" ht="17" customHeight="1">
      <c r="B1100" s="66" t="n"/>
      <c r="C1100" s="60" t="n"/>
      <c r="D1100" s="86" t="n"/>
      <c r="E1100" s="63" t="n"/>
      <c r="F1100" s="60" t="n"/>
      <c r="G1100" s="60" t="n"/>
      <c r="H1100" s="71">
        <f>IF(OR($C1100="",$D1100=""),"",IF(ISNUMBER($E1100),$E1100,IF($O1100="","",IF(N(INDEX('Menu Pricing'!$O$7:$O$56,$O1100))&gt;0,INDEX('Menu Pricing'!$O$7:$O$56,$O1100),""))))</f>
        <v/>
      </c>
      <c r="I1100" s="71">
        <f>IF($N1100&lt;&gt;"OK","",$D1100*$H1100)</f>
        <v/>
      </c>
      <c r="J1100" s="71">
        <f>IF($N1100&lt;&gt;"OK","",N(INDEX('Menu Pricing'!$F$7:$F$56,$O1100))+N(INDEX('Menu Pricing'!$G$7:$G$56,$O1100))+N(INDEX('Menu Pricing'!$J$7:$J$56,$O1100)))</f>
        <v/>
      </c>
      <c r="K1100" s="71">
        <f>IF($N1100&lt;&gt;"OK","",$D1100*$J1100)</f>
        <v/>
      </c>
      <c r="L1100" s="71">
        <f>IF($N1100&lt;&gt;"OK","",$I1100-$K1100)</f>
        <v/>
      </c>
      <c r="M1100" s="71">
        <f>IF($N1100&lt;&gt;"OK","",$D1100*N(INDEX('Menu Pricing'!$F$7:$F$56,$O1100)))</f>
        <v/>
      </c>
      <c r="N1100" s="80">
        <f>IF(AND($B1100="",$C1100="",$D1100=""),"",IF(NOT(ISNUMBER($B1100)),"Enter a valid date",IF($C1100="","Pick a menu item",IF($O1100="","Item not on Menu Pricing",IF(N($D1100)&lt;=0,"Qty must be above 0",IF($H1100="","No price on menu","OK"))))))</f>
        <v/>
      </c>
      <c r="O1100" s="13">
        <f>IF($C1100="","",IFERROR(MATCH($C1100,'Menu Pricing'!$B$7:$B$56,0),""))</f>
        <v/>
      </c>
    </row>
    <row r="1101" ht="17" customHeight="1">
      <c r="B1101" s="66" t="n"/>
      <c r="C1101" s="60" t="n"/>
      <c r="D1101" s="86" t="n"/>
      <c r="E1101" s="63" t="n"/>
      <c r="F1101" s="60" t="n"/>
      <c r="G1101" s="60" t="n"/>
      <c r="H1101" s="71">
        <f>IF(OR($C1101="",$D1101=""),"",IF(ISNUMBER($E1101),$E1101,IF($O1101="","",IF(N(INDEX('Menu Pricing'!$O$7:$O$56,$O1101))&gt;0,INDEX('Menu Pricing'!$O$7:$O$56,$O1101),""))))</f>
        <v/>
      </c>
      <c r="I1101" s="71">
        <f>IF($N1101&lt;&gt;"OK","",$D1101*$H1101)</f>
        <v/>
      </c>
      <c r="J1101" s="71">
        <f>IF($N1101&lt;&gt;"OK","",N(INDEX('Menu Pricing'!$F$7:$F$56,$O1101))+N(INDEX('Menu Pricing'!$G$7:$G$56,$O1101))+N(INDEX('Menu Pricing'!$J$7:$J$56,$O1101)))</f>
        <v/>
      </c>
      <c r="K1101" s="71">
        <f>IF($N1101&lt;&gt;"OK","",$D1101*$J1101)</f>
        <v/>
      </c>
      <c r="L1101" s="71">
        <f>IF($N1101&lt;&gt;"OK","",$I1101-$K1101)</f>
        <v/>
      </c>
      <c r="M1101" s="71">
        <f>IF($N1101&lt;&gt;"OK","",$D1101*N(INDEX('Menu Pricing'!$F$7:$F$56,$O1101)))</f>
        <v/>
      </c>
      <c r="N1101" s="80">
        <f>IF(AND($B1101="",$C1101="",$D1101=""),"",IF(NOT(ISNUMBER($B1101)),"Enter a valid date",IF($C1101="","Pick a menu item",IF($O1101="","Item not on Menu Pricing",IF(N($D1101)&lt;=0,"Qty must be above 0",IF($H1101="","No price on menu","OK"))))))</f>
        <v/>
      </c>
      <c r="O1101" s="13">
        <f>IF($C1101="","",IFERROR(MATCH($C1101,'Menu Pricing'!$B$7:$B$56,0),""))</f>
        <v/>
      </c>
    </row>
    <row r="1102" ht="17" customHeight="1">
      <c r="B1102" s="66" t="n"/>
      <c r="C1102" s="60" t="n"/>
      <c r="D1102" s="86" t="n"/>
      <c r="E1102" s="63" t="n"/>
      <c r="F1102" s="60" t="n"/>
      <c r="G1102" s="60" t="n"/>
      <c r="H1102" s="71">
        <f>IF(OR($C1102="",$D1102=""),"",IF(ISNUMBER($E1102),$E1102,IF($O1102="","",IF(N(INDEX('Menu Pricing'!$O$7:$O$56,$O1102))&gt;0,INDEX('Menu Pricing'!$O$7:$O$56,$O1102),""))))</f>
        <v/>
      </c>
      <c r="I1102" s="71">
        <f>IF($N1102&lt;&gt;"OK","",$D1102*$H1102)</f>
        <v/>
      </c>
      <c r="J1102" s="71">
        <f>IF($N1102&lt;&gt;"OK","",N(INDEX('Menu Pricing'!$F$7:$F$56,$O1102))+N(INDEX('Menu Pricing'!$G$7:$G$56,$O1102))+N(INDEX('Menu Pricing'!$J$7:$J$56,$O1102)))</f>
        <v/>
      </c>
      <c r="K1102" s="71">
        <f>IF($N1102&lt;&gt;"OK","",$D1102*$J1102)</f>
        <v/>
      </c>
      <c r="L1102" s="71">
        <f>IF($N1102&lt;&gt;"OK","",$I1102-$K1102)</f>
        <v/>
      </c>
      <c r="M1102" s="71">
        <f>IF($N1102&lt;&gt;"OK","",$D1102*N(INDEX('Menu Pricing'!$F$7:$F$56,$O1102)))</f>
        <v/>
      </c>
      <c r="N1102" s="80">
        <f>IF(AND($B1102="",$C1102="",$D1102=""),"",IF(NOT(ISNUMBER($B1102)),"Enter a valid date",IF($C1102="","Pick a menu item",IF($O1102="","Item not on Menu Pricing",IF(N($D1102)&lt;=0,"Qty must be above 0",IF($H1102="","No price on menu","OK"))))))</f>
        <v/>
      </c>
      <c r="O1102" s="13">
        <f>IF($C1102="","",IFERROR(MATCH($C1102,'Menu Pricing'!$B$7:$B$56,0),""))</f>
        <v/>
      </c>
    </row>
    <row r="1103" ht="17" customHeight="1">
      <c r="B1103" s="66" t="n"/>
      <c r="C1103" s="60" t="n"/>
      <c r="D1103" s="86" t="n"/>
      <c r="E1103" s="63" t="n"/>
      <c r="F1103" s="60" t="n"/>
      <c r="G1103" s="60" t="n"/>
      <c r="H1103" s="71">
        <f>IF(OR($C1103="",$D1103=""),"",IF(ISNUMBER($E1103),$E1103,IF($O1103="","",IF(N(INDEX('Menu Pricing'!$O$7:$O$56,$O1103))&gt;0,INDEX('Menu Pricing'!$O$7:$O$56,$O1103),""))))</f>
        <v/>
      </c>
      <c r="I1103" s="71">
        <f>IF($N1103&lt;&gt;"OK","",$D1103*$H1103)</f>
        <v/>
      </c>
      <c r="J1103" s="71">
        <f>IF($N1103&lt;&gt;"OK","",N(INDEX('Menu Pricing'!$F$7:$F$56,$O1103))+N(INDEX('Menu Pricing'!$G$7:$G$56,$O1103))+N(INDEX('Menu Pricing'!$J$7:$J$56,$O1103)))</f>
        <v/>
      </c>
      <c r="K1103" s="71">
        <f>IF($N1103&lt;&gt;"OK","",$D1103*$J1103)</f>
        <v/>
      </c>
      <c r="L1103" s="71">
        <f>IF($N1103&lt;&gt;"OK","",$I1103-$K1103)</f>
        <v/>
      </c>
      <c r="M1103" s="71">
        <f>IF($N1103&lt;&gt;"OK","",$D1103*N(INDEX('Menu Pricing'!$F$7:$F$56,$O1103)))</f>
        <v/>
      </c>
      <c r="N1103" s="80">
        <f>IF(AND($B1103="",$C1103="",$D1103=""),"",IF(NOT(ISNUMBER($B1103)),"Enter a valid date",IF($C1103="","Pick a menu item",IF($O1103="","Item not on Menu Pricing",IF(N($D1103)&lt;=0,"Qty must be above 0",IF($H1103="","No price on menu","OK"))))))</f>
        <v/>
      </c>
      <c r="O1103" s="13">
        <f>IF($C1103="","",IFERROR(MATCH($C1103,'Menu Pricing'!$B$7:$B$56,0),""))</f>
        <v/>
      </c>
    </row>
    <row r="1104" ht="17" customHeight="1">
      <c r="B1104" s="66" t="n"/>
      <c r="C1104" s="60" t="n"/>
      <c r="D1104" s="86" t="n"/>
      <c r="E1104" s="63" t="n"/>
      <c r="F1104" s="60" t="n"/>
      <c r="G1104" s="60" t="n"/>
      <c r="H1104" s="71">
        <f>IF(OR($C1104="",$D1104=""),"",IF(ISNUMBER($E1104),$E1104,IF($O1104="","",IF(N(INDEX('Menu Pricing'!$O$7:$O$56,$O1104))&gt;0,INDEX('Menu Pricing'!$O$7:$O$56,$O1104),""))))</f>
        <v/>
      </c>
      <c r="I1104" s="71">
        <f>IF($N1104&lt;&gt;"OK","",$D1104*$H1104)</f>
        <v/>
      </c>
      <c r="J1104" s="71">
        <f>IF($N1104&lt;&gt;"OK","",N(INDEX('Menu Pricing'!$F$7:$F$56,$O1104))+N(INDEX('Menu Pricing'!$G$7:$G$56,$O1104))+N(INDEX('Menu Pricing'!$J$7:$J$56,$O1104)))</f>
        <v/>
      </c>
      <c r="K1104" s="71">
        <f>IF($N1104&lt;&gt;"OK","",$D1104*$J1104)</f>
        <v/>
      </c>
      <c r="L1104" s="71">
        <f>IF($N1104&lt;&gt;"OK","",$I1104-$K1104)</f>
        <v/>
      </c>
      <c r="M1104" s="71">
        <f>IF($N1104&lt;&gt;"OK","",$D1104*N(INDEX('Menu Pricing'!$F$7:$F$56,$O1104)))</f>
        <v/>
      </c>
      <c r="N1104" s="80">
        <f>IF(AND($B1104="",$C1104="",$D1104=""),"",IF(NOT(ISNUMBER($B1104)),"Enter a valid date",IF($C1104="","Pick a menu item",IF($O1104="","Item not on Menu Pricing",IF(N($D1104)&lt;=0,"Qty must be above 0",IF($H1104="","No price on menu","OK"))))))</f>
        <v/>
      </c>
      <c r="O1104" s="13">
        <f>IF($C1104="","",IFERROR(MATCH($C1104,'Menu Pricing'!$B$7:$B$56,0),""))</f>
        <v/>
      </c>
    </row>
    <row r="1105" ht="17" customHeight="1">
      <c r="B1105" s="66" t="n"/>
      <c r="C1105" s="60" t="n"/>
      <c r="D1105" s="86" t="n"/>
      <c r="E1105" s="63" t="n"/>
      <c r="F1105" s="60" t="n"/>
      <c r="G1105" s="60" t="n"/>
      <c r="H1105" s="71">
        <f>IF(OR($C1105="",$D1105=""),"",IF(ISNUMBER($E1105),$E1105,IF($O1105="","",IF(N(INDEX('Menu Pricing'!$O$7:$O$56,$O1105))&gt;0,INDEX('Menu Pricing'!$O$7:$O$56,$O1105),""))))</f>
        <v/>
      </c>
      <c r="I1105" s="71">
        <f>IF($N1105&lt;&gt;"OK","",$D1105*$H1105)</f>
        <v/>
      </c>
      <c r="J1105" s="71">
        <f>IF($N1105&lt;&gt;"OK","",N(INDEX('Menu Pricing'!$F$7:$F$56,$O1105))+N(INDEX('Menu Pricing'!$G$7:$G$56,$O1105))+N(INDEX('Menu Pricing'!$J$7:$J$56,$O1105)))</f>
        <v/>
      </c>
      <c r="K1105" s="71">
        <f>IF($N1105&lt;&gt;"OK","",$D1105*$J1105)</f>
        <v/>
      </c>
      <c r="L1105" s="71">
        <f>IF($N1105&lt;&gt;"OK","",$I1105-$K1105)</f>
        <v/>
      </c>
      <c r="M1105" s="71">
        <f>IF($N1105&lt;&gt;"OK","",$D1105*N(INDEX('Menu Pricing'!$F$7:$F$56,$O1105)))</f>
        <v/>
      </c>
      <c r="N1105" s="80">
        <f>IF(AND($B1105="",$C1105="",$D1105=""),"",IF(NOT(ISNUMBER($B1105)),"Enter a valid date",IF($C1105="","Pick a menu item",IF($O1105="","Item not on Menu Pricing",IF(N($D1105)&lt;=0,"Qty must be above 0",IF($H1105="","No price on menu","OK"))))))</f>
        <v/>
      </c>
      <c r="O1105" s="13">
        <f>IF($C1105="","",IFERROR(MATCH($C1105,'Menu Pricing'!$B$7:$B$56,0),""))</f>
        <v/>
      </c>
    </row>
    <row r="1106" ht="17" customHeight="1">
      <c r="B1106" s="66" t="n"/>
      <c r="C1106" s="60" t="n"/>
      <c r="D1106" s="86" t="n"/>
      <c r="E1106" s="63" t="n"/>
      <c r="F1106" s="60" t="n"/>
      <c r="G1106" s="60" t="n"/>
      <c r="H1106" s="71">
        <f>IF(OR($C1106="",$D1106=""),"",IF(ISNUMBER($E1106),$E1106,IF($O1106="","",IF(N(INDEX('Menu Pricing'!$O$7:$O$56,$O1106))&gt;0,INDEX('Menu Pricing'!$O$7:$O$56,$O1106),""))))</f>
        <v/>
      </c>
      <c r="I1106" s="71">
        <f>IF($N1106&lt;&gt;"OK","",$D1106*$H1106)</f>
        <v/>
      </c>
      <c r="J1106" s="71">
        <f>IF($N1106&lt;&gt;"OK","",N(INDEX('Menu Pricing'!$F$7:$F$56,$O1106))+N(INDEX('Menu Pricing'!$G$7:$G$56,$O1106))+N(INDEX('Menu Pricing'!$J$7:$J$56,$O1106)))</f>
        <v/>
      </c>
      <c r="K1106" s="71">
        <f>IF($N1106&lt;&gt;"OK","",$D1106*$J1106)</f>
        <v/>
      </c>
      <c r="L1106" s="71">
        <f>IF($N1106&lt;&gt;"OK","",$I1106-$K1106)</f>
        <v/>
      </c>
      <c r="M1106" s="71">
        <f>IF($N1106&lt;&gt;"OK","",$D1106*N(INDEX('Menu Pricing'!$F$7:$F$56,$O1106)))</f>
        <v/>
      </c>
      <c r="N1106" s="80">
        <f>IF(AND($B1106="",$C1106="",$D1106=""),"",IF(NOT(ISNUMBER($B1106)),"Enter a valid date",IF($C1106="","Pick a menu item",IF($O1106="","Item not on Menu Pricing",IF(N($D1106)&lt;=0,"Qty must be above 0",IF($H1106="","No price on menu","OK"))))))</f>
        <v/>
      </c>
      <c r="O1106" s="13">
        <f>IF($C1106="","",IFERROR(MATCH($C1106,'Menu Pricing'!$B$7:$B$56,0),""))</f>
        <v/>
      </c>
    </row>
    <row r="1107" ht="17" customHeight="1">
      <c r="B1107" s="66" t="n"/>
      <c r="C1107" s="60" t="n"/>
      <c r="D1107" s="86" t="n"/>
      <c r="E1107" s="63" t="n"/>
      <c r="F1107" s="60" t="n"/>
      <c r="G1107" s="60" t="n"/>
      <c r="H1107" s="71">
        <f>IF(OR($C1107="",$D1107=""),"",IF(ISNUMBER($E1107),$E1107,IF($O1107="","",IF(N(INDEX('Menu Pricing'!$O$7:$O$56,$O1107))&gt;0,INDEX('Menu Pricing'!$O$7:$O$56,$O1107),""))))</f>
        <v/>
      </c>
      <c r="I1107" s="71">
        <f>IF($N1107&lt;&gt;"OK","",$D1107*$H1107)</f>
        <v/>
      </c>
      <c r="J1107" s="71">
        <f>IF($N1107&lt;&gt;"OK","",N(INDEX('Menu Pricing'!$F$7:$F$56,$O1107))+N(INDEX('Menu Pricing'!$G$7:$G$56,$O1107))+N(INDEX('Menu Pricing'!$J$7:$J$56,$O1107)))</f>
        <v/>
      </c>
      <c r="K1107" s="71">
        <f>IF($N1107&lt;&gt;"OK","",$D1107*$J1107)</f>
        <v/>
      </c>
      <c r="L1107" s="71">
        <f>IF($N1107&lt;&gt;"OK","",$I1107-$K1107)</f>
        <v/>
      </c>
      <c r="M1107" s="71">
        <f>IF($N1107&lt;&gt;"OK","",$D1107*N(INDEX('Menu Pricing'!$F$7:$F$56,$O1107)))</f>
        <v/>
      </c>
      <c r="N1107" s="80">
        <f>IF(AND($B1107="",$C1107="",$D1107=""),"",IF(NOT(ISNUMBER($B1107)),"Enter a valid date",IF($C1107="","Pick a menu item",IF($O1107="","Item not on Menu Pricing",IF(N($D1107)&lt;=0,"Qty must be above 0",IF($H1107="","No price on menu","OK"))))))</f>
        <v/>
      </c>
      <c r="O1107" s="13">
        <f>IF($C1107="","",IFERROR(MATCH($C1107,'Menu Pricing'!$B$7:$B$56,0),""))</f>
        <v/>
      </c>
    </row>
    <row r="1108" ht="17" customHeight="1">
      <c r="B1108" s="66" t="n"/>
      <c r="C1108" s="60" t="n"/>
      <c r="D1108" s="86" t="n"/>
      <c r="E1108" s="63" t="n"/>
      <c r="F1108" s="60" t="n"/>
      <c r="G1108" s="60" t="n"/>
      <c r="H1108" s="71">
        <f>IF(OR($C1108="",$D1108=""),"",IF(ISNUMBER($E1108),$E1108,IF($O1108="","",IF(N(INDEX('Menu Pricing'!$O$7:$O$56,$O1108))&gt;0,INDEX('Menu Pricing'!$O$7:$O$56,$O1108),""))))</f>
        <v/>
      </c>
      <c r="I1108" s="71">
        <f>IF($N1108&lt;&gt;"OK","",$D1108*$H1108)</f>
        <v/>
      </c>
      <c r="J1108" s="71">
        <f>IF($N1108&lt;&gt;"OK","",N(INDEX('Menu Pricing'!$F$7:$F$56,$O1108))+N(INDEX('Menu Pricing'!$G$7:$G$56,$O1108))+N(INDEX('Menu Pricing'!$J$7:$J$56,$O1108)))</f>
        <v/>
      </c>
      <c r="K1108" s="71">
        <f>IF($N1108&lt;&gt;"OK","",$D1108*$J1108)</f>
        <v/>
      </c>
      <c r="L1108" s="71">
        <f>IF($N1108&lt;&gt;"OK","",$I1108-$K1108)</f>
        <v/>
      </c>
      <c r="M1108" s="71">
        <f>IF($N1108&lt;&gt;"OK","",$D1108*N(INDEX('Menu Pricing'!$F$7:$F$56,$O1108)))</f>
        <v/>
      </c>
      <c r="N1108" s="80">
        <f>IF(AND($B1108="",$C1108="",$D1108=""),"",IF(NOT(ISNUMBER($B1108)),"Enter a valid date",IF($C1108="","Pick a menu item",IF($O1108="","Item not on Menu Pricing",IF(N($D1108)&lt;=0,"Qty must be above 0",IF($H1108="","No price on menu","OK"))))))</f>
        <v/>
      </c>
      <c r="O1108" s="13">
        <f>IF($C1108="","",IFERROR(MATCH($C1108,'Menu Pricing'!$B$7:$B$56,0),""))</f>
        <v/>
      </c>
    </row>
    <row r="1109" ht="17" customHeight="1">
      <c r="B1109" s="66" t="n"/>
      <c r="C1109" s="60" t="n"/>
      <c r="D1109" s="86" t="n"/>
      <c r="E1109" s="63" t="n"/>
      <c r="F1109" s="60" t="n"/>
      <c r="G1109" s="60" t="n"/>
      <c r="H1109" s="71">
        <f>IF(OR($C1109="",$D1109=""),"",IF(ISNUMBER($E1109),$E1109,IF($O1109="","",IF(N(INDEX('Menu Pricing'!$O$7:$O$56,$O1109))&gt;0,INDEX('Menu Pricing'!$O$7:$O$56,$O1109),""))))</f>
        <v/>
      </c>
      <c r="I1109" s="71">
        <f>IF($N1109&lt;&gt;"OK","",$D1109*$H1109)</f>
        <v/>
      </c>
      <c r="J1109" s="71">
        <f>IF($N1109&lt;&gt;"OK","",N(INDEX('Menu Pricing'!$F$7:$F$56,$O1109))+N(INDEX('Menu Pricing'!$G$7:$G$56,$O1109))+N(INDEX('Menu Pricing'!$J$7:$J$56,$O1109)))</f>
        <v/>
      </c>
      <c r="K1109" s="71">
        <f>IF($N1109&lt;&gt;"OK","",$D1109*$J1109)</f>
        <v/>
      </c>
      <c r="L1109" s="71">
        <f>IF($N1109&lt;&gt;"OK","",$I1109-$K1109)</f>
        <v/>
      </c>
      <c r="M1109" s="71">
        <f>IF($N1109&lt;&gt;"OK","",$D1109*N(INDEX('Menu Pricing'!$F$7:$F$56,$O1109)))</f>
        <v/>
      </c>
      <c r="N1109" s="80">
        <f>IF(AND($B1109="",$C1109="",$D1109=""),"",IF(NOT(ISNUMBER($B1109)),"Enter a valid date",IF($C1109="","Pick a menu item",IF($O1109="","Item not on Menu Pricing",IF(N($D1109)&lt;=0,"Qty must be above 0",IF($H1109="","No price on menu","OK"))))))</f>
        <v/>
      </c>
      <c r="O1109" s="13">
        <f>IF($C1109="","",IFERROR(MATCH($C1109,'Menu Pricing'!$B$7:$B$56,0),""))</f>
        <v/>
      </c>
    </row>
    <row r="1110" ht="17" customHeight="1">
      <c r="B1110" s="66" t="n"/>
      <c r="C1110" s="60" t="n"/>
      <c r="D1110" s="86" t="n"/>
      <c r="E1110" s="63" t="n"/>
      <c r="F1110" s="60" t="n"/>
      <c r="G1110" s="60" t="n"/>
      <c r="H1110" s="71">
        <f>IF(OR($C1110="",$D1110=""),"",IF(ISNUMBER($E1110),$E1110,IF($O1110="","",IF(N(INDEX('Menu Pricing'!$O$7:$O$56,$O1110))&gt;0,INDEX('Menu Pricing'!$O$7:$O$56,$O1110),""))))</f>
        <v/>
      </c>
      <c r="I1110" s="71">
        <f>IF($N1110&lt;&gt;"OK","",$D1110*$H1110)</f>
        <v/>
      </c>
      <c r="J1110" s="71">
        <f>IF($N1110&lt;&gt;"OK","",N(INDEX('Menu Pricing'!$F$7:$F$56,$O1110))+N(INDEX('Menu Pricing'!$G$7:$G$56,$O1110))+N(INDEX('Menu Pricing'!$J$7:$J$56,$O1110)))</f>
        <v/>
      </c>
      <c r="K1110" s="71">
        <f>IF($N1110&lt;&gt;"OK","",$D1110*$J1110)</f>
        <v/>
      </c>
      <c r="L1110" s="71">
        <f>IF($N1110&lt;&gt;"OK","",$I1110-$K1110)</f>
        <v/>
      </c>
      <c r="M1110" s="71">
        <f>IF($N1110&lt;&gt;"OK","",$D1110*N(INDEX('Menu Pricing'!$F$7:$F$56,$O1110)))</f>
        <v/>
      </c>
      <c r="N1110" s="80">
        <f>IF(AND($B1110="",$C1110="",$D1110=""),"",IF(NOT(ISNUMBER($B1110)),"Enter a valid date",IF($C1110="","Pick a menu item",IF($O1110="","Item not on Menu Pricing",IF(N($D1110)&lt;=0,"Qty must be above 0",IF($H1110="","No price on menu","OK"))))))</f>
        <v/>
      </c>
      <c r="O1110" s="13">
        <f>IF($C1110="","",IFERROR(MATCH($C1110,'Menu Pricing'!$B$7:$B$56,0),""))</f>
        <v/>
      </c>
    </row>
    <row r="1111" ht="17" customHeight="1">
      <c r="B1111" s="66" t="n"/>
      <c r="C1111" s="60" t="n"/>
      <c r="D1111" s="86" t="n"/>
      <c r="E1111" s="63" t="n"/>
      <c r="F1111" s="60" t="n"/>
      <c r="G1111" s="60" t="n"/>
      <c r="H1111" s="71">
        <f>IF(OR($C1111="",$D1111=""),"",IF(ISNUMBER($E1111),$E1111,IF($O1111="","",IF(N(INDEX('Menu Pricing'!$O$7:$O$56,$O1111))&gt;0,INDEX('Menu Pricing'!$O$7:$O$56,$O1111),""))))</f>
        <v/>
      </c>
      <c r="I1111" s="71">
        <f>IF($N1111&lt;&gt;"OK","",$D1111*$H1111)</f>
        <v/>
      </c>
      <c r="J1111" s="71">
        <f>IF($N1111&lt;&gt;"OK","",N(INDEX('Menu Pricing'!$F$7:$F$56,$O1111))+N(INDEX('Menu Pricing'!$G$7:$G$56,$O1111))+N(INDEX('Menu Pricing'!$J$7:$J$56,$O1111)))</f>
        <v/>
      </c>
      <c r="K1111" s="71">
        <f>IF($N1111&lt;&gt;"OK","",$D1111*$J1111)</f>
        <v/>
      </c>
      <c r="L1111" s="71">
        <f>IF($N1111&lt;&gt;"OK","",$I1111-$K1111)</f>
        <v/>
      </c>
      <c r="M1111" s="71">
        <f>IF($N1111&lt;&gt;"OK","",$D1111*N(INDEX('Menu Pricing'!$F$7:$F$56,$O1111)))</f>
        <v/>
      </c>
      <c r="N1111" s="80">
        <f>IF(AND($B1111="",$C1111="",$D1111=""),"",IF(NOT(ISNUMBER($B1111)),"Enter a valid date",IF($C1111="","Pick a menu item",IF($O1111="","Item not on Menu Pricing",IF(N($D1111)&lt;=0,"Qty must be above 0",IF($H1111="","No price on menu","OK"))))))</f>
        <v/>
      </c>
      <c r="O1111" s="13">
        <f>IF($C1111="","",IFERROR(MATCH($C1111,'Menu Pricing'!$B$7:$B$56,0),""))</f>
        <v/>
      </c>
    </row>
    <row r="1112" ht="17" customHeight="1">
      <c r="B1112" s="66" t="n"/>
      <c r="C1112" s="60" t="n"/>
      <c r="D1112" s="86" t="n"/>
      <c r="E1112" s="63" t="n"/>
      <c r="F1112" s="60" t="n"/>
      <c r="G1112" s="60" t="n"/>
      <c r="H1112" s="71">
        <f>IF(OR($C1112="",$D1112=""),"",IF(ISNUMBER($E1112),$E1112,IF($O1112="","",IF(N(INDEX('Menu Pricing'!$O$7:$O$56,$O1112))&gt;0,INDEX('Menu Pricing'!$O$7:$O$56,$O1112),""))))</f>
        <v/>
      </c>
      <c r="I1112" s="71">
        <f>IF($N1112&lt;&gt;"OK","",$D1112*$H1112)</f>
        <v/>
      </c>
      <c r="J1112" s="71">
        <f>IF($N1112&lt;&gt;"OK","",N(INDEX('Menu Pricing'!$F$7:$F$56,$O1112))+N(INDEX('Menu Pricing'!$G$7:$G$56,$O1112))+N(INDEX('Menu Pricing'!$J$7:$J$56,$O1112)))</f>
        <v/>
      </c>
      <c r="K1112" s="71">
        <f>IF($N1112&lt;&gt;"OK","",$D1112*$J1112)</f>
        <v/>
      </c>
      <c r="L1112" s="71">
        <f>IF($N1112&lt;&gt;"OK","",$I1112-$K1112)</f>
        <v/>
      </c>
      <c r="M1112" s="71">
        <f>IF($N1112&lt;&gt;"OK","",$D1112*N(INDEX('Menu Pricing'!$F$7:$F$56,$O1112)))</f>
        <v/>
      </c>
      <c r="N1112" s="80">
        <f>IF(AND($B1112="",$C1112="",$D1112=""),"",IF(NOT(ISNUMBER($B1112)),"Enter a valid date",IF($C1112="","Pick a menu item",IF($O1112="","Item not on Menu Pricing",IF(N($D1112)&lt;=0,"Qty must be above 0",IF($H1112="","No price on menu","OK"))))))</f>
        <v/>
      </c>
      <c r="O1112" s="13">
        <f>IF($C1112="","",IFERROR(MATCH($C1112,'Menu Pricing'!$B$7:$B$56,0),""))</f>
        <v/>
      </c>
    </row>
    <row r="1113" ht="17" customHeight="1">
      <c r="B1113" s="66" t="n"/>
      <c r="C1113" s="60" t="n"/>
      <c r="D1113" s="86" t="n"/>
      <c r="E1113" s="63" t="n"/>
      <c r="F1113" s="60" t="n"/>
      <c r="G1113" s="60" t="n"/>
      <c r="H1113" s="71">
        <f>IF(OR($C1113="",$D1113=""),"",IF(ISNUMBER($E1113),$E1113,IF($O1113="","",IF(N(INDEX('Menu Pricing'!$O$7:$O$56,$O1113))&gt;0,INDEX('Menu Pricing'!$O$7:$O$56,$O1113),""))))</f>
        <v/>
      </c>
      <c r="I1113" s="71">
        <f>IF($N1113&lt;&gt;"OK","",$D1113*$H1113)</f>
        <v/>
      </c>
      <c r="J1113" s="71">
        <f>IF($N1113&lt;&gt;"OK","",N(INDEX('Menu Pricing'!$F$7:$F$56,$O1113))+N(INDEX('Menu Pricing'!$G$7:$G$56,$O1113))+N(INDEX('Menu Pricing'!$J$7:$J$56,$O1113)))</f>
        <v/>
      </c>
      <c r="K1113" s="71">
        <f>IF($N1113&lt;&gt;"OK","",$D1113*$J1113)</f>
        <v/>
      </c>
      <c r="L1113" s="71">
        <f>IF($N1113&lt;&gt;"OK","",$I1113-$K1113)</f>
        <v/>
      </c>
      <c r="M1113" s="71">
        <f>IF($N1113&lt;&gt;"OK","",$D1113*N(INDEX('Menu Pricing'!$F$7:$F$56,$O1113)))</f>
        <v/>
      </c>
      <c r="N1113" s="80">
        <f>IF(AND($B1113="",$C1113="",$D1113=""),"",IF(NOT(ISNUMBER($B1113)),"Enter a valid date",IF($C1113="","Pick a menu item",IF($O1113="","Item not on Menu Pricing",IF(N($D1113)&lt;=0,"Qty must be above 0",IF($H1113="","No price on menu","OK"))))))</f>
        <v/>
      </c>
      <c r="O1113" s="13">
        <f>IF($C1113="","",IFERROR(MATCH($C1113,'Menu Pricing'!$B$7:$B$56,0),""))</f>
        <v/>
      </c>
    </row>
    <row r="1114" ht="17" customHeight="1">
      <c r="B1114" s="66" t="n"/>
      <c r="C1114" s="60" t="n"/>
      <c r="D1114" s="86" t="n"/>
      <c r="E1114" s="63" t="n"/>
      <c r="F1114" s="60" t="n"/>
      <c r="G1114" s="60" t="n"/>
      <c r="H1114" s="71">
        <f>IF(OR($C1114="",$D1114=""),"",IF(ISNUMBER($E1114),$E1114,IF($O1114="","",IF(N(INDEX('Menu Pricing'!$O$7:$O$56,$O1114))&gt;0,INDEX('Menu Pricing'!$O$7:$O$56,$O1114),""))))</f>
        <v/>
      </c>
      <c r="I1114" s="71">
        <f>IF($N1114&lt;&gt;"OK","",$D1114*$H1114)</f>
        <v/>
      </c>
      <c r="J1114" s="71">
        <f>IF($N1114&lt;&gt;"OK","",N(INDEX('Menu Pricing'!$F$7:$F$56,$O1114))+N(INDEX('Menu Pricing'!$G$7:$G$56,$O1114))+N(INDEX('Menu Pricing'!$J$7:$J$56,$O1114)))</f>
        <v/>
      </c>
      <c r="K1114" s="71">
        <f>IF($N1114&lt;&gt;"OK","",$D1114*$J1114)</f>
        <v/>
      </c>
      <c r="L1114" s="71">
        <f>IF($N1114&lt;&gt;"OK","",$I1114-$K1114)</f>
        <v/>
      </c>
      <c r="M1114" s="71">
        <f>IF($N1114&lt;&gt;"OK","",$D1114*N(INDEX('Menu Pricing'!$F$7:$F$56,$O1114)))</f>
        <v/>
      </c>
      <c r="N1114" s="80">
        <f>IF(AND($B1114="",$C1114="",$D1114=""),"",IF(NOT(ISNUMBER($B1114)),"Enter a valid date",IF($C1114="","Pick a menu item",IF($O1114="","Item not on Menu Pricing",IF(N($D1114)&lt;=0,"Qty must be above 0",IF($H1114="","No price on menu","OK"))))))</f>
        <v/>
      </c>
      <c r="O1114" s="13">
        <f>IF($C1114="","",IFERROR(MATCH($C1114,'Menu Pricing'!$B$7:$B$56,0),""))</f>
        <v/>
      </c>
    </row>
    <row r="1115" ht="17" customHeight="1">
      <c r="B1115" s="66" t="n"/>
      <c r="C1115" s="60" t="n"/>
      <c r="D1115" s="86" t="n"/>
      <c r="E1115" s="63" t="n"/>
      <c r="F1115" s="60" t="n"/>
      <c r="G1115" s="60" t="n"/>
      <c r="H1115" s="71">
        <f>IF(OR($C1115="",$D1115=""),"",IF(ISNUMBER($E1115),$E1115,IF($O1115="","",IF(N(INDEX('Menu Pricing'!$O$7:$O$56,$O1115))&gt;0,INDEX('Menu Pricing'!$O$7:$O$56,$O1115),""))))</f>
        <v/>
      </c>
      <c r="I1115" s="71">
        <f>IF($N1115&lt;&gt;"OK","",$D1115*$H1115)</f>
        <v/>
      </c>
      <c r="J1115" s="71">
        <f>IF($N1115&lt;&gt;"OK","",N(INDEX('Menu Pricing'!$F$7:$F$56,$O1115))+N(INDEX('Menu Pricing'!$G$7:$G$56,$O1115))+N(INDEX('Menu Pricing'!$J$7:$J$56,$O1115)))</f>
        <v/>
      </c>
      <c r="K1115" s="71">
        <f>IF($N1115&lt;&gt;"OK","",$D1115*$J1115)</f>
        <v/>
      </c>
      <c r="L1115" s="71">
        <f>IF($N1115&lt;&gt;"OK","",$I1115-$K1115)</f>
        <v/>
      </c>
      <c r="M1115" s="71">
        <f>IF($N1115&lt;&gt;"OK","",$D1115*N(INDEX('Menu Pricing'!$F$7:$F$56,$O1115)))</f>
        <v/>
      </c>
      <c r="N1115" s="80">
        <f>IF(AND($B1115="",$C1115="",$D1115=""),"",IF(NOT(ISNUMBER($B1115)),"Enter a valid date",IF($C1115="","Pick a menu item",IF($O1115="","Item not on Menu Pricing",IF(N($D1115)&lt;=0,"Qty must be above 0",IF($H1115="","No price on menu","OK"))))))</f>
        <v/>
      </c>
      <c r="O1115" s="13">
        <f>IF($C1115="","",IFERROR(MATCH($C1115,'Menu Pricing'!$B$7:$B$56,0),""))</f>
        <v/>
      </c>
    </row>
    <row r="1116" ht="17" customHeight="1">
      <c r="B1116" s="66" t="n"/>
      <c r="C1116" s="60" t="n"/>
      <c r="D1116" s="86" t="n"/>
      <c r="E1116" s="63" t="n"/>
      <c r="F1116" s="60" t="n"/>
      <c r="G1116" s="60" t="n"/>
      <c r="H1116" s="71">
        <f>IF(OR($C1116="",$D1116=""),"",IF(ISNUMBER($E1116),$E1116,IF($O1116="","",IF(N(INDEX('Menu Pricing'!$O$7:$O$56,$O1116))&gt;0,INDEX('Menu Pricing'!$O$7:$O$56,$O1116),""))))</f>
        <v/>
      </c>
      <c r="I1116" s="71">
        <f>IF($N1116&lt;&gt;"OK","",$D1116*$H1116)</f>
        <v/>
      </c>
      <c r="J1116" s="71">
        <f>IF($N1116&lt;&gt;"OK","",N(INDEX('Menu Pricing'!$F$7:$F$56,$O1116))+N(INDEX('Menu Pricing'!$G$7:$G$56,$O1116))+N(INDEX('Menu Pricing'!$J$7:$J$56,$O1116)))</f>
        <v/>
      </c>
      <c r="K1116" s="71">
        <f>IF($N1116&lt;&gt;"OK","",$D1116*$J1116)</f>
        <v/>
      </c>
      <c r="L1116" s="71">
        <f>IF($N1116&lt;&gt;"OK","",$I1116-$K1116)</f>
        <v/>
      </c>
      <c r="M1116" s="71">
        <f>IF($N1116&lt;&gt;"OK","",$D1116*N(INDEX('Menu Pricing'!$F$7:$F$56,$O1116)))</f>
        <v/>
      </c>
      <c r="N1116" s="80">
        <f>IF(AND($B1116="",$C1116="",$D1116=""),"",IF(NOT(ISNUMBER($B1116)),"Enter a valid date",IF($C1116="","Pick a menu item",IF($O1116="","Item not on Menu Pricing",IF(N($D1116)&lt;=0,"Qty must be above 0",IF($H1116="","No price on menu","OK"))))))</f>
        <v/>
      </c>
      <c r="O1116" s="13">
        <f>IF($C1116="","",IFERROR(MATCH($C1116,'Menu Pricing'!$B$7:$B$56,0),""))</f>
        <v/>
      </c>
    </row>
    <row r="1117" ht="17" customHeight="1">
      <c r="B1117" s="66" t="n"/>
      <c r="C1117" s="60" t="n"/>
      <c r="D1117" s="86" t="n"/>
      <c r="E1117" s="63" t="n"/>
      <c r="F1117" s="60" t="n"/>
      <c r="G1117" s="60" t="n"/>
      <c r="H1117" s="71">
        <f>IF(OR($C1117="",$D1117=""),"",IF(ISNUMBER($E1117),$E1117,IF($O1117="","",IF(N(INDEX('Menu Pricing'!$O$7:$O$56,$O1117))&gt;0,INDEX('Menu Pricing'!$O$7:$O$56,$O1117),""))))</f>
        <v/>
      </c>
      <c r="I1117" s="71">
        <f>IF($N1117&lt;&gt;"OK","",$D1117*$H1117)</f>
        <v/>
      </c>
      <c r="J1117" s="71">
        <f>IF($N1117&lt;&gt;"OK","",N(INDEX('Menu Pricing'!$F$7:$F$56,$O1117))+N(INDEX('Menu Pricing'!$G$7:$G$56,$O1117))+N(INDEX('Menu Pricing'!$J$7:$J$56,$O1117)))</f>
        <v/>
      </c>
      <c r="K1117" s="71">
        <f>IF($N1117&lt;&gt;"OK","",$D1117*$J1117)</f>
        <v/>
      </c>
      <c r="L1117" s="71">
        <f>IF($N1117&lt;&gt;"OK","",$I1117-$K1117)</f>
        <v/>
      </c>
      <c r="M1117" s="71">
        <f>IF($N1117&lt;&gt;"OK","",$D1117*N(INDEX('Menu Pricing'!$F$7:$F$56,$O1117)))</f>
        <v/>
      </c>
      <c r="N1117" s="80">
        <f>IF(AND($B1117="",$C1117="",$D1117=""),"",IF(NOT(ISNUMBER($B1117)),"Enter a valid date",IF($C1117="","Pick a menu item",IF($O1117="","Item not on Menu Pricing",IF(N($D1117)&lt;=0,"Qty must be above 0",IF($H1117="","No price on menu","OK"))))))</f>
        <v/>
      </c>
      <c r="O1117" s="13">
        <f>IF($C1117="","",IFERROR(MATCH($C1117,'Menu Pricing'!$B$7:$B$56,0),""))</f>
        <v/>
      </c>
    </row>
    <row r="1118" ht="17" customHeight="1">
      <c r="B1118" s="66" t="n"/>
      <c r="C1118" s="60" t="n"/>
      <c r="D1118" s="86" t="n"/>
      <c r="E1118" s="63" t="n"/>
      <c r="F1118" s="60" t="n"/>
      <c r="G1118" s="60" t="n"/>
      <c r="H1118" s="71">
        <f>IF(OR($C1118="",$D1118=""),"",IF(ISNUMBER($E1118),$E1118,IF($O1118="","",IF(N(INDEX('Menu Pricing'!$O$7:$O$56,$O1118))&gt;0,INDEX('Menu Pricing'!$O$7:$O$56,$O1118),""))))</f>
        <v/>
      </c>
      <c r="I1118" s="71">
        <f>IF($N1118&lt;&gt;"OK","",$D1118*$H1118)</f>
        <v/>
      </c>
      <c r="J1118" s="71">
        <f>IF($N1118&lt;&gt;"OK","",N(INDEX('Menu Pricing'!$F$7:$F$56,$O1118))+N(INDEX('Menu Pricing'!$G$7:$G$56,$O1118))+N(INDEX('Menu Pricing'!$J$7:$J$56,$O1118)))</f>
        <v/>
      </c>
      <c r="K1118" s="71">
        <f>IF($N1118&lt;&gt;"OK","",$D1118*$J1118)</f>
        <v/>
      </c>
      <c r="L1118" s="71">
        <f>IF($N1118&lt;&gt;"OK","",$I1118-$K1118)</f>
        <v/>
      </c>
      <c r="M1118" s="71">
        <f>IF($N1118&lt;&gt;"OK","",$D1118*N(INDEX('Menu Pricing'!$F$7:$F$56,$O1118)))</f>
        <v/>
      </c>
      <c r="N1118" s="80">
        <f>IF(AND($B1118="",$C1118="",$D1118=""),"",IF(NOT(ISNUMBER($B1118)),"Enter a valid date",IF($C1118="","Pick a menu item",IF($O1118="","Item not on Menu Pricing",IF(N($D1118)&lt;=0,"Qty must be above 0",IF($H1118="","No price on menu","OK"))))))</f>
        <v/>
      </c>
      <c r="O1118" s="13">
        <f>IF($C1118="","",IFERROR(MATCH($C1118,'Menu Pricing'!$B$7:$B$56,0),""))</f>
        <v/>
      </c>
    </row>
    <row r="1119" ht="17" customHeight="1">
      <c r="B1119" s="66" t="n"/>
      <c r="C1119" s="60" t="n"/>
      <c r="D1119" s="86" t="n"/>
      <c r="E1119" s="63" t="n"/>
      <c r="F1119" s="60" t="n"/>
      <c r="G1119" s="60" t="n"/>
      <c r="H1119" s="71">
        <f>IF(OR($C1119="",$D1119=""),"",IF(ISNUMBER($E1119),$E1119,IF($O1119="","",IF(N(INDEX('Menu Pricing'!$O$7:$O$56,$O1119))&gt;0,INDEX('Menu Pricing'!$O$7:$O$56,$O1119),""))))</f>
        <v/>
      </c>
      <c r="I1119" s="71">
        <f>IF($N1119&lt;&gt;"OK","",$D1119*$H1119)</f>
        <v/>
      </c>
      <c r="J1119" s="71">
        <f>IF($N1119&lt;&gt;"OK","",N(INDEX('Menu Pricing'!$F$7:$F$56,$O1119))+N(INDEX('Menu Pricing'!$G$7:$G$56,$O1119))+N(INDEX('Menu Pricing'!$J$7:$J$56,$O1119)))</f>
        <v/>
      </c>
      <c r="K1119" s="71">
        <f>IF($N1119&lt;&gt;"OK","",$D1119*$J1119)</f>
        <v/>
      </c>
      <c r="L1119" s="71">
        <f>IF($N1119&lt;&gt;"OK","",$I1119-$K1119)</f>
        <v/>
      </c>
      <c r="M1119" s="71">
        <f>IF($N1119&lt;&gt;"OK","",$D1119*N(INDEX('Menu Pricing'!$F$7:$F$56,$O1119)))</f>
        <v/>
      </c>
      <c r="N1119" s="80">
        <f>IF(AND($B1119="",$C1119="",$D1119=""),"",IF(NOT(ISNUMBER($B1119)),"Enter a valid date",IF($C1119="","Pick a menu item",IF($O1119="","Item not on Menu Pricing",IF(N($D1119)&lt;=0,"Qty must be above 0",IF($H1119="","No price on menu","OK"))))))</f>
        <v/>
      </c>
      <c r="O1119" s="13">
        <f>IF($C1119="","",IFERROR(MATCH($C1119,'Menu Pricing'!$B$7:$B$56,0),""))</f>
        <v/>
      </c>
    </row>
    <row r="1120" ht="17" customHeight="1">
      <c r="B1120" s="66" t="n"/>
      <c r="C1120" s="60" t="n"/>
      <c r="D1120" s="86" t="n"/>
      <c r="E1120" s="63" t="n"/>
      <c r="F1120" s="60" t="n"/>
      <c r="G1120" s="60" t="n"/>
      <c r="H1120" s="71">
        <f>IF(OR($C1120="",$D1120=""),"",IF(ISNUMBER($E1120),$E1120,IF($O1120="","",IF(N(INDEX('Menu Pricing'!$O$7:$O$56,$O1120))&gt;0,INDEX('Menu Pricing'!$O$7:$O$56,$O1120),""))))</f>
        <v/>
      </c>
      <c r="I1120" s="71">
        <f>IF($N1120&lt;&gt;"OK","",$D1120*$H1120)</f>
        <v/>
      </c>
      <c r="J1120" s="71">
        <f>IF($N1120&lt;&gt;"OK","",N(INDEX('Menu Pricing'!$F$7:$F$56,$O1120))+N(INDEX('Menu Pricing'!$G$7:$G$56,$O1120))+N(INDEX('Menu Pricing'!$J$7:$J$56,$O1120)))</f>
        <v/>
      </c>
      <c r="K1120" s="71">
        <f>IF($N1120&lt;&gt;"OK","",$D1120*$J1120)</f>
        <v/>
      </c>
      <c r="L1120" s="71">
        <f>IF($N1120&lt;&gt;"OK","",$I1120-$K1120)</f>
        <v/>
      </c>
      <c r="M1120" s="71">
        <f>IF($N1120&lt;&gt;"OK","",$D1120*N(INDEX('Menu Pricing'!$F$7:$F$56,$O1120)))</f>
        <v/>
      </c>
      <c r="N1120" s="80">
        <f>IF(AND($B1120="",$C1120="",$D1120=""),"",IF(NOT(ISNUMBER($B1120)),"Enter a valid date",IF($C1120="","Pick a menu item",IF($O1120="","Item not on Menu Pricing",IF(N($D1120)&lt;=0,"Qty must be above 0",IF($H1120="","No price on menu","OK"))))))</f>
        <v/>
      </c>
      <c r="O1120" s="13">
        <f>IF($C1120="","",IFERROR(MATCH($C1120,'Menu Pricing'!$B$7:$B$56,0),""))</f>
        <v/>
      </c>
    </row>
    <row r="1121" ht="17" customHeight="1">
      <c r="B1121" s="66" t="n"/>
      <c r="C1121" s="60" t="n"/>
      <c r="D1121" s="86" t="n"/>
      <c r="E1121" s="63" t="n"/>
      <c r="F1121" s="60" t="n"/>
      <c r="G1121" s="60" t="n"/>
      <c r="H1121" s="71">
        <f>IF(OR($C1121="",$D1121=""),"",IF(ISNUMBER($E1121),$E1121,IF($O1121="","",IF(N(INDEX('Menu Pricing'!$O$7:$O$56,$O1121))&gt;0,INDEX('Menu Pricing'!$O$7:$O$56,$O1121),""))))</f>
        <v/>
      </c>
      <c r="I1121" s="71">
        <f>IF($N1121&lt;&gt;"OK","",$D1121*$H1121)</f>
        <v/>
      </c>
      <c r="J1121" s="71">
        <f>IF($N1121&lt;&gt;"OK","",N(INDEX('Menu Pricing'!$F$7:$F$56,$O1121))+N(INDEX('Menu Pricing'!$G$7:$G$56,$O1121))+N(INDEX('Menu Pricing'!$J$7:$J$56,$O1121)))</f>
        <v/>
      </c>
      <c r="K1121" s="71">
        <f>IF($N1121&lt;&gt;"OK","",$D1121*$J1121)</f>
        <v/>
      </c>
      <c r="L1121" s="71">
        <f>IF($N1121&lt;&gt;"OK","",$I1121-$K1121)</f>
        <v/>
      </c>
      <c r="M1121" s="71">
        <f>IF($N1121&lt;&gt;"OK","",$D1121*N(INDEX('Menu Pricing'!$F$7:$F$56,$O1121)))</f>
        <v/>
      </c>
      <c r="N1121" s="80">
        <f>IF(AND($B1121="",$C1121="",$D1121=""),"",IF(NOT(ISNUMBER($B1121)),"Enter a valid date",IF($C1121="","Pick a menu item",IF($O1121="","Item not on Menu Pricing",IF(N($D1121)&lt;=0,"Qty must be above 0",IF($H1121="","No price on menu","OK"))))))</f>
        <v/>
      </c>
      <c r="O1121" s="13">
        <f>IF($C1121="","",IFERROR(MATCH($C1121,'Menu Pricing'!$B$7:$B$56,0),""))</f>
        <v/>
      </c>
    </row>
    <row r="1122" ht="17" customHeight="1">
      <c r="B1122" s="66" t="n"/>
      <c r="C1122" s="60" t="n"/>
      <c r="D1122" s="86" t="n"/>
      <c r="E1122" s="63" t="n"/>
      <c r="F1122" s="60" t="n"/>
      <c r="G1122" s="60" t="n"/>
      <c r="H1122" s="71">
        <f>IF(OR($C1122="",$D1122=""),"",IF(ISNUMBER($E1122),$E1122,IF($O1122="","",IF(N(INDEX('Menu Pricing'!$O$7:$O$56,$O1122))&gt;0,INDEX('Menu Pricing'!$O$7:$O$56,$O1122),""))))</f>
        <v/>
      </c>
      <c r="I1122" s="71">
        <f>IF($N1122&lt;&gt;"OK","",$D1122*$H1122)</f>
        <v/>
      </c>
      <c r="J1122" s="71">
        <f>IF($N1122&lt;&gt;"OK","",N(INDEX('Menu Pricing'!$F$7:$F$56,$O1122))+N(INDEX('Menu Pricing'!$G$7:$G$56,$O1122))+N(INDEX('Menu Pricing'!$J$7:$J$56,$O1122)))</f>
        <v/>
      </c>
      <c r="K1122" s="71">
        <f>IF($N1122&lt;&gt;"OK","",$D1122*$J1122)</f>
        <v/>
      </c>
      <c r="L1122" s="71">
        <f>IF($N1122&lt;&gt;"OK","",$I1122-$K1122)</f>
        <v/>
      </c>
      <c r="M1122" s="71">
        <f>IF($N1122&lt;&gt;"OK","",$D1122*N(INDEX('Menu Pricing'!$F$7:$F$56,$O1122)))</f>
        <v/>
      </c>
      <c r="N1122" s="80">
        <f>IF(AND($B1122="",$C1122="",$D1122=""),"",IF(NOT(ISNUMBER($B1122)),"Enter a valid date",IF($C1122="","Pick a menu item",IF($O1122="","Item not on Menu Pricing",IF(N($D1122)&lt;=0,"Qty must be above 0",IF($H1122="","No price on menu","OK"))))))</f>
        <v/>
      </c>
      <c r="O1122" s="13">
        <f>IF($C1122="","",IFERROR(MATCH($C1122,'Menu Pricing'!$B$7:$B$56,0),""))</f>
        <v/>
      </c>
    </row>
    <row r="1123" ht="17" customHeight="1">
      <c r="B1123" s="66" t="n"/>
      <c r="C1123" s="60" t="n"/>
      <c r="D1123" s="86" t="n"/>
      <c r="E1123" s="63" t="n"/>
      <c r="F1123" s="60" t="n"/>
      <c r="G1123" s="60" t="n"/>
      <c r="H1123" s="71">
        <f>IF(OR($C1123="",$D1123=""),"",IF(ISNUMBER($E1123),$E1123,IF($O1123="","",IF(N(INDEX('Menu Pricing'!$O$7:$O$56,$O1123))&gt;0,INDEX('Menu Pricing'!$O$7:$O$56,$O1123),""))))</f>
        <v/>
      </c>
      <c r="I1123" s="71">
        <f>IF($N1123&lt;&gt;"OK","",$D1123*$H1123)</f>
        <v/>
      </c>
      <c r="J1123" s="71">
        <f>IF($N1123&lt;&gt;"OK","",N(INDEX('Menu Pricing'!$F$7:$F$56,$O1123))+N(INDEX('Menu Pricing'!$G$7:$G$56,$O1123))+N(INDEX('Menu Pricing'!$J$7:$J$56,$O1123)))</f>
        <v/>
      </c>
      <c r="K1123" s="71">
        <f>IF($N1123&lt;&gt;"OK","",$D1123*$J1123)</f>
        <v/>
      </c>
      <c r="L1123" s="71">
        <f>IF($N1123&lt;&gt;"OK","",$I1123-$K1123)</f>
        <v/>
      </c>
      <c r="M1123" s="71">
        <f>IF($N1123&lt;&gt;"OK","",$D1123*N(INDEX('Menu Pricing'!$F$7:$F$56,$O1123)))</f>
        <v/>
      </c>
      <c r="N1123" s="80">
        <f>IF(AND($B1123="",$C1123="",$D1123=""),"",IF(NOT(ISNUMBER($B1123)),"Enter a valid date",IF($C1123="","Pick a menu item",IF($O1123="","Item not on Menu Pricing",IF(N($D1123)&lt;=0,"Qty must be above 0",IF($H1123="","No price on menu","OK"))))))</f>
        <v/>
      </c>
      <c r="O1123" s="13">
        <f>IF($C1123="","",IFERROR(MATCH($C1123,'Menu Pricing'!$B$7:$B$56,0),""))</f>
        <v/>
      </c>
    </row>
    <row r="1124" ht="17" customHeight="1">
      <c r="B1124" s="66" t="n"/>
      <c r="C1124" s="60" t="n"/>
      <c r="D1124" s="86" t="n"/>
      <c r="E1124" s="63" t="n"/>
      <c r="F1124" s="60" t="n"/>
      <c r="G1124" s="60" t="n"/>
      <c r="H1124" s="71">
        <f>IF(OR($C1124="",$D1124=""),"",IF(ISNUMBER($E1124),$E1124,IF($O1124="","",IF(N(INDEX('Menu Pricing'!$O$7:$O$56,$O1124))&gt;0,INDEX('Menu Pricing'!$O$7:$O$56,$O1124),""))))</f>
        <v/>
      </c>
      <c r="I1124" s="71">
        <f>IF($N1124&lt;&gt;"OK","",$D1124*$H1124)</f>
        <v/>
      </c>
      <c r="J1124" s="71">
        <f>IF($N1124&lt;&gt;"OK","",N(INDEX('Menu Pricing'!$F$7:$F$56,$O1124))+N(INDEX('Menu Pricing'!$G$7:$G$56,$O1124))+N(INDEX('Menu Pricing'!$J$7:$J$56,$O1124)))</f>
        <v/>
      </c>
      <c r="K1124" s="71">
        <f>IF($N1124&lt;&gt;"OK","",$D1124*$J1124)</f>
        <v/>
      </c>
      <c r="L1124" s="71">
        <f>IF($N1124&lt;&gt;"OK","",$I1124-$K1124)</f>
        <v/>
      </c>
      <c r="M1124" s="71">
        <f>IF($N1124&lt;&gt;"OK","",$D1124*N(INDEX('Menu Pricing'!$F$7:$F$56,$O1124)))</f>
        <v/>
      </c>
      <c r="N1124" s="80">
        <f>IF(AND($B1124="",$C1124="",$D1124=""),"",IF(NOT(ISNUMBER($B1124)),"Enter a valid date",IF($C1124="","Pick a menu item",IF($O1124="","Item not on Menu Pricing",IF(N($D1124)&lt;=0,"Qty must be above 0",IF($H1124="","No price on menu","OK"))))))</f>
        <v/>
      </c>
      <c r="O1124" s="13">
        <f>IF($C1124="","",IFERROR(MATCH($C1124,'Menu Pricing'!$B$7:$B$56,0),""))</f>
        <v/>
      </c>
    </row>
    <row r="1125" ht="17" customHeight="1">
      <c r="B1125" s="66" t="n"/>
      <c r="C1125" s="60" t="n"/>
      <c r="D1125" s="86" t="n"/>
      <c r="E1125" s="63" t="n"/>
      <c r="F1125" s="60" t="n"/>
      <c r="G1125" s="60" t="n"/>
      <c r="H1125" s="71">
        <f>IF(OR($C1125="",$D1125=""),"",IF(ISNUMBER($E1125),$E1125,IF($O1125="","",IF(N(INDEX('Menu Pricing'!$O$7:$O$56,$O1125))&gt;0,INDEX('Menu Pricing'!$O$7:$O$56,$O1125),""))))</f>
        <v/>
      </c>
      <c r="I1125" s="71">
        <f>IF($N1125&lt;&gt;"OK","",$D1125*$H1125)</f>
        <v/>
      </c>
      <c r="J1125" s="71">
        <f>IF($N1125&lt;&gt;"OK","",N(INDEX('Menu Pricing'!$F$7:$F$56,$O1125))+N(INDEX('Menu Pricing'!$G$7:$G$56,$O1125))+N(INDEX('Menu Pricing'!$J$7:$J$56,$O1125)))</f>
        <v/>
      </c>
      <c r="K1125" s="71">
        <f>IF($N1125&lt;&gt;"OK","",$D1125*$J1125)</f>
        <v/>
      </c>
      <c r="L1125" s="71">
        <f>IF($N1125&lt;&gt;"OK","",$I1125-$K1125)</f>
        <v/>
      </c>
      <c r="M1125" s="71">
        <f>IF($N1125&lt;&gt;"OK","",$D1125*N(INDEX('Menu Pricing'!$F$7:$F$56,$O1125)))</f>
        <v/>
      </c>
      <c r="N1125" s="80">
        <f>IF(AND($B1125="",$C1125="",$D1125=""),"",IF(NOT(ISNUMBER($B1125)),"Enter a valid date",IF($C1125="","Pick a menu item",IF($O1125="","Item not on Menu Pricing",IF(N($D1125)&lt;=0,"Qty must be above 0",IF($H1125="","No price on menu","OK"))))))</f>
        <v/>
      </c>
      <c r="O1125" s="13">
        <f>IF($C1125="","",IFERROR(MATCH($C1125,'Menu Pricing'!$B$7:$B$56,0),""))</f>
        <v/>
      </c>
    </row>
    <row r="1126" ht="17" customHeight="1">
      <c r="B1126" s="66" t="n"/>
      <c r="C1126" s="60" t="n"/>
      <c r="D1126" s="86" t="n"/>
      <c r="E1126" s="63" t="n"/>
      <c r="F1126" s="60" t="n"/>
      <c r="G1126" s="60" t="n"/>
      <c r="H1126" s="71">
        <f>IF(OR($C1126="",$D1126=""),"",IF(ISNUMBER($E1126),$E1126,IF($O1126="","",IF(N(INDEX('Menu Pricing'!$O$7:$O$56,$O1126))&gt;0,INDEX('Menu Pricing'!$O$7:$O$56,$O1126),""))))</f>
        <v/>
      </c>
      <c r="I1126" s="71">
        <f>IF($N1126&lt;&gt;"OK","",$D1126*$H1126)</f>
        <v/>
      </c>
      <c r="J1126" s="71">
        <f>IF($N1126&lt;&gt;"OK","",N(INDEX('Menu Pricing'!$F$7:$F$56,$O1126))+N(INDEX('Menu Pricing'!$G$7:$G$56,$O1126))+N(INDEX('Menu Pricing'!$J$7:$J$56,$O1126)))</f>
        <v/>
      </c>
      <c r="K1126" s="71">
        <f>IF($N1126&lt;&gt;"OK","",$D1126*$J1126)</f>
        <v/>
      </c>
      <c r="L1126" s="71">
        <f>IF($N1126&lt;&gt;"OK","",$I1126-$K1126)</f>
        <v/>
      </c>
      <c r="M1126" s="71">
        <f>IF($N1126&lt;&gt;"OK","",$D1126*N(INDEX('Menu Pricing'!$F$7:$F$56,$O1126)))</f>
        <v/>
      </c>
      <c r="N1126" s="80">
        <f>IF(AND($B1126="",$C1126="",$D1126=""),"",IF(NOT(ISNUMBER($B1126)),"Enter a valid date",IF($C1126="","Pick a menu item",IF($O1126="","Item not on Menu Pricing",IF(N($D1126)&lt;=0,"Qty must be above 0",IF($H1126="","No price on menu","OK"))))))</f>
        <v/>
      </c>
      <c r="O1126" s="13">
        <f>IF($C1126="","",IFERROR(MATCH($C1126,'Menu Pricing'!$B$7:$B$56,0),""))</f>
        <v/>
      </c>
    </row>
    <row r="1127" ht="17" customHeight="1">
      <c r="B1127" s="66" t="n"/>
      <c r="C1127" s="60" t="n"/>
      <c r="D1127" s="86" t="n"/>
      <c r="E1127" s="63" t="n"/>
      <c r="F1127" s="60" t="n"/>
      <c r="G1127" s="60" t="n"/>
      <c r="H1127" s="71">
        <f>IF(OR($C1127="",$D1127=""),"",IF(ISNUMBER($E1127),$E1127,IF($O1127="","",IF(N(INDEX('Menu Pricing'!$O$7:$O$56,$O1127))&gt;0,INDEX('Menu Pricing'!$O$7:$O$56,$O1127),""))))</f>
        <v/>
      </c>
      <c r="I1127" s="71">
        <f>IF($N1127&lt;&gt;"OK","",$D1127*$H1127)</f>
        <v/>
      </c>
      <c r="J1127" s="71">
        <f>IF($N1127&lt;&gt;"OK","",N(INDEX('Menu Pricing'!$F$7:$F$56,$O1127))+N(INDEX('Menu Pricing'!$G$7:$G$56,$O1127))+N(INDEX('Menu Pricing'!$J$7:$J$56,$O1127)))</f>
        <v/>
      </c>
      <c r="K1127" s="71">
        <f>IF($N1127&lt;&gt;"OK","",$D1127*$J1127)</f>
        <v/>
      </c>
      <c r="L1127" s="71">
        <f>IF($N1127&lt;&gt;"OK","",$I1127-$K1127)</f>
        <v/>
      </c>
      <c r="M1127" s="71">
        <f>IF($N1127&lt;&gt;"OK","",$D1127*N(INDEX('Menu Pricing'!$F$7:$F$56,$O1127)))</f>
        <v/>
      </c>
      <c r="N1127" s="80">
        <f>IF(AND($B1127="",$C1127="",$D1127=""),"",IF(NOT(ISNUMBER($B1127)),"Enter a valid date",IF($C1127="","Pick a menu item",IF($O1127="","Item not on Menu Pricing",IF(N($D1127)&lt;=0,"Qty must be above 0",IF($H1127="","No price on menu","OK"))))))</f>
        <v/>
      </c>
      <c r="O1127" s="13">
        <f>IF($C1127="","",IFERROR(MATCH($C1127,'Menu Pricing'!$B$7:$B$56,0),""))</f>
        <v/>
      </c>
    </row>
    <row r="1128" ht="17" customHeight="1">
      <c r="B1128" s="66" t="n"/>
      <c r="C1128" s="60" t="n"/>
      <c r="D1128" s="86" t="n"/>
      <c r="E1128" s="63" t="n"/>
      <c r="F1128" s="60" t="n"/>
      <c r="G1128" s="60" t="n"/>
      <c r="H1128" s="71">
        <f>IF(OR($C1128="",$D1128=""),"",IF(ISNUMBER($E1128),$E1128,IF($O1128="","",IF(N(INDEX('Menu Pricing'!$O$7:$O$56,$O1128))&gt;0,INDEX('Menu Pricing'!$O$7:$O$56,$O1128),""))))</f>
        <v/>
      </c>
      <c r="I1128" s="71">
        <f>IF($N1128&lt;&gt;"OK","",$D1128*$H1128)</f>
        <v/>
      </c>
      <c r="J1128" s="71">
        <f>IF($N1128&lt;&gt;"OK","",N(INDEX('Menu Pricing'!$F$7:$F$56,$O1128))+N(INDEX('Menu Pricing'!$G$7:$G$56,$O1128))+N(INDEX('Menu Pricing'!$J$7:$J$56,$O1128)))</f>
        <v/>
      </c>
      <c r="K1128" s="71">
        <f>IF($N1128&lt;&gt;"OK","",$D1128*$J1128)</f>
        <v/>
      </c>
      <c r="L1128" s="71">
        <f>IF($N1128&lt;&gt;"OK","",$I1128-$K1128)</f>
        <v/>
      </c>
      <c r="M1128" s="71">
        <f>IF($N1128&lt;&gt;"OK","",$D1128*N(INDEX('Menu Pricing'!$F$7:$F$56,$O1128)))</f>
        <v/>
      </c>
      <c r="N1128" s="80">
        <f>IF(AND($B1128="",$C1128="",$D1128=""),"",IF(NOT(ISNUMBER($B1128)),"Enter a valid date",IF($C1128="","Pick a menu item",IF($O1128="","Item not on Menu Pricing",IF(N($D1128)&lt;=0,"Qty must be above 0",IF($H1128="","No price on menu","OK"))))))</f>
        <v/>
      </c>
      <c r="O1128" s="13">
        <f>IF($C1128="","",IFERROR(MATCH($C1128,'Menu Pricing'!$B$7:$B$56,0),""))</f>
        <v/>
      </c>
    </row>
    <row r="1129" ht="17" customHeight="1">
      <c r="B1129" s="66" t="n"/>
      <c r="C1129" s="60" t="n"/>
      <c r="D1129" s="86" t="n"/>
      <c r="E1129" s="63" t="n"/>
      <c r="F1129" s="60" t="n"/>
      <c r="G1129" s="60" t="n"/>
      <c r="H1129" s="71">
        <f>IF(OR($C1129="",$D1129=""),"",IF(ISNUMBER($E1129),$E1129,IF($O1129="","",IF(N(INDEX('Menu Pricing'!$O$7:$O$56,$O1129))&gt;0,INDEX('Menu Pricing'!$O$7:$O$56,$O1129),""))))</f>
        <v/>
      </c>
      <c r="I1129" s="71">
        <f>IF($N1129&lt;&gt;"OK","",$D1129*$H1129)</f>
        <v/>
      </c>
      <c r="J1129" s="71">
        <f>IF($N1129&lt;&gt;"OK","",N(INDEX('Menu Pricing'!$F$7:$F$56,$O1129))+N(INDEX('Menu Pricing'!$G$7:$G$56,$O1129))+N(INDEX('Menu Pricing'!$J$7:$J$56,$O1129)))</f>
        <v/>
      </c>
      <c r="K1129" s="71">
        <f>IF($N1129&lt;&gt;"OK","",$D1129*$J1129)</f>
        <v/>
      </c>
      <c r="L1129" s="71">
        <f>IF($N1129&lt;&gt;"OK","",$I1129-$K1129)</f>
        <v/>
      </c>
      <c r="M1129" s="71">
        <f>IF($N1129&lt;&gt;"OK","",$D1129*N(INDEX('Menu Pricing'!$F$7:$F$56,$O1129)))</f>
        <v/>
      </c>
      <c r="N1129" s="80">
        <f>IF(AND($B1129="",$C1129="",$D1129=""),"",IF(NOT(ISNUMBER($B1129)),"Enter a valid date",IF($C1129="","Pick a menu item",IF($O1129="","Item not on Menu Pricing",IF(N($D1129)&lt;=0,"Qty must be above 0",IF($H1129="","No price on menu","OK"))))))</f>
        <v/>
      </c>
      <c r="O1129" s="13">
        <f>IF($C1129="","",IFERROR(MATCH($C1129,'Menu Pricing'!$B$7:$B$56,0),""))</f>
        <v/>
      </c>
    </row>
    <row r="1130" ht="17" customHeight="1">
      <c r="B1130" s="66" t="n"/>
      <c r="C1130" s="60" t="n"/>
      <c r="D1130" s="86" t="n"/>
      <c r="E1130" s="63" t="n"/>
      <c r="F1130" s="60" t="n"/>
      <c r="G1130" s="60" t="n"/>
      <c r="H1130" s="71">
        <f>IF(OR($C1130="",$D1130=""),"",IF(ISNUMBER($E1130),$E1130,IF($O1130="","",IF(N(INDEX('Menu Pricing'!$O$7:$O$56,$O1130))&gt;0,INDEX('Menu Pricing'!$O$7:$O$56,$O1130),""))))</f>
        <v/>
      </c>
      <c r="I1130" s="71">
        <f>IF($N1130&lt;&gt;"OK","",$D1130*$H1130)</f>
        <v/>
      </c>
      <c r="J1130" s="71">
        <f>IF($N1130&lt;&gt;"OK","",N(INDEX('Menu Pricing'!$F$7:$F$56,$O1130))+N(INDEX('Menu Pricing'!$G$7:$G$56,$O1130))+N(INDEX('Menu Pricing'!$J$7:$J$56,$O1130)))</f>
        <v/>
      </c>
      <c r="K1130" s="71">
        <f>IF($N1130&lt;&gt;"OK","",$D1130*$J1130)</f>
        <v/>
      </c>
      <c r="L1130" s="71">
        <f>IF($N1130&lt;&gt;"OK","",$I1130-$K1130)</f>
        <v/>
      </c>
      <c r="M1130" s="71">
        <f>IF($N1130&lt;&gt;"OK","",$D1130*N(INDEX('Menu Pricing'!$F$7:$F$56,$O1130)))</f>
        <v/>
      </c>
      <c r="N1130" s="80">
        <f>IF(AND($B1130="",$C1130="",$D1130=""),"",IF(NOT(ISNUMBER($B1130)),"Enter a valid date",IF($C1130="","Pick a menu item",IF($O1130="","Item not on Menu Pricing",IF(N($D1130)&lt;=0,"Qty must be above 0",IF($H1130="","No price on menu","OK"))))))</f>
        <v/>
      </c>
      <c r="O1130" s="13">
        <f>IF($C1130="","",IFERROR(MATCH($C1130,'Menu Pricing'!$B$7:$B$56,0),""))</f>
        <v/>
      </c>
    </row>
    <row r="1131" ht="17" customHeight="1">
      <c r="B1131" s="66" t="n"/>
      <c r="C1131" s="60" t="n"/>
      <c r="D1131" s="86" t="n"/>
      <c r="E1131" s="63" t="n"/>
      <c r="F1131" s="60" t="n"/>
      <c r="G1131" s="60" t="n"/>
      <c r="H1131" s="71">
        <f>IF(OR($C1131="",$D1131=""),"",IF(ISNUMBER($E1131),$E1131,IF($O1131="","",IF(N(INDEX('Menu Pricing'!$O$7:$O$56,$O1131))&gt;0,INDEX('Menu Pricing'!$O$7:$O$56,$O1131),""))))</f>
        <v/>
      </c>
      <c r="I1131" s="71">
        <f>IF($N1131&lt;&gt;"OK","",$D1131*$H1131)</f>
        <v/>
      </c>
      <c r="J1131" s="71">
        <f>IF($N1131&lt;&gt;"OK","",N(INDEX('Menu Pricing'!$F$7:$F$56,$O1131))+N(INDEX('Menu Pricing'!$G$7:$G$56,$O1131))+N(INDEX('Menu Pricing'!$J$7:$J$56,$O1131)))</f>
        <v/>
      </c>
      <c r="K1131" s="71">
        <f>IF($N1131&lt;&gt;"OK","",$D1131*$J1131)</f>
        <v/>
      </c>
      <c r="L1131" s="71">
        <f>IF($N1131&lt;&gt;"OK","",$I1131-$K1131)</f>
        <v/>
      </c>
      <c r="M1131" s="71">
        <f>IF($N1131&lt;&gt;"OK","",$D1131*N(INDEX('Menu Pricing'!$F$7:$F$56,$O1131)))</f>
        <v/>
      </c>
      <c r="N1131" s="80">
        <f>IF(AND($B1131="",$C1131="",$D1131=""),"",IF(NOT(ISNUMBER($B1131)),"Enter a valid date",IF($C1131="","Pick a menu item",IF($O1131="","Item not on Menu Pricing",IF(N($D1131)&lt;=0,"Qty must be above 0",IF($H1131="","No price on menu","OK"))))))</f>
        <v/>
      </c>
      <c r="O1131" s="13">
        <f>IF($C1131="","",IFERROR(MATCH($C1131,'Menu Pricing'!$B$7:$B$56,0),""))</f>
        <v/>
      </c>
    </row>
    <row r="1132" ht="17" customHeight="1">
      <c r="B1132" s="66" t="n"/>
      <c r="C1132" s="60" t="n"/>
      <c r="D1132" s="86" t="n"/>
      <c r="E1132" s="63" t="n"/>
      <c r="F1132" s="60" t="n"/>
      <c r="G1132" s="60" t="n"/>
      <c r="H1132" s="71">
        <f>IF(OR($C1132="",$D1132=""),"",IF(ISNUMBER($E1132),$E1132,IF($O1132="","",IF(N(INDEX('Menu Pricing'!$O$7:$O$56,$O1132))&gt;0,INDEX('Menu Pricing'!$O$7:$O$56,$O1132),""))))</f>
        <v/>
      </c>
      <c r="I1132" s="71">
        <f>IF($N1132&lt;&gt;"OK","",$D1132*$H1132)</f>
        <v/>
      </c>
      <c r="J1132" s="71">
        <f>IF($N1132&lt;&gt;"OK","",N(INDEX('Menu Pricing'!$F$7:$F$56,$O1132))+N(INDEX('Menu Pricing'!$G$7:$G$56,$O1132))+N(INDEX('Menu Pricing'!$J$7:$J$56,$O1132)))</f>
        <v/>
      </c>
      <c r="K1132" s="71">
        <f>IF($N1132&lt;&gt;"OK","",$D1132*$J1132)</f>
        <v/>
      </c>
      <c r="L1132" s="71">
        <f>IF($N1132&lt;&gt;"OK","",$I1132-$K1132)</f>
        <v/>
      </c>
      <c r="M1132" s="71">
        <f>IF($N1132&lt;&gt;"OK","",$D1132*N(INDEX('Menu Pricing'!$F$7:$F$56,$O1132)))</f>
        <v/>
      </c>
      <c r="N1132" s="80">
        <f>IF(AND($B1132="",$C1132="",$D1132=""),"",IF(NOT(ISNUMBER($B1132)),"Enter a valid date",IF($C1132="","Pick a menu item",IF($O1132="","Item not on Menu Pricing",IF(N($D1132)&lt;=0,"Qty must be above 0",IF($H1132="","No price on menu","OK"))))))</f>
        <v/>
      </c>
      <c r="O1132" s="13">
        <f>IF($C1132="","",IFERROR(MATCH($C1132,'Menu Pricing'!$B$7:$B$56,0),""))</f>
        <v/>
      </c>
    </row>
    <row r="1133" ht="17" customHeight="1">
      <c r="B1133" s="66" t="n"/>
      <c r="C1133" s="60" t="n"/>
      <c r="D1133" s="86" t="n"/>
      <c r="E1133" s="63" t="n"/>
      <c r="F1133" s="60" t="n"/>
      <c r="G1133" s="60" t="n"/>
      <c r="H1133" s="71">
        <f>IF(OR($C1133="",$D1133=""),"",IF(ISNUMBER($E1133),$E1133,IF($O1133="","",IF(N(INDEX('Menu Pricing'!$O$7:$O$56,$O1133))&gt;0,INDEX('Menu Pricing'!$O$7:$O$56,$O1133),""))))</f>
        <v/>
      </c>
      <c r="I1133" s="71">
        <f>IF($N1133&lt;&gt;"OK","",$D1133*$H1133)</f>
        <v/>
      </c>
      <c r="J1133" s="71">
        <f>IF($N1133&lt;&gt;"OK","",N(INDEX('Menu Pricing'!$F$7:$F$56,$O1133))+N(INDEX('Menu Pricing'!$G$7:$G$56,$O1133))+N(INDEX('Menu Pricing'!$J$7:$J$56,$O1133)))</f>
        <v/>
      </c>
      <c r="K1133" s="71">
        <f>IF($N1133&lt;&gt;"OK","",$D1133*$J1133)</f>
        <v/>
      </c>
      <c r="L1133" s="71">
        <f>IF($N1133&lt;&gt;"OK","",$I1133-$K1133)</f>
        <v/>
      </c>
      <c r="M1133" s="71">
        <f>IF($N1133&lt;&gt;"OK","",$D1133*N(INDEX('Menu Pricing'!$F$7:$F$56,$O1133)))</f>
        <v/>
      </c>
      <c r="N1133" s="80">
        <f>IF(AND($B1133="",$C1133="",$D1133=""),"",IF(NOT(ISNUMBER($B1133)),"Enter a valid date",IF($C1133="","Pick a menu item",IF($O1133="","Item not on Menu Pricing",IF(N($D1133)&lt;=0,"Qty must be above 0",IF($H1133="","No price on menu","OK"))))))</f>
        <v/>
      </c>
      <c r="O1133" s="13">
        <f>IF($C1133="","",IFERROR(MATCH($C1133,'Menu Pricing'!$B$7:$B$56,0),""))</f>
        <v/>
      </c>
    </row>
    <row r="1134" ht="17" customHeight="1">
      <c r="B1134" s="66" t="n"/>
      <c r="C1134" s="60" t="n"/>
      <c r="D1134" s="86" t="n"/>
      <c r="E1134" s="63" t="n"/>
      <c r="F1134" s="60" t="n"/>
      <c r="G1134" s="60" t="n"/>
      <c r="H1134" s="71">
        <f>IF(OR($C1134="",$D1134=""),"",IF(ISNUMBER($E1134),$E1134,IF($O1134="","",IF(N(INDEX('Menu Pricing'!$O$7:$O$56,$O1134))&gt;0,INDEX('Menu Pricing'!$O$7:$O$56,$O1134),""))))</f>
        <v/>
      </c>
      <c r="I1134" s="71">
        <f>IF($N1134&lt;&gt;"OK","",$D1134*$H1134)</f>
        <v/>
      </c>
      <c r="J1134" s="71">
        <f>IF($N1134&lt;&gt;"OK","",N(INDEX('Menu Pricing'!$F$7:$F$56,$O1134))+N(INDEX('Menu Pricing'!$G$7:$G$56,$O1134))+N(INDEX('Menu Pricing'!$J$7:$J$56,$O1134)))</f>
        <v/>
      </c>
      <c r="K1134" s="71">
        <f>IF($N1134&lt;&gt;"OK","",$D1134*$J1134)</f>
        <v/>
      </c>
      <c r="L1134" s="71">
        <f>IF($N1134&lt;&gt;"OK","",$I1134-$K1134)</f>
        <v/>
      </c>
      <c r="M1134" s="71">
        <f>IF($N1134&lt;&gt;"OK","",$D1134*N(INDEX('Menu Pricing'!$F$7:$F$56,$O1134)))</f>
        <v/>
      </c>
      <c r="N1134" s="80">
        <f>IF(AND($B1134="",$C1134="",$D1134=""),"",IF(NOT(ISNUMBER($B1134)),"Enter a valid date",IF($C1134="","Pick a menu item",IF($O1134="","Item not on Menu Pricing",IF(N($D1134)&lt;=0,"Qty must be above 0",IF($H1134="","No price on menu","OK"))))))</f>
        <v/>
      </c>
      <c r="O1134" s="13">
        <f>IF($C1134="","",IFERROR(MATCH($C1134,'Menu Pricing'!$B$7:$B$56,0),""))</f>
        <v/>
      </c>
    </row>
    <row r="1135" ht="17" customHeight="1">
      <c r="B1135" s="66" t="n"/>
      <c r="C1135" s="60" t="n"/>
      <c r="D1135" s="86" t="n"/>
      <c r="E1135" s="63" t="n"/>
      <c r="F1135" s="60" t="n"/>
      <c r="G1135" s="60" t="n"/>
      <c r="H1135" s="71">
        <f>IF(OR($C1135="",$D1135=""),"",IF(ISNUMBER($E1135),$E1135,IF($O1135="","",IF(N(INDEX('Menu Pricing'!$O$7:$O$56,$O1135))&gt;0,INDEX('Menu Pricing'!$O$7:$O$56,$O1135),""))))</f>
        <v/>
      </c>
      <c r="I1135" s="71">
        <f>IF($N1135&lt;&gt;"OK","",$D1135*$H1135)</f>
        <v/>
      </c>
      <c r="J1135" s="71">
        <f>IF($N1135&lt;&gt;"OK","",N(INDEX('Menu Pricing'!$F$7:$F$56,$O1135))+N(INDEX('Menu Pricing'!$G$7:$G$56,$O1135))+N(INDEX('Menu Pricing'!$J$7:$J$56,$O1135)))</f>
        <v/>
      </c>
      <c r="K1135" s="71">
        <f>IF($N1135&lt;&gt;"OK","",$D1135*$J1135)</f>
        <v/>
      </c>
      <c r="L1135" s="71">
        <f>IF($N1135&lt;&gt;"OK","",$I1135-$K1135)</f>
        <v/>
      </c>
      <c r="M1135" s="71">
        <f>IF($N1135&lt;&gt;"OK","",$D1135*N(INDEX('Menu Pricing'!$F$7:$F$56,$O1135)))</f>
        <v/>
      </c>
      <c r="N1135" s="80">
        <f>IF(AND($B1135="",$C1135="",$D1135=""),"",IF(NOT(ISNUMBER($B1135)),"Enter a valid date",IF($C1135="","Pick a menu item",IF($O1135="","Item not on Menu Pricing",IF(N($D1135)&lt;=0,"Qty must be above 0",IF($H1135="","No price on menu","OK"))))))</f>
        <v/>
      </c>
      <c r="O1135" s="13">
        <f>IF($C1135="","",IFERROR(MATCH($C1135,'Menu Pricing'!$B$7:$B$56,0),""))</f>
        <v/>
      </c>
    </row>
    <row r="1136" ht="17" customHeight="1">
      <c r="B1136" s="66" t="n"/>
      <c r="C1136" s="60" t="n"/>
      <c r="D1136" s="86" t="n"/>
      <c r="E1136" s="63" t="n"/>
      <c r="F1136" s="60" t="n"/>
      <c r="G1136" s="60" t="n"/>
      <c r="H1136" s="71">
        <f>IF(OR($C1136="",$D1136=""),"",IF(ISNUMBER($E1136),$E1136,IF($O1136="","",IF(N(INDEX('Menu Pricing'!$O$7:$O$56,$O1136))&gt;0,INDEX('Menu Pricing'!$O$7:$O$56,$O1136),""))))</f>
        <v/>
      </c>
      <c r="I1136" s="71">
        <f>IF($N1136&lt;&gt;"OK","",$D1136*$H1136)</f>
        <v/>
      </c>
      <c r="J1136" s="71">
        <f>IF($N1136&lt;&gt;"OK","",N(INDEX('Menu Pricing'!$F$7:$F$56,$O1136))+N(INDEX('Menu Pricing'!$G$7:$G$56,$O1136))+N(INDEX('Menu Pricing'!$J$7:$J$56,$O1136)))</f>
        <v/>
      </c>
      <c r="K1136" s="71">
        <f>IF($N1136&lt;&gt;"OK","",$D1136*$J1136)</f>
        <v/>
      </c>
      <c r="L1136" s="71">
        <f>IF($N1136&lt;&gt;"OK","",$I1136-$K1136)</f>
        <v/>
      </c>
      <c r="M1136" s="71">
        <f>IF($N1136&lt;&gt;"OK","",$D1136*N(INDEX('Menu Pricing'!$F$7:$F$56,$O1136)))</f>
        <v/>
      </c>
      <c r="N1136" s="80">
        <f>IF(AND($B1136="",$C1136="",$D1136=""),"",IF(NOT(ISNUMBER($B1136)),"Enter a valid date",IF($C1136="","Pick a menu item",IF($O1136="","Item not on Menu Pricing",IF(N($D1136)&lt;=0,"Qty must be above 0",IF($H1136="","No price on menu","OK"))))))</f>
        <v/>
      </c>
      <c r="O1136" s="13">
        <f>IF($C1136="","",IFERROR(MATCH($C1136,'Menu Pricing'!$B$7:$B$56,0),""))</f>
        <v/>
      </c>
    </row>
    <row r="1137" ht="17" customHeight="1">
      <c r="B1137" s="66" t="n"/>
      <c r="C1137" s="60" t="n"/>
      <c r="D1137" s="86" t="n"/>
      <c r="E1137" s="63" t="n"/>
      <c r="F1137" s="60" t="n"/>
      <c r="G1137" s="60" t="n"/>
      <c r="H1137" s="71">
        <f>IF(OR($C1137="",$D1137=""),"",IF(ISNUMBER($E1137),$E1137,IF($O1137="","",IF(N(INDEX('Menu Pricing'!$O$7:$O$56,$O1137))&gt;0,INDEX('Menu Pricing'!$O$7:$O$56,$O1137),""))))</f>
        <v/>
      </c>
      <c r="I1137" s="71">
        <f>IF($N1137&lt;&gt;"OK","",$D1137*$H1137)</f>
        <v/>
      </c>
      <c r="J1137" s="71">
        <f>IF($N1137&lt;&gt;"OK","",N(INDEX('Menu Pricing'!$F$7:$F$56,$O1137))+N(INDEX('Menu Pricing'!$G$7:$G$56,$O1137))+N(INDEX('Menu Pricing'!$J$7:$J$56,$O1137)))</f>
        <v/>
      </c>
      <c r="K1137" s="71">
        <f>IF($N1137&lt;&gt;"OK","",$D1137*$J1137)</f>
        <v/>
      </c>
      <c r="L1137" s="71">
        <f>IF($N1137&lt;&gt;"OK","",$I1137-$K1137)</f>
        <v/>
      </c>
      <c r="M1137" s="71">
        <f>IF($N1137&lt;&gt;"OK","",$D1137*N(INDEX('Menu Pricing'!$F$7:$F$56,$O1137)))</f>
        <v/>
      </c>
      <c r="N1137" s="80">
        <f>IF(AND($B1137="",$C1137="",$D1137=""),"",IF(NOT(ISNUMBER($B1137)),"Enter a valid date",IF($C1137="","Pick a menu item",IF($O1137="","Item not on Menu Pricing",IF(N($D1137)&lt;=0,"Qty must be above 0",IF($H1137="","No price on menu","OK"))))))</f>
        <v/>
      </c>
      <c r="O1137" s="13">
        <f>IF($C1137="","",IFERROR(MATCH($C1137,'Menu Pricing'!$B$7:$B$56,0),""))</f>
        <v/>
      </c>
    </row>
    <row r="1138" ht="17" customHeight="1">
      <c r="B1138" s="66" t="n"/>
      <c r="C1138" s="60" t="n"/>
      <c r="D1138" s="86" t="n"/>
      <c r="E1138" s="63" t="n"/>
      <c r="F1138" s="60" t="n"/>
      <c r="G1138" s="60" t="n"/>
      <c r="H1138" s="71">
        <f>IF(OR($C1138="",$D1138=""),"",IF(ISNUMBER($E1138),$E1138,IF($O1138="","",IF(N(INDEX('Menu Pricing'!$O$7:$O$56,$O1138))&gt;0,INDEX('Menu Pricing'!$O$7:$O$56,$O1138),""))))</f>
        <v/>
      </c>
      <c r="I1138" s="71">
        <f>IF($N1138&lt;&gt;"OK","",$D1138*$H1138)</f>
        <v/>
      </c>
      <c r="J1138" s="71">
        <f>IF($N1138&lt;&gt;"OK","",N(INDEX('Menu Pricing'!$F$7:$F$56,$O1138))+N(INDEX('Menu Pricing'!$G$7:$G$56,$O1138))+N(INDEX('Menu Pricing'!$J$7:$J$56,$O1138)))</f>
        <v/>
      </c>
      <c r="K1138" s="71">
        <f>IF($N1138&lt;&gt;"OK","",$D1138*$J1138)</f>
        <v/>
      </c>
      <c r="L1138" s="71">
        <f>IF($N1138&lt;&gt;"OK","",$I1138-$K1138)</f>
        <v/>
      </c>
      <c r="M1138" s="71">
        <f>IF($N1138&lt;&gt;"OK","",$D1138*N(INDEX('Menu Pricing'!$F$7:$F$56,$O1138)))</f>
        <v/>
      </c>
      <c r="N1138" s="80">
        <f>IF(AND($B1138="",$C1138="",$D1138=""),"",IF(NOT(ISNUMBER($B1138)),"Enter a valid date",IF($C1138="","Pick a menu item",IF($O1138="","Item not on Menu Pricing",IF(N($D1138)&lt;=0,"Qty must be above 0",IF($H1138="","No price on menu","OK"))))))</f>
        <v/>
      </c>
      <c r="O1138" s="13">
        <f>IF($C1138="","",IFERROR(MATCH($C1138,'Menu Pricing'!$B$7:$B$56,0),""))</f>
        <v/>
      </c>
    </row>
    <row r="1139" ht="17" customHeight="1">
      <c r="B1139" s="66" t="n"/>
      <c r="C1139" s="60" t="n"/>
      <c r="D1139" s="86" t="n"/>
      <c r="E1139" s="63" t="n"/>
      <c r="F1139" s="60" t="n"/>
      <c r="G1139" s="60" t="n"/>
      <c r="H1139" s="71">
        <f>IF(OR($C1139="",$D1139=""),"",IF(ISNUMBER($E1139),$E1139,IF($O1139="","",IF(N(INDEX('Menu Pricing'!$O$7:$O$56,$O1139))&gt;0,INDEX('Menu Pricing'!$O$7:$O$56,$O1139),""))))</f>
        <v/>
      </c>
      <c r="I1139" s="71">
        <f>IF($N1139&lt;&gt;"OK","",$D1139*$H1139)</f>
        <v/>
      </c>
      <c r="J1139" s="71">
        <f>IF($N1139&lt;&gt;"OK","",N(INDEX('Menu Pricing'!$F$7:$F$56,$O1139))+N(INDEX('Menu Pricing'!$G$7:$G$56,$O1139))+N(INDEX('Menu Pricing'!$J$7:$J$56,$O1139)))</f>
        <v/>
      </c>
      <c r="K1139" s="71">
        <f>IF($N1139&lt;&gt;"OK","",$D1139*$J1139)</f>
        <v/>
      </c>
      <c r="L1139" s="71">
        <f>IF($N1139&lt;&gt;"OK","",$I1139-$K1139)</f>
        <v/>
      </c>
      <c r="M1139" s="71">
        <f>IF($N1139&lt;&gt;"OK","",$D1139*N(INDEX('Menu Pricing'!$F$7:$F$56,$O1139)))</f>
        <v/>
      </c>
      <c r="N1139" s="80">
        <f>IF(AND($B1139="",$C1139="",$D1139=""),"",IF(NOT(ISNUMBER($B1139)),"Enter a valid date",IF($C1139="","Pick a menu item",IF($O1139="","Item not on Menu Pricing",IF(N($D1139)&lt;=0,"Qty must be above 0",IF($H1139="","No price on menu","OK"))))))</f>
        <v/>
      </c>
      <c r="O1139" s="13">
        <f>IF($C1139="","",IFERROR(MATCH($C1139,'Menu Pricing'!$B$7:$B$56,0),""))</f>
        <v/>
      </c>
    </row>
    <row r="1140" ht="17" customHeight="1">
      <c r="B1140" s="66" t="n"/>
      <c r="C1140" s="60" t="n"/>
      <c r="D1140" s="86" t="n"/>
      <c r="E1140" s="63" t="n"/>
      <c r="F1140" s="60" t="n"/>
      <c r="G1140" s="60" t="n"/>
      <c r="H1140" s="71">
        <f>IF(OR($C1140="",$D1140=""),"",IF(ISNUMBER($E1140),$E1140,IF($O1140="","",IF(N(INDEX('Menu Pricing'!$O$7:$O$56,$O1140))&gt;0,INDEX('Menu Pricing'!$O$7:$O$56,$O1140),""))))</f>
        <v/>
      </c>
      <c r="I1140" s="71">
        <f>IF($N1140&lt;&gt;"OK","",$D1140*$H1140)</f>
        <v/>
      </c>
      <c r="J1140" s="71">
        <f>IF($N1140&lt;&gt;"OK","",N(INDEX('Menu Pricing'!$F$7:$F$56,$O1140))+N(INDEX('Menu Pricing'!$G$7:$G$56,$O1140))+N(INDEX('Menu Pricing'!$J$7:$J$56,$O1140)))</f>
        <v/>
      </c>
      <c r="K1140" s="71">
        <f>IF($N1140&lt;&gt;"OK","",$D1140*$J1140)</f>
        <v/>
      </c>
      <c r="L1140" s="71">
        <f>IF($N1140&lt;&gt;"OK","",$I1140-$K1140)</f>
        <v/>
      </c>
      <c r="M1140" s="71">
        <f>IF($N1140&lt;&gt;"OK","",$D1140*N(INDEX('Menu Pricing'!$F$7:$F$56,$O1140)))</f>
        <v/>
      </c>
      <c r="N1140" s="80">
        <f>IF(AND($B1140="",$C1140="",$D1140=""),"",IF(NOT(ISNUMBER($B1140)),"Enter a valid date",IF($C1140="","Pick a menu item",IF($O1140="","Item not on Menu Pricing",IF(N($D1140)&lt;=0,"Qty must be above 0",IF($H1140="","No price on menu","OK"))))))</f>
        <v/>
      </c>
      <c r="O1140" s="13">
        <f>IF($C1140="","",IFERROR(MATCH($C1140,'Menu Pricing'!$B$7:$B$56,0),""))</f>
        <v/>
      </c>
    </row>
    <row r="1141" ht="17" customHeight="1">
      <c r="B1141" s="66" t="n"/>
      <c r="C1141" s="60" t="n"/>
      <c r="D1141" s="86" t="n"/>
      <c r="E1141" s="63" t="n"/>
      <c r="F1141" s="60" t="n"/>
      <c r="G1141" s="60" t="n"/>
      <c r="H1141" s="71">
        <f>IF(OR($C1141="",$D1141=""),"",IF(ISNUMBER($E1141),$E1141,IF($O1141="","",IF(N(INDEX('Menu Pricing'!$O$7:$O$56,$O1141))&gt;0,INDEX('Menu Pricing'!$O$7:$O$56,$O1141),""))))</f>
        <v/>
      </c>
      <c r="I1141" s="71">
        <f>IF($N1141&lt;&gt;"OK","",$D1141*$H1141)</f>
        <v/>
      </c>
      <c r="J1141" s="71">
        <f>IF($N1141&lt;&gt;"OK","",N(INDEX('Menu Pricing'!$F$7:$F$56,$O1141))+N(INDEX('Menu Pricing'!$G$7:$G$56,$O1141))+N(INDEX('Menu Pricing'!$J$7:$J$56,$O1141)))</f>
        <v/>
      </c>
      <c r="K1141" s="71">
        <f>IF($N1141&lt;&gt;"OK","",$D1141*$J1141)</f>
        <v/>
      </c>
      <c r="L1141" s="71">
        <f>IF($N1141&lt;&gt;"OK","",$I1141-$K1141)</f>
        <v/>
      </c>
      <c r="M1141" s="71">
        <f>IF($N1141&lt;&gt;"OK","",$D1141*N(INDEX('Menu Pricing'!$F$7:$F$56,$O1141)))</f>
        <v/>
      </c>
      <c r="N1141" s="80">
        <f>IF(AND($B1141="",$C1141="",$D1141=""),"",IF(NOT(ISNUMBER($B1141)),"Enter a valid date",IF($C1141="","Pick a menu item",IF($O1141="","Item not on Menu Pricing",IF(N($D1141)&lt;=0,"Qty must be above 0",IF($H1141="","No price on menu","OK"))))))</f>
        <v/>
      </c>
      <c r="O1141" s="13">
        <f>IF($C1141="","",IFERROR(MATCH($C1141,'Menu Pricing'!$B$7:$B$56,0),""))</f>
        <v/>
      </c>
    </row>
    <row r="1142" ht="17" customHeight="1">
      <c r="B1142" s="66" t="n"/>
      <c r="C1142" s="60" t="n"/>
      <c r="D1142" s="86" t="n"/>
      <c r="E1142" s="63" t="n"/>
      <c r="F1142" s="60" t="n"/>
      <c r="G1142" s="60" t="n"/>
      <c r="H1142" s="71">
        <f>IF(OR($C1142="",$D1142=""),"",IF(ISNUMBER($E1142),$E1142,IF($O1142="","",IF(N(INDEX('Menu Pricing'!$O$7:$O$56,$O1142))&gt;0,INDEX('Menu Pricing'!$O$7:$O$56,$O1142),""))))</f>
        <v/>
      </c>
      <c r="I1142" s="71">
        <f>IF($N1142&lt;&gt;"OK","",$D1142*$H1142)</f>
        <v/>
      </c>
      <c r="J1142" s="71">
        <f>IF($N1142&lt;&gt;"OK","",N(INDEX('Menu Pricing'!$F$7:$F$56,$O1142))+N(INDEX('Menu Pricing'!$G$7:$G$56,$O1142))+N(INDEX('Menu Pricing'!$J$7:$J$56,$O1142)))</f>
        <v/>
      </c>
      <c r="K1142" s="71">
        <f>IF($N1142&lt;&gt;"OK","",$D1142*$J1142)</f>
        <v/>
      </c>
      <c r="L1142" s="71">
        <f>IF($N1142&lt;&gt;"OK","",$I1142-$K1142)</f>
        <v/>
      </c>
      <c r="M1142" s="71">
        <f>IF($N1142&lt;&gt;"OK","",$D1142*N(INDEX('Menu Pricing'!$F$7:$F$56,$O1142)))</f>
        <v/>
      </c>
      <c r="N1142" s="80">
        <f>IF(AND($B1142="",$C1142="",$D1142=""),"",IF(NOT(ISNUMBER($B1142)),"Enter a valid date",IF($C1142="","Pick a menu item",IF($O1142="","Item not on Menu Pricing",IF(N($D1142)&lt;=0,"Qty must be above 0",IF($H1142="","No price on menu","OK"))))))</f>
        <v/>
      </c>
      <c r="O1142" s="13">
        <f>IF($C1142="","",IFERROR(MATCH($C1142,'Menu Pricing'!$B$7:$B$56,0),""))</f>
        <v/>
      </c>
    </row>
    <row r="1143" ht="17" customHeight="1">
      <c r="B1143" s="66" t="n"/>
      <c r="C1143" s="60" t="n"/>
      <c r="D1143" s="86" t="n"/>
      <c r="E1143" s="63" t="n"/>
      <c r="F1143" s="60" t="n"/>
      <c r="G1143" s="60" t="n"/>
      <c r="H1143" s="71">
        <f>IF(OR($C1143="",$D1143=""),"",IF(ISNUMBER($E1143),$E1143,IF($O1143="","",IF(N(INDEX('Menu Pricing'!$O$7:$O$56,$O1143))&gt;0,INDEX('Menu Pricing'!$O$7:$O$56,$O1143),""))))</f>
        <v/>
      </c>
      <c r="I1143" s="71">
        <f>IF($N1143&lt;&gt;"OK","",$D1143*$H1143)</f>
        <v/>
      </c>
      <c r="J1143" s="71">
        <f>IF($N1143&lt;&gt;"OK","",N(INDEX('Menu Pricing'!$F$7:$F$56,$O1143))+N(INDEX('Menu Pricing'!$G$7:$G$56,$O1143))+N(INDEX('Menu Pricing'!$J$7:$J$56,$O1143)))</f>
        <v/>
      </c>
      <c r="K1143" s="71">
        <f>IF($N1143&lt;&gt;"OK","",$D1143*$J1143)</f>
        <v/>
      </c>
      <c r="L1143" s="71">
        <f>IF($N1143&lt;&gt;"OK","",$I1143-$K1143)</f>
        <v/>
      </c>
      <c r="M1143" s="71">
        <f>IF($N1143&lt;&gt;"OK","",$D1143*N(INDEX('Menu Pricing'!$F$7:$F$56,$O1143)))</f>
        <v/>
      </c>
      <c r="N1143" s="80">
        <f>IF(AND($B1143="",$C1143="",$D1143=""),"",IF(NOT(ISNUMBER($B1143)),"Enter a valid date",IF($C1143="","Pick a menu item",IF($O1143="","Item not on Menu Pricing",IF(N($D1143)&lt;=0,"Qty must be above 0",IF($H1143="","No price on menu","OK"))))))</f>
        <v/>
      </c>
      <c r="O1143" s="13">
        <f>IF($C1143="","",IFERROR(MATCH($C1143,'Menu Pricing'!$B$7:$B$56,0),""))</f>
        <v/>
      </c>
    </row>
    <row r="1144" ht="17" customHeight="1">
      <c r="B1144" s="66" t="n"/>
      <c r="C1144" s="60" t="n"/>
      <c r="D1144" s="86" t="n"/>
      <c r="E1144" s="63" t="n"/>
      <c r="F1144" s="60" t="n"/>
      <c r="G1144" s="60" t="n"/>
      <c r="H1144" s="71">
        <f>IF(OR($C1144="",$D1144=""),"",IF(ISNUMBER($E1144),$E1144,IF($O1144="","",IF(N(INDEX('Menu Pricing'!$O$7:$O$56,$O1144))&gt;0,INDEX('Menu Pricing'!$O$7:$O$56,$O1144),""))))</f>
        <v/>
      </c>
      <c r="I1144" s="71">
        <f>IF($N1144&lt;&gt;"OK","",$D1144*$H1144)</f>
        <v/>
      </c>
      <c r="J1144" s="71">
        <f>IF($N1144&lt;&gt;"OK","",N(INDEX('Menu Pricing'!$F$7:$F$56,$O1144))+N(INDEX('Menu Pricing'!$G$7:$G$56,$O1144))+N(INDEX('Menu Pricing'!$J$7:$J$56,$O1144)))</f>
        <v/>
      </c>
      <c r="K1144" s="71">
        <f>IF($N1144&lt;&gt;"OK","",$D1144*$J1144)</f>
        <v/>
      </c>
      <c r="L1144" s="71">
        <f>IF($N1144&lt;&gt;"OK","",$I1144-$K1144)</f>
        <v/>
      </c>
      <c r="M1144" s="71">
        <f>IF($N1144&lt;&gt;"OK","",$D1144*N(INDEX('Menu Pricing'!$F$7:$F$56,$O1144)))</f>
        <v/>
      </c>
      <c r="N1144" s="80">
        <f>IF(AND($B1144="",$C1144="",$D1144=""),"",IF(NOT(ISNUMBER($B1144)),"Enter a valid date",IF($C1144="","Pick a menu item",IF($O1144="","Item not on Menu Pricing",IF(N($D1144)&lt;=0,"Qty must be above 0",IF($H1144="","No price on menu","OK"))))))</f>
        <v/>
      </c>
      <c r="O1144" s="13">
        <f>IF($C1144="","",IFERROR(MATCH($C1144,'Menu Pricing'!$B$7:$B$56,0),""))</f>
        <v/>
      </c>
    </row>
    <row r="1145" ht="17" customHeight="1">
      <c r="B1145" s="66" t="n"/>
      <c r="C1145" s="60" t="n"/>
      <c r="D1145" s="86" t="n"/>
      <c r="E1145" s="63" t="n"/>
      <c r="F1145" s="60" t="n"/>
      <c r="G1145" s="60" t="n"/>
      <c r="H1145" s="71">
        <f>IF(OR($C1145="",$D1145=""),"",IF(ISNUMBER($E1145),$E1145,IF($O1145="","",IF(N(INDEX('Menu Pricing'!$O$7:$O$56,$O1145))&gt;0,INDEX('Menu Pricing'!$O$7:$O$56,$O1145),""))))</f>
        <v/>
      </c>
      <c r="I1145" s="71">
        <f>IF($N1145&lt;&gt;"OK","",$D1145*$H1145)</f>
        <v/>
      </c>
      <c r="J1145" s="71">
        <f>IF($N1145&lt;&gt;"OK","",N(INDEX('Menu Pricing'!$F$7:$F$56,$O1145))+N(INDEX('Menu Pricing'!$G$7:$G$56,$O1145))+N(INDEX('Menu Pricing'!$J$7:$J$56,$O1145)))</f>
        <v/>
      </c>
      <c r="K1145" s="71">
        <f>IF($N1145&lt;&gt;"OK","",$D1145*$J1145)</f>
        <v/>
      </c>
      <c r="L1145" s="71">
        <f>IF($N1145&lt;&gt;"OK","",$I1145-$K1145)</f>
        <v/>
      </c>
      <c r="M1145" s="71">
        <f>IF($N1145&lt;&gt;"OK","",$D1145*N(INDEX('Menu Pricing'!$F$7:$F$56,$O1145)))</f>
        <v/>
      </c>
      <c r="N1145" s="80">
        <f>IF(AND($B1145="",$C1145="",$D1145=""),"",IF(NOT(ISNUMBER($B1145)),"Enter a valid date",IF($C1145="","Pick a menu item",IF($O1145="","Item not on Menu Pricing",IF(N($D1145)&lt;=0,"Qty must be above 0",IF($H1145="","No price on menu","OK"))))))</f>
        <v/>
      </c>
      <c r="O1145" s="13">
        <f>IF($C1145="","",IFERROR(MATCH($C1145,'Menu Pricing'!$B$7:$B$56,0),""))</f>
        <v/>
      </c>
    </row>
    <row r="1146" ht="17" customHeight="1">
      <c r="B1146" s="66" t="n"/>
      <c r="C1146" s="60" t="n"/>
      <c r="D1146" s="86" t="n"/>
      <c r="E1146" s="63" t="n"/>
      <c r="F1146" s="60" t="n"/>
      <c r="G1146" s="60" t="n"/>
      <c r="H1146" s="71">
        <f>IF(OR($C1146="",$D1146=""),"",IF(ISNUMBER($E1146),$E1146,IF($O1146="","",IF(N(INDEX('Menu Pricing'!$O$7:$O$56,$O1146))&gt;0,INDEX('Menu Pricing'!$O$7:$O$56,$O1146),""))))</f>
        <v/>
      </c>
      <c r="I1146" s="71">
        <f>IF($N1146&lt;&gt;"OK","",$D1146*$H1146)</f>
        <v/>
      </c>
      <c r="J1146" s="71">
        <f>IF($N1146&lt;&gt;"OK","",N(INDEX('Menu Pricing'!$F$7:$F$56,$O1146))+N(INDEX('Menu Pricing'!$G$7:$G$56,$O1146))+N(INDEX('Menu Pricing'!$J$7:$J$56,$O1146)))</f>
        <v/>
      </c>
      <c r="K1146" s="71">
        <f>IF($N1146&lt;&gt;"OK","",$D1146*$J1146)</f>
        <v/>
      </c>
      <c r="L1146" s="71">
        <f>IF($N1146&lt;&gt;"OK","",$I1146-$K1146)</f>
        <v/>
      </c>
      <c r="M1146" s="71">
        <f>IF($N1146&lt;&gt;"OK","",$D1146*N(INDEX('Menu Pricing'!$F$7:$F$56,$O1146)))</f>
        <v/>
      </c>
      <c r="N1146" s="80">
        <f>IF(AND($B1146="",$C1146="",$D1146=""),"",IF(NOT(ISNUMBER($B1146)),"Enter a valid date",IF($C1146="","Pick a menu item",IF($O1146="","Item not on Menu Pricing",IF(N($D1146)&lt;=0,"Qty must be above 0",IF($H1146="","No price on menu","OK"))))))</f>
        <v/>
      </c>
      <c r="O1146" s="13">
        <f>IF($C1146="","",IFERROR(MATCH($C1146,'Menu Pricing'!$B$7:$B$56,0),""))</f>
        <v/>
      </c>
    </row>
    <row r="1147" ht="17" customHeight="1">
      <c r="B1147" s="66" t="n"/>
      <c r="C1147" s="60" t="n"/>
      <c r="D1147" s="86" t="n"/>
      <c r="E1147" s="63" t="n"/>
      <c r="F1147" s="60" t="n"/>
      <c r="G1147" s="60" t="n"/>
      <c r="H1147" s="71">
        <f>IF(OR($C1147="",$D1147=""),"",IF(ISNUMBER($E1147),$E1147,IF($O1147="","",IF(N(INDEX('Menu Pricing'!$O$7:$O$56,$O1147))&gt;0,INDEX('Menu Pricing'!$O$7:$O$56,$O1147),""))))</f>
        <v/>
      </c>
      <c r="I1147" s="71">
        <f>IF($N1147&lt;&gt;"OK","",$D1147*$H1147)</f>
        <v/>
      </c>
      <c r="J1147" s="71">
        <f>IF($N1147&lt;&gt;"OK","",N(INDEX('Menu Pricing'!$F$7:$F$56,$O1147))+N(INDEX('Menu Pricing'!$G$7:$G$56,$O1147))+N(INDEX('Menu Pricing'!$J$7:$J$56,$O1147)))</f>
        <v/>
      </c>
      <c r="K1147" s="71">
        <f>IF($N1147&lt;&gt;"OK","",$D1147*$J1147)</f>
        <v/>
      </c>
      <c r="L1147" s="71">
        <f>IF($N1147&lt;&gt;"OK","",$I1147-$K1147)</f>
        <v/>
      </c>
      <c r="M1147" s="71">
        <f>IF($N1147&lt;&gt;"OK","",$D1147*N(INDEX('Menu Pricing'!$F$7:$F$56,$O1147)))</f>
        <v/>
      </c>
      <c r="N1147" s="80">
        <f>IF(AND($B1147="",$C1147="",$D1147=""),"",IF(NOT(ISNUMBER($B1147)),"Enter a valid date",IF($C1147="","Pick a menu item",IF($O1147="","Item not on Menu Pricing",IF(N($D1147)&lt;=0,"Qty must be above 0",IF($H1147="","No price on menu","OK"))))))</f>
        <v/>
      </c>
      <c r="O1147" s="13">
        <f>IF($C1147="","",IFERROR(MATCH($C1147,'Menu Pricing'!$B$7:$B$56,0),""))</f>
        <v/>
      </c>
    </row>
    <row r="1148" ht="17" customHeight="1">
      <c r="B1148" s="66" t="n"/>
      <c r="C1148" s="60" t="n"/>
      <c r="D1148" s="86" t="n"/>
      <c r="E1148" s="63" t="n"/>
      <c r="F1148" s="60" t="n"/>
      <c r="G1148" s="60" t="n"/>
      <c r="H1148" s="71">
        <f>IF(OR($C1148="",$D1148=""),"",IF(ISNUMBER($E1148),$E1148,IF($O1148="","",IF(N(INDEX('Menu Pricing'!$O$7:$O$56,$O1148))&gt;0,INDEX('Menu Pricing'!$O$7:$O$56,$O1148),""))))</f>
        <v/>
      </c>
      <c r="I1148" s="71">
        <f>IF($N1148&lt;&gt;"OK","",$D1148*$H1148)</f>
        <v/>
      </c>
      <c r="J1148" s="71">
        <f>IF($N1148&lt;&gt;"OK","",N(INDEX('Menu Pricing'!$F$7:$F$56,$O1148))+N(INDEX('Menu Pricing'!$G$7:$G$56,$O1148))+N(INDEX('Menu Pricing'!$J$7:$J$56,$O1148)))</f>
        <v/>
      </c>
      <c r="K1148" s="71">
        <f>IF($N1148&lt;&gt;"OK","",$D1148*$J1148)</f>
        <v/>
      </c>
      <c r="L1148" s="71">
        <f>IF($N1148&lt;&gt;"OK","",$I1148-$K1148)</f>
        <v/>
      </c>
      <c r="M1148" s="71">
        <f>IF($N1148&lt;&gt;"OK","",$D1148*N(INDEX('Menu Pricing'!$F$7:$F$56,$O1148)))</f>
        <v/>
      </c>
      <c r="N1148" s="80">
        <f>IF(AND($B1148="",$C1148="",$D1148=""),"",IF(NOT(ISNUMBER($B1148)),"Enter a valid date",IF($C1148="","Pick a menu item",IF($O1148="","Item not on Menu Pricing",IF(N($D1148)&lt;=0,"Qty must be above 0",IF($H1148="","No price on menu","OK"))))))</f>
        <v/>
      </c>
      <c r="O1148" s="13">
        <f>IF($C1148="","",IFERROR(MATCH($C1148,'Menu Pricing'!$B$7:$B$56,0),""))</f>
        <v/>
      </c>
    </row>
    <row r="1149" ht="17" customHeight="1">
      <c r="B1149" s="66" t="n"/>
      <c r="C1149" s="60" t="n"/>
      <c r="D1149" s="86" t="n"/>
      <c r="E1149" s="63" t="n"/>
      <c r="F1149" s="60" t="n"/>
      <c r="G1149" s="60" t="n"/>
      <c r="H1149" s="71">
        <f>IF(OR($C1149="",$D1149=""),"",IF(ISNUMBER($E1149),$E1149,IF($O1149="","",IF(N(INDEX('Menu Pricing'!$O$7:$O$56,$O1149))&gt;0,INDEX('Menu Pricing'!$O$7:$O$56,$O1149),""))))</f>
        <v/>
      </c>
      <c r="I1149" s="71">
        <f>IF($N1149&lt;&gt;"OK","",$D1149*$H1149)</f>
        <v/>
      </c>
      <c r="J1149" s="71">
        <f>IF($N1149&lt;&gt;"OK","",N(INDEX('Menu Pricing'!$F$7:$F$56,$O1149))+N(INDEX('Menu Pricing'!$G$7:$G$56,$O1149))+N(INDEX('Menu Pricing'!$J$7:$J$56,$O1149)))</f>
        <v/>
      </c>
      <c r="K1149" s="71">
        <f>IF($N1149&lt;&gt;"OK","",$D1149*$J1149)</f>
        <v/>
      </c>
      <c r="L1149" s="71">
        <f>IF($N1149&lt;&gt;"OK","",$I1149-$K1149)</f>
        <v/>
      </c>
      <c r="M1149" s="71">
        <f>IF($N1149&lt;&gt;"OK","",$D1149*N(INDEX('Menu Pricing'!$F$7:$F$56,$O1149)))</f>
        <v/>
      </c>
      <c r="N1149" s="80">
        <f>IF(AND($B1149="",$C1149="",$D1149=""),"",IF(NOT(ISNUMBER($B1149)),"Enter a valid date",IF($C1149="","Pick a menu item",IF($O1149="","Item not on Menu Pricing",IF(N($D1149)&lt;=0,"Qty must be above 0",IF($H1149="","No price on menu","OK"))))))</f>
        <v/>
      </c>
      <c r="O1149" s="13">
        <f>IF($C1149="","",IFERROR(MATCH($C1149,'Menu Pricing'!$B$7:$B$56,0),""))</f>
        <v/>
      </c>
    </row>
    <row r="1150" ht="17" customHeight="1">
      <c r="B1150" s="66" t="n"/>
      <c r="C1150" s="60" t="n"/>
      <c r="D1150" s="86" t="n"/>
      <c r="E1150" s="63" t="n"/>
      <c r="F1150" s="60" t="n"/>
      <c r="G1150" s="60" t="n"/>
      <c r="H1150" s="71">
        <f>IF(OR($C1150="",$D1150=""),"",IF(ISNUMBER($E1150),$E1150,IF($O1150="","",IF(N(INDEX('Menu Pricing'!$O$7:$O$56,$O1150))&gt;0,INDEX('Menu Pricing'!$O$7:$O$56,$O1150),""))))</f>
        <v/>
      </c>
      <c r="I1150" s="71">
        <f>IF($N1150&lt;&gt;"OK","",$D1150*$H1150)</f>
        <v/>
      </c>
      <c r="J1150" s="71">
        <f>IF($N1150&lt;&gt;"OK","",N(INDEX('Menu Pricing'!$F$7:$F$56,$O1150))+N(INDEX('Menu Pricing'!$G$7:$G$56,$O1150))+N(INDEX('Menu Pricing'!$J$7:$J$56,$O1150)))</f>
        <v/>
      </c>
      <c r="K1150" s="71">
        <f>IF($N1150&lt;&gt;"OK","",$D1150*$J1150)</f>
        <v/>
      </c>
      <c r="L1150" s="71">
        <f>IF($N1150&lt;&gt;"OK","",$I1150-$K1150)</f>
        <v/>
      </c>
      <c r="M1150" s="71">
        <f>IF($N1150&lt;&gt;"OK","",$D1150*N(INDEX('Menu Pricing'!$F$7:$F$56,$O1150)))</f>
        <v/>
      </c>
      <c r="N1150" s="80">
        <f>IF(AND($B1150="",$C1150="",$D1150=""),"",IF(NOT(ISNUMBER($B1150)),"Enter a valid date",IF($C1150="","Pick a menu item",IF($O1150="","Item not on Menu Pricing",IF(N($D1150)&lt;=0,"Qty must be above 0",IF($H1150="","No price on menu","OK"))))))</f>
        <v/>
      </c>
      <c r="O1150" s="13">
        <f>IF($C1150="","",IFERROR(MATCH($C1150,'Menu Pricing'!$B$7:$B$56,0),""))</f>
        <v/>
      </c>
    </row>
    <row r="1151" ht="17" customHeight="1">
      <c r="B1151" s="66" t="n"/>
      <c r="C1151" s="60" t="n"/>
      <c r="D1151" s="86" t="n"/>
      <c r="E1151" s="63" t="n"/>
      <c r="F1151" s="60" t="n"/>
      <c r="G1151" s="60" t="n"/>
      <c r="H1151" s="71">
        <f>IF(OR($C1151="",$D1151=""),"",IF(ISNUMBER($E1151),$E1151,IF($O1151="","",IF(N(INDEX('Menu Pricing'!$O$7:$O$56,$O1151))&gt;0,INDEX('Menu Pricing'!$O$7:$O$56,$O1151),""))))</f>
        <v/>
      </c>
      <c r="I1151" s="71">
        <f>IF($N1151&lt;&gt;"OK","",$D1151*$H1151)</f>
        <v/>
      </c>
      <c r="J1151" s="71">
        <f>IF($N1151&lt;&gt;"OK","",N(INDEX('Menu Pricing'!$F$7:$F$56,$O1151))+N(INDEX('Menu Pricing'!$G$7:$G$56,$O1151))+N(INDEX('Menu Pricing'!$J$7:$J$56,$O1151)))</f>
        <v/>
      </c>
      <c r="K1151" s="71">
        <f>IF($N1151&lt;&gt;"OK","",$D1151*$J1151)</f>
        <v/>
      </c>
      <c r="L1151" s="71">
        <f>IF($N1151&lt;&gt;"OK","",$I1151-$K1151)</f>
        <v/>
      </c>
      <c r="M1151" s="71">
        <f>IF($N1151&lt;&gt;"OK","",$D1151*N(INDEX('Menu Pricing'!$F$7:$F$56,$O1151)))</f>
        <v/>
      </c>
      <c r="N1151" s="80">
        <f>IF(AND($B1151="",$C1151="",$D1151=""),"",IF(NOT(ISNUMBER($B1151)),"Enter a valid date",IF($C1151="","Pick a menu item",IF($O1151="","Item not on Menu Pricing",IF(N($D1151)&lt;=0,"Qty must be above 0",IF($H1151="","No price on menu","OK"))))))</f>
        <v/>
      </c>
      <c r="O1151" s="13">
        <f>IF($C1151="","",IFERROR(MATCH($C1151,'Menu Pricing'!$B$7:$B$56,0),""))</f>
        <v/>
      </c>
    </row>
    <row r="1152" ht="17" customHeight="1">
      <c r="B1152" s="66" t="n"/>
      <c r="C1152" s="60" t="n"/>
      <c r="D1152" s="86" t="n"/>
      <c r="E1152" s="63" t="n"/>
      <c r="F1152" s="60" t="n"/>
      <c r="G1152" s="60" t="n"/>
      <c r="H1152" s="71">
        <f>IF(OR($C1152="",$D1152=""),"",IF(ISNUMBER($E1152),$E1152,IF($O1152="","",IF(N(INDEX('Menu Pricing'!$O$7:$O$56,$O1152))&gt;0,INDEX('Menu Pricing'!$O$7:$O$56,$O1152),""))))</f>
        <v/>
      </c>
      <c r="I1152" s="71">
        <f>IF($N1152&lt;&gt;"OK","",$D1152*$H1152)</f>
        <v/>
      </c>
      <c r="J1152" s="71">
        <f>IF($N1152&lt;&gt;"OK","",N(INDEX('Menu Pricing'!$F$7:$F$56,$O1152))+N(INDEX('Menu Pricing'!$G$7:$G$56,$O1152))+N(INDEX('Menu Pricing'!$J$7:$J$56,$O1152)))</f>
        <v/>
      </c>
      <c r="K1152" s="71">
        <f>IF($N1152&lt;&gt;"OK","",$D1152*$J1152)</f>
        <v/>
      </c>
      <c r="L1152" s="71">
        <f>IF($N1152&lt;&gt;"OK","",$I1152-$K1152)</f>
        <v/>
      </c>
      <c r="M1152" s="71">
        <f>IF($N1152&lt;&gt;"OK","",$D1152*N(INDEX('Menu Pricing'!$F$7:$F$56,$O1152)))</f>
        <v/>
      </c>
      <c r="N1152" s="80">
        <f>IF(AND($B1152="",$C1152="",$D1152=""),"",IF(NOT(ISNUMBER($B1152)),"Enter a valid date",IF($C1152="","Pick a menu item",IF($O1152="","Item not on Menu Pricing",IF(N($D1152)&lt;=0,"Qty must be above 0",IF($H1152="","No price on menu","OK"))))))</f>
        <v/>
      </c>
      <c r="O1152" s="13">
        <f>IF($C1152="","",IFERROR(MATCH($C1152,'Menu Pricing'!$B$7:$B$56,0),""))</f>
        <v/>
      </c>
    </row>
    <row r="1153" ht="17" customHeight="1">
      <c r="B1153" s="66" t="n"/>
      <c r="C1153" s="60" t="n"/>
      <c r="D1153" s="86" t="n"/>
      <c r="E1153" s="63" t="n"/>
      <c r="F1153" s="60" t="n"/>
      <c r="G1153" s="60" t="n"/>
      <c r="H1153" s="71">
        <f>IF(OR($C1153="",$D1153=""),"",IF(ISNUMBER($E1153),$E1153,IF($O1153="","",IF(N(INDEX('Menu Pricing'!$O$7:$O$56,$O1153))&gt;0,INDEX('Menu Pricing'!$O$7:$O$56,$O1153),""))))</f>
        <v/>
      </c>
      <c r="I1153" s="71">
        <f>IF($N1153&lt;&gt;"OK","",$D1153*$H1153)</f>
        <v/>
      </c>
      <c r="J1153" s="71">
        <f>IF($N1153&lt;&gt;"OK","",N(INDEX('Menu Pricing'!$F$7:$F$56,$O1153))+N(INDEX('Menu Pricing'!$G$7:$G$56,$O1153))+N(INDEX('Menu Pricing'!$J$7:$J$56,$O1153)))</f>
        <v/>
      </c>
      <c r="K1153" s="71">
        <f>IF($N1153&lt;&gt;"OK","",$D1153*$J1153)</f>
        <v/>
      </c>
      <c r="L1153" s="71">
        <f>IF($N1153&lt;&gt;"OK","",$I1153-$K1153)</f>
        <v/>
      </c>
      <c r="M1153" s="71">
        <f>IF($N1153&lt;&gt;"OK","",$D1153*N(INDEX('Menu Pricing'!$F$7:$F$56,$O1153)))</f>
        <v/>
      </c>
      <c r="N1153" s="80">
        <f>IF(AND($B1153="",$C1153="",$D1153=""),"",IF(NOT(ISNUMBER($B1153)),"Enter a valid date",IF($C1153="","Pick a menu item",IF($O1153="","Item not on Menu Pricing",IF(N($D1153)&lt;=0,"Qty must be above 0",IF($H1153="","No price on menu","OK"))))))</f>
        <v/>
      </c>
      <c r="O1153" s="13">
        <f>IF($C1153="","",IFERROR(MATCH($C1153,'Menu Pricing'!$B$7:$B$56,0),""))</f>
        <v/>
      </c>
    </row>
    <row r="1154" ht="17" customHeight="1">
      <c r="B1154" s="66" t="n"/>
      <c r="C1154" s="60" t="n"/>
      <c r="D1154" s="86" t="n"/>
      <c r="E1154" s="63" t="n"/>
      <c r="F1154" s="60" t="n"/>
      <c r="G1154" s="60" t="n"/>
      <c r="H1154" s="71">
        <f>IF(OR($C1154="",$D1154=""),"",IF(ISNUMBER($E1154),$E1154,IF($O1154="","",IF(N(INDEX('Menu Pricing'!$O$7:$O$56,$O1154))&gt;0,INDEX('Menu Pricing'!$O$7:$O$56,$O1154),""))))</f>
        <v/>
      </c>
      <c r="I1154" s="71">
        <f>IF($N1154&lt;&gt;"OK","",$D1154*$H1154)</f>
        <v/>
      </c>
      <c r="J1154" s="71">
        <f>IF($N1154&lt;&gt;"OK","",N(INDEX('Menu Pricing'!$F$7:$F$56,$O1154))+N(INDEX('Menu Pricing'!$G$7:$G$56,$O1154))+N(INDEX('Menu Pricing'!$J$7:$J$56,$O1154)))</f>
        <v/>
      </c>
      <c r="K1154" s="71">
        <f>IF($N1154&lt;&gt;"OK","",$D1154*$J1154)</f>
        <v/>
      </c>
      <c r="L1154" s="71">
        <f>IF($N1154&lt;&gt;"OK","",$I1154-$K1154)</f>
        <v/>
      </c>
      <c r="M1154" s="71">
        <f>IF($N1154&lt;&gt;"OK","",$D1154*N(INDEX('Menu Pricing'!$F$7:$F$56,$O1154)))</f>
        <v/>
      </c>
      <c r="N1154" s="80">
        <f>IF(AND($B1154="",$C1154="",$D1154=""),"",IF(NOT(ISNUMBER($B1154)),"Enter a valid date",IF($C1154="","Pick a menu item",IF($O1154="","Item not on Menu Pricing",IF(N($D1154)&lt;=0,"Qty must be above 0",IF($H1154="","No price on menu","OK"))))))</f>
        <v/>
      </c>
      <c r="O1154" s="13">
        <f>IF($C1154="","",IFERROR(MATCH($C1154,'Menu Pricing'!$B$7:$B$56,0),""))</f>
        <v/>
      </c>
    </row>
    <row r="1155" ht="17" customHeight="1">
      <c r="B1155" s="66" t="n"/>
      <c r="C1155" s="60" t="n"/>
      <c r="D1155" s="86" t="n"/>
      <c r="E1155" s="63" t="n"/>
      <c r="F1155" s="60" t="n"/>
      <c r="G1155" s="60" t="n"/>
      <c r="H1155" s="71">
        <f>IF(OR($C1155="",$D1155=""),"",IF(ISNUMBER($E1155),$E1155,IF($O1155="","",IF(N(INDEX('Menu Pricing'!$O$7:$O$56,$O1155))&gt;0,INDEX('Menu Pricing'!$O$7:$O$56,$O1155),""))))</f>
        <v/>
      </c>
      <c r="I1155" s="71">
        <f>IF($N1155&lt;&gt;"OK","",$D1155*$H1155)</f>
        <v/>
      </c>
      <c r="J1155" s="71">
        <f>IF($N1155&lt;&gt;"OK","",N(INDEX('Menu Pricing'!$F$7:$F$56,$O1155))+N(INDEX('Menu Pricing'!$G$7:$G$56,$O1155))+N(INDEX('Menu Pricing'!$J$7:$J$56,$O1155)))</f>
        <v/>
      </c>
      <c r="K1155" s="71">
        <f>IF($N1155&lt;&gt;"OK","",$D1155*$J1155)</f>
        <v/>
      </c>
      <c r="L1155" s="71">
        <f>IF($N1155&lt;&gt;"OK","",$I1155-$K1155)</f>
        <v/>
      </c>
      <c r="M1155" s="71">
        <f>IF($N1155&lt;&gt;"OK","",$D1155*N(INDEX('Menu Pricing'!$F$7:$F$56,$O1155)))</f>
        <v/>
      </c>
      <c r="N1155" s="80">
        <f>IF(AND($B1155="",$C1155="",$D1155=""),"",IF(NOT(ISNUMBER($B1155)),"Enter a valid date",IF($C1155="","Pick a menu item",IF($O1155="","Item not on Menu Pricing",IF(N($D1155)&lt;=0,"Qty must be above 0",IF($H1155="","No price on menu","OK"))))))</f>
        <v/>
      </c>
      <c r="O1155" s="13">
        <f>IF($C1155="","",IFERROR(MATCH($C1155,'Menu Pricing'!$B$7:$B$56,0),""))</f>
        <v/>
      </c>
    </row>
    <row r="1156" ht="17" customHeight="1">
      <c r="B1156" s="66" t="n"/>
      <c r="C1156" s="60" t="n"/>
      <c r="D1156" s="86" t="n"/>
      <c r="E1156" s="63" t="n"/>
      <c r="F1156" s="60" t="n"/>
      <c r="G1156" s="60" t="n"/>
      <c r="H1156" s="71">
        <f>IF(OR($C1156="",$D1156=""),"",IF(ISNUMBER($E1156),$E1156,IF($O1156="","",IF(N(INDEX('Menu Pricing'!$O$7:$O$56,$O1156))&gt;0,INDEX('Menu Pricing'!$O$7:$O$56,$O1156),""))))</f>
        <v/>
      </c>
      <c r="I1156" s="71">
        <f>IF($N1156&lt;&gt;"OK","",$D1156*$H1156)</f>
        <v/>
      </c>
      <c r="J1156" s="71">
        <f>IF($N1156&lt;&gt;"OK","",N(INDEX('Menu Pricing'!$F$7:$F$56,$O1156))+N(INDEX('Menu Pricing'!$G$7:$G$56,$O1156))+N(INDEX('Menu Pricing'!$J$7:$J$56,$O1156)))</f>
        <v/>
      </c>
      <c r="K1156" s="71">
        <f>IF($N1156&lt;&gt;"OK","",$D1156*$J1156)</f>
        <v/>
      </c>
      <c r="L1156" s="71">
        <f>IF($N1156&lt;&gt;"OK","",$I1156-$K1156)</f>
        <v/>
      </c>
      <c r="M1156" s="71">
        <f>IF($N1156&lt;&gt;"OK","",$D1156*N(INDEX('Menu Pricing'!$F$7:$F$56,$O1156)))</f>
        <v/>
      </c>
      <c r="N1156" s="80">
        <f>IF(AND($B1156="",$C1156="",$D1156=""),"",IF(NOT(ISNUMBER($B1156)),"Enter a valid date",IF($C1156="","Pick a menu item",IF($O1156="","Item not on Menu Pricing",IF(N($D1156)&lt;=0,"Qty must be above 0",IF($H1156="","No price on menu","OK"))))))</f>
        <v/>
      </c>
      <c r="O1156" s="13">
        <f>IF($C1156="","",IFERROR(MATCH($C1156,'Menu Pricing'!$B$7:$B$56,0),""))</f>
        <v/>
      </c>
    </row>
    <row r="1157" ht="17" customHeight="1">
      <c r="B1157" s="66" t="n"/>
      <c r="C1157" s="60" t="n"/>
      <c r="D1157" s="86" t="n"/>
      <c r="E1157" s="63" t="n"/>
      <c r="F1157" s="60" t="n"/>
      <c r="G1157" s="60" t="n"/>
      <c r="H1157" s="71">
        <f>IF(OR($C1157="",$D1157=""),"",IF(ISNUMBER($E1157),$E1157,IF($O1157="","",IF(N(INDEX('Menu Pricing'!$O$7:$O$56,$O1157))&gt;0,INDEX('Menu Pricing'!$O$7:$O$56,$O1157),""))))</f>
        <v/>
      </c>
      <c r="I1157" s="71">
        <f>IF($N1157&lt;&gt;"OK","",$D1157*$H1157)</f>
        <v/>
      </c>
      <c r="J1157" s="71">
        <f>IF($N1157&lt;&gt;"OK","",N(INDEX('Menu Pricing'!$F$7:$F$56,$O1157))+N(INDEX('Menu Pricing'!$G$7:$G$56,$O1157))+N(INDEX('Menu Pricing'!$J$7:$J$56,$O1157)))</f>
        <v/>
      </c>
      <c r="K1157" s="71">
        <f>IF($N1157&lt;&gt;"OK","",$D1157*$J1157)</f>
        <v/>
      </c>
      <c r="L1157" s="71">
        <f>IF($N1157&lt;&gt;"OK","",$I1157-$K1157)</f>
        <v/>
      </c>
      <c r="M1157" s="71">
        <f>IF($N1157&lt;&gt;"OK","",$D1157*N(INDEX('Menu Pricing'!$F$7:$F$56,$O1157)))</f>
        <v/>
      </c>
      <c r="N1157" s="80">
        <f>IF(AND($B1157="",$C1157="",$D1157=""),"",IF(NOT(ISNUMBER($B1157)),"Enter a valid date",IF($C1157="","Pick a menu item",IF($O1157="","Item not on Menu Pricing",IF(N($D1157)&lt;=0,"Qty must be above 0",IF($H1157="","No price on menu","OK"))))))</f>
        <v/>
      </c>
      <c r="O1157" s="13">
        <f>IF($C1157="","",IFERROR(MATCH($C1157,'Menu Pricing'!$B$7:$B$56,0),""))</f>
        <v/>
      </c>
    </row>
    <row r="1158" ht="17" customHeight="1">
      <c r="B1158" s="66" t="n"/>
      <c r="C1158" s="60" t="n"/>
      <c r="D1158" s="86" t="n"/>
      <c r="E1158" s="63" t="n"/>
      <c r="F1158" s="60" t="n"/>
      <c r="G1158" s="60" t="n"/>
      <c r="H1158" s="71">
        <f>IF(OR($C1158="",$D1158=""),"",IF(ISNUMBER($E1158),$E1158,IF($O1158="","",IF(N(INDEX('Menu Pricing'!$O$7:$O$56,$O1158))&gt;0,INDEX('Menu Pricing'!$O$7:$O$56,$O1158),""))))</f>
        <v/>
      </c>
      <c r="I1158" s="71">
        <f>IF($N1158&lt;&gt;"OK","",$D1158*$H1158)</f>
        <v/>
      </c>
      <c r="J1158" s="71">
        <f>IF($N1158&lt;&gt;"OK","",N(INDEX('Menu Pricing'!$F$7:$F$56,$O1158))+N(INDEX('Menu Pricing'!$G$7:$G$56,$O1158))+N(INDEX('Menu Pricing'!$J$7:$J$56,$O1158)))</f>
        <v/>
      </c>
      <c r="K1158" s="71">
        <f>IF($N1158&lt;&gt;"OK","",$D1158*$J1158)</f>
        <v/>
      </c>
      <c r="L1158" s="71">
        <f>IF($N1158&lt;&gt;"OK","",$I1158-$K1158)</f>
        <v/>
      </c>
      <c r="M1158" s="71">
        <f>IF($N1158&lt;&gt;"OK","",$D1158*N(INDEX('Menu Pricing'!$F$7:$F$56,$O1158)))</f>
        <v/>
      </c>
      <c r="N1158" s="80">
        <f>IF(AND($B1158="",$C1158="",$D1158=""),"",IF(NOT(ISNUMBER($B1158)),"Enter a valid date",IF($C1158="","Pick a menu item",IF($O1158="","Item not on Menu Pricing",IF(N($D1158)&lt;=0,"Qty must be above 0",IF($H1158="","No price on menu","OK"))))))</f>
        <v/>
      </c>
      <c r="O1158" s="13">
        <f>IF($C1158="","",IFERROR(MATCH($C1158,'Menu Pricing'!$B$7:$B$56,0),""))</f>
        <v/>
      </c>
    </row>
    <row r="1159" ht="17" customHeight="1">
      <c r="B1159" s="66" t="n"/>
      <c r="C1159" s="60" t="n"/>
      <c r="D1159" s="86" t="n"/>
      <c r="E1159" s="63" t="n"/>
      <c r="F1159" s="60" t="n"/>
      <c r="G1159" s="60" t="n"/>
      <c r="H1159" s="71">
        <f>IF(OR($C1159="",$D1159=""),"",IF(ISNUMBER($E1159),$E1159,IF($O1159="","",IF(N(INDEX('Menu Pricing'!$O$7:$O$56,$O1159))&gt;0,INDEX('Menu Pricing'!$O$7:$O$56,$O1159),""))))</f>
        <v/>
      </c>
      <c r="I1159" s="71">
        <f>IF($N1159&lt;&gt;"OK","",$D1159*$H1159)</f>
        <v/>
      </c>
      <c r="J1159" s="71">
        <f>IF($N1159&lt;&gt;"OK","",N(INDEX('Menu Pricing'!$F$7:$F$56,$O1159))+N(INDEX('Menu Pricing'!$G$7:$G$56,$O1159))+N(INDEX('Menu Pricing'!$J$7:$J$56,$O1159)))</f>
        <v/>
      </c>
      <c r="K1159" s="71">
        <f>IF($N1159&lt;&gt;"OK","",$D1159*$J1159)</f>
        <v/>
      </c>
      <c r="L1159" s="71">
        <f>IF($N1159&lt;&gt;"OK","",$I1159-$K1159)</f>
        <v/>
      </c>
      <c r="M1159" s="71">
        <f>IF($N1159&lt;&gt;"OK","",$D1159*N(INDEX('Menu Pricing'!$F$7:$F$56,$O1159)))</f>
        <v/>
      </c>
      <c r="N1159" s="80">
        <f>IF(AND($B1159="",$C1159="",$D1159=""),"",IF(NOT(ISNUMBER($B1159)),"Enter a valid date",IF($C1159="","Pick a menu item",IF($O1159="","Item not on Menu Pricing",IF(N($D1159)&lt;=0,"Qty must be above 0",IF($H1159="","No price on menu","OK"))))))</f>
        <v/>
      </c>
      <c r="O1159" s="13">
        <f>IF($C1159="","",IFERROR(MATCH($C1159,'Menu Pricing'!$B$7:$B$56,0),""))</f>
        <v/>
      </c>
    </row>
    <row r="1160" ht="17" customHeight="1">
      <c r="B1160" s="66" t="n"/>
      <c r="C1160" s="60" t="n"/>
      <c r="D1160" s="86" t="n"/>
      <c r="E1160" s="63" t="n"/>
      <c r="F1160" s="60" t="n"/>
      <c r="G1160" s="60" t="n"/>
      <c r="H1160" s="71">
        <f>IF(OR($C1160="",$D1160=""),"",IF(ISNUMBER($E1160),$E1160,IF($O1160="","",IF(N(INDEX('Menu Pricing'!$O$7:$O$56,$O1160))&gt;0,INDEX('Menu Pricing'!$O$7:$O$56,$O1160),""))))</f>
        <v/>
      </c>
      <c r="I1160" s="71">
        <f>IF($N1160&lt;&gt;"OK","",$D1160*$H1160)</f>
        <v/>
      </c>
      <c r="J1160" s="71">
        <f>IF($N1160&lt;&gt;"OK","",N(INDEX('Menu Pricing'!$F$7:$F$56,$O1160))+N(INDEX('Menu Pricing'!$G$7:$G$56,$O1160))+N(INDEX('Menu Pricing'!$J$7:$J$56,$O1160)))</f>
        <v/>
      </c>
      <c r="K1160" s="71">
        <f>IF($N1160&lt;&gt;"OK","",$D1160*$J1160)</f>
        <v/>
      </c>
      <c r="L1160" s="71">
        <f>IF($N1160&lt;&gt;"OK","",$I1160-$K1160)</f>
        <v/>
      </c>
      <c r="M1160" s="71">
        <f>IF($N1160&lt;&gt;"OK","",$D1160*N(INDEX('Menu Pricing'!$F$7:$F$56,$O1160)))</f>
        <v/>
      </c>
      <c r="N1160" s="80">
        <f>IF(AND($B1160="",$C1160="",$D1160=""),"",IF(NOT(ISNUMBER($B1160)),"Enter a valid date",IF($C1160="","Pick a menu item",IF($O1160="","Item not on Menu Pricing",IF(N($D1160)&lt;=0,"Qty must be above 0",IF($H1160="","No price on menu","OK"))))))</f>
        <v/>
      </c>
      <c r="O1160" s="13">
        <f>IF($C1160="","",IFERROR(MATCH($C1160,'Menu Pricing'!$B$7:$B$56,0),""))</f>
        <v/>
      </c>
    </row>
    <row r="1161" ht="17" customHeight="1">
      <c r="B1161" s="66" t="n"/>
      <c r="C1161" s="60" t="n"/>
      <c r="D1161" s="86" t="n"/>
      <c r="E1161" s="63" t="n"/>
      <c r="F1161" s="60" t="n"/>
      <c r="G1161" s="60" t="n"/>
      <c r="H1161" s="71">
        <f>IF(OR($C1161="",$D1161=""),"",IF(ISNUMBER($E1161),$E1161,IF($O1161="","",IF(N(INDEX('Menu Pricing'!$O$7:$O$56,$O1161))&gt;0,INDEX('Menu Pricing'!$O$7:$O$56,$O1161),""))))</f>
        <v/>
      </c>
      <c r="I1161" s="71">
        <f>IF($N1161&lt;&gt;"OK","",$D1161*$H1161)</f>
        <v/>
      </c>
      <c r="J1161" s="71">
        <f>IF($N1161&lt;&gt;"OK","",N(INDEX('Menu Pricing'!$F$7:$F$56,$O1161))+N(INDEX('Menu Pricing'!$G$7:$G$56,$O1161))+N(INDEX('Menu Pricing'!$J$7:$J$56,$O1161)))</f>
        <v/>
      </c>
      <c r="K1161" s="71">
        <f>IF($N1161&lt;&gt;"OK","",$D1161*$J1161)</f>
        <v/>
      </c>
      <c r="L1161" s="71">
        <f>IF($N1161&lt;&gt;"OK","",$I1161-$K1161)</f>
        <v/>
      </c>
      <c r="M1161" s="71">
        <f>IF($N1161&lt;&gt;"OK","",$D1161*N(INDEX('Menu Pricing'!$F$7:$F$56,$O1161)))</f>
        <v/>
      </c>
      <c r="N1161" s="80">
        <f>IF(AND($B1161="",$C1161="",$D1161=""),"",IF(NOT(ISNUMBER($B1161)),"Enter a valid date",IF($C1161="","Pick a menu item",IF($O1161="","Item not on Menu Pricing",IF(N($D1161)&lt;=0,"Qty must be above 0",IF($H1161="","No price on menu","OK"))))))</f>
        <v/>
      </c>
      <c r="O1161" s="13">
        <f>IF($C1161="","",IFERROR(MATCH($C1161,'Menu Pricing'!$B$7:$B$56,0),""))</f>
        <v/>
      </c>
    </row>
    <row r="1162" ht="17" customHeight="1">
      <c r="B1162" s="66" t="n"/>
      <c r="C1162" s="60" t="n"/>
      <c r="D1162" s="86" t="n"/>
      <c r="E1162" s="63" t="n"/>
      <c r="F1162" s="60" t="n"/>
      <c r="G1162" s="60" t="n"/>
      <c r="H1162" s="71">
        <f>IF(OR($C1162="",$D1162=""),"",IF(ISNUMBER($E1162),$E1162,IF($O1162="","",IF(N(INDEX('Menu Pricing'!$O$7:$O$56,$O1162))&gt;0,INDEX('Menu Pricing'!$O$7:$O$56,$O1162),""))))</f>
        <v/>
      </c>
      <c r="I1162" s="71">
        <f>IF($N1162&lt;&gt;"OK","",$D1162*$H1162)</f>
        <v/>
      </c>
      <c r="J1162" s="71">
        <f>IF($N1162&lt;&gt;"OK","",N(INDEX('Menu Pricing'!$F$7:$F$56,$O1162))+N(INDEX('Menu Pricing'!$G$7:$G$56,$O1162))+N(INDEX('Menu Pricing'!$J$7:$J$56,$O1162)))</f>
        <v/>
      </c>
      <c r="K1162" s="71">
        <f>IF($N1162&lt;&gt;"OK","",$D1162*$J1162)</f>
        <v/>
      </c>
      <c r="L1162" s="71">
        <f>IF($N1162&lt;&gt;"OK","",$I1162-$K1162)</f>
        <v/>
      </c>
      <c r="M1162" s="71">
        <f>IF($N1162&lt;&gt;"OK","",$D1162*N(INDEX('Menu Pricing'!$F$7:$F$56,$O1162)))</f>
        <v/>
      </c>
      <c r="N1162" s="80">
        <f>IF(AND($B1162="",$C1162="",$D1162=""),"",IF(NOT(ISNUMBER($B1162)),"Enter a valid date",IF($C1162="","Pick a menu item",IF($O1162="","Item not on Menu Pricing",IF(N($D1162)&lt;=0,"Qty must be above 0",IF($H1162="","No price on menu","OK"))))))</f>
        <v/>
      </c>
      <c r="O1162" s="13">
        <f>IF($C1162="","",IFERROR(MATCH($C1162,'Menu Pricing'!$B$7:$B$56,0),""))</f>
        <v/>
      </c>
    </row>
    <row r="1163" ht="17" customHeight="1">
      <c r="B1163" s="66" t="n"/>
      <c r="C1163" s="60" t="n"/>
      <c r="D1163" s="86" t="n"/>
      <c r="E1163" s="63" t="n"/>
      <c r="F1163" s="60" t="n"/>
      <c r="G1163" s="60" t="n"/>
      <c r="H1163" s="71">
        <f>IF(OR($C1163="",$D1163=""),"",IF(ISNUMBER($E1163),$E1163,IF($O1163="","",IF(N(INDEX('Menu Pricing'!$O$7:$O$56,$O1163))&gt;0,INDEX('Menu Pricing'!$O$7:$O$56,$O1163),""))))</f>
        <v/>
      </c>
      <c r="I1163" s="71">
        <f>IF($N1163&lt;&gt;"OK","",$D1163*$H1163)</f>
        <v/>
      </c>
      <c r="J1163" s="71">
        <f>IF($N1163&lt;&gt;"OK","",N(INDEX('Menu Pricing'!$F$7:$F$56,$O1163))+N(INDEX('Menu Pricing'!$G$7:$G$56,$O1163))+N(INDEX('Menu Pricing'!$J$7:$J$56,$O1163)))</f>
        <v/>
      </c>
      <c r="K1163" s="71">
        <f>IF($N1163&lt;&gt;"OK","",$D1163*$J1163)</f>
        <v/>
      </c>
      <c r="L1163" s="71">
        <f>IF($N1163&lt;&gt;"OK","",$I1163-$K1163)</f>
        <v/>
      </c>
      <c r="M1163" s="71">
        <f>IF($N1163&lt;&gt;"OK","",$D1163*N(INDEX('Menu Pricing'!$F$7:$F$56,$O1163)))</f>
        <v/>
      </c>
      <c r="N1163" s="80">
        <f>IF(AND($B1163="",$C1163="",$D1163=""),"",IF(NOT(ISNUMBER($B1163)),"Enter a valid date",IF($C1163="","Pick a menu item",IF($O1163="","Item not on Menu Pricing",IF(N($D1163)&lt;=0,"Qty must be above 0",IF($H1163="","No price on menu","OK"))))))</f>
        <v/>
      </c>
      <c r="O1163" s="13">
        <f>IF($C1163="","",IFERROR(MATCH($C1163,'Menu Pricing'!$B$7:$B$56,0),""))</f>
        <v/>
      </c>
    </row>
    <row r="1164" ht="17" customHeight="1">
      <c r="B1164" s="66" t="n"/>
      <c r="C1164" s="60" t="n"/>
      <c r="D1164" s="86" t="n"/>
      <c r="E1164" s="63" t="n"/>
      <c r="F1164" s="60" t="n"/>
      <c r="G1164" s="60" t="n"/>
      <c r="H1164" s="71">
        <f>IF(OR($C1164="",$D1164=""),"",IF(ISNUMBER($E1164),$E1164,IF($O1164="","",IF(N(INDEX('Menu Pricing'!$O$7:$O$56,$O1164))&gt;0,INDEX('Menu Pricing'!$O$7:$O$56,$O1164),""))))</f>
        <v/>
      </c>
      <c r="I1164" s="71">
        <f>IF($N1164&lt;&gt;"OK","",$D1164*$H1164)</f>
        <v/>
      </c>
      <c r="J1164" s="71">
        <f>IF($N1164&lt;&gt;"OK","",N(INDEX('Menu Pricing'!$F$7:$F$56,$O1164))+N(INDEX('Menu Pricing'!$G$7:$G$56,$O1164))+N(INDEX('Menu Pricing'!$J$7:$J$56,$O1164)))</f>
        <v/>
      </c>
      <c r="K1164" s="71">
        <f>IF($N1164&lt;&gt;"OK","",$D1164*$J1164)</f>
        <v/>
      </c>
      <c r="L1164" s="71">
        <f>IF($N1164&lt;&gt;"OK","",$I1164-$K1164)</f>
        <v/>
      </c>
      <c r="M1164" s="71">
        <f>IF($N1164&lt;&gt;"OK","",$D1164*N(INDEX('Menu Pricing'!$F$7:$F$56,$O1164)))</f>
        <v/>
      </c>
      <c r="N1164" s="80">
        <f>IF(AND($B1164="",$C1164="",$D1164=""),"",IF(NOT(ISNUMBER($B1164)),"Enter a valid date",IF($C1164="","Pick a menu item",IF($O1164="","Item not on Menu Pricing",IF(N($D1164)&lt;=0,"Qty must be above 0",IF($H1164="","No price on menu","OK"))))))</f>
        <v/>
      </c>
      <c r="O1164" s="13">
        <f>IF($C1164="","",IFERROR(MATCH($C1164,'Menu Pricing'!$B$7:$B$56,0),""))</f>
        <v/>
      </c>
    </row>
    <row r="1165" ht="17" customHeight="1">
      <c r="B1165" s="66" t="n"/>
      <c r="C1165" s="60" t="n"/>
      <c r="D1165" s="86" t="n"/>
      <c r="E1165" s="63" t="n"/>
      <c r="F1165" s="60" t="n"/>
      <c r="G1165" s="60" t="n"/>
      <c r="H1165" s="71">
        <f>IF(OR($C1165="",$D1165=""),"",IF(ISNUMBER($E1165),$E1165,IF($O1165="","",IF(N(INDEX('Menu Pricing'!$O$7:$O$56,$O1165))&gt;0,INDEX('Menu Pricing'!$O$7:$O$56,$O1165),""))))</f>
        <v/>
      </c>
      <c r="I1165" s="71">
        <f>IF($N1165&lt;&gt;"OK","",$D1165*$H1165)</f>
        <v/>
      </c>
      <c r="J1165" s="71">
        <f>IF($N1165&lt;&gt;"OK","",N(INDEX('Menu Pricing'!$F$7:$F$56,$O1165))+N(INDEX('Menu Pricing'!$G$7:$G$56,$O1165))+N(INDEX('Menu Pricing'!$J$7:$J$56,$O1165)))</f>
        <v/>
      </c>
      <c r="K1165" s="71">
        <f>IF($N1165&lt;&gt;"OK","",$D1165*$J1165)</f>
        <v/>
      </c>
      <c r="L1165" s="71">
        <f>IF($N1165&lt;&gt;"OK","",$I1165-$K1165)</f>
        <v/>
      </c>
      <c r="M1165" s="71">
        <f>IF($N1165&lt;&gt;"OK","",$D1165*N(INDEX('Menu Pricing'!$F$7:$F$56,$O1165)))</f>
        <v/>
      </c>
      <c r="N1165" s="80">
        <f>IF(AND($B1165="",$C1165="",$D1165=""),"",IF(NOT(ISNUMBER($B1165)),"Enter a valid date",IF($C1165="","Pick a menu item",IF($O1165="","Item not on Menu Pricing",IF(N($D1165)&lt;=0,"Qty must be above 0",IF($H1165="","No price on menu","OK"))))))</f>
        <v/>
      </c>
      <c r="O1165" s="13">
        <f>IF($C1165="","",IFERROR(MATCH($C1165,'Menu Pricing'!$B$7:$B$56,0),""))</f>
        <v/>
      </c>
    </row>
    <row r="1166" ht="17" customHeight="1">
      <c r="B1166" s="66" t="n"/>
      <c r="C1166" s="60" t="n"/>
      <c r="D1166" s="86" t="n"/>
      <c r="E1166" s="63" t="n"/>
      <c r="F1166" s="60" t="n"/>
      <c r="G1166" s="60" t="n"/>
      <c r="H1166" s="71">
        <f>IF(OR($C1166="",$D1166=""),"",IF(ISNUMBER($E1166),$E1166,IF($O1166="","",IF(N(INDEX('Menu Pricing'!$O$7:$O$56,$O1166))&gt;0,INDEX('Menu Pricing'!$O$7:$O$56,$O1166),""))))</f>
        <v/>
      </c>
      <c r="I1166" s="71">
        <f>IF($N1166&lt;&gt;"OK","",$D1166*$H1166)</f>
        <v/>
      </c>
      <c r="J1166" s="71">
        <f>IF($N1166&lt;&gt;"OK","",N(INDEX('Menu Pricing'!$F$7:$F$56,$O1166))+N(INDEX('Menu Pricing'!$G$7:$G$56,$O1166))+N(INDEX('Menu Pricing'!$J$7:$J$56,$O1166)))</f>
        <v/>
      </c>
      <c r="K1166" s="71">
        <f>IF($N1166&lt;&gt;"OK","",$D1166*$J1166)</f>
        <v/>
      </c>
      <c r="L1166" s="71">
        <f>IF($N1166&lt;&gt;"OK","",$I1166-$K1166)</f>
        <v/>
      </c>
      <c r="M1166" s="71">
        <f>IF($N1166&lt;&gt;"OK","",$D1166*N(INDEX('Menu Pricing'!$F$7:$F$56,$O1166)))</f>
        <v/>
      </c>
      <c r="N1166" s="80">
        <f>IF(AND($B1166="",$C1166="",$D1166=""),"",IF(NOT(ISNUMBER($B1166)),"Enter a valid date",IF($C1166="","Pick a menu item",IF($O1166="","Item not on Menu Pricing",IF(N($D1166)&lt;=0,"Qty must be above 0",IF($H1166="","No price on menu","OK"))))))</f>
        <v/>
      </c>
      <c r="O1166" s="13">
        <f>IF($C1166="","",IFERROR(MATCH($C1166,'Menu Pricing'!$B$7:$B$56,0),""))</f>
        <v/>
      </c>
    </row>
    <row r="1167" ht="17" customHeight="1">
      <c r="B1167" s="66" t="n"/>
      <c r="C1167" s="60" t="n"/>
      <c r="D1167" s="86" t="n"/>
      <c r="E1167" s="63" t="n"/>
      <c r="F1167" s="60" t="n"/>
      <c r="G1167" s="60" t="n"/>
      <c r="H1167" s="71">
        <f>IF(OR($C1167="",$D1167=""),"",IF(ISNUMBER($E1167),$E1167,IF($O1167="","",IF(N(INDEX('Menu Pricing'!$O$7:$O$56,$O1167))&gt;0,INDEX('Menu Pricing'!$O$7:$O$56,$O1167),""))))</f>
        <v/>
      </c>
      <c r="I1167" s="71">
        <f>IF($N1167&lt;&gt;"OK","",$D1167*$H1167)</f>
        <v/>
      </c>
      <c r="J1167" s="71">
        <f>IF($N1167&lt;&gt;"OK","",N(INDEX('Menu Pricing'!$F$7:$F$56,$O1167))+N(INDEX('Menu Pricing'!$G$7:$G$56,$O1167))+N(INDEX('Menu Pricing'!$J$7:$J$56,$O1167)))</f>
        <v/>
      </c>
      <c r="K1167" s="71">
        <f>IF($N1167&lt;&gt;"OK","",$D1167*$J1167)</f>
        <v/>
      </c>
      <c r="L1167" s="71">
        <f>IF($N1167&lt;&gt;"OK","",$I1167-$K1167)</f>
        <v/>
      </c>
      <c r="M1167" s="71">
        <f>IF($N1167&lt;&gt;"OK","",$D1167*N(INDEX('Menu Pricing'!$F$7:$F$56,$O1167)))</f>
        <v/>
      </c>
      <c r="N1167" s="80">
        <f>IF(AND($B1167="",$C1167="",$D1167=""),"",IF(NOT(ISNUMBER($B1167)),"Enter a valid date",IF($C1167="","Pick a menu item",IF($O1167="","Item not on Menu Pricing",IF(N($D1167)&lt;=0,"Qty must be above 0",IF($H1167="","No price on menu","OK"))))))</f>
        <v/>
      </c>
      <c r="O1167" s="13">
        <f>IF($C1167="","",IFERROR(MATCH($C1167,'Menu Pricing'!$B$7:$B$56,0),""))</f>
        <v/>
      </c>
    </row>
    <row r="1168" ht="17" customHeight="1">
      <c r="B1168" s="66" t="n"/>
      <c r="C1168" s="60" t="n"/>
      <c r="D1168" s="86" t="n"/>
      <c r="E1168" s="63" t="n"/>
      <c r="F1168" s="60" t="n"/>
      <c r="G1168" s="60" t="n"/>
      <c r="H1168" s="71">
        <f>IF(OR($C1168="",$D1168=""),"",IF(ISNUMBER($E1168),$E1168,IF($O1168="","",IF(N(INDEX('Menu Pricing'!$O$7:$O$56,$O1168))&gt;0,INDEX('Menu Pricing'!$O$7:$O$56,$O1168),""))))</f>
        <v/>
      </c>
      <c r="I1168" s="71">
        <f>IF($N1168&lt;&gt;"OK","",$D1168*$H1168)</f>
        <v/>
      </c>
      <c r="J1168" s="71">
        <f>IF($N1168&lt;&gt;"OK","",N(INDEX('Menu Pricing'!$F$7:$F$56,$O1168))+N(INDEX('Menu Pricing'!$G$7:$G$56,$O1168))+N(INDEX('Menu Pricing'!$J$7:$J$56,$O1168)))</f>
        <v/>
      </c>
      <c r="K1168" s="71">
        <f>IF($N1168&lt;&gt;"OK","",$D1168*$J1168)</f>
        <v/>
      </c>
      <c r="L1168" s="71">
        <f>IF($N1168&lt;&gt;"OK","",$I1168-$K1168)</f>
        <v/>
      </c>
      <c r="M1168" s="71">
        <f>IF($N1168&lt;&gt;"OK","",$D1168*N(INDEX('Menu Pricing'!$F$7:$F$56,$O1168)))</f>
        <v/>
      </c>
      <c r="N1168" s="80">
        <f>IF(AND($B1168="",$C1168="",$D1168=""),"",IF(NOT(ISNUMBER($B1168)),"Enter a valid date",IF($C1168="","Pick a menu item",IF($O1168="","Item not on Menu Pricing",IF(N($D1168)&lt;=0,"Qty must be above 0",IF($H1168="","No price on menu","OK"))))))</f>
        <v/>
      </c>
      <c r="O1168" s="13">
        <f>IF($C1168="","",IFERROR(MATCH($C1168,'Menu Pricing'!$B$7:$B$56,0),""))</f>
        <v/>
      </c>
    </row>
    <row r="1169" ht="17" customHeight="1">
      <c r="B1169" s="66" t="n"/>
      <c r="C1169" s="60" t="n"/>
      <c r="D1169" s="86" t="n"/>
      <c r="E1169" s="63" t="n"/>
      <c r="F1169" s="60" t="n"/>
      <c r="G1169" s="60" t="n"/>
      <c r="H1169" s="71">
        <f>IF(OR($C1169="",$D1169=""),"",IF(ISNUMBER($E1169),$E1169,IF($O1169="","",IF(N(INDEX('Menu Pricing'!$O$7:$O$56,$O1169))&gt;0,INDEX('Menu Pricing'!$O$7:$O$56,$O1169),""))))</f>
        <v/>
      </c>
      <c r="I1169" s="71">
        <f>IF($N1169&lt;&gt;"OK","",$D1169*$H1169)</f>
        <v/>
      </c>
      <c r="J1169" s="71">
        <f>IF($N1169&lt;&gt;"OK","",N(INDEX('Menu Pricing'!$F$7:$F$56,$O1169))+N(INDEX('Menu Pricing'!$G$7:$G$56,$O1169))+N(INDEX('Menu Pricing'!$J$7:$J$56,$O1169)))</f>
        <v/>
      </c>
      <c r="K1169" s="71">
        <f>IF($N1169&lt;&gt;"OK","",$D1169*$J1169)</f>
        <v/>
      </c>
      <c r="L1169" s="71">
        <f>IF($N1169&lt;&gt;"OK","",$I1169-$K1169)</f>
        <v/>
      </c>
      <c r="M1169" s="71">
        <f>IF($N1169&lt;&gt;"OK","",$D1169*N(INDEX('Menu Pricing'!$F$7:$F$56,$O1169)))</f>
        <v/>
      </c>
      <c r="N1169" s="80">
        <f>IF(AND($B1169="",$C1169="",$D1169=""),"",IF(NOT(ISNUMBER($B1169)),"Enter a valid date",IF($C1169="","Pick a menu item",IF($O1169="","Item not on Menu Pricing",IF(N($D1169)&lt;=0,"Qty must be above 0",IF($H1169="","No price on menu","OK"))))))</f>
        <v/>
      </c>
      <c r="O1169" s="13">
        <f>IF($C1169="","",IFERROR(MATCH($C1169,'Menu Pricing'!$B$7:$B$56,0),""))</f>
        <v/>
      </c>
    </row>
    <row r="1170" ht="17" customHeight="1">
      <c r="B1170" s="66" t="n"/>
      <c r="C1170" s="60" t="n"/>
      <c r="D1170" s="86" t="n"/>
      <c r="E1170" s="63" t="n"/>
      <c r="F1170" s="60" t="n"/>
      <c r="G1170" s="60" t="n"/>
      <c r="H1170" s="71">
        <f>IF(OR($C1170="",$D1170=""),"",IF(ISNUMBER($E1170),$E1170,IF($O1170="","",IF(N(INDEX('Menu Pricing'!$O$7:$O$56,$O1170))&gt;0,INDEX('Menu Pricing'!$O$7:$O$56,$O1170),""))))</f>
        <v/>
      </c>
      <c r="I1170" s="71">
        <f>IF($N1170&lt;&gt;"OK","",$D1170*$H1170)</f>
        <v/>
      </c>
      <c r="J1170" s="71">
        <f>IF($N1170&lt;&gt;"OK","",N(INDEX('Menu Pricing'!$F$7:$F$56,$O1170))+N(INDEX('Menu Pricing'!$G$7:$G$56,$O1170))+N(INDEX('Menu Pricing'!$J$7:$J$56,$O1170)))</f>
        <v/>
      </c>
      <c r="K1170" s="71">
        <f>IF($N1170&lt;&gt;"OK","",$D1170*$J1170)</f>
        <v/>
      </c>
      <c r="L1170" s="71">
        <f>IF($N1170&lt;&gt;"OK","",$I1170-$K1170)</f>
        <v/>
      </c>
      <c r="M1170" s="71">
        <f>IF($N1170&lt;&gt;"OK","",$D1170*N(INDEX('Menu Pricing'!$F$7:$F$56,$O1170)))</f>
        <v/>
      </c>
      <c r="N1170" s="80">
        <f>IF(AND($B1170="",$C1170="",$D1170=""),"",IF(NOT(ISNUMBER($B1170)),"Enter a valid date",IF($C1170="","Pick a menu item",IF($O1170="","Item not on Menu Pricing",IF(N($D1170)&lt;=0,"Qty must be above 0",IF($H1170="","No price on menu","OK"))))))</f>
        <v/>
      </c>
      <c r="O1170" s="13">
        <f>IF($C1170="","",IFERROR(MATCH($C1170,'Menu Pricing'!$B$7:$B$56,0),""))</f>
        <v/>
      </c>
    </row>
    <row r="1171" ht="17" customHeight="1">
      <c r="B1171" s="66" t="n"/>
      <c r="C1171" s="60" t="n"/>
      <c r="D1171" s="86" t="n"/>
      <c r="E1171" s="63" t="n"/>
      <c r="F1171" s="60" t="n"/>
      <c r="G1171" s="60" t="n"/>
      <c r="H1171" s="71">
        <f>IF(OR($C1171="",$D1171=""),"",IF(ISNUMBER($E1171),$E1171,IF($O1171="","",IF(N(INDEX('Menu Pricing'!$O$7:$O$56,$O1171))&gt;0,INDEX('Menu Pricing'!$O$7:$O$56,$O1171),""))))</f>
        <v/>
      </c>
      <c r="I1171" s="71">
        <f>IF($N1171&lt;&gt;"OK","",$D1171*$H1171)</f>
        <v/>
      </c>
      <c r="J1171" s="71">
        <f>IF($N1171&lt;&gt;"OK","",N(INDEX('Menu Pricing'!$F$7:$F$56,$O1171))+N(INDEX('Menu Pricing'!$G$7:$G$56,$O1171))+N(INDEX('Menu Pricing'!$J$7:$J$56,$O1171)))</f>
        <v/>
      </c>
      <c r="K1171" s="71">
        <f>IF($N1171&lt;&gt;"OK","",$D1171*$J1171)</f>
        <v/>
      </c>
      <c r="L1171" s="71">
        <f>IF($N1171&lt;&gt;"OK","",$I1171-$K1171)</f>
        <v/>
      </c>
      <c r="M1171" s="71">
        <f>IF($N1171&lt;&gt;"OK","",$D1171*N(INDEX('Menu Pricing'!$F$7:$F$56,$O1171)))</f>
        <v/>
      </c>
      <c r="N1171" s="80">
        <f>IF(AND($B1171="",$C1171="",$D1171=""),"",IF(NOT(ISNUMBER($B1171)),"Enter a valid date",IF($C1171="","Pick a menu item",IF($O1171="","Item not on Menu Pricing",IF(N($D1171)&lt;=0,"Qty must be above 0",IF($H1171="","No price on menu","OK"))))))</f>
        <v/>
      </c>
      <c r="O1171" s="13">
        <f>IF($C1171="","",IFERROR(MATCH($C1171,'Menu Pricing'!$B$7:$B$56,0),""))</f>
        <v/>
      </c>
    </row>
    <row r="1172" ht="17" customHeight="1">
      <c r="B1172" s="66" t="n"/>
      <c r="C1172" s="60" t="n"/>
      <c r="D1172" s="86" t="n"/>
      <c r="E1172" s="63" t="n"/>
      <c r="F1172" s="60" t="n"/>
      <c r="G1172" s="60" t="n"/>
      <c r="H1172" s="71">
        <f>IF(OR($C1172="",$D1172=""),"",IF(ISNUMBER($E1172),$E1172,IF($O1172="","",IF(N(INDEX('Menu Pricing'!$O$7:$O$56,$O1172))&gt;0,INDEX('Menu Pricing'!$O$7:$O$56,$O1172),""))))</f>
        <v/>
      </c>
      <c r="I1172" s="71">
        <f>IF($N1172&lt;&gt;"OK","",$D1172*$H1172)</f>
        <v/>
      </c>
      <c r="J1172" s="71">
        <f>IF($N1172&lt;&gt;"OK","",N(INDEX('Menu Pricing'!$F$7:$F$56,$O1172))+N(INDEX('Menu Pricing'!$G$7:$G$56,$O1172))+N(INDEX('Menu Pricing'!$J$7:$J$56,$O1172)))</f>
        <v/>
      </c>
      <c r="K1172" s="71">
        <f>IF($N1172&lt;&gt;"OK","",$D1172*$J1172)</f>
        <v/>
      </c>
      <c r="L1172" s="71">
        <f>IF($N1172&lt;&gt;"OK","",$I1172-$K1172)</f>
        <v/>
      </c>
      <c r="M1172" s="71">
        <f>IF($N1172&lt;&gt;"OK","",$D1172*N(INDEX('Menu Pricing'!$F$7:$F$56,$O1172)))</f>
        <v/>
      </c>
      <c r="N1172" s="80">
        <f>IF(AND($B1172="",$C1172="",$D1172=""),"",IF(NOT(ISNUMBER($B1172)),"Enter a valid date",IF($C1172="","Pick a menu item",IF($O1172="","Item not on Menu Pricing",IF(N($D1172)&lt;=0,"Qty must be above 0",IF($H1172="","No price on menu","OK"))))))</f>
        <v/>
      </c>
      <c r="O1172" s="13">
        <f>IF($C1172="","",IFERROR(MATCH($C1172,'Menu Pricing'!$B$7:$B$56,0),""))</f>
        <v/>
      </c>
    </row>
    <row r="1173" ht="17" customHeight="1">
      <c r="B1173" s="66" t="n"/>
      <c r="C1173" s="60" t="n"/>
      <c r="D1173" s="86" t="n"/>
      <c r="E1173" s="63" t="n"/>
      <c r="F1173" s="60" t="n"/>
      <c r="G1173" s="60" t="n"/>
      <c r="H1173" s="71">
        <f>IF(OR($C1173="",$D1173=""),"",IF(ISNUMBER($E1173),$E1173,IF($O1173="","",IF(N(INDEX('Menu Pricing'!$O$7:$O$56,$O1173))&gt;0,INDEX('Menu Pricing'!$O$7:$O$56,$O1173),""))))</f>
        <v/>
      </c>
      <c r="I1173" s="71">
        <f>IF($N1173&lt;&gt;"OK","",$D1173*$H1173)</f>
        <v/>
      </c>
      <c r="J1173" s="71">
        <f>IF($N1173&lt;&gt;"OK","",N(INDEX('Menu Pricing'!$F$7:$F$56,$O1173))+N(INDEX('Menu Pricing'!$G$7:$G$56,$O1173))+N(INDEX('Menu Pricing'!$J$7:$J$56,$O1173)))</f>
        <v/>
      </c>
      <c r="K1173" s="71">
        <f>IF($N1173&lt;&gt;"OK","",$D1173*$J1173)</f>
        <v/>
      </c>
      <c r="L1173" s="71">
        <f>IF($N1173&lt;&gt;"OK","",$I1173-$K1173)</f>
        <v/>
      </c>
      <c r="M1173" s="71">
        <f>IF($N1173&lt;&gt;"OK","",$D1173*N(INDEX('Menu Pricing'!$F$7:$F$56,$O1173)))</f>
        <v/>
      </c>
      <c r="N1173" s="80">
        <f>IF(AND($B1173="",$C1173="",$D1173=""),"",IF(NOT(ISNUMBER($B1173)),"Enter a valid date",IF($C1173="","Pick a menu item",IF($O1173="","Item not on Menu Pricing",IF(N($D1173)&lt;=0,"Qty must be above 0",IF($H1173="","No price on menu","OK"))))))</f>
        <v/>
      </c>
      <c r="O1173" s="13">
        <f>IF($C1173="","",IFERROR(MATCH($C1173,'Menu Pricing'!$B$7:$B$56,0),""))</f>
        <v/>
      </c>
    </row>
    <row r="1174" ht="17" customHeight="1">
      <c r="B1174" s="66" t="n"/>
      <c r="C1174" s="60" t="n"/>
      <c r="D1174" s="86" t="n"/>
      <c r="E1174" s="63" t="n"/>
      <c r="F1174" s="60" t="n"/>
      <c r="G1174" s="60" t="n"/>
      <c r="H1174" s="71">
        <f>IF(OR($C1174="",$D1174=""),"",IF(ISNUMBER($E1174),$E1174,IF($O1174="","",IF(N(INDEX('Menu Pricing'!$O$7:$O$56,$O1174))&gt;0,INDEX('Menu Pricing'!$O$7:$O$56,$O1174),""))))</f>
        <v/>
      </c>
      <c r="I1174" s="71">
        <f>IF($N1174&lt;&gt;"OK","",$D1174*$H1174)</f>
        <v/>
      </c>
      <c r="J1174" s="71">
        <f>IF($N1174&lt;&gt;"OK","",N(INDEX('Menu Pricing'!$F$7:$F$56,$O1174))+N(INDEX('Menu Pricing'!$G$7:$G$56,$O1174))+N(INDEX('Menu Pricing'!$J$7:$J$56,$O1174)))</f>
        <v/>
      </c>
      <c r="K1174" s="71">
        <f>IF($N1174&lt;&gt;"OK","",$D1174*$J1174)</f>
        <v/>
      </c>
      <c r="L1174" s="71">
        <f>IF($N1174&lt;&gt;"OK","",$I1174-$K1174)</f>
        <v/>
      </c>
      <c r="M1174" s="71">
        <f>IF($N1174&lt;&gt;"OK","",$D1174*N(INDEX('Menu Pricing'!$F$7:$F$56,$O1174)))</f>
        <v/>
      </c>
      <c r="N1174" s="80">
        <f>IF(AND($B1174="",$C1174="",$D1174=""),"",IF(NOT(ISNUMBER($B1174)),"Enter a valid date",IF($C1174="","Pick a menu item",IF($O1174="","Item not on Menu Pricing",IF(N($D1174)&lt;=0,"Qty must be above 0",IF($H1174="","No price on menu","OK"))))))</f>
        <v/>
      </c>
      <c r="O1174" s="13">
        <f>IF($C1174="","",IFERROR(MATCH($C1174,'Menu Pricing'!$B$7:$B$56,0),""))</f>
        <v/>
      </c>
    </row>
    <row r="1175" ht="17" customHeight="1">
      <c r="B1175" s="66" t="n"/>
      <c r="C1175" s="60" t="n"/>
      <c r="D1175" s="86" t="n"/>
      <c r="E1175" s="63" t="n"/>
      <c r="F1175" s="60" t="n"/>
      <c r="G1175" s="60" t="n"/>
      <c r="H1175" s="71">
        <f>IF(OR($C1175="",$D1175=""),"",IF(ISNUMBER($E1175),$E1175,IF($O1175="","",IF(N(INDEX('Menu Pricing'!$O$7:$O$56,$O1175))&gt;0,INDEX('Menu Pricing'!$O$7:$O$56,$O1175),""))))</f>
        <v/>
      </c>
      <c r="I1175" s="71">
        <f>IF($N1175&lt;&gt;"OK","",$D1175*$H1175)</f>
        <v/>
      </c>
      <c r="J1175" s="71">
        <f>IF($N1175&lt;&gt;"OK","",N(INDEX('Menu Pricing'!$F$7:$F$56,$O1175))+N(INDEX('Menu Pricing'!$G$7:$G$56,$O1175))+N(INDEX('Menu Pricing'!$J$7:$J$56,$O1175)))</f>
        <v/>
      </c>
      <c r="K1175" s="71">
        <f>IF($N1175&lt;&gt;"OK","",$D1175*$J1175)</f>
        <v/>
      </c>
      <c r="L1175" s="71">
        <f>IF($N1175&lt;&gt;"OK","",$I1175-$K1175)</f>
        <v/>
      </c>
      <c r="M1175" s="71">
        <f>IF($N1175&lt;&gt;"OK","",$D1175*N(INDEX('Menu Pricing'!$F$7:$F$56,$O1175)))</f>
        <v/>
      </c>
      <c r="N1175" s="80">
        <f>IF(AND($B1175="",$C1175="",$D1175=""),"",IF(NOT(ISNUMBER($B1175)),"Enter a valid date",IF($C1175="","Pick a menu item",IF($O1175="","Item not on Menu Pricing",IF(N($D1175)&lt;=0,"Qty must be above 0",IF($H1175="","No price on menu","OK"))))))</f>
        <v/>
      </c>
      <c r="O1175" s="13">
        <f>IF($C1175="","",IFERROR(MATCH($C1175,'Menu Pricing'!$B$7:$B$56,0),""))</f>
        <v/>
      </c>
    </row>
    <row r="1176" ht="17" customHeight="1">
      <c r="B1176" s="66" t="n"/>
      <c r="C1176" s="60" t="n"/>
      <c r="D1176" s="86" t="n"/>
      <c r="E1176" s="63" t="n"/>
      <c r="F1176" s="60" t="n"/>
      <c r="G1176" s="60" t="n"/>
      <c r="H1176" s="71">
        <f>IF(OR($C1176="",$D1176=""),"",IF(ISNUMBER($E1176),$E1176,IF($O1176="","",IF(N(INDEX('Menu Pricing'!$O$7:$O$56,$O1176))&gt;0,INDEX('Menu Pricing'!$O$7:$O$56,$O1176),""))))</f>
        <v/>
      </c>
      <c r="I1176" s="71">
        <f>IF($N1176&lt;&gt;"OK","",$D1176*$H1176)</f>
        <v/>
      </c>
      <c r="J1176" s="71">
        <f>IF($N1176&lt;&gt;"OK","",N(INDEX('Menu Pricing'!$F$7:$F$56,$O1176))+N(INDEX('Menu Pricing'!$G$7:$G$56,$O1176))+N(INDEX('Menu Pricing'!$J$7:$J$56,$O1176)))</f>
        <v/>
      </c>
      <c r="K1176" s="71">
        <f>IF($N1176&lt;&gt;"OK","",$D1176*$J1176)</f>
        <v/>
      </c>
      <c r="L1176" s="71">
        <f>IF($N1176&lt;&gt;"OK","",$I1176-$K1176)</f>
        <v/>
      </c>
      <c r="M1176" s="71">
        <f>IF($N1176&lt;&gt;"OK","",$D1176*N(INDEX('Menu Pricing'!$F$7:$F$56,$O1176)))</f>
        <v/>
      </c>
      <c r="N1176" s="80">
        <f>IF(AND($B1176="",$C1176="",$D1176=""),"",IF(NOT(ISNUMBER($B1176)),"Enter a valid date",IF($C1176="","Pick a menu item",IF($O1176="","Item not on Menu Pricing",IF(N($D1176)&lt;=0,"Qty must be above 0",IF($H1176="","No price on menu","OK"))))))</f>
        <v/>
      </c>
      <c r="O1176" s="13">
        <f>IF($C1176="","",IFERROR(MATCH($C1176,'Menu Pricing'!$B$7:$B$56,0),""))</f>
        <v/>
      </c>
    </row>
    <row r="1177" ht="17" customHeight="1">
      <c r="B1177" s="66" t="n"/>
      <c r="C1177" s="60" t="n"/>
      <c r="D1177" s="86" t="n"/>
      <c r="E1177" s="63" t="n"/>
      <c r="F1177" s="60" t="n"/>
      <c r="G1177" s="60" t="n"/>
      <c r="H1177" s="71">
        <f>IF(OR($C1177="",$D1177=""),"",IF(ISNUMBER($E1177),$E1177,IF($O1177="","",IF(N(INDEX('Menu Pricing'!$O$7:$O$56,$O1177))&gt;0,INDEX('Menu Pricing'!$O$7:$O$56,$O1177),""))))</f>
        <v/>
      </c>
      <c r="I1177" s="71">
        <f>IF($N1177&lt;&gt;"OK","",$D1177*$H1177)</f>
        <v/>
      </c>
      <c r="J1177" s="71">
        <f>IF($N1177&lt;&gt;"OK","",N(INDEX('Menu Pricing'!$F$7:$F$56,$O1177))+N(INDEX('Menu Pricing'!$G$7:$G$56,$O1177))+N(INDEX('Menu Pricing'!$J$7:$J$56,$O1177)))</f>
        <v/>
      </c>
      <c r="K1177" s="71">
        <f>IF($N1177&lt;&gt;"OK","",$D1177*$J1177)</f>
        <v/>
      </c>
      <c r="L1177" s="71">
        <f>IF($N1177&lt;&gt;"OK","",$I1177-$K1177)</f>
        <v/>
      </c>
      <c r="M1177" s="71">
        <f>IF($N1177&lt;&gt;"OK","",$D1177*N(INDEX('Menu Pricing'!$F$7:$F$56,$O1177)))</f>
        <v/>
      </c>
      <c r="N1177" s="80">
        <f>IF(AND($B1177="",$C1177="",$D1177=""),"",IF(NOT(ISNUMBER($B1177)),"Enter a valid date",IF($C1177="","Pick a menu item",IF($O1177="","Item not on Menu Pricing",IF(N($D1177)&lt;=0,"Qty must be above 0",IF($H1177="","No price on menu","OK"))))))</f>
        <v/>
      </c>
      <c r="O1177" s="13">
        <f>IF($C1177="","",IFERROR(MATCH($C1177,'Menu Pricing'!$B$7:$B$56,0),""))</f>
        <v/>
      </c>
    </row>
    <row r="1178" ht="17" customHeight="1">
      <c r="B1178" s="66" t="n"/>
      <c r="C1178" s="60" t="n"/>
      <c r="D1178" s="86" t="n"/>
      <c r="E1178" s="63" t="n"/>
      <c r="F1178" s="60" t="n"/>
      <c r="G1178" s="60" t="n"/>
      <c r="H1178" s="71">
        <f>IF(OR($C1178="",$D1178=""),"",IF(ISNUMBER($E1178),$E1178,IF($O1178="","",IF(N(INDEX('Menu Pricing'!$O$7:$O$56,$O1178))&gt;0,INDEX('Menu Pricing'!$O$7:$O$56,$O1178),""))))</f>
        <v/>
      </c>
      <c r="I1178" s="71">
        <f>IF($N1178&lt;&gt;"OK","",$D1178*$H1178)</f>
        <v/>
      </c>
      <c r="J1178" s="71">
        <f>IF($N1178&lt;&gt;"OK","",N(INDEX('Menu Pricing'!$F$7:$F$56,$O1178))+N(INDEX('Menu Pricing'!$G$7:$G$56,$O1178))+N(INDEX('Menu Pricing'!$J$7:$J$56,$O1178)))</f>
        <v/>
      </c>
      <c r="K1178" s="71">
        <f>IF($N1178&lt;&gt;"OK","",$D1178*$J1178)</f>
        <v/>
      </c>
      <c r="L1178" s="71">
        <f>IF($N1178&lt;&gt;"OK","",$I1178-$K1178)</f>
        <v/>
      </c>
      <c r="M1178" s="71">
        <f>IF($N1178&lt;&gt;"OK","",$D1178*N(INDEX('Menu Pricing'!$F$7:$F$56,$O1178)))</f>
        <v/>
      </c>
      <c r="N1178" s="80">
        <f>IF(AND($B1178="",$C1178="",$D1178=""),"",IF(NOT(ISNUMBER($B1178)),"Enter a valid date",IF($C1178="","Pick a menu item",IF($O1178="","Item not on Menu Pricing",IF(N($D1178)&lt;=0,"Qty must be above 0",IF($H1178="","No price on menu","OK"))))))</f>
        <v/>
      </c>
      <c r="O1178" s="13">
        <f>IF($C1178="","",IFERROR(MATCH($C1178,'Menu Pricing'!$B$7:$B$56,0),""))</f>
        <v/>
      </c>
    </row>
    <row r="1179" ht="17" customHeight="1">
      <c r="B1179" s="66" t="n"/>
      <c r="C1179" s="60" t="n"/>
      <c r="D1179" s="86" t="n"/>
      <c r="E1179" s="63" t="n"/>
      <c r="F1179" s="60" t="n"/>
      <c r="G1179" s="60" t="n"/>
      <c r="H1179" s="71">
        <f>IF(OR($C1179="",$D1179=""),"",IF(ISNUMBER($E1179),$E1179,IF($O1179="","",IF(N(INDEX('Menu Pricing'!$O$7:$O$56,$O1179))&gt;0,INDEX('Menu Pricing'!$O$7:$O$56,$O1179),""))))</f>
        <v/>
      </c>
      <c r="I1179" s="71">
        <f>IF($N1179&lt;&gt;"OK","",$D1179*$H1179)</f>
        <v/>
      </c>
      <c r="J1179" s="71">
        <f>IF($N1179&lt;&gt;"OK","",N(INDEX('Menu Pricing'!$F$7:$F$56,$O1179))+N(INDEX('Menu Pricing'!$G$7:$G$56,$O1179))+N(INDEX('Menu Pricing'!$J$7:$J$56,$O1179)))</f>
        <v/>
      </c>
      <c r="K1179" s="71">
        <f>IF($N1179&lt;&gt;"OK","",$D1179*$J1179)</f>
        <v/>
      </c>
      <c r="L1179" s="71">
        <f>IF($N1179&lt;&gt;"OK","",$I1179-$K1179)</f>
        <v/>
      </c>
      <c r="M1179" s="71">
        <f>IF($N1179&lt;&gt;"OK","",$D1179*N(INDEX('Menu Pricing'!$F$7:$F$56,$O1179)))</f>
        <v/>
      </c>
      <c r="N1179" s="80">
        <f>IF(AND($B1179="",$C1179="",$D1179=""),"",IF(NOT(ISNUMBER($B1179)),"Enter a valid date",IF($C1179="","Pick a menu item",IF($O1179="","Item not on Menu Pricing",IF(N($D1179)&lt;=0,"Qty must be above 0",IF($H1179="","No price on menu","OK"))))))</f>
        <v/>
      </c>
      <c r="O1179" s="13">
        <f>IF($C1179="","",IFERROR(MATCH($C1179,'Menu Pricing'!$B$7:$B$56,0),""))</f>
        <v/>
      </c>
    </row>
    <row r="1180" ht="17" customHeight="1">
      <c r="B1180" s="66" t="n"/>
      <c r="C1180" s="60" t="n"/>
      <c r="D1180" s="86" t="n"/>
      <c r="E1180" s="63" t="n"/>
      <c r="F1180" s="60" t="n"/>
      <c r="G1180" s="60" t="n"/>
      <c r="H1180" s="71">
        <f>IF(OR($C1180="",$D1180=""),"",IF(ISNUMBER($E1180),$E1180,IF($O1180="","",IF(N(INDEX('Menu Pricing'!$O$7:$O$56,$O1180))&gt;0,INDEX('Menu Pricing'!$O$7:$O$56,$O1180),""))))</f>
        <v/>
      </c>
      <c r="I1180" s="71">
        <f>IF($N1180&lt;&gt;"OK","",$D1180*$H1180)</f>
        <v/>
      </c>
      <c r="J1180" s="71">
        <f>IF($N1180&lt;&gt;"OK","",N(INDEX('Menu Pricing'!$F$7:$F$56,$O1180))+N(INDEX('Menu Pricing'!$G$7:$G$56,$O1180))+N(INDEX('Menu Pricing'!$J$7:$J$56,$O1180)))</f>
        <v/>
      </c>
      <c r="K1180" s="71">
        <f>IF($N1180&lt;&gt;"OK","",$D1180*$J1180)</f>
        <v/>
      </c>
      <c r="L1180" s="71">
        <f>IF($N1180&lt;&gt;"OK","",$I1180-$K1180)</f>
        <v/>
      </c>
      <c r="M1180" s="71">
        <f>IF($N1180&lt;&gt;"OK","",$D1180*N(INDEX('Menu Pricing'!$F$7:$F$56,$O1180)))</f>
        <v/>
      </c>
      <c r="N1180" s="80">
        <f>IF(AND($B1180="",$C1180="",$D1180=""),"",IF(NOT(ISNUMBER($B1180)),"Enter a valid date",IF($C1180="","Pick a menu item",IF($O1180="","Item not on Menu Pricing",IF(N($D1180)&lt;=0,"Qty must be above 0",IF($H1180="","No price on menu","OK"))))))</f>
        <v/>
      </c>
      <c r="O1180" s="13">
        <f>IF($C1180="","",IFERROR(MATCH($C1180,'Menu Pricing'!$B$7:$B$56,0),""))</f>
        <v/>
      </c>
    </row>
    <row r="1181" ht="17" customHeight="1">
      <c r="B1181" s="66" t="n"/>
      <c r="C1181" s="60" t="n"/>
      <c r="D1181" s="86" t="n"/>
      <c r="E1181" s="63" t="n"/>
      <c r="F1181" s="60" t="n"/>
      <c r="G1181" s="60" t="n"/>
      <c r="H1181" s="71">
        <f>IF(OR($C1181="",$D1181=""),"",IF(ISNUMBER($E1181),$E1181,IF($O1181="","",IF(N(INDEX('Menu Pricing'!$O$7:$O$56,$O1181))&gt;0,INDEX('Menu Pricing'!$O$7:$O$56,$O1181),""))))</f>
        <v/>
      </c>
      <c r="I1181" s="71">
        <f>IF($N1181&lt;&gt;"OK","",$D1181*$H1181)</f>
        <v/>
      </c>
      <c r="J1181" s="71">
        <f>IF($N1181&lt;&gt;"OK","",N(INDEX('Menu Pricing'!$F$7:$F$56,$O1181))+N(INDEX('Menu Pricing'!$G$7:$G$56,$O1181))+N(INDEX('Menu Pricing'!$J$7:$J$56,$O1181)))</f>
        <v/>
      </c>
      <c r="K1181" s="71">
        <f>IF($N1181&lt;&gt;"OK","",$D1181*$J1181)</f>
        <v/>
      </c>
      <c r="L1181" s="71">
        <f>IF($N1181&lt;&gt;"OK","",$I1181-$K1181)</f>
        <v/>
      </c>
      <c r="M1181" s="71">
        <f>IF($N1181&lt;&gt;"OK","",$D1181*N(INDEX('Menu Pricing'!$F$7:$F$56,$O1181)))</f>
        <v/>
      </c>
      <c r="N1181" s="80">
        <f>IF(AND($B1181="",$C1181="",$D1181=""),"",IF(NOT(ISNUMBER($B1181)),"Enter a valid date",IF($C1181="","Pick a menu item",IF($O1181="","Item not on Menu Pricing",IF(N($D1181)&lt;=0,"Qty must be above 0",IF($H1181="","No price on menu","OK"))))))</f>
        <v/>
      </c>
      <c r="O1181" s="13">
        <f>IF($C1181="","",IFERROR(MATCH($C1181,'Menu Pricing'!$B$7:$B$56,0),""))</f>
        <v/>
      </c>
    </row>
    <row r="1182" ht="17" customHeight="1">
      <c r="B1182" s="66" t="n"/>
      <c r="C1182" s="60" t="n"/>
      <c r="D1182" s="86" t="n"/>
      <c r="E1182" s="63" t="n"/>
      <c r="F1182" s="60" t="n"/>
      <c r="G1182" s="60" t="n"/>
      <c r="H1182" s="71">
        <f>IF(OR($C1182="",$D1182=""),"",IF(ISNUMBER($E1182),$E1182,IF($O1182="","",IF(N(INDEX('Menu Pricing'!$O$7:$O$56,$O1182))&gt;0,INDEX('Menu Pricing'!$O$7:$O$56,$O1182),""))))</f>
        <v/>
      </c>
      <c r="I1182" s="71">
        <f>IF($N1182&lt;&gt;"OK","",$D1182*$H1182)</f>
        <v/>
      </c>
      <c r="J1182" s="71">
        <f>IF($N1182&lt;&gt;"OK","",N(INDEX('Menu Pricing'!$F$7:$F$56,$O1182))+N(INDEX('Menu Pricing'!$G$7:$G$56,$O1182))+N(INDEX('Menu Pricing'!$J$7:$J$56,$O1182)))</f>
        <v/>
      </c>
      <c r="K1182" s="71">
        <f>IF($N1182&lt;&gt;"OK","",$D1182*$J1182)</f>
        <v/>
      </c>
      <c r="L1182" s="71">
        <f>IF($N1182&lt;&gt;"OK","",$I1182-$K1182)</f>
        <v/>
      </c>
      <c r="M1182" s="71">
        <f>IF($N1182&lt;&gt;"OK","",$D1182*N(INDEX('Menu Pricing'!$F$7:$F$56,$O1182)))</f>
        <v/>
      </c>
      <c r="N1182" s="80">
        <f>IF(AND($B1182="",$C1182="",$D1182=""),"",IF(NOT(ISNUMBER($B1182)),"Enter a valid date",IF($C1182="","Pick a menu item",IF($O1182="","Item not on Menu Pricing",IF(N($D1182)&lt;=0,"Qty must be above 0",IF($H1182="","No price on menu","OK"))))))</f>
        <v/>
      </c>
      <c r="O1182" s="13">
        <f>IF($C1182="","",IFERROR(MATCH($C1182,'Menu Pricing'!$B$7:$B$56,0),""))</f>
        <v/>
      </c>
    </row>
    <row r="1183" ht="17" customHeight="1">
      <c r="B1183" s="66" t="n"/>
      <c r="C1183" s="60" t="n"/>
      <c r="D1183" s="86" t="n"/>
      <c r="E1183" s="63" t="n"/>
      <c r="F1183" s="60" t="n"/>
      <c r="G1183" s="60" t="n"/>
      <c r="H1183" s="71">
        <f>IF(OR($C1183="",$D1183=""),"",IF(ISNUMBER($E1183),$E1183,IF($O1183="","",IF(N(INDEX('Menu Pricing'!$O$7:$O$56,$O1183))&gt;0,INDEX('Menu Pricing'!$O$7:$O$56,$O1183),""))))</f>
        <v/>
      </c>
      <c r="I1183" s="71">
        <f>IF($N1183&lt;&gt;"OK","",$D1183*$H1183)</f>
        <v/>
      </c>
      <c r="J1183" s="71">
        <f>IF($N1183&lt;&gt;"OK","",N(INDEX('Menu Pricing'!$F$7:$F$56,$O1183))+N(INDEX('Menu Pricing'!$G$7:$G$56,$O1183))+N(INDEX('Menu Pricing'!$J$7:$J$56,$O1183)))</f>
        <v/>
      </c>
      <c r="K1183" s="71">
        <f>IF($N1183&lt;&gt;"OK","",$D1183*$J1183)</f>
        <v/>
      </c>
      <c r="L1183" s="71">
        <f>IF($N1183&lt;&gt;"OK","",$I1183-$K1183)</f>
        <v/>
      </c>
      <c r="M1183" s="71">
        <f>IF($N1183&lt;&gt;"OK","",$D1183*N(INDEX('Menu Pricing'!$F$7:$F$56,$O1183)))</f>
        <v/>
      </c>
      <c r="N1183" s="80">
        <f>IF(AND($B1183="",$C1183="",$D1183=""),"",IF(NOT(ISNUMBER($B1183)),"Enter a valid date",IF($C1183="","Pick a menu item",IF($O1183="","Item not on Menu Pricing",IF(N($D1183)&lt;=0,"Qty must be above 0",IF($H1183="","No price on menu","OK"))))))</f>
        <v/>
      </c>
      <c r="O1183" s="13">
        <f>IF($C1183="","",IFERROR(MATCH($C1183,'Menu Pricing'!$B$7:$B$56,0),""))</f>
        <v/>
      </c>
    </row>
    <row r="1184" ht="17" customHeight="1">
      <c r="B1184" s="66" t="n"/>
      <c r="C1184" s="60" t="n"/>
      <c r="D1184" s="86" t="n"/>
      <c r="E1184" s="63" t="n"/>
      <c r="F1184" s="60" t="n"/>
      <c r="G1184" s="60" t="n"/>
      <c r="H1184" s="71">
        <f>IF(OR($C1184="",$D1184=""),"",IF(ISNUMBER($E1184),$E1184,IF($O1184="","",IF(N(INDEX('Menu Pricing'!$O$7:$O$56,$O1184))&gt;0,INDEX('Menu Pricing'!$O$7:$O$56,$O1184),""))))</f>
        <v/>
      </c>
      <c r="I1184" s="71">
        <f>IF($N1184&lt;&gt;"OK","",$D1184*$H1184)</f>
        <v/>
      </c>
      <c r="J1184" s="71">
        <f>IF($N1184&lt;&gt;"OK","",N(INDEX('Menu Pricing'!$F$7:$F$56,$O1184))+N(INDEX('Menu Pricing'!$G$7:$G$56,$O1184))+N(INDEX('Menu Pricing'!$J$7:$J$56,$O1184)))</f>
        <v/>
      </c>
      <c r="K1184" s="71">
        <f>IF($N1184&lt;&gt;"OK","",$D1184*$J1184)</f>
        <v/>
      </c>
      <c r="L1184" s="71">
        <f>IF($N1184&lt;&gt;"OK","",$I1184-$K1184)</f>
        <v/>
      </c>
      <c r="M1184" s="71">
        <f>IF($N1184&lt;&gt;"OK","",$D1184*N(INDEX('Menu Pricing'!$F$7:$F$56,$O1184)))</f>
        <v/>
      </c>
      <c r="N1184" s="80">
        <f>IF(AND($B1184="",$C1184="",$D1184=""),"",IF(NOT(ISNUMBER($B1184)),"Enter a valid date",IF($C1184="","Pick a menu item",IF($O1184="","Item not on Menu Pricing",IF(N($D1184)&lt;=0,"Qty must be above 0",IF($H1184="","No price on menu","OK"))))))</f>
        <v/>
      </c>
      <c r="O1184" s="13">
        <f>IF($C1184="","",IFERROR(MATCH($C1184,'Menu Pricing'!$B$7:$B$56,0),""))</f>
        <v/>
      </c>
    </row>
    <row r="1185" ht="17" customHeight="1">
      <c r="B1185" s="66" t="n"/>
      <c r="C1185" s="60" t="n"/>
      <c r="D1185" s="86" t="n"/>
      <c r="E1185" s="63" t="n"/>
      <c r="F1185" s="60" t="n"/>
      <c r="G1185" s="60" t="n"/>
      <c r="H1185" s="71">
        <f>IF(OR($C1185="",$D1185=""),"",IF(ISNUMBER($E1185),$E1185,IF($O1185="","",IF(N(INDEX('Menu Pricing'!$O$7:$O$56,$O1185))&gt;0,INDEX('Menu Pricing'!$O$7:$O$56,$O1185),""))))</f>
        <v/>
      </c>
      <c r="I1185" s="71">
        <f>IF($N1185&lt;&gt;"OK","",$D1185*$H1185)</f>
        <v/>
      </c>
      <c r="J1185" s="71">
        <f>IF($N1185&lt;&gt;"OK","",N(INDEX('Menu Pricing'!$F$7:$F$56,$O1185))+N(INDEX('Menu Pricing'!$G$7:$G$56,$O1185))+N(INDEX('Menu Pricing'!$J$7:$J$56,$O1185)))</f>
        <v/>
      </c>
      <c r="K1185" s="71">
        <f>IF($N1185&lt;&gt;"OK","",$D1185*$J1185)</f>
        <v/>
      </c>
      <c r="L1185" s="71">
        <f>IF($N1185&lt;&gt;"OK","",$I1185-$K1185)</f>
        <v/>
      </c>
      <c r="M1185" s="71">
        <f>IF($N1185&lt;&gt;"OK","",$D1185*N(INDEX('Menu Pricing'!$F$7:$F$56,$O1185)))</f>
        <v/>
      </c>
      <c r="N1185" s="80">
        <f>IF(AND($B1185="",$C1185="",$D1185=""),"",IF(NOT(ISNUMBER($B1185)),"Enter a valid date",IF($C1185="","Pick a menu item",IF($O1185="","Item not on Menu Pricing",IF(N($D1185)&lt;=0,"Qty must be above 0",IF($H1185="","No price on menu","OK"))))))</f>
        <v/>
      </c>
      <c r="O1185" s="13">
        <f>IF($C1185="","",IFERROR(MATCH($C1185,'Menu Pricing'!$B$7:$B$56,0),""))</f>
        <v/>
      </c>
    </row>
    <row r="1186" ht="17" customHeight="1">
      <c r="B1186" s="66" t="n"/>
      <c r="C1186" s="60" t="n"/>
      <c r="D1186" s="86" t="n"/>
      <c r="E1186" s="63" t="n"/>
      <c r="F1186" s="60" t="n"/>
      <c r="G1186" s="60" t="n"/>
      <c r="H1186" s="71">
        <f>IF(OR($C1186="",$D1186=""),"",IF(ISNUMBER($E1186),$E1186,IF($O1186="","",IF(N(INDEX('Menu Pricing'!$O$7:$O$56,$O1186))&gt;0,INDEX('Menu Pricing'!$O$7:$O$56,$O1186),""))))</f>
        <v/>
      </c>
      <c r="I1186" s="71">
        <f>IF($N1186&lt;&gt;"OK","",$D1186*$H1186)</f>
        <v/>
      </c>
      <c r="J1186" s="71">
        <f>IF($N1186&lt;&gt;"OK","",N(INDEX('Menu Pricing'!$F$7:$F$56,$O1186))+N(INDEX('Menu Pricing'!$G$7:$G$56,$O1186))+N(INDEX('Menu Pricing'!$J$7:$J$56,$O1186)))</f>
        <v/>
      </c>
      <c r="K1186" s="71">
        <f>IF($N1186&lt;&gt;"OK","",$D1186*$J1186)</f>
        <v/>
      </c>
      <c r="L1186" s="71">
        <f>IF($N1186&lt;&gt;"OK","",$I1186-$K1186)</f>
        <v/>
      </c>
      <c r="M1186" s="71">
        <f>IF($N1186&lt;&gt;"OK","",$D1186*N(INDEX('Menu Pricing'!$F$7:$F$56,$O1186)))</f>
        <v/>
      </c>
      <c r="N1186" s="80">
        <f>IF(AND($B1186="",$C1186="",$D1186=""),"",IF(NOT(ISNUMBER($B1186)),"Enter a valid date",IF($C1186="","Pick a menu item",IF($O1186="","Item not on Menu Pricing",IF(N($D1186)&lt;=0,"Qty must be above 0",IF($H1186="","No price on menu","OK"))))))</f>
        <v/>
      </c>
      <c r="O1186" s="13">
        <f>IF($C1186="","",IFERROR(MATCH($C1186,'Menu Pricing'!$B$7:$B$56,0),""))</f>
        <v/>
      </c>
    </row>
    <row r="1187" ht="17" customHeight="1">
      <c r="B1187" s="66" t="n"/>
      <c r="C1187" s="60" t="n"/>
      <c r="D1187" s="86" t="n"/>
      <c r="E1187" s="63" t="n"/>
      <c r="F1187" s="60" t="n"/>
      <c r="G1187" s="60" t="n"/>
      <c r="H1187" s="71">
        <f>IF(OR($C1187="",$D1187=""),"",IF(ISNUMBER($E1187),$E1187,IF($O1187="","",IF(N(INDEX('Menu Pricing'!$O$7:$O$56,$O1187))&gt;0,INDEX('Menu Pricing'!$O$7:$O$56,$O1187),""))))</f>
        <v/>
      </c>
      <c r="I1187" s="71">
        <f>IF($N1187&lt;&gt;"OK","",$D1187*$H1187)</f>
        <v/>
      </c>
      <c r="J1187" s="71">
        <f>IF($N1187&lt;&gt;"OK","",N(INDEX('Menu Pricing'!$F$7:$F$56,$O1187))+N(INDEX('Menu Pricing'!$G$7:$G$56,$O1187))+N(INDEX('Menu Pricing'!$J$7:$J$56,$O1187)))</f>
        <v/>
      </c>
      <c r="K1187" s="71">
        <f>IF($N1187&lt;&gt;"OK","",$D1187*$J1187)</f>
        <v/>
      </c>
      <c r="L1187" s="71">
        <f>IF($N1187&lt;&gt;"OK","",$I1187-$K1187)</f>
        <v/>
      </c>
      <c r="M1187" s="71">
        <f>IF($N1187&lt;&gt;"OK","",$D1187*N(INDEX('Menu Pricing'!$F$7:$F$56,$O1187)))</f>
        <v/>
      </c>
      <c r="N1187" s="80">
        <f>IF(AND($B1187="",$C1187="",$D1187=""),"",IF(NOT(ISNUMBER($B1187)),"Enter a valid date",IF($C1187="","Pick a menu item",IF($O1187="","Item not on Menu Pricing",IF(N($D1187)&lt;=0,"Qty must be above 0",IF($H1187="","No price on menu","OK"))))))</f>
        <v/>
      </c>
      <c r="O1187" s="13">
        <f>IF($C1187="","",IFERROR(MATCH($C1187,'Menu Pricing'!$B$7:$B$56,0),""))</f>
        <v/>
      </c>
    </row>
    <row r="1188" ht="17" customHeight="1">
      <c r="B1188" s="66" t="n"/>
      <c r="C1188" s="60" t="n"/>
      <c r="D1188" s="86" t="n"/>
      <c r="E1188" s="63" t="n"/>
      <c r="F1188" s="60" t="n"/>
      <c r="G1188" s="60" t="n"/>
      <c r="H1188" s="71">
        <f>IF(OR($C1188="",$D1188=""),"",IF(ISNUMBER($E1188),$E1188,IF($O1188="","",IF(N(INDEX('Menu Pricing'!$O$7:$O$56,$O1188))&gt;0,INDEX('Menu Pricing'!$O$7:$O$56,$O1188),""))))</f>
        <v/>
      </c>
      <c r="I1188" s="71">
        <f>IF($N1188&lt;&gt;"OK","",$D1188*$H1188)</f>
        <v/>
      </c>
      <c r="J1188" s="71">
        <f>IF($N1188&lt;&gt;"OK","",N(INDEX('Menu Pricing'!$F$7:$F$56,$O1188))+N(INDEX('Menu Pricing'!$G$7:$G$56,$O1188))+N(INDEX('Menu Pricing'!$J$7:$J$56,$O1188)))</f>
        <v/>
      </c>
      <c r="K1188" s="71">
        <f>IF($N1188&lt;&gt;"OK","",$D1188*$J1188)</f>
        <v/>
      </c>
      <c r="L1188" s="71">
        <f>IF($N1188&lt;&gt;"OK","",$I1188-$K1188)</f>
        <v/>
      </c>
      <c r="M1188" s="71">
        <f>IF($N1188&lt;&gt;"OK","",$D1188*N(INDEX('Menu Pricing'!$F$7:$F$56,$O1188)))</f>
        <v/>
      </c>
      <c r="N1188" s="80">
        <f>IF(AND($B1188="",$C1188="",$D1188=""),"",IF(NOT(ISNUMBER($B1188)),"Enter a valid date",IF($C1188="","Pick a menu item",IF($O1188="","Item not on Menu Pricing",IF(N($D1188)&lt;=0,"Qty must be above 0",IF($H1188="","No price on menu","OK"))))))</f>
        <v/>
      </c>
      <c r="O1188" s="13">
        <f>IF($C1188="","",IFERROR(MATCH($C1188,'Menu Pricing'!$B$7:$B$56,0),""))</f>
        <v/>
      </c>
    </row>
    <row r="1189" ht="17" customHeight="1">
      <c r="B1189" s="66" t="n"/>
      <c r="C1189" s="60" t="n"/>
      <c r="D1189" s="86" t="n"/>
      <c r="E1189" s="63" t="n"/>
      <c r="F1189" s="60" t="n"/>
      <c r="G1189" s="60" t="n"/>
      <c r="H1189" s="71">
        <f>IF(OR($C1189="",$D1189=""),"",IF(ISNUMBER($E1189),$E1189,IF($O1189="","",IF(N(INDEX('Menu Pricing'!$O$7:$O$56,$O1189))&gt;0,INDEX('Menu Pricing'!$O$7:$O$56,$O1189),""))))</f>
        <v/>
      </c>
      <c r="I1189" s="71">
        <f>IF($N1189&lt;&gt;"OK","",$D1189*$H1189)</f>
        <v/>
      </c>
      <c r="J1189" s="71">
        <f>IF($N1189&lt;&gt;"OK","",N(INDEX('Menu Pricing'!$F$7:$F$56,$O1189))+N(INDEX('Menu Pricing'!$G$7:$G$56,$O1189))+N(INDEX('Menu Pricing'!$J$7:$J$56,$O1189)))</f>
        <v/>
      </c>
      <c r="K1189" s="71">
        <f>IF($N1189&lt;&gt;"OK","",$D1189*$J1189)</f>
        <v/>
      </c>
      <c r="L1189" s="71">
        <f>IF($N1189&lt;&gt;"OK","",$I1189-$K1189)</f>
        <v/>
      </c>
      <c r="M1189" s="71">
        <f>IF($N1189&lt;&gt;"OK","",$D1189*N(INDEX('Menu Pricing'!$F$7:$F$56,$O1189)))</f>
        <v/>
      </c>
      <c r="N1189" s="80">
        <f>IF(AND($B1189="",$C1189="",$D1189=""),"",IF(NOT(ISNUMBER($B1189)),"Enter a valid date",IF($C1189="","Pick a menu item",IF($O1189="","Item not on Menu Pricing",IF(N($D1189)&lt;=0,"Qty must be above 0",IF($H1189="","No price on menu","OK"))))))</f>
        <v/>
      </c>
      <c r="O1189" s="13">
        <f>IF($C1189="","",IFERROR(MATCH($C1189,'Menu Pricing'!$B$7:$B$56,0),""))</f>
        <v/>
      </c>
    </row>
    <row r="1190" ht="17" customHeight="1">
      <c r="B1190" s="66" t="n"/>
      <c r="C1190" s="60" t="n"/>
      <c r="D1190" s="86" t="n"/>
      <c r="E1190" s="63" t="n"/>
      <c r="F1190" s="60" t="n"/>
      <c r="G1190" s="60" t="n"/>
      <c r="H1190" s="71">
        <f>IF(OR($C1190="",$D1190=""),"",IF(ISNUMBER($E1190),$E1190,IF($O1190="","",IF(N(INDEX('Menu Pricing'!$O$7:$O$56,$O1190))&gt;0,INDEX('Menu Pricing'!$O$7:$O$56,$O1190),""))))</f>
        <v/>
      </c>
      <c r="I1190" s="71">
        <f>IF($N1190&lt;&gt;"OK","",$D1190*$H1190)</f>
        <v/>
      </c>
      <c r="J1190" s="71">
        <f>IF($N1190&lt;&gt;"OK","",N(INDEX('Menu Pricing'!$F$7:$F$56,$O1190))+N(INDEX('Menu Pricing'!$G$7:$G$56,$O1190))+N(INDEX('Menu Pricing'!$J$7:$J$56,$O1190)))</f>
        <v/>
      </c>
      <c r="K1190" s="71">
        <f>IF($N1190&lt;&gt;"OK","",$D1190*$J1190)</f>
        <v/>
      </c>
      <c r="L1190" s="71">
        <f>IF($N1190&lt;&gt;"OK","",$I1190-$K1190)</f>
        <v/>
      </c>
      <c r="M1190" s="71">
        <f>IF($N1190&lt;&gt;"OK","",$D1190*N(INDEX('Menu Pricing'!$F$7:$F$56,$O1190)))</f>
        <v/>
      </c>
      <c r="N1190" s="80">
        <f>IF(AND($B1190="",$C1190="",$D1190=""),"",IF(NOT(ISNUMBER($B1190)),"Enter a valid date",IF($C1190="","Pick a menu item",IF($O1190="","Item not on Menu Pricing",IF(N($D1190)&lt;=0,"Qty must be above 0",IF($H1190="","No price on menu","OK"))))))</f>
        <v/>
      </c>
      <c r="O1190" s="13">
        <f>IF($C1190="","",IFERROR(MATCH($C1190,'Menu Pricing'!$B$7:$B$56,0),""))</f>
        <v/>
      </c>
    </row>
    <row r="1191" ht="17" customHeight="1">
      <c r="B1191" s="66" t="n"/>
      <c r="C1191" s="60" t="n"/>
      <c r="D1191" s="86" t="n"/>
      <c r="E1191" s="63" t="n"/>
      <c r="F1191" s="60" t="n"/>
      <c r="G1191" s="60" t="n"/>
      <c r="H1191" s="71">
        <f>IF(OR($C1191="",$D1191=""),"",IF(ISNUMBER($E1191),$E1191,IF($O1191="","",IF(N(INDEX('Menu Pricing'!$O$7:$O$56,$O1191))&gt;0,INDEX('Menu Pricing'!$O$7:$O$56,$O1191),""))))</f>
        <v/>
      </c>
      <c r="I1191" s="71">
        <f>IF($N1191&lt;&gt;"OK","",$D1191*$H1191)</f>
        <v/>
      </c>
      <c r="J1191" s="71">
        <f>IF($N1191&lt;&gt;"OK","",N(INDEX('Menu Pricing'!$F$7:$F$56,$O1191))+N(INDEX('Menu Pricing'!$G$7:$G$56,$O1191))+N(INDEX('Menu Pricing'!$J$7:$J$56,$O1191)))</f>
        <v/>
      </c>
      <c r="K1191" s="71">
        <f>IF($N1191&lt;&gt;"OK","",$D1191*$J1191)</f>
        <v/>
      </c>
      <c r="L1191" s="71">
        <f>IF($N1191&lt;&gt;"OK","",$I1191-$K1191)</f>
        <v/>
      </c>
      <c r="M1191" s="71">
        <f>IF($N1191&lt;&gt;"OK","",$D1191*N(INDEX('Menu Pricing'!$F$7:$F$56,$O1191)))</f>
        <v/>
      </c>
      <c r="N1191" s="80">
        <f>IF(AND($B1191="",$C1191="",$D1191=""),"",IF(NOT(ISNUMBER($B1191)),"Enter a valid date",IF($C1191="","Pick a menu item",IF($O1191="","Item not on Menu Pricing",IF(N($D1191)&lt;=0,"Qty must be above 0",IF($H1191="","No price on menu","OK"))))))</f>
        <v/>
      </c>
      <c r="O1191" s="13">
        <f>IF($C1191="","",IFERROR(MATCH($C1191,'Menu Pricing'!$B$7:$B$56,0),""))</f>
        <v/>
      </c>
    </row>
    <row r="1192" ht="17" customHeight="1">
      <c r="B1192" s="66" t="n"/>
      <c r="C1192" s="60" t="n"/>
      <c r="D1192" s="86" t="n"/>
      <c r="E1192" s="63" t="n"/>
      <c r="F1192" s="60" t="n"/>
      <c r="G1192" s="60" t="n"/>
      <c r="H1192" s="71">
        <f>IF(OR($C1192="",$D1192=""),"",IF(ISNUMBER($E1192),$E1192,IF($O1192="","",IF(N(INDEX('Menu Pricing'!$O$7:$O$56,$O1192))&gt;0,INDEX('Menu Pricing'!$O$7:$O$56,$O1192),""))))</f>
        <v/>
      </c>
      <c r="I1192" s="71">
        <f>IF($N1192&lt;&gt;"OK","",$D1192*$H1192)</f>
        <v/>
      </c>
      <c r="J1192" s="71">
        <f>IF($N1192&lt;&gt;"OK","",N(INDEX('Menu Pricing'!$F$7:$F$56,$O1192))+N(INDEX('Menu Pricing'!$G$7:$G$56,$O1192))+N(INDEX('Menu Pricing'!$J$7:$J$56,$O1192)))</f>
        <v/>
      </c>
      <c r="K1192" s="71">
        <f>IF($N1192&lt;&gt;"OK","",$D1192*$J1192)</f>
        <v/>
      </c>
      <c r="L1192" s="71">
        <f>IF($N1192&lt;&gt;"OK","",$I1192-$K1192)</f>
        <v/>
      </c>
      <c r="M1192" s="71">
        <f>IF($N1192&lt;&gt;"OK","",$D1192*N(INDEX('Menu Pricing'!$F$7:$F$56,$O1192)))</f>
        <v/>
      </c>
      <c r="N1192" s="80">
        <f>IF(AND($B1192="",$C1192="",$D1192=""),"",IF(NOT(ISNUMBER($B1192)),"Enter a valid date",IF($C1192="","Pick a menu item",IF($O1192="","Item not on Menu Pricing",IF(N($D1192)&lt;=0,"Qty must be above 0",IF($H1192="","No price on menu","OK"))))))</f>
        <v/>
      </c>
      <c r="O1192" s="13">
        <f>IF($C1192="","",IFERROR(MATCH($C1192,'Menu Pricing'!$B$7:$B$56,0),""))</f>
        <v/>
      </c>
    </row>
    <row r="1193" ht="17" customHeight="1">
      <c r="B1193" s="66" t="n"/>
      <c r="C1193" s="60" t="n"/>
      <c r="D1193" s="86" t="n"/>
      <c r="E1193" s="63" t="n"/>
      <c r="F1193" s="60" t="n"/>
      <c r="G1193" s="60" t="n"/>
      <c r="H1193" s="71">
        <f>IF(OR($C1193="",$D1193=""),"",IF(ISNUMBER($E1193),$E1193,IF($O1193="","",IF(N(INDEX('Menu Pricing'!$O$7:$O$56,$O1193))&gt;0,INDEX('Menu Pricing'!$O$7:$O$56,$O1193),""))))</f>
        <v/>
      </c>
      <c r="I1193" s="71">
        <f>IF($N1193&lt;&gt;"OK","",$D1193*$H1193)</f>
        <v/>
      </c>
      <c r="J1193" s="71">
        <f>IF($N1193&lt;&gt;"OK","",N(INDEX('Menu Pricing'!$F$7:$F$56,$O1193))+N(INDEX('Menu Pricing'!$G$7:$G$56,$O1193))+N(INDEX('Menu Pricing'!$J$7:$J$56,$O1193)))</f>
        <v/>
      </c>
      <c r="K1193" s="71">
        <f>IF($N1193&lt;&gt;"OK","",$D1193*$J1193)</f>
        <v/>
      </c>
      <c r="L1193" s="71">
        <f>IF($N1193&lt;&gt;"OK","",$I1193-$K1193)</f>
        <v/>
      </c>
      <c r="M1193" s="71">
        <f>IF($N1193&lt;&gt;"OK","",$D1193*N(INDEX('Menu Pricing'!$F$7:$F$56,$O1193)))</f>
        <v/>
      </c>
      <c r="N1193" s="80">
        <f>IF(AND($B1193="",$C1193="",$D1193=""),"",IF(NOT(ISNUMBER($B1193)),"Enter a valid date",IF($C1193="","Pick a menu item",IF($O1193="","Item not on Menu Pricing",IF(N($D1193)&lt;=0,"Qty must be above 0",IF($H1193="","No price on menu","OK"))))))</f>
        <v/>
      </c>
      <c r="O1193" s="13">
        <f>IF($C1193="","",IFERROR(MATCH($C1193,'Menu Pricing'!$B$7:$B$56,0),""))</f>
        <v/>
      </c>
    </row>
    <row r="1194" ht="17" customHeight="1">
      <c r="B1194" s="66" t="n"/>
      <c r="C1194" s="60" t="n"/>
      <c r="D1194" s="86" t="n"/>
      <c r="E1194" s="63" t="n"/>
      <c r="F1194" s="60" t="n"/>
      <c r="G1194" s="60" t="n"/>
      <c r="H1194" s="71">
        <f>IF(OR($C1194="",$D1194=""),"",IF(ISNUMBER($E1194),$E1194,IF($O1194="","",IF(N(INDEX('Menu Pricing'!$O$7:$O$56,$O1194))&gt;0,INDEX('Menu Pricing'!$O$7:$O$56,$O1194),""))))</f>
        <v/>
      </c>
      <c r="I1194" s="71">
        <f>IF($N1194&lt;&gt;"OK","",$D1194*$H1194)</f>
        <v/>
      </c>
      <c r="J1194" s="71">
        <f>IF($N1194&lt;&gt;"OK","",N(INDEX('Menu Pricing'!$F$7:$F$56,$O1194))+N(INDEX('Menu Pricing'!$G$7:$G$56,$O1194))+N(INDEX('Menu Pricing'!$J$7:$J$56,$O1194)))</f>
        <v/>
      </c>
      <c r="K1194" s="71">
        <f>IF($N1194&lt;&gt;"OK","",$D1194*$J1194)</f>
        <v/>
      </c>
      <c r="L1194" s="71">
        <f>IF($N1194&lt;&gt;"OK","",$I1194-$K1194)</f>
        <v/>
      </c>
      <c r="M1194" s="71">
        <f>IF($N1194&lt;&gt;"OK","",$D1194*N(INDEX('Menu Pricing'!$F$7:$F$56,$O1194)))</f>
        <v/>
      </c>
      <c r="N1194" s="80">
        <f>IF(AND($B1194="",$C1194="",$D1194=""),"",IF(NOT(ISNUMBER($B1194)),"Enter a valid date",IF($C1194="","Pick a menu item",IF($O1194="","Item not on Menu Pricing",IF(N($D1194)&lt;=0,"Qty must be above 0",IF($H1194="","No price on menu","OK"))))))</f>
        <v/>
      </c>
      <c r="O1194" s="13">
        <f>IF($C1194="","",IFERROR(MATCH($C1194,'Menu Pricing'!$B$7:$B$56,0),""))</f>
        <v/>
      </c>
    </row>
    <row r="1195" ht="17" customHeight="1">
      <c r="B1195" s="66" t="n"/>
      <c r="C1195" s="60" t="n"/>
      <c r="D1195" s="86" t="n"/>
      <c r="E1195" s="63" t="n"/>
      <c r="F1195" s="60" t="n"/>
      <c r="G1195" s="60" t="n"/>
      <c r="H1195" s="71">
        <f>IF(OR($C1195="",$D1195=""),"",IF(ISNUMBER($E1195),$E1195,IF($O1195="","",IF(N(INDEX('Menu Pricing'!$O$7:$O$56,$O1195))&gt;0,INDEX('Menu Pricing'!$O$7:$O$56,$O1195),""))))</f>
        <v/>
      </c>
      <c r="I1195" s="71">
        <f>IF($N1195&lt;&gt;"OK","",$D1195*$H1195)</f>
        <v/>
      </c>
      <c r="J1195" s="71">
        <f>IF($N1195&lt;&gt;"OK","",N(INDEX('Menu Pricing'!$F$7:$F$56,$O1195))+N(INDEX('Menu Pricing'!$G$7:$G$56,$O1195))+N(INDEX('Menu Pricing'!$J$7:$J$56,$O1195)))</f>
        <v/>
      </c>
      <c r="K1195" s="71">
        <f>IF($N1195&lt;&gt;"OK","",$D1195*$J1195)</f>
        <v/>
      </c>
      <c r="L1195" s="71">
        <f>IF($N1195&lt;&gt;"OK","",$I1195-$K1195)</f>
        <v/>
      </c>
      <c r="M1195" s="71">
        <f>IF($N1195&lt;&gt;"OK","",$D1195*N(INDEX('Menu Pricing'!$F$7:$F$56,$O1195)))</f>
        <v/>
      </c>
      <c r="N1195" s="80">
        <f>IF(AND($B1195="",$C1195="",$D1195=""),"",IF(NOT(ISNUMBER($B1195)),"Enter a valid date",IF($C1195="","Pick a menu item",IF($O1195="","Item not on Menu Pricing",IF(N($D1195)&lt;=0,"Qty must be above 0",IF($H1195="","No price on menu","OK"))))))</f>
        <v/>
      </c>
      <c r="O1195" s="13">
        <f>IF($C1195="","",IFERROR(MATCH($C1195,'Menu Pricing'!$B$7:$B$56,0),""))</f>
        <v/>
      </c>
    </row>
    <row r="1196" ht="17" customHeight="1">
      <c r="B1196" s="66" t="n"/>
      <c r="C1196" s="60" t="n"/>
      <c r="D1196" s="86" t="n"/>
      <c r="E1196" s="63" t="n"/>
      <c r="F1196" s="60" t="n"/>
      <c r="G1196" s="60" t="n"/>
      <c r="H1196" s="71">
        <f>IF(OR($C1196="",$D1196=""),"",IF(ISNUMBER($E1196),$E1196,IF($O1196="","",IF(N(INDEX('Menu Pricing'!$O$7:$O$56,$O1196))&gt;0,INDEX('Menu Pricing'!$O$7:$O$56,$O1196),""))))</f>
        <v/>
      </c>
      <c r="I1196" s="71">
        <f>IF($N1196&lt;&gt;"OK","",$D1196*$H1196)</f>
        <v/>
      </c>
      <c r="J1196" s="71">
        <f>IF($N1196&lt;&gt;"OK","",N(INDEX('Menu Pricing'!$F$7:$F$56,$O1196))+N(INDEX('Menu Pricing'!$G$7:$G$56,$O1196))+N(INDEX('Menu Pricing'!$J$7:$J$56,$O1196)))</f>
        <v/>
      </c>
      <c r="K1196" s="71">
        <f>IF($N1196&lt;&gt;"OK","",$D1196*$J1196)</f>
        <v/>
      </c>
      <c r="L1196" s="71">
        <f>IF($N1196&lt;&gt;"OK","",$I1196-$K1196)</f>
        <v/>
      </c>
      <c r="M1196" s="71">
        <f>IF($N1196&lt;&gt;"OK","",$D1196*N(INDEX('Menu Pricing'!$F$7:$F$56,$O1196)))</f>
        <v/>
      </c>
      <c r="N1196" s="80">
        <f>IF(AND($B1196="",$C1196="",$D1196=""),"",IF(NOT(ISNUMBER($B1196)),"Enter a valid date",IF($C1196="","Pick a menu item",IF($O1196="","Item not on Menu Pricing",IF(N($D1196)&lt;=0,"Qty must be above 0",IF($H1196="","No price on menu","OK"))))))</f>
        <v/>
      </c>
      <c r="O1196" s="13">
        <f>IF($C1196="","",IFERROR(MATCH($C1196,'Menu Pricing'!$B$7:$B$56,0),""))</f>
        <v/>
      </c>
    </row>
    <row r="1197" ht="17" customHeight="1">
      <c r="B1197" s="66" t="n"/>
      <c r="C1197" s="60" t="n"/>
      <c r="D1197" s="86" t="n"/>
      <c r="E1197" s="63" t="n"/>
      <c r="F1197" s="60" t="n"/>
      <c r="G1197" s="60" t="n"/>
      <c r="H1197" s="71">
        <f>IF(OR($C1197="",$D1197=""),"",IF(ISNUMBER($E1197),$E1197,IF($O1197="","",IF(N(INDEX('Menu Pricing'!$O$7:$O$56,$O1197))&gt;0,INDEX('Menu Pricing'!$O$7:$O$56,$O1197),""))))</f>
        <v/>
      </c>
      <c r="I1197" s="71">
        <f>IF($N1197&lt;&gt;"OK","",$D1197*$H1197)</f>
        <v/>
      </c>
      <c r="J1197" s="71">
        <f>IF($N1197&lt;&gt;"OK","",N(INDEX('Menu Pricing'!$F$7:$F$56,$O1197))+N(INDEX('Menu Pricing'!$G$7:$G$56,$O1197))+N(INDEX('Menu Pricing'!$J$7:$J$56,$O1197)))</f>
        <v/>
      </c>
      <c r="K1197" s="71">
        <f>IF($N1197&lt;&gt;"OK","",$D1197*$J1197)</f>
        <v/>
      </c>
      <c r="L1197" s="71">
        <f>IF($N1197&lt;&gt;"OK","",$I1197-$K1197)</f>
        <v/>
      </c>
      <c r="M1197" s="71">
        <f>IF($N1197&lt;&gt;"OK","",$D1197*N(INDEX('Menu Pricing'!$F$7:$F$56,$O1197)))</f>
        <v/>
      </c>
      <c r="N1197" s="80">
        <f>IF(AND($B1197="",$C1197="",$D1197=""),"",IF(NOT(ISNUMBER($B1197)),"Enter a valid date",IF($C1197="","Pick a menu item",IF($O1197="","Item not on Menu Pricing",IF(N($D1197)&lt;=0,"Qty must be above 0",IF($H1197="","No price on menu","OK"))))))</f>
        <v/>
      </c>
      <c r="O1197" s="13">
        <f>IF($C1197="","",IFERROR(MATCH($C1197,'Menu Pricing'!$B$7:$B$56,0),""))</f>
        <v/>
      </c>
    </row>
    <row r="1198" ht="17" customHeight="1">
      <c r="B1198" s="66" t="n"/>
      <c r="C1198" s="60" t="n"/>
      <c r="D1198" s="86" t="n"/>
      <c r="E1198" s="63" t="n"/>
      <c r="F1198" s="60" t="n"/>
      <c r="G1198" s="60" t="n"/>
      <c r="H1198" s="71">
        <f>IF(OR($C1198="",$D1198=""),"",IF(ISNUMBER($E1198),$E1198,IF($O1198="","",IF(N(INDEX('Menu Pricing'!$O$7:$O$56,$O1198))&gt;0,INDEX('Menu Pricing'!$O$7:$O$56,$O1198),""))))</f>
        <v/>
      </c>
      <c r="I1198" s="71">
        <f>IF($N1198&lt;&gt;"OK","",$D1198*$H1198)</f>
        <v/>
      </c>
      <c r="J1198" s="71">
        <f>IF($N1198&lt;&gt;"OK","",N(INDEX('Menu Pricing'!$F$7:$F$56,$O1198))+N(INDEX('Menu Pricing'!$G$7:$G$56,$O1198))+N(INDEX('Menu Pricing'!$J$7:$J$56,$O1198)))</f>
        <v/>
      </c>
      <c r="K1198" s="71">
        <f>IF($N1198&lt;&gt;"OK","",$D1198*$J1198)</f>
        <v/>
      </c>
      <c r="L1198" s="71">
        <f>IF($N1198&lt;&gt;"OK","",$I1198-$K1198)</f>
        <v/>
      </c>
      <c r="M1198" s="71">
        <f>IF($N1198&lt;&gt;"OK","",$D1198*N(INDEX('Menu Pricing'!$F$7:$F$56,$O1198)))</f>
        <v/>
      </c>
      <c r="N1198" s="80">
        <f>IF(AND($B1198="",$C1198="",$D1198=""),"",IF(NOT(ISNUMBER($B1198)),"Enter a valid date",IF($C1198="","Pick a menu item",IF($O1198="","Item not on Menu Pricing",IF(N($D1198)&lt;=0,"Qty must be above 0",IF($H1198="","No price on menu","OK"))))))</f>
        <v/>
      </c>
      <c r="O1198" s="13">
        <f>IF($C1198="","",IFERROR(MATCH($C1198,'Menu Pricing'!$B$7:$B$56,0),""))</f>
        <v/>
      </c>
    </row>
    <row r="1199" ht="17" customHeight="1">
      <c r="B1199" s="66" t="n"/>
      <c r="C1199" s="60" t="n"/>
      <c r="D1199" s="86" t="n"/>
      <c r="E1199" s="63" t="n"/>
      <c r="F1199" s="60" t="n"/>
      <c r="G1199" s="60" t="n"/>
      <c r="H1199" s="71">
        <f>IF(OR($C1199="",$D1199=""),"",IF(ISNUMBER($E1199),$E1199,IF($O1199="","",IF(N(INDEX('Menu Pricing'!$O$7:$O$56,$O1199))&gt;0,INDEX('Menu Pricing'!$O$7:$O$56,$O1199),""))))</f>
        <v/>
      </c>
      <c r="I1199" s="71">
        <f>IF($N1199&lt;&gt;"OK","",$D1199*$H1199)</f>
        <v/>
      </c>
      <c r="J1199" s="71">
        <f>IF($N1199&lt;&gt;"OK","",N(INDEX('Menu Pricing'!$F$7:$F$56,$O1199))+N(INDEX('Menu Pricing'!$G$7:$G$56,$O1199))+N(INDEX('Menu Pricing'!$J$7:$J$56,$O1199)))</f>
        <v/>
      </c>
      <c r="K1199" s="71">
        <f>IF($N1199&lt;&gt;"OK","",$D1199*$J1199)</f>
        <v/>
      </c>
      <c r="L1199" s="71">
        <f>IF($N1199&lt;&gt;"OK","",$I1199-$K1199)</f>
        <v/>
      </c>
      <c r="M1199" s="71">
        <f>IF($N1199&lt;&gt;"OK","",$D1199*N(INDEX('Menu Pricing'!$F$7:$F$56,$O1199)))</f>
        <v/>
      </c>
      <c r="N1199" s="80">
        <f>IF(AND($B1199="",$C1199="",$D1199=""),"",IF(NOT(ISNUMBER($B1199)),"Enter a valid date",IF($C1199="","Pick a menu item",IF($O1199="","Item not on Menu Pricing",IF(N($D1199)&lt;=0,"Qty must be above 0",IF($H1199="","No price on menu","OK"))))))</f>
        <v/>
      </c>
      <c r="O1199" s="13">
        <f>IF($C1199="","",IFERROR(MATCH($C1199,'Menu Pricing'!$B$7:$B$56,0),""))</f>
        <v/>
      </c>
    </row>
    <row r="1200" ht="17" customHeight="1">
      <c r="B1200" s="66" t="n"/>
      <c r="C1200" s="60" t="n"/>
      <c r="D1200" s="86" t="n"/>
      <c r="E1200" s="63" t="n"/>
      <c r="F1200" s="60" t="n"/>
      <c r="G1200" s="60" t="n"/>
      <c r="H1200" s="71">
        <f>IF(OR($C1200="",$D1200=""),"",IF(ISNUMBER($E1200),$E1200,IF($O1200="","",IF(N(INDEX('Menu Pricing'!$O$7:$O$56,$O1200))&gt;0,INDEX('Menu Pricing'!$O$7:$O$56,$O1200),""))))</f>
        <v/>
      </c>
      <c r="I1200" s="71">
        <f>IF($N1200&lt;&gt;"OK","",$D1200*$H1200)</f>
        <v/>
      </c>
      <c r="J1200" s="71">
        <f>IF($N1200&lt;&gt;"OK","",N(INDEX('Menu Pricing'!$F$7:$F$56,$O1200))+N(INDEX('Menu Pricing'!$G$7:$G$56,$O1200))+N(INDEX('Menu Pricing'!$J$7:$J$56,$O1200)))</f>
        <v/>
      </c>
      <c r="K1200" s="71">
        <f>IF($N1200&lt;&gt;"OK","",$D1200*$J1200)</f>
        <v/>
      </c>
      <c r="L1200" s="71">
        <f>IF($N1200&lt;&gt;"OK","",$I1200-$K1200)</f>
        <v/>
      </c>
      <c r="M1200" s="71">
        <f>IF($N1200&lt;&gt;"OK","",$D1200*N(INDEX('Menu Pricing'!$F$7:$F$56,$O1200)))</f>
        <v/>
      </c>
      <c r="N1200" s="80">
        <f>IF(AND($B1200="",$C1200="",$D1200=""),"",IF(NOT(ISNUMBER($B1200)),"Enter a valid date",IF($C1200="","Pick a menu item",IF($O1200="","Item not on Menu Pricing",IF(N($D1200)&lt;=0,"Qty must be above 0",IF($H1200="","No price on menu","OK"))))))</f>
        <v/>
      </c>
      <c r="O1200" s="13">
        <f>IF($C1200="","",IFERROR(MATCH($C1200,'Menu Pricing'!$B$7:$B$56,0),""))</f>
        <v/>
      </c>
    </row>
    <row r="1201" ht="17" customHeight="1">
      <c r="B1201" s="66" t="n"/>
      <c r="C1201" s="60" t="n"/>
      <c r="D1201" s="86" t="n"/>
      <c r="E1201" s="63" t="n"/>
      <c r="F1201" s="60" t="n"/>
      <c r="G1201" s="60" t="n"/>
      <c r="H1201" s="71">
        <f>IF(OR($C1201="",$D1201=""),"",IF(ISNUMBER($E1201),$E1201,IF($O1201="","",IF(N(INDEX('Menu Pricing'!$O$7:$O$56,$O1201))&gt;0,INDEX('Menu Pricing'!$O$7:$O$56,$O1201),""))))</f>
        <v/>
      </c>
      <c r="I1201" s="71">
        <f>IF($N1201&lt;&gt;"OK","",$D1201*$H1201)</f>
        <v/>
      </c>
      <c r="J1201" s="71">
        <f>IF($N1201&lt;&gt;"OK","",N(INDEX('Menu Pricing'!$F$7:$F$56,$O1201))+N(INDEX('Menu Pricing'!$G$7:$G$56,$O1201))+N(INDEX('Menu Pricing'!$J$7:$J$56,$O1201)))</f>
        <v/>
      </c>
      <c r="K1201" s="71">
        <f>IF($N1201&lt;&gt;"OK","",$D1201*$J1201)</f>
        <v/>
      </c>
      <c r="L1201" s="71">
        <f>IF($N1201&lt;&gt;"OK","",$I1201-$K1201)</f>
        <v/>
      </c>
      <c r="M1201" s="71">
        <f>IF($N1201&lt;&gt;"OK","",$D1201*N(INDEX('Menu Pricing'!$F$7:$F$56,$O1201)))</f>
        <v/>
      </c>
      <c r="N1201" s="80">
        <f>IF(AND($B1201="",$C1201="",$D1201=""),"",IF(NOT(ISNUMBER($B1201)),"Enter a valid date",IF($C1201="","Pick a menu item",IF($O1201="","Item not on Menu Pricing",IF(N($D1201)&lt;=0,"Qty must be above 0",IF($H1201="","No price on menu","OK"))))))</f>
        <v/>
      </c>
      <c r="O1201" s="13">
        <f>IF($C1201="","",IFERROR(MATCH($C1201,'Menu Pricing'!$B$7:$B$56,0),""))</f>
        <v/>
      </c>
    </row>
    <row r="1202" ht="17" customHeight="1">
      <c r="B1202" s="66" t="n"/>
      <c r="C1202" s="60" t="n"/>
      <c r="D1202" s="86" t="n"/>
      <c r="E1202" s="63" t="n"/>
      <c r="F1202" s="60" t="n"/>
      <c r="G1202" s="60" t="n"/>
      <c r="H1202" s="71">
        <f>IF(OR($C1202="",$D1202=""),"",IF(ISNUMBER($E1202),$E1202,IF($O1202="","",IF(N(INDEX('Menu Pricing'!$O$7:$O$56,$O1202))&gt;0,INDEX('Menu Pricing'!$O$7:$O$56,$O1202),""))))</f>
        <v/>
      </c>
      <c r="I1202" s="71">
        <f>IF($N1202&lt;&gt;"OK","",$D1202*$H1202)</f>
        <v/>
      </c>
      <c r="J1202" s="71">
        <f>IF($N1202&lt;&gt;"OK","",N(INDEX('Menu Pricing'!$F$7:$F$56,$O1202))+N(INDEX('Menu Pricing'!$G$7:$G$56,$O1202))+N(INDEX('Menu Pricing'!$J$7:$J$56,$O1202)))</f>
        <v/>
      </c>
      <c r="K1202" s="71">
        <f>IF($N1202&lt;&gt;"OK","",$D1202*$J1202)</f>
        <v/>
      </c>
      <c r="L1202" s="71">
        <f>IF($N1202&lt;&gt;"OK","",$I1202-$K1202)</f>
        <v/>
      </c>
      <c r="M1202" s="71">
        <f>IF($N1202&lt;&gt;"OK","",$D1202*N(INDEX('Menu Pricing'!$F$7:$F$56,$O1202)))</f>
        <v/>
      </c>
      <c r="N1202" s="80">
        <f>IF(AND($B1202="",$C1202="",$D1202=""),"",IF(NOT(ISNUMBER($B1202)),"Enter a valid date",IF($C1202="","Pick a menu item",IF($O1202="","Item not on Menu Pricing",IF(N($D1202)&lt;=0,"Qty must be above 0",IF($H1202="","No price on menu","OK"))))))</f>
        <v/>
      </c>
      <c r="O1202" s="13">
        <f>IF($C1202="","",IFERROR(MATCH($C1202,'Menu Pricing'!$B$7:$B$56,0),""))</f>
        <v/>
      </c>
    </row>
    <row r="1203" ht="17" customHeight="1">
      <c r="B1203" s="66" t="n"/>
      <c r="C1203" s="60" t="n"/>
      <c r="D1203" s="86" t="n"/>
      <c r="E1203" s="63" t="n"/>
      <c r="F1203" s="60" t="n"/>
      <c r="G1203" s="60" t="n"/>
      <c r="H1203" s="71">
        <f>IF(OR($C1203="",$D1203=""),"",IF(ISNUMBER($E1203),$E1203,IF($O1203="","",IF(N(INDEX('Menu Pricing'!$O$7:$O$56,$O1203))&gt;0,INDEX('Menu Pricing'!$O$7:$O$56,$O1203),""))))</f>
        <v/>
      </c>
      <c r="I1203" s="71">
        <f>IF($N1203&lt;&gt;"OK","",$D1203*$H1203)</f>
        <v/>
      </c>
      <c r="J1203" s="71">
        <f>IF($N1203&lt;&gt;"OK","",N(INDEX('Menu Pricing'!$F$7:$F$56,$O1203))+N(INDEX('Menu Pricing'!$G$7:$G$56,$O1203))+N(INDEX('Menu Pricing'!$J$7:$J$56,$O1203)))</f>
        <v/>
      </c>
      <c r="K1203" s="71">
        <f>IF($N1203&lt;&gt;"OK","",$D1203*$J1203)</f>
        <v/>
      </c>
      <c r="L1203" s="71">
        <f>IF($N1203&lt;&gt;"OK","",$I1203-$K1203)</f>
        <v/>
      </c>
      <c r="M1203" s="71">
        <f>IF($N1203&lt;&gt;"OK","",$D1203*N(INDEX('Menu Pricing'!$F$7:$F$56,$O1203)))</f>
        <v/>
      </c>
      <c r="N1203" s="80">
        <f>IF(AND($B1203="",$C1203="",$D1203=""),"",IF(NOT(ISNUMBER($B1203)),"Enter a valid date",IF($C1203="","Pick a menu item",IF($O1203="","Item not on Menu Pricing",IF(N($D1203)&lt;=0,"Qty must be above 0",IF($H1203="","No price on menu","OK"))))))</f>
        <v/>
      </c>
      <c r="O1203" s="13">
        <f>IF($C1203="","",IFERROR(MATCH($C1203,'Menu Pricing'!$B$7:$B$56,0),""))</f>
        <v/>
      </c>
    </row>
    <row r="1204" ht="17" customHeight="1">
      <c r="B1204" s="66" t="n"/>
      <c r="C1204" s="60" t="n"/>
      <c r="D1204" s="86" t="n"/>
      <c r="E1204" s="63" t="n"/>
      <c r="F1204" s="60" t="n"/>
      <c r="G1204" s="60" t="n"/>
      <c r="H1204" s="71">
        <f>IF(OR($C1204="",$D1204=""),"",IF(ISNUMBER($E1204),$E1204,IF($O1204="","",IF(N(INDEX('Menu Pricing'!$O$7:$O$56,$O1204))&gt;0,INDEX('Menu Pricing'!$O$7:$O$56,$O1204),""))))</f>
        <v/>
      </c>
      <c r="I1204" s="71">
        <f>IF($N1204&lt;&gt;"OK","",$D1204*$H1204)</f>
        <v/>
      </c>
      <c r="J1204" s="71">
        <f>IF($N1204&lt;&gt;"OK","",N(INDEX('Menu Pricing'!$F$7:$F$56,$O1204))+N(INDEX('Menu Pricing'!$G$7:$G$56,$O1204))+N(INDEX('Menu Pricing'!$J$7:$J$56,$O1204)))</f>
        <v/>
      </c>
      <c r="K1204" s="71">
        <f>IF($N1204&lt;&gt;"OK","",$D1204*$J1204)</f>
        <v/>
      </c>
      <c r="L1204" s="71">
        <f>IF($N1204&lt;&gt;"OK","",$I1204-$K1204)</f>
        <v/>
      </c>
      <c r="M1204" s="71">
        <f>IF($N1204&lt;&gt;"OK","",$D1204*N(INDEX('Menu Pricing'!$F$7:$F$56,$O1204)))</f>
        <v/>
      </c>
      <c r="N1204" s="80">
        <f>IF(AND($B1204="",$C1204="",$D1204=""),"",IF(NOT(ISNUMBER($B1204)),"Enter a valid date",IF($C1204="","Pick a menu item",IF($O1204="","Item not on Menu Pricing",IF(N($D1204)&lt;=0,"Qty must be above 0",IF($H1204="","No price on menu","OK"))))))</f>
        <v/>
      </c>
      <c r="O1204" s="13">
        <f>IF($C1204="","",IFERROR(MATCH($C1204,'Menu Pricing'!$B$7:$B$56,0),""))</f>
        <v/>
      </c>
    </row>
    <row r="1205" ht="17" customHeight="1">
      <c r="B1205" s="66" t="n"/>
      <c r="C1205" s="60" t="n"/>
      <c r="D1205" s="86" t="n"/>
      <c r="E1205" s="63" t="n"/>
      <c r="F1205" s="60" t="n"/>
      <c r="G1205" s="60" t="n"/>
      <c r="H1205" s="71">
        <f>IF(OR($C1205="",$D1205=""),"",IF(ISNUMBER($E1205),$E1205,IF($O1205="","",IF(N(INDEX('Menu Pricing'!$O$7:$O$56,$O1205))&gt;0,INDEX('Menu Pricing'!$O$7:$O$56,$O1205),""))))</f>
        <v/>
      </c>
      <c r="I1205" s="71">
        <f>IF($N1205&lt;&gt;"OK","",$D1205*$H1205)</f>
        <v/>
      </c>
      <c r="J1205" s="71">
        <f>IF($N1205&lt;&gt;"OK","",N(INDEX('Menu Pricing'!$F$7:$F$56,$O1205))+N(INDEX('Menu Pricing'!$G$7:$G$56,$O1205))+N(INDEX('Menu Pricing'!$J$7:$J$56,$O1205)))</f>
        <v/>
      </c>
      <c r="K1205" s="71">
        <f>IF($N1205&lt;&gt;"OK","",$D1205*$J1205)</f>
        <v/>
      </c>
      <c r="L1205" s="71">
        <f>IF($N1205&lt;&gt;"OK","",$I1205-$K1205)</f>
        <v/>
      </c>
      <c r="M1205" s="71">
        <f>IF($N1205&lt;&gt;"OK","",$D1205*N(INDEX('Menu Pricing'!$F$7:$F$56,$O1205)))</f>
        <v/>
      </c>
      <c r="N1205" s="80">
        <f>IF(AND($B1205="",$C1205="",$D1205=""),"",IF(NOT(ISNUMBER($B1205)),"Enter a valid date",IF($C1205="","Pick a menu item",IF($O1205="","Item not on Menu Pricing",IF(N($D1205)&lt;=0,"Qty must be above 0",IF($H1205="","No price on menu","OK"))))))</f>
        <v/>
      </c>
      <c r="O1205" s="13">
        <f>IF($C1205="","",IFERROR(MATCH($C1205,'Menu Pricing'!$B$7:$B$56,0),""))</f>
        <v/>
      </c>
    </row>
    <row r="1206" ht="17" customHeight="1">
      <c r="B1206" s="66" t="n"/>
      <c r="C1206" s="60" t="n"/>
      <c r="D1206" s="86" t="n"/>
      <c r="E1206" s="63" t="n"/>
      <c r="F1206" s="60" t="n"/>
      <c r="G1206" s="60" t="n"/>
      <c r="H1206" s="71">
        <f>IF(OR($C1206="",$D1206=""),"",IF(ISNUMBER($E1206),$E1206,IF($O1206="","",IF(N(INDEX('Menu Pricing'!$O$7:$O$56,$O1206))&gt;0,INDEX('Menu Pricing'!$O$7:$O$56,$O1206),""))))</f>
        <v/>
      </c>
      <c r="I1206" s="71">
        <f>IF($N1206&lt;&gt;"OK","",$D1206*$H1206)</f>
        <v/>
      </c>
      <c r="J1206" s="71">
        <f>IF($N1206&lt;&gt;"OK","",N(INDEX('Menu Pricing'!$F$7:$F$56,$O1206))+N(INDEX('Menu Pricing'!$G$7:$G$56,$O1206))+N(INDEX('Menu Pricing'!$J$7:$J$56,$O1206)))</f>
        <v/>
      </c>
      <c r="K1206" s="71">
        <f>IF($N1206&lt;&gt;"OK","",$D1206*$J1206)</f>
        <v/>
      </c>
      <c r="L1206" s="71">
        <f>IF($N1206&lt;&gt;"OK","",$I1206-$K1206)</f>
        <v/>
      </c>
      <c r="M1206" s="71">
        <f>IF($N1206&lt;&gt;"OK","",$D1206*N(INDEX('Menu Pricing'!$F$7:$F$56,$O1206)))</f>
        <v/>
      </c>
      <c r="N1206" s="80">
        <f>IF(AND($B1206="",$C1206="",$D1206=""),"",IF(NOT(ISNUMBER($B1206)),"Enter a valid date",IF($C1206="","Pick a menu item",IF($O1206="","Item not on Menu Pricing",IF(N($D1206)&lt;=0,"Qty must be above 0",IF($H1206="","No price on menu","OK"))))))</f>
        <v/>
      </c>
      <c r="O1206" s="13">
        <f>IF($C1206="","",IFERROR(MATCH($C1206,'Menu Pricing'!$B$7:$B$56,0),""))</f>
        <v/>
      </c>
    </row>
    <row r="1207" ht="17" customHeight="1">
      <c r="B1207" s="66" t="n"/>
      <c r="C1207" s="60" t="n"/>
      <c r="D1207" s="86" t="n"/>
      <c r="E1207" s="63" t="n"/>
      <c r="F1207" s="60" t="n"/>
      <c r="G1207" s="60" t="n"/>
      <c r="H1207" s="71">
        <f>IF(OR($C1207="",$D1207=""),"",IF(ISNUMBER($E1207),$E1207,IF($O1207="","",IF(N(INDEX('Menu Pricing'!$O$7:$O$56,$O1207))&gt;0,INDEX('Menu Pricing'!$O$7:$O$56,$O1207),""))))</f>
        <v/>
      </c>
      <c r="I1207" s="71">
        <f>IF($N1207&lt;&gt;"OK","",$D1207*$H1207)</f>
        <v/>
      </c>
      <c r="J1207" s="71">
        <f>IF($N1207&lt;&gt;"OK","",N(INDEX('Menu Pricing'!$F$7:$F$56,$O1207))+N(INDEX('Menu Pricing'!$G$7:$G$56,$O1207))+N(INDEX('Menu Pricing'!$J$7:$J$56,$O1207)))</f>
        <v/>
      </c>
      <c r="K1207" s="71">
        <f>IF($N1207&lt;&gt;"OK","",$D1207*$J1207)</f>
        <v/>
      </c>
      <c r="L1207" s="71">
        <f>IF($N1207&lt;&gt;"OK","",$I1207-$K1207)</f>
        <v/>
      </c>
      <c r="M1207" s="71">
        <f>IF($N1207&lt;&gt;"OK","",$D1207*N(INDEX('Menu Pricing'!$F$7:$F$56,$O1207)))</f>
        <v/>
      </c>
      <c r="N1207" s="80">
        <f>IF(AND($B1207="",$C1207="",$D1207=""),"",IF(NOT(ISNUMBER($B1207)),"Enter a valid date",IF($C1207="","Pick a menu item",IF($O1207="","Item not on Menu Pricing",IF(N($D1207)&lt;=0,"Qty must be above 0",IF($H1207="","No price on menu","OK"))))))</f>
        <v/>
      </c>
      <c r="O1207" s="13">
        <f>IF($C1207="","",IFERROR(MATCH($C1207,'Menu Pricing'!$B$7:$B$56,0),""))</f>
        <v/>
      </c>
    </row>
    <row r="1208" ht="17" customHeight="1">
      <c r="B1208" s="66" t="n"/>
      <c r="C1208" s="60" t="n"/>
      <c r="D1208" s="86" t="n"/>
      <c r="E1208" s="63" t="n"/>
      <c r="F1208" s="60" t="n"/>
      <c r="G1208" s="60" t="n"/>
      <c r="H1208" s="71">
        <f>IF(OR($C1208="",$D1208=""),"",IF(ISNUMBER($E1208),$E1208,IF($O1208="","",IF(N(INDEX('Menu Pricing'!$O$7:$O$56,$O1208))&gt;0,INDEX('Menu Pricing'!$O$7:$O$56,$O1208),""))))</f>
        <v/>
      </c>
      <c r="I1208" s="71">
        <f>IF($N1208&lt;&gt;"OK","",$D1208*$H1208)</f>
        <v/>
      </c>
      <c r="J1208" s="71">
        <f>IF($N1208&lt;&gt;"OK","",N(INDEX('Menu Pricing'!$F$7:$F$56,$O1208))+N(INDEX('Menu Pricing'!$G$7:$G$56,$O1208))+N(INDEX('Menu Pricing'!$J$7:$J$56,$O1208)))</f>
        <v/>
      </c>
      <c r="K1208" s="71">
        <f>IF($N1208&lt;&gt;"OK","",$D1208*$J1208)</f>
        <v/>
      </c>
      <c r="L1208" s="71">
        <f>IF($N1208&lt;&gt;"OK","",$I1208-$K1208)</f>
        <v/>
      </c>
      <c r="M1208" s="71">
        <f>IF($N1208&lt;&gt;"OK","",$D1208*N(INDEX('Menu Pricing'!$F$7:$F$56,$O1208)))</f>
        <v/>
      </c>
      <c r="N1208" s="80">
        <f>IF(AND($B1208="",$C1208="",$D1208=""),"",IF(NOT(ISNUMBER($B1208)),"Enter a valid date",IF($C1208="","Pick a menu item",IF($O1208="","Item not on Menu Pricing",IF(N($D1208)&lt;=0,"Qty must be above 0",IF($H1208="","No price on menu","OK"))))))</f>
        <v/>
      </c>
      <c r="O1208" s="13">
        <f>IF($C1208="","",IFERROR(MATCH($C1208,'Menu Pricing'!$B$7:$B$56,0),""))</f>
        <v/>
      </c>
    </row>
    <row r="1209" ht="17" customHeight="1">
      <c r="B1209" s="66" t="n"/>
      <c r="C1209" s="60" t="n"/>
      <c r="D1209" s="86" t="n"/>
      <c r="E1209" s="63" t="n"/>
      <c r="F1209" s="60" t="n"/>
      <c r="G1209" s="60" t="n"/>
      <c r="H1209" s="71">
        <f>IF(OR($C1209="",$D1209=""),"",IF(ISNUMBER($E1209),$E1209,IF($O1209="","",IF(N(INDEX('Menu Pricing'!$O$7:$O$56,$O1209))&gt;0,INDEX('Menu Pricing'!$O$7:$O$56,$O1209),""))))</f>
        <v/>
      </c>
      <c r="I1209" s="71">
        <f>IF($N1209&lt;&gt;"OK","",$D1209*$H1209)</f>
        <v/>
      </c>
      <c r="J1209" s="71">
        <f>IF($N1209&lt;&gt;"OK","",N(INDEX('Menu Pricing'!$F$7:$F$56,$O1209))+N(INDEX('Menu Pricing'!$G$7:$G$56,$O1209))+N(INDEX('Menu Pricing'!$J$7:$J$56,$O1209)))</f>
        <v/>
      </c>
      <c r="K1209" s="71">
        <f>IF($N1209&lt;&gt;"OK","",$D1209*$J1209)</f>
        <v/>
      </c>
      <c r="L1209" s="71">
        <f>IF($N1209&lt;&gt;"OK","",$I1209-$K1209)</f>
        <v/>
      </c>
      <c r="M1209" s="71">
        <f>IF($N1209&lt;&gt;"OK","",$D1209*N(INDEX('Menu Pricing'!$F$7:$F$56,$O1209)))</f>
        <v/>
      </c>
      <c r="N1209" s="80">
        <f>IF(AND($B1209="",$C1209="",$D1209=""),"",IF(NOT(ISNUMBER($B1209)),"Enter a valid date",IF($C1209="","Pick a menu item",IF($O1209="","Item not on Menu Pricing",IF(N($D1209)&lt;=0,"Qty must be above 0",IF($H1209="","No price on menu","OK"))))))</f>
        <v/>
      </c>
      <c r="O1209" s="13">
        <f>IF($C1209="","",IFERROR(MATCH($C1209,'Menu Pricing'!$B$7:$B$56,0),""))</f>
        <v/>
      </c>
    </row>
    <row r="1210" ht="17" customHeight="1">
      <c r="B1210" s="66" t="n"/>
      <c r="C1210" s="60" t="n"/>
      <c r="D1210" s="86" t="n"/>
      <c r="E1210" s="63" t="n"/>
      <c r="F1210" s="60" t="n"/>
      <c r="G1210" s="60" t="n"/>
      <c r="H1210" s="71">
        <f>IF(OR($C1210="",$D1210=""),"",IF(ISNUMBER($E1210),$E1210,IF($O1210="","",IF(N(INDEX('Menu Pricing'!$O$7:$O$56,$O1210))&gt;0,INDEX('Menu Pricing'!$O$7:$O$56,$O1210),""))))</f>
        <v/>
      </c>
      <c r="I1210" s="71">
        <f>IF($N1210&lt;&gt;"OK","",$D1210*$H1210)</f>
        <v/>
      </c>
      <c r="J1210" s="71">
        <f>IF($N1210&lt;&gt;"OK","",N(INDEX('Menu Pricing'!$F$7:$F$56,$O1210))+N(INDEX('Menu Pricing'!$G$7:$G$56,$O1210))+N(INDEX('Menu Pricing'!$J$7:$J$56,$O1210)))</f>
        <v/>
      </c>
      <c r="K1210" s="71">
        <f>IF($N1210&lt;&gt;"OK","",$D1210*$J1210)</f>
        <v/>
      </c>
      <c r="L1210" s="71">
        <f>IF($N1210&lt;&gt;"OK","",$I1210-$K1210)</f>
        <v/>
      </c>
      <c r="M1210" s="71">
        <f>IF($N1210&lt;&gt;"OK","",$D1210*N(INDEX('Menu Pricing'!$F$7:$F$56,$O1210)))</f>
        <v/>
      </c>
      <c r="N1210" s="80">
        <f>IF(AND($B1210="",$C1210="",$D1210=""),"",IF(NOT(ISNUMBER($B1210)),"Enter a valid date",IF($C1210="","Pick a menu item",IF($O1210="","Item not on Menu Pricing",IF(N($D1210)&lt;=0,"Qty must be above 0",IF($H1210="","No price on menu","OK"))))))</f>
        <v/>
      </c>
      <c r="O1210" s="13">
        <f>IF($C1210="","",IFERROR(MATCH($C1210,'Menu Pricing'!$B$7:$B$56,0),""))</f>
        <v/>
      </c>
    </row>
    <row r="1211" ht="17" customHeight="1">
      <c r="B1211" s="66" t="n"/>
      <c r="C1211" s="60" t="n"/>
      <c r="D1211" s="86" t="n"/>
      <c r="E1211" s="63" t="n"/>
      <c r="F1211" s="60" t="n"/>
      <c r="G1211" s="60" t="n"/>
      <c r="H1211" s="71">
        <f>IF(OR($C1211="",$D1211=""),"",IF(ISNUMBER($E1211),$E1211,IF($O1211="","",IF(N(INDEX('Menu Pricing'!$O$7:$O$56,$O1211))&gt;0,INDEX('Menu Pricing'!$O$7:$O$56,$O1211),""))))</f>
        <v/>
      </c>
      <c r="I1211" s="71">
        <f>IF($N1211&lt;&gt;"OK","",$D1211*$H1211)</f>
        <v/>
      </c>
      <c r="J1211" s="71">
        <f>IF($N1211&lt;&gt;"OK","",N(INDEX('Menu Pricing'!$F$7:$F$56,$O1211))+N(INDEX('Menu Pricing'!$G$7:$G$56,$O1211))+N(INDEX('Menu Pricing'!$J$7:$J$56,$O1211)))</f>
        <v/>
      </c>
      <c r="K1211" s="71">
        <f>IF($N1211&lt;&gt;"OK","",$D1211*$J1211)</f>
        <v/>
      </c>
      <c r="L1211" s="71">
        <f>IF($N1211&lt;&gt;"OK","",$I1211-$K1211)</f>
        <v/>
      </c>
      <c r="M1211" s="71">
        <f>IF($N1211&lt;&gt;"OK","",$D1211*N(INDEX('Menu Pricing'!$F$7:$F$56,$O1211)))</f>
        <v/>
      </c>
      <c r="N1211" s="80">
        <f>IF(AND($B1211="",$C1211="",$D1211=""),"",IF(NOT(ISNUMBER($B1211)),"Enter a valid date",IF($C1211="","Pick a menu item",IF($O1211="","Item not on Menu Pricing",IF(N($D1211)&lt;=0,"Qty must be above 0",IF($H1211="","No price on menu","OK"))))))</f>
        <v/>
      </c>
      <c r="O1211" s="13">
        <f>IF($C1211="","",IFERROR(MATCH($C1211,'Menu Pricing'!$B$7:$B$56,0),""))</f>
        <v/>
      </c>
    </row>
    <row r="1212" ht="17" customHeight="1">
      <c r="B1212" s="66" t="n"/>
      <c r="C1212" s="60" t="n"/>
      <c r="D1212" s="86" t="n"/>
      <c r="E1212" s="63" t="n"/>
      <c r="F1212" s="60" t="n"/>
      <c r="G1212" s="60" t="n"/>
      <c r="H1212" s="71">
        <f>IF(OR($C1212="",$D1212=""),"",IF(ISNUMBER($E1212),$E1212,IF($O1212="","",IF(N(INDEX('Menu Pricing'!$O$7:$O$56,$O1212))&gt;0,INDEX('Menu Pricing'!$O$7:$O$56,$O1212),""))))</f>
        <v/>
      </c>
      <c r="I1212" s="71">
        <f>IF($N1212&lt;&gt;"OK","",$D1212*$H1212)</f>
        <v/>
      </c>
      <c r="J1212" s="71">
        <f>IF($N1212&lt;&gt;"OK","",N(INDEX('Menu Pricing'!$F$7:$F$56,$O1212))+N(INDEX('Menu Pricing'!$G$7:$G$56,$O1212))+N(INDEX('Menu Pricing'!$J$7:$J$56,$O1212)))</f>
        <v/>
      </c>
      <c r="K1212" s="71">
        <f>IF($N1212&lt;&gt;"OK","",$D1212*$J1212)</f>
        <v/>
      </c>
      <c r="L1212" s="71">
        <f>IF($N1212&lt;&gt;"OK","",$I1212-$K1212)</f>
        <v/>
      </c>
      <c r="M1212" s="71">
        <f>IF($N1212&lt;&gt;"OK","",$D1212*N(INDEX('Menu Pricing'!$F$7:$F$56,$O1212)))</f>
        <v/>
      </c>
      <c r="N1212" s="80">
        <f>IF(AND($B1212="",$C1212="",$D1212=""),"",IF(NOT(ISNUMBER($B1212)),"Enter a valid date",IF($C1212="","Pick a menu item",IF($O1212="","Item not on Menu Pricing",IF(N($D1212)&lt;=0,"Qty must be above 0",IF($H1212="","No price on menu","OK"))))))</f>
        <v/>
      </c>
      <c r="O1212" s="13">
        <f>IF($C1212="","",IFERROR(MATCH($C1212,'Menu Pricing'!$B$7:$B$56,0),""))</f>
        <v/>
      </c>
    </row>
    <row r="1213" ht="17" customHeight="1">
      <c r="B1213" s="66" t="n"/>
      <c r="C1213" s="60" t="n"/>
      <c r="D1213" s="86" t="n"/>
      <c r="E1213" s="63" t="n"/>
      <c r="F1213" s="60" t="n"/>
      <c r="G1213" s="60" t="n"/>
      <c r="H1213" s="71">
        <f>IF(OR($C1213="",$D1213=""),"",IF(ISNUMBER($E1213),$E1213,IF($O1213="","",IF(N(INDEX('Menu Pricing'!$O$7:$O$56,$O1213))&gt;0,INDEX('Menu Pricing'!$O$7:$O$56,$O1213),""))))</f>
        <v/>
      </c>
      <c r="I1213" s="71">
        <f>IF($N1213&lt;&gt;"OK","",$D1213*$H1213)</f>
        <v/>
      </c>
      <c r="J1213" s="71">
        <f>IF($N1213&lt;&gt;"OK","",N(INDEX('Menu Pricing'!$F$7:$F$56,$O1213))+N(INDEX('Menu Pricing'!$G$7:$G$56,$O1213))+N(INDEX('Menu Pricing'!$J$7:$J$56,$O1213)))</f>
        <v/>
      </c>
      <c r="K1213" s="71">
        <f>IF($N1213&lt;&gt;"OK","",$D1213*$J1213)</f>
        <v/>
      </c>
      <c r="L1213" s="71">
        <f>IF($N1213&lt;&gt;"OK","",$I1213-$K1213)</f>
        <v/>
      </c>
      <c r="M1213" s="71">
        <f>IF($N1213&lt;&gt;"OK","",$D1213*N(INDEX('Menu Pricing'!$F$7:$F$56,$O1213)))</f>
        <v/>
      </c>
      <c r="N1213" s="80">
        <f>IF(AND($B1213="",$C1213="",$D1213=""),"",IF(NOT(ISNUMBER($B1213)),"Enter a valid date",IF($C1213="","Pick a menu item",IF($O1213="","Item not on Menu Pricing",IF(N($D1213)&lt;=0,"Qty must be above 0",IF($H1213="","No price on menu","OK"))))))</f>
        <v/>
      </c>
      <c r="O1213" s="13">
        <f>IF($C1213="","",IFERROR(MATCH($C1213,'Menu Pricing'!$B$7:$B$56,0),""))</f>
        <v/>
      </c>
    </row>
    <row r="1214" ht="17" customHeight="1">
      <c r="B1214" s="66" t="n"/>
      <c r="C1214" s="60" t="n"/>
      <c r="D1214" s="86" t="n"/>
      <c r="E1214" s="63" t="n"/>
      <c r="F1214" s="60" t="n"/>
      <c r="G1214" s="60" t="n"/>
      <c r="H1214" s="71">
        <f>IF(OR($C1214="",$D1214=""),"",IF(ISNUMBER($E1214),$E1214,IF($O1214="","",IF(N(INDEX('Menu Pricing'!$O$7:$O$56,$O1214))&gt;0,INDEX('Menu Pricing'!$O$7:$O$56,$O1214),""))))</f>
        <v/>
      </c>
      <c r="I1214" s="71">
        <f>IF($N1214&lt;&gt;"OK","",$D1214*$H1214)</f>
        <v/>
      </c>
      <c r="J1214" s="71">
        <f>IF($N1214&lt;&gt;"OK","",N(INDEX('Menu Pricing'!$F$7:$F$56,$O1214))+N(INDEX('Menu Pricing'!$G$7:$G$56,$O1214))+N(INDEX('Menu Pricing'!$J$7:$J$56,$O1214)))</f>
        <v/>
      </c>
      <c r="K1214" s="71">
        <f>IF($N1214&lt;&gt;"OK","",$D1214*$J1214)</f>
        <v/>
      </c>
      <c r="L1214" s="71">
        <f>IF($N1214&lt;&gt;"OK","",$I1214-$K1214)</f>
        <v/>
      </c>
      <c r="M1214" s="71">
        <f>IF($N1214&lt;&gt;"OK","",$D1214*N(INDEX('Menu Pricing'!$F$7:$F$56,$O1214)))</f>
        <v/>
      </c>
      <c r="N1214" s="80">
        <f>IF(AND($B1214="",$C1214="",$D1214=""),"",IF(NOT(ISNUMBER($B1214)),"Enter a valid date",IF($C1214="","Pick a menu item",IF($O1214="","Item not on Menu Pricing",IF(N($D1214)&lt;=0,"Qty must be above 0",IF($H1214="","No price on menu","OK"))))))</f>
        <v/>
      </c>
      <c r="O1214" s="13">
        <f>IF($C1214="","",IFERROR(MATCH($C1214,'Menu Pricing'!$B$7:$B$56,0),""))</f>
        <v/>
      </c>
    </row>
    <row r="1215" ht="17" customHeight="1">
      <c r="B1215" s="66" t="n"/>
      <c r="C1215" s="60" t="n"/>
      <c r="D1215" s="86" t="n"/>
      <c r="E1215" s="63" t="n"/>
      <c r="F1215" s="60" t="n"/>
      <c r="G1215" s="60" t="n"/>
      <c r="H1215" s="71">
        <f>IF(OR($C1215="",$D1215=""),"",IF(ISNUMBER($E1215),$E1215,IF($O1215="","",IF(N(INDEX('Menu Pricing'!$O$7:$O$56,$O1215))&gt;0,INDEX('Menu Pricing'!$O$7:$O$56,$O1215),""))))</f>
        <v/>
      </c>
      <c r="I1215" s="71">
        <f>IF($N1215&lt;&gt;"OK","",$D1215*$H1215)</f>
        <v/>
      </c>
      <c r="J1215" s="71">
        <f>IF($N1215&lt;&gt;"OK","",N(INDEX('Menu Pricing'!$F$7:$F$56,$O1215))+N(INDEX('Menu Pricing'!$G$7:$G$56,$O1215))+N(INDEX('Menu Pricing'!$J$7:$J$56,$O1215)))</f>
        <v/>
      </c>
      <c r="K1215" s="71">
        <f>IF($N1215&lt;&gt;"OK","",$D1215*$J1215)</f>
        <v/>
      </c>
      <c r="L1215" s="71">
        <f>IF($N1215&lt;&gt;"OK","",$I1215-$K1215)</f>
        <v/>
      </c>
      <c r="M1215" s="71">
        <f>IF($N1215&lt;&gt;"OK","",$D1215*N(INDEX('Menu Pricing'!$F$7:$F$56,$O1215)))</f>
        <v/>
      </c>
      <c r="N1215" s="80">
        <f>IF(AND($B1215="",$C1215="",$D1215=""),"",IF(NOT(ISNUMBER($B1215)),"Enter a valid date",IF($C1215="","Pick a menu item",IF($O1215="","Item not on Menu Pricing",IF(N($D1215)&lt;=0,"Qty must be above 0",IF($H1215="","No price on menu","OK"))))))</f>
        <v/>
      </c>
      <c r="O1215" s="13">
        <f>IF($C1215="","",IFERROR(MATCH($C1215,'Menu Pricing'!$B$7:$B$56,0),""))</f>
        <v/>
      </c>
    </row>
    <row r="1216" ht="17" customHeight="1">
      <c r="B1216" s="66" t="n"/>
      <c r="C1216" s="60" t="n"/>
      <c r="D1216" s="86" t="n"/>
      <c r="E1216" s="63" t="n"/>
      <c r="F1216" s="60" t="n"/>
      <c r="G1216" s="60" t="n"/>
      <c r="H1216" s="71">
        <f>IF(OR($C1216="",$D1216=""),"",IF(ISNUMBER($E1216),$E1216,IF($O1216="","",IF(N(INDEX('Menu Pricing'!$O$7:$O$56,$O1216))&gt;0,INDEX('Menu Pricing'!$O$7:$O$56,$O1216),""))))</f>
        <v/>
      </c>
      <c r="I1216" s="71">
        <f>IF($N1216&lt;&gt;"OK","",$D1216*$H1216)</f>
        <v/>
      </c>
      <c r="J1216" s="71">
        <f>IF($N1216&lt;&gt;"OK","",N(INDEX('Menu Pricing'!$F$7:$F$56,$O1216))+N(INDEX('Menu Pricing'!$G$7:$G$56,$O1216))+N(INDEX('Menu Pricing'!$J$7:$J$56,$O1216)))</f>
        <v/>
      </c>
      <c r="K1216" s="71">
        <f>IF($N1216&lt;&gt;"OK","",$D1216*$J1216)</f>
        <v/>
      </c>
      <c r="L1216" s="71">
        <f>IF($N1216&lt;&gt;"OK","",$I1216-$K1216)</f>
        <v/>
      </c>
      <c r="M1216" s="71">
        <f>IF($N1216&lt;&gt;"OK","",$D1216*N(INDEX('Menu Pricing'!$F$7:$F$56,$O1216)))</f>
        <v/>
      </c>
      <c r="N1216" s="80">
        <f>IF(AND($B1216="",$C1216="",$D1216=""),"",IF(NOT(ISNUMBER($B1216)),"Enter a valid date",IF($C1216="","Pick a menu item",IF($O1216="","Item not on Menu Pricing",IF(N($D1216)&lt;=0,"Qty must be above 0",IF($H1216="","No price on menu","OK"))))))</f>
        <v/>
      </c>
      <c r="O1216" s="13">
        <f>IF($C1216="","",IFERROR(MATCH($C1216,'Menu Pricing'!$B$7:$B$56,0),""))</f>
        <v/>
      </c>
    </row>
    <row r="1217" ht="17" customHeight="1">
      <c r="B1217" s="66" t="n"/>
      <c r="C1217" s="60" t="n"/>
      <c r="D1217" s="86" t="n"/>
      <c r="E1217" s="63" t="n"/>
      <c r="F1217" s="60" t="n"/>
      <c r="G1217" s="60" t="n"/>
      <c r="H1217" s="71">
        <f>IF(OR($C1217="",$D1217=""),"",IF(ISNUMBER($E1217),$E1217,IF($O1217="","",IF(N(INDEX('Menu Pricing'!$O$7:$O$56,$O1217))&gt;0,INDEX('Menu Pricing'!$O$7:$O$56,$O1217),""))))</f>
        <v/>
      </c>
      <c r="I1217" s="71">
        <f>IF($N1217&lt;&gt;"OK","",$D1217*$H1217)</f>
        <v/>
      </c>
      <c r="J1217" s="71">
        <f>IF($N1217&lt;&gt;"OK","",N(INDEX('Menu Pricing'!$F$7:$F$56,$O1217))+N(INDEX('Menu Pricing'!$G$7:$G$56,$O1217))+N(INDEX('Menu Pricing'!$J$7:$J$56,$O1217)))</f>
        <v/>
      </c>
      <c r="K1217" s="71">
        <f>IF($N1217&lt;&gt;"OK","",$D1217*$J1217)</f>
        <v/>
      </c>
      <c r="L1217" s="71">
        <f>IF($N1217&lt;&gt;"OK","",$I1217-$K1217)</f>
        <v/>
      </c>
      <c r="M1217" s="71">
        <f>IF($N1217&lt;&gt;"OK","",$D1217*N(INDEX('Menu Pricing'!$F$7:$F$56,$O1217)))</f>
        <v/>
      </c>
      <c r="N1217" s="80">
        <f>IF(AND($B1217="",$C1217="",$D1217=""),"",IF(NOT(ISNUMBER($B1217)),"Enter a valid date",IF($C1217="","Pick a menu item",IF($O1217="","Item not on Menu Pricing",IF(N($D1217)&lt;=0,"Qty must be above 0",IF($H1217="","No price on menu","OK"))))))</f>
        <v/>
      </c>
      <c r="O1217" s="13">
        <f>IF($C1217="","",IFERROR(MATCH($C1217,'Menu Pricing'!$B$7:$B$56,0),""))</f>
        <v/>
      </c>
    </row>
    <row r="1218" ht="17" customHeight="1">
      <c r="B1218" s="66" t="n"/>
      <c r="C1218" s="60" t="n"/>
      <c r="D1218" s="86" t="n"/>
      <c r="E1218" s="63" t="n"/>
      <c r="F1218" s="60" t="n"/>
      <c r="G1218" s="60" t="n"/>
      <c r="H1218" s="71">
        <f>IF(OR($C1218="",$D1218=""),"",IF(ISNUMBER($E1218),$E1218,IF($O1218="","",IF(N(INDEX('Menu Pricing'!$O$7:$O$56,$O1218))&gt;0,INDEX('Menu Pricing'!$O$7:$O$56,$O1218),""))))</f>
        <v/>
      </c>
      <c r="I1218" s="71">
        <f>IF($N1218&lt;&gt;"OK","",$D1218*$H1218)</f>
        <v/>
      </c>
      <c r="J1218" s="71">
        <f>IF($N1218&lt;&gt;"OK","",N(INDEX('Menu Pricing'!$F$7:$F$56,$O1218))+N(INDEX('Menu Pricing'!$G$7:$G$56,$O1218))+N(INDEX('Menu Pricing'!$J$7:$J$56,$O1218)))</f>
        <v/>
      </c>
      <c r="K1218" s="71">
        <f>IF($N1218&lt;&gt;"OK","",$D1218*$J1218)</f>
        <v/>
      </c>
      <c r="L1218" s="71">
        <f>IF($N1218&lt;&gt;"OK","",$I1218-$K1218)</f>
        <v/>
      </c>
      <c r="M1218" s="71">
        <f>IF($N1218&lt;&gt;"OK","",$D1218*N(INDEX('Menu Pricing'!$F$7:$F$56,$O1218)))</f>
        <v/>
      </c>
      <c r="N1218" s="80">
        <f>IF(AND($B1218="",$C1218="",$D1218=""),"",IF(NOT(ISNUMBER($B1218)),"Enter a valid date",IF($C1218="","Pick a menu item",IF($O1218="","Item not on Menu Pricing",IF(N($D1218)&lt;=0,"Qty must be above 0",IF($H1218="","No price on menu","OK"))))))</f>
        <v/>
      </c>
      <c r="O1218" s="13">
        <f>IF($C1218="","",IFERROR(MATCH($C1218,'Menu Pricing'!$B$7:$B$56,0),""))</f>
        <v/>
      </c>
    </row>
    <row r="1219" ht="17" customHeight="1">
      <c r="B1219" s="66" t="n"/>
      <c r="C1219" s="60" t="n"/>
      <c r="D1219" s="86" t="n"/>
      <c r="E1219" s="63" t="n"/>
      <c r="F1219" s="60" t="n"/>
      <c r="G1219" s="60" t="n"/>
      <c r="H1219" s="71">
        <f>IF(OR($C1219="",$D1219=""),"",IF(ISNUMBER($E1219),$E1219,IF($O1219="","",IF(N(INDEX('Menu Pricing'!$O$7:$O$56,$O1219))&gt;0,INDEX('Menu Pricing'!$O$7:$O$56,$O1219),""))))</f>
        <v/>
      </c>
      <c r="I1219" s="71">
        <f>IF($N1219&lt;&gt;"OK","",$D1219*$H1219)</f>
        <v/>
      </c>
      <c r="J1219" s="71">
        <f>IF($N1219&lt;&gt;"OK","",N(INDEX('Menu Pricing'!$F$7:$F$56,$O1219))+N(INDEX('Menu Pricing'!$G$7:$G$56,$O1219))+N(INDEX('Menu Pricing'!$J$7:$J$56,$O1219)))</f>
        <v/>
      </c>
      <c r="K1219" s="71">
        <f>IF($N1219&lt;&gt;"OK","",$D1219*$J1219)</f>
        <v/>
      </c>
      <c r="L1219" s="71">
        <f>IF($N1219&lt;&gt;"OK","",$I1219-$K1219)</f>
        <v/>
      </c>
      <c r="M1219" s="71">
        <f>IF($N1219&lt;&gt;"OK","",$D1219*N(INDEX('Menu Pricing'!$F$7:$F$56,$O1219)))</f>
        <v/>
      </c>
      <c r="N1219" s="80">
        <f>IF(AND($B1219="",$C1219="",$D1219=""),"",IF(NOT(ISNUMBER($B1219)),"Enter a valid date",IF($C1219="","Pick a menu item",IF($O1219="","Item not on Menu Pricing",IF(N($D1219)&lt;=0,"Qty must be above 0",IF($H1219="","No price on menu","OK"))))))</f>
        <v/>
      </c>
      <c r="O1219" s="13">
        <f>IF($C1219="","",IFERROR(MATCH($C1219,'Menu Pricing'!$B$7:$B$56,0),""))</f>
        <v/>
      </c>
    </row>
    <row r="1220" ht="17" customHeight="1">
      <c r="B1220" s="66" t="n"/>
      <c r="C1220" s="60" t="n"/>
      <c r="D1220" s="86" t="n"/>
      <c r="E1220" s="63" t="n"/>
      <c r="F1220" s="60" t="n"/>
      <c r="G1220" s="60" t="n"/>
      <c r="H1220" s="71">
        <f>IF(OR($C1220="",$D1220=""),"",IF(ISNUMBER($E1220),$E1220,IF($O1220="","",IF(N(INDEX('Menu Pricing'!$O$7:$O$56,$O1220))&gt;0,INDEX('Menu Pricing'!$O$7:$O$56,$O1220),""))))</f>
        <v/>
      </c>
      <c r="I1220" s="71">
        <f>IF($N1220&lt;&gt;"OK","",$D1220*$H1220)</f>
        <v/>
      </c>
      <c r="J1220" s="71">
        <f>IF($N1220&lt;&gt;"OK","",N(INDEX('Menu Pricing'!$F$7:$F$56,$O1220))+N(INDEX('Menu Pricing'!$G$7:$G$56,$O1220))+N(INDEX('Menu Pricing'!$J$7:$J$56,$O1220)))</f>
        <v/>
      </c>
      <c r="K1220" s="71">
        <f>IF($N1220&lt;&gt;"OK","",$D1220*$J1220)</f>
        <v/>
      </c>
      <c r="L1220" s="71">
        <f>IF($N1220&lt;&gt;"OK","",$I1220-$K1220)</f>
        <v/>
      </c>
      <c r="M1220" s="71">
        <f>IF($N1220&lt;&gt;"OK","",$D1220*N(INDEX('Menu Pricing'!$F$7:$F$56,$O1220)))</f>
        <v/>
      </c>
      <c r="N1220" s="80">
        <f>IF(AND($B1220="",$C1220="",$D1220=""),"",IF(NOT(ISNUMBER($B1220)),"Enter a valid date",IF($C1220="","Pick a menu item",IF($O1220="","Item not on Menu Pricing",IF(N($D1220)&lt;=0,"Qty must be above 0",IF($H1220="","No price on menu","OK"))))))</f>
        <v/>
      </c>
      <c r="O1220" s="13">
        <f>IF($C1220="","",IFERROR(MATCH($C1220,'Menu Pricing'!$B$7:$B$56,0),""))</f>
        <v/>
      </c>
    </row>
    <row r="1221" ht="17" customHeight="1">
      <c r="B1221" s="66" t="n"/>
      <c r="C1221" s="60" t="n"/>
      <c r="D1221" s="86" t="n"/>
      <c r="E1221" s="63" t="n"/>
      <c r="F1221" s="60" t="n"/>
      <c r="G1221" s="60" t="n"/>
      <c r="H1221" s="71">
        <f>IF(OR($C1221="",$D1221=""),"",IF(ISNUMBER($E1221),$E1221,IF($O1221="","",IF(N(INDEX('Menu Pricing'!$O$7:$O$56,$O1221))&gt;0,INDEX('Menu Pricing'!$O$7:$O$56,$O1221),""))))</f>
        <v/>
      </c>
      <c r="I1221" s="71">
        <f>IF($N1221&lt;&gt;"OK","",$D1221*$H1221)</f>
        <v/>
      </c>
      <c r="J1221" s="71">
        <f>IF($N1221&lt;&gt;"OK","",N(INDEX('Menu Pricing'!$F$7:$F$56,$O1221))+N(INDEX('Menu Pricing'!$G$7:$G$56,$O1221))+N(INDEX('Menu Pricing'!$J$7:$J$56,$O1221)))</f>
        <v/>
      </c>
      <c r="K1221" s="71">
        <f>IF($N1221&lt;&gt;"OK","",$D1221*$J1221)</f>
        <v/>
      </c>
      <c r="L1221" s="71">
        <f>IF($N1221&lt;&gt;"OK","",$I1221-$K1221)</f>
        <v/>
      </c>
      <c r="M1221" s="71">
        <f>IF($N1221&lt;&gt;"OK","",$D1221*N(INDEX('Menu Pricing'!$F$7:$F$56,$O1221)))</f>
        <v/>
      </c>
      <c r="N1221" s="80">
        <f>IF(AND($B1221="",$C1221="",$D1221=""),"",IF(NOT(ISNUMBER($B1221)),"Enter a valid date",IF($C1221="","Pick a menu item",IF($O1221="","Item not on Menu Pricing",IF(N($D1221)&lt;=0,"Qty must be above 0",IF($H1221="","No price on menu","OK"))))))</f>
        <v/>
      </c>
      <c r="O1221" s="13">
        <f>IF($C1221="","",IFERROR(MATCH($C1221,'Menu Pricing'!$B$7:$B$56,0),""))</f>
        <v/>
      </c>
    </row>
    <row r="1222" ht="17" customHeight="1">
      <c r="B1222" s="66" t="n"/>
      <c r="C1222" s="60" t="n"/>
      <c r="D1222" s="86" t="n"/>
      <c r="E1222" s="63" t="n"/>
      <c r="F1222" s="60" t="n"/>
      <c r="G1222" s="60" t="n"/>
      <c r="H1222" s="71">
        <f>IF(OR($C1222="",$D1222=""),"",IF(ISNUMBER($E1222),$E1222,IF($O1222="","",IF(N(INDEX('Menu Pricing'!$O$7:$O$56,$O1222))&gt;0,INDEX('Menu Pricing'!$O$7:$O$56,$O1222),""))))</f>
        <v/>
      </c>
      <c r="I1222" s="71">
        <f>IF($N1222&lt;&gt;"OK","",$D1222*$H1222)</f>
        <v/>
      </c>
      <c r="J1222" s="71">
        <f>IF($N1222&lt;&gt;"OK","",N(INDEX('Menu Pricing'!$F$7:$F$56,$O1222))+N(INDEX('Menu Pricing'!$G$7:$G$56,$O1222))+N(INDEX('Menu Pricing'!$J$7:$J$56,$O1222)))</f>
        <v/>
      </c>
      <c r="K1222" s="71">
        <f>IF($N1222&lt;&gt;"OK","",$D1222*$J1222)</f>
        <v/>
      </c>
      <c r="L1222" s="71">
        <f>IF($N1222&lt;&gt;"OK","",$I1222-$K1222)</f>
        <v/>
      </c>
      <c r="M1222" s="71">
        <f>IF($N1222&lt;&gt;"OK","",$D1222*N(INDEX('Menu Pricing'!$F$7:$F$56,$O1222)))</f>
        <v/>
      </c>
      <c r="N1222" s="80">
        <f>IF(AND($B1222="",$C1222="",$D1222=""),"",IF(NOT(ISNUMBER($B1222)),"Enter a valid date",IF($C1222="","Pick a menu item",IF($O1222="","Item not on Menu Pricing",IF(N($D1222)&lt;=0,"Qty must be above 0",IF($H1222="","No price on menu","OK"))))))</f>
        <v/>
      </c>
      <c r="O1222" s="13">
        <f>IF($C1222="","",IFERROR(MATCH($C1222,'Menu Pricing'!$B$7:$B$56,0),""))</f>
        <v/>
      </c>
    </row>
    <row r="1223" ht="17" customHeight="1">
      <c r="B1223" s="66" t="n"/>
      <c r="C1223" s="60" t="n"/>
      <c r="D1223" s="86" t="n"/>
      <c r="E1223" s="63" t="n"/>
      <c r="F1223" s="60" t="n"/>
      <c r="G1223" s="60" t="n"/>
      <c r="H1223" s="71">
        <f>IF(OR($C1223="",$D1223=""),"",IF(ISNUMBER($E1223),$E1223,IF($O1223="","",IF(N(INDEX('Menu Pricing'!$O$7:$O$56,$O1223))&gt;0,INDEX('Menu Pricing'!$O$7:$O$56,$O1223),""))))</f>
        <v/>
      </c>
      <c r="I1223" s="71">
        <f>IF($N1223&lt;&gt;"OK","",$D1223*$H1223)</f>
        <v/>
      </c>
      <c r="J1223" s="71">
        <f>IF($N1223&lt;&gt;"OK","",N(INDEX('Menu Pricing'!$F$7:$F$56,$O1223))+N(INDEX('Menu Pricing'!$G$7:$G$56,$O1223))+N(INDEX('Menu Pricing'!$J$7:$J$56,$O1223)))</f>
        <v/>
      </c>
      <c r="K1223" s="71">
        <f>IF($N1223&lt;&gt;"OK","",$D1223*$J1223)</f>
        <v/>
      </c>
      <c r="L1223" s="71">
        <f>IF($N1223&lt;&gt;"OK","",$I1223-$K1223)</f>
        <v/>
      </c>
      <c r="M1223" s="71">
        <f>IF($N1223&lt;&gt;"OK","",$D1223*N(INDEX('Menu Pricing'!$F$7:$F$56,$O1223)))</f>
        <v/>
      </c>
      <c r="N1223" s="80">
        <f>IF(AND($B1223="",$C1223="",$D1223=""),"",IF(NOT(ISNUMBER($B1223)),"Enter a valid date",IF($C1223="","Pick a menu item",IF($O1223="","Item not on Menu Pricing",IF(N($D1223)&lt;=0,"Qty must be above 0",IF($H1223="","No price on menu","OK"))))))</f>
        <v/>
      </c>
      <c r="O1223" s="13">
        <f>IF($C1223="","",IFERROR(MATCH($C1223,'Menu Pricing'!$B$7:$B$56,0),""))</f>
        <v/>
      </c>
    </row>
    <row r="1224" ht="17" customHeight="1">
      <c r="B1224" s="66" t="n"/>
      <c r="C1224" s="60" t="n"/>
      <c r="D1224" s="86" t="n"/>
      <c r="E1224" s="63" t="n"/>
      <c r="F1224" s="60" t="n"/>
      <c r="G1224" s="60" t="n"/>
      <c r="H1224" s="71">
        <f>IF(OR($C1224="",$D1224=""),"",IF(ISNUMBER($E1224),$E1224,IF($O1224="","",IF(N(INDEX('Menu Pricing'!$O$7:$O$56,$O1224))&gt;0,INDEX('Menu Pricing'!$O$7:$O$56,$O1224),""))))</f>
        <v/>
      </c>
      <c r="I1224" s="71">
        <f>IF($N1224&lt;&gt;"OK","",$D1224*$H1224)</f>
        <v/>
      </c>
      <c r="J1224" s="71">
        <f>IF($N1224&lt;&gt;"OK","",N(INDEX('Menu Pricing'!$F$7:$F$56,$O1224))+N(INDEX('Menu Pricing'!$G$7:$G$56,$O1224))+N(INDEX('Menu Pricing'!$J$7:$J$56,$O1224)))</f>
        <v/>
      </c>
      <c r="K1224" s="71">
        <f>IF($N1224&lt;&gt;"OK","",$D1224*$J1224)</f>
        <v/>
      </c>
      <c r="L1224" s="71">
        <f>IF($N1224&lt;&gt;"OK","",$I1224-$K1224)</f>
        <v/>
      </c>
      <c r="M1224" s="71">
        <f>IF($N1224&lt;&gt;"OK","",$D1224*N(INDEX('Menu Pricing'!$F$7:$F$56,$O1224)))</f>
        <v/>
      </c>
      <c r="N1224" s="80">
        <f>IF(AND($B1224="",$C1224="",$D1224=""),"",IF(NOT(ISNUMBER($B1224)),"Enter a valid date",IF($C1224="","Pick a menu item",IF($O1224="","Item not on Menu Pricing",IF(N($D1224)&lt;=0,"Qty must be above 0",IF($H1224="","No price on menu","OK"))))))</f>
        <v/>
      </c>
      <c r="O1224" s="13">
        <f>IF($C1224="","",IFERROR(MATCH($C1224,'Menu Pricing'!$B$7:$B$56,0),""))</f>
        <v/>
      </c>
    </row>
    <row r="1225" ht="17" customHeight="1">
      <c r="B1225" s="66" t="n"/>
      <c r="C1225" s="60" t="n"/>
      <c r="D1225" s="86" t="n"/>
      <c r="E1225" s="63" t="n"/>
      <c r="F1225" s="60" t="n"/>
      <c r="G1225" s="60" t="n"/>
      <c r="H1225" s="71">
        <f>IF(OR($C1225="",$D1225=""),"",IF(ISNUMBER($E1225),$E1225,IF($O1225="","",IF(N(INDEX('Menu Pricing'!$O$7:$O$56,$O1225))&gt;0,INDEX('Menu Pricing'!$O$7:$O$56,$O1225),""))))</f>
        <v/>
      </c>
      <c r="I1225" s="71">
        <f>IF($N1225&lt;&gt;"OK","",$D1225*$H1225)</f>
        <v/>
      </c>
      <c r="J1225" s="71">
        <f>IF($N1225&lt;&gt;"OK","",N(INDEX('Menu Pricing'!$F$7:$F$56,$O1225))+N(INDEX('Menu Pricing'!$G$7:$G$56,$O1225))+N(INDEX('Menu Pricing'!$J$7:$J$56,$O1225)))</f>
        <v/>
      </c>
      <c r="K1225" s="71">
        <f>IF($N1225&lt;&gt;"OK","",$D1225*$J1225)</f>
        <v/>
      </c>
      <c r="L1225" s="71">
        <f>IF($N1225&lt;&gt;"OK","",$I1225-$K1225)</f>
        <v/>
      </c>
      <c r="M1225" s="71">
        <f>IF($N1225&lt;&gt;"OK","",$D1225*N(INDEX('Menu Pricing'!$F$7:$F$56,$O1225)))</f>
        <v/>
      </c>
      <c r="N1225" s="80">
        <f>IF(AND($B1225="",$C1225="",$D1225=""),"",IF(NOT(ISNUMBER($B1225)),"Enter a valid date",IF($C1225="","Pick a menu item",IF($O1225="","Item not on Menu Pricing",IF(N($D1225)&lt;=0,"Qty must be above 0",IF($H1225="","No price on menu","OK"))))))</f>
        <v/>
      </c>
      <c r="O1225" s="13">
        <f>IF($C1225="","",IFERROR(MATCH($C1225,'Menu Pricing'!$B$7:$B$56,0),""))</f>
        <v/>
      </c>
    </row>
    <row r="1226" ht="17" customHeight="1">
      <c r="B1226" s="66" t="n"/>
      <c r="C1226" s="60" t="n"/>
      <c r="D1226" s="86" t="n"/>
      <c r="E1226" s="63" t="n"/>
      <c r="F1226" s="60" t="n"/>
      <c r="G1226" s="60" t="n"/>
      <c r="H1226" s="71">
        <f>IF(OR($C1226="",$D1226=""),"",IF(ISNUMBER($E1226),$E1226,IF($O1226="","",IF(N(INDEX('Menu Pricing'!$O$7:$O$56,$O1226))&gt;0,INDEX('Menu Pricing'!$O$7:$O$56,$O1226),""))))</f>
        <v/>
      </c>
      <c r="I1226" s="71">
        <f>IF($N1226&lt;&gt;"OK","",$D1226*$H1226)</f>
        <v/>
      </c>
      <c r="J1226" s="71">
        <f>IF($N1226&lt;&gt;"OK","",N(INDEX('Menu Pricing'!$F$7:$F$56,$O1226))+N(INDEX('Menu Pricing'!$G$7:$G$56,$O1226))+N(INDEX('Menu Pricing'!$J$7:$J$56,$O1226)))</f>
        <v/>
      </c>
      <c r="K1226" s="71">
        <f>IF($N1226&lt;&gt;"OK","",$D1226*$J1226)</f>
        <v/>
      </c>
      <c r="L1226" s="71">
        <f>IF($N1226&lt;&gt;"OK","",$I1226-$K1226)</f>
        <v/>
      </c>
      <c r="M1226" s="71">
        <f>IF($N1226&lt;&gt;"OK","",$D1226*N(INDEX('Menu Pricing'!$F$7:$F$56,$O1226)))</f>
        <v/>
      </c>
      <c r="N1226" s="80">
        <f>IF(AND($B1226="",$C1226="",$D1226=""),"",IF(NOT(ISNUMBER($B1226)),"Enter a valid date",IF($C1226="","Pick a menu item",IF($O1226="","Item not on Menu Pricing",IF(N($D1226)&lt;=0,"Qty must be above 0",IF($H1226="","No price on menu","OK"))))))</f>
        <v/>
      </c>
      <c r="O1226" s="13">
        <f>IF($C1226="","",IFERROR(MATCH($C1226,'Menu Pricing'!$B$7:$B$56,0),""))</f>
        <v/>
      </c>
    </row>
    <row r="1227" ht="17" customHeight="1">
      <c r="B1227" s="66" t="n"/>
      <c r="C1227" s="60" t="n"/>
      <c r="D1227" s="86" t="n"/>
      <c r="E1227" s="63" t="n"/>
      <c r="F1227" s="60" t="n"/>
      <c r="G1227" s="60" t="n"/>
      <c r="H1227" s="71">
        <f>IF(OR($C1227="",$D1227=""),"",IF(ISNUMBER($E1227),$E1227,IF($O1227="","",IF(N(INDEX('Menu Pricing'!$O$7:$O$56,$O1227))&gt;0,INDEX('Menu Pricing'!$O$7:$O$56,$O1227),""))))</f>
        <v/>
      </c>
      <c r="I1227" s="71">
        <f>IF($N1227&lt;&gt;"OK","",$D1227*$H1227)</f>
        <v/>
      </c>
      <c r="J1227" s="71">
        <f>IF($N1227&lt;&gt;"OK","",N(INDEX('Menu Pricing'!$F$7:$F$56,$O1227))+N(INDEX('Menu Pricing'!$G$7:$G$56,$O1227))+N(INDEX('Menu Pricing'!$J$7:$J$56,$O1227)))</f>
        <v/>
      </c>
      <c r="K1227" s="71">
        <f>IF($N1227&lt;&gt;"OK","",$D1227*$J1227)</f>
        <v/>
      </c>
      <c r="L1227" s="71">
        <f>IF($N1227&lt;&gt;"OK","",$I1227-$K1227)</f>
        <v/>
      </c>
      <c r="M1227" s="71">
        <f>IF($N1227&lt;&gt;"OK","",$D1227*N(INDEX('Menu Pricing'!$F$7:$F$56,$O1227)))</f>
        <v/>
      </c>
      <c r="N1227" s="80">
        <f>IF(AND($B1227="",$C1227="",$D1227=""),"",IF(NOT(ISNUMBER($B1227)),"Enter a valid date",IF($C1227="","Pick a menu item",IF($O1227="","Item not on Menu Pricing",IF(N($D1227)&lt;=0,"Qty must be above 0",IF($H1227="","No price on menu","OK"))))))</f>
        <v/>
      </c>
      <c r="O1227" s="13">
        <f>IF($C1227="","",IFERROR(MATCH($C1227,'Menu Pricing'!$B$7:$B$56,0),""))</f>
        <v/>
      </c>
    </row>
    <row r="1228" ht="17" customHeight="1">
      <c r="B1228" s="66" t="n"/>
      <c r="C1228" s="60" t="n"/>
      <c r="D1228" s="86" t="n"/>
      <c r="E1228" s="63" t="n"/>
      <c r="F1228" s="60" t="n"/>
      <c r="G1228" s="60" t="n"/>
      <c r="H1228" s="71">
        <f>IF(OR($C1228="",$D1228=""),"",IF(ISNUMBER($E1228),$E1228,IF($O1228="","",IF(N(INDEX('Menu Pricing'!$O$7:$O$56,$O1228))&gt;0,INDEX('Menu Pricing'!$O$7:$O$56,$O1228),""))))</f>
        <v/>
      </c>
      <c r="I1228" s="71">
        <f>IF($N1228&lt;&gt;"OK","",$D1228*$H1228)</f>
        <v/>
      </c>
      <c r="J1228" s="71">
        <f>IF($N1228&lt;&gt;"OK","",N(INDEX('Menu Pricing'!$F$7:$F$56,$O1228))+N(INDEX('Menu Pricing'!$G$7:$G$56,$O1228))+N(INDEX('Menu Pricing'!$J$7:$J$56,$O1228)))</f>
        <v/>
      </c>
      <c r="K1228" s="71">
        <f>IF($N1228&lt;&gt;"OK","",$D1228*$J1228)</f>
        <v/>
      </c>
      <c r="L1228" s="71">
        <f>IF($N1228&lt;&gt;"OK","",$I1228-$K1228)</f>
        <v/>
      </c>
      <c r="M1228" s="71">
        <f>IF($N1228&lt;&gt;"OK","",$D1228*N(INDEX('Menu Pricing'!$F$7:$F$56,$O1228)))</f>
        <v/>
      </c>
      <c r="N1228" s="80">
        <f>IF(AND($B1228="",$C1228="",$D1228=""),"",IF(NOT(ISNUMBER($B1228)),"Enter a valid date",IF($C1228="","Pick a menu item",IF($O1228="","Item not on Menu Pricing",IF(N($D1228)&lt;=0,"Qty must be above 0",IF($H1228="","No price on menu","OK"))))))</f>
        <v/>
      </c>
      <c r="O1228" s="13">
        <f>IF($C1228="","",IFERROR(MATCH($C1228,'Menu Pricing'!$B$7:$B$56,0),""))</f>
        <v/>
      </c>
    </row>
    <row r="1229" ht="17" customHeight="1">
      <c r="B1229" s="66" t="n"/>
      <c r="C1229" s="60" t="n"/>
      <c r="D1229" s="86" t="n"/>
      <c r="E1229" s="63" t="n"/>
      <c r="F1229" s="60" t="n"/>
      <c r="G1229" s="60" t="n"/>
      <c r="H1229" s="71">
        <f>IF(OR($C1229="",$D1229=""),"",IF(ISNUMBER($E1229),$E1229,IF($O1229="","",IF(N(INDEX('Menu Pricing'!$O$7:$O$56,$O1229))&gt;0,INDEX('Menu Pricing'!$O$7:$O$56,$O1229),""))))</f>
        <v/>
      </c>
      <c r="I1229" s="71">
        <f>IF($N1229&lt;&gt;"OK","",$D1229*$H1229)</f>
        <v/>
      </c>
      <c r="J1229" s="71">
        <f>IF($N1229&lt;&gt;"OK","",N(INDEX('Menu Pricing'!$F$7:$F$56,$O1229))+N(INDEX('Menu Pricing'!$G$7:$G$56,$O1229))+N(INDEX('Menu Pricing'!$J$7:$J$56,$O1229)))</f>
        <v/>
      </c>
      <c r="K1229" s="71">
        <f>IF($N1229&lt;&gt;"OK","",$D1229*$J1229)</f>
        <v/>
      </c>
      <c r="L1229" s="71">
        <f>IF($N1229&lt;&gt;"OK","",$I1229-$K1229)</f>
        <v/>
      </c>
      <c r="M1229" s="71">
        <f>IF($N1229&lt;&gt;"OK","",$D1229*N(INDEX('Menu Pricing'!$F$7:$F$56,$O1229)))</f>
        <v/>
      </c>
      <c r="N1229" s="80">
        <f>IF(AND($B1229="",$C1229="",$D1229=""),"",IF(NOT(ISNUMBER($B1229)),"Enter a valid date",IF($C1229="","Pick a menu item",IF($O1229="","Item not on Menu Pricing",IF(N($D1229)&lt;=0,"Qty must be above 0",IF($H1229="","No price on menu","OK"))))))</f>
        <v/>
      </c>
      <c r="O1229" s="13">
        <f>IF($C1229="","",IFERROR(MATCH($C1229,'Menu Pricing'!$B$7:$B$56,0),""))</f>
        <v/>
      </c>
    </row>
    <row r="1230" ht="17" customHeight="1">
      <c r="B1230" s="66" t="n"/>
      <c r="C1230" s="60" t="n"/>
      <c r="D1230" s="86" t="n"/>
      <c r="E1230" s="63" t="n"/>
      <c r="F1230" s="60" t="n"/>
      <c r="G1230" s="60" t="n"/>
      <c r="H1230" s="71">
        <f>IF(OR($C1230="",$D1230=""),"",IF(ISNUMBER($E1230),$E1230,IF($O1230="","",IF(N(INDEX('Menu Pricing'!$O$7:$O$56,$O1230))&gt;0,INDEX('Menu Pricing'!$O$7:$O$56,$O1230),""))))</f>
        <v/>
      </c>
      <c r="I1230" s="71">
        <f>IF($N1230&lt;&gt;"OK","",$D1230*$H1230)</f>
        <v/>
      </c>
      <c r="J1230" s="71">
        <f>IF($N1230&lt;&gt;"OK","",N(INDEX('Menu Pricing'!$F$7:$F$56,$O1230))+N(INDEX('Menu Pricing'!$G$7:$G$56,$O1230))+N(INDEX('Menu Pricing'!$J$7:$J$56,$O1230)))</f>
        <v/>
      </c>
      <c r="K1230" s="71">
        <f>IF($N1230&lt;&gt;"OK","",$D1230*$J1230)</f>
        <v/>
      </c>
      <c r="L1230" s="71">
        <f>IF($N1230&lt;&gt;"OK","",$I1230-$K1230)</f>
        <v/>
      </c>
      <c r="M1230" s="71">
        <f>IF($N1230&lt;&gt;"OK","",$D1230*N(INDEX('Menu Pricing'!$F$7:$F$56,$O1230)))</f>
        <v/>
      </c>
      <c r="N1230" s="80">
        <f>IF(AND($B1230="",$C1230="",$D1230=""),"",IF(NOT(ISNUMBER($B1230)),"Enter a valid date",IF($C1230="","Pick a menu item",IF($O1230="","Item not on Menu Pricing",IF(N($D1230)&lt;=0,"Qty must be above 0",IF($H1230="","No price on menu","OK"))))))</f>
        <v/>
      </c>
      <c r="O1230" s="13">
        <f>IF($C1230="","",IFERROR(MATCH($C1230,'Menu Pricing'!$B$7:$B$56,0),""))</f>
        <v/>
      </c>
    </row>
    <row r="1231" ht="17" customHeight="1">
      <c r="B1231" s="66" t="n"/>
      <c r="C1231" s="60" t="n"/>
      <c r="D1231" s="86" t="n"/>
      <c r="E1231" s="63" t="n"/>
      <c r="F1231" s="60" t="n"/>
      <c r="G1231" s="60" t="n"/>
      <c r="H1231" s="71">
        <f>IF(OR($C1231="",$D1231=""),"",IF(ISNUMBER($E1231),$E1231,IF($O1231="","",IF(N(INDEX('Menu Pricing'!$O$7:$O$56,$O1231))&gt;0,INDEX('Menu Pricing'!$O$7:$O$56,$O1231),""))))</f>
        <v/>
      </c>
      <c r="I1231" s="71">
        <f>IF($N1231&lt;&gt;"OK","",$D1231*$H1231)</f>
        <v/>
      </c>
      <c r="J1231" s="71">
        <f>IF($N1231&lt;&gt;"OK","",N(INDEX('Menu Pricing'!$F$7:$F$56,$O1231))+N(INDEX('Menu Pricing'!$G$7:$G$56,$O1231))+N(INDEX('Menu Pricing'!$J$7:$J$56,$O1231)))</f>
        <v/>
      </c>
      <c r="K1231" s="71">
        <f>IF($N1231&lt;&gt;"OK","",$D1231*$J1231)</f>
        <v/>
      </c>
      <c r="L1231" s="71">
        <f>IF($N1231&lt;&gt;"OK","",$I1231-$K1231)</f>
        <v/>
      </c>
      <c r="M1231" s="71">
        <f>IF($N1231&lt;&gt;"OK","",$D1231*N(INDEX('Menu Pricing'!$F$7:$F$56,$O1231)))</f>
        <v/>
      </c>
      <c r="N1231" s="80">
        <f>IF(AND($B1231="",$C1231="",$D1231=""),"",IF(NOT(ISNUMBER($B1231)),"Enter a valid date",IF($C1231="","Pick a menu item",IF($O1231="","Item not on Menu Pricing",IF(N($D1231)&lt;=0,"Qty must be above 0",IF($H1231="","No price on menu","OK"))))))</f>
        <v/>
      </c>
      <c r="O1231" s="13">
        <f>IF($C1231="","",IFERROR(MATCH($C1231,'Menu Pricing'!$B$7:$B$56,0),""))</f>
        <v/>
      </c>
    </row>
    <row r="1232" ht="17" customHeight="1">
      <c r="B1232" s="66" t="n"/>
      <c r="C1232" s="60" t="n"/>
      <c r="D1232" s="86" t="n"/>
      <c r="E1232" s="63" t="n"/>
      <c r="F1232" s="60" t="n"/>
      <c r="G1232" s="60" t="n"/>
      <c r="H1232" s="71">
        <f>IF(OR($C1232="",$D1232=""),"",IF(ISNUMBER($E1232),$E1232,IF($O1232="","",IF(N(INDEX('Menu Pricing'!$O$7:$O$56,$O1232))&gt;0,INDEX('Menu Pricing'!$O$7:$O$56,$O1232),""))))</f>
        <v/>
      </c>
      <c r="I1232" s="71">
        <f>IF($N1232&lt;&gt;"OK","",$D1232*$H1232)</f>
        <v/>
      </c>
      <c r="J1232" s="71">
        <f>IF($N1232&lt;&gt;"OK","",N(INDEX('Menu Pricing'!$F$7:$F$56,$O1232))+N(INDEX('Menu Pricing'!$G$7:$G$56,$O1232))+N(INDEX('Menu Pricing'!$J$7:$J$56,$O1232)))</f>
        <v/>
      </c>
      <c r="K1232" s="71">
        <f>IF($N1232&lt;&gt;"OK","",$D1232*$J1232)</f>
        <v/>
      </c>
      <c r="L1232" s="71">
        <f>IF($N1232&lt;&gt;"OK","",$I1232-$K1232)</f>
        <v/>
      </c>
      <c r="M1232" s="71">
        <f>IF($N1232&lt;&gt;"OK","",$D1232*N(INDEX('Menu Pricing'!$F$7:$F$56,$O1232)))</f>
        <v/>
      </c>
      <c r="N1232" s="80">
        <f>IF(AND($B1232="",$C1232="",$D1232=""),"",IF(NOT(ISNUMBER($B1232)),"Enter a valid date",IF($C1232="","Pick a menu item",IF($O1232="","Item not on Menu Pricing",IF(N($D1232)&lt;=0,"Qty must be above 0",IF($H1232="","No price on menu","OK"))))))</f>
        <v/>
      </c>
      <c r="O1232" s="13">
        <f>IF($C1232="","",IFERROR(MATCH($C1232,'Menu Pricing'!$B$7:$B$56,0),""))</f>
        <v/>
      </c>
    </row>
    <row r="1233" ht="17" customHeight="1">
      <c r="B1233" s="66" t="n"/>
      <c r="C1233" s="60" t="n"/>
      <c r="D1233" s="86" t="n"/>
      <c r="E1233" s="63" t="n"/>
      <c r="F1233" s="60" t="n"/>
      <c r="G1233" s="60" t="n"/>
      <c r="H1233" s="71">
        <f>IF(OR($C1233="",$D1233=""),"",IF(ISNUMBER($E1233),$E1233,IF($O1233="","",IF(N(INDEX('Menu Pricing'!$O$7:$O$56,$O1233))&gt;0,INDEX('Menu Pricing'!$O$7:$O$56,$O1233),""))))</f>
        <v/>
      </c>
      <c r="I1233" s="71">
        <f>IF($N1233&lt;&gt;"OK","",$D1233*$H1233)</f>
        <v/>
      </c>
      <c r="J1233" s="71">
        <f>IF($N1233&lt;&gt;"OK","",N(INDEX('Menu Pricing'!$F$7:$F$56,$O1233))+N(INDEX('Menu Pricing'!$G$7:$G$56,$O1233))+N(INDEX('Menu Pricing'!$J$7:$J$56,$O1233)))</f>
        <v/>
      </c>
      <c r="K1233" s="71">
        <f>IF($N1233&lt;&gt;"OK","",$D1233*$J1233)</f>
        <v/>
      </c>
      <c r="L1233" s="71">
        <f>IF($N1233&lt;&gt;"OK","",$I1233-$K1233)</f>
        <v/>
      </c>
      <c r="M1233" s="71">
        <f>IF($N1233&lt;&gt;"OK","",$D1233*N(INDEX('Menu Pricing'!$F$7:$F$56,$O1233)))</f>
        <v/>
      </c>
      <c r="N1233" s="80">
        <f>IF(AND($B1233="",$C1233="",$D1233=""),"",IF(NOT(ISNUMBER($B1233)),"Enter a valid date",IF($C1233="","Pick a menu item",IF($O1233="","Item not on Menu Pricing",IF(N($D1233)&lt;=0,"Qty must be above 0",IF($H1233="","No price on menu","OK"))))))</f>
        <v/>
      </c>
      <c r="O1233" s="13">
        <f>IF($C1233="","",IFERROR(MATCH($C1233,'Menu Pricing'!$B$7:$B$56,0),""))</f>
        <v/>
      </c>
    </row>
    <row r="1234" ht="17" customHeight="1">
      <c r="B1234" s="66" t="n"/>
      <c r="C1234" s="60" t="n"/>
      <c r="D1234" s="86" t="n"/>
      <c r="E1234" s="63" t="n"/>
      <c r="F1234" s="60" t="n"/>
      <c r="G1234" s="60" t="n"/>
      <c r="H1234" s="71">
        <f>IF(OR($C1234="",$D1234=""),"",IF(ISNUMBER($E1234),$E1234,IF($O1234="","",IF(N(INDEX('Menu Pricing'!$O$7:$O$56,$O1234))&gt;0,INDEX('Menu Pricing'!$O$7:$O$56,$O1234),""))))</f>
        <v/>
      </c>
      <c r="I1234" s="71">
        <f>IF($N1234&lt;&gt;"OK","",$D1234*$H1234)</f>
        <v/>
      </c>
      <c r="J1234" s="71">
        <f>IF($N1234&lt;&gt;"OK","",N(INDEX('Menu Pricing'!$F$7:$F$56,$O1234))+N(INDEX('Menu Pricing'!$G$7:$G$56,$O1234))+N(INDEX('Menu Pricing'!$J$7:$J$56,$O1234)))</f>
        <v/>
      </c>
      <c r="K1234" s="71">
        <f>IF($N1234&lt;&gt;"OK","",$D1234*$J1234)</f>
        <v/>
      </c>
      <c r="L1234" s="71">
        <f>IF($N1234&lt;&gt;"OK","",$I1234-$K1234)</f>
        <v/>
      </c>
      <c r="M1234" s="71">
        <f>IF($N1234&lt;&gt;"OK","",$D1234*N(INDEX('Menu Pricing'!$F$7:$F$56,$O1234)))</f>
        <v/>
      </c>
      <c r="N1234" s="80">
        <f>IF(AND($B1234="",$C1234="",$D1234=""),"",IF(NOT(ISNUMBER($B1234)),"Enter a valid date",IF($C1234="","Pick a menu item",IF($O1234="","Item not on Menu Pricing",IF(N($D1234)&lt;=0,"Qty must be above 0",IF($H1234="","No price on menu","OK"))))))</f>
        <v/>
      </c>
      <c r="O1234" s="13">
        <f>IF($C1234="","",IFERROR(MATCH($C1234,'Menu Pricing'!$B$7:$B$56,0),""))</f>
        <v/>
      </c>
    </row>
    <row r="1235" ht="17" customHeight="1">
      <c r="B1235" s="66" t="n"/>
      <c r="C1235" s="60" t="n"/>
      <c r="D1235" s="86" t="n"/>
      <c r="E1235" s="63" t="n"/>
      <c r="F1235" s="60" t="n"/>
      <c r="G1235" s="60" t="n"/>
      <c r="H1235" s="71">
        <f>IF(OR($C1235="",$D1235=""),"",IF(ISNUMBER($E1235),$E1235,IF($O1235="","",IF(N(INDEX('Menu Pricing'!$O$7:$O$56,$O1235))&gt;0,INDEX('Menu Pricing'!$O$7:$O$56,$O1235),""))))</f>
        <v/>
      </c>
      <c r="I1235" s="71">
        <f>IF($N1235&lt;&gt;"OK","",$D1235*$H1235)</f>
        <v/>
      </c>
      <c r="J1235" s="71">
        <f>IF($N1235&lt;&gt;"OK","",N(INDEX('Menu Pricing'!$F$7:$F$56,$O1235))+N(INDEX('Menu Pricing'!$G$7:$G$56,$O1235))+N(INDEX('Menu Pricing'!$J$7:$J$56,$O1235)))</f>
        <v/>
      </c>
      <c r="K1235" s="71">
        <f>IF($N1235&lt;&gt;"OK","",$D1235*$J1235)</f>
        <v/>
      </c>
      <c r="L1235" s="71">
        <f>IF($N1235&lt;&gt;"OK","",$I1235-$K1235)</f>
        <v/>
      </c>
      <c r="M1235" s="71">
        <f>IF($N1235&lt;&gt;"OK","",$D1235*N(INDEX('Menu Pricing'!$F$7:$F$56,$O1235)))</f>
        <v/>
      </c>
      <c r="N1235" s="80">
        <f>IF(AND($B1235="",$C1235="",$D1235=""),"",IF(NOT(ISNUMBER($B1235)),"Enter a valid date",IF($C1235="","Pick a menu item",IF($O1235="","Item not on Menu Pricing",IF(N($D1235)&lt;=0,"Qty must be above 0",IF($H1235="","No price on menu","OK"))))))</f>
        <v/>
      </c>
      <c r="O1235" s="13">
        <f>IF($C1235="","",IFERROR(MATCH($C1235,'Menu Pricing'!$B$7:$B$56,0),""))</f>
        <v/>
      </c>
    </row>
    <row r="1236" ht="17" customHeight="1">
      <c r="B1236" s="66" t="n"/>
      <c r="C1236" s="60" t="n"/>
      <c r="D1236" s="86" t="n"/>
      <c r="E1236" s="63" t="n"/>
      <c r="F1236" s="60" t="n"/>
      <c r="G1236" s="60" t="n"/>
      <c r="H1236" s="71">
        <f>IF(OR($C1236="",$D1236=""),"",IF(ISNUMBER($E1236),$E1236,IF($O1236="","",IF(N(INDEX('Menu Pricing'!$O$7:$O$56,$O1236))&gt;0,INDEX('Menu Pricing'!$O$7:$O$56,$O1236),""))))</f>
        <v/>
      </c>
      <c r="I1236" s="71">
        <f>IF($N1236&lt;&gt;"OK","",$D1236*$H1236)</f>
        <v/>
      </c>
      <c r="J1236" s="71">
        <f>IF($N1236&lt;&gt;"OK","",N(INDEX('Menu Pricing'!$F$7:$F$56,$O1236))+N(INDEX('Menu Pricing'!$G$7:$G$56,$O1236))+N(INDEX('Menu Pricing'!$J$7:$J$56,$O1236)))</f>
        <v/>
      </c>
      <c r="K1236" s="71">
        <f>IF($N1236&lt;&gt;"OK","",$D1236*$J1236)</f>
        <v/>
      </c>
      <c r="L1236" s="71">
        <f>IF($N1236&lt;&gt;"OK","",$I1236-$K1236)</f>
        <v/>
      </c>
      <c r="M1236" s="71">
        <f>IF($N1236&lt;&gt;"OK","",$D1236*N(INDEX('Menu Pricing'!$F$7:$F$56,$O1236)))</f>
        <v/>
      </c>
      <c r="N1236" s="80">
        <f>IF(AND($B1236="",$C1236="",$D1236=""),"",IF(NOT(ISNUMBER($B1236)),"Enter a valid date",IF($C1236="","Pick a menu item",IF($O1236="","Item not on Menu Pricing",IF(N($D1236)&lt;=0,"Qty must be above 0",IF($H1236="","No price on menu","OK"))))))</f>
        <v/>
      </c>
      <c r="O1236" s="13">
        <f>IF($C1236="","",IFERROR(MATCH($C1236,'Menu Pricing'!$B$7:$B$56,0),""))</f>
        <v/>
      </c>
    </row>
    <row r="1237" ht="17" customHeight="1">
      <c r="B1237" s="66" t="n"/>
      <c r="C1237" s="60" t="n"/>
      <c r="D1237" s="86" t="n"/>
      <c r="E1237" s="63" t="n"/>
      <c r="F1237" s="60" t="n"/>
      <c r="G1237" s="60" t="n"/>
      <c r="H1237" s="71">
        <f>IF(OR($C1237="",$D1237=""),"",IF(ISNUMBER($E1237),$E1237,IF($O1237="","",IF(N(INDEX('Menu Pricing'!$O$7:$O$56,$O1237))&gt;0,INDEX('Menu Pricing'!$O$7:$O$56,$O1237),""))))</f>
        <v/>
      </c>
      <c r="I1237" s="71">
        <f>IF($N1237&lt;&gt;"OK","",$D1237*$H1237)</f>
        <v/>
      </c>
      <c r="J1237" s="71">
        <f>IF($N1237&lt;&gt;"OK","",N(INDEX('Menu Pricing'!$F$7:$F$56,$O1237))+N(INDEX('Menu Pricing'!$G$7:$G$56,$O1237))+N(INDEX('Menu Pricing'!$J$7:$J$56,$O1237)))</f>
        <v/>
      </c>
      <c r="K1237" s="71">
        <f>IF($N1237&lt;&gt;"OK","",$D1237*$J1237)</f>
        <v/>
      </c>
      <c r="L1237" s="71">
        <f>IF($N1237&lt;&gt;"OK","",$I1237-$K1237)</f>
        <v/>
      </c>
      <c r="M1237" s="71">
        <f>IF($N1237&lt;&gt;"OK","",$D1237*N(INDEX('Menu Pricing'!$F$7:$F$56,$O1237)))</f>
        <v/>
      </c>
      <c r="N1237" s="80">
        <f>IF(AND($B1237="",$C1237="",$D1237=""),"",IF(NOT(ISNUMBER($B1237)),"Enter a valid date",IF($C1237="","Pick a menu item",IF($O1237="","Item not on Menu Pricing",IF(N($D1237)&lt;=0,"Qty must be above 0",IF($H1237="","No price on menu","OK"))))))</f>
        <v/>
      </c>
      <c r="O1237" s="13">
        <f>IF($C1237="","",IFERROR(MATCH($C1237,'Menu Pricing'!$B$7:$B$56,0),""))</f>
        <v/>
      </c>
    </row>
    <row r="1238" ht="17" customHeight="1">
      <c r="B1238" s="66" t="n"/>
      <c r="C1238" s="60" t="n"/>
      <c r="D1238" s="86" t="n"/>
      <c r="E1238" s="63" t="n"/>
      <c r="F1238" s="60" t="n"/>
      <c r="G1238" s="60" t="n"/>
      <c r="H1238" s="71">
        <f>IF(OR($C1238="",$D1238=""),"",IF(ISNUMBER($E1238),$E1238,IF($O1238="","",IF(N(INDEX('Menu Pricing'!$O$7:$O$56,$O1238))&gt;0,INDEX('Menu Pricing'!$O$7:$O$56,$O1238),""))))</f>
        <v/>
      </c>
      <c r="I1238" s="71">
        <f>IF($N1238&lt;&gt;"OK","",$D1238*$H1238)</f>
        <v/>
      </c>
      <c r="J1238" s="71">
        <f>IF($N1238&lt;&gt;"OK","",N(INDEX('Menu Pricing'!$F$7:$F$56,$O1238))+N(INDEX('Menu Pricing'!$G$7:$G$56,$O1238))+N(INDEX('Menu Pricing'!$J$7:$J$56,$O1238)))</f>
        <v/>
      </c>
      <c r="K1238" s="71">
        <f>IF($N1238&lt;&gt;"OK","",$D1238*$J1238)</f>
        <v/>
      </c>
      <c r="L1238" s="71">
        <f>IF($N1238&lt;&gt;"OK","",$I1238-$K1238)</f>
        <v/>
      </c>
      <c r="M1238" s="71">
        <f>IF($N1238&lt;&gt;"OK","",$D1238*N(INDEX('Menu Pricing'!$F$7:$F$56,$O1238)))</f>
        <v/>
      </c>
      <c r="N1238" s="80">
        <f>IF(AND($B1238="",$C1238="",$D1238=""),"",IF(NOT(ISNUMBER($B1238)),"Enter a valid date",IF($C1238="","Pick a menu item",IF($O1238="","Item not on Menu Pricing",IF(N($D1238)&lt;=0,"Qty must be above 0",IF($H1238="","No price on menu","OK"))))))</f>
        <v/>
      </c>
      <c r="O1238" s="13">
        <f>IF($C1238="","",IFERROR(MATCH($C1238,'Menu Pricing'!$B$7:$B$56,0),""))</f>
        <v/>
      </c>
    </row>
    <row r="1239" ht="17" customHeight="1">
      <c r="B1239" s="66" t="n"/>
      <c r="C1239" s="60" t="n"/>
      <c r="D1239" s="86" t="n"/>
      <c r="E1239" s="63" t="n"/>
      <c r="F1239" s="60" t="n"/>
      <c r="G1239" s="60" t="n"/>
      <c r="H1239" s="71">
        <f>IF(OR($C1239="",$D1239=""),"",IF(ISNUMBER($E1239),$E1239,IF($O1239="","",IF(N(INDEX('Menu Pricing'!$O$7:$O$56,$O1239))&gt;0,INDEX('Menu Pricing'!$O$7:$O$56,$O1239),""))))</f>
        <v/>
      </c>
      <c r="I1239" s="71">
        <f>IF($N1239&lt;&gt;"OK","",$D1239*$H1239)</f>
        <v/>
      </c>
      <c r="J1239" s="71">
        <f>IF($N1239&lt;&gt;"OK","",N(INDEX('Menu Pricing'!$F$7:$F$56,$O1239))+N(INDEX('Menu Pricing'!$G$7:$G$56,$O1239))+N(INDEX('Menu Pricing'!$J$7:$J$56,$O1239)))</f>
        <v/>
      </c>
      <c r="K1239" s="71">
        <f>IF($N1239&lt;&gt;"OK","",$D1239*$J1239)</f>
        <v/>
      </c>
      <c r="L1239" s="71">
        <f>IF($N1239&lt;&gt;"OK","",$I1239-$K1239)</f>
        <v/>
      </c>
      <c r="M1239" s="71">
        <f>IF($N1239&lt;&gt;"OK","",$D1239*N(INDEX('Menu Pricing'!$F$7:$F$56,$O1239)))</f>
        <v/>
      </c>
      <c r="N1239" s="80">
        <f>IF(AND($B1239="",$C1239="",$D1239=""),"",IF(NOT(ISNUMBER($B1239)),"Enter a valid date",IF($C1239="","Pick a menu item",IF($O1239="","Item not on Menu Pricing",IF(N($D1239)&lt;=0,"Qty must be above 0",IF($H1239="","No price on menu","OK"))))))</f>
        <v/>
      </c>
      <c r="O1239" s="13">
        <f>IF($C1239="","",IFERROR(MATCH($C1239,'Menu Pricing'!$B$7:$B$56,0),""))</f>
        <v/>
      </c>
    </row>
    <row r="1240" ht="17" customHeight="1">
      <c r="B1240" s="66" t="n"/>
      <c r="C1240" s="60" t="n"/>
      <c r="D1240" s="86" t="n"/>
      <c r="E1240" s="63" t="n"/>
      <c r="F1240" s="60" t="n"/>
      <c r="G1240" s="60" t="n"/>
      <c r="H1240" s="71">
        <f>IF(OR($C1240="",$D1240=""),"",IF(ISNUMBER($E1240),$E1240,IF($O1240="","",IF(N(INDEX('Menu Pricing'!$O$7:$O$56,$O1240))&gt;0,INDEX('Menu Pricing'!$O$7:$O$56,$O1240),""))))</f>
        <v/>
      </c>
      <c r="I1240" s="71">
        <f>IF($N1240&lt;&gt;"OK","",$D1240*$H1240)</f>
        <v/>
      </c>
      <c r="J1240" s="71">
        <f>IF($N1240&lt;&gt;"OK","",N(INDEX('Menu Pricing'!$F$7:$F$56,$O1240))+N(INDEX('Menu Pricing'!$G$7:$G$56,$O1240))+N(INDEX('Menu Pricing'!$J$7:$J$56,$O1240)))</f>
        <v/>
      </c>
      <c r="K1240" s="71">
        <f>IF($N1240&lt;&gt;"OK","",$D1240*$J1240)</f>
        <v/>
      </c>
      <c r="L1240" s="71">
        <f>IF($N1240&lt;&gt;"OK","",$I1240-$K1240)</f>
        <v/>
      </c>
      <c r="M1240" s="71">
        <f>IF($N1240&lt;&gt;"OK","",$D1240*N(INDEX('Menu Pricing'!$F$7:$F$56,$O1240)))</f>
        <v/>
      </c>
      <c r="N1240" s="80">
        <f>IF(AND($B1240="",$C1240="",$D1240=""),"",IF(NOT(ISNUMBER($B1240)),"Enter a valid date",IF($C1240="","Pick a menu item",IF($O1240="","Item not on Menu Pricing",IF(N($D1240)&lt;=0,"Qty must be above 0",IF($H1240="","No price on menu","OK"))))))</f>
        <v/>
      </c>
      <c r="O1240" s="13">
        <f>IF($C1240="","",IFERROR(MATCH($C1240,'Menu Pricing'!$B$7:$B$56,0),""))</f>
        <v/>
      </c>
    </row>
    <row r="1241" ht="17" customHeight="1">
      <c r="B1241" s="66" t="n"/>
      <c r="C1241" s="60" t="n"/>
      <c r="D1241" s="86" t="n"/>
      <c r="E1241" s="63" t="n"/>
      <c r="F1241" s="60" t="n"/>
      <c r="G1241" s="60" t="n"/>
      <c r="H1241" s="71">
        <f>IF(OR($C1241="",$D1241=""),"",IF(ISNUMBER($E1241),$E1241,IF($O1241="","",IF(N(INDEX('Menu Pricing'!$O$7:$O$56,$O1241))&gt;0,INDEX('Menu Pricing'!$O$7:$O$56,$O1241),""))))</f>
        <v/>
      </c>
      <c r="I1241" s="71">
        <f>IF($N1241&lt;&gt;"OK","",$D1241*$H1241)</f>
        <v/>
      </c>
      <c r="J1241" s="71">
        <f>IF($N1241&lt;&gt;"OK","",N(INDEX('Menu Pricing'!$F$7:$F$56,$O1241))+N(INDEX('Menu Pricing'!$G$7:$G$56,$O1241))+N(INDEX('Menu Pricing'!$J$7:$J$56,$O1241)))</f>
        <v/>
      </c>
      <c r="K1241" s="71">
        <f>IF($N1241&lt;&gt;"OK","",$D1241*$J1241)</f>
        <v/>
      </c>
      <c r="L1241" s="71">
        <f>IF($N1241&lt;&gt;"OK","",$I1241-$K1241)</f>
        <v/>
      </c>
      <c r="M1241" s="71">
        <f>IF($N1241&lt;&gt;"OK","",$D1241*N(INDEX('Menu Pricing'!$F$7:$F$56,$O1241)))</f>
        <v/>
      </c>
      <c r="N1241" s="80">
        <f>IF(AND($B1241="",$C1241="",$D1241=""),"",IF(NOT(ISNUMBER($B1241)),"Enter a valid date",IF($C1241="","Pick a menu item",IF($O1241="","Item not on Menu Pricing",IF(N($D1241)&lt;=0,"Qty must be above 0",IF($H1241="","No price on menu","OK"))))))</f>
        <v/>
      </c>
      <c r="O1241" s="13">
        <f>IF($C1241="","",IFERROR(MATCH($C1241,'Menu Pricing'!$B$7:$B$56,0),""))</f>
        <v/>
      </c>
    </row>
    <row r="1242" ht="17" customHeight="1">
      <c r="B1242" s="66" t="n"/>
      <c r="C1242" s="60" t="n"/>
      <c r="D1242" s="86" t="n"/>
      <c r="E1242" s="63" t="n"/>
      <c r="F1242" s="60" t="n"/>
      <c r="G1242" s="60" t="n"/>
      <c r="H1242" s="71">
        <f>IF(OR($C1242="",$D1242=""),"",IF(ISNUMBER($E1242),$E1242,IF($O1242="","",IF(N(INDEX('Menu Pricing'!$O$7:$O$56,$O1242))&gt;0,INDEX('Menu Pricing'!$O$7:$O$56,$O1242),""))))</f>
        <v/>
      </c>
      <c r="I1242" s="71">
        <f>IF($N1242&lt;&gt;"OK","",$D1242*$H1242)</f>
        <v/>
      </c>
      <c r="J1242" s="71">
        <f>IF($N1242&lt;&gt;"OK","",N(INDEX('Menu Pricing'!$F$7:$F$56,$O1242))+N(INDEX('Menu Pricing'!$G$7:$G$56,$O1242))+N(INDEX('Menu Pricing'!$J$7:$J$56,$O1242)))</f>
        <v/>
      </c>
      <c r="K1242" s="71">
        <f>IF($N1242&lt;&gt;"OK","",$D1242*$J1242)</f>
        <v/>
      </c>
      <c r="L1242" s="71">
        <f>IF($N1242&lt;&gt;"OK","",$I1242-$K1242)</f>
        <v/>
      </c>
      <c r="M1242" s="71">
        <f>IF($N1242&lt;&gt;"OK","",$D1242*N(INDEX('Menu Pricing'!$F$7:$F$56,$O1242)))</f>
        <v/>
      </c>
      <c r="N1242" s="80">
        <f>IF(AND($B1242="",$C1242="",$D1242=""),"",IF(NOT(ISNUMBER($B1242)),"Enter a valid date",IF($C1242="","Pick a menu item",IF($O1242="","Item not on Menu Pricing",IF(N($D1242)&lt;=0,"Qty must be above 0",IF($H1242="","No price on menu","OK"))))))</f>
        <v/>
      </c>
      <c r="O1242" s="13">
        <f>IF($C1242="","",IFERROR(MATCH($C1242,'Menu Pricing'!$B$7:$B$56,0),""))</f>
        <v/>
      </c>
    </row>
    <row r="1243" ht="17" customHeight="1">
      <c r="B1243" s="66" t="n"/>
      <c r="C1243" s="60" t="n"/>
      <c r="D1243" s="86" t="n"/>
      <c r="E1243" s="63" t="n"/>
      <c r="F1243" s="60" t="n"/>
      <c r="G1243" s="60" t="n"/>
      <c r="H1243" s="71">
        <f>IF(OR($C1243="",$D1243=""),"",IF(ISNUMBER($E1243),$E1243,IF($O1243="","",IF(N(INDEX('Menu Pricing'!$O$7:$O$56,$O1243))&gt;0,INDEX('Menu Pricing'!$O$7:$O$56,$O1243),""))))</f>
        <v/>
      </c>
      <c r="I1243" s="71">
        <f>IF($N1243&lt;&gt;"OK","",$D1243*$H1243)</f>
        <v/>
      </c>
      <c r="J1243" s="71">
        <f>IF($N1243&lt;&gt;"OK","",N(INDEX('Menu Pricing'!$F$7:$F$56,$O1243))+N(INDEX('Menu Pricing'!$G$7:$G$56,$O1243))+N(INDEX('Menu Pricing'!$J$7:$J$56,$O1243)))</f>
        <v/>
      </c>
      <c r="K1243" s="71">
        <f>IF($N1243&lt;&gt;"OK","",$D1243*$J1243)</f>
        <v/>
      </c>
      <c r="L1243" s="71">
        <f>IF($N1243&lt;&gt;"OK","",$I1243-$K1243)</f>
        <v/>
      </c>
      <c r="M1243" s="71">
        <f>IF($N1243&lt;&gt;"OK","",$D1243*N(INDEX('Menu Pricing'!$F$7:$F$56,$O1243)))</f>
        <v/>
      </c>
      <c r="N1243" s="80">
        <f>IF(AND($B1243="",$C1243="",$D1243=""),"",IF(NOT(ISNUMBER($B1243)),"Enter a valid date",IF($C1243="","Pick a menu item",IF($O1243="","Item not on Menu Pricing",IF(N($D1243)&lt;=0,"Qty must be above 0",IF($H1243="","No price on menu","OK"))))))</f>
        <v/>
      </c>
      <c r="O1243" s="13">
        <f>IF($C1243="","",IFERROR(MATCH($C1243,'Menu Pricing'!$B$7:$B$56,0),""))</f>
        <v/>
      </c>
    </row>
    <row r="1244" ht="17" customHeight="1">
      <c r="B1244" s="66" t="n"/>
      <c r="C1244" s="60" t="n"/>
      <c r="D1244" s="86" t="n"/>
      <c r="E1244" s="63" t="n"/>
      <c r="F1244" s="60" t="n"/>
      <c r="G1244" s="60" t="n"/>
      <c r="H1244" s="71">
        <f>IF(OR($C1244="",$D1244=""),"",IF(ISNUMBER($E1244),$E1244,IF($O1244="","",IF(N(INDEX('Menu Pricing'!$O$7:$O$56,$O1244))&gt;0,INDEX('Menu Pricing'!$O$7:$O$56,$O1244),""))))</f>
        <v/>
      </c>
      <c r="I1244" s="71">
        <f>IF($N1244&lt;&gt;"OK","",$D1244*$H1244)</f>
        <v/>
      </c>
      <c r="J1244" s="71">
        <f>IF($N1244&lt;&gt;"OK","",N(INDEX('Menu Pricing'!$F$7:$F$56,$O1244))+N(INDEX('Menu Pricing'!$G$7:$G$56,$O1244))+N(INDEX('Menu Pricing'!$J$7:$J$56,$O1244)))</f>
        <v/>
      </c>
      <c r="K1244" s="71">
        <f>IF($N1244&lt;&gt;"OK","",$D1244*$J1244)</f>
        <v/>
      </c>
      <c r="L1244" s="71">
        <f>IF($N1244&lt;&gt;"OK","",$I1244-$K1244)</f>
        <v/>
      </c>
      <c r="M1244" s="71">
        <f>IF($N1244&lt;&gt;"OK","",$D1244*N(INDEX('Menu Pricing'!$F$7:$F$56,$O1244)))</f>
        <v/>
      </c>
      <c r="N1244" s="80">
        <f>IF(AND($B1244="",$C1244="",$D1244=""),"",IF(NOT(ISNUMBER($B1244)),"Enter a valid date",IF($C1244="","Pick a menu item",IF($O1244="","Item not on Menu Pricing",IF(N($D1244)&lt;=0,"Qty must be above 0",IF($H1244="","No price on menu","OK"))))))</f>
        <v/>
      </c>
      <c r="O1244" s="13">
        <f>IF($C1244="","",IFERROR(MATCH($C1244,'Menu Pricing'!$B$7:$B$56,0),""))</f>
        <v/>
      </c>
    </row>
    <row r="1245" ht="17" customHeight="1">
      <c r="B1245" s="66" t="n"/>
      <c r="C1245" s="60" t="n"/>
      <c r="D1245" s="86" t="n"/>
      <c r="E1245" s="63" t="n"/>
      <c r="F1245" s="60" t="n"/>
      <c r="G1245" s="60" t="n"/>
      <c r="H1245" s="71">
        <f>IF(OR($C1245="",$D1245=""),"",IF(ISNUMBER($E1245),$E1245,IF($O1245="","",IF(N(INDEX('Menu Pricing'!$O$7:$O$56,$O1245))&gt;0,INDEX('Menu Pricing'!$O$7:$O$56,$O1245),""))))</f>
        <v/>
      </c>
      <c r="I1245" s="71">
        <f>IF($N1245&lt;&gt;"OK","",$D1245*$H1245)</f>
        <v/>
      </c>
      <c r="J1245" s="71">
        <f>IF($N1245&lt;&gt;"OK","",N(INDEX('Menu Pricing'!$F$7:$F$56,$O1245))+N(INDEX('Menu Pricing'!$G$7:$G$56,$O1245))+N(INDEX('Menu Pricing'!$J$7:$J$56,$O1245)))</f>
        <v/>
      </c>
      <c r="K1245" s="71">
        <f>IF($N1245&lt;&gt;"OK","",$D1245*$J1245)</f>
        <v/>
      </c>
      <c r="L1245" s="71">
        <f>IF($N1245&lt;&gt;"OK","",$I1245-$K1245)</f>
        <v/>
      </c>
      <c r="M1245" s="71">
        <f>IF($N1245&lt;&gt;"OK","",$D1245*N(INDEX('Menu Pricing'!$F$7:$F$56,$O1245)))</f>
        <v/>
      </c>
      <c r="N1245" s="80">
        <f>IF(AND($B1245="",$C1245="",$D1245=""),"",IF(NOT(ISNUMBER($B1245)),"Enter a valid date",IF($C1245="","Pick a menu item",IF($O1245="","Item not on Menu Pricing",IF(N($D1245)&lt;=0,"Qty must be above 0",IF($H1245="","No price on menu","OK"))))))</f>
        <v/>
      </c>
      <c r="O1245" s="13">
        <f>IF($C1245="","",IFERROR(MATCH($C1245,'Menu Pricing'!$B$7:$B$56,0),""))</f>
        <v/>
      </c>
    </row>
    <row r="1246" ht="17" customHeight="1">
      <c r="B1246" s="66" t="n"/>
      <c r="C1246" s="60" t="n"/>
      <c r="D1246" s="86" t="n"/>
      <c r="E1246" s="63" t="n"/>
      <c r="F1246" s="60" t="n"/>
      <c r="G1246" s="60" t="n"/>
      <c r="H1246" s="71">
        <f>IF(OR($C1246="",$D1246=""),"",IF(ISNUMBER($E1246),$E1246,IF($O1246="","",IF(N(INDEX('Menu Pricing'!$O$7:$O$56,$O1246))&gt;0,INDEX('Menu Pricing'!$O$7:$O$56,$O1246),""))))</f>
        <v/>
      </c>
      <c r="I1246" s="71">
        <f>IF($N1246&lt;&gt;"OK","",$D1246*$H1246)</f>
        <v/>
      </c>
      <c r="J1246" s="71">
        <f>IF($N1246&lt;&gt;"OK","",N(INDEX('Menu Pricing'!$F$7:$F$56,$O1246))+N(INDEX('Menu Pricing'!$G$7:$G$56,$O1246))+N(INDEX('Menu Pricing'!$J$7:$J$56,$O1246)))</f>
        <v/>
      </c>
      <c r="K1246" s="71">
        <f>IF($N1246&lt;&gt;"OK","",$D1246*$J1246)</f>
        <v/>
      </c>
      <c r="L1246" s="71">
        <f>IF($N1246&lt;&gt;"OK","",$I1246-$K1246)</f>
        <v/>
      </c>
      <c r="M1246" s="71">
        <f>IF($N1246&lt;&gt;"OK","",$D1246*N(INDEX('Menu Pricing'!$F$7:$F$56,$O1246)))</f>
        <v/>
      </c>
      <c r="N1246" s="80">
        <f>IF(AND($B1246="",$C1246="",$D1246=""),"",IF(NOT(ISNUMBER($B1246)),"Enter a valid date",IF($C1246="","Pick a menu item",IF($O1246="","Item not on Menu Pricing",IF(N($D1246)&lt;=0,"Qty must be above 0",IF($H1246="","No price on menu","OK"))))))</f>
        <v/>
      </c>
      <c r="O1246" s="13">
        <f>IF($C1246="","",IFERROR(MATCH($C1246,'Menu Pricing'!$B$7:$B$56,0),""))</f>
        <v/>
      </c>
    </row>
    <row r="1247" ht="17" customHeight="1">
      <c r="B1247" s="66" t="n"/>
      <c r="C1247" s="60" t="n"/>
      <c r="D1247" s="86" t="n"/>
      <c r="E1247" s="63" t="n"/>
      <c r="F1247" s="60" t="n"/>
      <c r="G1247" s="60" t="n"/>
      <c r="H1247" s="71">
        <f>IF(OR($C1247="",$D1247=""),"",IF(ISNUMBER($E1247),$E1247,IF($O1247="","",IF(N(INDEX('Menu Pricing'!$O$7:$O$56,$O1247))&gt;0,INDEX('Menu Pricing'!$O$7:$O$56,$O1247),""))))</f>
        <v/>
      </c>
      <c r="I1247" s="71">
        <f>IF($N1247&lt;&gt;"OK","",$D1247*$H1247)</f>
        <v/>
      </c>
      <c r="J1247" s="71">
        <f>IF($N1247&lt;&gt;"OK","",N(INDEX('Menu Pricing'!$F$7:$F$56,$O1247))+N(INDEX('Menu Pricing'!$G$7:$G$56,$O1247))+N(INDEX('Menu Pricing'!$J$7:$J$56,$O1247)))</f>
        <v/>
      </c>
      <c r="K1247" s="71">
        <f>IF($N1247&lt;&gt;"OK","",$D1247*$J1247)</f>
        <v/>
      </c>
      <c r="L1247" s="71">
        <f>IF($N1247&lt;&gt;"OK","",$I1247-$K1247)</f>
        <v/>
      </c>
      <c r="M1247" s="71">
        <f>IF($N1247&lt;&gt;"OK","",$D1247*N(INDEX('Menu Pricing'!$F$7:$F$56,$O1247)))</f>
        <v/>
      </c>
      <c r="N1247" s="80">
        <f>IF(AND($B1247="",$C1247="",$D1247=""),"",IF(NOT(ISNUMBER($B1247)),"Enter a valid date",IF($C1247="","Pick a menu item",IF($O1247="","Item not on Menu Pricing",IF(N($D1247)&lt;=0,"Qty must be above 0",IF($H1247="","No price on menu","OK"))))))</f>
        <v/>
      </c>
      <c r="O1247" s="13">
        <f>IF($C1247="","",IFERROR(MATCH($C1247,'Menu Pricing'!$B$7:$B$56,0),""))</f>
        <v/>
      </c>
    </row>
    <row r="1248" ht="17" customHeight="1">
      <c r="B1248" s="66" t="n"/>
      <c r="C1248" s="60" t="n"/>
      <c r="D1248" s="86" t="n"/>
      <c r="E1248" s="63" t="n"/>
      <c r="F1248" s="60" t="n"/>
      <c r="G1248" s="60" t="n"/>
      <c r="H1248" s="71">
        <f>IF(OR($C1248="",$D1248=""),"",IF(ISNUMBER($E1248),$E1248,IF($O1248="","",IF(N(INDEX('Menu Pricing'!$O$7:$O$56,$O1248))&gt;0,INDEX('Menu Pricing'!$O$7:$O$56,$O1248),""))))</f>
        <v/>
      </c>
      <c r="I1248" s="71">
        <f>IF($N1248&lt;&gt;"OK","",$D1248*$H1248)</f>
        <v/>
      </c>
      <c r="J1248" s="71">
        <f>IF($N1248&lt;&gt;"OK","",N(INDEX('Menu Pricing'!$F$7:$F$56,$O1248))+N(INDEX('Menu Pricing'!$G$7:$G$56,$O1248))+N(INDEX('Menu Pricing'!$J$7:$J$56,$O1248)))</f>
        <v/>
      </c>
      <c r="K1248" s="71">
        <f>IF($N1248&lt;&gt;"OK","",$D1248*$J1248)</f>
        <v/>
      </c>
      <c r="L1248" s="71">
        <f>IF($N1248&lt;&gt;"OK","",$I1248-$K1248)</f>
        <v/>
      </c>
      <c r="M1248" s="71">
        <f>IF($N1248&lt;&gt;"OK","",$D1248*N(INDEX('Menu Pricing'!$F$7:$F$56,$O1248)))</f>
        <v/>
      </c>
      <c r="N1248" s="80">
        <f>IF(AND($B1248="",$C1248="",$D1248=""),"",IF(NOT(ISNUMBER($B1248)),"Enter a valid date",IF($C1248="","Pick a menu item",IF($O1248="","Item not on Menu Pricing",IF(N($D1248)&lt;=0,"Qty must be above 0",IF($H1248="","No price on menu","OK"))))))</f>
        <v/>
      </c>
      <c r="O1248" s="13">
        <f>IF($C1248="","",IFERROR(MATCH($C1248,'Menu Pricing'!$B$7:$B$56,0),""))</f>
        <v/>
      </c>
    </row>
    <row r="1249" ht="17" customHeight="1">
      <c r="B1249" s="66" t="n"/>
      <c r="C1249" s="60" t="n"/>
      <c r="D1249" s="86" t="n"/>
      <c r="E1249" s="63" t="n"/>
      <c r="F1249" s="60" t="n"/>
      <c r="G1249" s="60" t="n"/>
      <c r="H1249" s="71">
        <f>IF(OR($C1249="",$D1249=""),"",IF(ISNUMBER($E1249),$E1249,IF($O1249="","",IF(N(INDEX('Menu Pricing'!$O$7:$O$56,$O1249))&gt;0,INDEX('Menu Pricing'!$O$7:$O$56,$O1249),""))))</f>
        <v/>
      </c>
      <c r="I1249" s="71">
        <f>IF($N1249&lt;&gt;"OK","",$D1249*$H1249)</f>
        <v/>
      </c>
      <c r="J1249" s="71">
        <f>IF($N1249&lt;&gt;"OK","",N(INDEX('Menu Pricing'!$F$7:$F$56,$O1249))+N(INDEX('Menu Pricing'!$G$7:$G$56,$O1249))+N(INDEX('Menu Pricing'!$J$7:$J$56,$O1249)))</f>
        <v/>
      </c>
      <c r="K1249" s="71">
        <f>IF($N1249&lt;&gt;"OK","",$D1249*$J1249)</f>
        <v/>
      </c>
      <c r="L1249" s="71">
        <f>IF($N1249&lt;&gt;"OK","",$I1249-$K1249)</f>
        <v/>
      </c>
      <c r="M1249" s="71">
        <f>IF($N1249&lt;&gt;"OK","",$D1249*N(INDEX('Menu Pricing'!$F$7:$F$56,$O1249)))</f>
        <v/>
      </c>
      <c r="N1249" s="80">
        <f>IF(AND($B1249="",$C1249="",$D1249=""),"",IF(NOT(ISNUMBER($B1249)),"Enter a valid date",IF($C1249="","Pick a menu item",IF($O1249="","Item not on Menu Pricing",IF(N($D1249)&lt;=0,"Qty must be above 0",IF($H1249="","No price on menu","OK"))))))</f>
        <v/>
      </c>
      <c r="O1249" s="13">
        <f>IF($C1249="","",IFERROR(MATCH($C1249,'Menu Pricing'!$B$7:$B$56,0),""))</f>
        <v/>
      </c>
    </row>
    <row r="1250" ht="17" customHeight="1">
      <c r="B1250" s="66" t="n"/>
      <c r="C1250" s="60" t="n"/>
      <c r="D1250" s="86" t="n"/>
      <c r="E1250" s="63" t="n"/>
      <c r="F1250" s="60" t="n"/>
      <c r="G1250" s="60" t="n"/>
      <c r="H1250" s="71">
        <f>IF(OR($C1250="",$D1250=""),"",IF(ISNUMBER($E1250),$E1250,IF($O1250="","",IF(N(INDEX('Menu Pricing'!$O$7:$O$56,$O1250))&gt;0,INDEX('Menu Pricing'!$O$7:$O$56,$O1250),""))))</f>
        <v/>
      </c>
      <c r="I1250" s="71">
        <f>IF($N1250&lt;&gt;"OK","",$D1250*$H1250)</f>
        <v/>
      </c>
      <c r="J1250" s="71">
        <f>IF($N1250&lt;&gt;"OK","",N(INDEX('Menu Pricing'!$F$7:$F$56,$O1250))+N(INDEX('Menu Pricing'!$G$7:$G$56,$O1250))+N(INDEX('Menu Pricing'!$J$7:$J$56,$O1250)))</f>
        <v/>
      </c>
      <c r="K1250" s="71">
        <f>IF($N1250&lt;&gt;"OK","",$D1250*$J1250)</f>
        <v/>
      </c>
      <c r="L1250" s="71">
        <f>IF($N1250&lt;&gt;"OK","",$I1250-$K1250)</f>
        <v/>
      </c>
      <c r="M1250" s="71">
        <f>IF($N1250&lt;&gt;"OK","",$D1250*N(INDEX('Menu Pricing'!$F$7:$F$56,$O1250)))</f>
        <v/>
      </c>
      <c r="N1250" s="80">
        <f>IF(AND($B1250="",$C1250="",$D1250=""),"",IF(NOT(ISNUMBER($B1250)),"Enter a valid date",IF($C1250="","Pick a menu item",IF($O1250="","Item not on Menu Pricing",IF(N($D1250)&lt;=0,"Qty must be above 0",IF($H1250="","No price on menu","OK"))))))</f>
        <v/>
      </c>
      <c r="O1250" s="13">
        <f>IF($C1250="","",IFERROR(MATCH($C1250,'Menu Pricing'!$B$7:$B$56,0),""))</f>
        <v/>
      </c>
    </row>
    <row r="1251" ht="17" customHeight="1">
      <c r="B1251" s="66" t="n"/>
      <c r="C1251" s="60" t="n"/>
      <c r="D1251" s="86" t="n"/>
      <c r="E1251" s="63" t="n"/>
      <c r="F1251" s="60" t="n"/>
      <c r="G1251" s="60" t="n"/>
      <c r="H1251" s="71">
        <f>IF(OR($C1251="",$D1251=""),"",IF(ISNUMBER($E1251),$E1251,IF($O1251="","",IF(N(INDEX('Menu Pricing'!$O$7:$O$56,$O1251))&gt;0,INDEX('Menu Pricing'!$O$7:$O$56,$O1251),""))))</f>
        <v/>
      </c>
      <c r="I1251" s="71">
        <f>IF($N1251&lt;&gt;"OK","",$D1251*$H1251)</f>
        <v/>
      </c>
      <c r="J1251" s="71">
        <f>IF($N1251&lt;&gt;"OK","",N(INDEX('Menu Pricing'!$F$7:$F$56,$O1251))+N(INDEX('Menu Pricing'!$G$7:$G$56,$O1251))+N(INDEX('Menu Pricing'!$J$7:$J$56,$O1251)))</f>
        <v/>
      </c>
      <c r="K1251" s="71">
        <f>IF($N1251&lt;&gt;"OK","",$D1251*$J1251)</f>
        <v/>
      </c>
      <c r="L1251" s="71">
        <f>IF($N1251&lt;&gt;"OK","",$I1251-$K1251)</f>
        <v/>
      </c>
      <c r="M1251" s="71">
        <f>IF($N1251&lt;&gt;"OK","",$D1251*N(INDEX('Menu Pricing'!$F$7:$F$56,$O1251)))</f>
        <v/>
      </c>
      <c r="N1251" s="80">
        <f>IF(AND($B1251="",$C1251="",$D1251=""),"",IF(NOT(ISNUMBER($B1251)),"Enter a valid date",IF($C1251="","Pick a menu item",IF($O1251="","Item not on Menu Pricing",IF(N($D1251)&lt;=0,"Qty must be above 0",IF($H1251="","No price on menu","OK"))))))</f>
        <v/>
      </c>
      <c r="O1251" s="13">
        <f>IF($C1251="","",IFERROR(MATCH($C1251,'Menu Pricing'!$B$7:$B$56,0),""))</f>
        <v/>
      </c>
    </row>
    <row r="1252" ht="17" customHeight="1">
      <c r="B1252" s="66" t="n"/>
      <c r="C1252" s="60" t="n"/>
      <c r="D1252" s="86" t="n"/>
      <c r="E1252" s="63" t="n"/>
      <c r="F1252" s="60" t="n"/>
      <c r="G1252" s="60" t="n"/>
      <c r="H1252" s="71">
        <f>IF(OR($C1252="",$D1252=""),"",IF(ISNUMBER($E1252),$E1252,IF($O1252="","",IF(N(INDEX('Menu Pricing'!$O$7:$O$56,$O1252))&gt;0,INDEX('Menu Pricing'!$O$7:$O$56,$O1252),""))))</f>
        <v/>
      </c>
      <c r="I1252" s="71">
        <f>IF($N1252&lt;&gt;"OK","",$D1252*$H1252)</f>
        <v/>
      </c>
      <c r="J1252" s="71">
        <f>IF($N1252&lt;&gt;"OK","",N(INDEX('Menu Pricing'!$F$7:$F$56,$O1252))+N(INDEX('Menu Pricing'!$G$7:$G$56,$O1252))+N(INDEX('Menu Pricing'!$J$7:$J$56,$O1252)))</f>
        <v/>
      </c>
      <c r="K1252" s="71">
        <f>IF($N1252&lt;&gt;"OK","",$D1252*$J1252)</f>
        <v/>
      </c>
      <c r="L1252" s="71">
        <f>IF($N1252&lt;&gt;"OK","",$I1252-$K1252)</f>
        <v/>
      </c>
      <c r="M1252" s="71">
        <f>IF($N1252&lt;&gt;"OK","",$D1252*N(INDEX('Menu Pricing'!$F$7:$F$56,$O1252)))</f>
        <v/>
      </c>
      <c r="N1252" s="80">
        <f>IF(AND($B1252="",$C1252="",$D1252=""),"",IF(NOT(ISNUMBER($B1252)),"Enter a valid date",IF($C1252="","Pick a menu item",IF($O1252="","Item not on Menu Pricing",IF(N($D1252)&lt;=0,"Qty must be above 0",IF($H1252="","No price on menu","OK"))))))</f>
        <v/>
      </c>
      <c r="O1252" s="13">
        <f>IF($C1252="","",IFERROR(MATCH($C1252,'Menu Pricing'!$B$7:$B$56,0),""))</f>
        <v/>
      </c>
    </row>
    <row r="1253" ht="17" customHeight="1">
      <c r="B1253" s="66" t="n"/>
      <c r="C1253" s="60" t="n"/>
      <c r="D1253" s="86" t="n"/>
      <c r="E1253" s="63" t="n"/>
      <c r="F1253" s="60" t="n"/>
      <c r="G1253" s="60" t="n"/>
      <c r="H1253" s="71">
        <f>IF(OR($C1253="",$D1253=""),"",IF(ISNUMBER($E1253),$E1253,IF($O1253="","",IF(N(INDEX('Menu Pricing'!$O$7:$O$56,$O1253))&gt;0,INDEX('Menu Pricing'!$O$7:$O$56,$O1253),""))))</f>
        <v/>
      </c>
      <c r="I1253" s="71">
        <f>IF($N1253&lt;&gt;"OK","",$D1253*$H1253)</f>
        <v/>
      </c>
      <c r="J1253" s="71">
        <f>IF($N1253&lt;&gt;"OK","",N(INDEX('Menu Pricing'!$F$7:$F$56,$O1253))+N(INDEX('Menu Pricing'!$G$7:$G$56,$O1253))+N(INDEX('Menu Pricing'!$J$7:$J$56,$O1253)))</f>
        <v/>
      </c>
      <c r="K1253" s="71">
        <f>IF($N1253&lt;&gt;"OK","",$D1253*$J1253)</f>
        <v/>
      </c>
      <c r="L1253" s="71">
        <f>IF($N1253&lt;&gt;"OK","",$I1253-$K1253)</f>
        <v/>
      </c>
      <c r="M1253" s="71">
        <f>IF($N1253&lt;&gt;"OK","",$D1253*N(INDEX('Menu Pricing'!$F$7:$F$56,$O1253)))</f>
        <v/>
      </c>
      <c r="N1253" s="80">
        <f>IF(AND($B1253="",$C1253="",$D1253=""),"",IF(NOT(ISNUMBER($B1253)),"Enter a valid date",IF($C1253="","Pick a menu item",IF($O1253="","Item not on Menu Pricing",IF(N($D1253)&lt;=0,"Qty must be above 0",IF($H1253="","No price on menu","OK"))))))</f>
        <v/>
      </c>
      <c r="O1253" s="13">
        <f>IF($C1253="","",IFERROR(MATCH($C1253,'Menu Pricing'!$B$7:$B$56,0),""))</f>
        <v/>
      </c>
    </row>
    <row r="1254" ht="17" customHeight="1">
      <c r="B1254" s="66" t="n"/>
      <c r="C1254" s="60" t="n"/>
      <c r="D1254" s="86" t="n"/>
      <c r="E1254" s="63" t="n"/>
      <c r="F1254" s="60" t="n"/>
      <c r="G1254" s="60" t="n"/>
      <c r="H1254" s="71">
        <f>IF(OR($C1254="",$D1254=""),"",IF(ISNUMBER($E1254),$E1254,IF($O1254="","",IF(N(INDEX('Menu Pricing'!$O$7:$O$56,$O1254))&gt;0,INDEX('Menu Pricing'!$O$7:$O$56,$O1254),""))))</f>
        <v/>
      </c>
      <c r="I1254" s="71">
        <f>IF($N1254&lt;&gt;"OK","",$D1254*$H1254)</f>
        <v/>
      </c>
      <c r="J1254" s="71">
        <f>IF($N1254&lt;&gt;"OK","",N(INDEX('Menu Pricing'!$F$7:$F$56,$O1254))+N(INDEX('Menu Pricing'!$G$7:$G$56,$O1254))+N(INDEX('Menu Pricing'!$J$7:$J$56,$O1254)))</f>
        <v/>
      </c>
      <c r="K1254" s="71">
        <f>IF($N1254&lt;&gt;"OK","",$D1254*$J1254)</f>
        <v/>
      </c>
      <c r="L1254" s="71">
        <f>IF($N1254&lt;&gt;"OK","",$I1254-$K1254)</f>
        <v/>
      </c>
      <c r="M1254" s="71">
        <f>IF($N1254&lt;&gt;"OK","",$D1254*N(INDEX('Menu Pricing'!$F$7:$F$56,$O1254)))</f>
        <v/>
      </c>
      <c r="N1254" s="80">
        <f>IF(AND($B1254="",$C1254="",$D1254=""),"",IF(NOT(ISNUMBER($B1254)),"Enter a valid date",IF($C1254="","Pick a menu item",IF($O1254="","Item not on Menu Pricing",IF(N($D1254)&lt;=0,"Qty must be above 0",IF($H1254="","No price on menu","OK"))))))</f>
        <v/>
      </c>
      <c r="O1254" s="13">
        <f>IF($C1254="","",IFERROR(MATCH($C1254,'Menu Pricing'!$B$7:$B$56,0),""))</f>
        <v/>
      </c>
    </row>
    <row r="1255" ht="17" customHeight="1">
      <c r="B1255" s="66" t="n"/>
      <c r="C1255" s="60" t="n"/>
      <c r="D1255" s="86" t="n"/>
      <c r="E1255" s="63" t="n"/>
      <c r="F1255" s="60" t="n"/>
      <c r="G1255" s="60" t="n"/>
      <c r="H1255" s="71">
        <f>IF(OR($C1255="",$D1255=""),"",IF(ISNUMBER($E1255),$E1255,IF($O1255="","",IF(N(INDEX('Menu Pricing'!$O$7:$O$56,$O1255))&gt;0,INDEX('Menu Pricing'!$O$7:$O$56,$O1255),""))))</f>
        <v/>
      </c>
      <c r="I1255" s="71">
        <f>IF($N1255&lt;&gt;"OK","",$D1255*$H1255)</f>
        <v/>
      </c>
      <c r="J1255" s="71">
        <f>IF($N1255&lt;&gt;"OK","",N(INDEX('Menu Pricing'!$F$7:$F$56,$O1255))+N(INDEX('Menu Pricing'!$G$7:$G$56,$O1255))+N(INDEX('Menu Pricing'!$J$7:$J$56,$O1255)))</f>
        <v/>
      </c>
      <c r="K1255" s="71">
        <f>IF($N1255&lt;&gt;"OK","",$D1255*$J1255)</f>
        <v/>
      </c>
      <c r="L1255" s="71">
        <f>IF($N1255&lt;&gt;"OK","",$I1255-$K1255)</f>
        <v/>
      </c>
      <c r="M1255" s="71">
        <f>IF($N1255&lt;&gt;"OK","",$D1255*N(INDEX('Menu Pricing'!$F$7:$F$56,$O1255)))</f>
        <v/>
      </c>
      <c r="N1255" s="80">
        <f>IF(AND($B1255="",$C1255="",$D1255=""),"",IF(NOT(ISNUMBER($B1255)),"Enter a valid date",IF($C1255="","Pick a menu item",IF($O1255="","Item not on Menu Pricing",IF(N($D1255)&lt;=0,"Qty must be above 0",IF($H1255="","No price on menu","OK"))))))</f>
        <v/>
      </c>
      <c r="O1255" s="13">
        <f>IF($C1255="","",IFERROR(MATCH($C1255,'Menu Pricing'!$B$7:$B$56,0),""))</f>
        <v/>
      </c>
    </row>
    <row r="1256" ht="17" customHeight="1">
      <c r="B1256" s="66" t="n"/>
      <c r="C1256" s="60" t="n"/>
      <c r="D1256" s="86" t="n"/>
      <c r="E1256" s="63" t="n"/>
      <c r="F1256" s="60" t="n"/>
      <c r="G1256" s="60" t="n"/>
      <c r="H1256" s="71">
        <f>IF(OR($C1256="",$D1256=""),"",IF(ISNUMBER($E1256),$E1256,IF($O1256="","",IF(N(INDEX('Menu Pricing'!$O$7:$O$56,$O1256))&gt;0,INDEX('Menu Pricing'!$O$7:$O$56,$O1256),""))))</f>
        <v/>
      </c>
      <c r="I1256" s="71">
        <f>IF($N1256&lt;&gt;"OK","",$D1256*$H1256)</f>
        <v/>
      </c>
      <c r="J1256" s="71">
        <f>IF($N1256&lt;&gt;"OK","",N(INDEX('Menu Pricing'!$F$7:$F$56,$O1256))+N(INDEX('Menu Pricing'!$G$7:$G$56,$O1256))+N(INDEX('Menu Pricing'!$J$7:$J$56,$O1256)))</f>
        <v/>
      </c>
      <c r="K1256" s="71">
        <f>IF($N1256&lt;&gt;"OK","",$D1256*$J1256)</f>
        <v/>
      </c>
      <c r="L1256" s="71">
        <f>IF($N1256&lt;&gt;"OK","",$I1256-$K1256)</f>
        <v/>
      </c>
      <c r="M1256" s="71">
        <f>IF($N1256&lt;&gt;"OK","",$D1256*N(INDEX('Menu Pricing'!$F$7:$F$56,$O1256)))</f>
        <v/>
      </c>
      <c r="N1256" s="80">
        <f>IF(AND($B1256="",$C1256="",$D1256=""),"",IF(NOT(ISNUMBER($B1256)),"Enter a valid date",IF($C1256="","Pick a menu item",IF($O1256="","Item not on Menu Pricing",IF(N($D1256)&lt;=0,"Qty must be above 0",IF($H1256="","No price on menu","OK"))))))</f>
        <v/>
      </c>
      <c r="O1256" s="13">
        <f>IF($C1256="","",IFERROR(MATCH($C1256,'Menu Pricing'!$B$7:$B$56,0),""))</f>
        <v/>
      </c>
    </row>
    <row r="1257" ht="17" customHeight="1">
      <c r="B1257" s="66" t="n"/>
      <c r="C1257" s="60" t="n"/>
      <c r="D1257" s="86" t="n"/>
      <c r="E1257" s="63" t="n"/>
      <c r="F1257" s="60" t="n"/>
      <c r="G1257" s="60" t="n"/>
      <c r="H1257" s="71">
        <f>IF(OR($C1257="",$D1257=""),"",IF(ISNUMBER($E1257),$E1257,IF($O1257="","",IF(N(INDEX('Menu Pricing'!$O$7:$O$56,$O1257))&gt;0,INDEX('Menu Pricing'!$O$7:$O$56,$O1257),""))))</f>
        <v/>
      </c>
      <c r="I1257" s="71">
        <f>IF($N1257&lt;&gt;"OK","",$D1257*$H1257)</f>
        <v/>
      </c>
      <c r="J1257" s="71">
        <f>IF($N1257&lt;&gt;"OK","",N(INDEX('Menu Pricing'!$F$7:$F$56,$O1257))+N(INDEX('Menu Pricing'!$G$7:$G$56,$O1257))+N(INDEX('Menu Pricing'!$J$7:$J$56,$O1257)))</f>
        <v/>
      </c>
      <c r="K1257" s="71">
        <f>IF($N1257&lt;&gt;"OK","",$D1257*$J1257)</f>
        <v/>
      </c>
      <c r="L1257" s="71">
        <f>IF($N1257&lt;&gt;"OK","",$I1257-$K1257)</f>
        <v/>
      </c>
      <c r="M1257" s="71">
        <f>IF($N1257&lt;&gt;"OK","",$D1257*N(INDEX('Menu Pricing'!$F$7:$F$56,$O1257)))</f>
        <v/>
      </c>
      <c r="N1257" s="80">
        <f>IF(AND($B1257="",$C1257="",$D1257=""),"",IF(NOT(ISNUMBER($B1257)),"Enter a valid date",IF($C1257="","Pick a menu item",IF($O1257="","Item not on Menu Pricing",IF(N($D1257)&lt;=0,"Qty must be above 0",IF($H1257="","No price on menu","OK"))))))</f>
        <v/>
      </c>
      <c r="O1257" s="13">
        <f>IF($C1257="","",IFERROR(MATCH($C1257,'Menu Pricing'!$B$7:$B$56,0),""))</f>
        <v/>
      </c>
    </row>
    <row r="1258" ht="17" customHeight="1">
      <c r="B1258" s="66" t="n"/>
      <c r="C1258" s="60" t="n"/>
      <c r="D1258" s="86" t="n"/>
      <c r="E1258" s="63" t="n"/>
      <c r="F1258" s="60" t="n"/>
      <c r="G1258" s="60" t="n"/>
      <c r="H1258" s="71">
        <f>IF(OR($C1258="",$D1258=""),"",IF(ISNUMBER($E1258),$E1258,IF($O1258="","",IF(N(INDEX('Menu Pricing'!$O$7:$O$56,$O1258))&gt;0,INDEX('Menu Pricing'!$O$7:$O$56,$O1258),""))))</f>
        <v/>
      </c>
      <c r="I1258" s="71">
        <f>IF($N1258&lt;&gt;"OK","",$D1258*$H1258)</f>
        <v/>
      </c>
      <c r="J1258" s="71">
        <f>IF($N1258&lt;&gt;"OK","",N(INDEX('Menu Pricing'!$F$7:$F$56,$O1258))+N(INDEX('Menu Pricing'!$G$7:$G$56,$O1258))+N(INDEX('Menu Pricing'!$J$7:$J$56,$O1258)))</f>
        <v/>
      </c>
      <c r="K1258" s="71">
        <f>IF($N1258&lt;&gt;"OK","",$D1258*$J1258)</f>
        <v/>
      </c>
      <c r="L1258" s="71">
        <f>IF($N1258&lt;&gt;"OK","",$I1258-$K1258)</f>
        <v/>
      </c>
      <c r="M1258" s="71">
        <f>IF($N1258&lt;&gt;"OK","",$D1258*N(INDEX('Menu Pricing'!$F$7:$F$56,$O1258)))</f>
        <v/>
      </c>
      <c r="N1258" s="80">
        <f>IF(AND($B1258="",$C1258="",$D1258=""),"",IF(NOT(ISNUMBER($B1258)),"Enter a valid date",IF($C1258="","Pick a menu item",IF($O1258="","Item not on Menu Pricing",IF(N($D1258)&lt;=0,"Qty must be above 0",IF($H1258="","No price on menu","OK"))))))</f>
        <v/>
      </c>
      <c r="O1258" s="13">
        <f>IF($C1258="","",IFERROR(MATCH($C1258,'Menu Pricing'!$B$7:$B$56,0),""))</f>
        <v/>
      </c>
    </row>
    <row r="1259" ht="17" customHeight="1">
      <c r="B1259" s="66" t="n"/>
      <c r="C1259" s="60" t="n"/>
      <c r="D1259" s="86" t="n"/>
      <c r="E1259" s="63" t="n"/>
      <c r="F1259" s="60" t="n"/>
      <c r="G1259" s="60" t="n"/>
      <c r="H1259" s="71">
        <f>IF(OR($C1259="",$D1259=""),"",IF(ISNUMBER($E1259),$E1259,IF($O1259="","",IF(N(INDEX('Menu Pricing'!$O$7:$O$56,$O1259))&gt;0,INDEX('Menu Pricing'!$O$7:$O$56,$O1259),""))))</f>
        <v/>
      </c>
      <c r="I1259" s="71">
        <f>IF($N1259&lt;&gt;"OK","",$D1259*$H1259)</f>
        <v/>
      </c>
      <c r="J1259" s="71">
        <f>IF($N1259&lt;&gt;"OK","",N(INDEX('Menu Pricing'!$F$7:$F$56,$O1259))+N(INDEX('Menu Pricing'!$G$7:$G$56,$O1259))+N(INDEX('Menu Pricing'!$J$7:$J$56,$O1259)))</f>
        <v/>
      </c>
      <c r="K1259" s="71">
        <f>IF($N1259&lt;&gt;"OK","",$D1259*$J1259)</f>
        <v/>
      </c>
      <c r="L1259" s="71">
        <f>IF($N1259&lt;&gt;"OK","",$I1259-$K1259)</f>
        <v/>
      </c>
      <c r="M1259" s="71">
        <f>IF($N1259&lt;&gt;"OK","",$D1259*N(INDEX('Menu Pricing'!$F$7:$F$56,$O1259)))</f>
        <v/>
      </c>
      <c r="N1259" s="80">
        <f>IF(AND($B1259="",$C1259="",$D1259=""),"",IF(NOT(ISNUMBER($B1259)),"Enter a valid date",IF($C1259="","Pick a menu item",IF($O1259="","Item not on Menu Pricing",IF(N($D1259)&lt;=0,"Qty must be above 0",IF($H1259="","No price on menu","OK"))))))</f>
        <v/>
      </c>
      <c r="O1259" s="13">
        <f>IF($C1259="","",IFERROR(MATCH($C1259,'Menu Pricing'!$B$7:$B$56,0),""))</f>
        <v/>
      </c>
    </row>
    <row r="1260" ht="17" customHeight="1">
      <c r="B1260" s="66" t="n"/>
      <c r="C1260" s="60" t="n"/>
      <c r="D1260" s="86" t="n"/>
      <c r="E1260" s="63" t="n"/>
      <c r="F1260" s="60" t="n"/>
      <c r="G1260" s="60" t="n"/>
      <c r="H1260" s="71">
        <f>IF(OR($C1260="",$D1260=""),"",IF(ISNUMBER($E1260),$E1260,IF($O1260="","",IF(N(INDEX('Menu Pricing'!$O$7:$O$56,$O1260))&gt;0,INDEX('Menu Pricing'!$O$7:$O$56,$O1260),""))))</f>
        <v/>
      </c>
      <c r="I1260" s="71">
        <f>IF($N1260&lt;&gt;"OK","",$D1260*$H1260)</f>
        <v/>
      </c>
      <c r="J1260" s="71">
        <f>IF($N1260&lt;&gt;"OK","",N(INDEX('Menu Pricing'!$F$7:$F$56,$O1260))+N(INDEX('Menu Pricing'!$G$7:$G$56,$O1260))+N(INDEX('Menu Pricing'!$J$7:$J$56,$O1260)))</f>
        <v/>
      </c>
      <c r="K1260" s="71">
        <f>IF($N1260&lt;&gt;"OK","",$D1260*$J1260)</f>
        <v/>
      </c>
      <c r="L1260" s="71">
        <f>IF($N1260&lt;&gt;"OK","",$I1260-$K1260)</f>
        <v/>
      </c>
      <c r="M1260" s="71">
        <f>IF($N1260&lt;&gt;"OK","",$D1260*N(INDEX('Menu Pricing'!$F$7:$F$56,$O1260)))</f>
        <v/>
      </c>
      <c r="N1260" s="80">
        <f>IF(AND($B1260="",$C1260="",$D1260=""),"",IF(NOT(ISNUMBER($B1260)),"Enter a valid date",IF($C1260="","Pick a menu item",IF($O1260="","Item not on Menu Pricing",IF(N($D1260)&lt;=0,"Qty must be above 0",IF($H1260="","No price on menu","OK"))))))</f>
        <v/>
      </c>
      <c r="O1260" s="13">
        <f>IF($C1260="","",IFERROR(MATCH($C1260,'Menu Pricing'!$B$7:$B$56,0),""))</f>
        <v/>
      </c>
    </row>
    <row r="1261" ht="17" customHeight="1">
      <c r="B1261" s="66" t="n"/>
      <c r="C1261" s="60" t="n"/>
      <c r="D1261" s="86" t="n"/>
      <c r="E1261" s="63" t="n"/>
      <c r="F1261" s="60" t="n"/>
      <c r="G1261" s="60" t="n"/>
      <c r="H1261" s="71">
        <f>IF(OR($C1261="",$D1261=""),"",IF(ISNUMBER($E1261),$E1261,IF($O1261="","",IF(N(INDEX('Menu Pricing'!$O$7:$O$56,$O1261))&gt;0,INDEX('Menu Pricing'!$O$7:$O$56,$O1261),""))))</f>
        <v/>
      </c>
      <c r="I1261" s="71">
        <f>IF($N1261&lt;&gt;"OK","",$D1261*$H1261)</f>
        <v/>
      </c>
      <c r="J1261" s="71">
        <f>IF($N1261&lt;&gt;"OK","",N(INDEX('Menu Pricing'!$F$7:$F$56,$O1261))+N(INDEX('Menu Pricing'!$G$7:$G$56,$O1261))+N(INDEX('Menu Pricing'!$J$7:$J$56,$O1261)))</f>
        <v/>
      </c>
      <c r="K1261" s="71">
        <f>IF($N1261&lt;&gt;"OK","",$D1261*$J1261)</f>
        <v/>
      </c>
      <c r="L1261" s="71">
        <f>IF($N1261&lt;&gt;"OK","",$I1261-$K1261)</f>
        <v/>
      </c>
      <c r="M1261" s="71">
        <f>IF($N1261&lt;&gt;"OK","",$D1261*N(INDEX('Menu Pricing'!$F$7:$F$56,$O1261)))</f>
        <v/>
      </c>
      <c r="N1261" s="80">
        <f>IF(AND($B1261="",$C1261="",$D1261=""),"",IF(NOT(ISNUMBER($B1261)),"Enter a valid date",IF($C1261="","Pick a menu item",IF($O1261="","Item not on Menu Pricing",IF(N($D1261)&lt;=0,"Qty must be above 0",IF($H1261="","No price on menu","OK"))))))</f>
        <v/>
      </c>
      <c r="O1261" s="13">
        <f>IF($C1261="","",IFERROR(MATCH($C1261,'Menu Pricing'!$B$7:$B$56,0),""))</f>
        <v/>
      </c>
    </row>
    <row r="1262" ht="17" customHeight="1">
      <c r="B1262" s="66" t="n"/>
      <c r="C1262" s="60" t="n"/>
      <c r="D1262" s="86" t="n"/>
      <c r="E1262" s="63" t="n"/>
      <c r="F1262" s="60" t="n"/>
      <c r="G1262" s="60" t="n"/>
      <c r="H1262" s="71">
        <f>IF(OR($C1262="",$D1262=""),"",IF(ISNUMBER($E1262),$E1262,IF($O1262="","",IF(N(INDEX('Menu Pricing'!$O$7:$O$56,$O1262))&gt;0,INDEX('Menu Pricing'!$O$7:$O$56,$O1262),""))))</f>
        <v/>
      </c>
      <c r="I1262" s="71">
        <f>IF($N1262&lt;&gt;"OK","",$D1262*$H1262)</f>
        <v/>
      </c>
      <c r="J1262" s="71">
        <f>IF($N1262&lt;&gt;"OK","",N(INDEX('Menu Pricing'!$F$7:$F$56,$O1262))+N(INDEX('Menu Pricing'!$G$7:$G$56,$O1262))+N(INDEX('Menu Pricing'!$J$7:$J$56,$O1262)))</f>
        <v/>
      </c>
      <c r="K1262" s="71">
        <f>IF($N1262&lt;&gt;"OK","",$D1262*$J1262)</f>
        <v/>
      </c>
      <c r="L1262" s="71">
        <f>IF($N1262&lt;&gt;"OK","",$I1262-$K1262)</f>
        <v/>
      </c>
      <c r="M1262" s="71">
        <f>IF($N1262&lt;&gt;"OK","",$D1262*N(INDEX('Menu Pricing'!$F$7:$F$56,$O1262)))</f>
        <v/>
      </c>
      <c r="N1262" s="80">
        <f>IF(AND($B1262="",$C1262="",$D1262=""),"",IF(NOT(ISNUMBER($B1262)),"Enter a valid date",IF($C1262="","Pick a menu item",IF($O1262="","Item not on Menu Pricing",IF(N($D1262)&lt;=0,"Qty must be above 0",IF($H1262="","No price on menu","OK"))))))</f>
        <v/>
      </c>
      <c r="O1262" s="13">
        <f>IF($C1262="","",IFERROR(MATCH($C1262,'Menu Pricing'!$B$7:$B$56,0),""))</f>
        <v/>
      </c>
    </row>
    <row r="1263" ht="17" customHeight="1">
      <c r="B1263" s="66" t="n"/>
      <c r="C1263" s="60" t="n"/>
      <c r="D1263" s="86" t="n"/>
      <c r="E1263" s="63" t="n"/>
      <c r="F1263" s="60" t="n"/>
      <c r="G1263" s="60" t="n"/>
      <c r="H1263" s="71">
        <f>IF(OR($C1263="",$D1263=""),"",IF(ISNUMBER($E1263),$E1263,IF($O1263="","",IF(N(INDEX('Menu Pricing'!$O$7:$O$56,$O1263))&gt;0,INDEX('Menu Pricing'!$O$7:$O$56,$O1263),""))))</f>
        <v/>
      </c>
      <c r="I1263" s="71">
        <f>IF($N1263&lt;&gt;"OK","",$D1263*$H1263)</f>
        <v/>
      </c>
      <c r="J1263" s="71">
        <f>IF($N1263&lt;&gt;"OK","",N(INDEX('Menu Pricing'!$F$7:$F$56,$O1263))+N(INDEX('Menu Pricing'!$G$7:$G$56,$O1263))+N(INDEX('Menu Pricing'!$J$7:$J$56,$O1263)))</f>
        <v/>
      </c>
      <c r="K1263" s="71">
        <f>IF($N1263&lt;&gt;"OK","",$D1263*$J1263)</f>
        <v/>
      </c>
      <c r="L1263" s="71">
        <f>IF($N1263&lt;&gt;"OK","",$I1263-$K1263)</f>
        <v/>
      </c>
      <c r="M1263" s="71">
        <f>IF($N1263&lt;&gt;"OK","",$D1263*N(INDEX('Menu Pricing'!$F$7:$F$56,$O1263)))</f>
        <v/>
      </c>
      <c r="N1263" s="80">
        <f>IF(AND($B1263="",$C1263="",$D1263=""),"",IF(NOT(ISNUMBER($B1263)),"Enter a valid date",IF($C1263="","Pick a menu item",IF($O1263="","Item not on Menu Pricing",IF(N($D1263)&lt;=0,"Qty must be above 0",IF($H1263="","No price on menu","OK"))))))</f>
        <v/>
      </c>
      <c r="O1263" s="13">
        <f>IF($C1263="","",IFERROR(MATCH($C1263,'Menu Pricing'!$B$7:$B$56,0),""))</f>
        <v/>
      </c>
    </row>
    <row r="1264" ht="17" customHeight="1">
      <c r="B1264" s="66" t="n"/>
      <c r="C1264" s="60" t="n"/>
      <c r="D1264" s="86" t="n"/>
      <c r="E1264" s="63" t="n"/>
      <c r="F1264" s="60" t="n"/>
      <c r="G1264" s="60" t="n"/>
      <c r="H1264" s="71">
        <f>IF(OR($C1264="",$D1264=""),"",IF(ISNUMBER($E1264),$E1264,IF($O1264="","",IF(N(INDEX('Menu Pricing'!$O$7:$O$56,$O1264))&gt;0,INDEX('Menu Pricing'!$O$7:$O$56,$O1264),""))))</f>
        <v/>
      </c>
      <c r="I1264" s="71">
        <f>IF($N1264&lt;&gt;"OK","",$D1264*$H1264)</f>
        <v/>
      </c>
      <c r="J1264" s="71">
        <f>IF($N1264&lt;&gt;"OK","",N(INDEX('Menu Pricing'!$F$7:$F$56,$O1264))+N(INDEX('Menu Pricing'!$G$7:$G$56,$O1264))+N(INDEX('Menu Pricing'!$J$7:$J$56,$O1264)))</f>
        <v/>
      </c>
      <c r="K1264" s="71">
        <f>IF($N1264&lt;&gt;"OK","",$D1264*$J1264)</f>
        <v/>
      </c>
      <c r="L1264" s="71">
        <f>IF($N1264&lt;&gt;"OK","",$I1264-$K1264)</f>
        <v/>
      </c>
      <c r="M1264" s="71">
        <f>IF($N1264&lt;&gt;"OK","",$D1264*N(INDEX('Menu Pricing'!$F$7:$F$56,$O1264)))</f>
        <v/>
      </c>
      <c r="N1264" s="80">
        <f>IF(AND($B1264="",$C1264="",$D1264=""),"",IF(NOT(ISNUMBER($B1264)),"Enter a valid date",IF($C1264="","Pick a menu item",IF($O1264="","Item not on Menu Pricing",IF(N($D1264)&lt;=0,"Qty must be above 0",IF($H1264="","No price on menu","OK"))))))</f>
        <v/>
      </c>
      <c r="O1264" s="13">
        <f>IF($C1264="","",IFERROR(MATCH($C1264,'Menu Pricing'!$B$7:$B$56,0),""))</f>
        <v/>
      </c>
    </row>
    <row r="1265" ht="17" customHeight="1">
      <c r="B1265" s="66" t="n"/>
      <c r="C1265" s="60" t="n"/>
      <c r="D1265" s="86" t="n"/>
      <c r="E1265" s="63" t="n"/>
      <c r="F1265" s="60" t="n"/>
      <c r="G1265" s="60" t="n"/>
      <c r="H1265" s="71">
        <f>IF(OR($C1265="",$D1265=""),"",IF(ISNUMBER($E1265),$E1265,IF($O1265="","",IF(N(INDEX('Menu Pricing'!$O$7:$O$56,$O1265))&gt;0,INDEX('Menu Pricing'!$O$7:$O$56,$O1265),""))))</f>
        <v/>
      </c>
      <c r="I1265" s="71">
        <f>IF($N1265&lt;&gt;"OK","",$D1265*$H1265)</f>
        <v/>
      </c>
      <c r="J1265" s="71">
        <f>IF($N1265&lt;&gt;"OK","",N(INDEX('Menu Pricing'!$F$7:$F$56,$O1265))+N(INDEX('Menu Pricing'!$G$7:$G$56,$O1265))+N(INDEX('Menu Pricing'!$J$7:$J$56,$O1265)))</f>
        <v/>
      </c>
      <c r="K1265" s="71">
        <f>IF($N1265&lt;&gt;"OK","",$D1265*$J1265)</f>
        <v/>
      </c>
      <c r="L1265" s="71">
        <f>IF($N1265&lt;&gt;"OK","",$I1265-$K1265)</f>
        <v/>
      </c>
      <c r="M1265" s="71">
        <f>IF($N1265&lt;&gt;"OK","",$D1265*N(INDEX('Menu Pricing'!$F$7:$F$56,$O1265)))</f>
        <v/>
      </c>
      <c r="N1265" s="80">
        <f>IF(AND($B1265="",$C1265="",$D1265=""),"",IF(NOT(ISNUMBER($B1265)),"Enter a valid date",IF($C1265="","Pick a menu item",IF($O1265="","Item not on Menu Pricing",IF(N($D1265)&lt;=0,"Qty must be above 0",IF($H1265="","No price on menu","OK"))))))</f>
        <v/>
      </c>
      <c r="O1265" s="13">
        <f>IF($C1265="","",IFERROR(MATCH($C1265,'Menu Pricing'!$B$7:$B$56,0),""))</f>
        <v/>
      </c>
    </row>
    <row r="1266" ht="17" customHeight="1">
      <c r="B1266" s="66" t="n"/>
      <c r="C1266" s="60" t="n"/>
      <c r="D1266" s="86" t="n"/>
      <c r="E1266" s="63" t="n"/>
      <c r="F1266" s="60" t="n"/>
      <c r="G1266" s="60" t="n"/>
      <c r="H1266" s="71">
        <f>IF(OR($C1266="",$D1266=""),"",IF(ISNUMBER($E1266),$E1266,IF($O1266="","",IF(N(INDEX('Menu Pricing'!$O$7:$O$56,$O1266))&gt;0,INDEX('Menu Pricing'!$O$7:$O$56,$O1266),""))))</f>
        <v/>
      </c>
      <c r="I1266" s="71">
        <f>IF($N1266&lt;&gt;"OK","",$D1266*$H1266)</f>
        <v/>
      </c>
      <c r="J1266" s="71">
        <f>IF($N1266&lt;&gt;"OK","",N(INDEX('Menu Pricing'!$F$7:$F$56,$O1266))+N(INDEX('Menu Pricing'!$G$7:$G$56,$O1266))+N(INDEX('Menu Pricing'!$J$7:$J$56,$O1266)))</f>
        <v/>
      </c>
      <c r="K1266" s="71">
        <f>IF($N1266&lt;&gt;"OK","",$D1266*$J1266)</f>
        <v/>
      </c>
      <c r="L1266" s="71">
        <f>IF($N1266&lt;&gt;"OK","",$I1266-$K1266)</f>
        <v/>
      </c>
      <c r="M1266" s="71">
        <f>IF($N1266&lt;&gt;"OK","",$D1266*N(INDEX('Menu Pricing'!$F$7:$F$56,$O1266)))</f>
        <v/>
      </c>
      <c r="N1266" s="80">
        <f>IF(AND($B1266="",$C1266="",$D1266=""),"",IF(NOT(ISNUMBER($B1266)),"Enter a valid date",IF($C1266="","Pick a menu item",IF($O1266="","Item not on Menu Pricing",IF(N($D1266)&lt;=0,"Qty must be above 0",IF($H1266="","No price on menu","OK"))))))</f>
        <v/>
      </c>
      <c r="O1266" s="13">
        <f>IF($C1266="","",IFERROR(MATCH($C1266,'Menu Pricing'!$B$7:$B$56,0),""))</f>
        <v/>
      </c>
    </row>
    <row r="1267" ht="17" customHeight="1">
      <c r="B1267" s="66" t="n"/>
      <c r="C1267" s="60" t="n"/>
      <c r="D1267" s="86" t="n"/>
      <c r="E1267" s="63" t="n"/>
      <c r="F1267" s="60" t="n"/>
      <c r="G1267" s="60" t="n"/>
      <c r="H1267" s="71">
        <f>IF(OR($C1267="",$D1267=""),"",IF(ISNUMBER($E1267),$E1267,IF($O1267="","",IF(N(INDEX('Menu Pricing'!$O$7:$O$56,$O1267))&gt;0,INDEX('Menu Pricing'!$O$7:$O$56,$O1267),""))))</f>
        <v/>
      </c>
      <c r="I1267" s="71">
        <f>IF($N1267&lt;&gt;"OK","",$D1267*$H1267)</f>
        <v/>
      </c>
      <c r="J1267" s="71">
        <f>IF($N1267&lt;&gt;"OK","",N(INDEX('Menu Pricing'!$F$7:$F$56,$O1267))+N(INDEX('Menu Pricing'!$G$7:$G$56,$O1267))+N(INDEX('Menu Pricing'!$J$7:$J$56,$O1267)))</f>
        <v/>
      </c>
      <c r="K1267" s="71">
        <f>IF($N1267&lt;&gt;"OK","",$D1267*$J1267)</f>
        <v/>
      </c>
      <c r="L1267" s="71">
        <f>IF($N1267&lt;&gt;"OK","",$I1267-$K1267)</f>
        <v/>
      </c>
      <c r="M1267" s="71">
        <f>IF($N1267&lt;&gt;"OK","",$D1267*N(INDEX('Menu Pricing'!$F$7:$F$56,$O1267)))</f>
        <v/>
      </c>
      <c r="N1267" s="80">
        <f>IF(AND($B1267="",$C1267="",$D1267=""),"",IF(NOT(ISNUMBER($B1267)),"Enter a valid date",IF($C1267="","Pick a menu item",IF($O1267="","Item not on Menu Pricing",IF(N($D1267)&lt;=0,"Qty must be above 0",IF($H1267="","No price on menu","OK"))))))</f>
        <v/>
      </c>
      <c r="O1267" s="13">
        <f>IF($C1267="","",IFERROR(MATCH($C1267,'Menu Pricing'!$B$7:$B$56,0),""))</f>
        <v/>
      </c>
    </row>
    <row r="1268" ht="17" customHeight="1">
      <c r="B1268" s="66" t="n"/>
      <c r="C1268" s="60" t="n"/>
      <c r="D1268" s="86" t="n"/>
      <c r="E1268" s="63" t="n"/>
      <c r="F1268" s="60" t="n"/>
      <c r="G1268" s="60" t="n"/>
      <c r="H1268" s="71">
        <f>IF(OR($C1268="",$D1268=""),"",IF(ISNUMBER($E1268),$E1268,IF($O1268="","",IF(N(INDEX('Menu Pricing'!$O$7:$O$56,$O1268))&gt;0,INDEX('Menu Pricing'!$O$7:$O$56,$O1268),""))))</f>
        <v/>
      </c>
      <c r="I1268" s="71">
        <f>IF($N1268&lt;&gt;"OK","",$D1268*$H1268)</f>
        <v/>
      </c>
      <c r="J1268" s="71">
        <f>IF($N1268&lt;&gt;"OK","",N(INDEX('Menu Pricing'!$F$7:$F$56,$O1268))+N(INDEX('Menu Pricing'!$G$7:$G$56,$O1268))+N(INDEX('Menu Pricing'!$J$7:$J$56,$O1268)))</f>
        <v/>
      </c>
      <c r="K1268" s="71">
        <f>IF($N1268&lt;&gt;"OK","",$D1268*$J1268)</f>
        <v/>
      </c>
      <c r="L1268" s="71">
        <f>IF($N1268&lt;&gt;"OK","",$I1268-$K1268)</f>
        <v/>
      </c>
      <c r="M1268" s="71">
        <f>IF($N1268&lt;&gt;"OK","",$D1268*N(INDEX('Menu Pricing'!$F$7:$F$56,$O1268)))</f>
        <v/>
      </c>
      <c r="N1268" s="80">
        <f>IF(AND($B1268="",$C1268="",$D1268=""),"",IF(NOT(ISNUMBER($B1268)),"Enter a valid date",IF($C1268="","Pick a menu item",IF($O1268="","Item not on Menu Pricing",IF(N($D1268)&lt;=0,"Qty must be above 0",IF($H1268="","No price on menu","OK"))))))</f>
        <v/>
      </c>
      <c r="O1268" s="13">
        <f>IF($C1268="","",IFERROR(MATCH($C1268,'Menu Pricing'!$B$7:$B$56,0),""))</f>
        <v/>
      </c>
    </row>
    <row r="1269" ht="17" customHeight="1">
      <c r="B1269" s="66" t="n"/>
      <c r="C1269" s="60" t="n"/>
      <c r="D1269" s="86" t="n"/>
      <c r="E1269" s="63" t="n"/>
      <c r="F1269" s="60" t="n"/>
      <c r="G1269" s="60" t="n"/>
      <c r="H1269" s="71">
        <f>IF(OR($C1269="",$D1269=""),"",IF(ISNUMBER($E1269),$E1269,IF($O1269="","",IF(N(INDEX('Menu Pricing'!$O$7:$O$56,$O1269))&gt;0,INDEX('Menu Pricing'!$O$7:$O$56,$O1269),""))))</f>
        <v/>
      </c>
      <c r="I1269" s="71">
        <f>IF($N1269&lt;&gt;"OK","",$D1269*$H1269)</f>
        <v/>
      </c>
      <c r="J1269" s="71">
        <f>IF($N1269&lt;&gt;"OK","",N(INDEX('Menu Pricing'!$F$7:$F$56,$O1269))+N(INDEX('Menu Pricing'!$G$7:$G$56,$O1269))+N(INDEX('Menu Pricing'!$J$7:$J$56,$O1269)))</f>
        <v/>
      </c>
      <c r="K1269" s="71">
        <f>IF($N1269&lt;&gt;"OK","",$D1269*$J1269)</f>
        <v/>
      </c>
      <c r="L1269" s="71">
        <f>IF($N1269&lt;&gt;"OK","",$I1269-$K1269)</f>
        <v/>
      </c>
      <c r="M1269" s="71">
        <f>IF($N1269&lt;&gt;"OK","",$D1269*N(INDEX('Menu Pricing'!$F$7:$F$56,$O1269)))</f>
        <v/>
      </c>
      <c r="N1269" s="80">
        <f>IF(AND($B1269="",$C1269="",$D1269=""),"",IF(NOT(ISNUMBER($B1269)),"Enter a valid date",IF($C1269="","Pick a menu item",IF($O1269="","Item not on Menu Pricing",IF(N($D1269)&lt;=0,"Qty must be above 0",IF($H1269="","No price on menu","OK"))))))</f>
        <v/>
      </c>
      <c r="O1269" s="13">
        <f>IF($C1269="","",IFERROR(MATCH($C1269,'Menu Pricing'!$B$7:$B$56,0),""))</f>
        <v/>
      </c>
    </row>
    <row r="1270" ht="17" customHeight="1">
      <c r="B1270" s="66" t="n"/>
      <c r="C1270" s="60" t="n"/>
      <c r="D1270" s="86" t="n"/>
      <c r="E1270" s="63" t="n"/>
      <c r="F1270" s="60" t="n"/>
      <c r="G1270" s="60" t="n"/>
      <c r="H1270" s="71">
        <f>IF(OR($C1270="",$D1270=""),"",IF(ISNUMBER($E1270),$E1270,IF($O1270="","",IF(N(INDEX('Menu Pricing'!$O$7:$O$56,$O1270))&gt;0,INDEX('Menu Pricing'!$O$7:$O$56,$O1270),""))))</f>
        <v/>
      </c>
      <c r="I1270" s="71">
        <f>IF($N1270&lt;&gt;"OK","",$D1270*$H1270)</f>
        <v/>
      </c>
      <c r="J1270" s="71">
        <f>IF($N1270&lt;&gt;"OK","",N(INDEX('Menu Pricing'!$F$7:$F$56,$O1270))+N(INDEX('Menu Pricing'!$G$7:$G$56,$O1270))+N(INDEX('Menu Pricing'!$J$7:$J$56,$O1270)))</f>
        <v/>
      </c>
      <c r="K1270" s="71">
        <f>IF($N1270&lt;&gt;"OK","",$D1270*$J1270)</f>
        <v/>
      </c>
      <c r="L1270" s="71">
        <f>IF($N1270&lt;&gt;"OK","",$I1270-$K1270)</f>
        <v/>
      </c>
      <c r="M1270" s="71">
        <f>IF($N1270&lt;&gt;"OK","",$D1270*N(INDEX('Menu Pricing'!$F$7:$F$56,$O1270)))</f>
        <v/>
      </c>
      <c r="N1270" s="80">
        <f>IF(AND($B1270="",$C1270="",$D1270=""),"",IF(NOT(ISNUMBER($B1270)),"Enter a valid date",IF($C1270="","Pick a menu item",IF($O1270="","Item not on Menu Pricing",IF(N($D1270)&lt;=0,"Qty must be above 0",IF($H1270="","No price on menu","OK"))))))</f>
        <v/>
      </c>
      <c r="O1270" s="13">
        <f>IF($C1270="","",IFERROR(MATCH($C1270,'Menu Pricing'!$B$7:$B$56,0),""))</f>
        <v/>
      </c>
    </row>
    <row r="1271" ht="17" customHeight="1">
      <c r="B1271" s="66" t="n"/>
      <c r="C1271" s="60" t="n"/>
      <c r="D1271" s="86" t="n"/>
      <c r="E1271" s="63" t="n"/>
      <c r="F1271" s="60" t="n"/>
      <c r="G1271" s="60" t="n"/>
      <c r="H1271" s="71">
        <f>IF(OR($C1271="",$D1271=""),"",IF(ISNUMBER($E1271),$E1271,IF($O1271="","",IF(N(INDEX('Menu Pricing'!$O$7:$O$56,$O1271))&gt;0,INDEX('Menu Pricing'!$O$7:$O$56,$O1271),""))))</f>
        <v/>
      </c>
      <c r="I1271" s="71">
        <f>IF($N1271&lt;&gt;"OK","",$D1271*$H1271)</f>
        <v/>
      </c>
      <c r="J1271" s="71">
        <f>IF($N1271&lt;&gt;"OK","",N(INDEX('Menu Pricing'!$F$7:$F$56,$O1271))+N(INDEX('Menu Pricing'!$G$7:$G$56,$O1271))+N(INDEX('Menu Pricing'!$J$7:$J$56,$O1271)))</f>
        <v/>
      </c>
      <c r="K1271" s="71">
        <f>IF($N1271&lt;&gt;"OK","",$D1271*$J1271)</f>
        <v/>
      </c>
      <c r="L1271" s="71">
        <f>IF($N1271&lt;&gt;"OK","",$I1271-$K1271)</f>
        <v/>
      </c>
      <c r="M1271" s="71">
        <f>IF($N1271&lt;&gt;"OK","",$D1271*N(INDEX('Menu Pricing'!$F$7:$F$56,$O1271)))</f>
        <v/>
      </c>
      <c r="N1271" s="80">
        <f>IF(AND($B1271="",$C1271="",$D1271=""),"",IF(NOT(ISNUMBER($B1271)),"Enter a valid date",IF($C1271="","Pick a menu item",IF($O1271="","Item not on Menu Pricing",IF(N($D1271)&lt;=0,"Qty must be above 0",IF($H1271="","No price on menu","OK"))))))</f>
        <v/>
      </c>
      <c r="O1271" s="13">
        <f>IF($C1271="","",IFERROR(MATCH($C1271,'Menu Pricing'!$B$7:$B$56,0),""))</f>
        <v/>
      </c>
    </row>
    <row r="1272" ht="17" customHeight="1">
      <c r="B1272" s="66" t="n"/>
      <c r="C1272" s="60" t="n"/>
      <c r="D1272" s="86" t="n"/>
      <c r="E1272" s="63" t="n"/>
      <c r="F1272" s="60" t="n"/>
      <c r="G1272" s="60" t="n"/>
      <c r="H1272" s="71">
        <f>IF(OR($C1272="",$D1272=""),"",IF(ISNUMBER($E1272),$E1272,IF($O1272="","",IF(N(INDEX('Menu Pricing'!$O$7:$O$56,$O1272))&gt;0,INDEX('Menu Pricing'!$O$7:$O$56,$O1272),""))))</f>
        <v/>
      </c>
      <c r="I1272" s="71">
        <f>IF($N1272&lt;&gt;"OK","",$D1272*$H1272)</f>
        <v/>
      </c>
      <c r="J1272" s="71">
        <f>IF($N1272&lt;&gt;"OK","",N(INDEX('Menu Pricing'!$F$7:$F$56,$O1272))+N(INDEX('Menu Pricing'!$G$7:$G$56,$O1272))+N(INDEX('Menu Pricing'!$J$7:$J$56,$O1272)))</f>
        <v/>
      </c>
      <c r="K1272" s="71">
        <f>IF($N1272&lt;&gt;"OK","",$D1272*$J1272)</f>
        <v/>
      </c>
      <c r="L1272" s="71">
        <f>IF($N1272&lt;&gt;"OK","",$I1272-$K1272)</f>
        <v/>
      </c>
      <c r="M1272" s="71">
        <f>IF($N1272&lt;&gt;"OK","",$D1272*N(INDEX('Menu Pricing'!$F$7:$F$56,$O1272)))</f>
        <v/>
      </c>
      <c r="N1272" s="80">
        <f>IF(AND($B1272="",$C1272="",$D1272=""),"",IF(NOT(ISNUMBER($B1272)),"Enter a valid date",IF($C1272="","Pick a menu item",IF($O1272="","Item not on Menu Pricing",IF(N($D1272)&lt;=0,"Qty must be above 0",IF($H1272="","No price on menu","OK"))))))</f>
        <v/>
      </c>
      <c r="O1272" s="13">
        <f>IF($C1272="","",IFERROR(MATCH($C1272,'Menu Pricing'!$B$7:$B$56,0),""))</f>
        <v/>
      </c>
    </row>
    <row r="1273" ht="17" customHeight="1">
      <c r="B1273" s="66" t="n"/>
      <c r="C1273" s="60" t="n"/>
      <c r="D1273" s="86" t="n"/>
      <c r="E1273" s="63" t="n"/>
      <c r="F1273" s="60" t="n"/>
      <c r="G1273" s="60" t="n"/>
      <c r="H1273" s="71">
        <f>IF(OR($C1273="",$D1273=""),"",IF(ISNUMBER($E1273),$E1273,IF($O1273="","",IF(N(INDEX('Menu Pricing'!$O$7:$O$56,$O1273))&gt;0,INDEX('Menu Pricing'!$O$7:$O$56,$O1273),""))))</f>
        <v/>
      </c>
      <c r="I1273" s="71">
        <f>IF($N1273&lt;&gt;"OK","",$D1273*$H1273)</f>
        <v/>
      </c>
      <c r="J1273" s="71">
        <f>IF($N1273&lt;&gt;"OK","",N(INDEX('Menu Pricing'!$F$7:$F$56,$O1273))+N(INDEX('Menu Pricing'!$G$7:$G$56,$O1273))+N(INDEX('Menu Pricing'!$J$7:$J$56,$O1273)))</f>
        <v/>
      </c>
      <c r="K1273" s="71">
        <f>IF($N1273&lt;&gt;"OK","",$D1273*$J1273)</f>
        <v/>
      </c>
      <c r="L1273" s="71">
        <f>IF($N1273&lt;&gt;"OK","",$I1273-$K1273)</f>
        <v/>
      </c>
      <c r="M1273" s="71">
        <f>IF($N1273&lt;&gt;"OK","",$D1273*N(INDEX('Menu Pricing'!$F$7:$F$56,$O1273)))</f>
        <v/>
      </c>
      <c r="N1273" s="80">
        <f>IF(AND($B1273="",$C1273="",$D1273=""),"",IF(NOT(ISNUMBER($B1273)),"Enter a valid date",IF($C1273="","Pick a menu item",IF($O1273="","Item not on Menu Pricing",IF(N($D1273)&lt;=0,"Qty must be above 0",IF($H1273="","No price on menu","OK"))))))</f>
        <v/>
      </c>
      <c r="O1273" s="13">
        <f>IF($C1273="","",IFERROR(MATCH($C1273,'Menu Pricing'!$B$7:$B$56,0),""))</f>
        <v/>
      </c>
    </row>
    <row r="1274" ht="17" customHeight="1">
      <c r="B1274" s="66" t="n"/>
      <c r="C1274" s="60" t="n"/>
      <c r="D1274" s="86" t="n"/>
      <c r="E1274" s="63" t="n"/>
      <c r="F1274" s="60" t="n"/>
      <c r="G1274" s="60" t="n"/>
      <c r="H1274" s="71">
        <f>IF(OR($C1274="",$D1274=""),"",IF(ISNUMBER($E1274),$E1274,IF($O1274="","",IF(N(INDEX('Menu Pricing'!$O$7:$O$56,$O1274))&gt;0,INDEX('Menu Pricing'!$O$7:$O$56,$O1274),""))))</f>
        <v/>
      </c>
      <c r="I1274" s="71">
        <f>IF($N1274&lt;&gt;"OK","",$D1274*$H1274)</f>
        <v/>
      </c>
      <c r="J1274" s="71">
        <f>IF($N1274&lt;&gt;"OK","",N(INDEX('Menu Pricing'!$F$7:$F$56,$O1274))+N(INDEX('Menu Pricing'!$G$7:$G$56,$O1274))+N(INDEX('Menu Pricing'!$J$7:$J$56,$O1274)))</f>
        <v/>
      </c>
      <c r="K1274" s="71">
        <f>IF($N1274&lt;&gt;"OK","",$D1274*$J1274)</f>
        <v/>
      </c>
      <c r="L1274" s="71">
        <f>IF($N1274&lt;&gt;"OK","",$I1274-$K1274)</f>
        <v/>
      </c>
      <c r="M1274" s="71">
        <f>IF($N1274&lt;&gt;"OK","",$D1274*N(INDEX('Menu Pricing'!$F$7:$F$56,$O1274)))</f>
        <v/>
      </c>
      <c r="N1274" s="80">
        <f>IF(AND($B1274="",$C1274="",$D1274=""),"",IF(NOT(ISNUMBER($B1274)),"Enter a valid date",IF($C1274="","Pick a menu item",IF($O1274="","Item not on Menu Pricing",IF(N($D1274)&lt;=0,"Qty must be above 0",IF($H1274="","No price on menu","OK"))))))</f>
        <v/>
      </c>
      <c r="O1274" s="13">
        <f>IF($C1274="","",IFERROR(MATCH($C1274,'Menu Pricing'!$B$7:$B$56,0),""))</f>
        <v/>
      </c>
    </row>
    <row r="1275" ht="17" customHeight="1">
      <c r="B1275" s="66" t="n"/>
      <c r="C1275" s="60" t="n"/>
      <c r="D1275" s="86" t="n"/>
      <c r="E1275" s="63" t="n"/>
      <c r="F1275" s="60" t="n"/>
      <c r="G1275" s="60" t="n"/>
      <c r="H1275" s="71">
        <f>IF(OR($C1275="",$D1275=""),"",IF(ISNUMBER($E1275),$E1275,IF($O1275="","",IF(N(INDEX('Menu Pricing'!$O$7:$O$56,$O1275))&gt;0,INDEX('Menu Pricing'!$O$7:$O$56,$O1275),""))))</f>
        <v/>
      </c>
      <c r="I1275" s="71">
        <f>IF($N1275&lt;&gt;"OK","",$D1275*$H1275)</f>
        <v/>
      </c>
      <c r="J1275" s="71">
        <f>IF($N1275&lt;&gt;"OK","",N(INDEX('Menu Pricing'!$F$7:$F$56,$O1275))+N(INDEX('Menu Pricing'!$G$7:$G$56,$O1275))+N(INDEX('Menu Pricing'!$J$7:$J$56,$O1275)))</f>
        <v/>
      </c>
      <c r="K1275" s="71">
        <f>IF($N1275&lt;&gt;"OK","",$D1275*$J1275)</f>
        <v/>
      </c>
      <c r="L1275" s="71">
        <f>IF($N1275&lt;&gt;"OK","",$I1275-$K1275)</f>
        <v/>
      </c>
      <c r="M1275" s="71">
        <f>IF($N1275&lt;&gt;"OK","",$D1275*N(INDEX('Menu Pricing'!$F$7:$F$56,$O1275)))</f>
        <v/>
      </c>
      <c r="N1275" s="80">
        <f>IF(AND($B1275="",$C1275="",$D1275=""),"",IF(NOT(ISNUMBER($B1275)),"Enter a valid date",IF($C1275="","Pick a menu item",IF($O1275="","Item not on Menu Pricing",IF(N($D1275)&lt;=0,"Qty must be above 0",IF($H1275="","No price on menu","OK"))))))</f>
        <v/>
      </c>
      <c r="O1275" s="13">
        <f>IF($C1275="","",IFERROR(MATCH($C1275,'Menu Pricing'!$B$7:$B$56,0),""))</f>
        <v/>
      </c>
    </row>
    <row r="1276" ht="17" customHeight="1">
      <c r="B1276" s="66" t="n"/>
      <c r="C1276" s="60" t="n"/>
      <c r="D1276" s="86" t="n"/>
      <c r="E1276" s="63" t="n"/>
      <c r="F1276" s="60" t="n"/>
      <c r="G1276" s="60" t="n"/>
      <c r="H1276" s="71">
        <f>IF(OR($C1276="",$D1276=""),"",IF(ISNUMBER($E1276),$E1276,IF($O1276="","",IF(N(INDEX('Menu Pricing'!$O$7:$O$56,$O1276))&gt;0,INDEX('Menu Pricing'!$O$7:$O$56,$O1276),""))))</f>
        <v/>
      </c>
      <c r="I1276" s="71">
        <f>IF($N1276&lt;&gt;"OK","",$D1276*$H1276)</f>
        <v/>
      </c>
      <c r="J1276" s="71">
        <f>IF($N1276&lt;&gt;"OK","",N(INDEX('Menu Pricing'!$F$7:$F$56,$O1276))+N(INDEX('Menu Pricing'!$G$7:$G$56,$O1276))+N(INDEX('Menu Pricing'!$J$7:$J$56,$O1276)))</f>
        <v/>
      </c>
      <c r="K1276" s="71">
        <f>IF($N1276&lt;&gt;"OK","",$D1276*$J1276)</f>
        <v/>
      </c>
      <c r="L1276" s="71">
        <f>IF($N1276&lt;&gt;"OK","",$I1276-$K1276)</f>
        <v/>
      </c>
      <c r="M1276" s="71">
        <f>IF($N1276&lt;&gt;"OK","",$D1276*N(INDEX('Menu Pricing'!$F$7:$F$56,$O1276)))</f>
        <v/>
      </c>
      <c r="N1276" s="80">
        <f>IF(AND($B1276="",$C1276="",$D1276=""),"",IF(NOT(ISNUMBER($B1276)),"Enter a valid date",IF($C1276="","Pick a menu item",IF($O1276="","Item not on Menu Pricing",IF(N($D1276)&lt;=0,"Qty must be above 0",IF($H1276="","No price on menu","OK"))))))</f>
        <v/>
      </c>
      <c r="O1276" s="13">
        <f>IF($C1276="","",IFERROR(MATCH($C1276,'Menu Pricing'!$B$7:$B$56,0),""))</f>
        <v/>
      </c>
    </row>
    <row r="1277" ht="17" customHeight="1">
      <c r="B1277" s="66" t="n"/>
      <c r="C1277" s="60" t="n"/>
      <c r="D1277" s="86" t="n"/>
      <c r="E1277" s="63" t="n"/>
      <c r="F1277" s="60" t="n"/>
      <c r="G1277" s="60" t="n"/>
      <c r="H1277" s="71">
        <f>IF(OR($C1277="",$D1277=""),"",IF(ISNUMBER($E1277),$E1277,IF($O1277="","",IF(N(INDEX('Menu Pricing'!$O$7:$O$56,$O1277))&gt;0,INDEX('Menu Pricing'!$O$7:$O$56,$O1277),""))))</f>
        <v/>
      </c>
      <c r="I1277" s="71">
        <f>IF($N1277&lt;&gt;"OK","",$D1277*$H1277)</f>
        <v/>
      </c>
      <c r="J1277" s="71">
        <f>IF($N1277&lt;&gt;"OK","",N(INDEX('Menu Pricing'!$F$7:$F$56,$O1277))+N(INDEX('Menu Pricing'!$G$7:$G$56,$O1277))+N(INDEX('Menu Pricing'!$J$7:$J$56,$O1277)))</f>
        <v/>
      </c>
      <c r="K1277" s="71">
        <f>IF($N1277&lt;&gt;"OK","",$D1277*$J1277)</f>
        <v/>
      </c>
      <c r="L1277" s="71">
        <f>IF($N1277&lt;&gt;"OK","",$I1277-$K1277)</f>
        <v/>
      </c>
      <c r="M1277" s="71">
        <f>IF($N1277&lt;&gt;"OK","",$D1277*N(INDEX('Menu Pricing'!$F$7:$F$56,$O1277)))</f>
        <v/>
      </c>
      <c r="N1277" s="80">
        <f>IF(AND($B1277="",$C1277="",$D1277=""),"",IF(NOT(ISNUMBER($B1277)),"Enter a valid date",IF($C1277="","Pick a menu item",IF($O1277="","Item not on Menu Pricing",IF(N($D1277)&lt;=0,"Qty must be above 0",IF($H1277="","No price on menu","OK"))))))</f>
        <v/>
      </c>
      <c r="O1277" s="13">
        <f>IF($C1277="","",IFERROR(MATCH($C1277,'Menu Pricing'!$B$7:$B$56,0),""))</f>
        <v/>
      </c>
    </row>
    <row r="1278" ht="17" customHeight="1">
      <c r="B1278" s="66" t="n"/>
      <c r="C1278" s="60" t="n"/>
      <c r="D1278" s="86" t="n"/>
      <c r="E1278" s="63" t="n"/>
      <c r="F1278" s="60" t="n"/>
      <c r="G1278" s="60" t="n"/>
      <c r="H1278" s="71">
        <f>IF(OR($C1278="",$D1278=""),"",IF(ISNUMBER($E1278),$E1278,IF($O1278="","",IF(N(INDEX('Menu Pricing'!$O$7:$O$56,$O1278))&gt;0,INDEX('Menu Pricing'!$O$7:$O$56,$O1278),""))))</f>
        <v/>
      </c>
      <c r="I1278" s="71">
        <f>IF($N1278&lt;&gt;"OK","",$D1278*$H1278)</f>
        <v/>
      </c>
      <c r="J1278" s="71">
        <f>IF($N1278&lt;&gt;"OK","",N(INDEX('Menu Pricing'!$F$7:$F$56,$O1278))+N(INDEX('Menu Pricing'!$G$7:$G$56,$O1278))+N(INDEX('Menu Pricing'!$J$7:$J$56,$O1278)))</f>
        <v/>
      </c>
      <c r="K1278" s="71">
        <f>IF($N1278&lt;&gt;"OK","",$D1278*$J1278)</f>
        <v/>
      </c>
      <c r="L1278" s="71">
        <f>IF($N1278&lt;&gt;"OK","",$I1278-$K1278)</f>
        <v/>
      </c>
      <c r="M1278" s="71">
        <f>IF($N1278&lt;&gt;"OK","",$D1278*N(INDEX('Menu Pricing'!$F$7:$F$56,$O1278)))</f>
        <v/>
      </c>
      <c r="N1278" s="80">
        <f>IF(AND($B1278="",$C1278="",$D1278=""),"",IF(NOT(ISNUMBER($B1278)),"Enter a valid date",IF($C1278="","Pick a menu item",IF($O1278="","Item not on Menu Pricing",IF(N($D1278)&lt;=0,"Qty must be above 0",IF($H1278="","No price on menu","OK"))))))</f>
        <v/>
      </c>
      <c r="O1278" s="13">
        <f>IF($C1278="","",IFERROR(MATCH($C1278,'Menu Pricing'!$B$7:$B$56,0),""))</f>
        <v/>
      </c>
    </row>
    <row r="1279" ht="17" customHeight="1">
      <c r="B1279" s="66" t="n"/>
      <c r="C1279" s="60" t="n"/>
      <c r="D1279" s="86" t="n"/>
      <c r="E1279" s="63" t="n"/>
      <c r="F1279" s="60" t="n"/>
      <c r="G1279" s="60" t="n"/>
      <c r="H1279" s="71">
        <f>IF(OR($C1279="",$D1279=""),"",IF(ISNUMBER($E1279),$E1279,IF($O1279="","",IF(N(INDEX('Menu Pricing'!$O$7:$O$56,$O1279))&gt;0,INDEX('Menu Pricing'!$O$7:$O$56,$O1279),""))))</f>
        <v/>
      </c>
      <c r="I1279" s="71">
        <f>IF($N1279&lt;&gt;"OK","",$D1279*$H1279)</f>
        <v/>
      </c>
      <c r="J1279" s="71">
        <f>IF($N1279&lt;&gt;"OK","",N(INDEX('Menu Pricing'!$F$7:$F$56,$O1279))+N(INDEX('Menu Pricing'!$G$7:$G$56,$O1279))+N(INDEX('Menu Pricing'!$J$7:$J$56,$O1279)))</f>
        <v/>
      </c>
      <c r="K1279" s="71">
        <f>IF($N1279&lt;&gt;"OK","",$D1279*$J1279)</f>
        <v/>
      </c>
      <c r="L1279" s="71">
        <f>IF($N1279&lt;&gt;"OK","",$I1279-$K1279)</f>
        <v/>
      </c>
      <c r="M1279" s="71">
        <f>IF($N1279&lt;&gt;"OK","",$D1279*N(INDEX('Menu Pricing'!$F$7:$F$56,$O1279)))</f>
        <v/>
      </c>
      <c r="N1279" s="80">
        <f>IF(AND($B1279="",$C1279="",$D1279=""),"",IF(NOT(ISNUMBER($B1279)),"Enter a valid date",IF($C1279="","Pick a menu item",IF($O1279="","Item not on Menu Pricing",IF(N($D1279)&lt;=0,"Qty must be above 0",IF($H1279="","No price on menu","OK"))))))</f>
        <v/>
      </c>
      <c r="O1279" s="13">
        <f>IF($C1279="","",IFERROR(MATCH($C1279,'Menu Pricing'!$B$7:$B$56,0),""))</f>
        <v/>
      </c>
    </row>
    <row r="1280" ht="17" customHeight="1">
      <c r="B1280" s="66" t="n"/>
      <c r="C1280" s="60" t="n"/>
      <c r="D1280" s="86" t="n"/>
      <c r="E1280" s="63" t="n"/>
      <c r="F1280" s="60" t="n"/>
      <c r="G1280" s="60" t="n"/>
      <c r="H1280" s="71">
        <f>IF(OR($C1280="",$D1280=""),"",IF(ISNUMBER($E1280),$E1280,IF($O1280="","",IF(N(INDEX('Menu Pricing'!$O$7:$O$56,$O1280))&gt;0,INDEX('Menu Pricing'!$O$7:$O$56,$O1280),""))))</f>
        <v/>
      </c>
      <c r="I1280" s="71">
        <f>IF($N1280&lt;&gt;"OK","",$D1280*$H1280)</f>
        <v/>
      </c>
      <c r="J1280" s="71">
        <f>IF($N1280&lt;&gt;"OK","",N(INDEX('Menu Pricing'!$F$7:$F$56,$O1280))+N(INDEX('Menu Pricing'!$G$7:$G$56,$O1280))+N(INDEX('Menu Pricing'!$J$7:$J$56,$O1280)))</f>
        <v/>
      </c>
      <c r="K1280" s="71">
        <f>IF($N1280&lt;&gt;"OK","",$D1280*$J1280)</f>
        <v/>
      </c>
      <c r="L1280" s="71">
        <f>IF($N1280&lt;&gt;"OK","",$I1280-$K1280)</f>
        <v/>
      </c>
      <c r="M1280" s="71">
        <f>IF($N1280&lt;&gt;"OK","",$D1280*N(INDEX('Menu Pricing'!$F$7:$F$56,$O1280)))</f>
        <v/>
      </c>
      <c r="N1280" s="80">
        <f>IF(AND($B1280="",$C1280="",$D1280=""),"",IF(NOT(ISNUMBER($B1280)),"Enter a valid date",IF($C1280="","Pick a menu item",IF($O1280="","Item not on Menu Pricing",IF(N($D1280)&lt;=0,"Qty must be above 0",IF($H1280="","No price on menu","OK"))))))</f>
        <v/>
      </c>
      <c r="O1280" s="13">
        <f>IF($C1280="","",IFERROR(MATCH($C1280,'Menu Pricing'!$B$7:$B$56,0),""))</f>
        <v/>
      </c>
    </row>
    <row r="1281" ht="17" customHeight="1">
      <c r="B1281" s="66" t="n"/>
      <c r="C1281" s="60" t="n"/>
      <c r="D1281" s="86" t="n"/>
      <c r="E1281" s="63" t="n"/>
      <c r="F1281" s="60" t="n"/>
      <c r="G1281" s="60" t="n"/>
      <c r="H1281" s="71">
        <f>IF(OR($C1281="",$D1281=""),"",IF(ISNUMBER($E1281),$E1281,IF($O1281="","",IF(N(INDEX('Menu Pricing'!$O$7:$O$56,$O1281))&gt;0,INDEX('Menu Pricing'!$O$7:$O$56,$O1281),""))))</f>
        <v/>
      </c>
      <c r="I1281" s="71">
        <f>IF($N1281&lt;&gt;"OK","",$D1281*$H1281)</f>
        <v/>
      </c>
      <c r="J1281" s="71">
        <f>IF($N1281&lt;&gt;"OK","",N(INDEX('Menu Pricing'!$F$7:$F$56,$O1281))+N(INDEX('Menu Pricing'!$G$7:$G$56,$O1281))+N(INDEX('Menu Pricing'!$J$7:$J$56,$O1281)))</f>
        <v/>
      </c>
      <c r="K1281" s="71">
        <f>IF($N1281&lt;&gt;"OK","",$D1281*$J1281)</f>
        <v/>
      </c>
      <c r="L1281" s="71">
        <f>IF($N1281&lt;&gt;"OK","",$I1281-$K1281)</f>
        <v/>
      </c>
      <c r="M1281" s="71">
        <f>IF($N1281&lt;&gt;"OK","",$D1281*N(INDEX('Menu Pricing'!$F$7:$F$56,$O1281)))</f>
        <v/>
      </c>
      <c r="N1281" s="80">
        <f>IF(AND($B1281="",$C1281="",$D1281=""),"",IF(NOT(ISNUMBER($B1281)),"Enter a valid date",IF($C1281="","Pick a menu item",IF($O1281="","Item not on Menu Pricing",IF(N($D1281)&lt;=0,"Qty must be above 0",IF($H1281="","No price on menu","OK"))))))</f>
        <v/>
      </c>
      <c r="O1281" s="13">
        <f>IF($C1281="","",IFERROR(MATCH($C1281,'Menu Pricing'!$B$7:$B$56,0),""))</f>
        <v/>
      </c>
    </row>
    <row r="1282" ht="17" customHeight="1">
      <c r="B1282" s="66" t="n"/>
      <c r="C1282" s="60" t="n"/>
      <c r="D1282" s="86" t="n"/>
      <c r="E1282" s="63" t="n"/>
      <c r="F1282" s="60" t="n"/>
      <c r="G1282" s="60" t="n"/>
      <c r="H1282" s="71">
        <f>IF(OR($C1282="",$D1282=""),"",IF(ISNUMBER($E1282),$E1282,IF($O1282="","",IF(N(INDEX('Menu Pricing'!$O$7:$O$56,$O1282))&gt;0,INDEX('Menu Pricing'!$O$7:$O$56,$O1282),""))))</f>
        <v/>
      </c>
      <c r="I1282" s="71">
        <f>IF($N1282&lt;&gt;"OK","",$D1282*$H1282)</f>
        <v/>
      </c>
      <c r="J1282" s="71">
        <f>IF($N1282&lt;&gt;"OK","",N(INDEX('Menu Pricing'!$F$7:$F$56,$O1282))+N(INDEX('Menu Pricing'!$G$7:$G$56,$O1282))+N(INDEX('Menu Pricing'!$J$7:$J$56,$O1282)))</f>
        <v/>
      </c>
      <c r="K1282" s="71">
        <f>IF($N1282&lt;&gt;"OK","",$D1282*$J1282)</f>
        <v/>
      </c>
      <c r="L1282" s="71">
        <f>IF($N1282&lt;&gt;"OK","",$I1282-$K1282)</f>
        <v/>
      </c>
      <c r="M1282" s="71">
        <f>IF($N1282&lt;&gt;"OK","",$D1282*N(INDEX('Menu Pricing'!$F$7:$F$56,$O1282)))</f>
        <v/>
      </c>
      <c r="N1282" s="80">
        <f>IF(AND($B1282="",$C1282="",$D1282=""),"",IF(NOT(ISNUMBER($B1282)),"Enter a valid date",IF($C1282="","Pick a menu item",IF($O1282="","Item not on Menu Pricing",IF(N($D1282)&lt;=0,"Qty must be above 0",IF($H1282="","No price on menu","OK"))))))</f>
        <v/>
      </c>
      <c r="O1282" s="13">
        <f>IF($C1282="","",IFERROR(MATCH($C1282,'Menu Pricing'!$B$7:$B$56,0),""))</f>
        <v/>
      </c>
    </row>
    <row r="1283" ht="17" customHeight="1">
      <c r="B1283" s="66" t="n"/>
      <c r="C1283" s="60" t="n"/>
      <c r="D1283" s="86" t="n"/>
      <c r="E1283" s="63" t="n"/>
      <c r="F1283" s="60" t="n"/>
      <c r="G1283" s="60" t="n"/>
      <c r="H1283" s="71">
        <f>IF(OR($C1283="",$D1283=""),"",IF(ISNUMBER($E1283),$E1283,IF($O1283="","",IF(N(INDEX('Menu Pricing'!$O$7:$O$56,$O1283))&gt;0,INDEX('Menu Pricing'!$O$7:$O$56,$O1283),""))))</f>
        <v/>
      </c>
      <c r="I1283" s="71">
        <f>IF($N1283&lt;&gt;"OK","",$D1283*$H1283)</f>
        <v/>
      </c>
      <c r="J1283" s="71">
        <f>IF($N1283&lt;&gt;"OK","",N(INDEX('Menu Pricing'!$F$7:$F$56,$O1283))+N(INDEX('Menu Pricing'!$G$7:$G$56,$O1283))+N(INDEX('Menu Pricing'!$J$7:$J$56,$O1283)))</f>
        <v/>
      </c>
      <c r="K1283" s="71">
        <f>IF($N1283&lt;&gt;"OK","",$D1283*$J1283)</f>
        <v/>
      </c>
      <c r="L1283" s="71">
        <f>IF($N1283&lt;&gt;"OK","",$I1283-$K1283)</f>
        <v/>
      </c>
      <c r="M1283" s="71">
        <f>IF($N1283&lt;&gt;"OK","",$D1283*N(INDEX('Menu Pricing'!$F$7:$F$56,$O1283)))</f>
        <v/>
      </c>
      <c r="N1283" s="80">
        <f>IF(AND($B1283="",$C1283="",$D1283=""),"",IF(NOT(ISNUMBER($B1283)),"Enter a valid date",IF($C1283="","Pick a menu item",IF($O1283="","Item not on Menu Pricing",IF(N($D1283)&lt;=0,"Qty must be above 0",IF($H1283="","No price on menu","OK"))))))</f>
        <v/>
      </c>
      <c r="O1283" s="13">
        <f>IF($C1283="","",IFERROR(MATCH($C1283,'Menu Pricing'!$B$7:$B$56,0),""))</f>
        <v/>
      </c>
    </row>
    <row r="1284" ht="17" customHeight="1">
      <c r="B1284" s="66" t="n"/>
      <c r="C1284" s="60" t="n"/>
      <c r="D1284" s="86" t="n"/>
      <c r="E1284" s="63" t="n"/>
      <c r="F1284" s="60" t="n"/>
      <c r="G1284" s="60" t="n"/>
      <c r="H1284" s="71">
        <f>IF(OR($C1284="",$D1284=""),"",IF(ISNUMBER($E1284),$E1284,IF($O1284="","",IF(N(INDEX('Menu Pricing'!$O$7:$O$56,$O1284))&gt;0,INDEX('Menu Pricing'!$O$7:$O$56,$O1284),""))))</f>
        <v/>
      </c>
      <c r="I1284" s="71">
        <f>IF($N1284&lt;&gt;"OK","",$D1284*$H1284)</f>
        <v/>
      </c>
      <c r="J1284" s="71">
        <f>IF($N1284&lt;&gt;"OK","",N(INDEX('Menu Pricing'!$F$7:$F$56,$O1284))+N(INDEX('Menu Pricing'!$G$7:$G$56,$O1284))+N(INDEX('Menu Pricing'!$J$7:$J$56,$O1284)))</f>
        <v/>
      </c>
      <c r="K1284" s="71">
        <f>IF($N1284&lt;&gt;"OK","",$D1284*$J1284)</f>
        <v/>
      </c>
      <c r="L1284" s="71">
        <f>IF($N1284&lt;&gt;"OK","",$I1284-$K1284)</f>
        <v/>
      </c>
      <c r="M1284" s="71">
        <f>IF($N1284&lt;&gt;"OK","",$D1284*N(INDEX('Menu Pricing'!$F$7:$F$56,$O1284)))</f>
        <v/>
      </c>
      <c r="N1284" s="80">
        <f>IF(AND($B1284="",$C1284="",$D1284=""),"",IF(NOT(ISNUMBER($B1284)),"Enter a valid date",IF($C1284="","Pick a menu item",IF($O1284="","Item not on Menu Pricing",IF(N($D1284)&lt;=0,"Qty must be above 0",IF($H1284="","No price on menu","OK"))))))</f>
        <v/>
      </c>
      <c r="O1284" s="13">
        <f>IF($C1284="","",IFERROR(MATCH($C1284,'Menu Pricing'!$B$7:$B$56,0),""))</f>
        <v/>
      </c>
    </row>
    <row r="1285" ht="17" customHeight="1">
      <c r="B1285" s="66" t="n"/>
      <c r="C1285" s="60" t="n"/>
      <c r="D1285" s="86" t="n"/>
      <c r="E1285" s="63" t="n"/>
      <c r="F1285" s="60" t="n"/>
      <c r="G1285" s="60" t="n"/>
      <c r="H1285" s="71">
        <f>IF(OR($C1285="",$D1285=""),"",IF(ISNUMBER($E1285),$E1285,IF($O1285="","",IF(N(INDEX('Menu Pricing'!$O$7:$O$56,$O1285))&gt;0,INDEX('Menu Pricing'!$O$7:$O$56,$O1285),""))))</f>
        <v/>
      </c>
      <c r="I1285" s="71">
        <f>IF($N1285&lt;&gt;"OK","",$D1285*$H1285)</f>
        <v/>
      </c>
      <c r="J1285" s="71">
        <f>IF($N1285&lt;&gt;"OK","",N(INDEX('Menu Pricing'!$F$7:$F$56,$O1285))+N(INDEX('Menu Pricing'!$G$7:$G$56,$O1285))+N(INDEX('Menu Pricing'!$J$7:$J$56,$O1285)))</f>
        <v/>
      </c>
      <c r="K1285" s="71">
        <f>IF($N1285&lt;&gt;"OK","",$D1285*$J1285)</f>
        <v/>
      </c>
      <c r="L1285" s="71">
        <f>IF($N1285&lt;&gt;"OK","",$I1285-$K1285)</f>
        <v/>
      </c>
      <c r="M1285" s="71">
        <f>IF($N1285&lt;&gt;"OK","",$D1285*N(INDEX('Menu Pricing'!$F$7:$F$56,$O1285)))</f>
        <v/>
      </c>
      <c r="N1285" s="80">
        <f>IF(AND($B1285="",$C1285="",$D1285=""),"",IF(NOT(ISNUMBER($B1285)),"Enter a valid date",IF($C1285="","Pick a menu item",IF($O1285="","Item not on Menu Pricing",IF(N($D1285)&lt;=0,"Qty must be above 0",IF($H1285="","No price on menu","OK"))))))</f>
        <v/>
      </c>
      <c r="O1285" s="13">
        <f>IF($C1285="","",IFERROR(MATCH($C1285,'Menu Pricing'!$B$7:$B$56,0),""))</f>
        <v/>
      </c>
    </row>
    <row r="1286" ht="17" customHeight="1">
      <c r="B1286" s="66" t="n"/>
      <c r="C1286" s="60" t="n"/>
      <c r="D1286" s="86" t="n"/>
      <c r="E1286" s="63" t="n"/>
      <c r="F1286" s="60" t="n"/>
      <c r="G1286" s="60" t="n"/>
      <c r="H1286" s="71">
        <f>IF(OR($C1286="",$D1286=""),"",IF(ISNUMBER($E1286),$E1286,IF($O1286="","",IF(N(INDEX('Menu Pricing'!$O$7:$O$56,$O1286))&gt;0,INDEX('Menu Pricing'!$O$7:$O$56,$O1286),""))))</f>
        <v/>
      </c>
      <c r="I1286" s="71">
        <f>IF($N1286&lt;&gt;"OK","",$D1286*$H1286)</f>
        <v/>
      </c>
      <c r="J1286" s="71">
        <f>IF($N1286&lt;&gt;"OK","",N(INDEX('Menu Pricing'!$F$7:$F$56,$O1286))+N(INDEX('Menu Pricing'!$G$7:$G$56,$O1286))+N(INDEX('Menu Pricing'!$J$7:$J$56,$O1286)))</f>
        <v/>
      </c>
      <c r="K1286" s="71">
        <f>IF($N1286&lt;&gt;"OK","",$D1286*$J1286)</f>
        <v/>
      </c>
      <c r="L1286" s="71">
        <f>IF($N1286&lt;&gt;"OK","",$I1286-$K1286)</f>
        <v/>
      </c>
      <c r="M1286" s="71">
        <f>IF($N1286&lt;&gt;"OK","",$D1286*N(INDEX('Menu Pricing'!$F$7:$F$56,$O1286)))</f>
        <v/>
      </c>
      <c r="N1286" s="80">
        <f>IF(AND($B1286="",$C1286="",$D1286=""),"",IF(NOT(ISNUMBER($B1286)),"Enter a valid date",IF($C1286="","Pick a menu item",IF($O1286="","Item not on Menu Pricing",IF(N($D1286)&lt;=0,"Qty must be above 0",IF($H1286="","No price on menu","OK"))))))</f>
        <v/>
      </c>
      <c r="O1286" s="13">
        <f>IF($C1286="","",IFERROR(MATCH($C1286,'Menu Pricing'!$B$7:$B$56,0),""))</f>
        <v/>
      </c>
    </row>
    <row r="1287" ht="17" customHeight="1">
      <c r="B1287" s="66" t="n"/>
      <c r="C1287" s="60" t="n"/>
      <c r="D1287" s="86" t="n"/>
      <c r="E1287" s="63" t="n"/>
      <c r="F1287" s="60" t="n"/>
      <c r="G1287" s="60" t="n"/>
      <c r="H1287" s="71">
        <f>IF(OR($C1287="",$D1287=""),"",IF(ISNUMBER($E1287),$E1287,IF($O1287="","",IF(N(INDEX('Menu Pricing'!$O$7:$O$56,$O1287))&gt;0,INDEX('Menu Pricing'!$O$7:$O$56,$O1287),""))))</f>
        <v/>
      </c>
      <c r="I1287" s="71">
        <f>IF($N1287&lt;&gt;"OK","",$D1287*$H1287)</f>
        <v/>
      </c>
      <c r="J1287" s="71">
        <f>IF($N1287&lt;&gt;"OK","",N(INDEX('Menu Pricing'!$F$7:$F$56,$O1287))+N(INDEX('Menu Pricing'!$G$7:$G$56,$O1287))+N(INDEX('Menu Pricing'!$J$7:$J$56,$O1287)))</f>
        <v/>
      </c>
      <c r="K1287" s="71">
        <f>IF($N1287&lt;&gt;"OK","",$D1287*$J1287)</f>
        <v/>
      </c>
      <c r="L1287" s="71">
        <f>IF($N1287&lt;&gt;"OK","",$I1287-$K1287)</f>
        <v/>
      </c>
      <c r="M1287" s="71">
        <f>IF($N1287&lt;&gt;"OK","",$D1287*N(INDEX('Menu Pricing'!$F$7:$F$56,$O1287)))</f>
        <v/>
      </c>
      <c r="N1287" s="80">
        <f>IF(AND($B1287="",$C1287="",$D1287=""),"",IF(NOT(ISNUMBER($B1287)),"Enter a valid date",IF($C1287="","Pick a menu item",IF($O1287="","Item not on Menu Pricing",IF(N($D1287)&lt;=0,"Qty must be above 0",IF($H1287="","No price on menu","OK"))))))</f>
        <v/>
      </c>
      <c r="O1287" s="13">
        <f>IF($C1287="","",IFERROR(MATCH($C1287,'Menu Pricing'!$B$7:$B$56,0),""))</f>
        <v/>
      </c>
    </row>
    <row r="1288" ht="17" customHeight="1">
      <c r="B1288" s="66" t="n"/>
      <c r="C1288" s="60" t="n"/>
      <c r="D1288" s="86" t="n"/>
      <c r="E1288" s="63" t="n"/>
      <c r="F1288" s="60" t="n"/>
      <c r="G1288" s="60" t="n"/>
      <c r="H1288" s="71">
        <f>IF(OR($C1288="",$D1288=""),"",IF(ISNUMBER($E1288),$E1288,IF($O1288="","",IF(N(INDEX('Menu Pricing'!$O$7:$O$56,$O1288))&gt;0,INDEX('Menu Pricing'!$O$7:$O$56,$O1288),""))))</f>
        <v/>
      </c>
      <c r="I1288" s="71">
        <f>IF($N1288&lt;&gt;"OK","",$D1288*$H1288)</f>
        <v/>
      </c>
      <c r="J1288" s="71">
        <f>IF($N1288&lt;&gt;"OK","",N(INDEX('Menu Pricing'!$F$7:$F$56,$O1288))+N(INDEX('Menu Pricing'!$G$7:$G$56,$O1288))+N(INDEX('Menu Pricing'!$J$7:$J$56,$O1288)))</f>
        <v/>
      </c>
      <c r="K1288" s="71">
        <f>IF($N1288&lt;&gt;"OK","",$D1288*$J1288)</f>
        <v/>
      </c>
      <c r="L1288" s="71">
        <f>IF($N1288&lt;&gt;"OK","",$I1288-$K1288)</f>
        <v/>
      </c>
      <c r="M1288" s="71">
        <f>IF($N1288&lt;&gt;"OK","",$D1288*N(INDEX('Menu Pricing'!$F$7:$F$56,$O1288)))</f>
        <v/>
      </c>
      <c r="N1288" s="80">
        <f>IF(AND($B1288="",$C1288="",$D1288=""),"",IF(NOT(ISNUMBER($B1288)),"Enter a valid date",IF($C1288="","Pick a menu item",IF($O1288="","Item not on Menu Pricing",IF(N($D1288)&lt;=0,"Qty must be above 0",IF($H1288="","No price on menu","OK"))))))</f>
        <v/>
      </c>
      <c r="O1288" s="13">
        <f>IF($C1288="","",IFERROR(MATCH($C1288,'Menu Pricing'!$B$7:$B$56,0),""))</f>
        <v/>
      </c>
    </row>
    <row r="1289" ht="17" customHeight="1">
      <c r="B1289" s="66" t="n"/>
      <c r="C1289" s="60" t="n"/>
      <c r="D1289" s="86" t="n"/>
      <c r="E1289" s="63" t="n"/>
      <c r="F1289" s="60" t="n"/>
      <c r="G1289" s="60" t="n"/>
      <c r="H1289" s="71">
        <f>IF(OR($C1289="",$D1289=""),"",IF(ISNUMBER($E1289),$E1289,IF($O1289="","",IF(N(INDEX('Menu Pricing'!$O$7:$O$56,$O1289))&gt;0,INDEX('Menu Pricing'!$O$7:$O$56,$O1289),""))))</f>
        <v/>
      </c>
      <c r="I1289" s="71">
        <f>IF($N1289&lt;&gt;"OK","",$D1289*$H1289)</f>
        <v/>
      </c>
      <c r="J1289" s="71">
        <f>IF($N1289&lt;&gt;"OK","",N(INDEX('Menu Pricing'!$F$7:$F$56,$O1289))+N(INDEX('Menu Pricing'!$G$7:$G$56,$O1289))+N(INDEX('Menu Pricing'!$J$7:$J$56,$O1289)))</f>
        <v/>
      </c>
      <c r="K1289" s="71">
        <f>IF($N1289&lt;&gt;"OK","",$D1289*$J1289)</f>
        <v/>
      </c>
      <c r="L1289" s="71">
        <f>IF($N1289&lt;&gt;"OK","",$I1289-$K1289)</f>
        <v/>
      </c>
      <c r="M1289" s="71">
        <f>IF($N1289&lt;&gt;"OK","",$D1289*N(INDEX('Menu Pricing'!$F$7:$F$56,$O1289)))</f>
        <v/>
      </c>
      <c r="N1289" s="80">
        <f>IF(AND($B1289="",$C1289="",$D1289=""),"",IF(NOT(ISNUMBER($B1289)),"Enter a valid date",IF($C1289="","Pick a menu item",IF($O1289="","Item not on Menu Pricing",IF(N($D1289)&lt;=0,"Qty must be above 0",IF($H1289="","No price on menu","OK"))))))</f>
        <v/>
      </c>
      <c r="O1289" s="13">
        <f>IF($C1289="","",IFERROR(MATCH($C1289,'Menu Pricing'!$B$7:$B$56,0),""))</f>
        <v/>
      </c>
    </row>
    <row r="1290" ht="17" customHeight="1">
      <c r="B1290" s="66" t="n"/>
      <c r="C1290" s="60" t="n"/>
      <c r="D1290" s="86" t="n"/>
      <c r="E1290" s="63" t="n"/>
      <c r="F1290" s="60" t="n"/>
      <c r="G1290" s="60" t="n"/>
      <c r="H1290" s="71">
        <f>IF(OR($C1290="",$D1290=""),"",IF(ISNUMBER($E1290),$E1290,IF($O1290="","",IF(N(INDEX('Menu Pricing'!$O$7:$O$56,$O1290))&gt;0,INDEX('Menu Pricing'!$O$7:$O$56,$O1290),""))))</f>
        <v/>
      </c>
      <c r="I1290" s="71">
        <f>IF($N1290&lt;&gt;"OK","",$D1290*$H1290)</f>
        <v/>
      </c>
      <c r="J1290" s="71">
        <f>IF($N1290&lt;&gt;"OK","",N(INDEX('Menu Pricing'!$F$7:$F$56,$O1290))+N(INDEX('Menu Pricing'!$G$7:$G$56,$O1290))+N(INDEX('Menu Pricing'!$J$7:$J$56,$O1290)))</f>
        <v/>
      </c>
      <c r="K1290" s="71">
        <f>IF($N1290&lt;&gt;"OK","",$D1290*$J1290)</f>
        <v/>
      </c>
      <c r="L1290" s="71">
        <f>IF($N1290&lt;&gt;"OK","",$I1290-$K1290)</f>
        <v/>
      </c>
      <c r="M1290" s="71">
        <f>IF($N1290&lt;&gt;"OK","",$D1290*N(INDEX('Menu Pricing'!$F$7:$F$56,$O1290)))</f>
        <v/>
      </c>
      <c r="N1290" s="80">
        <f>IF(AND($B1290="",$C1290="",$D1290=""),"",IF(NOT(ISNUMBER($B1290)),"Enter a valid date",IF($C1290="","Pick a menu item",IF($O1290="","Item not on Menu Pricing",IF(N($D1290)&lt;=0,"Qty must be above 0",IF($H1290="","No price on menu","OK"))))))</f>
        <v/>
      </c>
      <c r="O1290" s="13">
        <f>IF($C1290="","",IFERROR(MATCH($C1290,'Menu Pricing'!$B$7:$B$56,0),""))</f>
        <v/>
      </c>
    </row>
    <row r="1291" ht="17" customHeight="1">
      <c r="B1291" s="66" t="n"/>
      <c r="C1291" s="60" t="n"/>
      <c r="D1291" s="86" t="n"/>
      <c r="E1291" s="63" t="n"/>
      <c r="F1291" s="60" t="n"/>
      <c r="G1291" s="60" t="n"/>
      <c r="H1291" s="71">
        <f>IF(OR($C1291="",$D1291=""),"",IF(ISNUMBER($E1291),$E1291,IF($O1291="","",IF(N(INDEX('Menu Pricing'!$O$7:$O$56,$O1291))&gt;0,INDEX('Menu Pricing'!$O$7:$O$56,$O1291),""))))</f>
        <v/>
      </c>
      <c r="I1291" s="71">
        <f>IF($N1291&lt;&gt;"OK","",$D1291*$H1291)</f>
        <v/>
      </c>
      <c r="J1291" s="71">
        <f>IF($N1291&lt;&gt;"OK","",N(INDEX('Menu Pricing'!$F$7:$F$56,$O1291))+N(INDEX('Menu Pricing'!$G$7:$G$56,$O1291))+N(INDEX('Menu Pricing'!$J$7:$J$56,$O1291)))</f>
        <v/>
      </c>
      <c r="K1291" s="71">
        <f>IF($N1291&lt;&gt;"OK","",$D1291*$J1291)</f>
        <v/>
      </c>
      <c r="L1291" s="71">
        <f>IF($N1291&lt;&gt;"OK","",$I1291-$K1291)</f>
        <v/>
      </c>
      <c r="M1291" s="71">
        <f>IF($N1291&lt;&gt;"OK","",$D1291*N(INDEX('Menu Pricing'!$F$7:$F$56,$O1291)))</f>
        <v/>
      </c>
      <c r="N1291" s="80">
        <f>IF(AND($B1291="",$C1291="",$D1291=""),"",IF(NOT(ISNUMBER($B1291)),"Enter a valid date",IF($C1291="","Pick a menu item",IF($O1291="","Item not on Menu Pricing",IF(N($D1291)&lt;=0,"Qty must be above 0",IF($H1291="","No price on menu","OK"))))))</f>
        <v/>
      </c>
      <c r="O1291" s="13">
        <f>IF($C1291="","",IFERROR(MATCH($C1291,'Menu Pricing'!$B$7:$B$56,0),""))</f>
        <v/>
      </c>
    </row>
    <row r="1292" ht="17" customHeight="1">
      <c r="B1292" s="66" t="n"/>
      <c r="C1292" s="60" t="n"/>
      <c r="D1292" s="86" t="n"/>
      <c r="E1292" s="63" t="n"/>
      <c r="F1292" s="60" t="n"/>
      <c r="G1292" s="60" t="n"/>
      <c r="H1292" s="71">
        <f>IF(OR($C1292="",$D1292=""),"",IF(ISNUMBER($E1292),$E1292,IF($O1292="","",IF(N(INDEX('Menu Pricing'!$O$7:$O$56,$O1292))&gt;0,INDEX('Menu Pricing'!$O$7:$O$56,$O1292),""))))</f>
        <v/>
      </c>
      <c r="I1292" s="71">
        <f>IF($N1292&lt;&gt;"OK","",$D1292*$H1292)</f>
        <v/>
      </c>
      <c r="J1292" s="71">
        <f>IF($N1292&lt;&gt;"OK","",N(INDEX('Menu Pricing'!$F$7:$F$56,$O1292))+N(INDEX('Menu Pricing'!$G$7:$G$56,$O1292))+N(INDEX('Menu Pricing'!$J$7:$J$56,$O1292)))</f>
        <v/>
      </c>
      <c r="K1292" s="71">
        <f>IF($N1292&lt;&gt;"OK","",$D1292*$J1292)</f>
        <v/>
      </c>
      <c r="L1292" s="71">
        <f>IF($N1292&lt;&gt;"OK","",$I1292-$K1292)</f>
        <v/>
      </c>
      <c r="M1292" s="71">
        <f>IF($N1292&lt;&gt;"OK","",$D1292*N(INDEX('Menu Pricing'!$F$7:$F$56,$O1292)))</f>
        <v/>
      </c>
      <c r="N1292" s="80">
        <f>IF(AND($B1292="",$C1292="",$D1292=""),"",IF(NOT(ISNUMBER($B1292)),"Enter a valid date",IF($C1292="","Pick a menu item",IF($O1292="","Item not on Menu Pricing",IF(N($D1292)&lt;=0,"Qty must be above 0",IF($H1292="","No price on menu","OK"))))))</f>
        <v/>
      </c>
      <c r="O1292" s="13">
        <f>IF($C1292="","",IFERROR(MATCH($C1292,'Menu Pricing'!$B$7:$B$56,0),""))</f>
        <v/>
      </c>
    </row>
    <row r="1293" ht="17" customHeight="1">
      <c r="B1293" s="66" t="n"/>
      <c r="C1293" s="60" t="n"/>
      <c r="D1293" s="86" t="n"/>
      <c r="E1293" s="63" t="n"/>
      <c r="F1293" s="60" t="n"/>
      <c r="G1293" s="60" t="n"/>
      <c r="H1293" s="71">
        <f>IF(OR($C1293="",$D1293=""),"",IF(ISNUMBER($E1293),$E1293,IF($O1293="","",IF(N(INDEX('Menu Pricing'!$O$7:$O$56,$O1293))&gt;0,INDEX('Menu Pricing'!$O$7:$O$56,$O1293),""))))</f>
        <v/>
      </c>
      <c r="I1293" s="71">
        <f>IF($N1293&lt;&gt;"OK","",$D1293*$H1293)</f>
        <v/>
      </c>
      <c r="J1293" s="71">
        <f>IF($N1293&lt;&gt;"OK","",N(INDEX('Menu Pricing'!$F$7:$F$56,$O1293))+N(INDEX('Menu Pricing'!$G$7:$G$56,$O1293))+N(INDEX('Menu Pricing'!$J$7:$J$56,$O1293)))</f>
        <v/>
      </c>
      <c r="K1293" s="71">
        <f>IF($N1293&lt;&gt;"OK","",$D1293*$J1293)</f>
        <v/>
      </c>
      <c r="L1293" s="71">
        <f>IF($N1293&lt;&gt;"OK","",$I1293-$K1293)</f>
        <v/>
      </c>
      <c r="M1293" s="71">
        <f>IF($N1293&lt;&gt;"OK","",$D1293*N(INDEX('Menu Pricing'!$F$7:$F$56,$O1293)))</f>
        <v/>
      </c>
      <c r="N1293" s="80">
        <f>IF(AND($B1293="",$C1293="",$D1293=""),"",IF(NOT(ISNUMBER($B1293)),"Enter a valid date",IF($C1293="","Pick a menu item",IF($O1293="","Item not on Menu Pricing",IF(N($D1293)&lt;=0,"Qty must be above 0",IF($H1293="","No price on menu","OK"))))))</f>
        <v/>
      </c>
      <c r="O1293" s="13">
        <f>IF($C1293="","",IFERROR(MATCH($C1293,'Menu Pricing'!$B$7:$B$56,0),""))</f>
        <v/>
      </c>
    </row>
    <row r="1294" ht="17" customHeight="1">
      <c r="B1294" s="66" t="n"/>
      <c r="C1294" s="60" t="n"/>
      <c r="D1294" s="86" t="n"/>
      <c r="E1294" s="63" t="n"/>
      <c r="F1294" s="60" t="n"/>
      <c r="G1294" s="60" t="n"/>
      <c r="H1294" s="71">
        <f>IF(OR($C1294="",$D1294=""),"",IF(ISNUMBER($E1294),$E1294,IF($O1294="","",IF(N(INDEX('Menu Pricing'!$O$7:$O$56,$O1294))&gt;0,INDEX('Menu Pricing'!$O$7:$O$56,$O1294),""))))</f>
        <v/>
      </c>
      <c r="I1294" s="71">
        <f>IF($N1294&lt;&gt;"OK","",$D1294*$H1294)</f>
        <v/>
      </c>
      <c r="J1294" s="71">
        <f>IF($N1294&lt;&gt;"OK","",N(INDEX('Menu Pricing'!$F$7:$F$56,$O1294))+N(INDEX('Menu Pricing'!$G$7:$G$56,$O1294))+N(INDEX('Menu Pricing'!$J$7:$J$56,$O1294)))</f>
        <v/>
      </c>
      <c r="K1294" s="71">
        <f>IF($N1294&lt;&gt;"OK","",$D1294*$J1294)</f>
        <v/>
      </c>
      <c r="L1294" s="71">
        <f>IF($N1294&lt;&gt;"OK","",$I1294-$K1294)</f>
        <v/>
      </c>
      <c r="M1294" s="71">
        <f>IF($N1294&lt;&gt;"OK","",$D1294*N(INDEX('Menu Pricing'!$F$7:$F$56,$O1294)))</f>
        <v/>
      </c>
      <c r="N1294" s="80">
        <f>IF(AND($B1294="",$C1294="",$D1294=""),"",IF(NOT(ISNUMBER($B1294)),"Enter a valid date",IF($C1294="","Pick a menu item",IF($O1294="","Item not on Menu Pricing",IF(N($D1294)&lt;=0,"Qty must be above 0",IF($H1294="","No price on menu","OK"))))))</f>
        <v/>
      </c>
      <c r="O1294" s="13">
        <f>IF($C1294="","",IFERROR(MATCH($C1294,'Menu Pricing'!$B$7:$B$56,0),""))</f>
        <v/>
      </c>
    </row>
    <row r="1295" ht="17" customHeight="1">
      <c r="B1295" s="66" t="n"/>
      <c r="C1295" s="60" t="n"/>
      <c r="D1295" s="86" t="n"/>
      <c r="E1295" s="63" t="n"/>
      <c r="F1295" s="60" t="n"/>
      <c r="G1295" s="60" t="n"/>
      <c r="H1295" s="71">
        <f>IF(OR($C1295="",$D1295=""),"",IF(ISNUMBER($E1295),$E1295,IF($O1295="","",IF(N(INDEX('Menu Pricing'!$O$7:$O$56,$O1295))&gt;0,INDEX('Menu Pricing'!$O$7:$O$56,$O1295),""))))</f>
        <v/>
      </c>
      <c r="I1295" s="71">
        <f>IF($N1295&lt;&gt;"OK","",$D1295*$H1295)</f>
        <v/>
      </c>
      <c r="J1295" s="71">
        <f>IF($N1295&lt;&gt;"OK","",N(INDEX('Menu Pricing'!$F$7:$F$56,$O1295))+N(INDEX('Menu Pricing'!$G$7:$G$56,$O1295))+N(INDEX('Menu Pricing'!$J$7:$J$56,$O1295)))</f>
        <v/>
      </c>
      <c r="K1295" s="71">
        <f>IF($N1295&lt;&gt;"OK","",$D1295*$J1295)</f>
        <v/>
      </c>
      <c r="L1295" s="71">
        <f>IF($N1295&lt;&gt;"OK","",$I1295-$K1295)</f>
        <v/>
      </c>
      <c r="M1295" s="71">
        <f>IF($N1295&lt;&gt;"OK","",$D1295*N(INDEX('Menu Pricing'!$F$7:$F$56,$O1295)))</f>
        <v/>
      </c>
      <c r="N1295" s="80">
        <f>IF(AND($B1295="",$C1295="",$D1295=""),"",IF(NOT(ISNUMBER($B1295)),"Enter a valid date",IF($C1295="","Pick a menu item",IF($O1295="","Item not on Menu Pricing",IF(N($D1295)&lt;=0,"Qty must be above 0",IF($H1295="","No price on menu","OK"))))))</f>
        <v/>
      </c>
      <c r="O1295" s="13">
        <f>IF($C1295="","",IFERROR(MATCH($C1295,'Menu Pricing'!$B$7:$B$56,0),""))</f>
        <v/>
      </c>
    </row>
    <row r="1296" ht="17" customHeight="1">
      <c r="B1296" s="66" t="n"/>
      <c r="C1296" s="60" t="n"/>
      <c r="D1296" s="86" t="n"/>
      <c r="E1296" s="63" t="n"/>
      <c r="F1296" s="60" t="n"/>
      <c r="G1296" s="60" t="n"/>
      <c r="H1296" s="71">
        <f>IF(OR($C1296="",$D1296=""),"",IF(ISNUMBER($E1296),$E1296,IF($O1296="","",IF(N(INDEX('Menu Pricing'!$O$7:$O$56,$O1296))&gt;0,INDEX('Menu Pricing'!$O$7:$O$56,$O1296),""))))</f>
        <v/>
      </c>
      <c r="I1296" s="71">
        <f>IF($N1296&lt;&gt;"OK","",$D1296*$H1296)</f>
        <v/>
      </c>
      <c r="J1296" s="71">
        <f>IF($N1296&lt;&gt;"OK","",N(INDEX('Menu Pricing'!$F$7:$F$56,$O1296))+N(INDEX('Menu Pricing'!$G$7:$G$56,$O1296))+N(INDEX('Menu Pricing'!$J$7:$J$56,$O1296)))</f>
        <v/>
      </c>
      <c r="K1296" s="71">
        <f>IF($N1296&lt;&gt;"OK","",$D1296*$J1296)</f>
        <v/>
      </c>
      <c r="L1296" s="71">
        <f>IF($N1296&lt;&gt;"OK","",$I1296-$K1296)</f>
        <v/>
      </c>
      <c r="M1296" s="71">
        <f>IF($N1296&lt;&gt;"OK","",$D1296*N(INDEX('Menu Pricing'!$F$7:$F$56,$O1296)))</f>
        <v/>
      </c>
      <c r="N1296" s="80">
        <f>IF(AND($B1296="",$C1296="",$D1296=""),"",IF(NOT(ISNUMBER($B1296)),"Enter a valid date",IF($C1296="","Pick a menu item",IF($O1296="","Item not on Menu Pricing",IF(N($D1296)&lt;=0,"Qty must be above 0",IF($H1296="","No price on menu","OK"))))))</f>
        <v/>
      </c>
      <c r="O1296" s="13">
        <f>IF($C1296="","",IFERROR(MATCH($C1296,'Menu Pricing'!$B$7:$B$56,0),""))</f>
        <v/>
      </c>
    </row>
    <row r="1297" ht="17" customHeight="1">
      <c r="B1297" s="66" t="n"/>
      <c r="C1297" s="60" t="n"/>
      <c r="D1297" s="86" t="n"/>
      <c r="E1297" s="63" t="n"/>
      <c r="F1297" s="60" t="n"/>
      <c r="G1297" s="60" t="n"/>
      <c r="H1297" s="71">
        <f>IF(OR($C1297="",$D1297=""),"",IF(ISNUMBER($E1297),$E1297,IF($O1297="","",IF(N(INDEX('Menu Pricing'!$O$7:$O$56,$O1297))&gt;0,INDEX('Menu Pricing'!$O$7:$O$56,$O1297),""))))</f>
        <v/>
      </c>
      <c r="I1297" s="71">
        <f>IF($N1297&lt;&gt;"OK","",$D1297*$H1297)</f>
        <v/>
      </c>
      <c r="J1297" s="71">
        <f>IF($N1297&lt;&gt;"OK","",N(INDEX('Menu Pricing'!$F$7:$F$56,$O1297))+N(INDEX('Menu Pricing'!$G$7:$G$56,$O1297))+N(INDEX('Menu Pricing'!$J$7:$J$56,$O1297)))</f>
        <v/>
      </c>
      <c r="K1297" s="71">
        <f>IF($N1297&lt;&gt;"OK","",$D1297*$J1297)</f>
        <v/>
      </c>
      <c r="L1297" s="71">
        <f>IF($N1297&lt;&gt;"OK","",$I1297-$K1297)</f>
        <v/>
      </c>
      <c r="M1297" s="71">
        <f>IF($N1297&lt;&gt;"OK","",$D1297*N(INDEX('Menu Pricing'!$F$7:$F$56,$O1297)))</f>
        <v/>
      </c>
      <c r="N1297" s="80">
        <f>IF(AND($B1297="",$C1297="",$D1297=""),"",IF(NOT(ISNUMBER($B1297)),"Enter a valid date",IF($C1297="","Pick a menu item",IF($O1297="","Item not on Menu Pricing",IF(N($D1297)&lt;=0,"Qty must be above 0",IF($H1297="","No price on menu","OK"))))))</f>
        <v/>
      </c>
      <c r="O1297" s="13">
        <f>IF($C1297="","",IFERROR(MATCH($C1297,'Menu Pricing'!$B$7:$B$56,0),""))</f>
        <v/>
      </c>
    </row>
    <row r="1298" ht="17" customHeight="1">
      <c r="B1298" s="66" t="n"/>
      <c r="C1298" s="60" t="n"/>
      <c r="D1298" s="86" t="n"/>
      <c r="E1298" s="63" t="n"/>
      <c r="F1298" s="60" t="n"/>
      <c r="G1298" s="60" t="n"/>
      <c r="H1298" s="71">
        <f>IF(OR($C1298="",$D1298=""),"",IF(ISNUMBER($E1298),$E1298,IF($O1298="","",IF(N(INDEX('Menu Pricing'!$O$7:$O$56,$O1298))&gt;0,INDEX('Menu Pricing'!$O$7:$O$56,$O1298),""))))</f>
        <v/>
      </c>
      <c r="I1298" s="71">
        <f>IF($N1298&lt;&gt;"OK","",$D1298*$H1298)</f>
        <v/>
      </c>
      <c r="J1298" s="71">
        <f>IF($N1298&lt;&gt;"OK","",N(INDEX('Menu Pricing'!$F$7:$F$56,$O1298))+N(INDEX('Menu Pricing'!$G$7:$G$56,$O1298))+N(INDEX('Menu Pricing'!$J$7:$J$56,$O1298)))</f>
        <v/>
      </c>
      <c r="K1298" s="71">
        <f>IF($N1298&lt;&gt;"OK","",$D1298*$J1298)</f>
        <v/>
      </c>
      <c r="L1298" s="71">
        <f>IF($N1298&lt;&gt;"OK","",$I1298-$K1298)</f>
        <v/>
      </c>
      <c r="M1298" s="71">
        <f>IF($N1298&lt;&gt;"OK","",$D1298*N(INDEX('Menu Pricing'!$F$7:$F$56,$O1298)))</f>
        <v/>
      </c>
      <c r="N1298" s="80">
        <f>IF(AND($B1298="",$C1298="",$D1298=""),"",IF(NOT(ISNUMBER($B1298)),"Enter a valid date",IF($C1298="","Pick a menu item",IF($O1298="","Item not on Menu Pricing",IF(N($D1298)&lt;=0,"Qty must be above 0",IF($H1298="","No price on menu","OK"))))))</f>
        <v/>
      </c>
      <c r="O1298" s="13">
        <f>IF($C1298="","",IFERROR(MATCH($C1298,'Menu Pricing'!$B$7:$B$56,0),""))</f>
        <v/>
      </c>
    </row>
    <row r="1299" ht="17" customHeight="1">
      <c r="B1299" s="66" t="n"/>
      <c r="C1299" s="60" t="n"/>
      <c r="D1299" s="86" t="n"/>
      <c r="E1299" s="63" t="n"/>
      <c r="F1299" s="60" t="n"/>
      <c r="G1299" s="60" t="n"/>
      <c r="H1299" s="71">
        <f>IF(OR($C1299="",$D1299=""),"",IF(ISNUMBER($E1299),$E1299,IF($O1299="","",IF(N(INDEX('Menu Pricing'!$O$7:$O$56,$O1299))&gt;0,INDEX('Menu Pricing'!$O$7:$O$56,$O1299),""))))</f>
        <v/>
      </c>
      <c r="I1299" s="71">
        <f>IF($N1299&lt;&gt;"OK","",$D1299*$H1299)</f>
        <v/>
      </c>
      <c r="J1299" s="71">
        <f>IF($N1299&lt;&gt;"OK","",N(INDEX('Menu Pricing'!$F$7:$F$56,$O1299))+N(INDEX('Menu Pricing'!$G$7:$G$56,$O1299))+N(INDEX('Menu Pricing'!$J$7:$J$56,$O1299)))</f>
        <v/>
      </c>
      <c r="K1299" s="71">
        <f>IF($N1299&lt;&gt;"OK","",$D1299*$J1299)</f>
        <v/>
      </c>
      <c r="L1299" s="71">
        <f>IF($N1299&lt;&gt;"OK","",$I1299-$K1299)</f>
        <v/>
      </c>
      <c r="M1299" s="71">
        <f>IF($N1299&lt;&gt;"OK","",$D1299*N(INDEX('Menu Pricing'!$F$7:$F$56,$O1299)))</f>
        <v/>
      </c>
      <c r="N1299" s="80">
        <f>IF(AND($B1299="",$C1299="",$D1299=""),"",IF(NOT(ISNUMBER($B1299)),"Enter a valid date",IF($C1299="","Pick a menu item",IF($O1299="","Item not on Menu Pricing",IF(N($D1299)&lt;=0,"Qty must be above 0",IF($H1299="","No price on menu","OK"))))))</f>
        <v/>
      </c>
      <c r="O1299" s="13">
        <f>IF($C1299="","",IFERROR(MATCH($C1299,'Menu Pricing'!$B$7:$B$56,0),""))</f>
        <v/>
      </c>
    </row>
    <row r="1300" ht="17" customHeight="1">
      <c r="B1300" s="66" t="n"/>
      <c r="C1300" s="60" t="n"/>
      <c r="D1300" s="86" t="n"/>
      <c r="E1300" s="63" t="n"/>
      <c r="F1300" s="60" t="n"/>
      <c r="G1300" s="60" t="n"/>
      <c r="H1300" s="71">
        <f>IF(OR($C1300="",$D1300=""),"",IF(ISNUMBER($E1300),$E1300,IF($O1300="","",IF(N(INDEX('Menu Pricing'!$O$7:$O$56,$O1300))&gt;0,INDEX('Menu Pricing'!$O$7:$O$56,$O1300),""))))</f>
        <v/>
      </c>
      <c r="I1300" s="71">
        <f>IF($N1300&lt;&gt;"OK","",$D1300*$H1300)</f>
        <v/>
      </c>
      <c r="J1300" s="71">
        <f>IF($N1300&lt;&gt;"OK","",N(INDEX('Menu Pricing'!$F$7:$F$56,$O1300))+N(INDEX('Menu Pricing'!$G$7:$G$56,$O1300))+N(INDEX('Menu Pricing'!$J$7:$J$56,$O1300)))</f>
        <v/>
      </c>
      <c r="K1300" s="71">
        <f>IF($N1300&lt;&gt;"OK","",$D1300*$J1300)</f>
        <v/>
      </c>
      <c r="L1300" s="71">
        <f>IF($N1300&lt;&gt;"OK","",$I1300-$K1300)</f>
        <v/>
      </c>
      <c r="M1300" s="71">
        <f>IF($N1300&lt;&gt;"OK","",$D1300*N(INDEX('Menu Pricing'!$F$7:$F$56,$O1300)))</f>
        <v/>
      </c>
      <c r="N1300" s="80">
        <f>IF(AND($B1300="",$C1300="",$D1300=""),"",IF(NOT(ISNUMBER($B1300)),"Enter a valid date",IF($C1300="","Pick a menu item",IF($O1300="","Item not on Menu Pricing",IF(N($D1300)&lt;=0,"Qty must be above 0",IF($H1300="","No price on menu","OK"))))))</f>
        <v/>
      </c>
      <c r="O1300" s="13">
        <f>IF($C1300="","",IFERROR(MATCH($C1300,'Menu Pricing'!$B$7:$B$56,0),""))</f>
        <v/>
      </c>
    </row>
    <row r="1301" ht="17" customHeight="1">
      <c r="B1301" s="66" t="n"/>
      <c r="C1301" s="60" t="n"/>
      <c r="D1301" s="86" t="n"/>
      <c r="E1301" s="63" t="n"/>
      <c r="F1301" s="60" t="n"/>
      <c r="G1301" s="60" t="n"/>
      <c r="H1301" s="71">
        <f>IF(OR($C1301="",$D1301=""),"",IF(ISNUMBER($E1301),$E1301,IF($O1301="","",IF(N(INDEX('Menu Pricing'!$O$7:$O$56,$O1301))&gt;0,INDEX('Menu Pricing'!$O$7:$O$56,$O1301),""))))</f>
        <v/>
      </c>
      <c r="I1301" s="71">
        <f>IF($N1301&lt;&gt;"OK","",$D1301*$H1301)</f>
        <v/>
      </c>
      <c r="J1301" s="71">
        <f>IF($N1301&lt;&gt;"OK","",N(INDEX('Menu Pricing'!$F$7:$F$56,$O1301))+N(INDEX('Menu Pricing'!$G$7:$G$56,$O1301))+N(INDEX('Menu Pricing'!$J$7:$J$56,$O1301)))</f>
        <v/>
      </c>
      <c r="K1301" s="71">
        <f>IF($N1301&lt;&gt;"OK","",$D1301*$J1301)</f>
        <v/>
      </c>
      <c r="L1301" s="71">
        <f>IF($N1301&lt;&gt;"OK","",$I1301-$K1301)</f>
        <v/>
      </c>
      <c r="M1301" s="71">
        <f>IF($N1301&lt;&gt;"OK","",$D1301*N(INDEX('Menu Pricing'!$F$7:$F$56,$O1301)))</f>
        <v/>
      </c>
      <c r="N1301" s="80">
        <f>IF(AND($B1301="",$C1301="",$D1301=""),"",IF(NOT(ISNUMBER($B1301)),"Enter a valid date",IF($C1301="","Pick a menu item",IF($O1301="","Item not on Menu Pricing",IF(N($D1301)&lt;=0,"Qty must be above 0",IF($H1301="","No price on menu","OK"))))))</f>
        <v/>
      </c>
      <c r="O1301" s="13">
        <f>IF($C1301="","",IFERROR(MATCH($C1301,'Menu Pricing'!$B$7:$B$56,0),""))</f>
        <v/>
      </c>
    </row>
    <row r="1302" ht="17" customHeight="1">
      <c r="B1302" s="66" t="n"/>
      <c r="C1302" s="60" t="n"/>
      <c r="D1302" s="86" t="n"/>
      <c r="E1302" s="63" t="n"/>
      <c r="F1302" s="60" t="n"/>
      <c r="G1302" s="60" t="n"/>
      <c r="H1302" s="71">
        <f>IF(OR($C1302="",$D1302=""),"",IF(ISNUMBER($E1302),$E1302,IF($O1302="","",IF(N(INDEX('Menu Pricing'!$O$7:$O$56,$O1302))&gt;0,INDEX('Menu Pricing'!$O$7:$O$56,$O1302),""))))</f>
        <v/>
      </c>
      <c r="I1302" s="71">
        <f>IF($N1302&lt;&gt;"OK","",$D1302*$H1302)</f>
        <v/>
      </c>
      <c r="J1302" s="71">
        <f>IF($N1302&lt;&gt;"OK","",N(INDEX('Menu Pricing'!$F$7:$F$56,$O1302))+N(INDEX('Menu Pricing'!$G$7:$G$56,$O1302))+N(INDEX('Menu Pricing'!$J$7:$J$56,$O1302)))</f>
        <v/>
      </c>
      <c r="K1302" s="71">
        <f>IF($N1302&lt;&gt;"OK","",$D1302*$J1302)</f>
        <v/>
      </c>
      <c r="L1302" s="71">
        <f>IF($N1302&lt;&gt;"OK","",$I1302-$K1302)</f>
        <v/>
      </c>
      <c r="M1302" s="71">
        <f>IF($N1302&lt;&gt;"OK","",$D1302*N(INDEX('Menu Pricing'!$F$7:$F$56,$O1302)))</f>
        <v/>
      </c>
      <c r="N1302" s="80">
        <f>IF(AND($B1302="",$C1302="",$D1302=""),"",IF(NOT(ISNUMBER($B1302)),"Enter a valid date",IF($C1302="","Pick a menu item",IF($O1302="","Item not on Menu Pricing",IF(N($D1302)&lt;=0,"Qty must be above 0",IF($H1302="","No price on menu","OK"))))))</f>
        <v/>
      </c>
      <c r="O1302" s="13">
        <f>IF($C1302="","",IFERROR(MATCH($C1302,'Menu Pricing'!$B$7:$B$56,0),""))</f>
        <v/>
      </c>
    </row>
    <row r="1303" ht="17" customHeight="1">
      <c r="B1303" s="66" t="n"/>
      <c r="C1303" s="60" t="n"/>
      <c r="D1303" s="86" t="n"/>
      <c r="E1303" s="63" t="n"/>
      <c r="F1303" s="60" t="n"/>
      <c r="G1303" s="60" t="n"/>
      <c r="H1303" s="71">
        <f>IF(OR($C1303="",$D1303=""),"",IF(ISNUMBER($E1303),$E1303,IF($O1303="","",IF(N(INDEX('Menu Pricing'!$O$7:$O$56,$O1303))&gt;0,INDEX('Menu Pricing'!$O$7:$O$56,$O1303),""))))</f>
        <v/>
      </c>
      <c r="I1303" s="71">
        <f>IF($N1303&lt;&gt;"OK","",$D1303*$H1303)</f>
        <v/>
      </c>
      <c r="J1303" s="71">
        <f>IF($N1303&lt;&gt;"OK","",N(INDEX('Menu Pricing'!$F$7:$F$56,$O1303))+N(INDEX('Menu Pricing'!$G$7:$G$56,$O1303))+N(INDEX('Menu Pricing'!$J$7:$J$56,$O1303)))</f>
        <v/>
      </c>
      <c r="K1303" s="71">
        <f>IF($N1303&lt;&gt;"OK","",$D1303*$J1303)</f>
        <v/>
      </c>
      <c r="L1303" s="71">
        <f>IF($N1303&lt;&gt;"OK","",$I1303-$K1303)</f>
        <v/>
      </c>
      <c r="M1303" s="71">
        <f>IF($N1303&lt;&gt;"OK","",$D1303*N(INDEX('Menu Pricing'!$F$7:$F$56,$O1303)))</f>
        <v/>
      </c>
      <c r="N1303" s="80">
        <f>IF(AND($B1303="",$C1303="",$D1303=""),"",IF(NOT(ISNUMBER($B1303)),"Enter a valid date",IF($C1303="","Pick a menu item",IF($O1303="","Item not on Menu Pricing",IF(N($D1303)&lt;=0,"Qty must be above 0",IF($H1303="","No price on menu","OK"))))))</f>
        <v/>
      </c>
      <c r="O1303" s="13">
        <f>IF($C1303="","",IFERROR(MATCH($C1303,'Menu Pricing'!$B$7:$B$56,0),""))</f>
        <v/>
      </c>
    </row>
    <row r="1304" ht="17" customHeight="1">
      <c r="B1304" s="66" t="n"/>
      <c r="C1304" s="60" t="n"/>
      <c r="D1304" s="86" t="n"/>
      <c r="E1304" s="63" t="n"/>
      <c r="F1304" s="60" t="n"/>
      <c r="G1304" s="60" t="n"/>
      <c r="H1304" s="71">
        <f>IF(OR($C1304="",$D1304=""),"",IF(ISNUMBER($E1304),$E1304,IF($O1304="","",IF(N(INDEX('Menu Pricing'!$O$7:$O$56,$O1304))&gt;0,INDEX('Menu Pricing'!$O$7:$O$56,$O1304),""))))</f>
        <v/>
      </c>
      <c r="I1304" s="71">
        <f>IF($N1304&lt;&gt;"OK","",$D1304*$H1304)</f>
        <v/>
      </c>
      <c r="J1304" s="71">
        <f>IF($N1304&lt;&gt;"OK","",N(INDEX('Menu Pricing'!$F$7:$F$56,$O1304))+N(INDEX('Menu Pricing'!$G$7:$G$56,$O1304))+N(INDEX('Menu Pricing'!$J$7:$J$56,$O1304)))</f>
        <v/>
      </c>
      <c r="K1304" s="71">
        <f>IF($N1304&lt;&gt;"OK","",$D1304*$J1304)</f>
        <v/>
      </c>
      <c r="L1304" s="71">
        <f>IF($N1304&lt;&gt;"OK","",$I1304-$K1304)</f>
        <v/>
      </c>
      <c r="M1304" s="71">
        <f>IF($N1304&lt;&gt;"OK","",$D1304*N(INDEX('Menu Pricing'!$F$7:$F$56,$O1304)))</f>
        <v/>
      </c>
      <c r="N1304" s="80">
        <f>IF(AND($B1304="",$C1304="",$D1304=""),"",IF(NOT(ISNUMBER($B1304)),"Enter a valid date",IF($C1304="","Pick a menu item",IF($O1304="","Item not on Menu Pricing",IF(N($D1304)&lt;=0,"Qty must be above 0",IF($H1304="","No price on menu","OK"))))))</f>
        <v/>
      </c>
      <c r="O1304" s="13">
        <f>IF($C1304="","",IFERROR(MATCH($C1304,'Menu Pricing'!$B$7:$B$56,0),""))</f>
        <v/>
      </c>
    </row>
    <row r="1305" ht="17" customHeight="1">
      <c r="B1305" s="66" t="n"/>
      <c r="C1305" s="60" t="n"/>
      <c r="D1305" s="86" t="n"/>
      <c r="E1305" s="63" t="n"/>
      <c r="F1305" s="60" t="n"/>
      <c r="G1305" s="60" t="n"/>
      <c r="H1305" s="71">
        <f>IF(OR($C1305="",$D1305=""),"",IF(ISNUMBER($E1305),$E1305,IF($O1305="","",IF(N(INDEX('Menu Pricing'!$O$7:$O$56,$O1305))&gt;0,INDEX('Menu Pricing'!$O$7:$O$56,$O1305),""))))</f>
        <v/>
      </c>
      <c r="I1305" s="71">
        <f>IF($N1305&lt;&gt;"OK","",$D1305*$H1305)</f>
        <v/>
      </c>
      <c r="J1305" s="71">
        <f>IF($N1305&lt;&gt;"OK","",N(INDEX('Menu Pricing'!$F$7:$F$56,$O1305))+N(INDEX('Menu Pricing'!$G$7:$G$56,$O1305))+N(INDEX('Menu Pricing'!$J$7:$J$56,$O1305)))</f>
        <v/>
      </c>
      <c r="K1305" s="71">
        <f>IF($N1305&lt;&gt;"OK","",$D1305*$J1305)</f>
        <v/>
      </c>
      <c r="L1305" s="71">
        <f>IF($N1305&lt;&gt;"OK","",$I1305-$K1305)</f>
        <v/>
      </c>
      <c r="M1305" s="71">
        <f>IF($N1305&lt;&gt;"OK","",$D1305*N(INDEX('Menu Pricing'!$F$7:$F$56,$O1305)))</f>
        <v/>
      </c>
      <c r="N1305" s="80">
        <f>IF(AND($B1305="",$C1305="",$D1305=""),"",IF(NOT(ISNUMBER($B1305)),"Enter a valid date",IF($C1305="","Pick a menu item",IF($O1305="","Item not on Menu Pricing",IF(N($D1305)&lt;=0,"Qty must be above 0",IF($H1305="","No price on menu","OK"))))))</f>
        <v/>
      </c>
      <c r="O1305" s="13">
        <f>IF($C1305="","",IFERROR(MATCH($C1305,'Menu Pricing'!$B$7:$B$56,0),""))</f>
        <v/>
      </c>
    </row>
    <row r="1306" ht="17" customHeight="1">
      <c r="B1306" s="66" t="n"/>
      <c r="C1306" s="60" t="n"/>
      <c r="D1306" s="86" t="n"/>
      <c r="E1306" s="63" t="n"/>
      <c r="F1306" s="60" t="n"/>
      <c r="G1306" s="60" t="n"/>
      <c r="H1306" s="71">
        <f>IF(OR($C1306="",$D1306=""),"",IF(ISNUMBER($E1306),$E1306,IF($O1306="","",IF(N(INDEX('Menu Pricing'!$O$7:$O$56,$O1306))&gt;0,INDEX('Menu Pricing'!$O$7:$O$56,$O1306),""))))</f>
        <v/>
      </c>
      <c r="I1306" s="71">
        <f>IF($N1306&lt;&gt;"OK","",$D1306*$H1306)</f>
        <v/>
      </c>
      <c r="J1306" s="71">
        <f>IF($N1306&lt;&gt;"OK","",N(INDEX('Menu Pricing'!$F$7:$F$56,$O1306))+N(INDEX('Menu Pricing'!$G$7:$G$56,$O1306))+N(INDEX('Menu Pricing'!$J$7:$J$56,$O1306)))</f>
        <v/>
      </c>
      <c r="K1306" s="71">
        <f>IF($N1306&lt;&gt;"OK","",$D1306*$J1306)</f>
        <v/>
      </c>
      <c r="L1306" s="71">
        <f>IF($N1306&lt;&gt;"OK","",$I1306-$K1306)</f>
        <v/>
      </c>
      <c r="M1306" s="71">
        <f>IF($N1306&lt;&gt;"OK","",$D1306*N(INDEX('Menu Pricing'!$F$7:$F$56,$O1306)))</f>
        <v/>
      </c>
      <c r="N1306" s="80">
        <f>IF(AND($B1306="",$C1306="",$D1306=""),"",IF(NOT(ISNUMBER($B1306)),"Enter a valid date",IF($C1306="","Pick a menu item",IF($O1306="","Item not on Menu Pricing",IF(N($D1306)&lt;=0,"Qty must be above 0",IF($H1306="","No price on menu","OK"))))))</f>
        <v/>
      </c>
      <c r="O1306" s="13">
        <f>IF($C1306="","",IFERROR(MATCH($C1306,'Menu Pricing'!$B$7:$B$56,0),""))</f>
        <v/>
      </c>
    </row>
    <row r="1307" ht="17" customHeight="1">
      <c r="B1307" s="66" t="n"/>
      <c r="C1307" s="60" t="n"/>
      <c r="D1307" s="86" t="n"/>
      <c r="E1307" s="63" t="n"/>
      <c r="F1307" s="60" t="n"/>
      <c r="G1307" s="60" t="n"/>
      <c r="H1307" s="71">
        <f>IF(OR($C1307="",$D1307=""),"",IF(ISNUMBER($E1307),$E1307,IF($O1307="","",IF(N(INDEX('Menu Pricing'!$O$7:$O$56,$O1307))&gt;0,INDEX('Menu Pricing'!$O$7:$O$56,$O1307),""))))</f>
        <v/>
      </c>
      <c r="I1307" s="71">
        <f>IF($N1307&lt;&gt;"OK","",$D1307*$H1307)</f>
        <v/>
      </c>
      <c r="J1307" s="71">
        <f>IF($N1307&lt;&gt;"OK","",N(INDEX('Menu Pricing'!$F$7:$F$56,$O1307))+N(INDEX('Menu Pricing'!$G$7:$G$56,$O1307))+N(INDEX('Menu Pricing'!$J$7:$J$56,$O1307)))</f>
        <v/>
      </c>
      <c r="K1307" s="71">
        <f>IF($N1307&lt;&gt;"OK","",$D1307*$J1307)</f>
        <v/>
      </c>
      <c r="L1307" s="71">
        <f>IF($N1307&lt;&gt;"OK","",$I1307-$K1307)</f>
        <v/>
      </c>
      <c r="M1307" s="71">
        <f>IF($N1307&lt;&gt;"OK","",$D1307*N(INDEX('Menu Pricing'!$F$7:$F$56,$O1307)))</f>
        <v/>
      </c>
      <c r="N1307" s="80">
        <f>IF(AND($B1307="",$C1307="",$D1307=""),"",IF(NOT(ISNUMBER($B1307)),"Enter a valid date",IF($C1307="","Pick a menu item",IF($O1307="","Item not on Menu Pricing",IF(N($D1307)&lt;=0,"Qty must be above 0",IF($H1307="","No price on menu","OK"))))))</f>
        <v/>
      </c>
      <c r="O1307" s="13">
        <f>IF($C1307="","",IFERROR(MATCH($C1307,'Menu Pricing'!$B$7:$B$56,0),""))</f>
        <v/>
      </c>
    </row>
    <row r="1308" ht="17" customHeight="1">
      <c r="B1308" s="66" t="n"/>
      <c r="C1308" s="60" t="n"/>
      <c r="D1308" s="86" t="n"/>
      <c r="E1308" s="63" t="n"/>
      <c r="F1308" s="60" t="n"/>
      <c r="G1308" s="60" t="n"/>
      <c r="H1308" s="71">
        <f>IF(OR($C1308="",$D1308=""),"",IF(ISNUMBER($E1308),$E1308,IF($O1308="","",IF(N(INDEX('Menu Pricing'!$O$7:$O$56,$O1308))&gt;0,INDEX('Menu Pricing'!$O$7:$O$56,$O1308),""))))</f>
        <v/>
      </c>
      <c r="I1308" s="71">
        <f>IF($N1308&lt;&gt;"OK","",$D1308*$H1308)</f>
        <v/>
      </c>
      <c r="J1308" s="71">
        <f>IF($N1308&lt;&gt;"OK","",N(INDEX('Menu Pricing'!$F$7:$F$56,$O1308))+N(INDEX('Menu Pricing'!$G$7:$G$56,$O1308))+N(INDEX('Menu Pricing'!$J$7:$J$56,$O1308)))</f>
        <v/>
      </c>
      <c r="K1308" s="71">
        <f>IF($N1308&lt;&gt;"OK","",$D1308*$J1308)</f>
        <v/>
      </c>
      <c r="L1308" s="71">
        <f>IF($N1308&lt;&gt;"OK","",$I1308-$K1308)</f>
        <v/>
      </c>
      <c r="M1308" s="71">
        <f>IF($N1308&lt;&gt;"OK","",$D1308*N(INDEX('Menu Pricing'!$F$7:$F$56,$O1308)))</f>
        <v/>
      </c>
      <c r="N1308" s="80">
        <f>IF(AND($B1308="",$C1308="",$D1308=""),"",IF(NOT(ISNUMBER($B1308)),"Enter a valid date",IF($C1308="","Pick a menu item",IF($O1308="","Item not on Menu Pricing",IF(N($D1308)&lt;=0,"Qty must be above 0",IF($H1308="","No price on menu","OK"))))))</f>
        <v/>
      </c>
      <c r="O1308" s="13">
        <f>IF($C1308="","",IFERROR(MATCH($C1308,'Menu Pricing'!$B$7:$B$56,0),""))</f>
        <v/>
      </c>
    </row>
    <row r="1309" ht="17" customHeight="1">
      <c r="B1309" s="66" t="n"/>
      <c r="C1309" s="60" t="n"/>
      <c r="D1309" s="86" t="n"/>
      <c r="E1309" s="63" t="n"/>
      <c r="F1309" s="60" t="n"/>
      <c r="G1309" s="60" t="n"/>
      <c r="H1309" s="71">
        <f>IF(OR($C1309="",$D1309=""),"",IF(ISNUMBER($E1309),$E1309,IF($O1309="","",IF(N(INDEX('Menu Pricing'!$O$7:$O$56,$O1309))&gt;0,INDEX('Menu Pricing'!$O$7:$O$56,$O1309),""))))</f>
        <v/>
      </c>
      <c r="I1309" s="71">
        <f>IF($N1309&lt;&gt;"OK","",$D1309*$H1309)</f>
        <v/>
      </c>
      <c r="J1309" s="71">
        <f>IF($N1309&lt;&gt;"OK","",N(INDEX('Menu Pricing'!$F$7:$F$56,$O1309))+N(INDEX('Menu Pricing'!$G$7:$G$56,$O1309))+N(INDEX('Menu Pricing'!$J$7:$J$56,$O1309)))</f>
        <v/>
      </c>
      <c r="K1309" s="71">
        <f>IF($N1309&lt;&gt;"OK","",$D1309*$J1309)</f>
        <v/>
      </c>
      <c r="L1309" s="71">
        <f>IF($N1309&lt;&gt;"OK","",$I1309-$K1309)</f>
        <v/>
      </c>
      <c r="M1309" s="71">
        <f>IF($N1309&lt;&gt;"OK","",$D1309*N(INDEX('Menu Pricing'!$F$7:$F$56,$O1309)))</f>
        <v/>
      </c>
      <c r="N1309" s="80">
        <f>IF(AND($B1309="",$C1309="",$D1309=""),"",IF(NOT(ISNUMBER($B1309)),"Enter a valid date",IF($C1309="","Pick a menu item",IF($O1309="","Item not on Menu Pricing",IF(N($D1309)&lt;=0,"Qty must be above 0",IF($H1309="","No price on menu","OK"))))))</f>
        <v/>
      </c>
      <c r="O1309" s="13">
        <f>IF($C1309="","",IFERROR(MATCH($C1309,'Menu Pricing'!$B$7:$B$56,0),""))</f>
        <v/>
      </c>
    </row>
    <row r="1310" ht="17" customHeight="1">
      <c r="B1310" s="66" t="n"/>
      <c r="C1310" s="60" t="n"/>
      <c r="D1310" s="86" t="n"/>
      <c r="E1310" s="63" t="n"/>
      <c r="F1310" s="60" t="n"/>
      <c r="G1310" s="60" t="n"/>
      <c r="H1310" s="71">
        <f>IF(OR($C1310="",$D1310=""),"",IF(ISNUMBER($E1310),$E1310,IF($O1310="","",IF(N(INDEX('Menu Pricing'!$O$7:$O$56,$O1310))&gt;0,INDEX('Menu Pricing'!$O$7:$O$56,$O1310),""))))</f>
        <v/>
      </c>
      <c r="I1310" s="71">
        <f>IF($N1310&lt;&gt;"OK","",$D1310*$H1310)</f>
        <v/>
      </c>
      <c r="J1310" s="71">
        <f>IF($N1310&lt;&gt;"OK","",N(INDEX('Menu Pricing'!$F$7:$F$56,$O1310))+N(INDEX('Menu Pricing'!$G$7:$G$56,$O1310))+N(INDEX('Menu Pricing'!$J$7:$J$56,$O1310)))</f>
        <v/>
      </c>
      <c r="K1310" s="71">
        <f>IF($N1310&lt;&gt;"OK","",$D1310*$J1310)</f>
        <v/>
      </c>
      <c r="L1310" s="71">
        <f>IF($N1310&lt;&gt;"OK","",$I1310-$K1310)</f>
        <v/>
      </c>
      <c r="M1310" s="71">
        <f>IF($N1310&lt;&gt;"OK","",$D1310*N(INDEX('Menu Pricing'!$F$7:$F$56,$O1310)))</f>
        <v/>
      </c>
      <c r="N1310" s="80">
        <f>IF(AND($B1310="",$C1310="",$D1310=""),"",IF(NOT(ISNUMBER($B1310)),"Enter a valid date",IF($C1310="","Pick a menu item",IF($O1310="","Item not on Menu Pricing",IF(N($D1310)&lt;=0,"Qty must be above 0",IF($H1310="","No price on menu","OK"))))))</f>
        <v/>
      </c>
      <c r="O1310" s="13">
        <f>IF($C1310="","",IFERROR(MATCH($C1310,'Menu Pricing'!$B$7:$B$56,0),""))</f>
        <v/>
      </c>
    </row>
    <row r="1311" ht="17" customHeight="1">
      <c r="B1311" s="66" t="n"/>
      <c r="C1311" s="60" t="n"/>
      <c r="D1311" s="86" t="n"/>
      <c r="E1311" s="63" t="n"/>
      <c r="F1311" s="60" t="n"/>
      <c r="G1311" s="60" t="n"/>
      <c r="H1311" s="71">
        <f>IF(OR($C1311="",$D1311=""),"",IF(ISNUMBER($E1311),$E1311,IF($O1311="","",IF(N(INDEX('Menu Pricing'!$O$7:$O$56,$O1311))&gt;0,INDEX('Menu Pricing'!$O$7:$O$56,$O1311),""))))</f>
        <v/>
      </c>
      <c r="I1311" s="71">
        <f>IF($N1311&lt;&gt;"OK","",$D1311*$H1311)</f>
        <v/>
      </c>
      <c r="J1311" s="71">
        <f>IF($N1311&lt;&gt;"OK","",N(INDEX('Menu Pricing'!$F$7:$F$56,$O1311))+N(INDEX('Menu Pricing'!$G$7:$G$56,$O1311))+N(INDEX('Menu Pricing'!$J$7:$J$56,$O1311)))</f>
        <v/>
      </c>
      <c r="K1311" s="71">
        <f>IF($N1311&lt;&gt;"OK","",$D1311*$J1311)</f>
        <v/>
      </c>
      <c r="L1311" s="71">
        <f>IF($N1311&lt;&gt;"OK","",$I1311-$K1311)</f>
        <v/>
      </c>
      <c r="M1311" s="71">
        <f>IF($N1311&lt;&gt;"OK","",$D1311*N(INDEX('Menu Pricing'!$F$7:$F$56,$O1311)))</f>
        <v/>
      </c>
      <c r="N1311" s="80">
        <f>IF(AND($B1311="",$C1311="",$D1311=""),"",IF(NOT(ISNUMBER($B1311)),"Enter a valid date",IF($C1311="","Pick a menu item",IF($O1311="","Item not on Menu Pricing",IF(N($D1311)&lt;=0,"Qty must be above 0",IF($H1311="","No price on menu","OK"))))))</f>
        <v/>
      </c>
      <c r="O1311" s="13">
        <f>IF($C1311="","",IFERROR(MATCH($C1311,'Menu Pricing'!$B$7:$B$56,0),""))</f>
        <v/>
      </c>
    </row>
    <row r="1312" ht="17" customHeight="1">
      <c r="B1312" s="66" t="n"/>
      <c r="C1312" s="60" t="n"/>
      <c r="D1312" s="86" t="n"/>
      <c r="E1312" s="63" t="n"/>
      <c r="F1312" s="60" t="n"/>
      <c r="G1312" s="60" t="n"/>
      <c r="H1312" s="71">
        <f>IF(OR($C1312="",$D1312=""),"",IF(ISNUMBER($E1312),$E1312,IF($O1312="","",IF(N(INDEX('Menu Pricing'!$O$7:$O$56,$O1312))&gt;0,INDEX('Menu Pricing'!$O$7:$O$56,$O1312),""))))</f>
        <v/>
      </c>
      <c r="I1312" s="71">
        <f>IF($N1312&lt;&gt;"OK","",$D1312*$H1312)</f>
        <v/>
      </c>
      <c r="J1312" s="71">
        <f>IF($N1312&lt;&gt;"OK","",N(INDEX('Menu Pricing'!$F$7:$F$56,$O1312))+N(INDEX('Menu Pricing'!$G$7:$G$56,$O1312))+N(INDEX('Menu Pricing'!$J$7:$J$56,$O1312)))</f>
        <v/>
      </c>
      <c r="K1312" s="71">
        <f>IF($N1312&lt;&gt;"OK","",$D1312*$J1312)</f>
        <v/>
      </c>
      <c r="L1312" s="71">
        <f>IF($N1312&lt;&gt;"OK","",$I1312-$K1312)</f>
        <v/>
      </c>
      <c r="M1312" s="71">
        <f>IF($N1312&lt;&gt;"OK","",$D1312*N(INDEX('Menu Pricing'!$F$7:$F$56,$O1312)))</f>
        <v/>
      </c>
      <c r="N1312" s="80">
        <f>IF(AND($B1312="",$C1312="",$D1312=""),"",IF(NOT(ISNUMBER($B1312)),"Enter a valid date",IF($C1312="","Pick a menu item",IF($O1312="","Item not on Menu Pricing",IF(N($D1312)&lt;=0,"Qty must be above 0",IF($H1312="","No price on menu","OK"))))))</f>
        <v/>
      </c>
      <c r="O1312" s="13">
        <f>IF($C1312="","",IFERROR(MATCH($C1312,'Menu Pricing'!$B$7:$B$56,0),""))</f>
        <v/>
      </c>
    </row>
    <row r="1313" ht="17" customHeight="1">
      <c r="B1313" s="66" t="n"/>
      <c r="C1313" s="60" t="n"/>
      <c r="D1313" s="86" t="n"/>
      <c r="E1313" s="63" t="n"/>
      <c r="F1313" s="60" t="n"/>
      <c r="G1313" s="60" t="n"/>
      <c r="H1313" s="71">
        <f>IF(OR($C1313="",$D1313=""),"",IF(ISNUMBER($E1313),$E1313,IF($O1313="","",IF(N(INDEX('Menu Pricing'!$O$7:$O$56,$O1313))&gt;0,INDEX('Menu Pricing'!$O$7:$O$56,$O1313),""))))</f>
        <v/>
      </c>
      <c r="I1313" s="71">
        <f>IF($N1313&lt;&gt;"OK","",$D1313*$H1313)</f>
        <v/>
      </c>
      <c r="J1313" s="71">
        <f>IF($N1313&lt;&gt;"OK","",N(INDEX('Menu Pricing'!$F$7:$F$56,$O1313))+N(INDEX('Menu Pricing'!$G$7:$G$56,$O1313))+N(INDEX('Menu Pricing'!$J$7:$J$56,$O1313)))</f>
        <v/>
      </c>
      <c r="K1313" s="71">
        <f>IF($N1313&lt;&gt;"OK","",$D1313*$J1313)</f>
        <v/>
      </c>
      <c r="L1313" s="71">
        <f>IF($N1313&lt;&gt;"OK","",$I1313-$K1313)</f>
        <v/>
      </c>
      <c r="M1313" s="71">
        <f>IF($N1313&lt;&gt;"OK","",$D1313*N(INDEX('Menu Pricing'!$F$7:$F$56,$O1313)))</f>
        <v/>
      </c>
      <c r="N1313" s="80">
        <f>IF(AND($B1313="",$C1313="",$D1313=""),"",IF(NOT(ISNUMBER($B1313)),"Enter a valid date",IF($C1313="","Pick a menu item",IF($O1313="","Item not on Menu Pricing",IF(N($D1313)&lt;=0,"Qty must be above 0",IF($H1313="","No price on menu","OK"))))))</f>
        <v/>
      </c>
      <c r="O1313" s="13">
        <f>IF($C1313="","",IFERROR(MATCH($C1313,'Menu Pricing'!$B$7:$B$56,0),""))</f>
        <v/>
      </c>
    </row>
    <row r="1314" ht="17" customHeight="1">
      <c r="B1314" s="66" t="n"/>
      <c r="C1314" s="60" t="n"/>
      <c r="D1314" s="86" t="n"/>
      <c r="E1314" s="63" t="n"/>
      <c r="F1314" s="60" t="n"/>
      <c r="G1314" s="60" t="n"/>
      <c r="H1314" s="71">
        <f>IF(OR($C1314="",$D1314=""),"",IF(ISNUMBER($E1314),$E1314,IF($O1314="","",IF(N(INDEX('Menu Pricing'!$O$7:$O$56,$O1314))&gt;0,INDEX('Menu Pricing'!$O$7:$O$56,$O1314),""))))</f>
        <v/>
      </c>
      <c r="I1314" s="71">
        <f>IF($N1314&lt;&gt;"OK","",$D1314*$H1314)</f>
        <v/>
      </c>
      <c r="J1314" s="71">
        <f>IF($N1314&lt;&gt;"OK","",N(INDEX('Menu Pricing'!$F$7:$F$56,$O1314))+N(INDEX('Menu Pricing'!$G$7:$G$56,$O1314))+N(INDEX('Menu Pricing'!$J$7:$J$56,$O1314)))</f>
        <v/>
      </c>
      <c r="K1314" s="71">
        <f>IF($N1314&lt;&gt;"OK","",$D1314*$J1314)</f>
        <v/>
      </c>
      <c r="L1314" s="71">
        <f>IF($N1314&lt;&gt;"OK","",$I1314-$K1314)</f>
        <v/>
      </c>
      <c r="M1314" s="71">
        <f>IF($N1314&lt;&gt;"OK","",$D1314*N(INDEX('Menu Pricing'!$F$7:$F$56,$O1314)))</f>
        <v/>
      </c>
      <c r="N1314" s="80">
        <f>IF(AND($B1314="",$C1314="",$D1314=""),"",IF(NOT(ISNUMBER($B1314)),"Enter a valid date",IF($C1314="","Pick a menu item",IF($O1314="","Item not on Menu Pricing",IF(N($D1314)&lt;=0,"Qty must be above 0",IF($H1314="","No price on menu","OK"))))))</f>
        <v/>
      </c>
      <c r="O1314" s="13">
        <f>IF($C1314="","",IFERROR(MATCH($C1314,'Menu Pricing'!$B$7:$B$56,0),""))</f>
        <v/>
      </c>
    </row>
    <row r="1315" ht="17" customHeight="1">
      <c r="B1315" s="66" t="n"/>
      <c r="C1315" s="60" t="n"/>
      <c r="D1315" s="86" t="n"/>
      <c r="E1315" s="63" t="n"/>
      <c r="F1315" s="60" t="n"/>
      <c r="G1315" s="60" t="n"/>
      <c r="H1315" s="71">
        <f>IF(OR($C1315="",$D1315=""),"",IF(ISNUMBER($E1315),$E1315,IF($O1315="","",IF(N(INDEX('Menu Pricing'!$O$7:$O$56,$O1315))&gt;0,INDEX('Menu Pricing'!$O$7:$O$56,$O1315),""))))</f>
        <v/>
      </c>
      <c r="I1315" s="71">
        <f>IF($N1315&lt;&gt;"OK","",$D1315*$H1315)</f>
        <v/>
      </c>
      <c r="J1315" s="71">
        <f>IF($N1315&lt;&gt;"OK","",N(INDEX('Menu Pricing'!$F$7:$F$56,$O1315))+N(INDEX('Menu Pricing'!$G$7:$G$56,$O1315))+N(INDEX('Menu Pricing'!$J$7:$J$56,$O1315)))</f>
        <v/>
      </c>
      <c r="K1315" s="71">
        <f>IF($N1315&lt;&gt;"OK","",$D1315*$J1315)</f>
        <v/>
      </c>
      <c r="L1315" s="71">
        <f>IF($N1315&lt;&gt;"OK","",$I1315-$K1315)</f>
        <v/>
      </c>
      <c r="M1315" s="71">
        <f>IF($N1315&lt;&gt;"OK","",$D1315*N(INDEX('Menu Pricing'!$F$7:$F$56,$O1315)))</f>
        <v/>
      </c>
      <c r="N1315" s="80">
        <f>IF(AND($B1315="",$C1315="",$D1315=""),"",IF(NOT(ISNUMBER($B1315)),"Enter a valid date",IF($C1315="","Pick a menu item",IF($O1315="","Item not on Menu Pricing",IF(N($D1315)&lt;=0,"Qty must be above 0",IF($H1315="","No price on menu","OK"))))))</f>
        <v/>
      </c>
      <c r="O1315" s="13">
        <f>IF($C1315="","",IFERROR(MATCH($C1315,'Menu Pricing'!$B$7:$B$56,0),""))</f>
        <v/>
      </c>
    </row>
    <row r="1316" ht="17" customHeight="1">
      <c r="B1316" s="66" t="n"/>
      <c r="C1316" s="60" t="n"/>
      <c r="D1316" s="86" t="n"/>
      <c r="E1316" s="63" t="n"/>
      <c r="F1316" s="60" t="n"/>
      <c r="G1316" s="60" t="n"/>
      <c r="H1316" s="71">
        <f>IF(OR($C1316="",$D1316=""),"",IF(ISNUMBER($E1316),$E1316,IF($O1316="","",IF(N(INDEX('Menu Pricing'!$O$7:$O$56,$O1316))&gt;0,INDEX('Menu Pricing'!$O$7:$O$56,$O1316),""))))</f>
        <v/>
      </c>
      <c r="I1316" s="71">
        <f>IF($N1316&lt;&gt;"OK","",$D1316*$H1316)</f>
        <v/>
      </c>
      <c r="J1316" s="71">
        <f>IF($N1316&lt;&gt;"OK","",N(INDEX('Menu Pricing'!$F$7:$F$56,$O1316))+N(INDEX('Menu Pricing'!$G$7:$G$56,$O1316))+N(INDEX('Menu Pricing'!$J$7:$J$56,$O1316)))</f>
        <v/>
      </c>
      <c r="K1316" s="71">
        <f>IF($N1316&lt;&gt;"OK","",$D1316*$J1316)</f>
        <v/>
      </c>
      <c r="L1316" s="71">
        <f>IF($N1316&lt;&gt;"OK","",$I1316-$K1316)</f>
        <v/>
      </c>
      <c r="M1316" s="71">
        <f>IF($N1316&lt;&gt;"OK","",$D1316*N(INDEX('Menu Pricing'!$F$7:$F$56,$O1316)))</f>
        <v/>
      </c>
      <c r="N1316" s="80">
        <f>IF(AND($B1316="",$C1316="",$D1316=""),"",IF(NOT(ISNUMBER($B1316)),"Enter a valid date",IF($C1316="","Pick a menu item",IF($O1316="","Item not on Menu Pricing",IF(N($D1316)&lt;=0,"Qty must be above 0",IF($H1316="","No price on menu","OK"))))))</f>
        <v/>
      </c>
      <c r="O1316" s="13">
        <f>IF($C1316="","",IFERROR(MATCH($C1316,'Menu Pricing'!$B$7:$B$56,0),""))</f>
        <v/>
      </c>
    </row>
    <row r="1317" ht="17" customHeight="1">
      <c r="B1317" s="66" t="n"/>
      <c r="C1317" s="60" t="n"/>
      <c r="D1317" s="86" t="n"/>
      <c r="E1317" s="63" t="n"/>
      <c r="F1317" s="60" t="n"/>
      <c r="G1317" s="60" t="n"/>
      <c r="H1317" s="71">
        <f>IF(OR($C1317="",$D1317=""),"",IF(ISNUMBER($E1317),$E1317,IF($O1317="","",IF(N(INDEX('Menu Pricing'!$O$7:$O$56,$O1317))&gt;0,INDEX('Menu Pricing'!$O$7:$O$56,$O1317),""))))</f>
        <v/>
      </c>
      <c r="I1317" s="71">
        <f>IF($N1317&lt;&gt;"OK","",$D1317*$H1317)</f>
        <v/>
      </c>
      <c r="J1317" s="71">
        <f>IF($N1317&lt;&gt;"OK","",N(INDEX('Menu Pricing'!$F$7:$F$56,$O1317))+N(INDEX('Menu Pricing'!$G$7:$G$56,$O1317))+N(INDEX('Menu Pricing'!$J$7:$J$56,$O1317)))</f>
        <v/>
      </c>
      <c r="K1317" s="71">
        <f>IF($N1317&lt;&gt;"OK","",$D1317*$J1317)</f>
        <v/>
      </c>
      <c r="L1317" s="71">
        <f>IF($N1317&lt;&gt;"OK","",$I1317-$K1317)</f>
        <v/>
      </c>
      <c r="M1317" s="71">
        <f>IF($N1317&lt;&gt;"OK","",$D1317*N(INDEX('Menu Pricing'!$F$7:$F$56,$O1317)))</f>
        <v/>
      </c>
      <c r="N1317" s="80">
        <f>IF(AND($B1317="",$C1317="",$D1317=""),"",IF(NOT(ISNUMBER($B1317)),"Enter a valid date",IF($C1317="","Pick a menu item",IF($O1317="","Item not on Menu Pricing",IF(N($D1317)&lt;=0,"Qty must be above 0",IF($H1317="","No price on menu","OK"))))))</f>
        <v/>
      </c>
      <c r="O1317" s="13">
        <f>IF($C1317="","",IFERROR(MATCH($C1317,'Menu Pricing'!$B$7:$B$56,0),""))</f>
        <v/>
      </c>
    </row>
    <row r="1318" ht="17" customHeight="1">
      <c r="B1318" s="66" t="n"/>
      <c r="C1318" s="60" t="n"/>
      <c r="D1318" s="86" t="n"/>
      <c r="E1318" s="63" t="n"/>
      <c r="F1318" s="60" t="n"/>
      <c r="G1318" s="60" t="n"/>
      <c r="H1318" s="71">
        <f>IF(OR($C1318="",$D1318=""),"",IF(ISNUMBER($E1318),$E1318,IF($O1318="","",IF(N(INDEX('Menu Pricing'!$O$7:$O$56,$O1318))&gt;0,INDEX('Menu Pricing'!$O$7:$O$56,$O1318),""))))</f>
        <v/>
      </c>
      <c r="I1318" s="71">
        <f>IF($N1318&lt;&gt;"OK","",$D1318*$H1318)</f>
        <v/>
      </c>
      <c r="J1318" s="71">
        <f>IF($N1318&lt;&gt;"OK","",N(INDEX('Menu Pricing'!$F$7:$F$56,$O1318))+N(INDEX('Menu Pricing'!$G$7:$G$56,$O1318))+N(INDEX('Menu Pricing'!$J$7:$J$56,$O1318)))</f>
        <v/>
      </c>
      <c r="K1318" s="71">
        <f>IF($N1318&lt;&gt;"OK","",$D1318*$J1318)</f>
        <v/>
      </c>
      <c r="L1318" s="71">
        <f>IF($N1318&lt;&gt;"OK","",$I1318-$K1318)</f>
        <v/>
      </c>
      <c r="M1318" s="71">
        <f>IF($N1318&lt;&gt;"OK","",$D1318*N(INDEX('Menu Pricing'!$F$7:$F$56,$O1318)))</f>
        <v/>
      </c>
      <c r="N1318" s="80">
        <f>IF(AND($B1318="",$C1318="",$D1318=""),"",IF(NOT(ISNUMBER($B1318)),"Enter a valid date",IF($C1318="","Pick a menu item",IF($O1318="","Item not on Menu Pricing",IF(N($D1318)&lt;=0,"Qty must be above 0",IF($H1318="","No price on menu","OK"))))))</f>
        <v/>
      </c>
      <c r="O1318" s="13">
        <f>IF($C1318="","",IFERROR(MATCH($C1318,'Menu Pricing'!$B$7:$B$56,0),""))</f>
        <v/>
      </c>
    </row>
    <row r="1319" ht="17" customHeight="1">
      <c r="B1319" s="66" t="n"/>
      <c r="C1319" s="60" t="n"/>
      <c r="D1319" s="86" t="n"/>
      <c r="E1319" s="63" t="n"/>
      <c r="F1319" s="60" t="n"/>
      <c r="G1319" s="60" t="n"/>
      <c r="H1319" s="71">
        <f>IF(OR($C1319="",$D1319=""),"",IF(ISNUMBER($E1319),$E1319,IF($O1319="","",IF(N(INDEX('Menu Pricing'!$O$7:$O$56,$O1319))&gt;0,INDEX('Menu Pricing'!$O$7:$O$56,$O1319),""))))</f>
        <v/>
      </c>
      <c r="I1319" s="71">
        <f>IF($N1319&lt;&gt;"OK","",$D1319*$H1319)</f>
        <v/>
      </c>
      <c r="J1319" s="71">
        <f>IF($N1319&lt;&gt;"OK","",N(INDEX('Menu Pricing'!$F$7:$F$56,$O1319))+N(INDEX('Menu Pricing'!$G$7:$G$56,$O1319))+N(INDEX('Menu Pricing'!$J$7:$J$56,$O1319)))</f>
        <v/>
      </c>
      <c r="K1319" s="71">
        <f>IF($N1319&lt;&gt;"OK","",$D1319*$J1319)</f>
        <v/>
      </c>
      <c r="L1319" s="71">
        <f>IF($N1319&lt;&gt;"OK","",$I1319-$K1319)</f>
        <v/>
      </c>
      <c r="M1319" s="71">
        <f>IF($N1319&lt;&gt;"OK","",$D1319*N(INDEX('Menu Pricing'!$F$7:$F$56,$O1319)))</f>
        <v/>
      </c>
      <c r="N1319" s="80">
        <f>IF(AND($B1319="",$C1319="",$D1319=""),"",IF(NOT(ISNUMBER($B1319)),"Enter a valid date",IF($C1319="","Pick a menu item",IF($O1319="","Item not on Menu Pricing",IF(N($D1319)&lt;=0,"Qty must be above 0",IF($H1319="","No price on menu","OK"))))))</f>
        <v/>
      </c>
      <c r="O1319" s="13">
        <f>IF($C1319="","",IFERROR(MATCH($C1319,'Menu Pricing'!$B$7:$B$56,0),""))</f>
        <v/>
      </c>
    </row>
    <row r="1320" ht="17" customHeight="1">
      <c r="B1320" s="66" t="n"/>
      <c r="C1320" s="60" t="n"/>
      <c r="D1320" s="86" t="n"/>
      <c r="E1320" s="63" t="n"/>
      <c r="F1320" s="60" t="n"/>
      <c r="G1320" s="60" t="n"/>
      <c r="H1320" s="71">
        <f>IF(OR($C1320="",$D1320=""),"",IF(ISNUMBER($E1320),$E1320,IF($O1320="","",IF(N(INDEX('Menu Pricing'!$O$7:$O$56,$O1320))&gt;0,INDEX('Menu Pricing'!$O$7:$O$56,$O1320),""))))</f>
        <v/>
      </c>
      <c r="I1320" s="71">
        <f>IF($N1320&lt;&gt;"OK","",$D1320*$H1320)</f>
        <v/>
      </c>
      <c r="J1320" s="71">
        <f>IF($N1320&lt;&gt;"OK","",N(INDEX('Menu Pricing'!$F$7:$F$56,$O1320))+N(INDEX('Menu Pricing'!$G$7:$G$56,$O1320))+N(INDEX('Menu Pricing'!$J$7:$J$56,$O1320)))</f>
        <v/>
      </c>
      <c r="K1320" s="71">
        <f>IF($N1320&lt;&gt;"OK","",$D1320*$J1320)</f>
        <v/>
      </c>
      <c r="L1320" s="71">
        <f>IF($N1320&lt;&gt;"OK","",$I1320-$K1320)</f>
        <v/>
      </c>
      <c r="M1320" s="71">
        <f>IF($N1320&lt;&gt;"OK","",$D1320*N(INDEX('Menu Pricing'!$F$7:$F$56,$O1320)))</f>
        <v/>
      </c>
      <c r="N1320" s="80">
        <f>IF(AND($B1320="",$C1320="",$D1320=""),"",IF(NOT(ISNUMBER($B1320)),"Enter a valid date",IF($C1320="","Pick a menu item",IF($O1320="","Item not on Menu Pricing",IF(N($D1320)&lt;=0,"Qty must be above 0",IF($H1320="","No price on menu","OK"))))))</f>
        <v/>
      </c>
      <c r="O1320" s="13">
        <f>IF($C1320="","",IFERROR(MATCH($C1320,'Menu Pricing'!$B$7:$B$56,0),""))</f>
        <v/>
      </c>
    </row>
    <row r="1321" ht="17" customHeight="1">
      <c r="B1321" s="66" t="n"/>
      <c r="C1321" s="60" t="n"/>
      <c r="D1321" s="86" t="n"/>
      <c r="E1321" s="63" t="n"/>
      <c r="F1321" s="60" t="n"/>
      <c r="G1321" s="60" t="n"/>
      <c r="H1321" s="71">
        <f>IF(OR($C1321="",$D1321=""),"",IF(ISNUMBER($E1321),$E1321,IF($O1321="","",IF(N(INDEX('Menu Pricing'!$O$7:$O$56,$O1321))&gt;0,INDEX('Menu Pricing'!$O$7:$O$56,$O1321),""))))</f>
        <v/>
      </c>
      <c r="I1321" s="71">
        <f>IF($N1321&lt;&gt;"OK","",$D1321*$H1321)</f>
        <v/>
      </c>
      <c r="J1321" s="71">
        <f>IF($N1321&lt;&gt;"OK","",N(INDEX('Menu Pricing'!$F$7:$F$56,$O1321))+N(INDEX('Menu Pricing'!$G$7:$G$56,$O1321))+N(INDEX('Menu Pricing'!$J$7:$J$56,$O1321)))</f>
        <v/>
      </c>
      <c r="K1321" s="71">
        <f>IF($N1321&lt;&gt;"OK","",$D1321*$J1321)</f>
        <v/>
      </c>
      <c r="L1321" s="71">
        <f>IF($N1321&lt;&gt;"OK","",$I1321-$K1321)</f>
        <v/>
      </c>
      <c r="M1321" s="71">
        <f>IF($N1321&lt;&gt;"OK","",$D1321*N(INDEX('Menu Pricing'!$F$7:$F$56,$O1321)))</f>
        <v/>
      </c>
      <c r="N1321" s="80">
        <f>IF(AND($B1321="",$C1321="",$D1321=""),"",IF(NOT(ISNUMBER($B1321)),"Enter a valid date",IF($C1321="","Pick a menu item",IF($O1321="","Item not on Menu Pricing",IF(N($D1321)&lt;=0,"Qty must be above 0",IF($H1321="","No price on menu","OK"))))))</f>
        <v/>
      </c>
      <c r="O1321" s="13">
        <f>IF($C1321="","",IFERROR(MATCH($C1321,'Menu Pricing'!$B$7:$B$56,0),""))</f>
        <v/>
      </c>
    </row>
    <row r="1322" ht="17" customHeight="1">
      <c r="B1322" s="66" t="n"/>
      <c r="C1322" s="60" t="n"/>
      <c r="D1322" s="86" t="n"/>
      <c r="E1322" s="63" t="n"/>
      <c r="F1322" s="60" t="n"/>
      <c r="G1322" s="60" t="n"/>
      <c r="H1322" s="71">
        <f>IF(OR($C1322="",$D1322=""),"",IF(ISNUMBER($E1322),$E1322,IF($O1322="","",IF(N(INDEX('Menu Pricing'!$O$7:$O$56,$O1322))&gt;0,INDEX('Menu Pricing'!$O$7:$O$56,$O1322),""))))</f>
        <v/>
      </c>
      <c r="I1322" s="71">
        <f>IF($N1322&lt;&gt;"OK","",$D1322*$H1322)</f>
        <v/>
      </c>
      <c r="J1322" s="71">
        <f>IF($N1322&lt;&gt;"OK","",N(INDEX('Menu Pricing'!$F$7:$F$56,$O1322))+N(INDEX('Menu Pricing'!$G$7:$G$56,$O1322))+N(INDEX('Menu Pricing'!$J$7:$J$56,$O1322)))</f>
        <v/>
      </c>
      <c r="K1322" s="71">
        <f>IF($N1322&lt;&gt;"OK","",$D1322*$J1322)</f>
        <v/>
      </c>
      <c r="L1322" s="71">
        <f>IF($N1322&lt;&gt;"OK","",$I1322-$K1322)</f>
        <v/>
      </c>
      <c r="M1322" s="71">
        <f>IF($N1322&lt;&gt;"OK","",$D1322*N(INDEX('Menu Pricing'!$F$7:$F$56,$O1322)))</f>
        <v/>
      </c>
      <c r="N1322" s="80">
        <f>IF(AND($B1322="",$C1322="",$D1322=""),"",IF(NOT(ISNUMBER($B1322)),"Enter a valid date",IF($C1322="","Pick a menu item",IF($O1322="","Item not on Menu Pricing",IF(N($D1322)&lt;=0,"Qty must be above 0",IF($H1322="","No price on menu","OK"))))))</f>
        <v/>
      </c>
      <c r="O1322" s="13">
        <f>IF($C1322="","",IFERROR(MATCH($C1322,'Menu Pricing'!$B$7:$B$56,0),""))</f>
        <v/>
      </c>
    </row>
    <row r="1323" ht="17" customHeight="1">
      <c r="B1323" s="66" t="n"/>
      <c r="C1323" s="60" t="n"/>
      <c r="D1323" s="86" t="n"/>
      <c r="E1323" s="63" t="n"/>
      <c r="F1323" s="60" t="n"/>
      <c r="G1323" s="60" t="n"/>
      <c r="H1323" s="71">
        <f>IF(OR($C1323="",$D1323=""),"",IF(ISNUMBER($E1323),$E1323,IF($O1323="","",IF(N(INDEX('Menu Pricing'!$O$7:$O$56,$O1323))&gt;0,INDEX('Menu Pricing'!$O$7:$O$56,$O1323),""))))</f>
        <v/>
      </c>
      <c r="I1323" s="71">
        <f>IF($N1323&lt;&gt;"OK","",$D1323*$H1323)</f>
        <v/>
      </c>
      <c r="J1323" s="71">
        <f>IF($N1323&lt;&gt;"OK","",N(INDEX('Menu Pricing'!$F$7:$F$56,$O1323))+N(INDEX('Menu Pricing'!$G$7:$G$56,$O1323))+N(INDEX('Menu Pricing'!$J$7:$J$56,$O1323)))</f>
        <v/>
      </c>
      <c r="K1323" s="71">
        <f>IF($N1323&lt;&gt;"OK","",$D1323*$J1323)</f>
        <v/>
      </c>
      <c r="L1323" s="71">
        <f>IF($N1323&lt;&gt;"OK","",$I1323-$K1323)</f>
        <v/>
      </c>
      <c r="M1323" s="71">
        <f>IF($N1323&lt;&gt;"OK","",$D1323*N(INDEX('Menu Pricing'!$F$7:$F$56,$O1323)))</f>
        <v/>
      </c>
      <c r="N1323" s="80">
        <f>IF(AND($B1323="",$C1323="",$D1323=""),"",IF(NOT(ISNUMBER($B1323)),"Enter a valid date",IF($C1323="","Pick a menu item",IF($O1323="","Item not on Menu Pricing",IF(N($D1323)&lt;=0,"Qty must be above 0",IF($H1323="","No price on menu","OK"))))))</f>
        <v/>
      </c>
      <c r="O1323" s="13">
        <f>IF($C1323="","",IFERROR(MATCH($C1323,'Menu Pricing'!$B$7:$B$56,0),""))</f>
        <v/>
      </c>
    </row>
    <row r="1324" ht="17" customHeight="1">
      <c r="B1324" s="66" t="n"/>
      <c r="C1324" s="60" t="n"/>
      <c r="D1324" s="86" t="n"/>
      <c r="E1324" s="63" t="n"/>
      <c r="F1324" s="60" t="n"/>
      <c r="G1324" s="60" t="n"/>
      <c r="H1324" s="71">
        <f>IF(OR($C1324="",$D1324=""),"",IF(ISNUMBER($E1324),$E1324,IF($O1324="","",IF(N(INDEX('Menu Pricing'!$O$7:$O$56,$O1324))&gt;0,INDEX('Menu Pricing'!$O$7:$O$56,$O1324),""))))</f>
        <v/>
      </c>
      <c r="I1324" s="71">
        <f>IF($N1324&lt;&gt;"OK","",$D1324*$H1324)</f>
        <v/>
      </c>
      <c r="J1324" s="71">
        <f>IF($N1324&lt;&gt;"OK","",N(INDEX('Menu Pricing'!$F$7:$F$56,$O1324))+N(INDEX('Menu Pricing'!$G$7:$G$56,$O1324))+N(INDEX('Menu Pricing'!$J$7:$J$56,$O1324)))</f>
        <v/>
      </c>
      <c r="K1324" s="71">
        <f>IF($N1324&lt;&gt;"OK","",$D1324*$J1324)</f>
        <v/>
      </c>
      <c r="L1324" s="71">
        <f>IF($N1324&lt;&gt;"OK","",$I1324-$K1324)</f>
        <v/>
      </c>
      <c r="M1324" s="71">
        <f>IF($N1324&lt;&gt;"OK","",$D1324*N(INDEX('Menu Pricing'!$F$7:$F$56,$O1324)))</f>
        <v/>
      </c>
      <c r="N1324" s="80">
        <f>IF(AND($B1324="",$C1324="",$D1324=""),"",IF(NOT(ISNUMBER($B1324)),"Enter a valid date",IF($C1324="","Pick a menu item",IF($O1324="","Item not on Menu Pricing",IF(N($D1324)&lt;=0,"Qty must be above 0",IF($H1324="","No price on menu","OK"))))))</f>
        <v/>
      </c>
      <c r="O1324" s="13">
        <f>IF($C1324="","",IFERROR(MATCH($C1324,'Menu Pricing'!$B$7:$B$56,0),""))</f>
        <v/>
      </c>
    </row>
    <row r="1325" ht="17" customHeight="1">
      <c r="B1325" s="66" t="n"/>
      <c r="C1325" s="60" t="n"/>
      <c r="D1325" s="86" t="n"/>
      <c r="E1325" s="63" t="n"/>
      <c r="F1325" s="60" t="n"/>
      <c r="G1325" s="60" t="n"/>
      <c r="H1325" s="71">
        <f>IF(OR($C1325="",$D1325=""),"",IF(ISNUMBER($E1325),$E1325,IF($O1325="","",IF(N(INDEX('Menu Pricing'!$O$7:$O$56,$O1325))&gt;0,INDEX('Menu Pricing'!$O$7:$O$56,$O1325),""))))</f>
        <v/>
      </c>
      <c r="I1325" s="71">
        <f>IF($N1325&lt;&gt;"OK","",$D1325*$H1325)</f>
        <v/>
      </c>
      <c r="J1325" s="71">
        <f>IF($N1325&lt;&gt;"OK","",N(INDEX('Menu Pricing'!$F$7:$F$56,$O1325))+N(INDEX('Menu Pricing'!$G$7:$G$56,$O1325))+N(INDEX('Menu Pricing'!$J$7:$J$56,$O1325)))</f>
        <v/>
      </c>
      <c r="K1325" s="71">
        <f>IF($N1325&lt;&gt;"OK","",$D1325*$J1325)</f>
        <v/>
      </c>
      <c r="L1325" s="71">
        <f>IF($N1325&lt;&gt;"OK","",$I1325-$K1325)</f>
        <v/>
      </c>
      <c r="M1325" s="71">
        <f>IF($N1325&lt;&gt;"OK","",$D1325*N(INDEX('Menu Pricing'!$F$7:$F$56,$O1325)))</f>
        <v/>
      </c>
      <c r="N1325" s="80">
        <f>IF(AND($B1325="",$C1325="",$D1325=""),"",IF(NOT(ISNUMBER($B1325)),"Enter a valid date",IF($C1325="","Pick a menu item",IF($O1325="","Item not on Menu Pricing",IF(N($D1325)&lt;=0,"Qty must be above 0",IF($H1325="","No price on menu","OK"))))))</f>
        <v/>
      </c>
      <c r="O1325" s="13">
        <f>IF($C1325="","",IFERROR(MATCH($C1325,'Menu Pricing'!$B$7:$B$56,0),""))</f>
        <v/>
      </c>
    </row>
    <row r="1326" ht="17" customHeight="1">
      <c r="B1326" s="66" t="n"/>
      <c r="C1326" s="60" t="n"/>
      <c r="D1326" s="86" t="n"/>
      <c r="E1326" s="63" t="n"/>
      <c r="F1326" s="60" t="n"/>
      <c r="G1326" s="60" t="n"/>
      <c r="H1326" s="71">
        <f>IF(OR($C1326="",$D1326=""),"",IF(ISNUMBER($E1326),$E1326,IF($O1326="","",IF(N(INDEX('Menu Pricing'!$O$7:$O$56,$O1326))&gt;0,INDEX('Menu Pricing'!$O$7:$O$56,$O1326),""))))</f>
        <v/>
      </c>
      <c r="I1326" s="71">
        <f>IF($N1326&lt;&gt;"OK","",$D1326*$H1326)</f>
        <v/>
      </c>
      <c r="J1326" s="71">
        <f>IF($N1326&lt;&gt;"OK","",N(INDEX('Menu Pricing'!$F$7:$F$56,$O1326))+N(INDEX('Menu Pricing'!$G$7:$G$56,$O1326))+N(INDEX('Menu Pricing'!$J$7:$J$56,$O1326)))</f>
        <v/>
      </c>
      <c r="K1326" s="71">
        <f>IF($N1326&lt;&gt;"OK","",$D1326*$J1326)</f>
        <v/>
      </c>
      <c r="L1326" s="71">
        <f>IF($N1326&lt;&gt;"OK","",$I1326-$K1326)</f>
        <v/>
      </c>
      <c r="M1326" s="71">
        <f>IF($N1326&lt;&gt;"OK","",$D1326*N(INDEX('Menu Pricing'!$F$7:$F$56,$O1326)))</f>
        <v/>
      </c>
      <c r="N1326" s="80">
        <f>IF(AND($B1326="",$C1326="",$D1326=""),"",IF(NOT(ISNUMBER($B1326)),"Enter a valid date",IF($C1326="","Pick a menu item",IF($O1326="","Item not on Menu Pricing",IF(N($D1326)&lt;=0,"Qty must be above 0",IF($H1326="","No price on menu","OK"))))))</f>
        <v/>
      </c>
      <c r="O1326" s="13">
        <f>IF($C1326="","",IFERROR(MATCH($C1326,'Menu Pricing'!$B$7:$B$56,0),""))</f>
        <v/>
      </c>
    </row>
    <row r="1327" ht="17" customHeight="1">
      <c r="B1327" s="66" t="n"/>
      <c r="C1327" s="60" t="n"/>
      <c r="D1327" s="86" t="n"/>
      <c r="E1327" s="63" t="n"/>
      <c r="F1327" s="60" t="n"/>
      <c r="G1327" s="60" t="n"/>
      <c r="H1327" s="71">
        <f>IF(OR($C1327="",$D1327=""),"",IF(ISNUMBER($E1327),$E1327,IF($O1327="","",IF(N(INDEX('Menu Pricing'!$O$7:$O$56,$O1327))&gt;0,INDEX('Menu Pricing'!$O$7:$O$56,$O1327),""))))</f>
        <v/>
      </c>
      <c r="I1327" s="71">
        <f>IF($N1327&lt;&gt;"OK","",$D1327*$H1327)</f>
        <v/>
      </c>
      <c r="J1327" s="71">
        <f>IF($N1327&lt;&gt;"OK","",N(INDEX('Menu Pricing'!$F$7:$F$56,$O1327))+N(INDEX('Menu Pricing'!$G$7:$G$56,$O1327))+N(INDEX('Menu Pricing'!$J$7:$J$56,$O1327)))</f>
        <v/>
      </c>
      <c r="K1327" s="71">
        <f>IF($N1327&lt;&gt;"OK","",$D1327*$J1327)</f>
        <v/>
      </c>
      <c r="L1327" s="71">
        <f>IF($N1327&lt;&gt;"OK","",$I1327-$K1327)</f>
        <v/>
      </c>
      <c r="M1327" s="71">
        <f>IF($N1327&lt;&gt;"OK","",$D1327*N(INDEX('Menu Pricing'!$F$7:$F$56,$O1327)))</f>
        <v/>
      </c>
      <c r="N1327" s="80">
        <f>IF(AND($B1327="",$C1327="",$D1327=""),"",IF(NOT(ISNUMBER($B1327)),"Enter a valid date",IF($C1327="","Pick a menu item",IF($O1327="","Item not on Menu Pricing",IF(N($D1327)&lt;=0,"Qty must be above 0",IF($H1327="","No price on menu","OK"))))))</f>
        <v/>
      </c>
      <c r="O1327" s="13">
        <f>IF($C1327="","",IFERROR(MATCH($C1327,'Menu Pricing'!$B$7:$B$56,0),""))</f>
        <v/>
      </c>
    </row>
    <row r="1328" ht="17" customHeight="1">
      <c r="B1328" s="66" t="n"/>
      <c r="C1328" s="60" t="n"/>
      <c r="D1328" s="86" t="n"/>
      <c r="E1328" s="63" t="n"/>
      <c r="F1328" s="60" t="n"/>
      <c r="G1328" s="60" t="n"/>
      <c r="H1328" s="71">
        <f>IF(OR($C1328="",$D1328=""),"",IF(ISNUMBER($E1328),$E1328,IF($O1328="","",IF(N(INDEX('Menu Pricing'!$O$7:$O$56,$O1328))&gt;0,INDEX('Menu Pricing'!$O$7:$O$56,$O1328),""))))</f>
        <v/>
      </c>
      <c r="I1328" s="71">
        <f>IF($N1328&lt;&gt;"OK","",$D1328*$H1328)</f>
        <v/>
      </c>
      <c r="J1328" s="71">
        <f>IF($N1328&lt;&gt;"OK","",N(INDEX('Menu Pricing'!$F$7:$F$56,$O1328))+N(INDEX('Menu Pricing'!$G$7:$G$56,$O1328))+N(INDEX('Menu Pricing'!$J$7:$J$56,$O1328)))</f>
        <v/>
      </c>
      <c r="K1328" s="71">
        <f>IF($N1328&lt;&gt;"OK","",$D1328*$J1328)</f>
        <v/>
      </c>
      <c r="L1328" s="71">
        <f>IF($N1328&lt;&gt;"OK","",$I1328-$K1328)</f>
        <v/>
      </c>
      <c r="M1328" s="71">
        <f>IF($N1328&lt;&gt;"OK","",$D1328*N(INDEX('Menu Pricing'!$F$7:$F$56,$O1328)))</f>
        <v/>
      </c>
      <c r="N1328" s="80">
        <f>IF(AND($B1328="",$C1328="",$D1328=""),"",IF(NOT(ISNUMBER($B1328)),"Enter a valid date",IF($C1328="","Pick a menu item",IF($O1328="","Item not on Menu Pricing",IF(N($D1328)&lt;=0,"Qty must be above 0",IF($H1328="","No price on menu","OK"))))))</f>
        <v/>
      </c>
      <c r="O1328" s="13">
        <f>IF($C1328="","",IFERROR(MATCH($C1328,'Menu Pricing'!$B$7:$B$56,0),""))</f>
        <v/>
      </c>
    </row>
    <row r="1329" ht="17" customHeight="1">
      <c r="B1329" s="66" t="n"/>
      <c r="C1329" s="60" t="n"/>
      <c r="D1329" s="86" t="n"/>
      <c r="E1329" s="63" t="n"/>
      <c r="F1329" s="60" t="n"/>
      <c r="G1329" s="60" t="n"/>
      <c r="H1329" s="71">
        <f>IF(OR($C1329="",$D1329=""),"",IF(ISNUMBER($E1329),$E1329,IF($O1329="","",IF(N(INDEX('Menu Pricing'!$O$7:$O$56,$O1329))&gt;0,INDEX('Menu Pricing'!$O$7:$O$56,$O1329),""))))</f>
        <v/>
      </c>
      <c r="I1329" s="71">
        <f>IF($N1329&lt;&gt;"OK","",$D1329*$H1329)</f>
        <v/>
      </c>
      <c r="J1329" s="71">
        <f>IF($N1329&lt;&gt;"OK","",N(INDEX('Menu Pricing'!$F$7:$F$56,$O1329))+N(INDEX('Menu Pricing'!$G$7:$G$56,$O1329))+N(INDEX('Menu Pricing'!$J$7:$J$56,$O1329)))</f>
        <v/>
      </c>
      <c r="K1329" s="71">
        <f>IF($N1329&lt;&gt;"OK","",$D1329*$J1329)</f>
        <v/>
      </c>
      <c r="L1329" s="71">
        <f>IF($N1329&lt;&gt;"OK","",$I1329-$K1329)</f>
        <v/>
      </c>
      <c r="M1329" s="71">
        <f>IF($N1329&lt;&gt;"OK","",$D1329*N(INDEX('Menu Pricing'!$F$7:$F$56,$O1329)))</f>
        <v/>
      </c>
      <c r="N1329" s="80">
        <f>IF(AND($B1329="",$C1329="",$D1329=""),"",IF(NOT(ISNUMBER($B1329)),"Enter a valid date",IF($C1329="","Pick a menu item",IF($O1329="","Item not on Menu Pricing",IF(N($D1329)&lt;=0,"Qty must be above 0",IF($H1329="","No price on menu","OK"))))))</f>
        <v/>
      </c>
      <c r="O1329" s="13">
        <f>IF($C1329="","",IFERROR(MATCH($C1329,'Menu Pricing'!$B$7:$B$56,0),""))</f>
        <v/>
      </c>
    </row>
    <row r="1330" ht="17" customHeight="1">
      <c r="B1330" s="66" t="n"/>
      <c r="C1330" s="60" t="n"/>
      <c r="D1330" s="86" t="n"/>
      <c r="E1330" s="63" t="n"/>
      <c r="F1330" s="60" t="n"/>
      <c r="G1330" s="60" t="n"/>
      <c r="H1330" s="71">
        <f>IF(OR($C1330="",$D1330=""),"",IF(ISNUMBER($E1330),$E1330,IF($O1330="","",IF(N(INDEX('Menu Pricing'!$O$7:$O$56,$O1330))&gt;0,INDEX('Menu Pricing'!$O$7:$O$56,$O1330),""))))</f>
        <v/>
      </c>
      <c r="I1330" s="71">
        <f>IF($N1330&lt;&gt;"OK","",$D1330*$H1330)</f>
        <v/>
      </c>
      <c r="J1330" s="71">
        <f>IF($N1330&lt;&gt;"OK","",N(INDEX('Menu Pricing'!$F$7:$F$56,$O1330))+N(INDEX('Menu Pricing'!$G$7:$G$56,$O1330))+N(INDEX('Menu Pricing'!$J$7:$J$56,$O1330)))</f>
        <v/>
      </c>
      <c r="K1330" s="71">
        <f>IF($N1330&lt;&gt;"OK","",$D1330*$J1330)</f>
        <v/>
      </c>
      <c r="L1330" s="71">
        <f>IF($N1330&lt;&gt;"OK","",$I1330-$K1330)</f>
        <v/>
      </c>
      <c r="M1330" s="71">
        <f>IF($N1330&lt;&gt;"OK","",$D1330*N(INDEX('Menu Pricing'!$F$7:$F$56,$O1330)))</f>
        <v/>
      </c>
      <c r="N1330" s="80">
        <f>IF(AND($B1330="",$C1330="",$D1330=""),"",IF(NOT(ISNUMBER($B1330)),"Enter a valid date",IF($C1330="","Pick a menu item",IF($O1330="","Item not on Menu Pricing",IF(N($D1330)&lt;=0,"Qty must be above 0",IF($H1330="","No price on menu","OK"))))))</f>
        <v/>
      </c>
      <c r="O1330" s="13">
        <f>IF($C1330="","",IFERROR(MATCH($C1330,'Menu Pricing'!$B$7:$B$56,0),""))</f>
        <v/>
      </c>
    </row>
    <row r="1331" ht="17" customHeight="1">
      <c r="B1331" s="66" t="n"/>
      <c r="C1331" s="60" t="n"/>
      <c r="D1331" s="86" t="n"/>
      <c r="E1331" s="63" t="n"/>
      <c r="F1331" s="60" t="n"/>
      <c r="G1331" s="60" t="n"/>
      <c r="H1331" s="71">
        <f>IF(OR($C1331="",$D1331=""),"",IF(ISNUMBER($E1331),$E1331,IF($O1331="","",IF(N(INDEX('Menu Pricing'!$O$7:$O$56,$O1331))&gt;0,INDEX('Menu Pricing'!$O$7:$O$56,$O1331),""))))</f>
        <v/>
      </c>
      <c r="I1331" s="71">
        <f>IF($N1331&lt;&gt;"OK","",$D1331*$H1331)</f>
        <v/>
      </c>
      <c r="J1331" s="71">
        <f>IF($N1331&lt;&gt;"OK","",N(INDEX('Menu Pricing'!$F$7:$F$56,$O1331))+N(INDEX('Menu Pricing'!$G$7:$G$56,$O1331))+N(INDEX('Menu Pricing'!$J$7:$J$56,$O1331)))</f>
        <v/>
      </c>
      <c r="K1331" s="71">
        <f>IF($N1331&lt;&gt;"OK","",$D1331*$J1331)</f>
        <v/>
      </c>
      <c r="L1331" s="71">
        <f>IF($N1331&lt;&gt;"OK","",$I1331-$K1331)</f>
        <v/>
      </c>
      <c r="M1331" s="71">
        <f>IF($N1331&lt;&gt;"OK","",$D1331*N(INDEX('Menu Pricing'!$F$7:$F$56,$O1331)))</f>
        <v/>
      </c>
      <c r="N1331" s="80">
        <f>IF(AND($B1331="",$C1331="",$D1331=""),"",IF(NOT(ISNUMBER($B1331)),"Enter a valid date",IF($C1331="","Pick a menu item",IF($O1331="","Item not on Menu Pricing",IF(N($D1331)&lt;=0,"Qty must be above 0",IF($H1331="","No price on menu","OK"))))))</f>
        <v/>
      </c>
      <c r="O1331" s="13">
        <f>IF($C1331="","",IFERROR(MATCH($C1331,'Menu Pricing'!$B$7:$B$56,0),""))</f>
        <v/>
      </c>
    </row>
    <row r="1332" ht="17" customHeight="1">
      <c r="B1332" s="66" t="n"/>
      <c r="C1332" s="60" t="n"/>
      <c r="D1332" s="86" t="n"/>
      <c r="E1332" s="63" t="n"/>
      <c r="F1332" s="60" t="n"/>
      <c r="G1332" s="60" t="n"/>
      <c r="H1332" s="71">
        <f>IF(OR($C1332="",$D1332=""),"",IF(ISNUMBER($E1332),$E1332,IF($O1332="","",IF(N(INDEX('Menu Pricing'!$O$7:$O$56,$O1332))&gt;0,INDEX('Menu Pricing'!$O$7:$O$56,$O1332),""))))</f>
        <v/>
      </c>
      <c r="I1332" s="71">
        <f>IF($N1332&lt;&gt;"OK","",$D1332*$H1332)</f>
        <v/>
      </c>
      <c r="J1332" s="71">
        <f>IF($N1332&lt;&gt;"OK","",N(INDEX('Menu Pricing'!$F$7:$F$56,$O1332))+N(INDEX('Menu Pricing'!$G$7:$G$56,$O1332))+N(INDEX('Menu Pricing'!$J$7:$J$56,$O1332)))</f>
        <v/>
      </c>
      <c r="K1332" s="71">
        <f>IF($N1332&lt;&gt;"OK","",$D1332*$J1332)</f>
        <v/>
      </c>
      <c r="L1332" s="71">
        <f>IF($N1332&lt;&gt;"OK","",$I1332-$K1332)</f>
        <v/>
      </c>
      <c r="M1332" s="71">
        <f>IF($N1332&lt;&gt;"OK","",$D1332*N(INDEX('Menu Pricing'!$F$7:$F$56,$O1332)))</f>
        <v/>
      </c>
      <c r="N1332" s="80">
        <f>IF(AND($B1332="",$C1332="",$D1332=""),"",IF(NOT(ISNUMBER($B1332)),"Enter a valid date",IF($C1332="","Pick a menu item",IF($O1332="","Item not on Menu Pricing",IF(N($D1332)&lt;=0,"Qty must be above 0",IF($H1332="","No price on menu","OK"))))))</f>
        <v/>
      </c>
      <c r="O1332" s="13">
        <f>IF($C1332="","",IFERROR(MATCH($C1332,'Menu Pricing'!$B$7:$B$56,0),""))</f>
        <v/>
      </c>
    </row>
    <row r="1333" ht="17" customHeight="1">
      <c r="B1333" s="66" t="n"/>
      <c r="C1333" s="60" t="n"/>
      <c r="D1333" s="86" t="n"/>
      <c r="E1333" s="63" t="n"/>
      <c r="F1333" s="60" t="n"/>
      <c r="G1333" s="60" t="n"/>
      <c r="H1333" s="71">
        <f>IF(OR($C1333="",$D1333=""),"",IF(ISNUMBER($E1333),$E1333,IF($O1333="","",IF(N(INDEX('Menu Pricing'!$O$7:$O$56,$O1333))&gt;0,INDEX('Menu Pricing'!$O$7:$O$56,$O1333),""))))</f>
        <v/>
      </c>
      <c r="I1333" s="71">
        <f>IF($N1333&lt;&gt;"OK","",$D1333*$H1333)</f>
        <v/>
      </c>
      <c r="J1333" s="71">
        <f>IF($N1333&lt;&gt;"OK","",N(INDEX('Menu Pricing'!$F$7:$F$56,$O1333))+N(INDEX('Menu Pricing'!$G$7:$G$56,$O1333))+N(INDEX('Menu Pricing'!$J$7:$J$56,$O1333)))</f>
        <v/>
      </c>
      <c r="K1333" s="71">
        <f>IF($N1333&lt;&gt;"OK","",$D1333*$J1333)</f>
        <v/>
      </c>
      <c r="L1333" s="71">
        <f>IF($N1333&lt;&gt;"OK","",$I1333-$K1333)</f>
        <v/>
      </c>
      <c r="M1333" s="71">
        <f>IF($N1333&lt;&gt;"OK","",$D1333*N(INDEX('Menu Pricing'!$F$7:$F$56,$O1333)))</f>
        <v/>
      </c>
      <c r="N1333" s="80">
        <f>IF(AND($B1333="",$C1333="",$D1333=""),"",IF(NOT(ISNUMBER($B1333)),"Enter a valid date",IF($C1333="","Pick a menu item",IF($O1333="","Item not on Menu Pricing",IF(N($D1333)&lt;=0,"Qty must be above 0",IF($H1333="","No price on menu","OK"))))))</f>
        <v/>
      </c>
      <c r="O1333" s="13">
        <f>IF($C1333="","",IFERROR(MATCH($C1333,'Menu Pricing'!$B$7:$B$56,0),""))</f>
        <v/>
      </c>
    </row>
    <row r="1334" ht="17" customHeight="1">
      <c r="B1334" s="66" t="n"/>
      <c r="C1334" s="60" t="n"/>
      <c r="D1334" s="86" t="n"/>
      <c r="E1334" s="63" t="n"/>
      <c r="F1334" s="60" t="n"/>
      <c r="G1334" s="60" t="n"/>
      <c r="H1334" s="71">
        <f>IF(OR($C1334="",$D1334=""),"",IF(ISNUMBER($E1334),$E1334,IF($O1334="","",IF(N(INDEX('Menu Pricing'!$O$7:$O$56,$O1334))&gt;0,INDEX('Menu Pricing'!$O$7:$O$56,$O1334),""))))</f>
        <v/>
      </c>
      <c r="I1334" s="71">
        <f>IF($N1334&lt;&gt;"OK","",$D1334*$H1334)</f>
        <v/>
      </c>
      <c r="J1334" s="71">
        <f>IF($N1334&lt;&gt;"OK","",N(INDEX('Menu Pricing'!$F$7:$F$56,$O1334))+N(INDEX('Menu Pricing'!$G$7:$G$56,$O1334))+N(INDEX('Menu Pricing'!$J$7:$J$56,$O1334)))</f>
        <v/>
      </c>
      <c r="K1334" s="71">
        <f>IF($N1334&lt;&gt;"OK","",$D1334*$J1334)</f>
        <v/>
      </c>
      <c r="L1334" s="71">
        <f>IF($N1334&lt;&gt;"OK","",$I1334-$K1334)</f>
        <v/>
      </c>
      <c r="M1334" s="71">
        <f>IF($N1334&lt;&gt;"OK","",$D1334*N(INDEX('Menu Pricing'!$F$7:$F$56,$O1334)))</f>
        <v/>
      </c>
      <c r="N1334" s="80">
        <f>IF(AND($B1334="",$C1334="",$D1334=""),"",IF(NOT(ISNUMBER($B1334)),"Enter a valid date",IF($C1334="","Pick a menu item",IF($O1334="","Item not on Menu Pricing",IF(N($D1334)&lt;=0,"Qty must be above 0",IF($H1334="","No price on menu","OK"))))))</f>
        <v/>
      </c>
      <c r="O1334" s="13">
        <f>IF($C1334="","",IFERROR(MATCH($C1334,'Menu Pricing'!$B$7:$B$56,0),""))</f>
        <v/>
      </c>
    </row>
    <row r="1335" ht="17" customHeight="1">
      <c r="B1335" s="66" t="n"/>
      <c r="C1335" s="60" t="n"/>
      <c r="D1335" s="86" t="n"/>
      <c r="E1335" s="63" t="n"/>
      <c r="F1335" s="60" t="n"/>
      <c r="G1335" s="60" t="n"/>
      <c r="H1335" s="71">
        <f>IF(OR($C1335="",$D1335=""),"",IF(ISNUMBER($E1335),$E1335,IF($O1335="","",IF(N(INDEX('Menu Pricing'!$O$7:$O$56,$O1335))&gt;0,INDEX('Menu Pricing'!$O$7:$O$56,$O1335),""))))</f>
        <v/>
      </c>
      <c r="I1335" s="71">
        <f>IF($N1335&lt;&gt;"OK","",$D1335*$H1335)</f>
        <v/>
      </c>
      <c r="J1335" s="71">
        <f>IF($N1335&lt;&gt;"OK","",N(INDEX('Menu Pricing'!$F$7:$F$56,$O1335))+N(INDEX('Menu Pricing'!$G$7:$G$56,$O1335))+N(INDEX('Menu Pricing'!$J$7:$J$56,$O1335)))</f>
        <v/>
      </c>
      <c r="K1335" s="71">
        <f>IF($N1335&lt;&gt;"OK","",$D1335*$J1335)</f>
        <v/>
      </c>
      <c r="L1335" s="71">
        <f>IF($N1335&lt;&gt;"OK","",$I1335-$K1335)</f>
        <v/>
      </c>
      <c r="M1335" s="71">
        <f>IF($N1335&lt;&gt;"OK","",$D1335*N(INDEX('Menu Pricing'!$F$7:$F$56,$O1335)))</f>
        <v/>
      </c>
      <c r="N1335" s="80">
        <f>IF(AND($B1335="",$C1335="",$D1335=""),"",IF(NOT(ISNUMBER($B1335)),"Enter a valid date",IF($C1335="","Pick a menu item",IF($O1335="","Item not on Menu Pricing",IF(N($D1335)&lt;=0,"Qty must be above 0",IF($H1335="","No price on menu","OK"))))))</f>
        <v/>
      </c>
      <c r="O1335" s="13">
        <f>IF($C1335="","",IFERROR(MATCH($C1335,'Menu Pricing'!$B$7:$B$56,0),""))</f>
        <v/>
      </c>
    </row>
    <row r="1336" ht="17" customHeight="1">
      <c r="B1336" s="66" t="n"/>
      <c r="C1336" s="60" t="n"/>
      <c r="D1336" s="86" t="n"/>
      <c r="E1336" s="63" t="n"/>
      <c r="F1336" s="60" t="n"/>
      <c r="G1336" s="60" t="n"/>
      <c r="H1336" s="71">
        <f>IF(OR($C1336="",$D1336=""),"",IF(ISNUMBER($E1336),$E1336,IF($O1336="","",IF(N(INDEX('Menu Pricing'!$O$7:$O$56,$O1336))&gt;0,INDEX('Menu Pricing'!$O$7:$O$56,$O1336),""))))</f>
        <v/>
      </c>
      <c r="I1336" s="71">
        <f>IF($N1336&lt;&gt;"OK","",$D1336*$H1336)</f>
        <v/>
      </c>
      <c r="J1336" s="71">
        <f>IF($N1336&lt;&gt;"OK","",N(INDEX('Menu Pricing'!$F$7:$F$56,$O1336))+N(INDEX('Menu Pricing'!$G$7:$G$56,$O1336))+N(INDEX('Menu Pricing'!$J$7:$J$56,$O1336)))</f>
        <v/>
      </c>
      <c r="K1336" s="71">
        <f>IF($N1336&lt;&gt;"OK","",$D1336*$J1336)</f>
        <v/>
      </c>
      <c r="L1336" s="71">
        <f>IF($N1336&lt;&gt;"OK","",$I1336-$K1336)</f>
        <v/>
      </c>
      <c r="M1336" s="71">
        <f>IF($N1336&lt;&gt;"OK","",$D1336*N(INDEX('Menu Pricing'!$F$7:$F$56,$O1336)))</f>
        <v/>
      </c>
      <c r="N1336" s="80">
        <f>IF(AND($B1336="",$C1336="",$D1336=""),"",IF(NOT(ISNUMBER($B1336)),"Enter a valid date",IF($C1336="","Pick a menu item",IF($O1336="","Item not on Menu Pricing",IF(N($D1336)&lt;=0,"Qty must be above 0",IF($H1336="","No price on menu","OK"))))))</f>
        <v/>
      </c>
      <c r="O1336" s="13">
        <f>IF($C1336="","",IFERROR(MATCH($C1336,'Menu Pricing'!$B$7:$B$56,0),""))</f>
        <v/>
      </c>
    </row>
    <row r="1337" ht="17" customHeight="1">
      <c r="B1337" s="66" t="n"/>
      <c r="C1337" s="60" t="n"/>
      <c r="D1337" s="86" t="n"/>
      <c r="E1337" s="63" t="n"/>
      <c r="F1337" s="60" t="n"/>
      <c r="G1337" s="60" t="n"/>
      <c r="H1337" s="71">
        <f>IF(OR($C1337="",$D1337=""),"",IF(ISNUMBER($E1337),$E1337,IF($O1337="","",IF(N(INDEX('Menu Pricing'!$O$7:$O$56,$O1337))&gt;0,INDEX('Menu Pricing'!$O$7:$O$56,$O1337),""))))</f>
        <v/>
      </c>
      <c r="I1337" s="71">
        <f>IF($N1337&lt;&gt;"OK","",$D1337*$H1337)</f>
        <v/>
      </c>
      <c r="J1337" s="71">
        <f>IF($N1337&lt;&gt;"OK","",N(INDEX('Menu Pricing'!$F$7:$F$56,$O1337))+N(INDEX('Menu Pricing'!$G$7:$G$56,$O1337))+N(INDEX('Menu Pricing'!$J$7:$J$56,$O1337)))</f>
        <v/>
      </c>
      <c r="K1337" s="71">
        <f>IF($N1337&lt;&gt;"OK","",$D1337*$J1337)</f>
        <v/>
      </c>
      <c r="L1337" s="71">
        <f>IF($N1337&lt;&gt;"OK","",$I1337-$K1337)</f>
        <v/>
      </c>
      <c r="M1337" s="71">
        <f>IF($N1337&lt;&gt;"OK","",$D1337*N(INDEX('Menu Pricing'!$F$7:$F$56,$O1337)))</f>
        <v/>
      </c>
      <c r="N1337" s="80">
        <f>IF(AND($B1337="",$C1337="",$D1337=""),"",IF(NOT(ISNUMBER($B1337)),"Enter a valid date",IF($C1337="","Pick a menu item",IF($O1337="","Item not on Menu Pricing",IF(N($D1337)&lt;=0,"Qty must be above 0",IF($H1337="","No price on menu","OK"))))))</f>
        <v/>
      </c>
      <c r="O1337" s="13">
        <f>IF($C1337="","",IFERROR(MATCH($C1337,'Menu Pricing'!$B$7:$B$56,0),""))</f>
        <v/>
      </c>
    </row>
    <row r="1338" ht="17" customHeight="1">
      <c r="B1338" s="66" t="n"/>
      <c r="C1338" s="60" t="n"/>
      <c r="D1338" s="86" t="n"/>
      <c r="E1338" s="63" t="n"/>
      <c r="F1338" s="60" t="n"/>
      <c r="G1338" s="60" t="n"/>
      <c r="H1338" s="71">
        <f>IF(OR($C1338="",$D1338=""),"",IF(ISNUMBER($E1338),$E1338,IF($O1338="","",IF(N(INDEX('Menu Pricing'!$O$7:$O$56,$O1338))&gt;0,INDEX('Menu Pricing'!$O$7:$O$56,$O1338),""))))</f>
        <v/>
      </c>
      <c r="I1338" s="71">
        <f>IF($N1338&lt;&gt;"OK","",$D1338*$H1338)</f>
        <v/>
      </c>
      <c r="J1338" s="71">
        <f>IF($N1338&lt;&gt;"OK","",N(INDEX('Menu Pricing'!$F$7:$F$56,$O1338))+N(INDEX('Menu Pricing'!$G$7:$G$56,$O1338))+N(INDEX('Menu Pricing'!$J$7:$J$56,$O1338)))</f>
        <v/>
      </c>
      <c r="K1338" s="71">
        <f>IF($N1338&lt;&gt;"OK","",$D1338*$J1338)</f>
        <v/>
      </c>
      <c r="L1338" s="71">
        <f>IF($N1338&lt;&gt;"OK","",$I1338-$K1338)</f>
        <v/>
      </c>
      <c r="M1338" s="71">
        <f>IF($N1338&lt;&gt;"OK","",$D1338*N(INDEX('Menu Pricing'!$F$7:$F$56,$O1338)))</f>
        <v/>
      </c>
      <c r="N1338" s="80">
        <f>IF(AND($B1338="",$C1338="",$D1338=""),"",IF(NOT(ISNUMBER($B1338)),"Enter a valid date",IF($C1338="","Pick a menu item",IF($O1338="","Item not on Menu Pricing",IF(N($D1338)&lt;=0,"Qty must be above 0",IF($H1338="","No price on menu","OK"))))))</f>
        <v/>
      </c>
      <c r="O1338" s="13">
        <f>IF($C1338="","",IFERROR(MATCH($C1338,'Menu Pricing'!$B$7:$B$56,0),""))</f>
        <v/>
      </c>
    </row>
    <row r="1339" ht="17" customHeight="1">
      <c r="B1339" s="66" t="n"/>
      <c r="C1339" s="60" t="n"/>
      <c r="D1339" s="86" t="n"/>
      <c r="E1339" s="63" t="n"/>
      <c r="F1339" s="60" t="n"/>
      <c r="G1339" s="60" t="n"/>
      <c r="H1339" s="71">
        <f>IF(OR($C1339="",$D1339=""),"",IF(ISNUMBER($E1339),$E1339,IF($O1339="","",IF(N(INDEX('Menu Pricing'!$O$7:$O$56,$O1339))&gt;0,INDEX('Menu Pricing'!$O$7:$O$56,$O1339),""))))</f>
        <v/>
      </c>
      <c r="I1339" s="71">
        <f>IF($N1339&lt;&gt;"OK","",$D1339*$H1339)</f>
        <v/>
      </c>
      <c r="J1339" s="71">
        <f>IF($N1339&lt;&gt;"OK","",N(INDEX('Menu Pricing'!$F$7:$F$56,$O1339))+N(INDEX('Menu Pricing'!$G$7:$G$56,$O1339))+N(INDEX('Menu Pricing'!$J$7:$J$56,$O1339)))</f>
        <v/>
      </c>
      <c r="K1339" s="71">
        <f>IF($N1339&lt;&gt;"OK","",$D1339*$J1339)</f>
        <v/>
      </c>
      <c r="L1339" s="71">
        <f>IF($N1339&lt;&gt;"OK","",$I1339-$K1339)</f>
        <v/>
      </c>
      <c r="M1339" s="71">
        <f>IF($N1339&lt;&gt;"OK","",$D1339*N(INDEX('Menu Pricing'!$F$7:$F$56,$O1339)))</f>
        <v/>
      </c>
      <c r="N1339" s="80">
        <f>IF(AND($B1339="",$C1339="",$D1339=""),"",IF(NOT(ISNUMBER($B1339)),"Enter a valid date",IF($C1339="","Pick a menu item",IF($O1339="","Item not on Menu Pricing",IF(N($D1339)&lt;=0,"Qty must be above 0",IF($H1339="","No price on menu","OK"))))))</f>
        <v/>
      </c>
      <c r="O1339" s="13">
        <f>IF($C1339="","",IFERROR(MATCH($C1339,'Menu Pricing'!$B$7:$B$56,0),""))</f>
        <v/>
      </c>
    </row>
    <row r="1340" ht="17" customHeight="1">
      <c r="B1340" s="66" t="n"/>
      <c r="C1340" s="60" t="n"/>
      <c r="D1340" s="86" t="n"/>
      <c r="E1340" s="63" t="n"/>
      <c r="F1340" s="60" t="n"/>
      <c r="G1340" s="60" t="n"/>
      <c r="H1340" s="71">
        <f>IF(OR($C1340="",$D1340=""),"",IF(ISNUMBER($E1340),$E1340,IF($O1340="","",IF(N(INDEX('Menu Pricing'!$O$7:$O$56,$O1340))&gt;0,INDEX('Menu Pricing'!$O$7:$O$56,$O1340),""))))</f>
        <v/>
      </c>
      <c r="I1340" s="71">
        <f>IF($N1340&lt;&gt;"OK","",$D1340*$H1340)</f>
        <v/>
      </c>
      <c r="J1340" s="71">
        <f>IF($N1340&lt;&gt;"OK","",N(INDEX('Menu Pricing'!$F$7:$F$56,$O1340))+N(INDEX('Menu Pricing'!$G$7:$G$56,$O1340))+N(INDEX('Menu Pricing'!$J$7:$J$56,$O1340)))</f>
        <v/>
      </c>
      <c r="K1340" s="71">
        <f>IF($N1340&lt;&gt;"OK","",$D1340*$J1340)</f>
        <v/>
      </c>
      <c r="L1340" s="71">
        <f>IF($N1340&lt;&gt;"OK","",$I1340-$K1340)</f>
        <v/>
      </c>
      <c r="M1340" s="71">
        <f>IF($N1340&lt;&gt;"OK","",$D1340*N(INDEX('Menu Pricing'!$F$7:$F$56,$O1340)))</f>
        <v/>
      </c>
      <c r="N1340" s="80">
        <f>IF(AND($B1340="",$C1340="",$D1340=""),"",IF(NOT(ISNUMBER($B1340)),"Enter a valid date",IF($C1340="","Pick a menu item",IF($O1340="","Item not on Menu Pricing",IF(N($D1340)&lt;=0,"Qty must be above 0",IF($H1340="","No price on menu","OK"))))))</f>
        <v/>
      </c>
      <c r="O1340" s="13">
        <f>IF($C1340="","",IFERROR(MATCH($C1340,'Menu Pricing'!$B$7:$B$56,0),""))</f>
        <v/>
      </c>
    </row>
    <row r="1341" ht="17" customHeight="1">
      <c r="B1341" s="66" t="n"/>
      <c r="C1341" s="60" t="n"/>
      <c r="D1341" s="86" t="n"/>
      <c r="E1341" s="63" t="n"/>
      <c r="F1341" s="60" t="n"/>
      <c r="G1341" s="60" t="n"/>
      <c r="H1341" s="71">
        <f>IF(OR($C1341="",$D1341=""),"",IF(ISNUMBER($E1341),$E1341,IF($O1341="","",IF(N(INDEX('Menu Pricing'!$O$7:$O$56,$O1341))&gt;0,INDEX('Menu Pricing'!$O$7:$O$56,$O1341),""))))</f>
        <v/>
      </c>
      <c r="I1341" s="71">
        <f>IF($N1341&lt;&gt;"OK","",$D1341*$H1341)</f>
        <v/>
      </c>
      <c r="J1341" s="71">
        <f>IF($N1341&lt;&gt;"OK","",N(INDEX('Menu Pricing'!$F$7:$F$56,$O1341))+N(INDEX('Menu Pricing'!$G$7:$G$56,$O1341))+N(INDEX('Menu Pricing'!$J$7:$J$56,$O1341)))</f>
        <v/>
      </c>
      <c r="K1341" s="71">
        <f>IF($N1341&lt;&gt;"OK","",$D1341*$J1341)</f>
        <v/>
      </c>
      <c r="L1341" s="71">
        <f>IF($N1341&lt;&gt;"OK","",$I1341-$K1341)</f>
        <v/>
      </c>
      <c r="M1341" s="71">
        <f>IF($N1341&lt;&gt;"OK","",$D1341*N(INDEX('Menu Pricing'!$F$7:$F$56,$O1341)))</f>
        <v/>
      </c>
      <c r="N1341" s="80">
        <f>IF(AND($B1341="",$C1341="",$D1341=""),"",IF(NOT(ISNUMBER($B1341)),"Enter a valid date",IF($C1341="","Pick a menu item",IF($O1341="","Item not on Menu Pricing",IF(N($D1341)&lt;=0,"Qty must be above 0",IF($H1341="","No price on menu","OK"))))))</f>
        <v/>
      </c>
      <c r="O1341" s="13">
        <f>IF($C1341="","",IFERROR(MATCH($C1341,'Menu Pricing'!$B$7:$B$56,0),""))</f>
        <v/>
      </c>
    </row>
    <row r="1342" ht="17" customHeight="1">
      <c r="B1342" s="66" t="n"/>
      <c r="C1342" s="60" t="n"/>
      <c r="D1342" s="86" t="n"/>
      <c r="E1342" s="63" t="n"/>
      <c r="F1342" s="60" t="n"/>
      <c r="G1342" s="60" t="n"/>
      <c r="H1342" s="71">
        <f>IF(OR($C1342="",$D1342=""),"",IF(ISNUMBER($E1342),$E1342,IF($O1342="","",IF(N(INDEX('Menu Pricing'!$O$7:$O$56,$O1342))&gt;0,INDEX('Menu Pricing'!$O$7:$O$56,$O1342),""))))</f>
        <v/>
      </c>
      <c r="I1342" s="71">
        <f>IF($N1342&lt;&gt;"OK","",$D1342*$H1342)</f>
        <v/>
      </c>
      <c r="J1342" s="71">
        <f>IF($N1342&lt;&gt;"OK","",N(INDEX('Menu Pricing'!$F$7:$F$56,$O1342))+N(INDEX('Menu Pricing'!$G$7:$G$56,$O1342))+N(INDEX('Menu Pricing'!$J$7:$J$56,$O1342)))</f>
        <v/>
      </c>
      <c r="K1342" s="71">
        <f>IF($N1342&lt;&gt;"OK","",$D1342*$J1342)</f>
        <v/>
      </c>
      <c r="L1342" s="71">
        <f>IF($N1342&lt;&gt;"OK","",$I1342-$K1342)</f>
        <v/>
      </c>
      <c r="M1342" s="71">
        <f>IF($N1342&lt;&gt;"OK","",$D1342*N(INDEX('Menu Pricing'!$F$7:$F$56,$O1342)))</f>
        <v/>
      </c>
      <c r="N1342" s="80">
        <f>IF(AND($B1342="",$C1342="",$D1342=""),"",IF(NOT(ISNUMBER($B1342)),"Enter a valid date",IF($C1342="","Pick a menu item",IF($O1342="","Item not on Menu Pricing",IF(N($D1342)&lt;=0,"Qty must be above 0",IF($H1342="","No price on menu","OK"))))))</f>
        <v/>
      </c>
      <c r="O1342" s="13">
        <f>IF($C1342="","",IFERROR(MATCH($C1342,'Menu Pricing'!$B$7:$B$56,0),""))</f>
        <v/>
      </c>
    </row>
    <row r="1343" ht="17" customHeight="1">
      <c r="B1343" s="66" t="n"/>
      <c r="C1343" s="60" t="n"/>
      <c r="D1343" s="86" t="n"/>
      <c r="E1343" s="63" t="n"/>
      <c r="F1343" s="60" t="n"/>
      <c r="G1343" s="60" t="n"/>
      <c r="H1343" s="71">
        <f>IF(OR($C1343="",$D1343=""),"",IF(ISNUMBER($E1343),$E1343,IF($O1343="","",IF(N(INDEX('Menu Pricing'!$O$7:$O$56,$O1343))&gt;0,INDEX('Menu Pricing'!$O$7:$O$56,$O1343),""))))</f>
        <v/>
      </c>
      <c r="I1343" s="71">
        <f>IF($N1343&lt;&gt;"OK","",$D1343*$H1343)</f>
        <v/>
      </c>
      <c r="J1343" s="71">
        <f>IF($N1343&lt;&gt;"OK","",N(INDEX('Menu Pricing'!$F$7:$F$56,$O1343))+N(INDEX('Menu Pricing'!$G$7:$G$56,$O1343))+N(INDEX('Menu Pricing'!$J$7:$J$56,$O1343)))</f>
        <v/>
      </c>
      <c r="K1343" s="71">
        <f>IF($N1343&lt;&gt;"OK","",$D1343*$J1343)</f>
        <v/>
      </c>
      <c r="L1343" s="71">
        <f>IF($N1343&lt;&gt;"OK","",$I1343-$K1343)</f>
        <v/>
      </c>
      <c r="M1343" s="71">
        <f>IF($N1343&lt;&gt;"OK","",$D1343*N(INDEX('Menu Pricing'!$F$7:$F$56,$O1343)))</f>
        <v/>
      </c>
      <c r="N1343" s="80">
        <f>IF(AND($B1343="",$C1343="",$D1343=""),"",IF(NOT(ISNUMBER($B1343)),"Enter a valid date",IF($C1343="","Pick a menu item",IF($O1343="","Item not on Menu Pricing",IF(N($D1343)&lt;=0,"Qty must be above 0",IF($H1343="","No price on menu","OK"))))))</f>
        <v/>
      </c>
      <c r="O1343" s="13">
        <f>IF($C1343="","",IFERROR(MATCH($C1343,'Menu Pricing'!$B$7:$B$56,0),""))</f>
        <v/>
      </c>
    </row>
    <row r="1344" ht="17" customHeight="1">
      <c r="B1344" s="66" t="n"/>
      <c r="C1344" s="60" t="n"/>
      <c r="D1344" s="86" t="n"/>
      <c r="E1344" s="63" t="n"/>
      <c r="F1344" s="60" t="n"/>
      <c r="G1344" s="60" t="n"/>
      <c r="H1344" s="71">
        <f>IF(OR($C1344="",$D1344=""),"",IF(ISNUMBER($E1344),$E1344,IF($O1344="","",IF(N(INDEX('Menu Pricing'!$O$7:$O$56,$O1344))&gt;0,INDEX('Menu Pricing'!$O$7:$O$56,$O1344),""))))</f>
        <v/>
      </c>
      <c r="I1344" s="71">
        <f>IF($N1344&lt;&gt;"OK","",$D1344*$H1344)</f>
        <v/>
      </c>
      <c r="J1344" s="71">
        <f>IF($N1344&lt;&gt;"OK","",N(INDEX('Menu Pricing'!$F$7:$F$56,$O1344))+N(INDEX('Menu Pricing'!$G$7:$G$56,$O1344))+N(INDEX('Menu Pricing'!$J$7:$J$56,$O1344)))</f>
        <v/>
      </c>
      <c r="K1344" s="71">
        <f>IF($N1344&lt;&gt;"OK","",$D1344*$J1344)</f>
        <v/>
      </c>
      <c r="L1344" s="71">
        <f>IF($N1344&lt;&gt;"OK","",$I1344-$K1344)</f>
        <v/>
      </c>
      <c r="M1344" s="71">
        <f>IF($N1344&lt;&gt;"OK","",$D1344*N(INDEX('Menu Pricing'!$F$7:$F$56,$O1344)))</f>
        <v/>
      </c>
      <c r="N1344" s="80">
        <f>IF(AND($B1344="",$C1344="",$D1344=""),"",IF(NOT(ISNUMBER($B1344)),"Enter a valid date",IF($C1344="","Pick a menu item",IF($O1344="","Item not on Menu Pricing",IF(N($D1344)&lt;=0,"Qty must be above 0",IF($H1344="","No price on menu","OK"))))))</f>
        <v/>
      </c>
      <c r="O1344" s="13">
        <f>IF($C1344="","",IFERROR(MATCH($C1344,'Menu Pricing'!$B$7:$B$56,0),""))</f>
        <v/>
      </c>
    </row>
    <row r="1345" ht="17" customHeight="1">
      <c r="B1345" s="66" t="n"/>
      <c r="C1345" s="60" t="n"/>
      <c r="D1345" s="86" t="n"/>
      <c r="E1345" s="63" t="n"/>
      <c r="F1345" s="60" t="n"/>
      <c r="G1345" s="60" t="n"/>
      <c r="H1345" s="71">
        <f>IF(OR($C1345="",$D1345=""),"",IF(ISNUMBER($E1345),$E1345,IF($O1345="","",IF(N(INDEX('Menu Pricing'!$O$7:$O$56,$O1345))&gt;0,INDEX('Menu Pricing'!$O$7:$O$56,$O1345),""))))</f>
        <v/>
      </c>
      <c r="I1345" s="71">
        <f>IF($N1345&lt;&gt;"OK","",$D1345*$H1345)</f>
        <v/>
      </c>
      <c r="J1345" s="71">
        <f>IF($N1345&lt;&gt;"OK","",N(INDEX('Menu Pricing'!$F$7:$F$56,$O1345))+N(INDEX('Menu Pricing'!$G$7:$G$56,$O1345))+N(INDEX('Menu Pricing'!$J$7:$J$56,$O1345)))</f>
        <v/>
      </c>
      <c r="K1345" s="71">
        <f>IF($N1345&lt;&gt;"OK","",$D1345*$J1345)</f>
        <v/>
      </c>
      <c r="L1345" s="71">
        <f>IF($N1345&lt;&gt;"OK","",$I1345-$K1345)</f>
        <v/>
      </c>
      <c r="M1345" s="71">
        <f>IF($N1345&lt;&gt;"OK","",$D1345*N(INDEX('Menu Pricing'!$F$7:$F$56,$O1345)))</f>
        <v/>
      </c>
      <c r="N1345" s="80">
        <f>IF(AND($B1345="",$C1345="",$D1345=""),"",IF(NOT(ISNUMBER($B1345)),"Enter a valid date",IF($C1345="","Pick a menu item",IF($O1345="","Item not on Menu Pricing",IF(N($D1345)&lt;=0,"Qty must be above 0",IF($H1345="","No price on menu","OK"))))))</f>
        <v/>
      </c>
      <c r="O1345" s="13">
        <f>IF($C1345="","",IFERROR(MATCH($C1345,'Menu Pricing'!$B$7:$B$56,0),""))</f>
        <v/>
      </c>
    </row>
    <row r="1346" ht="17" customHeight="1">
      <c r="B1346" s="66" t="n"/>
      <c r="C1346" s="60" t="n"/>
      <c r="D1346" s="86" t="n"/>
      <c r="E1346" s="63" t="n"/>
      <c r="F1346" s="60" t="n"/>
      <c r="G1346" s="60" t="n"/>
      <c r="H1346" s="71">
        <f>IF(OR($C1346="",$D1346=""),"",IF(ISNUMBER($E1346),$E1346,IF($O1346="","",IF(N(INDEX('Menu Pricing'!$O$7:$O$56,$O1346))&gt;0,INDEX('Menu Pricing'!$O$7:$O$56,$O1346),""))))</f>
        <v/>
      </c>
      <c r="I1346" s="71">
        <f>IF($N1346&lt;&gt;"OK","",$D1346*$H1346)</f>
        <v/>
      </c>
      <c r="J1346" s="71">
        <f>IF($N1346&lt;&gt;"OK","",N(INDEX('Menu Pricing'!$F$7:$F$56,$O1346))+N(INDEX('Menu Pricing'!$G$7:$G$56,$O1346))+N(INDEX('Menu Pricing'!$J$7:$J$56,$O1346)))</f>
        <v/>
      </c>
      <c r="K1346" s="71">
        <f>IF($N1346&lt;&gt;"OK","",$D1346*$J1346)</f>
        <v/>
      </c>
      <c r="L1346" s="71">
        <f>IF($N1346&lt;&gt;"OK","",$I1346-$K1346)</f>
        <v/>
      </c>
      <c r="M1346" s="71">
        <f>IF($N1346&lt;&gt;"OK","",$D1346*N(INDEX('Menu Pricing'!$F$7:$F$56,$O1346)))</f>
        <v/>
      </c>
      <c r="N1346" s="80">
        <f>IF(AND($B1346="",$C1346="",$D1346=""),"",IF(NOT(ISNUMBER($B1346)),"Enter a valid date",IF($C1346="","Pick a menu item",IF($O1346="","Item not on Menu Pricing",IF(N($D1346)&lt;=0,"Qty must be above 0",IF($H1346="","No price on menu","OK"))))))</f>
        <v/>
      </c>
      <c r="O1346" s="13">
        <f>IF($C1346="","",IFERROR(MATCH($C1346,'Menu Pricing'!$B$7:$B$56,0),""))</f>
        <v/>
      </c>
    </row>
    <row r="1347" ht="17" customHeight="1">
      <c r="B1347" s="66" t="n"/>
      <c r="C1347" s="60" t="n"/>
      <c r="D1347" s="86" t="n"/>
      <c r="E1347" s="63" t="n"/>
      <c r="F1347" s="60" t="n"/>
      <c r="G1347" s="60" t="n"/>
      <c r="H1347" s="71">
        <f>IF(OR($C1347="",$D1347=""),"",IF(ISNUMBER($E1347),$E1347,IF($O1347="","",IF(N(INDEX('Menu Pricing'!$O$7:$O$56,$O1347))&gt;0,INDEX('Menu Pricing'!$O$7:$O$56,$O1347),""))))</f>
        <v/>
      </c>
      <c r="I1347" s="71">
        <f>IF($N1347&lt;&gt;"OK","",$D1347*$H1347)</f>
        <v/>
      </c>
      <c r="J1347" s="71">
        <f>IF($N1347&lt;&gt;"OK","",N(INDEX('Menu Pricing'!$F$7:$F$56,$O1347))+N(INDEX('Menu Pricing'!$G$7:$G$56,$O1347))+N(INDEX('Menu Pricing'!$J$7:$J$56,$O1347)))</f>
        <v/>
      </c>
      <c r="K1347" s="71">
        <f>IF($N1347&lt;&gt;"OK","",$D1347*$J1347)</f>
        <v/>
      </c>
      <c r="L1347" s="71">
        <f>IF($N1347&lt;&gt;"OK","",$I1347-$K1347)</f>
        <v/>
      </c>
      <c r="M1347" s="71">
        <f>IF($N1347&lt;&gt;"OK","",$D1347*N(INDEX('Menu Pricing'!$F$7:$F$56,$O1347)))</f>
        <v/>
      </c>
      <c r="N1347" s="80">
        <f>IF(AND($B1347="",$C1347="",$D1347=""),"",IF(NOT(ISNUMBER($B1347)),"Enter a valid date",IF($C1347="","Pick a menu item",IF($O1347="","Item not on Menu Pricing",IF(N($D1347)&lt;=0,"Qty must be above 0",IF($H1347="","No price on menu","OK"))))))</f>
        <v/>
      </c>
      <c r="O1347" s="13">
        <f>IF($C1347="","",IFERROR(MATCH($C1347,'Menu Pricing'!$B$7:$B$56,0),""))</f>
        <v/>
      </c>
    </row>
    <row r="1348" ht="17" customHeight="1">
      <c r="B1348" s="66" t="n"/>
      <c r="C1348" s="60" t="n"/>
      <c r="D1348" s="86" t="n"/>
      <c r="E1348" s="63" t="n"/>
      <c r="F1348" s="60" t="n"/>
      <c r="G1348" s="60" t="n"/>
      <c r="H1348" s="71">
        <f>IF(OR($C1348="",$D1348=""),"",IF(ISNUMBER($E1348),$E1348,IF($O1348="","",IF(N(INDEX('Menu Pricing'!$O$7:$O$56,$O1348))&gt;0,INDEX('Menu Pricing'!$O$7:$O$56,$O1348),""))))</f>
        <v/>
      </c>
      <c r="I1348" s="71">
        <f>IF($N1348&lt;&gt;"OK","",$D1348*$H1348)</f>
        <v/>
      </c>
      <c r="J1348" s="71">
        <f>IF($N1348&lt;&gt;"OK","",N(INDEX('Menu Pricing'!$F$7:$F$56,$O1348))+N(INDEX('Menu Pricing'!$G$7:$G$56,$O1348))+N(INDEX('Menu Pricing'!$J$7:$J$56,$O1348)))</f>
        <v/>
      </c>
      <c r="K1348" s="71">
        <f>IF($N1348&lt;&gt;"OK","",$D1348*$J1348)</f>
        <v/>
      </c>
      <c r="L1348" s="71">
        <f>IF($N1348&lt;&gt;"OK","",$I1348-$K1348)</f>
        <v/>
      </c>
      <c r="M1348" s="71">
        <f>IF($N1348&lt;&gt;"OK","",$D1348*N(INDEX('Menu Pricing'!$F$7:$F$56,$O1348)))</f>
        <v/>
      </c>
      <c r="N1348" s="80">
        <f>IF(AND($B1348="",$C1348="",$D1348=""),"",IF(NOT(ISNUMBER($B1348)),"Enter a valid date",IF($C1348="","Pick a menu item",IF($O1348="","Item not on Menu Pricing",IF(N($D1348)&lt;=0,"Qty must be above 0",IF($H1348="","No price on menu","OK"))))))</f>
        <v/>
      </c>
      <c r="O1348" s="13">
        <f>IF($C1348="","",IFERROR(MATCH($C1348,'Menu Pricing'!$B$7:$B$56,0),""))</f>
        <v/>
      </c>
    </row>
    <row r="1349" ht="17" customHeight="1">
      <c r="B1349" s="66" t="n"/>
      <c r="C1349" s="60" t="n"/>
      <c r="D1349" s="86" t="n"/>
      <c r="E1349" s="63" t="n"/>
      <c r="F1349" s="60" t="n"/>
      <c r="G1349" s="60" t="n"/>
      <c r="H1349" s="71">
        <f>IF(OR($C1349="",$D1349=""),"",IF(ISNUMBER($E1349),$E1349,IF($O1349="","",IF(N(INDEX('Menu Pricing'!$O$7:$O$56,$O1349))&gt;0,INDEX('Menu Pricing'!$O$7:$O$56,$O1349),""))))</f>
        <v/>
      </c>
      <c r="I1349" s="71">
        <f>IF($N1349&lt;&gt;"OK","",$D1349*$H1349)</f>
        <v/>
      </c>
      <c r="J1349" s="71">
        <f>IF($N1349&lt;&gt;"OK","",N(INDEX('Menu Pricing'!$F$7:$F$56,$O1349))+N(INDEX('Menu Pricing'!$G$7:$G$56,$O1349))+N(INDEX('Menu Pricing'!$J$7:$J$56,$O1349)))</f>
        <v/>
      </c>
      <c r="K1349" s="71">
        <f>IF($N1349&lt;&gt;"OK","",$D1349*$J1349)</f>
        <v/>
      </c>
      <c r="L1349" s="71">
        <f>IF($N1349&lt;&gt;"OK","",$I1349-$K1349)</f>
        <v/>
      </c>
      <c r="M1349" s="71">
        <f>IF($N1349&lt;&gt;"OK","",$D1349*N(INDEX('Menu Pricing'!$F$7:$F$56,$O1349)))</f>
        <v/>
      </c>
      <c r="N1349" s="80">
        <f>IF(AND($B1349="",$C1349="",$D1349=""),"",IF(NOT(ISNUMBER($B1349)),"Enter a valid date",IF($C1349="","Pick a menu item",IF($O1349="","Item not on Menu Pricing",IF(N($D1349)&lt;=0,"Qty must be above 0",IF($H1349="","No price on menu","OK"))))))</f>
        <v/>
      </c>
      <c r="O1349" s="13">
        <f>IF($C1349="","",IFERROR(MATCH($C1349,'Menu Pricing'!$B$7:$B$56,0),""))</f>
        <v/>
      </c>
    </row>
    <row r="1350" ht="17" customHeight="1">
      <c r="B1350" s="66" t="n"/>
      <c r="C1350" s="60" t="n"/>
      <c r="D1350" s="86" t="n"/>
      <c r="E1350" s="63" t="n"/>
      <c r="F1350" s="60" t="n"/>
      <c r="G1350" s="60" t="n"/>
      <c r="H1350" s="71">
        <f>IF(OR($C1350="",$D1350=""),"",IF(ISNUMBER($E1350),$E1350,IF($O1350="","",IF(N(INDEX('Menu Pricing'!$O$7:$O$56,$O1350))&gt;0,INDEX('Menu Pricing'!$O$7:$O$56,$O1350),""))))</f>
        <v/>
      </c>
      <c r="I1350" s="71">
        <f>IF($N1350&lt;&gt;"OK","",$D1350*$H1350)</f>
        <v/>
      </c>
      <c r="J1350" s="71">
        <f>IF($N1350&lt;&gt;"OK","",N(INDEX('Menu Pricing'!$F$7:$F$56,$O1350))+N(INDEX('Menu Pricing'!$G$7:$G$56,$O1350))+N(INDEX('Menu Pricing'!$J$7:$J$56,$O1350)))</f>
        <v/>
      </c>
      <c r="K1350" s="71">
        <f>IF($N1350&lt;&gt;"OK","",$D1350*$J1350)</f>
        <v/>
      </c>
      <c r="L1350" s="71">
        <f>IF($N1350&lt;&gt;"OK","",$I1350-$K1350)</f>
        <v/>
      </c>
      <c r="M1350" s="71">
        <f>IF($N1350&lt;&gt;"OK","",$D1350*N(INDEX('Menu Pricing'!$F$7:$F$56,$O1350)))</f>
        <v/>
      </c>
      <c r="N1350" s="80">
        <f>IF(AND($B1350="",$C1350="",$D1350=""),"",IF(NOT(ISNUMBER($B1350)),"Enter a valid date",IF($C1350="","Pick a menu item",IF($O1350="","Item not on Menu Pricing",IF(N($D1350)&lt;=0,"Qty must be above 0",IF($H1350="","No price on menu","OK"))))))</f>
        <v/>
      </c>
      <c r="O1350" s="13">
        <f>IF($C1350="","",IFERROR(MATCH($C1350,'Menu Pricing'!$B$7:$B$56,0),""))</f>
        <v/>
      </c>
    </row>
    <row r="1351" ht="17" customHeight="1">
      <c r="B1351" s="66" t="n"/>
      <c r="C1351" s="60" t="n"/>
      <c r="D1351" s="86" t="n"/>
      <c r="E1351" s="63" t="n"/>
      <c r="F1351" s="60" t="n"/>
      <c r="G1351" s="60" t="n"/>
      <c r="H1351" s="71">
        <f>IF(OR($C1351="",$D1351=""),"",IF(ISNUMBER($E1351),$E1351,IF($O1351="","",IF(N(INDEX('Menu Pricing'!$O$7:$O$56,$O1351))&gt;0,INDEX('Menu Pricing'!$O$7:$O$56,$O1351),""))))</f>
        <v/>
      </c>
      <c r="I1351" s="71">
        <f>IF($N1351&lt;&gt;"OK","",$D1351*$H1351)</f>
        <v/>
      </c>
      <c r="J1351" s="71">
        <f>IF($N1351&lt;&gt;"OK","",N(INDEX('Menu Pricing'!$F$7:$F$56,$O1351))+N(INDEX('Menu Pricing'!$G$7:$G$56,$O1351))+N(INDEX('Menu Pricing'!$J$7:$J$56,$O1351)))</f>
        <v/>
      </c>
      <c r="K1351" s="71">
        <f>IF($N1351&lt;&gt;"OK","",$D1351*$J1351)</f>
        <v/>
      </c>
      <c r="L1351" s="71">
        <f>IF($N1351&lt;&gt;"OK","",$I1351-$K1351)</f>
        <v/>
      </c>
      <c r="M1351" s="71">
        <f>IF($N1351&lt;&gt;"OK","",$D1351*N(INDEX('Menu Pricing'!$F$7:$F$56,$O1351)))</f>
        <v/>
      </c>
      <c r="N1351" s="80">
        <f>IF(AND($B1351="",$C1351="",$D1351=""),"",IF(NOT(ISNUMBER($B1351)),"Enter a valid date",IF($C1351="","Pick a menu item",IF($O1351="","Item not on Menu Pricing",IF(N($D1351)&lt;=0,"Qty must be above 0",IF($H1351="","No price on menu","OK"))))))</f>
        <v/>
      </c>
      <c r="O1351" s="13">
        <f>IF($C1351="","",IFERROR(MATCH($C1351,'Menu Pricing'!$B$7:$B$56,0),""))</f>
        <v/>
      </c>
    </row>
    <row r="1352" ht="17" customHeight="1">
      <c r="B1352" s="66" t="n"/>
      <c r="C1352" s="60" t="n"/>
      <c r="D1352" s="86" t="n"/>
      <c r="E1352" s="63" t="n"/>
      <c r="F1352" s="60" t="n"/>
      <c r="G1352" s="60" t="n"/>
      <c r="H1352" s="71">
        <f>IF(OR($C1352="",$D1352=""),"",IF(ISNUMBER($E1352),$E1352,IF($O1352="","",IF(N(INDEX('Menu Pricing'!$O$7:$O$56,$O1352))&gt;0,INDEX('Menu Pricing'!$O$7:$O$56,$O1352),""))))</f>
        <v/>
      </c>
      <c r="I1352" s="71">
        <f>IF($N1352&lt;&gt;"OK","",$D1352*$H1352)</f>
        <v/>
      </c>
      <c r="J1352" s="71">
        <f>IF($N1352&lt;&gt;"OK","",N(INDEX('Menu Pricing'!$F$7:$F$56,$O1352))+N(INDEX('Menu Pricing'!$G$7:$G$56,$O1352))+N(INDEX('Menu Pricing'!$J$7:$J$56,$O1352)))</f>
        <v/>
      </c>
      <c r="K1352" s="71">
        <f>IF($N1352&lt;&gt;"OK","",$D1352*$J1352)</f>
        <v/>
      </c>
      <c r="L1352" s="71">
        <f>IF($N1352&lt;&gt;"OK","",$I1352-$K1352)</f>
        <v/>
      </c>
      <c r="M1352" s="71">
        <f>IF($N1352&lt;&gt;"OK","",$D1352*N(INDEX('Menu Pricing'!$F$7:$F$56,$O1352)))</f>
        <v/>
      </c>
      <c r="N1352" s="80">
        <f>IF(AND($B1352="",$C1352="",$D1352=""),"",IF(NOT(ISNUMBER($B1352)),"Enter a valid date",IF($C1352="","Pick a menu item",IF($O1352="","Item not on Menu Pricing",IF(N($D1352)&lt;=0,"Qty must be above 0",IF($H1352="","No price on menu","OK"))))))</f>
        <v/>
      </c>
      <c r="O1352" s="13">
        <f>IF($C1352="","",IFERROR(MATCH($C1352,'Menu Pricing'!$B$7:$B$56,0),""))</f>
        <v/>
      </c>
    </row>
    <row r="1353" ht="17" customHeight="1">
      <c r="B1353" s="66" t="n"/>
      <c r="C1353" s="60" t="n"/>
      <c r="D1353" s="86" t="n"/>
      <c r="E1353" s="63" t="n"/>
      <c r="F1353" s="60" t="n"/>
      <c r="G1353" s="60" t="n"/>
      <c r="H1353" s="71">
        <f>IF(OR($C1353="",$D1353=""),"",IF(ISNUMBER($E1353),$E1353,IF($O1353="","",IF(N(INDEX('Menu Pricing'!$O$7:$O$56,$O1353))&gt;0,INDEX('Menu Pricing'!$O$7:$O$56,$O1353),""))))</f>
        <v/>
      </c>
      <c r="I1353" s="71">
        <f>IF($N1353&lt;&gt;"OK","",$D1353*$H1353)</f>
        <v/>
      </c>
      <c r="J1353" s="71">
        <f>IF($N1353&lt;&gt;"OK","",N(INDEX('Menu Pricing'!$F$7:$F$56,$O1353))+N(INDEX('Menu Pricing'!$G$7:$G$56,$O1353))+N(INDEX('Menu Pricing'!$J$7:$J$56,$O1353)))</f>
        <v/>
      </c>
      <c r="K1353" s="71">
        <f>IF($N1353&lt;&gt;"OK","",$D1353*$J1353)</f>
        <v/>
      </c>
      <c r="L1353" s="71">
        <f>IF($N1353&lt;&gt;"OK","",$I1353-$K1353)</f>
        <v/>
      </c>
      <c r="M1353" s="71">
        <f>IF($N1353&lt;&gt;"OK","",$D1353*N(INDEX('Menu Pricing'!$F$7:$F$56,$O1353)))</f>
        <v/>
      </c>
      <c r="N1353" s="80">
        <f>IF(AND($B1353="",$C1353="",$D1353=""),"",IF(NOT(ISNUMBER($B1353)),"Enter a valid date",IF($C1353="","Pick a menu item",IF($O1353="","Item not on Menu Pricing",IF(N($D1353)&lt;=0,"Qty must be above 0",IF($H1353="","No price on menu","OK"))))))</f>
        <v/>
      </c>
      <c r="O1353" s="13">
        <f>IF($C1353="","",IFERROR(MATCH($C1353,'Menu Pricing'!$B$7:$B$56,0),""))</f>
        <v/>
      </c>
    </row>
    <row r="1354" ht="17" customHeight="1">
      <c r="B1354" s="66" t="n"/>
      <c r="C1354" s="60" t="n"/>
      <c r="D1354" s="86" t="n"/>
      <c r="E1354" s="63" t="n"/>
      <c r="F1354" s="60" t="n"/>
      <c r="G1354" s="60" t="n"/>
      <c r="H1354" s="71">
        <f>IF(OR($C1354="",$D1354=""),"",IF(ISNUMBER($E1354),$E1354,IF($O1354="","",IF(N(INDEX('Menu Pricing'!$O$7:$O$56,$O1354))&gt;0,INDEX('Menu Pricing'!$O$7:$O$56,$O1354),""))))</f>
        <v/>
      </c>
      <c r="I1354" s="71">
        <f>IF($N1354&lt;&gt;"OK","",$D1354*$H1354)</f>
        <v/>
      </c>
      <c r="J1354" s="71">
        <f>IF($N1354&lt;&gt;"OK","",N(INDEX('Menu Pricing'!$F$7:$F$56,$O1354))+N(INDEX('Menu Pricing'!$G$7:$G$56,$O1354))+N(INDEX('Menu Pricing'!$J$7:$J$56,$O1354)))</f>
        <v/>
      </c>
      <c r="K1354" s="71">
        <f>IF($N1354&lt;&gt;"OK","",$D1354*$J1354)</f>
        <v/>
      </c>
      <c r="L1354" s="71">
        <f>IF($N1354&lt;&gt;"OK","",$I1354-$K1354)</f>
        <v/>
      </c>
      <c r="M1354" s="71">
        <f>IF($N1354&lt;&gt;"OK","",$D1354*N(INDEX('Menu Pricing'!$F$7:$F$56,$O1354)))</f>
        <v/>
      </c>
      <c r="N1354" s="80">
        <f>IF(AND($B1354="",$C1354="",$D1354=""),"",IF(NOT(ISNUMBER($B1354)),"Enter a valid date",IF($C1354="","Pick a menu item",IF($O1354="","Item not on Menu Pricing",IF(N($D1354)&lt;=0,"Qty must be above 0",IF($H1354="","No price on menu","OK"))))))</f>
        <v/>
      </c>
      <c r="O1354" s="13">
        <f>IF($C1354="","",IFERROR(MATCH($C1354,'Menu Pricing'!$B$7:$B$56,0),""))</f>
        <v/>
      </c>
    </row>
    <row r="1355" ht="17" customHeight="1">
      <c r="B1355" s="66" t="n"/>
      <c r="C1355" s="60" t="n"/>
      <c r="D1355" s="86" t="n"/>
      <c r="E1355" s="63" t="n"/>
      <c r="F1355" s="60" t="n"/>
      <c r="G1355" s="60" t="n"/>
      <c r="H1355" s="71">
        <f>IF(OR($C1355="",$D1355=""),"",IF(ISNUMBER($E1355),$E1355,IF($O1355="","",IF(N(INDEX('Menu Pricing'!$O$7:$O$56,$O1355))&gt;0,INDEX('Menu Pricing'!$O$7:$O$56,$O1355),""))))</f>
        <v/>
      </c>
      <c r="I1355" s="71">
        <f>IF($N1355&lt;&gt;"OK","",$D1355*$H1355)</f>
        <v/>
      </c>
      <c r="J1355" s="71">
        <f>IF($N1355&lt;&gt;"OK","",N(INDEX('Menu Pricing'!$F$7:$F$56,$O1355))+N(INDEX('Menu Pricing'!$G$7:$G$56,$O1355))+N(INDEX('Menu Pricing'!$J$7:$J$56,$O1355)))</f>
        <v/>
      </c>
      <c r="K1355" s="71">
        <f>IF($N1355&lt;&gt;"OK","",$D1355*$J1355)</f>
        <v/>
      </c>
      <c r="L1355" s="71">
        <f>IF($N1355&lt;&gt;"OK","",$I1355-$K1355)</f>
        <v/>
      </c>
      <c r="M1355" s="71">
        <f>IF($N1355&lt;&gt;"OK","",$D1355*N(INDEX('Menu Pricing'!$F$7:$F$56,$O1355)))</f>
        <v/>
      </c>
      <c r="N1355" s="80">
        <f>IF(AND($B1355="",$C1355="",$D1355=""),"",IF(NOT(ISNUMBER($B1355)),"Enter a valid date",IF($C1355="","Pick a menu item",IF($O1355="","Item not on Menu Pricing",IF(N($D1355)&lt;=0,"Qty must be above 0",IF($H1355="","No price on menu","OK"))))))</f>
        <v/>
      </c>
      <c r="O1355" s="13">
        <f>IF($C1355="","",IFERROR(MATCH($C1355,'Menu Pricing'!$B$7:$B$56,0),""))</f>
        <v/>
      </c>
    </row>
    <row r="1356" ht="17" customHeight="1">
      <c r="B1356" s="66" t="n"/>
      <c r="C1356" s="60" t="n"/>
      <c r="D1356" s="86" t="n"/>
      <c r="E1356" s="63" t="n"/>
      <c r="F1356" s="60" t="n"/>
      <c r="G1356" s="60" t="n"/>
      <c r="H1356" s="71">
        <f>IF(OR($C1356="",$D1356=""),"",IF(ISNUMBER($E1356),$E1356,IF($O1356="","",IF(N(INDEX('Menu Pricing'!$O$7:$O$56,$O1356))&gt;0,INDEX('Menu Pricing'!$O$7:$O$56,$O1356),""))))</f>
        <v/>
      </c>
      <c r="I1356" s="71">
        <f>IF($N1356&lt;&gt;"OK","",$D1356*$H1356)</f>
        <v/>
      </c>
      <c r="J1356" s="71">
        <f>IF($N1356&lt;&gt;"OK","",N(INDEX('Menu Pricing'!$F$7:$F$56,$O1356))+N(INDEX('Menu Pricing'!$G$7:$G$56,$O1356))+N(INDEX('Menu Pricing'!$J$7:$J$56,$O1356)))</f>
        <v/>
      </c>
      <c r="K1356" s="71">
        <f>IF($N1356&lt;&gt;"OK","",$D1356*$J1356)</f>
        <v/>
      </c>
      <c r="L1356" s="71">
        <f>IF($N1356&lt;&gt;"OK","",$I1356-$K1356)</f>
        <v/>
      </c>
      <c r="M1356" s="71">
        <f>IF($N1356&lt;&gt;"OK","",$D1356*N(INDEX('Menu Pricing'!$F$7:$F$56,$O1356)))</f>
        <v/>
      </c>
      <c r="N1356" s="80">
        <f>IF(AND($B1356="",$C1356="",$D1356=""),"",IF(NOT(ISNUMBER($B1356)),"Enter a valid date",IF($C1356="","Pick a menu item",IF($O1356="","Item not on Menu Pricing",IF(N($D1356)&lt;=0,"Qty must be above 0",IF($H1356="","No price on menu","OK"))))))</f>
        <v/>
      </c>
      <c r="O1356" s="13">
        <f>IF($C1356="","",IFERROR(MATCH($C1356,'Menu Pricing'!$B$7:$B$56,0),""))</f>
        <v/>
      </c>
    </row>
    <row r="1357" ht="17" customHeight="1">
      <c r="B1357" s="66" t="n"/>
      <c r="C1357" s="60" t="n"/>
      <c r="D1357" s="86" t="n"/>
      <c r="E1357" s="63" t="n"/>
      <c r="F1357" s="60" t="n"/>
      <c r="G1357" s="60" t="n"/>
      <c r="H1357" s="71">
        <f>IF(OR($C1357="",$D1357=""),"",IF(ISNUMBER($E1357),$E1357,IF($O1357="","",IF(N(INDEX('Menu Pricing'!$O$7:$O$56,$O1357))&gt;0,INDEX('Menu Pricing'!$O$7:$O$56,$O1357),""))))</f>
        <v/>
      </c>
      <c r="I1357" s="71">
        <f>IF($N1357&lt;&gt;"OK","",$D1357*$H1357)</f>
        <v/>
      </c>
      <c r="J1357" s="71">
        <f>IF($N1357&lt;&gt;"OK","",N(INDEX('Menu Pricing'!$F$7:$F$56,$O1357))+N(INDEX('Menu Pricing'!$G$7:$G$56,$O1357))+N(INDEX('Menu Pricing'!$J$7:$J$56,$O1357)))</f>
        <v/>
      </c>
      <c r="K1357" s="71">
        <f>IF($N1357&lt;&gt;"OK","",$D1357*$J1357)</f>
        <v/>
      </c>
      <c r="L1357" s="71">
        <f>IF($N1357&lt;&gt;"OK","",$I1357-$K1357)</f>
        <v/>
      </c>
      <c r="M1357" s="71">
        <f>IF($N1357&lt;&gt;"OK","",$D1357*N(INDEX('Menu Pricing'!$F$7:$F$56,$O1357)))</f>
        <v/>
      </c>
      <c r="N1357" s="80">
        <f>IF(AND($B1357="",$C1357="",$D1357=""),"",IF(NOT(ISNUMBER($B1357)),"Enter a valid date",IF($C1357="","Pick a menu item",IF($O1357="","Item not on Menu Pricing",IF(N($D1357)&lt;=0,"Qty must be above 0",IF($H1357="","No price on menu","OK"))))))</f>
        <v/>
      </c>
      <c r="O1357" s="13">
        <f>IF($C1357="","",IFERROR(MATCH($C1357,'Menu Pricing'!$B$7:$B$56,0),""))</f>
        <v/>
      </c>
    </row>
    <row r="1358" ht="17" customHeight="1">
      <c r="B1358" s="66" t="n"/>
      <c r="C1358" s="60" t="n"/>
      <c r="D1358" s="86" t="n"/>
      <c r="E1358" s="63" t="n"/>
      <c r="F1358" s="60" t="n"/>
      <c r="G1358" s="60" t="n"/>
      <c r="H1358" s="71">
        <f>IF(OR($C1358="",$D1358=""),"",IF(ISNUMBER($E1358),$E1358,IF($O1358="","",IF(N(INDEX('Menu Pricing'!$O$7:$O$56,$O1358))&gt;0,INDEX('Menu Pricing'!$O$7:$O$56,$O1358),""))))</f>
        <v/>
      </c>
      <c r="I1358" s="71">
        <f>IF($N1358&lt;&gt;"OK","",$D1358*$H1358)</f>
        <v/>
      </c>
      <c r="J1358" s="71">
        <f>IF($N1358&lt;&gt;"OK","",N(INDEX('Menu Pricing'!$F$7:$F$56,$O1358))+N(INDEX('Menu Pricing'!$G$7:$G$56,$O1358))+N(INDEX('Menu Pricing'!$J$7:$J$56,$O1358)))</f>
        <v/>
      </c>
      <c r="K1358" s="71">
        <f>IF($N1358&lt;&gt;"OK","",$D1358*$J1358)</f>
        <v/>
      </c>
      <c r="L1358" s="71">
        <f>IF($N1358&lt;&gt;"OK","",$I1358-$K1358)</f>
        <v/>
      </c>
      <c r="M1358" s="71">
        <f>IF($N1358&lt;&gt;"OK","",$D1358*N(INDEX('Menu Pricing'!$F$7:$F$56,$O1358)))</f>
        <v/>
      </c>
      <c r="N1358" s="80">
        <f>IF(AND($B1358="",$C1358="",$D1358=""),"",IF(NOT(ISNUMBER($B1358)),"Enter a valid date",IF($C1358="","Pick a menu item",IF($O1358="","Item not on Menu Pricing",IF(N($D1358)&lt;=0,"Qty must be above 0",IF($H1358="","No price on menu","OK"))))))</f>
        <v/>
      </c>
      <c r="O1358" s="13">
        <f>IF($C1358="","",IFERROR(MATCH($C1358,'Menu Pricing'!$B$7:$B$56,0),""))</f>
        <v/>
      </c>
    </row>
    <row r="1359" ht="17" customHeight="1">
      <c r="B1359" s="66" t="n"/>
      <c r="C1359" s="60" t="n"/>
      <c r="D1359" s="86" t="n"/>
      <c r="E1359" s="63" t="n"/>
      <c r="F1359" s="60" t="n"/>
      <c r="G1359" s="60" t="n"/>
      <c r="H1359" s="71">
        <f>IF(OR($C1359="",$D1359=""),"",IF(ISNUMBER($E1359),$E1359,IF($O1359="","",IF(N(INDEX('Menu Pricing'!$O$7:$O$56,$O1359))&gt;0,INDEX('Menu Pricing'!$O$7:$O$56,$O1359),""))))</f>
        <v/>
      </c>
      <c r="I1359" s="71">
        <f>IF($N1359&lt;&gt;"OK","",$D1359*$H1359)</f>
        <v/>
      </c>
      <c r="J1359" s="71">
        <f>IF($N1359&lt;&gt;"OK","",N(INDEX('Menu Pricing'!$F$7:$F$56,$O1359))+N(INDEX('Menu Pricing'!$G$7:$G$56,$O1359))+N(INDEX('Menu Pricing'!$J$7:$J$56,$O1359)))</f>
        <v/>
      </c>
      <c r="K1359" s="71">
        <f>IF($N1359&lt;&gt;"OK","",$D1359*$J1359)</f>
        <v/>
      </c>
      <c r="L1359" s="71">
        <f>IF($N1359&lt;&gt;"OK","",$I1359-$K1359)</f>
        <v/>
      </c>
      <c r="M1359" s="71">
        <f>IF($N1359&lt;&gt;"OK","",$D1359*N(INDEX('Menu Pricing'!$F$7:$F$56,$O1359)))</f>
        <v/>
      </c>
      <c r="N1359" s="80">
        <f>IF(AND($B1359="",$C1359="",$D1359=""),"",IF(NOT(ISNUMBER($B1359)),"Enter a valid date",IF($C1359="","Pick a menu item",IF($O1359="","Item not on Menu Pricing",IF(N($D1359)&lt;=0,"Qty must be above 0",IF($H1359="","No price on menu","OK"))))))</f>
        <v/>
      </c>
      <c r="O1359" s="13">
        <f>IF($C1359="","",IFERROR(MATCH($C1359,'Menu Pricing'!$B$7:$B$56,0),""))</f>
        <v/>
      </c>
    </row>
    <row r="1360" ht="17" customHeight="1">
      <c r="B1360" s="66" t="n"/>
      <c r="C1360" s="60" t="n"/>
      <c r="D1360" s="86" t="n"/>
      <c r="E1360" s="63" t="n"/>
      <c r="F1360" s="60" t="n"/>
      <c r="G1360" s="60" t="n"/>
      <c r="H1360" s="71">
        <f>IF(OR($C1360="",$D1360=""),"",IF(ISNUMBER($E1360),$E1360,IF($O1360="","",IF(N(INDEX('Menu Pricing'!$O$7:$O$56,$O1360))&gt;0,INDEX('Menu Pricing'!$O$7:$O$56,$O1360),""))))</f>
        <v/>
      </c>
      <c r="I1360" s="71">
        <f>IF($N1360&lt;&gt;"OK","",$D1360*$H1360)</f>
        <v/>
      </c>
      <c r="J1360" s="71">
        <f>IF($N1360&lt;&gt;"OK","",N(INDEX('Menu Pricing'!$F$7:$F$56,$O1360))+N(INDEX('Menu Pricing'!$G$7:$G$56,$O1360))+N(INDEX('Menu Pricing'!$J$7:$J$56,$O1360)))</f>
        <v/>
      </c>
      <c r="K1360" s="71">
        <f>IF($N1360&lt;&gt;"OK","",$D1360*$J1360)</f>
        <v/>
      </c>
      <c r="L1360" s="71">
        <f>IF($N1360&lt;&gt;"OK","",$I1360-$K1360)</f>
        <v/>
      </c>
      <c r="M1360" s="71">
        <f>IF($N1360&lt;&gt;"OK","",$D1360*N(INDEX('Menu Pricing'!$F$7:$F$56,$O1360)))</f>
        <v/>
      </c>
      <c r="N1360" s="80">
        <f>IF(AND($B1360="",$C1360="",$D1360=""),"",IF(NOT(ISNUMBER($B1360)),"Enter a valid date",IF($C1360="","Pick a menu item",IF($O1360="","Item not on Menu Pricing",IF(N($D1360)&lt;=0,"Qty must be above 0",IF($H1360="","No price on menu","OK"))))))</f>
        <v/>
      </c>
      <c r="O1360" s="13">
        <f>IF($C1360="","",IFERROR(MATCH($C1360,'Menu Pricing'!$B$7:$B$56,0),""))</f>
        <v/>
      </c>
    </row>
    <row r="1361" ht="17" customHeight="1">
      <c r="B1361" s="66" t="n"/>
      <c r="C1361" s="60" t="n"/>
      <c r="D1361" s="86" t="n"/>
      <c r="E1361" s="63" t="n"/>
      <c r="F1361" s="60" t="n"/>
      <c r="G1361" s="60" t="n"/>
      <c r="H1361" s="71">
        <f>IF(OR($C1361="",$D1361=""),"",IF(ISNUMBER($E1361),$E1361,IF($O1361="","",IF(N(INDEX('Menu Pricing'!$O$7:$O$56,$O1361))&gt;0,INDEX('Menu Pricing'!$O$7:$O$56,$O1361),""))))</f>
        <v/>
      </c>
      <c r="I1361" s="71">
        <f>IF($N1361&lt;&gt;"OK","",$D1361*$H1361)</f>
        <v/>
      </c>
      <c r="J1361" s="71">
        <f>IF($N1361&lt;&gt;"OK","",N(INDEX('Menu Pricing'!$F$7:$F$56,$O1361))+N(INDEX('Menu Pricing'!$G$7:$G$56,$O1361))+N(INDEX('Menu Pricing'!$J$7:$J$56,$O1361)))</f>
        <v/>
      </c>
      <c r="K1361" s="71">
        <f>IF($N1361&lt;&gt;"OK","",$D1361*$J1361)</f>
        <v/>
      </c>
      <c r="L1361" s="71">
        <f>IF($N1361&lt;&gt;"OK","",$I1361-$K1361)</f>
        <v/>
      </c>
      <c r="M1361" s="71">
        <f>IF($N1361&lt;&gt;"OK","",$D1361*N(INDEX('Menu Pricing'!$F$7:$F$56,$O1361)))</f>
        <v/>
      </c>
      <c r="N1361" s="80">
        <f>IF(AND($B1361="",$C1361="",$D1361=""),"",IF(NOT(ISNUMBER($B1361)),"Enter a valid date",IF($C1361="","Pick a menu item",IF($O1361="","Item not on Menu Pricing",IF(N($D1361)&lt;=0,"Qty must be above 0",IF($H1361="","No price on menu","OK"))))))</f>
        <v/>
      </c>
      <c r="O1361" s="13">
        <f>IF($C1361="","",IFERROR(MATCH($C1361,'Menu Pricing'!$B$7:$B$56,0),""))</f>
        <v/>
      </c>
    </row>
    <row r="1362" ht="17" customHeight="1">
      <c r="B1362" s="66" t="n"/>
      <c r="C1362" s="60" t="n"/>
      <c r="D1362" s="86" t="n"/>
      <c r="E1362" s="63" t="n"/>
      <c r="F1362" s="60" t="n"/>
      <c r="G1362" s="60" t="n"/>
      <c r="H1362" s="71">
        <f>IF(OR($C1362="",$D1362=""),"",IF(ISNUMBER($E1362),$E1362,IF($O1362="","",IF(N(INDEX('Menu Pricing'!$O$7:$O$56,$O1362))&gt;0,INDEX('Menu Pricing'!$O$7:$O$56,$O1362),""))))</f>
        <v/>
      </c>
      <c r="I1362" s="71">
        <f>IF($N1362&lt;&gt;"OK","",$D1362*$H1362)</f>
        <v/>
      </c>
      <c r="J1362" s="71">
        <f>IF($N1362&lt;&gt;"OK","",N(INDEX('Menu Pricing'!$F$7:$F$56,$O1362))+N(INDEX('Menu Pricing'!$G$7:$G$56,$O1362))+N(INDEX('Menu Pricing'!$J$7:$J$56,$O1362)))</f>
        <v/>
      </c>
      <c r="K1362" s="71">
        <f>IF($N1362&lt;&gt;"OK","",$D1362*$J1362)</f>
        <v/>
      </c>
      <c r="L1362" s="71">
        <f>IF($N1362&lt;&gt;"OK","",$I1362-$K1362)</f>
        <v/>
      </c>
      <c r="M1362" s="71">
        <f>IF($N1362&lt;&gt;"OK","",$D1362*N(INDEX('Menu Pricing'!$F$7:$F$56,$O1362)))</f>
        <v/>
      </c>
      <c r="N1362" s="80">
        <f>IF(AND($B1362="",$C1362="",$D1362=""),"",IF(NOT(ISNUMBER($B1362)),"Enter a valid date",IF($C1362="","Pick a menu item",IF($O1362="","Item not on Menu Pricing",IF(N($D1362)&lt;=0,"Qty must be above 0",IF($H1362="","No price on menu","OK"))))))</f>
        <v/>
      </c>
      <c r="O1362" s="13">
        <f>IF($C1362="","",IFERROR(MATCH($C1362,'Menu Pricing'!$B$7:$B$56,0),""))</f>
        <v/>
      </c>
    </row>
    <row r="1363" ht="17" customHeight="1">
      <c r="B1363" s="66" t="n"/>
      <c r="C1363" s="60" t="n"/>
      <c r="D1363" s="86" t="n"/>
      <c r="E1363" s="63" t="n"/>
      <c r="F1363" s="60" t="n"/>
      <c r="G1363" s="60" t="n"/>
      <c r="H1363" s="71">
        <f>IF(OR($C1363="",$D1363=""),"",IF(ISNUMBER($E1363),$E1363,IF($O1363="","",IF(N(INDEX('Menu Pricing'!$O$7:$O$56,$O1363))&gt;0,INDEX('Menu Pricing'!$O$7:$O$56,$O1363),""))))</f>
        <v/>
      </c>
      <c r="I1363" s="71">
        <f>IF($N1363&lt;&gt;"OK","",$D1363*$H1363)</f>
        <v/>
      </c>
      <c r="J1363" s="71">
        <f>IF($N1363&lt;&gt;"OK","",N(INDEX('Menu Pricing'!$F$7:$F$56,$O1363))+N(INDEX('Menu Pricing'!$G$7:$G$56,$O1363))+N(INDEX('Menu Pricing'!$J$7:$J$56,$O1363)))</f>
        <v/>
      </c>
      <c r="K1363" s="71">
        <f>IF($N1363&lt;&gt;"OK","",$D1363*$J1363)</f>
        <v/>
      </c>
      <c r="L1363" s="71">
        <f>IF($N1363&lt;&gt;"OK","",$I1363-$K1363)</f>
        <v/>
      </c>
      <c r="M1363" s="71">
        <f>IF($N1363&lt;&gt;"OK","",$D1363*N(INDEX('Menu Pricing'!$F$7:$F$56,$O1363)))</f>
        <v/>
      </c>
      <c r="N1363" s="80">
        <f>IF(AND($B1363="",$C1363="",$D1363=""),"",IF(NOT(ISNUMBER($B1363)),"Enter a valid date",IF($C1363="","Pick a menu item",IF($O1363="","Item not on Menu Pricing",IF(N($D1363)&lt;=0,"Qty must be above 0",IF($H1363="","No price on menu","OK"))))))</f>
        <v/>
      </c>
      <c r="O1363" s="13">
        <f>IF($C1363="","",IFERROR(MATCH($C1363,'Menu Pricing'!$B$7:$B$56,0),""))</f>
        <v/>
      </c>
    </row>
    <row r="1364" ht="17" customHeight="1">
      <c r="B1364" s="66" t="n"/>
      <c r="C1364" s="60" t="n"/>
      <c r="D1364" s="86" t="n"/>
      <c r="E1364" s="63" t="n"/>
      <c r="F1364" s="60" t="n"/>
      <c r="G1364" s="60" t="n"/>
      <c r="H1364" s="71">
        <f>IF(OR($C1364="",$D1364=""),"",IF(ISNUMBER($E1364),$E1364,IF($O1364="","",IF(N(INDEX('Menu Pricing'!$O$7:$O$56,$O1364))&gt;0,INDEX('Menu Pricing'!$O$7:$O$56,$O1364),""))))</f>
        <v/>
      </c>
      <c r="I1364" s="71">
        <f>IF($N1364&lt;&gt;"OK","",$D1364*$H1364)</f>
        <v/>
      </c>
      <c r="J1364" s="71">
        <f>IF($N1364&lt;&gt;"OK","",N(INDEX('Menu Pricing'!$F$7:$F$56,$O1364))+N(INDEX('Menu Pricing'!$G$7:$G$56,$O1364))+N(INDEX('Menu Pricing'!$J$7:$J$56,$O1364)))</f>
        <v/>
      </c>
      <c r="K1364" s="71">
        <f>IF($N1364&lt;&gt;"OK","",$D1364*$J1364)</f>
        <v/>
      </c>
      <c r="L1364" s="71">
        <f>IF($N1364&lt;&gt;"OK","",$I1364-$K1364)</f>
        <v/>
      </c>
      <c r="M1364" s="71">
        <f>IF($N1364&lt;&gt;"OK","",$D1364*N(INDEX('Menu Pricing'!$F$7:$F$56,$O1364)))</f>
        <v/>
      </c>
      <c r="N1364" s="80">
        <f>IF(AND($B1364="",$C1364="",$D1364=""),"",IF(NOT(ISNUMBER($B1364)),"Enter a valid date",IF($C1364="","Pick a menu item",IF($O1364="","Item not on Menu Pricing",IF(N($D1364)&lt;=0,"Qty must be above 0",IF($H1364="","No price on menu","OK"))))))</f>
        <v/>
      </c>
      <c r="O1364" s="13">
        <f>IF($C1364="","",IFERROR(MATCH($C1364,'Menu Pricing'!$B$7:$B$56,0),""))</f>
        <v/>
      </c>
    </row>
    <row r="1365" ht="17" customHeight="1">
      <c r="B1365" s="66" t="n"/>
      <c r="C1365" s="60" t="n"/>
      <c r="D1365" s="86" t="n"/>
      <c r="E1365" s="63" t="n"/>
      <c r="F1365" s="60" t="n"/>
      <c r="G1365" s="60" t="n"/>
      <c r="H1365" s="71">
        <f>IF(OR($C1365="",$D1365=""),"",IF(ISNUMBER($E1365),$E1365,IF($O1365="","",IF(N(INDEX('Menu Pricing'!$O$7:$O$56,$O1365))&gt;0,INDEX('Menu Pricing'!$O$7:$O$56,$O1365),""))))</f>
        <v/>
      </c>
      <c r="I1365" s="71">
        <f>IF($N1365&lt;&gt;"OK","",$D1365*$H1365)</f>
        <v/>
      </c>
      <c r="J1365" s="71">
        <f>IF($N1365&lt;&gt;"OK","",N(INDEX('Menu Pricing'!$F$7:$F$56,$O1365))+N(INDEX('Menu Pricing'!$G$7:$G$56,$O1365))+N(INDEX('Menu Pricing'!$J$7:$J$56,$O1365)))</f>
        <v/>
      </c>
      <c r="K1365" s="71">
        <f>IF($N1365&lt;&gt;"OK","",$D1365*$J1365)</f>
        <v/>
      </c>
      <c r="L1365" s="71">
        <f>IF($N1365&lt;&gt;"OK","",$I1365-$K1365)</f>
        <v/>
      </c>
      <c r="M1365" s="71">
        <f>IF($N1365&lt;&gt;"OK","",$D1365*N(INDEX('Menu Pricing'!$F$7:$F$56,$O1365)))</f>
        <v/>
      </c>
      <c r="N1365" s="80">
        <f>IF(AND($B1365="",$C1365="",$D1365=""),"",IF(NOT(ISNUMBER($B1365)),"Enter a valid date",IF($C1365="","Pick a menu item",IF($O1365="","Item not on Menu Pricing",IF(N($D1365)&lt;=0,"Qty must be above 0",IF($H1365="","No price on menu","OK"))))))</f>
        <v/>
      </c>
      <c r="O1365" s="13">
        <f>IF($C1365="","",IFERROR(MATCH($C1365,'Menu Pricing'!$B$7:$B$56,0),""))</f>
        <v/>
      </c>
    </row>
    <row r="1366" ht="17" customHeight="1">
      <c r="B1366" s="66" t="n"/>
      <c r="C1366" s="60" t="n"/>
      <c r="D1366" s="86" t="n"/>
      <c r="E1366" s="63" t="n"/>
      <c r="F1366" s="60" t="n"/>
      <c r="G1366" s="60" t="n"/>
      <c r="H1366" s="71">
        <f>IF(OR($C1366="",$D1366=""),"",IF(ISNUMBER($E1366),$E1366,IF($O1366="","",IF(N(INDEX('Menu Pricing'!$O$7:$O$56,$O1366))&gt;0,INDEX('Menu Pricing'!$O$7:$O$56,$O1366),""))))</f>
        <v/>
      </c>
      <c r="I1366" s="71">
        <f>IF($N1366&lt;&gt;"OK","",$D1366*$H1366)</f>
        <v/>
      </c>
      <c r="J1366" s="71">
        <f>IF($N1366&lt;&gt;"OK","",N(INDEX('Menu Pricing'!$F$7:$F$56,$O1366))+N(INDEX('Menu Pricing'!$G$7:$G$56,$O1366))+N(INDEX('Menu Pricing'!$J$7:$J$56,$O1366)))</f>
        <v/>
      </c>
      <c r="K1366" s="71">
        <f>IF($N1366&lt;&gt;"OK","",$D1366*$J1366)</f>
        <v/>
      </c>
      <c r="L1366" s="71">
        <f>IF($N1366&lt;&gt;"OK","",$I1366-$K1366)</f>
        <v/>
      </c>
      <c r="M1366" s="71">
        <f>IF($N1366&lt;&gt;"OK","",$D1366*N(INDEX('Menu Pricing'!$F$7:$F$56,$O1366)))</f>
        <v/>
      </c>
      <c r="N1366" s="80">
        <f>IF(AND($B1366="",$C1366="",$D1366=""),"",IF(NOT(ISNUMBER($B1366)),"Enter a valid date",IF($C1366="","Pick a menu item",IF($O1366="","Item not on Menu Pricing",IF(N($D1366)&lt;=0,"Qty must be above 0",IF($H1366="","No price on menu","OK"))))))</f>
        <v/>
      </c>
      <c r="O1366" s="13">
        <f>IF($C1366="","",IFERROR(MATCH($C1366,'Menu Pricing'!$B$7:$B$56,0),""))</f>
        <v/>
      </c>
    </row>
    <row r="1367" ht="17" customHeight="1">
      <c r="B1367" s="66" t="n"/>
      <c r="C1367" s="60" t="n"/>
      <c r="D1367" s="86" t="n"/>
      <c r="E1367" s="63" t="n"/>
      <c r="F1367" s="60" t="n"/>
      <c r="G1367" s="60" t="n"/>
      <c r="H1367" s="71">
        <f>IF(OR($C1367="",$D1367=""),"",IF(ISNUMBER($E1367),$E1367,IF($O1367="","",IF(N(INDEX('Menu Pricing'!$O$7:$O$56,$O1367))&gt;0,INDEX('Menu Pricing'!$O$7:$O$56,$O1367),""))))</f>
        <v/>
      </c>
      <c r="I1367" s="71">
        <f>IF($N1367&lt;&gt;"OK","",$D1367*$H1367)</f>
        <v/>
      </c>
      <c r="J1367" s="71">
        <f>IF($N1367&lt;&gt;"OK","",N(INDEX('Menu Pricing'!$F$7:$F$56,$O1367))+N(INDEX('Menu Pricing'!$G$7:$G$56,$O1367))+N(INDEX('Menu Pricing'!$J$7:$J$56,$O1367)))</f>
        <v/>
      </c>
      <c r="K1367" s="71">
        <f>IF($N1367&lt;&gt;"OK","",$D1367*$J1367)</f>
        <v/>
      </c>
      <c r="L1367" s="71">
        <f>IF($N1367&lt;&gt;"OK","",$I1367-$K1367)</f>
        <v/>
      </c>
      <c r="M1367" s="71">
        <f>IF($N1367&lt;&gt;"OK","",$D1367*N(INDEX('Menu Pricing'!$F$7:$F$56,$O1367)))</f>
        <v/>
      </c>
      <c r="N1367" s="80">
        <f>IF(AND($B1367="",$C1367="",$D1367=""),"",IF(NOT(ISNUMBER($B1367)),"Enter a valid date",IF($C1367="","Pick a menu item",IF($O1367="","Item not on Menu Pricing",IF(N($D1367)&lt;=0,"Qty must be above 0",IF($H1367="","No price on menu","OK"))))))</f>
        <v/>
      </c>
      <c r="O1367" s="13">
        <f>IF($C1367="","",IFERROR(MATCH($C1367,'Menu Pricing'!$B$7:$B$56,0),""))</f>
        <v/>
      </c>
    </row>
    <row r="1368" ht="17" customHeight="1">
      <c r="B1368" s="66" t="n"/>
      <c r="C1368" s="60" t="n"/>
      <c r="D1368" s="86" t="n"/>
      <c r="E1368" s="63" t="n"/>
      <c r="F1368" s="60" t="n"/>
      <c r="G1368" s="60" t="n"/>
      <c r="H1368" s="71">
        <f>IF(OR($C1368="",$D1368=""),"",IF(ISNUMBER($E1368),$E1368,IF($O1368="","",IF(N(INDEX('Menu Pricing'!$O$7:$O$56,$O1368))&gt;0,INDEX('Menu Pricing'!$O$7:$O$56,$O1368),""))))</f>
        <v/>
      </c>
      <c r="I1368" s="71">
        <f>IF($N1368&lt;&gt;"OK","",$D1368*$H1368)</f>
        <v/>
      </c>
      <c r="J1368" s="71">
        <f>IF($N1368&lt;&gt;"OK","",N(INDEX('Menu Pricing'!$F$7:$F$56,$O1368))+N(INDEX('Menu Pricing'!$G$7:$G$56,$O1368))+N(INDEX('Menu Pricing'!$J$7:$J$56,$O1368)))</f>
        <v/>
      </c>
      <c r="K1368" s="71">
        <f>IF($N1368&lt;&gt;"OK","",$D1368*$J1368)</f>
        <v/>
      </c>
      <c r="L1368" s="71">
        <f>IF($N1368&lt;&gt;"OK","",$I1368-$K1368)</f>
        <v/>
      </c>
      <c r="M1368" s="71">
        <f>IF($N1368&lt;&gt;"OK","",$D1368*N(INDEX('Menu Pricing'!$F$7:$F$56,$O1368)))</f>
        <v/>
      </c>
      <c r="N1368" s="80">
        <f>IF(AND($B1368="",$C1368="",$D1368=""),"",IF(NOT(ISNUMBER($B1368)),"Enter a valid date",IF($C1368="","Pick a menu item",IF($O1368="","Item not on Menu Pricing",IF(N($D1368)&lt;=0,"Qty must be above 0",IF($H1368="","No price on menu","OK"))))))</f>
        <v/>
      </c>
      <c r="O1368" s="13">
        <f>IF($C1368="","",IFERROR(MATCH($C1368,'Menu Pricing'!$B$7:$B$56,0),""))</f>
        <v/>
      </c>
    </row>
    <row r="1369" ht="17" customHeight="1">
      <c r="B1369" s="66" t="n"/>
      <c r="C1369" s="60" t="n"/>
      <c r="D1369" s="86" t="n"/>
      <c r="E1369" s="63" t="n"/>
      <c r="F1369" s="60" t="n"/>
      <c r="G1369" s="60" t="n"/>
      <c r="H1369" s="71">
        <f>IF(OR($C1369="",$D1369=""),"",IF(ISNUMBER($E1369),$E1369,IF($O1369="","",IF(N(INDEX('Menu Pricing'!$O$7:$O$56,$O1369))&gt;0,INDEX('Menu Pricing'!$O$7:$O$56,$O1369),""))))</f>
        <v/>
      </c>
      <c r="I1369" s="71">
        <f>IF($N1369&lt;&gt;"OK","",$D1369*$H1369)</f>
        <v/>
      </c>
      <c r="J1369" s="71">
        <f>IF($N1369&lt;&gt;"OK","",N(INDEX('Menu Pricing'!$F$7:$F$56,$O1369))+N(INDEX('Menu Pricing'!$G$7:$G$56,$O1369))+N(INDEX('Menu Pricing'!$J$7:$J$56,$O1369)))</f>
        <v/>
      </c>
      <c r="K1369" s="71">
        <f>IF($N1369&lt;&gt;"OK","",$D1369*$J1369)</f>
        <v/>
      </c>
      <c r="L1369" s="71">
        <f>IF($N1369&lt;&gt;"OK","",$I1369-$K1369)</f>
        <v/>
      </c>
      <c r="M1369" s="71">
        <f>IF($N1369&lt;&gt;"OK","",$D1369*N(INDEX('Menu Pricing'!$F$7:$F$56,$O1369)))</f>
        <v/>
      </c>
      <c r="N1369" s="80">
        <f>IF(AND($B1369="",$C1369="",$D1369=""),"",IF(NOT(ISNUMBER($B1369)),"Enter a valid date",IF($C1369="","Pick a menu item",IF($O1369="","Item not on Menu Pricing",IF(N($D1369)&lt;=0,"Qty must be above 0",IF($H1369="","No price on menu","OK"))))))</f>
        <v/>
      </c>
      <c r="O1369" s="13">
        <f>IF($C1369="","",IFERROR(MATCH($C1369,'Menu Pricing'!$B$7:$B$56,0),""))</f>
        <v/>
      </c>
    </row>
    <row r="1370" ht="17" customHeight="1">
      <c r="B1370" s="66" t="n"/>
      <c r="C1370" s="60" t="n"/>
      <c r="D1370" s="86" t="n"/>
      <c r="E1370" s="63" t="n"/>
      <c r="F1370" s="60" t="n"/>
      <c r="G1370" s="60" t="n"/>
      <c r="H1370" s="71">
        <f>IF(OR($C1370="",$D1370=""),"",IF(ISNUMBER($E1370),$E1370,IF($O1370="","",IF(N(INDEX('Menu Pricing'!$O$7:$O$56,$O1370))&gt;0,INDEX('Menu Pricing'!$O$7:$O$56,$O1370),""))))</f>
        <v/>
      </c>
      <c r="I1370" s="71">
        <f>IF($N1370&lt;&gt;"OK","",$D1370*$H1370)</f>
        <v/>
      </c>
      <c r="J1370" s="71">
        <f>IF($N1370&lt;&gt;"OK","",N(INDEX('Menu Pricing'!$F$7:$F$56,$O1370))+N(INDEX('Menu Pricing'!$G$7:$G$56,$O1370))+N(INDEX('Menu Pricing'!$J$7:$J$56,$O1370)))</f>
        <v/>
      </c>
      <c r="K1370" s="71">
        <f>IF($N1370&lt;&gt;"OK","",$D1370*$J1370)</f>
        <v/>
      </c>
      <c r="L1370" s="71">
        <f>IF($N1370&lt;&gt;"OK","",$I1370-$K1370)</f>
        <v/>
      </c>
      <c r="M1370" s="71">
        <f>IF($N1370&lt;&gt;"OK","",$D1370*N(INDEX('Menu Pricing'!$F$7:$F$56,$O1370)))</f>
        <v/>
      </c>
      <c r="N1370" s="80">
        <f>IF(AND($B1370="",$C1370="",$D1370=""),"",IF(NOT(ISNUMBER($B1370)),"Enter a valid date",IF($C1370="","Pick a menu item",IF($O1370="","Item not on Menu Pricing",IF(N($D1370)&lt;=0,"Qty must be above 0",IF($H1370="","No price on menu","OK"))))))</f>
        <v/>
      </c>
      <c r="O1370" s="13">
        <f>IF($C1370="","",IFERROR(MATCH($C1370,'Menu Pricing'!$B$7:$B$56,0),""))</f>
        <v/>
      </c>
    </row>
    <row r="1371" ht="17" customHeight="1">
      <c r="B1371" s="66" t="n"/>
      <c r="C1371" s="60" t="n"/>
      <c r="D1371" s="86" t="n"/>
      <c r="E1371" s="63" t="n"/>
      <c r="F1371" s="60" t="n"/>
      <c r="G1371" s="60" t="n"/>
      <c r="H1371" s="71">
        <f>IF(OR($C1371="",$D1371=""),"",IF(ISNUMBER($E1371),$E1371,IF($O1371="","",IF(N(INDEX('Menu Pricing'!$O$7:$O$56,$O1371))&gt;0,INDEX('Menu Pricing'!$O$7:$O$56,$O1371),""))))</f>
        <v/>
      </c>
      <c r="I1371" s="71">
        <f>IF($N1371&lt;&gt;"OK","",$D1371*$H1371)</f>
        <v/>
      </c>
      <c r="J1371" s="71">
        <f>IF($N1371&lt;&gt;"OK","",N(INDEX('Menu Pricing'!$F$7:$F$56,$O1371))+N(INDEX('Menu Pricing'!$G$7:$G$56,$O1371))+N(INDEX('Menu Pricing'!$J$7:$J$56,$O1371)))</f>
        <v/>
      </c>
      <c r="K1371" s="71">
        <f>IF($N1371&lt;&gt;"OK","",$D1371*$J1371)</f>
        <v/>
      </c>
      <c r="L1371" s="71">
        <f>IF($N1371&lt;&gt;"OK","",$I1371-$K1371)</f>
        <v/>
      </c>
      <c r="M1371" s="71">
        <f>IF($N1371&lt;&gt;"OK","",$D1371*N(INDEX('Menu Pricing'!$F$7:$F$56,$O1371)))</f>
        <v/>
      </c>
      <c r="N1371" s="80">
        <f>IF(AND($B1371="",$C1371="",$D1371=""),"",IF(NOT(ISNUMBER($B1371)),"Enter a valid date",IF($C1371="","Pick a menu item",IF($O1371="","Item not on Menu Pricing",IF(N($D1371)&lt;=0,"Qty must be above 0",IF($H1371="","No price on menu","OK"))))))</f>
        <v/>
      </c>
      <c r="O1371" s="13">
        <f>IF($C1371="","",IFERROR(MATCH($C1371,'Menu Pricing'!$B$7:$B$56,0),""))</f>
        <v/>
      </c>
    </row>
    <row r="1372" ht="17" customHeight="1">
      <c r="B1372" s="66" t="n"/>
      <c r="C1372" s="60" t="n"/>
      <c r="D1372" s="86" t="n"/>
      <c r="E1372" s="63" t="n"/>
      <c r="F1372" s="60" t="n"/>
      <c r="G1372" s="60" t="n"/>
      <c r="H1372" s="71">
        <f>IF(OR($C1372="",$D1372=""),"",IF(ISNUMBER($E1372),$E1372,IF($O1372="","",IF(N(INDEX('Menu Pricing'!$O$7:$O$56,$O1372))&gt;0,INDEX('Menu Pricing'!$O$7:$O$56,$O1372),""))))</f>
        <v/>
      </c>
      <c r="I1372" s="71">
        <f>IF($N1372&lt;&gt;"OK","",$D1372*$H1372)</f>
        <v/>
      </c>
      <c r="J1372" s="71">
        <f>IF($N1372&lt;&gt;"OK","",N(INDEX('Menu Pricing'!$F$7:$F$56,$O1372))+N(INDEX('Menu Pricing'!$G$7:$G$56,$O1372))+N(INDEX('Menu Pricing'!$J$7:$J$56,$O1372)))</f>
        <v/>
      </c>
      <c r="K1372" s="71">
        <f>IF($N1372&lt;&gt;"OK","",$D1372*$J1372)</f>
        <v/>
      </c>
      <c r="L1372" s="71">
        <f>IF($N1372&lt;&gt;"OK","",$I1372-$K1372)</f>
        <v/>
      </c>
      <c r="M1372" s="71">
        <f>IF($N1372&lt;&gt;"OK","",$D1372*N(INDEX('Menu Pricing'!$F$7:$F$56,$O1372)))</f>
        <v/>
      </c>
      <c r="N1372" s="80">
        <f>IF(AND($B1372="",$C1372="",$D1372=""),"",IF(NOT(ISNUMBER($B1372)),"Enter a valid date",IF($C1372="","Pick a menu item",IF($O1372="","Item not on Menu Pricing",IF(N($D1372)&lt;=0,"Qty must be above 0",IF($H1372="","No price on menu","OK"))))))</f>
        <v/>
      </c>
      <c r="O1372" s="13">
        <f>IF($C1372="","",IFERROR(MATCH($C1372,'Menu Pricing'!$B$7:$B$56,0),""))</f>
        <v/>
      </c>
    </row>
    <row r="1373" ht="17" customHeight="1">
      <c r="B1373" s="66" t="n"/>
      <c r="C1373" s="60" t="n"/>
      <c r="D1373" s="86" t="n"/>
      <c r="E1373" s="63" t="n"/>
      <c r="F1373" s="60" t="n"/>
      <c r="G1373" s="60" t="n"/>
      <c r="H1373" s="71">
        <f>IF(OR($C1373="",$D1373=""),"",IF(ISNUMBER($E1373),$E1373,IF($O1373="","",IF(N(INDEX('Menu Pricing'!$O$7:$O$56,$O1373))&gt;0,INDEX('Menu Pricing'!$O$7:$O$56,$O1373),""))))</f>
        <v/>
      </c>
      <c r="I1373" s="71">
        <f>IF($N1373&lt;&gt;"OK","",$D1373*$H1373)</f>
        <v/>
      </c>
      <c r="J1373" s="71">
        <f>IF($N1373&lt;&gt;"OK","",N(INDEX('Menu Pricing'!$F$7:$F$56,$O1373))+N(INDEX('Menu Pricing'!$G$7:$G$56,$O1373))+N(INDEX('Menu Pricing'!$J$7:$J$56,$O1373)))</f>
        <v/>
      </c>
      <c r="K1373" s="71">
        <f>IF($N1373&lt;&gt;"OK","",$D1373*$J1373)</f>
        <v/>
      </c>
      <c r="L1373" s="71">
        <f>IF($N1373&lt;&gt;"OK","",$I1373-$K1373)</f>
        <v/>
      </c>
      <c r="M1373" s="71">
        <f>IF($N1373&lt;&gt;"OK","",$D1373*N(INDEX('Menu Pricing'!$F$7:$F$56,$O1373)))</f>
        <v/>
      </c>
      <c r="N1373" s="80">
        <f>IF(AND($B1373="",$C1373="",$D1373=""),"",IF(NOT(ISNUMBER($B1373)),"Enter a valid date",IF($C1373="","Pick a menu item",IF($O1373="","Item not on Menu Pricing",IF(N($D1373)&lt;=0,"Qty must be above 0",IF($H1373="","No price on menu","OK"))))))</f>
        <v/>
      </c>
      <c r="O1373" s="13">
        <f>IF($C1373="","",IFERROR(MATCH($C1373,'Menu Pricing'!$B$7:$B$56,0),""))</f>
        <v/>
      </c>
    </row>
    <row r="1374" ht="17" customHeight="1">
      <c r="B1374" s="66" t="n"/>
      <c r="C1374" s="60" t="n"/>
      <c r="D1374" s="86" t="n"/>
      <c r="E1374" s="63" t="n"/>
      <c r="F1374" s="60" t="n"/>
      <c r="G1374" s="60" t="n"/>
      <c r="H1374" s="71">
        <f>IF(OR($C1374="",$D1374=""),"",IF(ISNUMBER($E1374),$E1374,IF($O1374="","",IF(N(INDEX('Menu Pricing'!$O$7:$O$56,$O1374))&gt;0,INDEX('Menu Pricing'!$O$7:$O$56,$O1374),""))))</f>
        <v/>
      </c>
      <c r="I1374" s="71">
        <f>IF($N1374&lt;&gt;"OK","",$D1374*$H1374)</f>
        <v/>
      </c>
      <c r="J1374" s="71">
        <f>IF($N1374&lt;&gt;"OK","",N(INDEX('Menu Pricing'!$F$7:$F$56,$O1374))+N(INDEX('Menu Pricing'!$G$7:$G$56,$O1374))+N(INDEX('Menu Pricing'!$J$7:$J$56,$O1374)))</f>
        <v/>
      </c>
      <c r="K1374" s="71">
        <f>IF($N1374&lt;&gt;"OK","",$D1374*$J1374)</f>
        <v/>
      </c>
      <c r="L1374" s="71">
        <f>IF($N1374&lt;&gt;"OK","",$I1374-$K1374)</f>
        <v/>
      </c>
      <c r="M1374" s="71">
        <f>IF($N1374&lt;&gt;"OK","",$D1374*N(INDEX('Menu Pricing'!$F$7:$F$56,$O1374)))</f>
        <v/>
      </c>
      <c r="N1374" s="80">
        <f>IF(AND($B1374="",$C1374="",$D1374=""),"",IF(NOT(ISNUMBER($B1374)),"Enter a valid date",IF($C1374="","Pick a menu item",IF($O1374="","Item not on Menu Pricing",IF(N($D1374)&lt;=0,"Qty must be above 0",IF($H1374="","No price on menu","OK"))))))</f>
        <v/>
      </c>
      <c r="O1374" s="13">
        <f>IF($C1374="","",IFERROR(MATCH($C1374,'Menu Pricing'!$B$7:$B$56,0),""))</f>
        <v/>
      </c>
    </row>
    <row r="1375" ht="17" customHeight="1">
      <c r="B1375" s="66" t="n"/>
      <c r="C1375" s="60" t="n"/>
      <c r="D1375" s="86" t="n"/>
      <c r="E1375" s="63" t="n"/>
      <c r="F1375" s="60" t="n"/>
      <c r="G1375" s="60" t="n"/>
      <c r="H1375" s="71">
        <f>IF(OR($C1375="",$D1375=""),"",IF(ISNUMBER($E1375),$E1375,IF($O1375="","",IF(N(INDEX('Menu Pricing'!$O$7:$O$56,$O1375))&gt;0,INDEX('Menu Pricing'!$O$7:$O$56,$O1375),""))))</f>
        <v/>
      </c>
      <c r="I1375" s="71">
        <f>IF($N1375&lt;&gt;"OK","",$D1375*$H1375)</f>
        <v/>
      </c>
      <c r="J1375" s="71">
        <f>IF($N1375&lt;&gt;"OK","",N(INDEX('Menu Pricing'!$F$7:$F$56,$O1375))+N(INDEX('Menu Pricing'!$G$7:$G$56,$O1375))+N(INDEX('Menu Pricing'!$J$7:$J$56,$O1375)))</f>
        <v/>
      </c>
      <c r="K1375" s="71">
        <f>IF($N1375&lt;&gt;"OK","",$D1375*$J1375)</f>
        <v/>
      </c>
      <c r="L1375" s="71">
        <f>IF($N1375&lt;&gt;"OK","",$I1375-$K1375)</f>
        <v/>
      </c>
      <c r="M1375" s="71">
        <f>IF($N1375&lt;&gt;"OK","",$D1375*N(INDEX('Menu Pricing'!$F$7:$F$56,$O1375)))</f>
        <v/>
      </c>
      <c r="N1375" s="80">
        <f>IF(AND($B1375="",$C1375="",$D1375=""),"",IF(NOT(ISNUMBER($B1375)),"Enter a valid date",IF($C1375="","Pick a menu item",IF($O1375="","Item not on Menu Pricing",IF(N($D1375)&lt;=0,"Qty must be above 0",IF($H1375="","No price on menu","OK"))))))</f>
        <v/>
      </c>
      <c r="O1375" s="13">
        <f>IF($C1375="","",IFERROR(MATCH($C1375,'Menu Pricing'!$B$7:$B$56,0),""))</f>
        <v/>
      </c>
    </row>
    <row r="1376" ht="17" customHeight="1">
      <c r="B1376" s="66" t="n"/>
      <c r="C1376" s="60" t="n"/>
      <c r="D1376" s="86" t="n"/>
      <c r="E1376" s="63" t="n"/>
      <c r="F1376" s="60" t="n"/>
      <c r="G1376" s="60" t="n"/>
      <c r="H1376" s="71">
        <f>IF(OR($C1376="",$D1376=""),"",IF(ISNUMBER($E1376),$E1376,IF($O1376="","",IF(N(INDEX('Menu Pricing'!$O$7:$O$56,$O1376))&gt;0,INDEX('Menu Pricing'!$O$7:$O$56,$O1376),""))))</f>
        <v/>
      </c>
      <c r="I1376" s="71">
        <f>IF($N1376&lt;&gt;"OK","",$D1376*$H1376)</f>
        <v/>
      </c>
      <c r="J1376" s="71">
        <f>IF($N1376&lt;&gt;"OK","",N(INDEX('Menu Pricing'!$F$7:$F$56,$O1376))+N(INDEX('Menu Pricing'!$G$7:$G$56,$O1376))+N(INDEX('Menu Pricing'!$J$7:$J$56,$O1376)))</f>
        <v/>
      </c>
      <c r="K1376" s="71">
        <f>IF($N1376&lt;&gt;"OK","",$D1376*$J1376)</f>
        <v/>
      </c>
      <c r="L1376" s="71">
        <f>IF($N1376&lt;&gt;"OK","",$I1376-$K1376)</f>
        <v/>
      </c>
      <c r="M1376" s="71">
        <f>IF($N1376&lt;&gt;"OK","",$D1376*N(INDEX('Menu Pricing'!$F$7:$F$56,$O1376)))</f>
        <v/>
      </c>
      <c r="N1376" s="80">
        <f>IF(AND($B1376="",$C1376="",$D1376=""),"",IF(NOT(ISNUMBER($B1376)),"Enter a valid date",IF($C1376="","Pick a menu item",IF($O1376="","Item not on Menu Pricing",IF(N($D1376)&lt;=0,"Qty must be above 0",IF($H1376="","No price on menu","OK"))))))</f>
        <v/>
      </c>
      <c r="O1376" s="13">
        <f>IF($C1376="","",IFERROR(MATCH($C1376,'Menu Pricing'!$B$7:$B$56,0),""))</f>
        <v/>
      </c>
    </row>
    <row r="1377" ht="17" customHeight="1">
      <c r="B1377" s="66" t="n"/>
      <c r="C1377" s="60" t="n"/>
      <c r="D1377" s="86" t="n"/>
      <c r="E1377" s="63" t="n"/>
      <c r="F1377" s="60" t="n"/>
      <c r="G1377" s="60" t="n"/>
      <c r="H1377" s="71">
        <f>IF(OR($C1377="",$D1377=""),"",IF(ISNUMBER($E1377),$E1377,IF($O1377="","",IF(N(INDEX('Menu Pricing'!$O$7:$O$56,$O1377))&gt;0,INDEX('Menu Pricing'!$O$7:$O$56,$O1377),""))))</f>
        <v/>
      </c>
      <c r="I1377" s="71">
        <f>IF($N1377&lt;&gt;"OK","",$D1377*$H1377)</f>
        <v/>
      </c>
      <c r="J1377" s="71">
        <f>IF($N1377&lt;&gt;"OK","",N(INDEX('Menu Pricing'!$F$7:$F$56,$O1377))+N(INDEX('Menu Pricing'!$G$7:$G$56,$O1377))+N(INDEX('Menu Pricing'!$J$7:$J$56,$O1377)))</f>
        <v/>
      </c>
      <c r="K1377" s="71">
        <f>IF($N1377&lt;&gt;"OK","",$D1377*$J1377)</f>
        <v/>
      </c>
      <c r="L1377" s="71">
        <f>IF($N1377&lt;&gt;"OK","",$I1377-$K1377)</f>
        <v/>
      </c>
      <c r="M1377" s="71">
        <f>IF($N1377&lt;&gt;"OK","",$D1377*N(INDEX('Menu Pricing'!$F$7:$F$56,$O1377)))</f>
        <v/>
      </c>
      <c r="N1377" s="80">
        <f>IF(AND($B1377="",$C1377="",$D1377=""),"",IF(NOT(ISNUMBER($B1377)),"Enter a valid date",IF($C1377="","Pick a menu item",IF($O1377="","Item not on Menu Pricing",IF(N($D1377)&lt;=0,"Qty must be above 0",IF($H1377="","No price on menu","OK"))))))</f>
        <v/>
      </c>
      <c r="O1377" s="13">
        <f>IF($C1377="","",IFERROR(MATCH($C1377,'Menu Pricing'!$B$7:$B$56,0),""))</f>
        <v/>
      </c>
    </row>
    <row r="1378" ht="17" customHeight="1">
      <c r="B1378" s="66" t="n"/>
      <c r="C1378" s="60" t="n"/>
      <c r="D1378" s="86" t="n"/>
      <c r="E1378" s="63" t="n"/>
      <c r="F1378" s="60" t="n"/>
      <c r="G1378" s="60" t="n"/>
      <c r="H1378" s="71">
        <f>IF(OR($C1378="",$D1378=""),"",IF(ISNUMBER($E1378),$E1378,IF($O1378="","",IF(N(INDEX('Menu Pricing'!$O$7:$O$56,$O1378))&gt;0,INDEX('Menu Pricing'!$O$7:$O$56,$O1378),""))))</f>
        <v/>
      </c>
      <c r="I1378" s="71">
        <f>IF($N1378&lt;&gt;"OK","",$D1378*$H1378)</f>
        <v/>
      </c>
      <c r="J1378" s="71">
        <f>IF($N1378&lt;&gt;"OK","",N(INDEX('Menu Pricing'!$F$7:$F$56,$O1378))+N(INDEX('Menu Pricing'!$G$7:$G$56,$O1378))+N(INDEX('Menu Pricing'!$J$7:$J$56,$O1378)))</f>
        <v/>
      </c>
      <c r="K1378" s="71">
        <f>IF($N1378&lt;&gt;"OK","",$D1378*$J1378)</f>
        <v/>
      </c>
      <c r="L1378" s="71">
        <f>IF($N1378&lt;&gt;"OK","",$I1378-$K1378)</f>
        <v/>
      </c>
      <c r="M1378" s="71">
        <f>IF($N1378&lt;&gt;"OK","",$D1378*N(INDEX('Menu Pricing'!$F$7:$F$56,$O1378)))</f>
        <v/>
      </c>
      <c r="N1378" s="80">
        <f>IF(AND($B1378="",$C1378="",$D1378=""),"",IF(NOT(ISNUMBER($B1378)),"Enter a valid date",IF($C1378="","Pick a menu item",IF($O1378="","Item not on Menu Pricing",IF(N($D1378)&lt;=0,"Qty must be above 0",IF($H1378="","No price on menu","OK"))))))</f>
        <v/>
      </c>
      <c r="O1378" s="13">
        <f>IF($C1378="","",IFERROR(MATCH($C1378,'Menu Pricing'!$B$7:$B$56,0),""))</f>
        <v/>
      </c>
    </row>
    <row r="1379" ht="17" customHeight="1">
      <c r="B1379" s="66" t="n"/>
      <c r="C1379" s="60" t="n"/>
      <c r="D1379" s="86" t="n"/>
      <c r="E1379" s="63" t="n"/>
      <c r="F1379" s="60" t="n"/>
      <c r="G1379" s="60" t="n"/>
      <c r="H1379" s="71">
        <f>IF(OR($C1379="",$D1379=""),"",IF(ISNUMBER($E1379),$E1379,IF($O1379="","",IF(N(INDEX('Menu Pricing'!$O$7:$O$56,$O1379))&gt;0,INDEX('Menu Pricing'!$O$7:$O$56,$O1379),""))))</f>
        <v/>
      </c>
      <c r="I1379" s="71">
        <f>IF($N1379&lt;&gt;"OK","",$D1379*$H1379)</f>
        <v/>
      </c>
      <c r="J1379" s="71">
        <f>IF($N1379&lt;&gt;"OK","",N(INDEX('Menu Pricing'!$F$7:$F$56,$O1379))+N(INDEX('Menu Pricing'!$G$7:$G$56,$O1379))+N(INDEX('Menu Pricing'!$J$7:$J$56,$O1379)))</f>
        <v/>
      </c>
      <c r="K1379" s="71">
        <f>IF($N1379&lt;&gt;"OK","",$D1379*$J1379)</f>
        <v/>
      </c>
      <c r="L1379" s="71">
        <f>IF($N1379&lt;&gt;"OK","",$I1379-$K1379)</f>
        <v/>
      </c>
      <c r="M1379" s="71">
        <f>IF($N1379&lt;&gt;"OK","",$D1379*N(INDEX('Menu Pricing'!$F$7:$F$56,$O1379)))</f>
        <v/>
      </c>
      <c r="N1379" s="80">
        <f>IF(AND($B1379="",$C1379="",$D1379=""),"",IF(NOT(ISNUMBER($B1379)),"Enter a valid date",IF($C1379="","Pick a menu item",IF($O1379="","Item not on Menu Pricing",IF(N($D1379)&lt;=0,"Qty must be above 0",IF($H1379="","No price on menu","OK"))))))</f>
        <v/>
      </c>
      <c r="O1379" s="13">
        <f>IF($C1379="","",IFERROR(MATCH($C1379,'Menu Pricing'!$B$7:$B$56,0),""))</f>
        <v/>
      </c>
    </row>
    <row r="1380" ht="17" customHeight="1">
      <c r="B1380" s="66" t="n"/>
      <c r="C1380" s="60" t="n"/>
      <c r="D1380" s="86" t="n"/>
      <c r="E1380" s="63" t="n"/>
      <c r="F1380" s="60" t="n"/>
      <c r="G1380" s="60" t="n"/>
      <c r="H1380" s="71">
        <f>IF(OR($C1380="",$D1380=""),"",IF(ISNUMBER($E1380),$E1380,IF($O1380="","",IF(N(INDEX('Menu Pricing'!$O$7:$O$56,$O1380))&gt;0,INDEX('Menu Pricing'!$O$7:$O$56,$O1380),""))))</f>
        <v/>
      </c>
      <c r="I1380" s="71">
        <f>IF($N1380&lt;&gt;"OK","",$D1380*$H1380)</f>
        <v/>
      </c>
      <c r="J1380" s="71">
        <f>IF($N1380&lt;&gt;"OK","",N(INDEX('Menu Pricing'!$F$7:$F$56,$O1380))+N(INDEX('Menu Pricing'!$G$7:$G$56,$O1380))+N(INDEX('Menu Pricing'!$J$7:$J$56,$O1380)))</f>
        <v/>
      </c>
      <c r="K1380" s="71">
        <f>IF($N1380&lt;&gt;"OK","",$D1380*$J1380)</f>
        <v/>
      </c>
      <c r="L1380" s="71">
        <f>IF($N1380&lt;&gt;"OK","",$I1380-$K1380)</f>
        <v/>
      </c>
      <c r="M1380" s="71">
        <f>IF($N1380&lt;&gt;"OK","",$D1380*N(INDEX('Menu Pricing'!$F$7:$F$56,$O1380)))</f>
        <v/>
      </c>
      <c r="N1380" s="80">
        <f>IF(AND($B1380="",$C1380="",$D1380=""),"",IF(NOT(ISNUMBER($B1380)),"Enter a valid date",IF($C1380="","Pick a menu item",IF($O1380="","Item not on Menu Pricing",IF(N($D1380)&lt;=0,"Qty must be above 0",IF($H1380="","No price on menu","OK"))))))</f>
        <v/>
      </c>
      <c r="O1380" s="13">
        <f>IF($C1380="","",IFERROR(MATCH($C1380,'Menu Pricing'!$B$7:$B$56,0),""))</f>
        <v/>
      </c>
    </row>
    <row r="1381" ht="17" customHeight="1">
      <c r="B1381" s="66" t="n"/>
      <c r="C1381" s="60" t="n"/>
      <c r="D1381" s="86" t="n"/>
      <c r="E1381" s="63" t="n"/>
      <c r="F1381" s="60" t="n"/>
      <c r="G1381" s="60" t="n"/>
      <c r="H1381" s="71">
        <f>IF(OR($C1381="",$D1381=""),"",IF(ISNUMBER($E1381),$E1381,IF($O1381="","",IF(N(INDEX('Menu Pricing'!$O$7:$O$56,$O1381))&gt;0,INDEX('Menu Pricing'!$O$7:$O$56,$O1381),""))))</f>
        <v/>
      </c>
      <c r="I1381" s="71">
        <f>IF($N1381&lt;&gt;"OK","",$D1381*$H1381)</f>
        <v/>
      </c>
      <c r="J1381" s="71">
        <f>IF($N1381&lt;&gt;"OK","",N(INDEX('Menu Pricing'!$F$7:$F$56,$O1381))+N(INDEX('Menu Pricing'!$G$7:$G$56,$O1381))+N(INDEX('Menu Pricing'!$J$7:$J$56,$O1381)))</f>
        <v/>
      </c>
      <c r="K1381" s="71">
        <f>IF($N1381&lt;&gt;"OK","",$D1381*$J1381)</f>
        <v/>
      </c>
      <c r="L1381" s="71">
        <f>IF($N1381&lt;&gt;"OK","",$I1381-$K1381)</f>
        <v/>
      </c>
      <c r="M1381" s="71">
        <f>IF($N1381&lt;&gt;"OK","",$D1381*N(INDEX('Menu Pricing'!$F$7:$F$56,$O1381)))</f>
        <v/>
      </c>
      <c r="N1381" s="80">
        <f>IF(AND($B1381="",$C1381="",$D1381=""),"",IF(NOT(ISNUMBER($B1381)),"Enter a valid date",IF($C1381="","Pick a menu item",IF($O1381="","Item not on Menu Pricing",IF(N($D1381)&lt;=0,"Qty must be above 0",IF($H1381="","No price on menu","OK"))))))</f>
        <v/>
      </c>
      <c r="O1381" s="13">
        <f>IF($C1381="","",IFERROR(MATCH($C1381,'Menu Pricing'!$B$7:$B$56,0),""))</f>
        <v/>
      </c>
    </row>
    <row r="1382" ht="17" customHeight="1">
      <c r="B1382" s="66" t="n"/>
      <c r="C1382" s="60" t="n"/>
      <c r="D1382" s="86" t="n"/>
      <c r="E1382" s="63" t="n"/>
      <c r="F1382" s="60" t="n"/>
      <c r="G1382" s="60" t="n"/>
      <c r="H1382" s="71">
        <f>IF(OR($C1382="",$D1382=""),"",IF(ISNUMBER($E1382),$E1382,IF($O1382="","",IF(N(INDEX('Menu Pricing'!$O$7:$O$56,$O1382))&gt;0,INDEX('Menu Pricing'!$O$7:$O$56,$O1382),""))))</f>
        <v/>
      </c>
      <c r="I1382" s="71">
        <f>IF($N1382&lt;&gt;"OK","",$D1382*$H1382)</f>
        <v/>
      </c>
      <c r="J1382" s="71">
        <f>IF($N1382&lt;&gt;"OK","",N(INDEX('Menu Pricing'!$F$7:$F$56,$O1382))+N(INDEX('Menu Pricing'!$G$7:$G$56,$O1382))+N(INDEX('Menu Pricing'!$J$7:$J$56,$O1382)))</f>
        <v/>
      </c>
      <c r="K1382" s="71">
        <f>IF($N1382&lt;&gt;"OK","",$D1382*$J1382)</f>
        <v/>
      </c>
      <c r="L1382" s="71">
        <f>IF($N1382&lt;&gt;"OK","",$I1382-$K1382)</f>
        <v/>
      </c>
      <c r="M1382" s="71">
        <f>IF($N1382&lt;&gt;"OK","",$D1382*N(INDEX('Menu Pricing'!$F$7:$F$56,$O1382)))</f>
        <v/>
      </c>
      <c r="N1382" s="80">
        <f>IF(AND($B1382="",$C1382="",$D1382=""),"",IF(NOT(ISNUMBER($B1382)),"Enter a valid date",IF($C1382="","Pick a menu item",IF($O1382="","Item not on Menu Pricing",IF(N($D1382)&lt;=0,"Qty must be above 0",IF($H1382="","No price on menu","OK"))))))</f>
        <v/>
      </c>
      <c r="O1382" s="13">
        <f>IF($C1382="","",IFERROR(MATCH($C1382,'Menu Pricing'!$B$7:$B$56,0),""))</f>
        <v/>
      </c>
    </row>
    <row r="1383" ht="17" customHeight="1">
      <c r="B1383" s="66" t="n"/>
      <c r="C1383" s="60" t="n"/>
      <c r="D1383" s="86" t="n"/>
      <c r="E1383" s="63" t="n"/>
      <c r="F1383" s="60" t="n"/>
      <c r="G1383" s="60" t="n"/>
      <c r="H1383" s="71">
        <f>IF(OR($C1383="",$D1383=""),"",IF(ISNUMBER($E1383),$E1383,IF($O1383="","",IF(N(INDEX('Menu Pricing'!$O$7:$O$56,$O1383))&gt;0,INDEX('Menu Pricing'!$O$7:$O$56,$O1383),""))))</f>
        <v/>
      </c>
      <c r="I1383" s="71">
        <f>IF($N1383&lt;&gt;"OK","",$D1383*$H1383)</f>
        <v/>
      </c>
      <c r="J1383" s="71">
        <f>IF($N1383&lt;&gt;"OK","",N(INDEX('Menu Pricing'!$F$7:$F$56,$O1383))+N(INDEX('Menu Pricing'!$G$7:$G$56,$O1383))+N(INDEX('Menu Pricing'!$J$7:$J$56,$O1383)))</f>
        <v/>
      </c>
      <c r="K1383" s="71">
        <f>IF($N1383&lt;&gt;"OK","",$D1383*$J1383)</f>
        <v/>
      </c>
      <c r="L1383" s="71">
        <f>IF($N1383&lt;&gt;"OK","",$I1383-$K1383)</f>
        <v/>
      </c>
      <c r="M1383" s="71">
        <f>IF($N1383&lt;&gt;"OK","",$D1383*N(INDEX('Menu Pricing'!$F$7:$F$56,$O1383)))</f>
        <v/>
      </c>
      <c r="N1383" s="80">
        <f>IF(AND($B1383="",$C1383="",$D1383=""),"",IF(NOT(ISNUMBER($B1383)),"Enter a valid date",IF($C1383="","Pick a menu item",IF($O1383="","Item not on Menu Pricing",IF(N($D1383)&lt;=0,"Qty must be above 0",IF($H1383="","No price on menu","OK"))))))</f>
        <v/>
      </c>
      <c r="O1383" s="13">
        <f>IF($C1383="","",IFERROR(MATCH($C1383,'Menu Pricing'!$B$7:$B$56,0),""))</f>
        <v/>
      </c>
    </row>
    <row r="1384" ht="17" customHeight="1">
      <c r="B1384" s="66" t="n"/>
      <c r="C1384" s="60" t="n"/>
      <c r="D1384" s="86" t="n"/>
      <c r="E1384" s="63" t="n"/>
      <c r="F1384" s="60" t="n"/>
      <c r="G1384" s="60" t="n"/>
      <c r="H1384" s="71">
        <f>IF(OR($C1384="",$D1384=""),"",IF(ISNUMBER($E1384),$E1384,IF($O1384="","",IF(N(INDEX('Menu Pricing'!$O$7:$O$56,$O1384))&gt;0,INDEX('Menu Pricing'!$O$7:$O$56,$O1384),""))))</f>
        <v/>
      </c>
      <c r="I1384" s="71">
        <f>IF($N1384&lt;&gt;"OK","",$D1384*$H1384)</f>
        <v/>
      </c>
      <c r="J1384" s="71">
        <f>IF($N1384&lt;&gt;"OK","",N(INDEX('Menu Pricing'!$F$7:$F$56,$O1384))+N(INDEX('Menu Pricing'!$G$7:$G$56,$O1384))+N(INDEX('Menu Pricing'!$J$7:$J$56,$O1384)))</f>
        <v/>
      </c>
      <c r="K1384" s="71">
        <f>IF($N1384&lt;&gt;"OK","",$D1384*$J1384)</f>
        <v/>
      </c>
      <c r="L1384" s="71">
        <f>IF($N1384&lt;&gt;"OK","",$I1384-$K1384)</f>
        <v/>
      </c>
      <c r="M1384" s="71">
        <f>IF($N1384&lt;&gt;"OK","",$D1384*N(INDEX('Menu Pricing'!$F$7:$F$56,$O1384)))</f>
        <v/>
      </c>
      <c r="N1384" s="80">
        <f>IF(AND($B1384="",$C1384="",$D1384=""),"",IF(NOT(ISNUMBER($B1384)),"Enter a valid date",IF($C1384="","Pick a menu item",IF($O1384="","Item not on Menu Pricing",IF(N($D1384)&lt;=0,"Qty must be above 0",IF($H1384="","No price on menu","OK"))))))</f>
        <v/>
      </c>
      <c r="O1384" s="13">
        <f>IF($C1384="","",IFERROR(MATCH($C1384,'Menu Pricing'!$B$7:$B$56,0),""))</f>
        <v/>
      </c>
    </row>
    <row r="1385" ht="17" customHeight="1">
      <c r="B1385" s="66" t="n"/>
      <c r="C1385" s="60" t="n"/>
      <c r="D1385" s="86" t="n"/>
      <c r="E1385" s="63" t="n"/>
      <c r="F1385" s="60" t="n"/>
      <c r="G1385" s="60" t="n"/>
      <c r="H1385" s="71">
        <f>IF(OR($C1385="",$D1385=""),"",IF(ISNUMBER($E1385),$E1385,IF($O1385="","",IF(N(INDEX('Menu Pricing'!$O$7:$O$56,$O1385))&gt;0,INDEX('Menu Pricing'!$O$7:$O$56,$O1385),""))))</f>
        <v/>
      </c>
      <c r="I1385" s="71">
        <f>IF($N1385&lt;&gt;"OK","",$D1385*$H1385)</f>
        <v/>
      </c>
      <c r="J1385" s="71">
        <f>IF($N1385&lt;&gt;"OK","",N(INDEX('Menu Pricing'!$F$7:$F$56,$O1385))+N(INDEX('Menu Pricing'!$G$7:$G$56,$O1385))+N(INDEX('Menu Pricing'!$J$7:$J$56,$O1385)))</f>
        <v/>
      </c>
      <c r="K1385" s="71">
        <f>IF($N1385&lt;&gt;"OK","",$D1385*$J1385)</f>
        <v/>
      </c>
      <c r="L1385" s="71">
        <f>IF($N1385&lt;&gt;"OK","",$I1385-$K1385)</f>
        <v/>
      </c>
      <c r="M1385" s="71">
        <f>IF($N1385&lt;&gt;"OK","",$D1385*N(INDEX('Menu Pricing'!$F$7:$F$56,$O1385)))</f>
        <v/>
      </c>
      <c r="N1385" s="80">
        <f>IF(AND($B1385="",$C1385="",$D1385=""),"",IF(NOT(ISNUMBER($B1385)),"Enter a valid date",IF($C1385="","Pick a menu item",IF($O1385="","Item not on Menu Pricing",IF(N($D1385)&lt;=0,"Qty must be above 0",IF($H1385="","No price on menu","OK"))))))</f>
        <v/>
      </c>
      <c r="O1385" s="13">
        <f>IF($C1385="","",IFERROR(MATCH($C1385,'Menu Pricing'!$B$7:$B$56,0),""))</f>
        <v/>
      </c>
    </row>
    <row r="1386" ht="17" customHeight="1">
      <c r="B1386" s="66" t="n"/>
      <c r="C1386" s="60" t="n"/>
      <c r="D1386" s="86" t="n"/>
      <c r="E1386" s="63" t="n"/>
      <c r="F1386" s="60" t="n"/>
      <c r="G1386" s="60" t="n"/>
      <c r="H1386" s="71">
        <f>IF(OR($C1386="",$D1386=""),"",IF(ISNUMBER($E1386),$E1386,IF($O1386="","",IF(N(INDEX('Menu Pricing'!$O$7:$O$56,$O1386))&gt;0,INDEX('Menu Pricing'!$O$7:$O$56,$O1386),""))))</f>
        <v/>
      </c>
      <c r="I1386" s="71">
        <f>IF($N1386&lt;&gt;"OK","",$D1386*$H1386)</f>
        <v/>
      </c>
      <c r="J1386" s="71">
        <f>IF($N1386&lt;&gt;"OK","",N(INDEX('Menu Pricing'!$F$7:$F$56,$O1386))+N(INDEX('Menu Pricing'!$G$7:$G$56,$O1386))+N(INDEX('Menu Pricing'!$J$7:$J$56,$O1386)))</f>
        <v/>
      </c>
      <c r="K1386" s="71">
        <f>IF($N1386&lt;&gt;"OK","",$D1386*$J1386)</f>
        <v/>
      </c>
      <c r="L1386" s="71">
        <f>IF($N1386&lt;&gt;"OK","",$I1386-$K1386)</f>
        <v/>
      </c>
      <c r="M1386" s="71">
        <f>IF($N1386&lt;&gt;"OK","",$D1386*N(INDEX('Menu Pricing'!$F$7:$F$56,$O1386)))</f>
        <v/>
      </c>
      <c r="N1386" s="80">
        <f>IF(AND($B1386="",$C1386="",$D1386=""),"",IF(NOT(ISNUMBER($B1386)),"Enter a valid date",IF($C1386="","Pick a menu item",IF($O1386="","Item not on Menu Pricing",IF(N($D1386)&lt;=0,"Qty must be above 0",IF($H1386="","No price on menu","OK"))))))</f>
        <v/>
      </c>
      <c r="O1386" s="13">
        <f>IF($C1386="","",IFERROR(MATCH($C1386,'Menu Pricing'!$B$7:$B$56,0),""))</f>
        <v/>
      </c>
    </row>
    <row r="1387" ht="17" customHeight="1">
      <c r="B1387" s="66" t="n"/>
      <c r="C1387" s="60" t="n"/>
      <c r="D1387" s="86" t="n"/>
      <c r="E1387" s="63" t="n"/>
      <c r="F1387" s="60" t="n"/>
      <c r="G1387" s="60" t="n"/>
      <c r="H1387" s="71">
        <f>IF(OR($C1387="",$D1387=""),"",IF(ISNUMBER($E1387),$E1387,IF($O1387="","",IF(N(INDEX('Menu Pricing'!$O$7:$O$56,$O1387))&gt;0,INDEX('Menu Pricing'!$O$7:$O$56,$O1387),""))))</f>
        <v/>
      </c>
      <c r="I1387" s="71">
        <f>IF($N1387&lt;&gt;"OK","",$D1387*$H1387)</f>
        <v/>
      </c>
      <c r="J1387" s="71">
        <f>IF($N1387&lt;&gt;"OK","",N(INDEX('Menu Pricing'!$F$7:$F$56,$O1387))+N(INDEX('Menu Pricing'!$G$7:$G$56,$O1387))+N(INDEX('Menu Pricing'!$J$7:$J$56,$O1387)))</f>
        <v/>
      </c>
      <c r="K1387" s="71">
        <f>IF($N1387&lt;&gt;"OK","",$D1387*$J1387)</f>
        <v/>
      </c>
      <c r="L1387" s="71">
        <f>IF($N1387&lt;&gt;"OK","",$I1387-$K1387)</f>
        <v/>
      </c>
      <c r="M1387" s="71">
        <f>IF($N1387&lt;&gt;"OK","",$D1387*N(INDEX('Menu Pricing'!$F$7:$F$56,$O1387)))</f>
        <v/>
      </c>
      <c r="N1387" s="80">
        <f>IF(AND($B1387="",$C1387="",$D1387=""),"",IF(NOT(ISNUMBER($B1387)),"Enter a valid date",IF($C1387="","Pick a menu item",IF($O1387="","Item not on Menu Pricing",IF(N($D1387)&lt;=0,"Qty must be above 0",IF($H1387="","No price on menu","OK"))))))</f>
        <v/>
      </c>
      <c r="O1387" s="13">
        <f>IF($C1387="","",IFERROR(MATCH($C1387,'Menu Pricing'!$B$7:$B$56,0),""))</f>
        <v/>
      </c>
    </row>
    <row r="1388" ht="17" customHeight="1">
      <c r="B1388" s="66" t="n"/>
      <c r="C1388" s="60" t="n"/>
      <c r="D1388" s="86" t="n"/>
      <c r="E1388" s="63" t="n"/>
      <c r="F1388" s="60" t="n"/>
      <c r="G1388" s="60" t="n"/>
      <c r="H1388" s="71">
        <f>IF(OR($C1388="",$D1388=""),"",IF(ISNUMBER($E1388),$E1388,IF($O1388="","",IF(N(INDEX('Menu Pricing'!$O$7:$O$56,$O1388))&gt;0,INDEX('Menu Pricing'!$O$7:$O$56,$O1388),""))))</f>
        <v/>
      </c>
      <c r="I1388" s="71">
        <f>IF($N1388&lt;&gt;"OK","",$D1388*$H1388)</f>
        <v/>
      </c>
      <c r="J1388" s="71">
        <f>IF($N1388&lt;&gt;"OK","",N(INDEX('Menu Pricing'!$F$7:$F$56,$O1388))+N(INDEX('Menu Pricing'!$G$7:$G$56,$O1388))+N(INDEX('Menu Pricing'!$J$7:$J$56,$O1388)))</f>
        <v/>
      </c>
      <c r="K1388" s="71">
        <f>IF($N1388&lt;&gt;"OK","",$D1388*$J1388)</f>
        <v/>
      </c>
      <c r="L1388" s="71">
        <f>IF($N1388&lt;&gt;"OK","",$I1388-$K1388)</f>
        <v/>
      </c>
      <c r="M1388" s="71">
        <f>IF($N1388&lt;&gt;"OK","",$D1388*N(INDEX('Menu Pricing'!$F$7:$F$56,$O1388)))</f>
        <v/>
      </c>
      <c r="N1388" s="80">
        <f>IF(AND($B1388="",$C1388="",$D1388=""),"",IF(NOT(ISNUMBER($B1388)),"Enter a valid date",IF($C1388="","Pick a menu item",IF($O1388="","Item not on Menu Pricing",IF(N($D1388)&lt;=0,"Qty must be above 0",IF($H1388="","No price on menu","OK"))))))</f>
        <v/>
      </c>
      <c r="O1388" s="13">
        <f>IF($C1388="","",IFERROR(MATCH($C1388,'Menu Pricing'!$B$7:$B$56,0),""))</f>
        <v/>
      </c>
    </row>
    <row r="1389" ht="17" customHeight="1">
      <c r="B1389" s="66" t="n"/>
      <c r="C1389" s="60" t="n"/>
      <c r="D1389" s="86" t="n"/>
      <c r="E1389" s="63" t="n"/>
      <c r="F1389" s="60" t="n"/>
      <c r="G1389" s="60" t="n"/>
      <c r="H1389" s="71">
        <f>IF(OR($C1389="",$D1389=""),"",IF(ISNUMBER($E1389),$E1389,IF($O1389="","",IF(N(INDEX('Menu Pricing'!$O$7:$O$56,$O1389))&gt;0,INDEX('Menu Pricing'!$O$7:$O$56,$O1389),""))))</f>
        <v/>
      </c>
      <c r="I1389" s="71">
        <f>IF($N1389&lt;&gt;"OK","",$D1389*$H1389)</f>
        <v/>
      </c>
      <c r="J1389" s="71">
        <f>IF($N1389&lt;&gt;"OK","",N(INDEX('Menu Pricing'!$F$7:$F$56,$O1389))+N(INDEX('Menu Pricing'!$G$7:$G$56,$O1389))+N(INDEX('Menu Pricing'!$J$7:$J$56,$O1389)))</f>
        <v/>
      </c>
      <c r="K1389" s="71">
        <f>IF($N1389&lt;&gt;"OK","",$D1389*$J1389)</f>
        <v/>
      </c>
      <c r="L1389" s="71">
        <f>IF($N1389&lt;&gt;"OK","",$I1389-$K1389)</f>
        <v/>
      </c>
      <c r="M1389" s="71">
        <f>IF($N1389&lt;&gt;"OK","",$D1389*N(INDEX('Menu Pricing'!$F$7:$F$56,$O1389)))</f>
        <v/>
      </c>
      <c r="N1389" s="80">
        <f>IF(AND($B1389="",$C1389="",$D1389=""),"",IF(NOT(ISNUMBER($B1389)),"Enter a valid date",IF($C1389="","Pick a menu item",IF($O1389="","Item not on Menu Pricing",IF(N($D1389)&lt;=0,"Qty must be above 0",IF($H1389="","No price on menu","OK"))))))</f>
        <v/>
      </c>
      <c r="O1389" s="13">
        <f>IF($C1389="","",IFERROR(MATCH($C1389,'Menu Pricing'!$B$7:$B$56,0),""))</f>
        <v/>
      </c>
    </row>
    <row r="1390" ht="17" customHeight="1">
      <c r="B1390" s="66" t="n"/>
      <c r="C1390" s="60" t="n"/>
      <c r="D1390" s="86" t="n"/>
      <c r="E1390" s="63" t="n"/>
      <c r="F1390" s="60" t="n"/>
      <c r="G1390" s="60" t="n"/>
      <c r="H1390" s="71">
        <f>IF(OR($C1390="",$D1390=""),"",IF(ISNUMBER($E1390),$E1390,IF($O1390="","",IF(N(INDEX('Menu Pricing'!$O$7:$O$56,$O1390))&gt;0,INDEX('Menu Pricing'!$O$7:$O$56,$O1390),""))))</f>
        <v/>
      </c>
      <c r="I1390" s="71">
        <f>IF($N1390&lt;&gt;"OK","",$D1390*$H1390)</f>
        <v/>
      </c>
      <c r="J1390" s="71">
        <f>IF($N1390&lt;&gt;"OK","",N(INDEX('Menu Pricing'!$F$7:$F$56,$O1390))+N(INDEX('Menu Pricing'!$G$7:$G$56,$O1390))+N(INDEX('Menu Pricing'!$J$7:$J$56,$O1390)))</f>
        <v/>
      </c>
      <c r="K1390" s="71">
        <f>IF($N1390&lt;&gt;"OK","",$D1390*$J1390)</f>
        <v/>
      </c>
      <c r="L1390" s="71">
        <f>IF($N1390&lt;&gt;"OK","",$I1390-$K1390)</f>
        <v/>
      </c>
      <c r="M1390" s="71">
        <f>IF($N1390&lt;&gt;"OK","",$D1390*N(INDEX('Menu Pricing'!$F$7:$F$56,$O1390)))</f>
        <v/>
      </c>
      <c r="N1390" s="80">
        <f>IF(AND($B1390="",$C1390="",$D1390=""),"",IF(NOT(ISNUMBER($B1390)),"Enter a valid date",IF($C1390="","Pick a menu item",IF($O1390="","Item not on Menu Pricing",IF(N($D1390)&lt;=0,"Qty must be above 0",IF($H1390="","No price on menu","OK"))))))</f>
        <v/>
      </c>
      <c r="O1390" s="13">
        <f>IF($C1390="","",IFERROR(MATCH($C1390,'Menu Pricing'!$B$7:$B$56,0),""))</f>
        <v/>
      </c>
    </row>
    <row r="1391" ht="17" customHeight="1">
      <c r="B1391" s="66" t="n"/>
      <c r="C1391" s="60" t="n"/>
      <c r="D1391" s="86" t="n"/>
      <c r="E1391" s="63" t="n"/>
      <c r="F1391" s="60" t="n"/>
      <c r="G1391" s="60" t="n"/>
      <c r="H1391" s="71">
        <f>IF(OR($C1391="",$D1391=""),"",IF(ISNUMBER($E1391),$E1391,IF($O1391="","",IF(N(INDEX('Menu Pricing'!$O$7:$O$56,$O1391))&gt;0,INDEX('Menu Pricing'!$O$7:$O$56,$O1391),""))))</f>
        <v/>
      </c>
      <c r="I1391" s="71">
        <f>IF($N1391&lt;&gt;"OK","",$D1391*$H1391)</f>
        <v/>
      </c>
      <c r="J1391" s="71">
        <f>IF($N1391&lt;&gt;"OK","",N(INDEX('Menu Pricing'!$F$7:$F$56,$O1391))+N(INDEX('Menu Pricing'!$G$7:$G$56,$O1391))+N(INDEX('Menu Pricing'!$J$7:$J$56,$O1391)))</f>
        <v/>
      </c>
      <c r="K1391" s="71">
        <f>IF($N1391&lt;&gt;"OK","",$D1391*$J1391)</f>
        <v/>
      </c>
      <c r="L1391" s="71">
        <f>IF($N1391&lt;&gt;"OK","",$I1391-$K1391)</f>
        <v/>
      </c>
      <c r="M1391" s="71">
        <f>IF($N1391&lt;&gt;"OK","",$D1391*N(INDEX('Menu Pricing'!$F$7:$F$56,$O1391)))</f>
        <v/>
      </c>
      <c r="N1391" s="80">
        <f>IF(AND($B1391="",$C1391="",$D1391=""),"",IF(NOT(ISNUMBER($B1391)),"Enter a valid date",IF($C1391="","Pick a menu item",IF($O1391="","Item not on Menu Pricing",IF(N($D1391)&lt;=0,"Qty must be above 0",IF($H1391="","No price on menu","OK"))))))</f>
        <v/>
      </c>
      <c r="O1391" s="13">
        <f>IF($C1391="","",IFERROR(MATCH($C1391,'Menu Pricing'!$B$7:$B$56,0),""))</f>
        <v/>
      </c>
    </row>
    <row r="1392" ht="17" customHeight="1">
      <c r="B1392" s="66" t="n"/>
      <c r="C1392" s="60" t="n"/>
      <c r="D1392" s="86" t="n"/>
      <c r="E1392" s="63" t="n"/>
      <c r="F1392" s="60" t="n"/>
      <c r="G1392" s="60" t="n"/>
      <c r="H1392" s="71">
        <f>IF(OR($C1392="",$D1392=""),"",IF(ISNUMBER($E1392),$E1392,IF($O1392="","",IF(N(INDEX('Menu Pricing'!$O$7:$O$56,$O1392))&gt;0,INDEX('Menu Pricing'!$O$7:$O$56,$O1392),""))))</f>
        <v/>
      </c>
      <c r="I1392" s="71">
        <f>IF($N1392&lt;&gt;"OK","",$D1392*$H1392)</f>
        <v/>
      </c>
      <c r="J1392" s="71">
        <f>IF($N1392&lt;&gt;"OK","",N(INDEX('Menu Pricing'!$F$7:$F$56,$O1392))+N(INDEX('Menu Pricing'!$G$7:$G$56,$O1392))+N(INDEX('Menu Pricing'!$J$7:$J$56,$O1392)))</f>
        <v/>
      </c>
      <c r="K1392" s="71">
        <f>IF($N1392&lt;&gt;"OK","",$D1392*$J1392)</f>
        <v/>
      </c>
      <c r="L1392" s="71">
        <f>IF($N1392&lt;&gt;"OK","",$I1392-$K1392)</f>
        <v/>
      </c>
      <c r="M1392" s="71">
        <f>IF($N1392&lt;&gt;"OK","",$D1392*N(INDEX('Menu Pricing'!$F$7:$F$56,$O1392)))</f>
        <v/>
      </c>
      <c r="N1392" s="80">
        <f>IF(AND($B1392="",$C1392="",$D1392=""),"",IF(NOT(ISNUMBER($B1392)),"Enter a valid date",IF($C1392="","Pick a menu item",IF($O1392="","Item not on Menu Pricing",IF(N($D1392)&lt;=0,"Qty must be above 0",IF($H1392="","No price on menu","OK"))))))</f>
        <v/>
      </c>
      <c r="O1392" s="13">
        <f>IF($C1392="","",IFERROR(MATCH($C1392,'Menu Pricing'!$B$7:$B$56,0),""))</f>
        <v/>
      </c>
    </row>
    <row r="1393" ht="17" customHeight="1">
      <c r="B1393" s="66" t="n"/>
      <c r="C1393" s="60" t="n"/>
      <c r="D1393" s="86" t="n"/>
      <c r="E1393" s="63" t="n"/>
      <c r="F1393" s="60" t="n"/>
      <c r="G1393" s="60" t="n"/>
      <c r="H1393" s="71">
        <f>IF(OR($C1393="",$D1393=""),"",IF(ISNUMBER($E1393),$E1393,IF($O1393="","",IF(N(INDEX('Menu Pricing'!$O$7:$O$56,$O1393))&gt;0,INDEX('Menu Pricing'!$O$7:$O$56,$O1393),""))))</f>
        <v/>
      </c>
      <c r="I1393" s="71">
        <f>IF($N1393&lt;&gt;"OK","",$D1393*$H1393)</f>
        <v/>
      </c>
      <c r="J1393" s="71">
        <f>IF($N1393&lt;&gt;"OK","",N(INDEX('Menu Pricing'!$F$7:$F$56,$O1393))+N(INDEX('Menu Pricing'!$G$7:$G$56,$O1393))+N(INDEX('Menu Pricing'!$J$7:$J$56,$O1393)))</f>
        <v/>
      </c>
      <c r="K1393" s="71">
        <f>IF($N1393&lt;&gt;"OK","",$D1393*$J1393)</f>
        <v/>
      </c>
      <c r="L1393" s="71">
        <f>IF($N1393&lt;&gt;"OK","",$I1393-$K1393)</f>
        <v/>
      </c>
      <c r="M1393" s="71">
        <f>IF($N1393&lt;&gt;"OK","",$D1393*N(INDEX('Menu Pricing'!$F$7:$F$56,$O1393)))</f>
        <v/>
      </c>
      <c r="N1393" s="80">
        <f>IF(AND($B1393="",$C1393="",$D1393=""),"",IF(NOT(ISNUMBER($B1393)),"Enter a valid date",IF($C1393="","Pick a menu item",IF($O1393="","Item not on Menu Pricing",IF(N($D1393)&lt;=0,"Qty must be above 0",IF($H1393="","No price on menu","OK"))))))</f>
        <v/>
      </c>
      <c r="O1393" s="13">
        <f>IF($C1393="","",IFERROR(MATCH($C1393,'Menu Pricing'!$B$7:$B$56,0),""))</f>
        <v/>
      </c>
    </row>
    <row r="1394" ht="17" customHeight="1">
      <c r="B1394" s="66" t="n"/>
      <c r="C1394" s="60" t="n"/>
      <c r="D1394" s="86" t="n"/>
      <c r="E1394" s="63" t="n"/>
      <c r="F1394" s="60" t="n"/>
      <c r="G1394" s="60" t="n"/>
      <c r="H1394" s="71">
        <f>IF(OR($C1394="",$D1394=""),"",IF(ISNUMBER($E1394),$E1394,IF($O1394="","",IF(N(INDEX('Menu Pricing'!$O$7:$O$56,$O1394))&gt;0,INDEX('Menu Pricing'!$O$7:$O$56,$O1394),""))))</f>
        <v/>
      </c>
      <c r="I1394" s="71">
        <f>IF($N1394&lt;&gt;"OK","",$D1394*$H1394)</f>
        <v/>
      </c>
      <c r="J1394" s="71">
        <f>IF($N1394&lt;&gt;"OK","",N(INDEX('Menu Pricing'!$F$7:$F$56,$O1394))+N(INDEX('Menu Pricing'!$G$7:$G$56,$O1394))+N(INDEX('Menu Pricing'!$J$7:$J$56,$O1394)))</f>
        <v/>
      </c>
      <c r="K1394" s="71">
        <f>IF($N1394&lt;&gt;"OK","",$D1394*$J1394)</f>
        <v/>
      </c>
      <c r="L1394" s="71">
        <f>IF($N1394&lt;&gt;"OK","",$I1394-$K1394)</f>
        <v/>
      </c>
      <c r="M1394" s="71">
        <f>IF($N1394&lt;&gt;"OK","",$D1394*N(INDEX('Menu Pricing'!$F$7:$F$56,$O1394)))</f>
        <v/>
      </c>
      <c r="N1394" s="80">
        <f>IF(AND($B1394="",$C1394="",$D1394=""),"",IF(NOT(ISNUMBER($B1394)),"Enter a valid date",IF($C1394="","Pick a menu item",IF($O1394="","Item not on Menu Pricing",IF(N($D1394)&lt;=0,"Qty must be above 0",IF($H1394="","No price on menu","OK"))))))</f>
        <v/>
      </c>
      <c r="O1394" s="13">
        <f>IF($C1394="","",IFERROR(MATCH($C1394,'Menu Pricing'!$B$7:$B$56,0),""))</f>
        <v/>
      </c>
    </row>
    <row r="1395" ht="17" customHeight="1">
      <c r="B1395" s="66" t="n"/>
      <c r="C1395" s="60" t="n"/>
      <c r="D1395" s="86" t="n"/>
      <c r="E1395" s="63" t="n"/>
      <c r="F1395" s="60" t="n"/>
      <c r="G1395" s="60" t="n"/>
      <c r="H1395" s="71">
        <f>IF(OR($C1395="",$D1395=""),"",IF(ISNUMBER($E1395),$E1395,IF($O1395="","",IF(N(INDEX('Menu Pricing'!$O$7:$O$56,$O1395))&gt;0,INDEX('Menu Pricing'!$O$7:$O$56,$O1395),""))))</f>
        <v/>
      </c>
      <c r="I1395" s="71">
        <f>IF($N1395&lt;&gt;"OK","",$D1395*$H1395)</f>
        <v/>
      </c>
      <c r="J1395" s="71">
        <f>IF($N1395&lt;&gt;"OK","",N(INDEX('Menu Pricing'!$F$7:$F$56,$O1395))+N(INDEX('Menu Pricing'!$G$7:$G$56,$O1395))+N(INDEX('Menu Pricing'!$J$7:$J$56,$O1395)))</f>
        <v/>
      </c>
      <c r="K1395" s="71">
        <f>IF($N1395&lt;&gt;"OK","",$D1395*$J1395)</f>
        <v/>
      </c>
      <c r="L1395" s="71">
        <f>IF($N1395&lt;&gt;"OK","",$I1395-$K1395)</f>
        <v/>
      </c>
      <c r="M1395" s="71">
        <f>IF($N1395&lt;&gt;"OK","",$D1395*N(INDEX('Menu Pricing'!$F$7:$F$56,$O1395)))</f>
        <v/>
      </c>
      <c r="N1395" s="80">
        <f>IF(AND($B1395="",$C1395="",$D1395=""),"",IF(NOT(ISNUMBER($B1395)),"Enter a valid date",IF($C1395="","Pick a menu item",IF($O1395="","Item not on Menu Pricing",IF(N($D1395)&lt;=0,"Qty must be above 0",IF($H1395="","No price on menu","OK"))))))</f>
        <v/>
      </c>
      <c r="O1395" s="13">
        <f>IF($C1395="","",IFERROR(MATCH($C1395,'Menu Pricing'!$B$7:$B$56,0),""))</f>
        <v/>
      </c>
    </row>
    <row r="1396" ht="17" customHeight="1">
      <c r="B1396" s="66" t="n"/>
      <c r="C1396" s="60" t="n"/>
      <c r="D1396" s="86" t="n"/>
      <c r="E1396" s="63" t="n"/>
      <c r="F1396" s="60" t="n"/>
      <c r="G1396" s="60" t="n"/>
      <c r="H1396" s="71">
        <f>IF(OR($C1396="",$D1396=""),"",IF(ISNUMBER($E1396),$E1396,IF($O1396="","",IF(N(INDEX('Menu Pricing'!$O$7:$O$56,$O1396))&gt;0,INDEX('Menu Pricing'!$O$7:$O$56,$O1396),""))))</f>
        <v/>
      </c>
      <c r="I1396" s="71">
        <f>IF($N1396&lt;&gt;"OK","",$D1396*$H1396)</f>
        <v/>
      </c>
      <c r="J1396" s="71">
        <f>IF($N1396&lt;&gt;"OK","",N(INDEX('Menu Pricing'!$F$7:$F$56,$O1396))+N(INDEX('Menu Pricing'!$G$7:$G$56,$O1396))+N(INDEX('Menu Pricing'!$J$7:$J$56,$O1396)))</f>
        <v/>
      </c>
      <c r="K1396" s="71">
        <f>IF($N1396&lt;&gt;"OK","",$D1396*$J1396)</f>
        <v/>
      </c>
      <c r="L1396" s="71">
        <f>IF($N1396&lt;&gt;"OK","",$I1396-$K1396)</f>
        <v/>
      </c>
      <c r="M1396" s="71">
        <f>IF($N1396&lt;&gt;"OK","",$D1396*N(INDEX('Menu Pricing'!$F$7:$F$56,$O1396)))</f>
        <v/>
      </c>
      <c r="N1396" s="80">
        <f>IF(AND($B1396="",$C1396="",$D1396=""),"",IF(NOT(ISNUMBER($B1396)),"Enter a valid date",IF($C1396="","Pick a menu item",IF($O1396="","Item not on Menu Pricing",IF(N($D1396)&lt;=0,"Qty must be above 0",IF($H1396="","No price on menu","OK"))))))</f>
        <v/>
      </c>
      <c r="O1396" s="13">
        <f>IF($C1396="","",IFERROR(MATCH($C1396,'Menu Pricing'!$B$7:$B$56,0),""))</f>
        <v/>
      </c>
    </row>
    <row r="1397" ht="17" customHeight="1">
      <c r="B1397" s="66" t="n"/>
      <c r="C1397" s="60" t="n"/>
      <c r="D1397" s="86" t="n"/>
      <c r="E1397" s="63" t="n"/>
      <c r="F1397" s="60" t="n"/>
      <c r="G1397" s="60" t="n"/>
      <c r="H1397" s="71">
        <f>IF(OR($C1397="",$D1397=""),"",IF(ISNUMBER($E1397),$E1397,IF($O1397="","",IF(N(INDEX('Menu Pricing'!$O$7:$O$56,$O1397))&gt;0,INDEX('Menu Pricing'!$O$7:$O$56,$O1397),""))))</f>
        <v/>
      </c>
      <c r="I1397" s="71">
        <f>IF($N1397&lt;&gt;"OK","",$D1397*$H1397)</f>
        <v/>
      </c>
      <c r="J1397" s="71">
        <f>IF($N1397&lt;&gt;"OK","",N(INDEX('Menu Pricing'!$F$7:$F$56,$O1397))+N(INDEX('Menu Pricing'!$G$7:$G$56,$O1397))+N(INDEX('Menu Pricing'!$J$7:$J$56,$O1397)))</f>
        <v/>
      </c>
      <c r="K1397" s="71">
        <f>IF($N1397&lt;&gt;"OK","",$D1397*$J1397)</f>
        <v/>
      </c>
      <c r="L1397" s="71">
        <f>IF($N1397&lt;&gt;"OK","",$I1397-$K1397)</f>
        <v/>
      </c>
      <c r="M1397" s="71">
        <f>IF($N1397&lt;&gt;"OK","",$D1397*N(INDEX('Menu Pricing'!$F$7:$F$56,$O1397)))</f>
        <v/>
      </c>
      <c r="N1397" s="80">
        <f>IF(AND($B1397="",$C1397="",$D1397=""),"",IF(NOT(ISNUMBER($B1397)),"Enter a valid date",IF($C1397="","Pick a menu item",IF($O1397="","Item not on Menu Pricing",IF(N($D1397)&lt;=0,"Qty must be above 0",IF($H1397="","No price on menu","OK"))))))</f>
        <v/>
      </c>
      <c r="O1397" s="13">
        <f>IF($C1397="","",IFERROR(MATCH($C1397,'Menu Pricing'!$B$7:$B$56,0),""))</f>
        <v/>
      </c>
    </row>
    <row r="1398" ht="17" customHeight="1">
      <c r="B1398" s="66" t="n"/>
      <c r="C1398" s="60" t="n"/>
      <c r="D1398" s="86" t="n"/>
      <c r="E1398" s="63" t="n"/>
      <c r="F1398" s="60" t="n"/>
      <c r="G1398" s="60" t="n"/>
      <c r="H1398" s="71">
        <f>IF(OR($C1398="",$D1398=""),"",IF(ISNUMBER($E1398),$E1398,IF($O1398="","",IF(N(INDEX('Menu Pricing'!$O$7:$O$56,$O1398))&gt;0,INDEX('Menu Pricing'!$O$7:$O$56,$O1398),""))))</f>
        <v/>
      </c>
      <c r="I1398" s="71">
        <f>IF($N1398&lt;&gt;"OK","",$D1398*$H1398)</f>
        <v/>
      </c>
      <c r="J1398" s="71">
        <f>IF($N1398&lt;&gt;"OK","",N(INDEX('Menu Pricing'!$F$7:$F$56,$O1398))+N(INDEX('Menu Pricing'!$G$7:$G$56,$O1398))+N(INDEX('Menu Pricing'!$J$7:$J$56,$O1398)))</f>
        <v/>
      </c>
      <c r="K1398" s="71">
        <f>IF($N1398&lt;&gt;"OK","",$D1398*$J1398)</f>
        <v/>
      </c>
      <c r="L1398" s="71">
        <f>IF($N1398&lt;&gt;"OK","",$I1398-$K1398)</f>
        <v/>
      </c>
      <c r="M1398" s="71">
        <f>IF($N1398&lt;&gt;"OK","",$D1398*N(INDEX('Menu Pricing'!$F$7:$F$56,$O1398)))</f>
        <v/>
      </c>
      <c r="N1398" s="80">
        <f>IF(AND($B1398="",$C1398="",$D1398=""),"",IF(NOT(ISNUMBER($B1398)),"Enter a valid date",IF($C1398="","Pick a menu item",IF($O1398="","Item not on Menu Pricing",IF(N($D1398)&lt;=0,"Qty must be above 0",IF($H1398="","No price on menu","OK"))))))</f>
        <v/>
      </c>
      <c r="O1398" s="13">
        <f>IF($C1398="","",IFERROR(MATCH($C1398,'Menu Pricing'!$B$7:$B$56,0),""))</f>
        <v/>
      </c>
    </row>
    <row r="1399" ht="17" customHeight="1">
      <c r="B1399" s="66" t="n"/>
      <c r="C1399" s="60" t="n"/>
      <c r="D1399" s="86" t="n"/>
      <c r="E1399" s="63" t="n"/>
      <c r="F1399" s="60" t="n"/>
      <c r="G1399" s="60" t="n"/>
      <c r="H1399" s="71">
        <f>IF(OR($C1399="",$D1399=""),"",IF(ISNUMBER($E1399),$E1399,IF($O1399="","",IF(N(INDEX('Menu Pricing'!$O$7:$O$56,$O1399))&gt;0,INDEX('Menu Pricing'!$O$7:$O$56,$O1399),""))))</f>
        <v/>
      </c>
      <c r="I1399" s="71">
        <f>IF($N1399&lt;&gt;"OK","",$D1399*$H1399)</f>
        <v/>
      </c>
      <c r="J1399" s="71">
        <f>IF($N1399&lt;&gt;"OK","",N(INDEX('Menu Pricing'!$F$7:$F$56,$O1399))+N(INDEX('Menu Pricing'!$G$7:$G$56,$O1399))+N(INDEX('Menu Pricing'!$J$7:$J$56,$O1399)))</f>
        <v/>
      </c>
      <c r="K1399" s="71">
        <f>IF($N1399&lt;&gt;"OK","",$D1399*$J1399)</f>
        <v/>
      </c>
      <c r="L1399" s="71">
        <f>IF($N1399&lt;&gt;"OK","",$I1399-$K1399)</f>
        <v/>
      </c>
      <c r="M1399" s="71">
        <f>IF($N1399&lt;&gt;"OK","",$D1399*N(INDEX('Menu Pricing'!$F$7:$F$56,$O1399)))</f>
        <v/>
      </c>
      <c r="N1399" s="80">
        <f>IF(AND($B1399="",$C1399="",$D1399=""),"",IF(NOT(ISNUMBER($B1399)),"Enter a valid date",IF($C1399="","Pick a menu item",IF($O1399="","Item not on Menu Pricing",IF(N($D1399)&lt;=0,"Qty must be above 0",IF($H1399="","No price on menu","OK"))))))</f>
        <v/>
      </c>
      <c r="O1399" s="13">
        <f>IF($C1399="","",IFERROR(MATCH($C1399,'Menu Pricing'!$B$7:$B$56,0),""))</f>
        <v/>
      </c>
    </row>
    <row r="1400" ht="17" customHeight="1">
      <c r="B1400" s="66" t="n"/>
      <c r="C1400" s="60" t="n"/>
      <c r="D1400" s="86" t="n"/>
      <c r="E1400" s="63" t="n"/>
      <c r="F1400" s="60" t="n"/>
      <c r="G1400" s="60" t="n"/>
      <c r="H1400" s="71">
        <f>IF(OR($C1400="",$D1400=""),"",IF(ISNUMBER($E1400),$E1400,IF($O1400="","",IF(N(INDEX('Menu Pricing'!$O$7:$O$56,$O1400))&gt;0,INDEX('Menu Pricing'!$O$7:$O$56,$O1400),""))))</f>
        <v/>
      </c>
      <c r="I1400" s="71">
        <f>IF($N1400&lt;&gt;"OK","",$D1400*$H1400)</f>
        <v/>
      </c>
      <c r="J1400" s="71">
        <f>IF($N1400&lt;&gt;"OK","",N(INDEX('Menu Pricing'!$F$7:$F$56,$O1400))+N(INDEX('Menu Pricing'!$G$7:$G$56,$O1400))+N(INDEX('Menu Pricing'!$J$7:$J$56,$O1400)))</f>
        <v/>
      </c>
      <c r="K1400" s="71">
        <f>IF($N1400&lt;&gt;"OK","",$D1400*$J1400)</f>
        <v/>
      </c>
      <c r="L1400" s="71">
        <f>IF($N1400&lt;&gt;"OK","",$I1400-$K1400)</f>
        <v/>
      </c>
      <c r="M1400" s="71">
        <f>IF($N1400&lt;&gt;"OK","",$D1400*N(INDEX('Menu Pricing'!$F$7:$F$56,$O1400)))</f>
        <v/>
      </c>
      <c r="N1400" s="80">
        <f>IF(AND($B1400="",$C1400="",$D1400=""),"",IF(NOT(ISNUMBER($B1400)),"Enter a valid date",IF($C1400="","Pick a menu item",IF($O1400="","Item not on Menu Pricing",IF(N($D1400)&lt;=0,"Qty must be above 0",IF($H1400="","No price on menu","OK"))))))</f>
        <v/>
      </c>
      <c r="O1400" s="13">
        <f>IF($C1400="","",IFERROR(MATCH($C1400,'Menu Pricing'!$B$7:$B$56,0),""))</f>
        <v/>
      </c>
    </row>
    <row r="1401" ht="17" customHeight="1">
      <c r="B1401" s="66" t="n"/>
      <c r="C1401" s="60" t="n"/>
      <c r="D1401" s="86" t="n"/>
      <c r="E1401" s="63" t="n"/>
      <c r="F1401" s="60" t="n"/>
      <c r="G1401" s="60" t="n"/>
      <c r="H1401" s="71">
        <f>IF(OR($C1401="",$D1401=""),"",IF(ISNUMBER($E1401),$E1401,IF($O1401="","",IF(N(INDEX('Menu Pricing'!$O$7:$O$56,$O1401))&gt;0,INDEX('Menu Pricing'!$O$7:$O$56,$O1401),""))))</f>
        <v/>
      </c>
      <c r="I1401" s="71">
        <f>IF($N1401&lt;&gt;"OK","",$D1401*$H1401)</f>
        <v/>
      </c>
      <c r="J1401" s="71">
        <f>IF($N1401&lt;&gt;"OK","",N(INDEX('Menu Pricing'!$F$7:$F$56,$O1401))+N(INDEX('Menu Pricing'!$G$7:$G$56,$O1401))+N(INDEX('Menu Pricing'!$J$7:$J$56,$O1401)))</f>
        <v/>
      </c>
      <c r="K1401" s="71">
        <f>IF($N1401&lt;&gt;"OK","",$D1401*$J1401)</f>
        <v/>
      </c>
      <c r="L1401" s="71">
        <f>IF($N1401&lt;&gt;"OK","",$I1401-$K1401)</f>
        <v/>
      </c>
      <c r="M1401" s="71">
        <f>IF($N1401&lt;&gt;"OK","",$D1401*N(INDEX('Menu Pricing'!$F$7:$F$56,$O1401)))</f>
        <v/>
      </c>
      <c r="N1401" s="80">
        <f>IF(AND($B1401="",$C1401="",$D1401=""),"",IF(NOT(ISNUMBER($B1401)),"Enter a valid date",IF($C1401="","Pick a menu item",IF($O1401="","Item not on Menu Pricing",IF(N($D1401)&lt;=0,"Qty must be above 0",IF($H1401="","No price on menu","OK"))))))</f>
        <v/>
      </c>
      <c r="O1401" s="13">
        <f>IF($C1401="","",IFERROR(MATCH($C1401,'Menu Pricing'!$B$7:$B$56,0),""))</f>
        <v/>
      </c>
    </row>
    <row r="1402" ht="17" customHeight="1">
      <c r="B1402" s="66" t="n"/>
      <c r="C1402" s="60" t="n"/>
      <c r="D1402" s="86" t="n"/>
      <c r="E1402" s="63" t="n"/>
      <c r="F1402" s="60" t="n"/>
      <c r="G1402" s="60" t="n"/>
      <c r="H1402" s="71">
        <f>IF(OR($C1402="",$D1402=""),"",IF(ISNUMBER($E1402),$E1402,IF($O1402="","",IF(N(INDEX('Menu Pricing'!$O$7:$O$56,$O1402))&gt;0,INDEX('Menu Pricing'!$O$7:$O$56,$O1402),""))))</f>
        <v/>
      </c>
      <c r="I1402" s="71">
        <f>IF($N1402&lt;&gt;"OK","",$D1402*$H1402)</f>
        <v/>
      </c>
      <c r="J1402" s="71">
        <f>IF($N1402&lt;&gt;"OK","",N(INDEX('Menu Pricing'!$F$7:$F$56,$O1402))+N(INDEX('Menu Pricing'!$G$7:$G$56,$O1402))+N(INDEX('Menu Pricing'!$J$7:$J$56,$O1402)))</f>
        <v/>
      </c>
      <c r="K1402" s="71">
        <f>IF($N1402&lt;&gt;"OK","",$D1402*$J1402)</f>
        <v/>
      </c>
      <c r="L1402" s="71">
        <f>IF($N1402&lt;&gt;"OK","",$I1402-$K1402)</f>
        <v/>
      </c>
      <c r="M1402" s="71">
        <f>IF($N1402&lt;&gt;"OK","",$D1402*N(INDEX('Menu Pricing'!$F$7:$F$56,$O1402)))</f>
        <v/>
      </c>
      <c r="N1402" s="80">
        <f>IF(AND($B1402="",$C1402="",$D1402=""),"",IF(NOT(ISNUMBER($B1402)),"Enter a valid date",IF($C1402="","Pick a menu item",IF($O1402="","Item not on Menu Pricing",IF(N($D1402)&lt;=0,"Qty must be above 0",IF($H1402="","No price on menu","OK"))))))</f>
        <v/>
      </c>
      <c r="O1402" s="13">
        <f>IF($C1402="","",IFERROR(MATCH($C1402,'Menu Pricing'!$B$7:$B$56,0),""))</f>
        <v/>
      </c>
    </row>
    <row r="1403" ht="17" customHeight="1">
      <c r="B1403" s="66" t="n"/>
      <c r="C1403" s="60" t="n"/>
      <c r="D1403" s="86" t="n"/>
      <c r="E1403" s="63" t="n"/>
      <c r="F1403" s="60" t="n"/>
      <c r="G1403" s="60" t="n"/>
      <c r="H1403" s="71">
        <f>IF(OR($C1403="",$D1403=""),"",IF(ISNUMBER($E1403),$E1403,IF($O1403="","",IF(N(INDEX('Menu Pricing'!$O$7:$O$56,$O1403))&gt;0,INDEX('Menu Pricing'!$O$7:$O$56,$O1403),""))))</f>
        <v/>
      </c>
      <c r="I1403" s="71">
        <f>IF($N1403&lt;&gt;"OK","",$D1403*$H1403)</f>
        <v/>
      </c>
      <c r="J1403" s="71">
        <f>IF($N1403&lt;&gt;"OK","",N(INDEX('Menu Pricing'!$F$7:$F$56,$O1403))+N(INDEX('Menu Pricing'!$G$7:$G$56,$O1403))+N(INDEX('Menu Pricing'!$J$7:$J$56,$O1403)))</f>
        <v/>
      </c>
      <c r="K1403" s="71">
        <f>IF($N1403&lt;&gt;"OK","",$D1403*$J1403)</f>
        <v/>
      </c>
      <c r="L1403" s="71">
        <f>IF($N1403&lt;&gt;"OK","",$I1403-$K1403)</f>
        <v/>
      </c>
      <c r="M1403" s="71">
        <f>IF($N1403&lt;&gt;"OK","",$D1403*N(INDEX('Menu Pricing'!$F$7:$F$56,$O1403)))</f>
        <v/>
      </c>
      <c r="N1403" s="80">
        <f>IF(AND($B1403="",$C1403="",$D1403=""),"",IF(NOT(ISNUMBER($B1403)),"Enter a valid date",IF($C1403="","Pick a menu item",IF($O1403="","Item not on Menu Pricing",IF(N($D1403)&lt;=0,"Qty must be above 0",IF($H1403="","No price on menu","OK"))))))</f>
        <v/>
      </c>
      <c r="O1403" s="13">
        <f>IF($C1403="","",IFERROR(MATCH($C1403,'Menu Pricing'!$B$7:$B$56,0),""))</f>
        <v/>
      </c>
    </row>
    <row r="1404" ht="17" customHeight="1">
      <c r="B1404" s="66" t="n"/>
      <c r="C1404" s="60" t="n"/>
      <c r="D1404" s="86" t="n"/>
      <c r="E1404" s="63" t="n"/>
      <c r="F1404" s="60" t="n"/>
      <c r="G1404" s="60" t="n"/>
      <c r="H1404" s="71">
        <f>IF(OR($C1404="",$D1404=""),"",IF(ISNUMBER($E1404),$E1404,IF($O1404="","",IF(N(INDEX('Menu Pricing'!$O$7:$O$56,$O1404))&gt;0,INDEX('Menu Pricing'!$O$7:$O$56,$O1404),""))))</f>
        <v/>
      </c>
      <c r="I1404" s="71">
        <f>IF($N1404&lt;&gt;"OK","",$D1404*$H1404)</f>
        <v/>
      </c>
      <c r="J1404" s="71">
        <f>IF($N1404&lt;&gt;"OK","",N(INDEX('Menu Pricing'!$F$7:$F$56,$O1404))+N(INDEX('Menu Pricing'!$G$7:$G$56,$O1404))+N(INDEX('Menu Pricing'!$J$7:$J$56,$O1404)))</f>
        <v/>
      </c>
      <c r="K1404" s="71">
        <f>IF($N1404&lt;&gt;"OK","",$D1404*$J1404)</f>
        <v/>
      </c>
      <c r="L1404" s="71">
        <f>IF($N1404&lt;&gt;"OK","",$I1404-$K1404)</f>
        <v/>
      </c>
      <c r="M1404" s="71">
        <f>IF($N1404&lt;&gt;"OK","",$D1404*N(INDEX('Menu Pricing'!$F$7:$F$56,$O1404)))</f>
        <v/>
      </c>
      <c r="N1404" s="80">
        <f>IF(AND($B1404="",$C1404="",$D1404=""),"",IF(NOT(ISNUMBER($B1404)),"Enter a valid date",IF($C1404="","Pick a menu item",IF($O1404="","Item not on Menu Pricing",IF(N($D1404)&lt;=0,"Qty must be above 0",IF($H1404="","No price on menu","OK"))))))</f>
        <v/>
      </c>
      <c r="O1404" s="13">
        <f>IF($C1404="","",IFERROR(MATCH($C1404,'Menu Pricing'!$B$7:$B$56,0),""))</f>
        <v/>
      </c>
    </row>
    <row r="1405" ht="17" customHeight="1">
      <c r="B1405" s="66" t="n"/>
      <c r="C1405" s="60" t="n"/>
      <c r="D1405" s="86" t="n"/>
      <c r="E1405" s="63" t="n"/>
      <c r="F1405" s="60" t="n"/>
      <c r="G1405" s="60" t="n"/>
      <c r="H1405" s="71">
        <f>IF(OR($C1405="",$D1405=""),"",IF(ISNUMBER($E1405),$E1405,IF($O1405="","",IF(N(INDEX('Menu Pricing'!$O$7:$O$56,$O1405))&gt;0,INDEX('Menu Pricing'!$O$7:$O$56,$O1405),""))))</f>
        <v/>
      </c>
      <c r="I1405" s="71">
        <f>IF($N1405&lt;&gt;"OK","",$D1405*$H1405)</f>
        <v/>
      </c>
      <c r="J1405" s="71">
        <f>IF($N1405&lt;&gt;"OK","",N(INDEX('Menu Pricing'!$F$7:$F$56,$O1405))+N(INDEX('Menu Pricing'!$G$7:$G$56,$O1405))+N(INDEX('Menu Pricing'!$J$7:$J$56,$O1405)))</f>
        <v/>
      </c>
      <c r="K1405" s="71">
        <f>IF($N1405&lt;&gt;"OK","",$D1405*$J1405)</f>
        <v/>
      </c>
      <c r="L1405" s="71">
        <f>IF($N1405&lt;&gt;"OK","",$I1405-$K1405)</f>
        <v/>
      </c>
      <c r="M1405" s="71">
        <f>IF($N1405&lt;&gt;"OK","",$D1405*N(INDEX('Menu Pricing'!$F$7:$F$56,$O1405)))</f>
        <v/>
      </c>
      <c r="N1405" s="80">
        <f>IF(AND($B1405="",$C1405="",$D1405=""),"",IF(NOT(ISNUMBER($B1405)),"Enter a valid date",IF($C1405="","Pick a menu item",IF($O1405="","Item not on Menu Pricing",IF(N($D1405)&lt;=0,"Qty must be above 0",IF($H1405="","No price on menu","OK"))))))</f>
        <v/>
      </c>
      <c r="O1405" s="13">
        <f>IF($C1405="","",IFERROR(MATCH($C1405,'Menu Pricing'!$B$7:$B$56,0),""))</f>
        <v/>
      </c>
    </row>
    <row r="1406" ht="17" customHeight="1">
      <c r="B1406" s="66" t="n"/>
      <c r="C1406" s="60" t="n"/>
      <c r="D1406" s="86" t="n"/>
      <c r="E1406" s="63" t="n"/>
      <c r="F1406" s="60" t="n"/>
      <c r="G1406" s="60" t="n"/>
      <c r="H1406" s="71">
        <f>IF(OR($C1406="",$D1406=""),"",IF(ISNUMBER($E1406),$E1406,IF($O1406="","",IF(N(INDEX('Menu Pricing'!$O$7:$O$56,$O1406))&gt;0,INDEX('Menu Pricing'!$O$7:$O$56,$O1406),""))))</f>
        <v/>
      </c>
      <c r="I1406" s="71">
        <f>IF($N1406&lt;&gt;"OK","",$D1406*$H1406)</f>
        <v/>
      </c>
      <c r="J1406" s="71">
        <f>IF($N1406&lt;&gt;"OK","",N(INDEX('Menu Pricing'!$F$7:$F$56,$O1406))+N(INDEX('Menu Pricing'!$G$7:$G$56,$O1406))+N(INDEX('Menu Pricing'!$J$7:$J$56,$O1406)))</f>
        <v/>
      </c>
      <c r="K1406" s="71">
        <f>IF($N1406&lt;&gt;"OK","",$D1406*$J1406)</f>
        <v/>
      </c>
      <c r="L1406" s="71">
        <f>IF($N1406&lt;&gt;"OK","",$I1406-$K1406)</f>
        <v/>
      </c>
      <c r="M1406" s="71">
        <f>IF($N1406&lt;&gt;"OK","",$D1406*N(INDEX('Menu Pricing'!$F$7:$F$56,$O1406)))</f>
        <v/>
      </c>
      <c r="N1406" s="80">
        <f>IF(AND($B1406="",$C1406="",$D1406=""),"",IF(NOT(ISNUMBER($B1406)),"Enter a valid date",IF($C1406="","Pick a menu item",IF($O1406="","Item not on Menu Pricing",IF(N($D1406)&lt;=0,"Qty must be above 0",IF($H1406="","No price on menu","OK"))))))</f>
        <v/>
      </c>
      <c r="O1406" s="13">
        <f>IF($C1406="","",IFERROR(MATCH($C1406,'Menu Pricing'!$B$7:$B$56,0),""))</f>
        <v/>
      </c>
    </row>
    <row r="1407" ht="17" customHeight="1">
      <c r="B1407" s="66" t="n"/>
      <c r="C1407" s="60" t="n"/>
      <c r="D1407" s="86" t="n"/>
      <c r="E1407" s="63" t="n"/>
      <c r="F1407" s="60" t="n"/>
      <c r="G1407" s="60" t="n"/>
      <c r="H1407" s="71">
        <f>IF(OR($C1407="",$D1407=""),"",IF(ISNUMBER($E1407),$E1407,IF($O1407="","",IF(N(INDEX('Menu Pricing'!$O$7:$O$56,$O1407))&gt;0,INDEX('Menu Pricing'!$O$7:$O$56,$O1407),""))))</f>
        <v/>
      </c>
      <c r="I1407" s="71">
        <f>IF($N1407&lt;&gt;"OK","",$D1407*$H1407)</f>
        <v/>
      </c>
      <c r="J1407" s="71">
        <f>IF($N1407&lt;&gt;"OK","",N(INDEX('Menu Pricing'!$F$7:$F$56,$O1407))+N(INDEX('Menu Pricing'!$G$7:$G$56,$O1407))+N(INDEX('Menu Pricing'!$J$7:$J$56,$O1407)))</f>
        <v/>
      </c>
      <c r="K1407" s="71">
        <f>IF($N1407&lt;&gt;"OK","",$D1407*$J1407)</f>
        <v/>
      </c>
      <c r="L1407" s="71">
        <f>IF($N1407&lt;&gt;"OK","",$I1407-$K1407)</f>
        <v/>
      </c>
      <c r="M1407" s="71">
        <f>IF($N1407&lt;&gt;"OK","",$D1407*N(INDEX('Menu Pricing'!$F$7:$F$56,$O1407)))</f>
        <v/>
      </c>
      <c r="N1407" s="80">
        <f>IF(AND($B1407="",$C1407="",$D1407=""),"",IF(NOT(ISNUMBER($B1407)),"Enter a valid date",IF($C1407="","Pick a menu item",IF($O1407="","Item not on Menu Pricing",IF(N($D1407)&lt;=0,"Qty must be above 0",IF($H1407="","No price on menu","OK"))))))</f>
        <v/>
      </c>
      <c r="O1407" s="13">
        <f>IF($C1407="","",IFERROR(MATCH($C1407,'Menu Pricing'!$B$7:$B$56,0),""))</f>
        <v/>
      </c>
    </row>
    <row r="1408" ht="17" customHeight="1">
      <c r="B1408" s="66" t="n"/>
      <c r="C1408" s="60" t="n"/>
      <c r="D1408" s="86" t="n"/>
      <c r="E1408" s="63" t="n"/>
      <c r="F1408" s="60" t="n"/>
      <c r="G1408" s="60" t="n"/>
      <c r="H1408" s="71">
        <f>IF(OR($C1408="",$D1408=""),"",IF(ISNUMBER($E1408),$E1408,IF($O1408="","",IF(N(INDEX('Menu Pricing'!$O$7:$O$56,$O1408))&gt;0,INDEX('Menu Pricing'!$O$7:$O$56,$O1408),""))))</f>
        <v/>
      </c>
      <c r="I1408" s="71">
        <f>IF($N1408&lt;&gt;"OK","",$D1408*$H1408)</f>
        <v/>
      </c>
      <c r="J1408" s="71">
        <f>IF($N1408&lt;&gt;"OK","",N(INDEX('Menu Pricing'!$F$7:$F$56,$O1408))+N(INDEX('Menu Pricing'!$G$7:$G$56,$O1408))+N(INDEX('Menu Pricing'!$J$7:$J$56,$O1408)))</f>
        <v/>
      </c>
      <c r="K1408" s="71">
        <f>IF($N1408&lt;&gt;"OK","",$D1408*$J1408)</f>
        <v/>
      </c>
      <c r="L1408" s="71">
        <f>IF($N1408&lt;&gt;"OK","",$I1408-$K1408)</f>
        <v/>
      </c>
      <c r="M1408" s="71">
        <f>IF($N1408&lt;&gt;"OK","",$D1408*N(INDEX('Menu Pricing'!$F$7:$F$56,$O1408)))</f>
        <v/>
      </c>
      <c r="N1408" s="80">
        <f>IF(AND($B1408="",$C1408="",$D1408=""),"",IF(NOT(ISNUMBER($B1408)),"Enter a valid date",IF($C1408="","Pick a menu item",IF($O1408="","Item not on Menu Pricing",IF(N($D1408)&lt;=0,"Qty must be above 0",IF($H1408="","No price on menu","OK"))))))</f>
        <v/>
      </c>
      <c r="O1408" s="13">
        <f>IF($C1408="","",IFERROR(MATCH($C1408,'Menu Pricing'!$B$7:$B$56,0),""))</f>
        <v/>
      </c>
    </row>
    <row r="1409" ht="17" customHeight="1">
      <c r="B1409" s="66" t="n"/>
      <c r="C1409" s="60" t="n"/>
      <c r="D1409" s="86" t="n"/>
      <c r="E1409" s="63" t="n"/>
      <c r="F1409" s="60" t="n"/>
      <c r="G1409" s="60" t="n"/>
      <c r="H1409" s="71">
        <f>IF(OR($C1409="",$D1409=""),"",IF(ISNUMBER($E1409),$E1409,IF($O1409="","",IF(N(INDEX('Menu Pricing'!$O$7:$O$56,$O1409))&gt;0,INDEX('Menu Pricing'!$O$7:$O$56,$O1409),""))))</f>
        <v/>
      </c>
      <c r="I1409" s="71">
        <f>IF($N1409&lt;&gt;"OK","",$D1409*$H1409)</f>
        <v/>
      </c>
      <c r="J1409" s="71">
        <f>IF($N1409&lt;&gt;"OK","",N(INDEX('Menu Pricing'!$F$7:$F$56,$O1409))+N(INDEX('Menu Pricing'!$G$7:$G$56,$O1409))+N(INDEX('Menu Pricing'!$J$7:$J$56,$O1409)))</f>
        <v/>
      </c>
      <c r="K1409" s="71">
        <f>IF($N1409&lt;&gt;"OK","",$D1409*$J1409)</f>
        <v/>
      </c>
      <c r="L1409" s="71">
        <f>IF($N1409&lt;&gt;"OK","",$I1409-$K1409)</f>
        <v/>
      </c>
      <c r="M1409" s="71">
        <f>IF($N1409&lt;&gt;"OK","",$D1409*N(INDEX('Menu Pricing'!$F$7:$F$56,$O1409)))</f>
        <v/>
      </c>
      <c r="N1409" s="80">
        <f>IF(AND($B1409="",$C1409="",$D1409=""),"",IF(NOT(ISNUMBER($B1409)),"Enter a valid date",IF($C1409="","Pick a menu item",IF($O1409="","Item not on Menu Pricing",IF(N($D1409)&lt;=0,"Qty must be above 0",IF($H1409="","No price on menu","OK"))))))</f>
        <v/>
      </c>
      <c r="O1409" s="13">
        <f>IF($C1409="","",IFERROR(MATCH($C1409,'Menu Pricing'!$B$7:$B$56,0),""))</f>
        <v/>
      </c>
    </row>
    <row r="1410" ht="17" customHeight="1">
      <c r="B1410" s="66" t="n"/>
      <c r="C1410" s="60" t="n"/>
      <c r="D1410" s="86" t="n"/>
      <c r="E1410" s="63" t="n"/>
      <c r="F1410" s="60" t="n"/>
      <c r="G1410" s="60" t="n"/>
      <c r="H1410" s="71">
        <f>IF(OR($C1410="",$D1410=""),"",IF(ISNUMBER($E1410),$E1410,IF($O1410="","",IF(N(INDEX('Menu Pricing'!$O$7:$O$56,$O1410))&gt;0,INDEX('Menu Pricing'!$O$7:$O$56,$O1410),""))))</f>
        <v/>
      </c>
      <c r="I1410" s="71">
        <f>IF($N1410&lt;&gt;"OK","",$D1410*$H1410)</f>
        <v/>
      </c>
      <c r="J1410" s="71">
        <f>IF($N1410&lt;&gt;"OK","",N(INDEX('Menu Pricing'!$F$7:$F$56,$O1410))+N(INDEX('Menu Pricing'!$G$7:$G$56,$O1410))+N(INDEX('Menu Pricing'!$J$7:$J$56,$O1410)))</f>
        <v/>
      </c>
      <c r="K1410" s="71">
        <f>IF($N1410&lt;&gt;"OK","",$D1410*$J1410)</f>
        <v/>
      </c>
      <c r="L1410" s="71">
        <f>IF($N1410&lt;&gt;"OK","",$I1410-$K1410)</f>
        <v/>
      </c>
      <c r="M1410" s="71">
        <f>IF($N1410&lt;&gt;"OK","",$D1410*N(INDEX('Menu Pricing'!$F$7:$F$56,$O1410)))</f>
        <v/>
      </c>
      <c r="N1410" s="80">
        <f>IF(AND($B1410="",$C1410="",$D1410=""),"",IF(NOT(ISNUMBER($B1410)),"Enter a valid date",IF($C1410="","Pick a menu item",IF($O1410="","Item not on Menu Pricing",IF(N($D1410)&lt;=0,"Qty must be above 0",IF($H1410="","No price on menu","OK"))))))</f>
        <v/>
      </c>
      <c r="O1410" s="13">
        <f>IF($C1410="","",IFERROR(MATCH($C1410,'Menu Pricing'!$B$7:$B$56,0),""))</f>
        <v/>
      </c>
    </row>
    <row r="1411" ht="17" customHeight="1">
      <c r="B1411" s="66" t="n"/>
      <c r="C1411" s="60" t="n"/>
      <c r="D1411" s="86" t="n"/>
      <c r="E1411" s="63" t="n"/>
      <c r="F1411" s="60" t="n"/>
      <c r="G1411" s="60" t="n"/>
      <c r="H1411" s="71">
        <f>IF(OR($C1411="",$D1411=""),"",IF(ISNUMBER($E1411),$E1411,IF($O1411="","",IF(N(INDEX('Menu Pricing'!$O$7:$O$56,$O1411))&gt;0,INDEX('Menu Pricing'!$O$7:$O$56,$O1411),""))))</f>
        <v/>
      </c>
      <c r="I1411" s="71">
        <f>IF($N1411&lt;&gt;"OK","",$D1411*$H1411)</f>
        <v/>
      </c>
      <c r="J1411" s="71">
        <f>IF($N1411&lt;&gt;"OK","",N(INDEX('Menu Pricing'!$F$7:$F$56,$O1411))+N(INDEX('Menu Pricing'!$G$7:$G$56,$O1411))+N(INDEX('Menu Pricing'!$J$7:$J$56,$O1411)))</f>
        <v/>
      </c>
      <c r="K1411" s="71">
        <f>IF($N1411&lt;&gt;"OK","",$D1411*$J1411)</f>
        <v/>
      </c>
      <c r="L1411" s="71">
        <f>IF($N1411&lt;&gt;"OK","",$I1411-$K1411)</f>
        <v/>
      </c>
      <c r="M1411" s="71">
        <f>IF($N1411&lt;&gt;"OK","",$D1411*N(INDEX('Menu Pricing'!$F$7:$F$56,$O1411)))</f>
        <v/>
      </c>
      <c r="N1411" s="80">
        <f>IF(AND($B1411="",$C1411="",$D1411=""),"",IF(NOT(ISNUMBER($B1411)),"Enter a valid date",IF($C1411="","Pick a menu item",IF($O1411="","Item not on Menu Pricing",IF(N($D1411)&lt;=0,"Qty must be above 0",IF($H1411="","No price on menu","OK"))))))</f>
        <v/>
      </c>
      <c r="O1411" s="13">
        <f>IF($C1411="","",IFERROR(MATCH($C1411,'Menu Pricing'!$B$7:$B$56,0),""))</f>
        <v/>
      </c>
    </row>
    <row r="1412" ht="17" customHeight="1">
      <c r="B1412" s="66" t="n"/>
      <c r="C1412" s="60" t="n"/>
      <c r="D1412" s="86" t="n"/>
      <c r="E1412" s="63" t="n"/>
      <c r="F1412" s="60" t="n"/>
      <c r="G1412" s="60" t="n"/>
      <c r="H1412" s="71">
        <f>IF(OR($C1412="",$D1412=""),"",IF(ISNUMBER($E1412),$E1412,IF($O1412="","",IF(N(INDEX('Menu Pricing'!$O$7:$O$56,$O1412))&gt;0,INDEX('Menu Pricing'!$O$7:$O$56,$O1412),""))))</f>
        <v/>
      </c>
      <c r="I1412" s="71">
        <f>IF($N1412&lt;&gt;"OK","",$D1412*$H1412)</f>
        <v/>
      </c>
      <c r="J1412" s="71">
        <f>IF($N1412&lt;&gt;"OK","",N(INDEX('Menu Pricing'!$F$7:$F$56,$O1412))+N(INDEX('Menu Pricing'!$G$7:$G$56,$O1412))+N(INDEX('Menu Pricing'!$J$7:$J$56,$O1412)))</f>
        <v/>
      </c>
      <c r="K1412" s="71">
        <f>IF($N1412&lt;&gt;"OK","",$D1412*$J1412)</f>
        <v/>
      </c>
      <c r="L1412" s="71">
        <f>IF($N1412&lt;&gt;"OK","",$I1412-$K1412)</f>
        <v/>
      </c>
      <c r="M1412" s="71">
        <f>IF($N1412&lt;&gt;"OK","",$D1412*N(INDEX('Menu Pricing'!$F$7:$F$56,$O1412)))</f>
        <v/>
      </c>
      <c r="N1412" s="80">
        <f>IF(AND($B1412="",$C1412="",$D1412=""),"",IF(NOT(ISNUMBER($B1412)),"Enter a valid date",IF($C1412="","Pick a menu item",IF($O1412="","Item not on Menu Pricing",IF(N($D1412)&lt;=0,"Qty must be above 0",IF($H1412="","No price on menu","OK"))))))</f>
        <v/>
      </c>
      <c r="O1412" s="13">
        <f>IF($C1412="","",IFERROR(MATCH($C1412,'Menu Pricing'!$B$7:$B$56,0),""))</f>
        <v/>
      </c>
    </row>
    <row r="1413" ht="17" customHeight="1">
      <c r="B1413" s="66" t="n"/>
      <c r="C1413" s="60" t="n"/>
      <c r="D1413" s="86" t="n"/>
      <c r="E1413" s="63" t="n"/>
      <c r="F1413" s="60" t="n"/>
      <c r="G1413" s="60" t="n"/>
      <c r="H1413" s="71">
        <f>IF(OR($C1413="",$D1413=""),"",IF(ISNUMBER($E1413),$E1413,IF($O1413="","",IF(N(INDEX('Menu Pricing'!$O$7:$O$56,$O1413))&gt;0,INDEX('Menu Pricing'!$O$7:$O$56,$O1413),""))))</f>
        <v/>
      </c>
      <c r="I1413" s="71">
        <f>IF($N1413&lt;&gt;"OK","",$D1413*$H1413)</f>
        <v/>
      </c>
      <c r="J1413" s="71">
        <f>IF($N1413&lt;&gt;"OK","",N(INDEX('Menu Pricing'!$F$7:$F$56,$O1413))+N(INDEX('Menu Pricing'!$G$7:$G$56,$O1413))+N(INDEX('Menu Pricing'!$J$7:$J$56,$O1413)))</f>
        <v/>
      </c>
      <c r="K1413" s="71">
        <f>IF($N1413&lt;&gt;"OK","",$D1413*$J1413)</f>
        <v/>
      </c>
      <c r="L1413" s="71">
        <f>IF($N1413&lt;&gt;"OK","",$I1413-$K1413)</f>
        <v/>
      </c>
      <c r="M1413" s="71">
        <f>IF($N1413&lt;&gt;"OK","",$D1413*N(INDEX('Menu Pricing'!$F$7:$F$56,$O1413)))</f>
        <v/>
      </c>
      <c r="N1413" s="80">
        <f>IF(AND($B1413="",$C1413="",$D1413=""),"",IF(NOT(ISNUMBER($B1413)),"Enter a valid date",IF($C1413="","Pick a menu item",IF($O1413="","Item not on Menu Pricing",IF(N($D1413)&lt;=0,"Qty must be above 0",IF($H1413="","No price on menu","OK"))))))</f>
        <v/>
      </c>
      <c r="O1413" s="13">
        <f>IF($C1413="","",IFERROR(MATCH($C1413,'Menu Pricing'!$B$7:$B$56,0),""))</f>
        <v/>
      </c>
    </row>
    <row r="1414" ht="17" customHeight="1">
      <c r="B1414" s="66" t="n"/>
      <c r="C1414" s="60" t="n"/>
      <c r="D1414" s="86" t="n"/>
      <c r="E1414" s="63" t="n"/>
      <c r="F1414" s="60" t="n"/>
      <c r="G1414" s="60" t="n"/>
      <c r="H1414" s="71">
        <f>IF(OR($C1414="",$D1414=""),"",IF(ISNUMBER($E1414),$E1414,IF($O1414="","",IF(N(INDEX('Menu Pricing'!$O$7:$O$56,$O1414))&gt;0,INDEX('Menu Pricing'!$O$7:$O$56,$O1414),""))))</f>
        <v/>
      </c>
      <c r="I1414" s="71">
        <f>IF($N1414&lt;&gt;"OK","",$D1414*$H1414)</f>
        <v/>
      </c>
      <c r="J1414" s="71">
        <f>IF($N1414&lt;&gt;"OK","",N(INDEX('Menu Pricing'!$F$7:$F$56,$O1414))+N(INDEX('Menu Pricing'!$G$7:$G$56,$O1414))+N(INDEX('Menu Pricing'!$J$7:$J$56,$O1414)))</f>
        <v/>
      </c>
      <c r="K1414" s="71">
        <f>IF($N1414&lt;&gt;"OK","",$D1414*$J1414)</f>
        <v/>
      </c>
      <c r="L1414" s="71">
        <f>IF($N1414&lt;&gt;"OK","",$I1414-$K1414)</f>
        <v/>
      </c>
      <c r="M1414" s="71">
        <f>IF($N1414&lt;&gt;"OK","",$D1414*N(INDEX('Menu Pricing'!$F$7:$F$56,$O1414)))</f>
        <v/>
      </c>
      <c r="N1414" s="80">
        <f>IF(AND($B1414="",$C1414="",$D1414=""),"",IF(NOT(ISNUMBER($B1414)),"Enter a valid date",IF($C1414="","Pick a menu item",IF($O1414="","Item not on Menu Pricing",IF(N($D1414)&lt;=0,"Qty must be above 0",IF($H1414="","No price on menu","OK"))))))</f>
        <v/>
      </c>
      <c r="O1414" s="13">
        <f>IF($C1414="","",IFERROR(MATCH($C1414,'Menu Pricing'!$B$7:$B$56,0),""))</f>
        <v/>
      </c>
    </row>
    <row r="1415" ht="17" customHeight="1">
      <c r="B1415" s="66" t="n"/>
      <c r="C1415" s="60" t="n"/>
      <c r="D1415" s="86" t="n"/>
      <c r="E1415" s="63" t="n"/>
      <c r="F1415" s="60" t="n"/>
      <c r="G1415" s="60" t="n"/>
      <c r="H1415" s="71">
        <f>IF(OR($C1415="",$D1415=""),"",IF(ISNUMBER($E1415),$E1415,IF($O1415="","",IF(N(INDEX('Menu Pricing'!$O$7:$O$56,$O1415))&gt;0,INDEX('Menu Pricing'!$O$7:$O$56,$O1415),""))))</f>
        <v/>
      </c>
      <c r="I1415" s="71">
        <f>IF($N1415&lt;&gt;"OK","",$D1415*$H1415)</f>
        <v/>
      </c>
      <c r="J1415" s="71">
        <f>IF($N1415&lt;&gt;"OK","",N(INDEX('Menu Pricing'!$F$7:$F$56,$O1415))+N(INDEX('Menu Pricing'!$G$7:$G$56,$O1415))+N(INDEX('Menu Pricing'!$J$7:$J$56,$O1415)))</f>
        <v/>
      </c>
      <c r="K1415" s="71">
        <f>IF($N1415&lt;&gt;"OK","",$D1415*$J1415)</f>
        <v/>
      </c>
      <c r="L1415" s="71">
        <f>IF($N1415&lt;&gt;"OK","",$I1415-$K1415)</f>
        <v/>
      </c>
      <c r="M1415" s="71">
        <f>IF($N1415&lt;&gt;"OK","",$D1415*N(INDEX('Menu Pricing'!$F$7:$F$56,$O1415)))</f>
        <v/>
      </c>
      <c r="N1415" s="80">
        <f>IF(AND($B1415="",$C1415="",$D1415=""),"",IF(NOT(ISNUMBER($B1415)),"Enter a valid date",IF($C1415="","Pick a menu item",IF($O1415="","Item not on Menu Pricing",IF(N($D1415)&lt;=0,"Qty must be above 0",IF($H1415="","No price on menu","OK"))))))</f>
        <v/>
      </c>
      <c r="O1415" s="13">
        <f>IF($C1415="","",IFERROR(MATCH($C1415,'Menu Pricing'!$B$7:$B$56,0),""))</f>
        <v/>
      </c>
    </row>
    <row r="1416" ht="17" customHeight="1">
      <c r="B1416" s="66" t="n"/>
      <c r="C1416" s="60" t="n"/>
      <c r="D1416" s="86" t="n"/>
      <c r="E1416" s="63" t="n"/>
      <c r="F1416" s="60" t="n"/>
      <c r="G1416" s="60" t="n"/>
      <c r="H1416" s="71">
        <f>IF(OR($C1416="",$D1416=""),"",IF(ISNUMBER($E1416),$E1416,IF($O1416="","",IF(N(INDEX('Menu Pricing'!$O$7:$O$56,$O1416))&gt;0,INDEX('Menu Pricing'!$O$7:$O$56,$O1416),""))))</f>
        <v/>
      </c>
      <c r="I1416" s="71">
        <f>IF($N1416&lt;&gt;"OK","",$D1416*$H1416)</f>
        <v/>
      </c>
      <c r="J1416" s="71">
        <f>IF($N1416&lt;&gt;"OK","",N(INDEX('Menu Pricing'!$F$7:$F$56,$O1416))+N(INDEX('Menu Pricing'!$G$7:$G$56,$O1416))+N(INDEX('Menu Pricing'!$J$7:$J$56,$O1416)))</f>
        <v/>
      </c>
      <c r="K1416" s="71">
        <f>IF($N1416&lt;&gt;"OK","",$D1416*$J1416)</f>
        <v/>
      </c>
      <c r="L1416" s="71">
        <f>IF($N1416&lt;&gt;"OK","",$I1416-$K1416)</f>
        <v/>
      </c>
      <c r="M1416" s="71">
        <f>IF($N1416&lt;&gt;"OK","",$D1416*N(INDEX('Menu Pricing'!$F$7:$F$56,$O1416)))</f>
        <v/>
      </c>
      <c r="N1416" s="80">
        <f>IF(AND($B1416="",$C1416="",$D1416=""),"",IF(NOT(ISNUMBER($B1416)),"Enter a valid date",IF($C1416="","Pick a menu item",IF($O1416="","Item not on Menu Pricing",IF(N($D1416)&lt;=0,"Qty must be above 0",IF($H1416="","No price on menu","OK"))))))</f>
        <v/>
      </c>
      <c r="O1416" s="13">
        <f>IF($C1416="","",IFERROR(MATCH($C1416,'Menu Pricing'!$B$7:$B$56,0),""))</f>
        <v/>
      </c>
    </row>
    <row r="1417" ht="17" customHeight="1">
      <c r="B1417" s="66" t="n"/>
      <c r="C1417" s="60" t="n"/>
      <c r="D1417" s="86" t="n"/>
      <c r="E1417" s="63" t="n"/>
      <c r="F1417" s="60" t="n"/>
      <c r="G1417" s="60" t="n"/>
      <c r="H1417" s="71">
        <f>IF(OR($C1417="",$D1417=""),"",IF(ISNUMBER($E1417),$E1417,IF($O1417="","",IF(N(INDEX('Menu Pricing'!$O$7:$O$56,$O1417))&gt;0,INDEX('Menu Pricing'!$O$7:$O$56,$O1417),""))))</f>
        <v/>
      </c>
      <c r="I1417" s="71">
        <f>IF($N1417&lt;&gt;"OK","",$D1417*$H1417)</f>
        <v/>
      </c>
      <c r="J1417" s="71">
        <f>IF($N1417&lt;&gt;"OK","",N(INDEX('Menu Pricing'!$F$7:$F$56,$O1417))+N(INDEX('Menu Pricing'!$G$7:$G$56,$O1417))+N(INDEX('Menu Pricing'!$J$7:$J$56,$O1417)))</f>
        <v/>
      </c>
      <c r="K1417" s="71">
        <f>IF($N1417&lt;&gt;"OK","",$D1417*$J1417)</f>
        <v/>
      </c>
      <c r="L1417" s="71">
        <f>IF($N1417&lt;&gt;"OK","",$I1417-$K1417)</f>
        <v/>
      </c>
      <c r="M1417" s="71">
        <f>IF($N1417&lt;&gt;"OK","",$D1417*N(INDEX('Menu Pricing'!$F$7:$F$56,$O1417)))</f>
        <v/>
      </c>
      <c r="N1417" s="80">
        <f>IF(AND($B1417="",$C1417="",$D1417=""),"",IF(NOT(ISNUMBER($B1417)),"Enter a valid date",IF($C1417="","Pick a menu item",IF($O1417="","Item not on Menu Pricing",IF(N($D1417)&lt;=0,"Qty must be above 0",IF($H1417="","No price on menu","OK"))))))</f>
        <v/>
      </c>
      <c r="O1417" s="13">
        <f>IF($C1417="","",IFERROR(MATCH($C1417,'Menu Pricing'!$B$7:$B$56,0),""))</f>
        <v/>
      </c>
    </row>
    <row r="1418" ht="17" customHeight="1">
      <c r="B1418" s="66" t="n"/>
      <c r="C1418" s="60" t="n"/>
      <c r="D1418" s="86" t="n"/>
      <c r="E1418" s="63" t="n"/>
      <c r="F1418" s="60" t="n"/>
      <c r="G1418" s="60" t="n"/>
      <c r="H1418" s="71">
        <f>IF(OR($C1418="",$D1418=""),"",IF(ISNUMBER($E1418),$E1418,IF($O1418="","",IF(N(INDEX('Menu Pricing'!$O$7:$O$56,$O1418))&gt;0,INDEX('Menu Pricing'!$O$7:$O$56,$O1418),""))))</f>
        <v/>
      </c>
      <c r="I1418" s="71">
        <f>IF($N1418&lt;&gt;"OK","",$D1418*$H1418)</f>
        <v/>
      </c>
      <c r="J1418" s="71">
        <f>IF($N1418&lt;&gt;"OK","",N(INDEX('Menu Pricing'!$F$7:$F$56,$O1418))+N(INDEX('Menu Pricing'!$G$7:$G$56,$O1418))+N(INDEX('Menu Pricing'!$J$7:$J$56,$O1418)))</f>
        <v/>
      </c>
      <c r="K1418" s="71">
        <f>IF($N1418&lt;&gt;"OK","",$D1418*$J1418)</f>
        <v/>
      </c>
      <c r="L1418" s="71">
        <f>IF($N1418&lt;&gt;"OK","",$I1418-$K1418)</f>
        <v/>
      </c>
      <c r="M1418" s="71">
        <f>IF($N1418&lt;&gt;"OK","",$D1418*N(INDEX('Menu Pricing'!$F$7:$F$56,$O1418)))</f>
        <v/>
      </c>
      <c r="N1418" s="80">
        <f>IF(AND($B1418="",$C1418="",$D1418=""),"",IF(NOT(ISNUMBER($B1418)),"Enter a valid date",IF($C1418="","Pick a menu item",IF($O1418="","Item not on Menu Pricing",IF(N($D1418)&lt;=0,"Qty must be above 0",IF($H1418="","No price on menu","OK"))))))</f>
        <v/>
      </c>
      <c r="O1418" s="13">
        <f>IF($C1418="","",IFERROR(MATCH($C1418,'Menu Pricing'!$B$7:$B$56,0),""))</f>
        <v/>
      </c>
    </row>
    <row r="1419" ht="17" customHeight="1">
      <c r="B1419" s="66" t="n"/>
      <c r="C1419" s="60" t="n"/>
      <c r="D1419" s="86" t="n"/>
      <c r="E1419" s="63" t="n"/>
      <c r="F1419" s="60" t="n"/>
      <c r="G1419" s="60" t="n"/>
      <c r="H1419" s="71">
        <f>IF(OR($C1419="",$D1419=""),"",IF(ISNUMBER($E1419),$E1419,IF($O1419="","",IF(N(INDEX('Menu Pricing'!$O$7:$O$56,$O1419))&gt;0,INDEX('Menu Pricing'!$O$7:$O$56,$O1419),""))))</f>
        <v/>
      </c>
      <c r="I1419" s="71">
        <f>IF($N1419&lt;&gt;"OK","",$D1419*$H1419)</f>
        <v/>
      </c>
      <c r="J1419" s="71">
        <f>IF($N1419&lt;&gt;"OK","",N(INDEX('Menu Pricing'!$F$7:$F$56,$O1419))+N(INDEX('Menu Pricing'!$G$7:$G$56,$O1419))+N(INDEX('Menu Pricing'!$J$7:$J$56,$O1419)))</f>
        <v/>
      </c>
      <c r="K1419" s="71">
        <f>IF($N1419&lt;&gt;"OK","",$D1419*$J1419)</f>
        <v/>
      </c>
      <c r="L1419" s="71">
        <f>IF($N1419&lt;&gt;"OK","",$I1419-$K1419)</f>
        <v/>
      </c>
      <c r="M1419" s="71">
        <f>IF($N1419&lt;&gt;"OK","",$D1419*N(INDEX('Menu Pricing'!$F$7:$F$56,$O1419)))</f>
        <v/>
      </c>
      <c r="N1419" s="80">
        <f>IF(AND($B1419="",$C1419="",$D1419=""),"",IF(NOT(ISNUMBER($B1419)),"Enter a valid date",IF($C1419="","Pick a menu item",IF($O1419="","Item not on Menu Pricing",IF(N($D1419)&lt;=0,"Qty must be above 0",IF($H1419="","No price on menu","OK"))))))</f>
        <v/>
      </c>
      <c r="O1419" s="13">
        <f>IF($C1419="","",IFERROR(MATCH($C1419,'Menu Pricing'!$B$7:$B$56,0),""))</f>
        <v/>
      </c>
    </row>
    <row r="1420" ht="17" customHeight="1">
      <c r="B1420" s="66" t="n"/>
      <c r="C1420" s="60" t="n"/>
      <c r="D1420" s="86" t="n"/>
      <c r="E1420" s="63" t="n"/>
      <c r="F1420" s="60" t="n"/>
      <c r="G1420" s="60" t="n"/>
      <c r="H1420" s="71">
        <f>IF(OR($C1420="",$D1420=""),"",IF(ISNUMBER($E1420),$E1420,IF($O1420="","",IF(N(INDEX('Menu Pricing'!$O$7:$O$56,$O1420))&gt;0,INDEX('Menu Pricing'!$O$7:$O$56,$O1420),""))))</f>
        <v/>
      </c>
      <c r="I1420" s="71">
        <f>IF($N1420&lt;&gt;"OK","",$D1420*$H1420)</f>
        <v/>
      </c>
      <c r="J1420" s="71">
        <f>IF($N1420&lt;&gt;"OK","",N(INDEX('Menu Pricing'!$F$7:$F$56,$O1420))+N(INDEX('Menu Pricing'!$G$7:$G$56,$O1420))+N(INDEX('Menu Pricing'!$J$7:$J$56,$O1420)))</f>
        <v/>
      </c>
      <c r="K1420" s="71">
        <f>IF($N1420&lt;&gt;"OK","",$D1420*$J1420)</f>
        <v/>
      </c>
      <c r="L1420" s="71">
        <f>IF($N1420&lt;&gt;"OK","",$I1420-$K1420)</f>
        <v/>
      </c>
      <c r="M1420" s="71">
        <f>IF($N1420&lt;&gt;"OK","",$D1420*N(INDEX('Menu Pricing'!$F$7:$F$56,$O1420)))</f>
        <v/>
      </c>
      <c r="N1420" s="80">
        <f>IF(AND($B1420="",$C1420="",$D1420=""),"",IF(NOT(ISNUMBER($B1420)),"Enter a valid date",IF($C1420="","Pick a menu item",IF($O1420="","Item not on Menu Pricing",IF(N($D1420)&lt;=0,"Qty must be above 0",IF($H1420="","No price on menu","OK"))))))</f>
        <v/>
      </c>
      <c r="O1420" s="13">
        <f>IF($C1420="","",IFERROR(MATCH($C1420,'Menu Pricing'!$B$7:$B$56,0),""))</f>
        <v/>
      </c>
    </row>
    <row r="1421" ht="17" customHeight="1">
      <c r="B1421" s="66" t="n"/>
      <c r="C1421" s="60" t="n"/>
      <c r="D1421" s="86" t="n"/>
      <c r="E1421" s="63" t="n"/>
      <c r="F1421" s="60" t="n"/>
      <c r="G1421" s="60" t="n"/>
      <c r="H1421" s="71">
        <f>IF(OR($C1421="",$D1421=""),"",IF(ISNUMBER($E1421),$E1421,IF($O1421="","",IF(N(INDEX('Menu Pricing'!$O$7:$O$56,$O1421))&gt;0,INDEX('Menu Pricing'!$O$7:$O$56,$O1421),""))))</f>
        <v/>
      </c>
      <c r="I1421" s="71">
        <f>IF($N1421&lt;&gt;"OK","",$D1421*$H1421)</f>
        <v/>
      </c>
      <c r="J1421" s="71">
        <f>IF($N1421&lt;&gt;"OK","",N(INDEX('Menu Pricing'!$F$7:$F$56,$O1421))+N(INDEX('Menu Pricing'!$G$7:$G$56,$O1421))+N(INDEX('Menu Pricing'!$J$7:$J$56,$O1421)))</f>
        <v/>
      </c>
      <c r="K1421" s="71">
        <f>IF($N1421&lt;&gt;"OK","",$D1421*$J1421)</f>
        <v/>
      </c>
      <c r="L1421" s="71">
        <f>IF($N1421&lt;&gt;"OK","",$I1421-$K1421)</f>
        <v/>
      </c>
      <c r="M1421" s="71">
        <f>IF($N1421&lt;&gt;"OK","",$D1421*N(INDEX('Menu Pricing'!$F$7:$F$56,$O1421)))</f>
        <v/>
      </c>
      <c r="N1421" s="80">
        <f>IF(AND($B1421="",$C1421="",$D1421=""),"",IF(NOT(ISNUMBER($B1421)),"Enter a valid date",IF($C1421="","Pick a menu item",IF($O1421="","Item not on Menu Pricing",IF(N($D1421)&lt;=0,"Qty must be above 0",IF($H1421="","No price on menu","OK"))))))</f>
        <v/>
      </c>
      <c r="O1421" s="13">
        <f>IF($C1421="","",IFERROR(MATCH($C1421,'Menu Pricing'!$B$7:$B$56,0),""))</f>
        <v/>
      </c>
    </row>
    <row r="1422" ht="17" customHeight="1">
      <c r="B1422" s="66" t="n"/>
      <c r="C1422" s="60" t="n"/>
      <c r="D1422" s="86" t="n"/>
      <c r="E1422" s="63" t="n"/>
      <c r="F1422" s="60" t="n"/>
      <c r="G1422" s="60" t="n"/>
      <c r="H1422" s="71">
        <f>IF(OR($C1422="",$D1422=""),"",IF(ISNUMBER($E1422),$E1422,IF($O1422="","",IF(N(INDEX('Menu Pricing'!$O$7:$O$56,$O1422))&gt;0,INDEX('Menu Pricing'!$O$7:$O$56,$O1422),""))))</f>
        <v/>
      </c>
      <c r="I1422" s="71">
        <f>IF($N1422&lt;&gt;"OK","",$D1422*$H1422)</f>
        <v/>
      </c>
      <c r="J1422" s="71">
        <f>IF($N1422&lt;&gt;"OK","",N(INDEX('Menu Pricing'!$F$7:$F$56,$O1422))+N(INDEX('Menu Pricing'!$G$7:$G$56,$O1422))+N(INDEX('Menu Pricing'!$J$7:$J$56,$O1422)))</f>
        <v/>
      </c>
      <c r="K1422" s="71">
        <f>IF($N1422&lt;&gt;"OK","",$D1422*$J1422)</f>
        <v/>
      </c>
      <c r="L1422" s="71">
        <f>IF($N1422&lt;&gt;"OK","",$I1422-$K1422)</f>
        <v/>
      </c>
      <c r="M1422" s="71">
        <f>IF($N1422&lt;&gt;"OK","",$D1422*N(INDEX('Menu Pricing'!$F$7:$F$56,$O1422)))</f>
        <v/>
      </c>
      <c r="N1422" s="80">
        <f>IF(AND($B1422="",$C1422="",$D1422=""),"",IF(NOT(ISNUMBER($B1422)),"Enter a valid date",IF($C1422="","Pick a menu item",IF($O1422="","Item not on Menu Pricing",IF(N($D1422)&lt;=0,"Qty must be above 0",IF($H1422="","No price on menu","OK"))))))</f>
        <v/>
      </c>
      <c r="O1422" s="13">
        <f>IF($C1422="","",IFERROR(MATCH($C1422,'Menu Pricing'!$B$7:$B$56,0),""))</f>
        <v/>
      </c>
    </row>
    <row r="1423" ht="17" customHeight="1">
      <c r="B1423" s="66" t="n"/>
      <c r="C1423" s="60" t="n"/>
      <c r="D1423" s="86" t="n"/>
      <c r="E1423" s="63" t="n"/>
      <c r="F1423" s="60" t="n"/>
      <c r="G1423" s="60" t="n"/>
      <c r="H1423" s="71">
        <f>IF(OR($C1423="",$D1423=""),"",IF(ISNUMBER($E1423),$E1423,IF($O1423="","",IF(N(INDEX('Menu Pricing'!$O$7:$O$56,$O1423))&gt;0,INDEX('Menu Pricing'!$O$7:$O$56,$O1423),""))))</f>
        <v/>
      </c>
      <c r="I1423" s="71">
        <f>IF($N1423&lt;&gt;"OK","",$D1423*$H1423)</f>
        <v/>
      </c>
      <c r="J1423" s="71">
        <f>IF($N1423&lt;&gt;"OK","",N(INDEX('Menu Pricing'!$F$7:$F$56,$O1423))+N(INDEX('Menu Pricing'!$G$7:$G$56,$O1423))+N(INDEX('Menu Pricing'!$J$7:$J$56,$O1423)))</f>
        <v/>
      </c>
      <c r="K1423" s="71">
        <f>IF($N1423&lt;&gt;"OK","",$D1423*$J1423)</f>
        <v/>
      </c>
      <c r="L1423" s="71">
        <f>IF($N1423&lt;&gt;"OK","",$I1423-$K1423)</f>
        <v/>
      </c>
      <c r="M1423" s="71">
        <f>IF($N1423&lt;&gt;"OK","",$D1423*N(INDEX('Menu Pricing'!$F$7:$F$56,$O1423)))</f>
        <v/>
      </c>
      <c r="N1423" s="80">
        <f>IF(AND($B1423="",$C1423="",$D1423=""),"",IF(NOT(ISNUMBER($B1423)),"Enter a valid date",IF($C1423="","Pick a menu item",IF($O1423="","Item not on Menu Pricing",IF(N($D1423)&lt;=0,"Qty must be above 0",IF($H1423="","No price on menu","OK"))))))</f>
        <v/>
      </c>
      <c r="O1423" s="13">
        <f>IF($C1423="","",IFERROR(MATCH($C1423,'Menu Pricing'!$B$7:$B$56,0),""))</f>
        <v/>
      </c>
    </row>
    <row r="1424" ht="17" customHeight="1">
      <c r="B1424" s="66" t="n"/>
      <c r="C1424" s="60" t="n"/>
      <c r="D1424" s="86" t="n"/>
      <c r="E1424" s="63" t="n"/>
      <c r="F1424" s="60" t="n"/>
      <c r="G1424" s="60" t="n"/>
      <c r="H1424" s="71">
        <f>IF(OR($C1424="",$D1424=""),"",IF(ISNUMBER($E1424),$E1424,IF($O1424="","",IF(N(INDEX('Menu Pricing'!$O$7:$O$56,$O1424))&gt;0,INDEX('Menu Pricing'!$O$7:$O$56,$O1424),""))))</f>
        <v/>
      </c>
      <c r="I1424" s="71">
        <f>IF($N1424&lt;&gt;"OK","",$D1424*$H1424)</f>
        <v/>
      </c>
      <c r="J1424" s="71">
        <f>IF($N1424&lt;&gt;"OK","",N(INDEX('Menu Pricing'!$F$7:$F$56,$O1424))+N(INDEX('Menu Pricing'!$G$7:$G$56,$O1424))+N(INDEX('Menu Pricing'!$J$7:$J$56,$O1424)))</f>
        <v/>
      </c>
      <c r="K1424" s="71">
        <f>IF($N1424&lt;&gt;"OK","",$D1424*$J1424)</f>
        <v/>
      </c>
      <c r="L1424" s="71">
        <f>IF($N1424&lt;&gt;"OK","",$I1424-$K1424)</f>
        <v/>
      </c>
      <c r="M1424" s="71">
        <f>IF($N1424&lt;&gt;"OK","",$D1424*N(INDEX('Menu Pricing'!$F$7:$F$56,$O1424)))</f>
        <v/>
      </c>
      <c r="N1424" s="80">
        <f>IF(AND($B1424="",$C1424="",$D1424=""),"",IF(NOT(ISNUMBER($B1424)),"Enter a valid date",IF($C1424="","Pick a menu item",IF($O1424="","Item not on Menu Pricing",IF(N($D1424)&lt;=0,"Qty must be above 0",IF($H1424="","No price on menu","OK"))))))</f>
        <v/>
      </c>
      <c r="O1424" s="13">
        <f>IF($C1424="","",IFERROR(MATCH($C1424,'Menu Pricing'!$B$7:$B$56,0),""))</f>
        <v/>
      </c>
    </row>
    <row r="1425" ht="17" customHeight="1">
      <c r="B1425" s="66" t="n"/>
      <c r="C1425" s="60" t="n"/>
      <c r="D1425" s="86" t="n"/>
      <c r="E1425" s="63" t="n"/>
      <c r="F1425" s="60" t="n"/>
      <c r="G1425" s="60" t="n"/>
      <c r="H1425" s="71">
        <f>IF(OR($C1425="",$D1425=""),"",IF(ISNUMBER($E1425),$E1425,IF($O1425="","",IF(N(INDEX('Menu Pricing'!$O$7:$O$56,$O1425))&gt;0,INDEX('Menu Pricing'!$O$7:$O$56,$O1425),""))))</f>
        <v/>
      </c>
      <c r="I1425" s="71">
        <f>IF($N1425&lt;&gt;"OK","",$D1425*$H1425)</f>
        <v/>
      </c>
      <c r="J1425" s="71">
        <f>IF($N1425&lt;&gt;"OK","",N(INDEX('Menu Pricing'!$F$7:$F$56,$O1425))+N(INDEX('Menu Pricing'!$G$7:$G$56,$O1425))+N(INDEX('Menu Pricing'!$J$7:$J$56,$O1425)))</f>
        <v/>
      </c>
      <c r="K1425" s="71">
        <f>IF($N1425&lt;&gt;"OK","",$D1425*$J1425)</f>
        <v/>
      </c>
      <c r="L1425" s="71">
        <f>IF($N1425&lt;&gt;"OK","",$I1425-$K1425)</f>
        <v/>
      </c>
      <c r="M1425" s="71">
        <f>IF($N1425&lt;&gt;"OK","",$D1425*N(INDEX('Menu Pricing'!$F$7:$F$56,$O1425)))</f>
        <v/>
      </c>
      <c r="N1425" s="80">
        <f>IF(AND($B1425="",$C1425="",$D1425=""),"",IF(NOT(ISNUMBER($B1425)),"Enter a valid date",IF($C1425="","Pick a menu item",IF($O1425="","Item not on Menu Pricing",IF(N($D1425)&lt;=0,"Qty must be above 0",IF($H1425="","No price on menu","OK"))))))</f>
        <v/>
      </c>
      <c r="O1425" s="13">
        <f>IF($C1425="","",IFERROR(MATCH($C1425,'Menu Pricing'!$B$7:$B$56,0),""))</f>
        <v/>
      </c>
    </row>
    <row r="1426" ht="17" customHeight="1">
      <c r="B1426" s="66" t="n"/>
      <c r="C1426" s="60" t="n"/>
      <c r="D1426" s="86" t="n"/>
      <c r="E1426" s="63" t="n"/>
      <c r="F1426" s="60" t="n"/>
      <c r="G1426" s="60" t="n"/>
      <c r="H1426" s="71">
        <f>IF(OR($C1426="",$D1426=""),"",IF(ISNUMBER($E1426),$E1426,IF($O1426="","",IF(N(INDEX('Menu Pricing'!$O$7:$O$56,$O1426))&gt;0,INDEX('Menu Pricing'!$O$7:$O$56,$O1426),""))))</f>
        <v/>
      </c>
      <c r="I1426" s="71">
        <f>IF($N1426&lt;&gt;"OK","",$D1426*$H1426)</f>
        <v/>
      </c>
      <c r="J1426" s="71">
        <f>IF($N1426&lt;&gt;"OK","",N(INDEX('Menu Pricing'!$F$7:$F$56,$O1426))+N(INDEX('Menu Pricing'!$G$7:$G$56,$O1426))+N(INDEX('Menu Pricing'!$J$7:$J$56,$O1426)))</f>
        <v/>
      </c>
      <c r="K1426" s="71">
        <f>IF($N1426&lt;&gt;"OK","",$D1426*$J1426)</f>
        <v/>
      </c>
      <c r="L1426" s="71">
        <f>IF($N1426&lt;&gt;"OK","",$I1426-$K1426)</f>
        <v/>
      </c>
      <c r="M1426" s="71">
        <f>IF($N1426&lt;&gt;"OK","",$D1426*N(INDEX('Menu Pricing'!$F$7:$F$56,$O1426)))</f>
        <v/>
      </c>
      <c r="N1426" s="80">
        <f>IF(AND($B1426="",$C1426="",$D1426=""),"",IF(NOT(ISNUMBER($B1426)),"Enter a valid date",IF($C1426="","Pick a menu item",IF($O1426="","Item not on Menu Pricing",IF(N($D1426)&lt;=0,"Qty must be above 0",IF($H1426="","No price on menu","OK"))))))</f>
        <v/>
      </c>
      <c r="O1426" s="13">
        <f>IF($C1426="","",IFERROR(MATCH($C1426,'Menu Pricing'!$B$7:$B$56,0),""))</f>
        <v/>
      </c>
    </row>
    <row r="1427" ht="17" customHeight="1">
      <c r="B1427" s="66" t="n"/>
      <c r="C1427" s="60" t="n"/>
      <c r="D1427" s="86" t="n"/>
      <c r="E1427" s="63" t="n"/>
      <c r="F1427" s="60" t="n"/>
      <c r="G1427" s="60" t="n"/>
      <c r="H1427" s="71">
        <f>IF(OR($C1427="",$D1427=""),"",IF(ISNUMBER($E1427),$E1427,IF($O1427="","",IF(N(INDEX('Menu Pricing'!$O$7:$O$56,$O1427))&gt;0,INDEX('Menu Pricing'!$O$7:$O$56,$O1427),""))))</f>
        <v/>
      </c>
      <c r="I1427" s="71">
        <f>IF($N1427&lt;&gt;"OK","",$D1427*$H1427)</f>
        <v/>
      </c>
      <c r="J1427" s="71">
        <f>IF($N1427&lt;&gt;"OK","",N(INDEX('Menu Pricing'!$F$7:$F$56,$O1427))+N(INDEX('Menu Pricing'!$G$7:$G$56,$O1427))+N(INDEX('Menu Pricing'!$J$7:$J$56,$O1427)))</f>
        <v/>
      </c>
      <c r="K1427" s="71">
        <f>IF($N1427&lt;&gt;"OK","",$D1427*$J1427)</f>
        <v/>
      </c>
      <c r="L1427" s="71">
        <f>IF($N1427&lt;&gt;"OK","",$I1427-$K1427)</f>
        <v/>
      </c>
      <c r="M1427" s="71">
        <f>IF($N1427&lt;&gt;"OK","",$D1427*N(INDEX('Menu Pricing'!$F$7:$F$56,$O1427)))</f>
        <v/>
      </c>
      <c r="N1427" s="80">
        <f>IF(AND($B1427="",$C1427="",$D1427=""),"",IF(NOT(ISNUMBER($B1427)),"Enter a valid date",IF($C1427="","Pick a menu item",IF($O1427="","Item not on Menu Pricing",IF(N($D1427)&lt;=0,"Qty must be above 0",IF($H1427="","No price on menu","OK"))))))</f>
        <v/>
      </c>
      <c r="O1427" s="13">
        <f>IF($C1427="","",IFERROR(MATCH($C1427,'Menu Pricing'!$B$7:$B$56,0),""))</f>
        <v/>
      </c>
    </row>
    <row r="1428" ht="17" customHeight="1">
      <c r="B1428" s="66" t="n"/>
      <c r="C1428" s="60" t="n"/>
      <c r="D1428" s="86" t="n"/>
      <c r="E1428" s="63" t="n"/>
      <c r="F1428" s="60" t="n"/>
      <c r="G1428" s="60" t="n"/>
      <c r="H1428" s="71">
        <f>IF(OR($C1428="",$D1428=""),"",IF(ISNUMBER($E1428),$E1428,IF($O1428="","",IF(N(INDEX('Menu Pricing'!$O$7:$O$56,$O1428))&gt;0,INDEX('Menu Pricing'!$O$7:$O$56,$O1428),""))))</f>
        <v/>
      </c>
      <c r="I1428" s="71">
        <f>IF($N1428&lt;&gt;"OK","",$D1428*$H1428)</f>
        <v/>
      </c>
      <c r="J1428" s="71">
        <f>IF($N1428&lt;&gt;"OK","",N(INDEX('Menu Pricing'!$F$7:$F$56,$O1428))+N(INDEX('Menu Pricing'!$G$7:$G$56,$O1428))+N(INDEX('Menu Pricing'!$J$7:$J$56,$O1428)))</f>
        <v/>
      </c>
      <c r="K1428" s="71">
        <f>IF($N1428&lt;&gt;"OK","",$D1428*$J1428)</f>
        <v/>
      </c>
      <c r="L1428" s="71">
        <f>IF($N1428&lt;&gt;"OK","",$I1428-$K1428)</f>
        <v/>
      </c>
      <c r="M1428" s="71">
        <f>IF($N1428&lt;&gt;"OK","",$D1428*N(INDEX('Menu Pricing'!$F$7:$F$56,$O1428)))</f>
        <v/>
      </c>
      <c r="N1428" s="80">
        <f>IF(AND($B1428="",$C1428="",$D1428=""),"",IF(NOT(ISNUMBER($B1428)),"Enter a valid date",IF($C1428="","Pick a menu item",IF($O1428="","Item not on Menu Pricing",IF(N($D1428)&lt;=0,"Qty must be above 0",IF($H1428="","No price on menu","OK"))))))</f>
        <v/>
      </c>
      <c r="O1428" s="13">
        <f>IF($C1428="","",IFERROR(MATCH($C1428,'Menu Pricing'!$B$7:$B$56,0),""))</f>
        <v/>
      </c>
    </row>
    <row r="1429" ht="17" customHeight="1">
      <c r="B1429" s="66" t="n"/>
      <c r="C1429" s="60" t="n"/>
      <c r="D1429" s="86" t="n"/>
      <c r="E1429" s="63" t="n"/>
      <c r="F1429" s="60" t="n"/>
      <c r="G1429" s="60" t="n"/>
      <c r="H1429" s="71">
        <f>IF(OR($C1429="",$D1429=""),"",IF(ISNUMBER($E1429),$E1429,IF($O1429="","",IF(N(INDEX('Menu Pricing'!$O$7:$O$56,$O1429))&gt;0,INDEX('Menu Pricing'!$O$7:$O$56,$O1429),""))))</f>
        <v/>
      </c>
      <c r="I1429" s="71">
        <f>IF($N1429&lt;&gt;"OK","",$D1429*$H1429)</f>
        <v/>
      </c>
      <c r="J1429" s="71">
        <f>IF($N1429&lt;&gt;"OK","",N(INDEX('Menu Pricing'!$F$7:$F$56,$O1429))+N(INDEX('Menu Pricing'!$G$7:$G$56,$O1429))+N(INDEX('Menu Pricing'!$J$7:$J$56,$O1429)))</f>
        <v/>
      </c>
      <c r="K1429" s="71">
        <f>IF($N1429&lt;&gt;"OK","",$D1429*$J1429)</f>
        <v/>
      </c>
      <c r="L1429" s="71">
        <f>IF($N1429&lt;&gt;"OK","",$I1429-$K1429)</f>
        <v/>
      </c>
      <c r="M1429" s="71">
        <f>IF($N1429&lt;&gt;"OK","",$D1429*N(INDEX('Menu Pricing'!$F$7:$F$56,$O1429)))</f>
        <v/>
      </c>
      <c r="N1429" s="80">
        <f>IF(AND($B1429="",$C1429="",$D1429=""),"",IF(NOT(ISNUMBER($B1429)),"Enter a valid date",IF($C1429="","Pick a menu item",IF($O1429="","Item not on Menu Pricing",IF(N($D1429)&lt;=0,"Qty must be above 0",IF($H1429="","No price on menu","OK"))))))</f>
        <v/>
      </c>
      <c r="O1429" s="13">
        <f>IF($C1429="","",IFERROR(MATCH($C1429,'Menu Pricing'!$B$7:$B$56,0),""))</f>
        <v/>
      </c>
    </row>
    <row r="1430" ht="17" customHeight="1">
      <c r="B1430" s="66" t="n"/>
      <c r="C1430" s="60" t="n"/>
      <c r="D1430" s="86" t="n"/>
      <c r="E1430" s="63" t="n"/>
      <c r="F1430" s="60" t="n"/>
      <c r="G1430" s="60" t="n"/>
      <c r="H1430" s="71">
        <f>IF(OR($C1430="",$D1430=""),"",IF(ISNUMBER($E1430),$E1430,IF($O1430="","",IF(N(INDEX('Menu Pricing'!$O$7:$O$56,$O1430))&gt;0,INDEX('Menu Pricing'!$O$7:$O$56,$O1430),""))))</f>
        <v/>
      </c>
      <c r="I1430" s="71">
        <f>IF($N1430&lt;&gt;"OK","",$D1430*$H1430)</f>
        <v/>
      </c>
      <c r="J1430" s="71">
        <f>IF($N1430&lt;&gt;"OK","",N(INDEX('Menu Pricing'!$F$7:$F$56,$O1430))+N(INDEX('Menu Pricing'!$G$7:$G$56,$O1430))+N(INDEX('Menu Pricing'!$J$7:$J$56,$O1430)))</f>
        <v/>
      </c>
      <c r="K1430" s="71">
        <f>IF($N1430&lt;&gt;"OK","",$D1430*$J1430)</f>
        <v/>
      </c>
      <c r="L1430" s="71">
        <f>IF($N1430&lt;&gt;"OK","",$I1430-$K1430)</f>
        <v/>
      </c>
      <c r="M1430" s="71">
        <f>IF($N1430&lt;&gt;"OK","",$D1430*N(INDEX('Menu Pricing'!$F$7:$F$56,$O1430)))</f>
        <v/>
      </c>
      <c r="N1430" s="80">
        <f>IF(AND($B1430="",$C1430="",$D1430=""),"",IF(NOT(ISNUMBER($B1430)),"Enter a valid date",IF($C1430="","Pick a menu item",IF($O1430="","Item not on Menu Pricing",IF(N($D1430)&lt;=0,"Qty must be above 0",IF($H1430="","No price on menu","OK"))))))</f>
        <v/>
      </c>
      <c r="O1430" s="13">
        <f>IF($C1430="","",IFERROR(MATCH($C1430,'Menu Pricing'!$B$7:$B$56,0),""))</f>
        <v/>
      </c>
    </row>
    <row r="1431" ht="17" customHeight="1">
      <c r="B1431" s="66" t="n"/>
      <c r="C1431" s="60" t="n"/>
      <c r="D1431" s="86" t="n"/>
      <c r="E1431" s="63" t="n"/>
      <c r="F1431" s="60" t="n"/>
      <c r="G1431" s="60" t="n"/>
      <c r="H1431" s="71">
        <f>IF(OR($C1431="",$D1431=""),"",IF(ISNUMBER($E1431),$E1431,IF($O1431="","",IF(N(INDEX('Menu Pricing'!$O$7:$O$56,$O1431))&gt;0,INDEX('Menu Pricing'!$O$7:$O$56,$O1431),""))))</f>
        <v/>
      </c>
      <c r="I1431" s="71">
        <f>IF($N1431&lt;&gt;"OK","",$D1431*$H1431)</f>
        <v/>
      </c>
      <c r="J1431" s="71">
        <f>IF($N1431&lt;&gt;"OK","",N(INDEX('Menu Pricing'!$F$7:$F$56,$O1431))+N(INDEX('Menu Pricing'!$G$7:$G$56,$O1431))+N(INDEX('Menu Pricing'!$J$7:$J$56,$O1431)))</f>
        <v/>
      </c>
      <c r="K1431" s="71">
        <f>IF($N1431&lt;&gt;"OK","",$D1431*$J1431)</f>
        <v/>
      </c>
      <c r="L1431" s="71">
        <f>IF($N1431&lt;&gt;"OK","",$I1431-$K1431)</f>
        <v/>
      </c>
      <c r="M1431" s="71">
        <f>IF($N1431&lt;&gt;"OK","",$D1431*N(INDEX('Menu Pricing'!$F$7:$F$56,$O1431)))</f>
        <v/>
      </c>
      <c r="N1431" s="80">
        <f>IF(AND($B1431="",$C1431="",$D1431=""),"",IF(NOT(ISNUMBER($B1431)),"Enter a valid date",IF($C1431="","Pick a menu item",IF($O1431="","Item not on Menu Pricing",IF(N($D1431)&lt;=0,"Qty must be above 0",IF($H1431="","No price on menu","OK"))))))</f>
        <v/>
      </c>
      <c r="O1431" s="13">
        <f>IF($C1431="","",IFERROR(MATCH($C1431,'Menu Pricing'!$B$7:$B$56,0),""))</f>
        <v/>
      </c>
    </row>
    <row r="1432" ht="17" customHeight="1">
      <c r="B1432" s="66" t="n"/>
      <c r="C1432" s="60" t="n"/>
      <c r="D1432" s="86" t="n"/>
      <c r="E1432" s="63" t="n"/>
      <c r="F1432" s="60" t="n"/>
      <c r="G1432" s="60" t="n"/>
      <c r="H1432" s="71">
        <f>IF(OR($C1432="",$D1432=""),"",IF(ISNUMBER($E1432),$E1432,IF($O1432="","",IF(N(INDEX('Menu Pricing'!$O$7:$O$56,$O1432))&gt;0,INDEX('Menu Pricing'!$O$7:$O$56,$O1432),""))))</f>
        <v/>
      </c>
      <c r="I1432" s="71">
        <f>IF($N1432&lt;&gt;"OK","",$D1432*$H1432)</f>
        <v/>
      </c>
      <c r="J1432" s="71">
        <f>IF($N1432&lt;&gt;"OK","",N(INDEX('Menu Pricing'!$F$7:$F$56,$O1432))+N(INDEX('Menu Pricing'!$G$7:$G$56,$O1432))+N(INDEX('Menu Pricing'!$J$7:$J$56,$O1432)))</f>
        <v/>
      </c>
      <c r="K1432" s="71">
        <f>IF($N1432&lt;&gt;"OK","",$D1432*$J1432)</f>
        <v/>
      </c>
      <c r="L1432" s="71">
        <f>IF($N1432&lt;&gt;"OK","",$I1432-$K1432)</f>
        <v/>
      </c>
      <c r="M1432" s="71">
        <f>IF($N1432&lt;&gt;"OK","",$D1432*N(INDEX('Menu Pricing'!$F$7:$F$56,$O1432)))</f>
        <v/>
      </c>
      <c r="N1432" s="80">
        <f>IF(AND($B1432="",$C1432="",$D1432=""),"",IF(NOT(ISNUMBER($B1432)),"Enter a valid date",IF($C1432="","Pick a menu item",IF($O1432="","Item not on Menu Pricing",IF(N($D1432)&lt;=0,"Qty must be above 0",IF($H1432="","No price on menu","OK"))))))</f>
        <v/>
      </c>
      <c r="O1432" s="13">
        <f>IF($C1432="","",IFERROR(MATCH($C1432,'Menu Pricing'!$B$7:$B$56,0),""))</f>
        <v/>
      </c>
    </row>
    <row r="1433" ht="17" customHeight="1">
      <c r="B1433" s="66" t="n"/>
      <c r="C1433" s="60" t="n"/>
      <c r="D1433" s="86" t="n"/>
      <c r="E1433" s="63" t="n"/>
      <c r="F1433" s="60" t="n"/>
      <c r="G1433" s="60" t="n"/>
      <c r="H1433" s="71">
        <f>IF(OR($C1433="",$D1433=""),"",IF(ISNUMBER($E1433),$E1433,IF($O1433="","",IF(N(INDEX('Menu Pricing'!$O$7:$O$56,$O1433))&gt;0,INDEX('Menu Pricing'!$O$7:$O$56,$O1433),""))))</f>
        <v/>
      </c>
      <c r="I1433" s="71">
        <f>IF($N1433&lt;&gt;"OK","",$D1433*$H1433)</f>
        <v/>
      </c>
      <c r="J1433" s="71">
        <f>IF($N1433&lt;&gt;"OK","",N(INDEX('Menu Pricing'!$F$7:$F$56,$O1433))+N(INDEX('Menu Pricing'!$G$7:$G$56,$O1433))+N(INDEX('Menu Pricing'!$J$7:$J$56,$O1433)))</f>
        <v/>
      </c>
      <c r="K1433" s="71">
        <f>IF($N1433&lt;&gt;"OK","",$D1433*$J1433)</f>
        <v/>
      </c>
      <c r="L1433" s="71">
        <f>IF($N1433&lt;&gt;"OK","",$I1433-$K1433)</f>
        <v/>
      </c>
      <c r="M1433" s="71">
        <f>IF($N1433&lt;&gt;"OK","",$D1433*N(INDEX('Menu Pricing'!$F$7:$F$56,$O1433)))</f>
        <v/>
      </c>
      <c r="N1433" s="80">
        <f>IF(AND($B1433="",$C1433="",$D1433=""),"",IF(NOT(ISNUMBER($B1433)),"Enter a valid date",IF($C1433="","Pick a menu item",IF($O1433="","Item not on Menu Pricing",IF(N($D1433)&lt;=0,"Qty must be above 0",IF($H1433="","No price on menu","OK"))))))</f>
        <v/>
      </c>
      <c r="O1433" s="13">
        <f>IF($C1433="","",IFERROR(MATCH($C1433,'Menu Pricing'!$B$7:$B$56,0),""))</f>
        <v/>
      </c>
    </row>
    <row r="1434" ht="17" customHeight="1">
      <c r="B1434" s="66" t="n"/>
      <c r="C1434" s="60" t="n"/>
      <c r="D1434" s="86" t="n"/>
      <c r="E1434" s="63" t="n"/>
      <c r="F1434" s="60" t="n"/>
      <c r="G1434" s="60" t="n"/>
      <c r="H1434" s="71">
        <f>IF(OR($C1434="",$D1434=""),"",IF(ISNUMBER($E1434),$E1434,IF($O1434="","",IF(N(INDEX('Menu Pricing'!$O$7:$O$56,$O1434))&gt;0,INDEX('Menu Pricing'!$O$7:$O$56,$O1434),""))))</f>
        <v/>
      </c>
      <c r="I1434" s="71">
        <f>IF($N1434&lt;&gt;"OK","",$D1434*$H1434)</f>
        <v/>
      </c>
      <c r="J1434" s="71">
        <f>IF($N1434&lt;&gt;"OK","",N(INDEX('Menu Pricing'!$F$7:$F$56,$O1434))+N(INDEX('Menu Pricing'!$G$7:$G$56,$O1434))+N(INDEX('Menu Pricing'!$J$7:$J$56,$O1434)))</f>
        <v/>
      </c>
      <c r="K1434" s="71">
        <f>IF($N1434&lt;&gt;"OK","",$D1434*$J1434)</f>
        <v/>
      </c>
      <c r="L1434" s="71">
        <f>IF($N1434&lt;&gt;"OK","",$I1434-$K1434)</f>
        <v/>
      </c>
      <c r="M1434" s="71">
        <f>IF($N1434&lt;&gt;"OK","",$D1434*N(INDEX('Menu Pricing'!$F$7:$F$56,$O1434)))</f>
        <v/>
      </c>
      <c r="N1434" s="80">
        <f>IF(AND($B1434="",$C1434="",$D1434=""),"",IF(NOT(ISNUMBER($B1434)),"Enter a valid date",IF($C1434="","Pick a menu item",IF($O1434="","Item not on Menu Pricing",IF(N($D1434)&lt;=0,"Qty must be above 0",IF($H1434="","No price on menu","OK"))))))</f>
        <v/>
      </c>
      <c r="O1434" s="13">
        <f>IF($C1434="","",IFERROR(MATCH($C1434,'Menu Pricing'!$B$7:$B$56,0),""))</f>
        <v/>
      </c>
    </row>
    <row r="1435" ht="17" customHeight="1">
      <c r="B1435" s="66" t="n"/>
      <c r="C1435" s="60" t="n"/>
      <c r="D1435" s="86" t="n"/>
      <c r="E1435" s="63" t="n"/>
      <c r="F1435" s="60" t="n"/>
      <c r="G1435" s="60" t="n"/>
      <c r="H1435" s="71">
        <f>IF(OR($C1435="",$D1435=""),"",IF(ISNUMBER($E1435),$E1435,IF($O1435="","",IF(N(INDEX('Menu Pricing'!$O$7:$O$56,$O1435))&gt;0,INDEX('Menu Pricing'!$O$7:$O$56,$O1435),""))))</f>
        <v/>
      </c>
      <c r="I1435" s="71">
        <f>IF($N1435&lt;&gt;"OK","",$D1435*$H1435)</f>
        <v/>
      </c>
      <c r="J1435" s="71">
        <f>IF($N1435&lt;&gt;"OK","",N(INDEX('Menu Pricing'!$F$7:$F$56,$O1435))+N(INDEX('Menu Pricing'!$G$7:$G$56,$O1435))+N(INDEX('Menu Pricing'!$J$7:$J$56,$O1435)))</f>
        <v/>
      </c>
      <c r="K1435" s="71">
        <f>IF($N1435&lt;&gt;"OK","",$D1435*$J1435)</f>
        <v/>
      </c>
      <c r="L1435" s="71">
        <f>IF($N1435&lt;&gt;"OK","",$I1435-$K1435)</f>
        <v/>
      </c>
      <c r="M1435" s="71">
        <f>IF($N1435&lt;&gt;"OK","",$D1435*N(INDEX('Menu Pricing'!$F$7:$F$56,$O1435)))</f>
        <v/>
      </c>
      <c r="N1435" s="80">
        <f>IF(AND($B1435="",$C1435="",$D1435=""),"",IF(NOT(ISNUMBER($B1435)),"Enter a valid date",IF($C1435="","Pick a menu item",IF($O1435="","Item not on Menu Pricing",IF(N($D1435)&lt;=0,"Qty must be above 0",IF($H1435="","No price on menu","OK"))))))</f>
        <v/>
      </c>
      <c r="O1435" s="13">
        <f>IF($C1435="","",IFERROR(MATCH($C1435,'Menu Pricing'!$B$7:$B$56,0),""))</f>
        <v/>
      </c>
    </row>
    <row r="1436" ht="17" customHeight="1">
      <c r="B1436" s="66" t="n"/>
      <c r="C1436" s="60" t="n"/>
      <c r="D1436" s="86" t="n"/>
      <c r="E1436" s="63" t="n"/>
      <c r="F1436" s="60" t="n"/>
      <c r="G1436" s="60" t="n"/>
      <c r="H1436" s="71">
        <f>IF(OR($C1436="",$D1436=""),"",IF(ISNUMBER($E1436),$E1436,IF($O1436="","",IF(N(INDEX('Menu Pricing'!$O$7:$O$56,$O1436))&gt;0,INDEX('Menu Pricing'!$O$7:$O$56,$O1436),""))))</f>
        <v/>
      </c>
      <c r="I1436" s="71">
        <f>IF($N1436&lt;&gt;"OK","",$D1436*$H1436)</f>
        <v/>
      </c>
      <c r="J1436" s="71">
        <f>IF($N1436&lt;&gt;"OK","",N(INDEX('Menu Pricing'!$F$7:$F$56,$O1436))+N(INDEX('Menu Pricing'!$G$7:$G$56,$O1436))+N(INDEX('Menu Pricing'!$J$7:$J$56,$O1436)))</f>
        <v/>
      </c>
      <c r="K1436" s="71">
        <f>IF($N1436&lt;&gt;"OK","",$D1436*$J1436)</f>
        <v/>
      </c>
      <c r="L1436" s="71">
        <f>IF($N1436&lt;&gt;"OK","",$I1436-$K1436)</f>
        <v/>
      </c>
      <c r="M1436" s="71">
        <f>IF($N1436&lt;&gt;"OK","",$D1436*N(INDEX('Menu Pricing'!$F$7:$F$56,$O1436)))</f>
        <v/>
      </c>
      <c r="N1436" s="80">
        <f>IF(AND($B1436="",$C1436="",$D1436=""),"",IF(NOT(ISNUMBER($B1436)),"Enter a valid date",IF($C1436="","Pick a menu item",IF($O1436="","Item not on Menu Pricing",IF(N($D1436)&lt;=0,"Qty must be above 0",IF($H1436="","No price on menu","OK"))))))</f>
        <v/>
      </c>
      <c r="O1436" s="13">
        <f>IF($C1436="","",IFERROR(MATCH($C1436,'Menu Pricing'!$B$7:$B$56,0),""))</f>
        <v/>
      </c>
    </row>
    <row r="1437" ht="17" customHeight="1">
      <c r="B1437" s="66" t="n"/>
      <c r="C1437" s="60" t="n"/>
      <c r="D1437" s="86" t="n"/>
      <c r="E1437" s="63" t="n"/>
      <c r="F1437" s="60" t="n"/>
      <c r="G1437" s="60" t="n"/>
      <c r="H1437" s="71">
        <f>IF(OR($C1437="",$D1437=""),"",IF(ISNUMBER($E1437),$E1437,IF($O1437="","",IF(N(INDEX('Menu Pricing'!$O$7:$O$56,$O1437))&gt;0,INDEX('Menu Pricing'!$O$7:$O$56,$O1437),""))))</f>
        <v/>
      </c>
      <c r="I1437" s="71">
        <f>IF($N1437&lt;&gt;"OK","",$D1437*$H1437)</f>
        <v/>
      </c>
      <c r="J1437" s="71">
        <f>IF($N1437&lt;&gt;"OK","",N(INDEX('Menu Pricing'!$F$7:$F$56,$O1437))+N(INDEX('Menu Pricing'!$G$7:$G$56,$O1437))+N(INDEX('Menu Pricing'!$J$7:$J$56,$O1437)))</f>
        <v/>
      </c>
      <c r="K1437" s="71">
        <f>IF($N1437&lt;&gt;"OK","",$D1437*$J1437)</f>
        <v/>
      </c>
      <c r="L1437" s="71">
        <f>IF($N1437&lt;&gt;"OK","",$I1437-$K1437)</f>
        <v/>
      </c>
      <c r="M1437" s="71">
        <f>IF($N1437&lt;&gt;"OK","",$D1437*N(INDEX('Menu Pricing'!$F$7:$F$56,$O1437)))</f>
        <v/>
      </c>
      <c r="N1437" s="80">
        <f>IF(AND($B1437="",$C1437="",$D1437=""),"",IF(NOT(ISNUMBER($B1437)),"Enter a valid date",IF($C1437="","Pick a menu item",IF($O1437="","Item not on Menu Pricing",IF(N($D1437)&lt;=0,"Qty must be above 0",IF($H1437="","No price on menu","OK"))))))</f>
        <v/>
      </c>
      <c r="O1437" s="13">
        <f>IF($C1437="","",IFERROR(MATCH($C1437,'Menu Pricing'!$B$7:$B$56,0),""))</f>
        <v/>
      </c>
    </row>
    <row r="1438" ht="17" customHeight="1">
      <c r="B1438" s="66" t="n"/>
      <c r="C1438" s="60" t="n"/>
      <c r="D1438" s="86" t="n"/>
      <c r="E1438" s="63" t="n"/>
      <c r="F1438" s="60" t="n"/>
      <c r="G1438" s="60" t="n"/>
      <c r="H1438" s="71">
        <f>IF(OR($C1438="",$D1438=""),"",IF(ISNUMBER($E1438),$E1438,IF($O1438="","",IF(N(INDEX('Menu Pricing'!$O$7:$O$56,$O1438))&gt;0,INDEX('Menu Pricing'!$O$7:$O$56,$O1438),""))))</f>
        <v/>
      </c>
      <c r="I1438" s="71">
        <f>IF($N1438&lt;&gt;"OK","",$D1438*$H1438)</f>
        <v/>
      </c>
      <c r="J1438" s="71">
        <f>IF($N1438&lt;&gt;"OK","",N(INDEX('Menu Pricing'!$F$7:$F$56,$O1438))+N(INDEX('Menu Pricing'!$G$7:$G$56,$O1438))+N(INDEX('Menu Pricing'!$J$7:$J$56,$O1438)))</f>
        <v/>
      </c>
      <c r="K1438" s="71">
        <f>IF($N1438&lt;&gt;"OK","",$D1438*$J1438)</f>
        <v/>
      </c>
      <c r="L1438" s="71">
        <f>IF($N1438&lt;&gt;"OK","",$I1438-$K1438)</f>
        <v/>
      </c>
      <c r="M1438" s="71">
        <f>IF($N1438&lt;&gt;"OK","",$D1438*N(INDEX('Menu Pricing'!$F$7:$F$56,$O1438)))</f>
        <v/>
      </c>
      <c r="N1438" s="80">
        <f>IF(AND($B1438="",$C1438="",$D1438=""),"",IF(NOT(ISNUMBER($B1438)),"Enter a valid date",IF($C1438="","Pick a menu item",IF($O1438="","Item not on Menu Pricing",IF(N($D1438)&lt;=0,"Qty must be above 0",IF($H1438="","No price on menu","OK"))))))</f>
        <v/>
      </c>
      <c r="O1438" s="13">
        <f>IF($C1438="","",IFERROR(MATCH($C1438,'Menu Pricing'!$B$7:$B$56,0),""))</f>
        <v/>
      </c>
    </row>
    <row r="1439" ht="17" customHeight="1">
      <c r="B1439" s="66" t="n"/>
      <c r="C1439" s="60" t="n"/>
      <c r="D1439" s="86" t="n"/>
      <c r="E1439" s="63" t="n"/>
      <c r="F1439" s="60" t="n"/>
      <c r="G1439" s="60" t="n"/>
      <c r="H1439" s="71">
        <f>IF(OR($C1439="",$D1439=""),"",IF(ISNUMBER($E1439),$E1439,IF($O1439="","",IF(N(INDEX('Menu Pricing'!$O$7:$O$56,$O1439))&gt;0,INDEX('Menu Pricing'!$O$7:$O$56,$O1439),""))))</f>
        <v/>
      </c>
      <c r="I1439" s="71">
        <f>IF($N1439&lt;&gt;"OK","",$D1439*$H1439)</f>
        <v/>
      </c>
      <c r="J1439" s="71">
        <f>IF($N1439&lt;&gt;"OK","",N(INDEX('Menu Pricing'!$F$7:$F$56,$O1439))+N(INDEX('Menu Pricing'!$G$7:$G$56,$O1439))+N(INDEX('Menu Pricing'!$J$7:$J$56,$O1439)))</f>
        <v/>
      </c>
      <c r="K1439" s="71">
        <f>IF($N1439&lt;&gt;"OK","",$D1439*$J1439)</f>
        <v/>
      </c>
      <c r="L1439" s="71">
        <f>IF($N1439&lt;&gt;"OK","",$I1439-$K1439)</f>
        <v/>
      </c>
      <c r="M1439" s="71">
        <f>IF($N1439&lt;&gt;"OK","",$D1439*N(INDEX('Menu Pricing'!$F$7:$F$56,$O1439)))</f>
        <v/>
      </c>
      <c r="N1439" s="80">
        <f>IF(AND($B1439="",$C1439="",$D1439=""),"",IF(NOT(ISNUMBER($B1439)),"Enter a valid date",IF($C1439="","Pick a menu item",IF($O1439="","Item not on Menu Pricing",IF(N($D1439)&lt;=0,"Qty must be above 0",IF($H1439="","No price on menu","OK"))))))</f>
        <v/>
      </c>
      <c r="O1439" s="13">
        <f>IF($C1439="","",IFERROR(MATCH($C1439,'Menu Pricing'!$B$7:$B$56,0),""))</f>
        <v/>
      </c>
    </row>
    <row r="1440" ht="17" customHeight="1">
      <c r="B1440" s="66" t="n"/>
      <c r="C1440" s="60" t="n"/>
      <c r="D1440" s="86" t="n"/>
      <c r="E1440" s="63" t="n"/>
      <c r="F1440" s="60" t="n"/>
      <c r="G1440" s="60" t="n"/>
      <c r="H1440" s="71">
        <f>IF(OR($C1440="",$D1440=""),"",IF(ISNUMBER($E1440),$E1440,IF($O1440="","",IF(N(INDEX('Menu Pricing'!$O$7:$O$56,$O1440))&gt;0,INDEX('Menu Pricing'!$O$7:$O$56,$O1440),""))))</f>
        <v/>
      </c>
      <c r="I1440" s="71">
        <f>IF($N1440&lt;&gt;"OK","",$D1440*$H1440)</f>
        <v/>
      </c>
      <c r="J1440" s="71">
        <f>IF($N1440&lt;&gt;"OK","",N(INDEX('Menu Pricing'!$F$7:$F$56,$O1440))+N(INDEX('Menu Pricing'!$G$7:$G$56,$O1440))+N(INDEX('Menu Pricing'!$J$7:$J$56,$O1440)))</f>
        <v/>
      </c>
      <c r="K1440" s="71">
        <f>IF($N1440&lt;&gt;"OK","",$D1440*$J1440)</f>
        <v/>
      </c>
      <c r="L1440" s="71">
        <f>IF($N1440&lt;&gt;"OK","",$I1440-$K1440)</f>
        <v/>
      </c>
      <c r="M1440" s="71">
        <f>IF($N1440&lt;&gt;"OK","",$D1440*N(INDEX('Menu Pricing'!$F$7:$F$56,$O1440)))</f>
        <v/>
      </c>
      <c r="N1440" s="80">
        <f>IF(AND($B1440="",$C1440="",$D1440=""),"",IF(NOT(ISNUMBER($B1440)),"Enter a valid date",IF($C1440="","Pick a menu item",IF($O1440="","Item not on Menu Pricing",IF(N($D1440)&lt;=0,"Qty must be above 0",IF($H1440="","No price on menu","OK"))))))</f>
        <v/>
      </c>
      <c r="O1440" s="13">
        <f>IF($C1440="","",IFERROR(MATCH($C1440,'Menu Pricing'!$B$7:$B$56,0),""))</f>
        <v/>
      </c>
    </row>
    <row r="1441" ht="17" customHeight="1">
      <c r="B1441" s="66" t="n"/>
      <c r="C1441" s="60" t="n"/>
      <c r="D1441" s="86" t="n"/>
      <c r="E1441" s="63" t="n"/>
      <c r="F1441" s="60" t="n"/>
      <c r="G1441" s="60" t="n"/>
      <c r="H1441" s="71">
        <f>IF(OR($C1441="",$D1441=""),"",IF(ISNUMBER($E1441),$E1441,IF($O1441="","",IF(N(INDEX('Menu Pricing'!$O$7:$O$56,$O1441))&gt;0,INDEX('Menu Pricing'!$O$7:$O$56,$O1441),""))))</f>
        <v/>
      </c>
      <c r="I1441" s="71">
        <f>IF($N1441&lt;&gt;"OK","",$D1441*$H1441)</f>
        <v/>
      </c>
      <c r="J1441" s="71">
        <f>IF($N1441&lt;&gt;"OK","",N(INDEX('Menu Pricing'!$F$7:$F$56,$O1441))+N(INDEX('Menu Pricing'!$G$7:$G$56,$O1441))+N(INDEX('Menu Pricing'!$J$7:$J$56,$O1441)))</f>
        <v/>
      </c>
      <c r="K1441" s="71">
        <f>IF($N1441&lt;&gt;"OK","",$D1441*$J1441)</f>
        <v/>
      </c>
      <c r="L1441" s="71">
        <f>IF($N1441&lt;&gt;"OK","",$I1441-$K1441)</f>
        <v/>
      </c>
      <c r="M1441" s="71">
        <f>IF($N1441&lt;&gt;"OK","",$D1441*N(INDEX('Menu Pricing'!$F$7:$F$56,$O1441)))</f>
        <v/>
      </c>
      <c r="N1441" s="80">
        <f>IF(AND($B1441="",$C1441="",$D1441=""),"",IF(NOT(ISNUMBER($B1441)),"Enter a valid date",IF($C1441="","Pick a menu item",IF($O1441="","Item not on Menu Pricing",IF(N($D1441)&lt;=0,"Qty must be above 0",IF($H1441="","No price on menu","OK"))))))</f>
        <v/>
      </c>
      <c r="O1441" s="13">
        <f>IF($C1441="","",IFERROR(MATCH($C1441,'Menu Pricing'!$B$7:$B$56,0),""))</f>
        <v/>
      </c>
    </row>
    <row r="1442" ht="17" customHeight="1">
      <c r="B1442" s="66" t="n"/>
      <c r="C1442" s="60" t="n"/>
      <c r="D1442" s="86" t="n"/>
      <c r="E1442" s="63" t="n"/>
      <c r="F1442" s="60" t="n"/>
      <c r="G1442" s="60" t="n"/>
      <c r="H1442" s="71">
        <f>IF(OR($C1442="",$D1442=""),"",IF(ISNUMBER($E1442),$E1442,IF($O1442="","",IF(N(INDEX('Menu Pricing'!$O$7:$O$56,$O1442))&gt;0,INDEX('Menu Pricing'!$O$7:$O$56,$O1442),""))))</f>
        <v/>
      </c>
      <c r="I1442" s="71">
        <f>IF($N1442&lt;&gt;"OK","",$D1442*$H1442)</f>
        <v/>
      </c>
      <c r="J1442" s="71">
        <f>IF($N1442&lt;&gt;"OK","",N(INDEX('Menu Pricing'!$F$7:$F$56,$O1442))+N(INDEX('Menu Pricing'!$G$7:$G$56,$O1442))+N(INDEX('Menu Pricing'!$J$7:$J$56,$O1442)))</f>
        <v/>
      </c>
      <c r="K1442" s="71">
        <f>IF($N1442&lt;&gt;"OK","",$D1442*$J1442)</f>
        <v/>
      </c>
      <c r="L1442" s="71">
        <f>IF($N1442&lt;&gt;"OK","",$I1442-$K1442)</f>
        <v/>
      </c>
      <c r="M1442" s="71">
        <f>IF($N1442&lt;&gt;"OK","",$D1442*N(INDEX('Menu Pricing'!$F$7:$F$56,$O1442)))</f>
        <v/>
      </c>
      <c r="N1442" s="80">
        <f>IF(AND($B1442="",$C1442="",$D1442=""),"",IF(NOT(ISNUMBER($B1442)),"Enter a valid date",IF($C1442="","Pick a menu item",IF($O1442="","Item not on Menu Pricing",IF(N($D1442)&lt;=0,"Qty must be above 0",IF($H1442="","No price on menu","OK"))))))</f>
        <v/>
      </c>
      <c r="O1442" s="13">
        <f>IF($C1442="","",IFERROR(MATCH($C1442,'Menu Pricing'!$B$7:$B$56,0),""))</f>
        <v/>
      </c>
    </row>
    <row r="1443" ht="17" customHeight="1">
      <c r="B1443" s="66" t="n"/>
      <c r="C1443" s="60" t="n"/>
      <c r="D1443" s="86" t="n"/>
      <c r="E1443" s="63" t="n"/>
      <c r="F1443" s="60" t="n"/>
      <c r="G1443" s="60" t="n"/>
      <c r="H1443" s="71">
        <f>IF(OR($C1443="",$D1443=""),"",IF(ISNUMBER($E1443),$E1443,IF($O1443="","",IF(N(INDEX('Menu Pricing'!$O$7:$O$56,$O1443))&gt;0,INDEX('Menu Pricing'!$O$7:$O$56,$O1443),""))))</f>
        <v/>
      </c>
      <c r="I1443" s="71">
        <f>IF($N1443&lt;&gt;"OK","",$D1443*$H1443)</f>
        <v/>
      </c>
      <c r="J1443" s="71">
        <f>IF($N1443&lt;&gt;"OK","",N(INDEX('Menu Pricing'!$F$7:$F$56,$O1443))+N(INDEX('Menu Pricing'!$G$7:$G$56,$O1443))+N(INDEX('Menu Pricing'!$J$7:$J$56,$O1443)))</f>
        <v/>
      </c>
      <c r="K1443" s="71">
        <f>IF($N1443&lt;&gt;"OK","",$D1443*$J1443)</f>
        <v/>
      </c>
      <c r="L1443" s="71">
        <f>IF($N1443&lt;&gt;"OK","",$I1443-$K1443)</f>
        <v/>
      </c>
      <c r="M1443" s="71">
        <f>IF($N1443&lt;&gt;"OK","",$D1443*N(INDEX('Menu Pricing'!$F$7:$F$56,$O1443)))</f>
        <v/>
      </c>
      <c r="N1443" s="80">
        <f>IF(AND($B1443="",$C1443="",$D1443=""),"",IF(NOT(ISNUMBER($B1443)),"Enter a valid date",IF($C1443="","Pick a menu item",IF($O1443="","Item not on Menu Pricing",IF(N($D1443)&lt;=0,"Qty must be above 0",IF($H1443="","No price on menu","OK"))))))</f>
        <v/>
      </c>
      <c r="O1443" s="13">
        <f>IF($C1443="","",IFERROR(MATCH($C1443,'Menu Pricing'!$B$7:$B$56,0),""))</f>
        <v/>
      </c>
    </row>
    <row r="1444" ht="17" customHeight="1">
      <c r="B1444" s="66" t="n"/>
      <c r="C1444" s="60" t="n"/>
      <c r="D1444" s="86" t="n"/>
      <c r="E1444" s="63" t="n"/>
      <c r="F1444" s="60" t="n"/>
      <c r="G1444" s="60" t="n"/>
      <c r="H1444" s="71">
        <f>IF(OR($C1444="",$D1444=""),"",IF(ISNUMBER($E1444),$E1444,IF($O1444="","",IF(N(INDEX('Menu Pricing'!$O$7:$O$56,$O1444))&gt;0,INDEX('Menu Pricing'!$O$7:$O$56,$O1444),""))))</f>
        <v/>
      </c>
      <c r="I1444" s="71">
        <f>IF($N1444&lt;&gt;"OK","",$D1444*$H1444)</f>
        <v/>
      </c>
      <c r="J1444" s="71">
        <f>IF($N1444&lt;&gt;"OK","",N(INDEX('Menu Pricing'!$F$7:$F$56,$O1444))+N(INDEX('Menu Pricing'!$G$7:$G$56,$O1444))+N(INDEX('Menu Pricing'!$J$7:$J$56,$O1444)))</f>
        <v/>
      </c>
      <c r="K1444" s="71">
        <f>IF($N1444&lt;&gt;"OK","",$D1444*$J1444)</f>
        <v/>
      </c>
      <c r="L1444" s="71">
        <f>IF($N1444&lt;&gt;"OK","",$I1444-$K1444)</f>
        <v/>
      </c>
      <c r="M1444" s="71">
        <f>IF($N1444&lt;&gt;"OK","",$D1444*N(INDEX('Menu Pricing'!$F$7:$F$56,$O1444)))</f>
        <v/>
      </c>
      <c r="N1444" s="80">
        <f>IF(AND($B1444="",$C1444="",$D1444=""),"",IF(NOT(ISNUMBER($B1444)),"Enter a valid date",IF($C1444="","Pick a menu item",IF($O1444="","Item not on Menu Pricing",IF(N($D1444)&lt;=0,"Qty must be above 0",IF($H1444="","No price on menu","OK"))))))</f>
        <v/>
      </c>
      <c r="O1444" s="13">
        <f>IF($C1444="","",IFERROR(MATCH($C1444,'Menu Pricing'!$B$7:$B$56,0),""))</f>
        <v/>
      </c>
    </row>
    <row r="1445" ht="17" customHeight="1">
      <c r="B1445" s="66" t="n"/>
      <c r="C1445" s="60" t="n"/>
      <c r="D1445" s="86" t="n"/>
      <c r="E1445" s="63" t="n"/>
      <c r="F1445" s="60" t="n"/>
      <c r="G1445" s="60" t="n"/>
      <c r="H1445" s="71">
        <f>IF(OR($C1445="",$D1445=""),"",IF(ISNUMBER($E1445),$E1445,IF($O1445="","",IF(N(INDEX('Menu Pricing'!$O$7:$O$56,$O1445))&gt;0,INDEX('Menu Pricing'!$O$7:$O$56,$O1445),""))))</f>
        <v/>
      </c>
      <c r="I1445" s="71">
        <f>IF($N1445&lt;&gt;"OK","",$D1445*$H1445)</f>
        <v/>
      </c>
      <c r="J1445" s="71">
        <f>IF($N1445&lt;&gt;"OK","",N(INDEX('Menu Pricing'!$F$7:$F$56,$O1445))+N(INDEX('Menu Pricing'!$G$7:$G$56,$O1445))+N(INDEX('Menu Pricing'!$J$7:$J$56,$O1445)))</f>
        <v/>
      </c>
      <c r="K1445" s="71">
        <f>IF($N1445&lt;&gt;"OK","",$D1445*$J1445)</f>
        <v/>
      </c>
      <c r="L1445" s="71">
        <f>IF($N1445&lt;&gt;"OK","",$I1445-$K1445)</f>
        <v/>
      </c>
      <c r="M1445" s="71">
        <f>IF($N1445&lt;&gt;"OK","",$D1445*N(INDEX('Menu Pricing'!$F$7:$F$56,$O1445)))</f>
        <v/>
      </c>
      <c r="N1445" s="80">
        <f>IF(AND($B1445="",$C1445="",$D1445=""),"",IF(NOT(ISNUMBER($B1445)),"Enter a valid date",IF($C1445="","Pick a menu item",IF($O1445="","Item not on Menu Pricing",IF(N($D1445)&lt;=0,"Qty must be above 0",IF($H1445="","No price on menu","OK"))))))</f>
        <v/>
      </c>
      <c r="O1445" s="13">
        <f>IF($C1445="","",IFERROR(MATCH($C1445,'Menu Pricing'!$B$7:$B$56,0),""))</f>
        <v/>
      </c>
    </row>
    <row r="1446" ht="17" customHeight="1">
      <c r="B1446" s="66" t="n"/>
      <c r="C1446" s="60" t="n"/>
      <c r="D1446" s="86" t="n"/>
      <c r="E1446" s="63" t="n"/>
      <c r="F1446" s="60" t="n"/>
      <c r="G1446" s="60" t="n"/>
      <c r="H1446" s="71">
        <f>IF(OR($C1446="",$D1446=""),"",IF(ISNUMBER($E1446),$E1446,IF($O1446="","",IF(N(INDEX('Menu Pricing'!$O$7:$O$56,$O1446))&gt;0,INDEX('Menu Pricing'!$O$7:$O$56,$O1446),""))))</f>
        <v/>
      </c>
      <c r="I1446" s="71">
        <f>IF($N1446&lt;&gt;"OK","",$D1446*$H1446)</f>
        <v/>
      </c>
      <c r="J1446" s="71">
        <f>IF($N1446&lt;&gt;"OK","",N(INDEX('Menu Pricing'!$F$7:$F$56,$O1446))+N(INDEX('Menu Pricing'!$G$7:$G$56,$O1446))+N(INDEX('Menu Pricing'!$J$7:$J$56,$O1446)))</f>
        <v/>
      </c>
      <c r="K1446" s="71">
        <f>IF($N1446&lt;&gt;"OK","",$D1446*$J1446)</f>
        <v/>
      </c>
      <c r="L1446" s="71">
        <f>IF($N1446&lt;&gt;"OK","",$I1446-$K1446)</f>
        <v/>
      </c>
      <c r="M1446" s="71">
        <f>IF($N1446&lt;&gt;"OK","",$D1446*N(INDEX('Menu Pricing'!$F$7:$F$56,$O1446)))</f>
        <v/>
      </c>
      <c r="N1446" s="80">
        <f>IF(AND($B1446="",$C1446="",$D1446=""),"",IF(NOT(ISNUMBER($B1446)),"Enter a valid date",IF($C1446="","Pick a menu item",IF($O1446="","Item not on Menu Pricing",IF(N($D1446)&lt;=0,"Qty must be above 0",IF($H1446="","No price on menu","OK"))))))</f>
        <v/>
      </c>
      <c r="O1446" s="13">
        <f>IF($C1446="","",IFERROR(MATCH($C1446,'Menu Pricing'!$B$7:$B$56,0),""))</f>
        <v/>
      </c>
    </row>
    <row r="1447" ht="17" customHeight="1">
      <c r="B1447" s="66" t="n"/>
      <c r="C1447" s="60" t="n"/>
      <c r="D1447" s="86" t="n"/>
      <c r="E1447" s="63" t="n"/>
      <c r="F1447" s="60" t="n"/>
      <c r="G1447" s="60" t="n"/>
      <c r="H1447" s="71">
        <f>IF(OR($C1447="",$D1447=""),"",IF(ISNUMBER($E1447),$E1447,IF($O1447="","",IF(N(INDEX('Menu Pricing'!$O$7:$O$56,$O1447))&gt;0,INDEX('Menu Pricing'!$O$7:$O$56,$O1447),""))))</f>
        <v/>
      </c>
      <c r="I1447" s="71">
        <f>IF($N1447&lt;&gt;"OK","",$D1447*$H1447)</f>
        <v/>
      </c>
      <c r="J1447" s="71">
        <f>IF($N1447&lt;&gt;"OK","",N(INDEX('Menu Pricing'!$F$7:$F$56,$O1447))+N(INDEX('Menu Pricing'!$G$7:$G$56,$O1447))+N(INDEX('Menu Pricing'!$J$7:$J$56,$O1447)))</f>
        <v/>
      </c>
      <c r="K1447" s="71">
        <f>IF($N1447&lt;&gt;"OK","",$D1447*$J1447)</f>
        <v/>
      </c>
      <c r="L1447" s="71">
        <f>IF($N1447&lt;&gt;"OK","",$I1447-$K1447)</f>
        <v/>
      </c>
      <c r="M1447" s="71">
        <f>IF($N1447&lt;&gt;"OK","",$D1447*N(INDEX('Menu Pricing'!$F$7:$F$56,$O1447)))</f>
        <v/>
      </c>
      <c r="N1447" s="80">
        <f>IF(AND($B1447="",$C1447="",$D1447=""),"",IF(NOT(ISNUMBER($B1447)),"Enter a valid date",IF($C1447="","Pick a menu item",IF($O1447="","Item not on Menu Pricing",IF(N($D1447)&lt;=0,"Qty must be above 0",IF($H1447="","No price on menu","OK"))))))</f>
        <v/>
      </c>
      <c r="O1447" s="13">
        <f>IF($C1447="","",IFERROR(MATCH($C1447,'Menu Pricing'!$B$7:$B$56,0),""))</f>
        <v/>
      </c>
    </row>
    <row r="1448" ht="17" customHeight="1">
      <c r="B1448" s="66" t="n"/>
      <c r="C1448" s="60" t="n"/>
      <c r="D1448" s="86" t="n"/>
      <c r="E1448" s="63" t="n"/>
      <c r="F1448" s="60" t="n"/>
      <c r="G1448" s="60" t="n"/>
      <c r="H1448" s="71">
        <f>IF(OR($C1448="",$D1448=""),"",IF(ISNUMBER($E1448),$E1448,IF($O1448="","",IF(N(INDEX('Menu Pricing'!$O$7:$O$56,$O1448))&gt;0,INDEX('Menu Pricing'!$O$7:$O$56,$O1448),""))))</f>
        <v/>
      </c>
      <c r="I1448" s="71">
        <f>IF($N1448&lt;&gt;"OK","",$D1448*$H1448)</f>
        <v/>
      </c>
      <c r="J1448" s="71">
        <f>IF($N1448&lt;&gt;"OK","",N(INDEX('Menu Pricing'!$F$7:$F$56,$O1448))+N(INDEX('Menu Pricing'!$G$7:$G$56,$O1448))+N(INDEX('Menu Pricing'!$J$7:$J$56,$O1448)))</f>
        <v/>
      </c>
      <c r="K1448" s="71">
        <f>IF($N1448&lt;&gt;"OK","",$D1448*$J1448)</f>
        <v/>
      </c>
      <c r="L1448" s="71">
        <f>IF($N1448&lt;&gt;"OK","",$I1448-$K1448)</f>
        <v/>
      </c>
      <c r="M1448" s="71">
        <f>IF($N1448&lt;&gt;"OK","",$D1448*N(INDEX('Menu Pricing'!$F$7:$F$56,$O1448)))</f>
        <v/>
      </c>
      <c r="N1448" s="80">
        <f>IF(AND($B1448="",$C1448="",$D1448=""),"",IF(NOT(ISNUMBER($B1448)),"Enter a valid date",IF($C1448="","Pick a menu item",IF($O1448="","Item not on Menu Pricing",IF(N($D1448)&lt;=0,"Qty must be above 0",IF($H1448="","No price on menu","OK"))))))</f>
        <v/>
      </c>
      <c r="O1448" s="13">
        <f>IF($C1448="","",IFERROR(MATCH($C1448,'Menu Pricing'!$B$7:$B$56,0),""))</f>
        <v/>
      </c>
    </row>
    <row r="1449" ht="17" customHeight="1">
      <c r="B1449" s="66" t="n"/>
      <c r="C1449" s="60" t="n"/>
      <c r="D1449" s="86" t="n"/>
      <c r="E1449" s="63" t="n"/>
      <c r="F1449" s="60" t="n"/>
      <c r="G1449" s="60" t="n"/>
      <c r="H1449" s="71">
        <f>IF(OR($C1449="",$D1449=""),"",IF(ISNUMBER($E1449),$E1449,IF($O1449="","",IF(N(INDEX('Menu Pricing'!$O$7:$O$56,$O1449))&gt;0,INDEX('Menu Pricing'!$O$7:$O$56,$O1449),""))))</f>
        <v/>
      </c>
      <c r="I1449" s="71">
        <f>IF($N1449&lt;&gt;"OK","",$D1449*$H1449)</f>
        <v/>
      </c>
      <c r="J1449" s="71">
        <f>IF($N1449&lt;&gt;"OK","",N(INDEX('Menu Pricing'!$F$7:$F$56,$O1449))+N(INDEX('Menu Pricing'!$G$7:$G$56,$O1449))+N(INDEX('Menu Pricing'!$J$7:$J$56,$O1449)))</f>
        <v/>
      </c>
      <c r="K1449" s="71">
        <f>IF($N1449&lt;&gt;"OK","",$D1449*$J1449)</f>
        <v/>
      </c>
      <c r="L1449" s="71">
        <f>IF($N1449&lt;&gt;"OK","",$I1449-$K1449)</f>
        <v/>
      </c>
      <c r="M1449" s="71">
        <f>IF($N1449&lt;&gt;"OK","",$D1449*N(INDEX('Menu Pricing'!$F$7:$F$56,$O1449)))</f>
        <v/>
      </c>
      <c r="N1449" s="80">
        <f>IF(AND($B1449="",$C1449="",$D1449=""),"",IF(NOT(ISNUMBER($B1449)),"Enter a valid date",IF($C1449="","Pick a menu item",IF($O1449="","Item not on Menu Pricing",IF(N($D1449)&lt;=0,"Qty must be above 0",IF($H1449="","No price on menu","OK"))))))</f>
        <v/>
      </c>
      <c r="O1449" s="13">
        <f>IF($C1449="","",IFERROR(MATCH($C1449,'Menu Pricing'!$B$7:$B$56,0),""))</f>
        <v/>
      </c>
    </row>
    <row r="1450" ht="17" customHeight="1">
      <c r="B1450" s="66" t="n"/>
      <c r="C1450" s="60" t="n"/>
      <c r="D1450" s="86" t="n"/>
      <c r="E1450" s="63" t="n"/>
      <c r="F1450" s="60" t="n"/>
      <c r="G1450" s="60" t="n"/>
      <c r="H1450" s="71">
        <f>IF(OR($C1450="",$D1450=""),"",IF(ISNUMBER($E1450),$E1450,IF($O1450="","",IF(N(INDEX('Menu Pricing'!$O$7:$O$56,$O1450))&gt;0,INDEX('Menu Pricing'!$O$7:$O$56,$O1450),""))))</f>
        <v/>
      </c>
      <c r="I1450" s="71">
        <f>IF($N1450&lt;&gt;"OK","",$D1450*$H1450)</f>
        <v/>
      </c>
      <c r="J1450" s="71">
        <f>IF($N1450&lt;&gt;"OK","",N(INDEX('Menu Pricing'!$F$7:$F$56,$O1450))+N(INDEX('Menu Pricing'!$G$7:$G$56,$O1450))+N(INDEX('Menu Pricing'!$J$7:$J$56,$O1450)))</f>
        <v/>
      </c>
      <c r="K1450" s="71">
        <f>IF($N1450&lt;&gt;"OK","",$D1450*$J1450)</f>
        <v/>
      </c>
      <c r="L1450" s="71">
        <f>IF($N1450&lt;&gt;"OK","",$I1450-$K1450)</f>
        <v/>
      </c>
      <c r="M1450" s="71">
        <f>IF($N1450&lt;&gt;"OK","",$D1450*N(INDEX('Menu Pricing'!$F$7:$F$56,$O1450)))</f>
        <v/>
      </c>
      <c r="N1450" s="80">
        <f>IF(AND($B1450="",$C1450="",$D1450=""),"",IF(NOT(ISNUMBER($B1450)),"Enter a valid date",IF($C1450="","Pick a menu item",IF($O1450="","Item not on Menu Pricing",IF(N($D1450)&lt;=0,"Qty must be above 0",IF($H1450="","No price on menu","OK"))))))</f>
        <v/>
      </c>
      <c r="O1450" s="13">
        <f>IF($C1450="","",IFERROR(MATCH($C1450,'Menu Pricing'!$B$7:$B$56,0),""))</f>
        <v/>
      </c>
    </row>
    <row r="1451" ht="17" customHeight="1">
      <c r="B1451" s="66" t="n"/>
      <c r="C1451" s="60" t="n"/>
      <c r="D1451" s="86" t="n"/>
      <c r="E1451" s="63" t="n"/>
      <c r="F1451" s="60" t="n"/>
      <c r="G1451" s="60" t="n"/>
      <c r="H1451" s="71">
        <f>IF(OR($C1451="",$D1451=""),"",IF(ISNUMBER($E1451),$E1451,IF($O1451="","",IF(N(INDEX('Menu Pricing'!$O$7:$O$56,$O1451))&gt;0,INDEX('Menu Pricing'!$O$7:$O$56,$O1451),""))))</f>
        <v/>
      </c>
      <c r="I1451" s="71">
        <f>IF($N1451&lt;&gt;"OK","",$D1451*$H1451)</f>
        <v/>
      </c>
      <c r="J1451" s="71">
        <f>IF($N1451&lt;&gt;"OK","",N(INDEX('Menu Pricing'!$F$7:$F$56,$O1451))+N(INDEX('Menu Pricing'!$G$7:$G$56,$O1451))+N(INDEX('Menu Pricing'!$J$7:$J$56,$O1451)))</f>
        <v/>
      </c>
      <c r="K1451" s="71">
        <f>IF($N1451&lt;&gt;"OK","",$D1451*$J1451)</f>
        <v/>
      </c>
      <c r="L1451" s="71">
        <f>IF($N1451&lt;&gt;"OK","",$I1451-$K1451)</f>
        <v/>
      </c>
      <c r="M1451" s="71">
        <f>IF($N1451&lt;&gt;"OK","",$D1451*N(INDEX('Menu Pricing'!$F$7:$F$56,$O1451)))</f>
        <v/>
      </c>
      <c r="N1451" s="80">
        <f>IF(AND($B1451="",$C1451="",$D1451=""),"",IF(NOT(ISNUMBER($B1451)),"Enter a valid date",IF($C1451="","Pick a menu item",IF($O1451="","Item not on Menu Pricing",IF(N($D1451)&lt;=0,"Qty must be above 0",IF($H1451="","No price on menu","OK"))))))</f>
        <v/>
      </c>
      <c r="O1451" s="13">
        <f>IF($C1451="","",IFERROR(MATCH($C1451,'Menu Pricing'!$B$7:$B$56,0),""))</f>
        <v/>
      </c>
    </row>
    <row r="1452" ht="17" customHeight="1">
      <c r="B1452" s="66" t="n"/>
      <c r="C1452" s="60" t="n"/>
      <c r="D1452" s="86" t="n"/>
      <c r="E1452" s="63" t="n"/>
      <c r="F1452" s="60" t="n"/>
      <c r="G1452" s="60" t="n"/>
      <c r="H1452" s="71">
        <f>IF(OR($C1452="",$D1452=""),"",IF(ISNUMBER($E1452),$E1452,IF($O1452="","",IF(N(INDEX('Menu Pricing'!$O$7:$O$56,$O1452))&gt;0,INDEX('Menu Pricing'!$O$7:$O$56,$O1452),""))))</f>
        <v/>
      </c>
      <c r="I1452" s="71">
        <f>IF($N1452&lt;&gt;"OK","",$D1452*$H1452)</f>
        <v/>
      </c>
      <c r="J1452" s="71">
        <f>IF($N1452&lt;&gt;"OK","",N(INDEX('Menu Pricing'!$F$7:$F$56,$O1452))+N(INDEX('Menu Pricing'!$G$7:$G$56,$O1452))+N(INDEX('Menu Pricing'!$J$7:$J$56,$O1452)))</f>
        <v/>
      </c>
      <c r="K1452" s="71">
        <f>IF($N1452&lt;&gt;"OK","",$D1452*$J1452)</f>
        <v/>
      </c>
      <c r="L1452" s="71">
        <f>IF($N1452&lt;&gt;"OK","",$I1452-$K1452)</f>
        <v/>
      </c>
      <c r="M1452" s="71">
        <f>IF($N1452&lt;&gt;"OK","",$D1452*N(INDEX('Menu Pricing'!$F$7:$F$56,$O1452)))</f>
        <v/>
      </c>
      <c r="N1452" s="80">
        <f>IF(AND($B1452="",$C1452="",$D1452=""),"",IF(NOT(ISNUMBER($B1452)),"Enter a valid date",IF($C1452="","Pick a menu item",IF($O1452="","Item not on Menu Pricing",IF(N($D1452)&lt;=0,"Qty must be above 0",IF($H1452="","No price on menu","OK"))))))</f>
        <v/>
      </c>
      <c r="O1452" s="13">
        <f>IF($C1452="","",IFERROR(MATCH($C1452,'Menu Pricing'!$B$7:$B$56,0),""))</f>
        <v/>
      </c>
    </row>
    <row r="1453" ht="17" customHeight="1">
      <c r="B1453" s="66" t="n"/>
      <c r="C1453" s="60" t="n"/>
      <c r="D1453" s="86" t="n"/>
      <c r="E1453" s="63" t="n"/>
      <c r="F1453" s="60" t="n"/>
      <c r="G1453" s="60" t="n"/>
      <c r="H1453" s="71">
        <f>IF(OR($C1453="",$D1453=""),"",IF(ISNUMBER($E1453),$E1453,IF($O1453="","",IF(N(INDEX('Menu Pricing'!$O$7:$O$56,$O1453))&gt;0,INDEX('Menu Pricing'!$O$7:$O$56,$O1453),""))))</f>
        <v/>
      </c>
      <c r="I1453" s="71">
        <f>IF($N1453&lt;&gt;"OK","",$D1453*$H1453)</f>
        <v/>
      </c>
      <c r="J1453" s="71">
        <f>IF($N1453&lt;&gt;"OK","",N(INDEX('Menu Pricing'!$F$7:$F$56,$O1453))+N(INDEX('Menu Pricing'!$G$7:$G$56,$O1453))+N(INDEX('Menu Pricing'!$J$7:$J$56,$O1453)))</f>
        <v/>
      </c>
      <c r="K1453" s="71">
        <f>IF($N1453&lt;&gt;"OK","",$D1453*$J1453)</f>
        <v/>
      </c>
      <c r="L1453" s="71">
        <f>IF($N1453&lt;&gt;"OK","",$I1453-$K1453)</f>
        <v/>
      </c>
      <c r="M1453" s="71">
        <f>IF($N1453&lt;&gt;"OK","",$D1453*N(INDEX('Menu Pricing'!$F$7:$F$56,$O1453)))</f>
        <v/>
      </c>
      <c r="N1453" s="80">
        <f>IF(AND($B1453="",$C1453="",$D1453=""),"",IF(NOT(ISNUMBER($B1453)),"Enter a valid date",IF($C1453="","Pick a menu item",IF($O1453="","Item not on Menu Pricing",IF(N($D1453)&lt;=0,"Qty must be above 0",IF($H1453="","No price on menu","OK"))))))</f>
        <v/>
      </c>
      <c r="O1453" s="13">
        <f>IF($C1453="","",IFERROR(MATCH($C1453,'Menu Pricing'!$B$7:$B$56,0),""))</f>
        <v/>
      </c>
    </row>
    <row r="1454" ht="17" customHeight="1">
      <c r="B1454" s="66" t="n"/>
      <c r="C1454" s="60" t="n"/>
      <c r="D1454" s="86" t="n"/>
      <c r="E1454" s="63" t="n"/>
      <c r="F1454" s="60" t="n"/>
      <c r="G1454" s="60" t="n"/>
      <c r="H1454" s="71">
        <f>IF(OR($C1454="",$D1454=""),"",IF(ISNUMBER($E1454),$E1454,IF($O1454="","",IF(N(INDEX('Menu Pricing'!$O$7:$O$56,$O1454))&gt;0,INDEX('Menu Pricing'!$O$7:$O$56,$O1454),""))))</f>
        <v/>
      </c>
      <c r="I1454" s="71">
        <f>IF($N1454&lt;&gt;"OK","",$D1454*$H1454)</f>
        <v/>
      </c>
      <c r="J1454" s="71">
        <f>IF($N1454&lt;&gt;"OK","",N(INDEX('Menu Pricing'!$F$7:$F$56,$O1454))+N(INDEX('Menu Pricing'!$G$7:$G$56,$O1454))+N(INDEX('Menu Pricing'!$J$7:$J$56,$O1454)))</f>
        <v/>
      </c>
      <c r="K1454" s="71">
        <f>IF($N1454&lt;&gt;"OK","",$D1454*$J1454)</f>
        <v/>
      </c>
      <c r="L1454" s="71">
        <f>IF($N1454&lt;&gt;"OK","",$I1454-$K1454)</f>
        <v/>
      </c>
      <c r="M1454" s="71">
        <f>IF($N1454&lt;&gt;"OK","",$D1454*N(INDEX('Menu Pricing'!$F$7:$F$56,$O1454)))</f>
        <v/>
      </c>
      <c r="N1454" s="80">
        <f>IF(AND($B1454="",$C1454="",$D1454=""),"",IF(NOT(ISNUMBER($B1454)),"Enter a valid date",IF($C1454="","Pick a menu item",IF($O1454="","Item not on Menu Pricing",IF(N($D1454)&lt;=0,"Qty must be above 0",IF($H1454="","No price on menu","OK"))))))</f>
        <v/>
      </c>
      <c r="O1454" s="13">
        <f>IF($C1454="","",IFERROR(MATCH($C1454,'Menu Pricing'!$B$7:$B$56,0),""))</f>
        <v/>
      </c>
    </row>
    <row r="1455" ht="17" customHeight="1">
      <c r="B1455" s="66" t="n"/>
      <c r="C1455" s="60" t="n"/>
      <c r="D1455" s="86" t="n"/>
      <c r="E1455" s="63" t="n"/>
      <c r="F1455" s="60" t="n"/>
      <c r="G1455" s="60" t="n"/>
      <c r="H1455" s="71">
        <f>IF(OR($C1455="",$D1455=""),"",IF(ISNUMBER($E1455),$E1455,IF($O1455="","",IF(N(INDEX('Menu Pricing'!$O$7:$O$56,$O1455))&gt;0,INDEX('Menu Pricing'!$O$7:$O$56,$O1455),""))))</f>
        <v/>
      </c>
      <c r="I1455" s="71">
        <f>IF($N1455&lt;&gt;"OK","",$D1455*$H1455)</f>
        <v/>
      </c>
      <c r="J1455" s="71">
        <f>IF($N1455&lt;&gt;"OK","",N(INDEX('Menu Pricing'!$F$7:$F$56,$O1455))+N(INDEX('Menu Pricing'!$G$7:$G$56,$O1455))+N(INDEX('Menu Pricing'!$J$7:$J$56,$O1455)))</f>
        <v/>
      </c>
      <c r="K1455" s="71">
        <f>IF($N1455&lt;&gt;"OK","",$D1455*$J1455)</f>
        <v/>
      </c>
      <c r="L1455" s="71">
        <f>IF($N1455&lt;&gt;"OK","",$I1455-$K1455)</f>
        <v/>
      </c>
      <c r="M1455" s="71">
        <f>IF($N1455&lt;&gt;"OK","",$D1455*N(INDEX('Menu Pricing'!$F$7:$F$56,$O1455)))</f>
        <v/>
      </c>
      <c r="N1455" s="80">
        <f>IF(AND($B1455="",$C1455="",$D1455=""),"",IF(NOT(ISNUMBER($B1455)),"Enter a valid date",IF($C1455="","Pick a menu item",IF($O1455="","Item not on Menu Pricing",IF(N($D1455)&lt;=0,"Qty must be above 0",IF($H1455="","No price on menu","OK"))))))</f>
        <v/>
      </c>
      <c r="O1455" s="13">
        <f>IF($C1455="","",IFERROR(MATCH($C1455,'Menu Pricing'!$B$7:$B$56,0),""))</f>
        <v/>
      </c>
    </row>
    <row r="1456" ht="17" customHeight="1">
      <c r="B1456" s="66" t="n"/>
      <c r="C1456" s="60" t="n"/>
      <c r="D1456" s="86" t="n"/>
      <c r="E1456" s="63" t="n"/>
      <c r="F1456" s="60" t="n"/>
      <c r="G1456" s="60" t="n"/>
      <c r="H1456" s="71">
        <f>IF(OR($C1456="",$D1456=""),"",IF(ISNUMBER($E1456),$E1456,IF($O1456="","",IF(N(INDEX('Menu Pricing'!$O$7:$O$56,$O1456))&gt;0,INDEX('Menu Pricing'!$O$7:$O$56,$O1456),""))))</f>
        <v/>
      </c>
      <c r="I1456" s="71">
        <f>IF($N1456&lt;&gt;"OK","",$D1456*$H1456)</f>
        <v/>
      </c>
      <c r="J1456" s="71">
        <f>IF($N1456&lt;&gt;"OK","",N(INDEX('Menu Pricing'!$F$7:$F$56,$O1456))+N(INDEX('Menu Pricing'!$G$7:$G$56,$O1456))+N(INDEX('Menu Pricing'!$J$7:$J$56,$O1456)))</f>
        <v/>
      </c>
      <c r="K1456" s="71">
        <f>IF($N1456&lt;&gt;"OK","",$D1456*$J1456)</f>
        <v/>
      </c>
      <c r="L1456" s="71">
        <f>IF($N1456&lt;&gt;"OK","",$I1456-$K1456)</f>
        <v/>
      </c>
      <c r="M1456" s="71">
        <f>IF($N1456&lt;&gt;"OK","",$D1456*N(INDEX('Menu Pricing'!$F$7:$F$56,$O1456)))</f>
        <v/>
      </c>
      <c r="N1456" s="80">
        <f>IF(AND($B1456="",$C1456="",$D1456=""),"",IF(NOT(ISNUMBER($B1456)),"Enter a valid date",IF($C1456="","Pick a menu item",IF($O1456="","Item not on Menu Pricing",IF(N($D1456)&lt;=0,"Qty must be above 0",IF($H1456="","No price on menu","OK"))))))</f>
        <v/>
      </c>
      <c r="O1456" s="13">
        <f>IF($C1456="","",IFERROR(MATCH($C1456,'Menu Pricing'!$B$7:$B$56,0),""))</f>
        <v/>
      </c>
    </row>
    <row r="1457" ht="17" customHeight="1">
      <c r="B1457" s="66" t="n"/>
      <c r="C1457" s="60" t="n"/>
      <c r="D1457" s="86" t="n"/>
      <c r="E1457" s="63" t="n"/>
      <c r="F1457" s="60" t="n"/>
      <c r="G1457" s="60" t="n"/>
      <c r="H1457" s="71">
        <f>IF(OR($C1457="",$D1457=""),"",IF(ISNUMBER($E1457),$E1457,IF($O1457="","",IF(N(INDEX('Menu Pricing'!$O$7:$O$56,$O1457))&gt;0,INDEX('Menu Pricing'!$O$7:$O$56,$O1457),""))))</f>
        <v/>
      </c>
      <c r="I1457" s="71">
        <f>IF($N1457&lt;&gt;"OK","",$D1457*$H1457)</f>
        <v/>
      </c>
      <c r="J1457" s="71">
        <f>IF($N1457&lt;&gt;"OK","",N(INDEX('Menu Pricing'!$F$7:$F$56,$O1457))+N(INDEX('Menu Pricing'!$G$7:$G$56,$O1457))+N(INDEX('Menu Pricing'!$J$7:$J$56,$O1457)))</f>
        <v/>
      </c>
      <c r="K1457" s="71">
        <f>IF($N1457&lt;&gt;"OK","",$D1457*$J1457)</f>
        <v/>
      </c>
      <c r="L1457" s="71">
        <f>IF($N1457&lt;&gt;"OK","",$I1457-$K1457)</f>
        <v/>
      </c>
      <c r="M1457" s="71">
        <f>IF($N1457&lt;&gt;"OK","",$D1457*N(INDEX('Menu Pricing'!$F$7:$F$56,$O1457)))</f>
        <v/>
      </c>
      <c r="N1457" s="80">
        <f>IF(AND($B1457="",$C1457="",$D1457=""),"",IF(NOT(ISNUMBER($B1457)),"Enter a valid date",IF($C1457="","Pick a menu item",IF($O1457="","Item not on Menu Pricing",IF(N($D1457)&lt;=0,"Qty must be above 0",IF($H1457="","No price on menu","OK"))))))</f>
        <v/>
      </c>
      <c r="O1457" s="13">
        <f>IF($C1457="","",IFERROR(MATCH($C1457,'Menu Pricing'!$B$7:$B$56,0),""))</f>
        <v/>
      </c>
    </row>
    <row r="1458" ht="17" customHeight="1">
      <c r="B1458" s="66" t="n"/>
      <c r="C1458" s="60" t="n"/>
      <c r="D1458" s="86" t="n"/>
      <c r="E1458" s="63" t="n"/>
      <c r="F1458" s="60" t="n"/>
      <c r="G1458" s="60" t="n"/>
      <c r="H1458" s="71">
        <f>IF(OR($C1458="",$D1458=""),"",IF(ISNUMBER($E1458),$E1458,IF($O1458="","",IF(N(INDEX('Menu Pricing'!$O$7:$O$56,$O1458))&gt;0,INDEX('Menu Pricing'!$O$7:$O$56,$O1458),""))))</f>
        <v/>
      </c>
      <c r="I1458" s="71">
        <f>IF($N1458&lt;&gt;"OK","",$D1458*$H1458)</f>
        <v/>
      </c>
      <c r="J1458" s="71">
        <f>IF($N1458&lt;&gt;"OK","",N(INDEX('Menu Pricing'!$F$7:$F$56,$O1458))+N(INDEX('Menu Pricing'!$G$7:$G$56,$O1458))+N(INDEX('Menu Pricing'!$J$7:$J$56,$O1458)))</f>
        <v/>
      </c>
      <c r="K1458" s="71">
        <f>IF($N1458&lt;&gt;"OK","",$D1458*$J1458)</f>
        <v/>
      </c>
      <c r="L1458" s="71">
        <f>IF($N1458&lt;&gt;"OK","",$I1458-$K1458)</f>
        <v/>
      </c>
      <c r="M1458" s="71">
        <f>IF($N1458&lt;&gt;"OK","",$D1458*N(INDEX('Menu Pricing'!$F$7:$F$56,$O1458)))</f>
        <v/>
      </c>
      <c r="N1458" s="80">
        <f>IF(AND($B1458="",$C1458="",$D1458=""),"",IF(NOT(ISNUMBER($B1458)),"Enter a valid date",IF($C1458="","Pick a menu item",IF($O1458="","Item not on Menu Pricing",IF(N($D1458)&lt;=0,"Qty must be above 0",IF($H1458="","No price on menu","OK"))))))</f>
        <v/>
      </c>
      <c r="O1458" s="13">
        <f>IF($C1458="","",IFERROR(MATCH($C1458,'Menu Pricing'!$B$7:$B$56,0),""))</f>
        <v/>
      </c>
    </row>
    <row r="1459" ht="17" customHeight="1">
      <c r="B1459" s="66" t="n"/>
      <c r="C1459" s="60" t="n"/>
      <c r="D1459" s="86" t="n"/>
      <c r="E1459" s="63" t="n"/>
      <c r="F1459" s="60" t="n"/>
      <c r="G1459" s="60" t="n"/>
      <c r="H1459" s="71">
        <f>IF(OR($C1459="",$D1459=""),"",IF(ISNUMBER($E1459),$E1459,IF($O1459="","",IF(N(INDEX('Menu Pricing'!$O$7:$O$56,$O1459))&gt;0,INDEX('Menu Pricing'!$O$7:$O$56,$O1459),""))))</f>
        <v/>
      </c>
      <c r="I1459" s="71">
        <f>IF($N1459&lt;&gt;"OK","",$D1459*$H1459)</f>
        <v/>
      </c>
      <c r="J1459" s="71">
        <f>IF($N1459&lt;&gt;"OK","",N(INDEX('Menu Pricing'!$F$7:$F$56,$O1459))+N(INDEX('Menu Pricing'!$G$7:$G$56,$O1459))+N(INDEX('Menu Pricing'!$J$7:$J$56,$O1459)))</f>
        <v/>
      </c>
      <c r="K1459" s="71">
        <f>IF($N1459&lt;&gt;"OK","",$D1459*$J1459)</f>
        <v/>
      </c>
      <c r="L1459" s="71">
        <f>IF($N1459&lt;&gt;"OK","",$I1459-$K1459)</f>
        <v/>
      </c>
      <c r="M1459" s="71">
        <f>IF($N1459&lt;&gt;"OK","",$D1459*N(INDEX('Menu Pricing'!$F$7:$F$56,$O1459)))</f>
        <v/>
      </c>
      <c r="N1459" s="80">
        <f>IF(AND($B1459="",$C1459="",$D1459=""),"",IF(NOT(ISNUMBER($B1459)),"Enter a valid date",IF($C1459="","Pick a menu item",IF($O1459="","Item not on Menu Pricing",IF(N($D1459)&lt;=0,"Qty must be above 0",IF($H1459="","No price on menu","OK"))))))</f>
        <v/>
      </c>
      <c r="O1459" s="13">
        <f>IF($C1459="","",IFERROR(MATCH($C1459,'Menu Pricing'!$B$7:$B$56,0),""))</f>
        <v/>
      </c>
    </row>
    <row r="1460" ht="17" customHeight="1">
      <c r="B1460" s="66" t="n"/>
      <c r="C1460" s="60" t="n"/>
      <c r="D1460" s="86" t="n"/>
      <c r="E1460" s="63" t="n"/>
      <c r="F1460" s="60" t="n"/>
      <c r="G1460" s="60" t="n"/>
      <c r="H1460" s="71">
        <f>IF(OR($C1460="",$D1460=""),"",IF(ISNUMBER($E1460),$E1460,IF($O1460="","",IF(N(INDEX('Menu Pricing'!$O$7:$O$56,$O1460))&gt;0,INDEX('Menu Pricing'!$O$7:$O$56,$O1460),""))))</f>
        <v/>
      </c>
      <c r="I1460" s="71">
        <f>IF($N1460&lt;&gt;"OK","",$D1460*$H1460)</f>
        <v/>
      </c>
      <c r="J1460" s="71">
        <f>IF($N1460&lt;&gt;"OK","",N(INDEX('Menu Pricing'!$F$7:$F$56,$O1460))+N(INDEX('Menu Pricing'!$G$7:$G$56,$O1460))+N(INDEX('Menu Pricing'!$J$7:$J$56,$O1460)))</f>
        <v/>
      </c>
      <c r="K1460" s="71">
        <f>IF($N1460&lt;&gt;"OK","",$D1460*$J1460)</f>
        <v/>
      </c>
      <c r="L1460" s="71">
        <f>IF($N1460&lt;&gt;"OK","",$I1460-$K1460)</f>
        <v/>
      </c>
      <c r="M1460" s="71">
        <f>IF($N1460&lt;&gt;"OK","",$D1460*N(INDEX('Menu Pricing'!$F$7:$F$56,$O1460)))</f>
        <v/>
      </c>
      <c r="N1460" s="80">
        <f>IF(AND($B1460="",$C1460="",$D1460=""),"",IF(NOT(ISNUMBER($B1460)),"Enter a valid date",IF($C1460="","Pick a menu item",IF($O1460="","Item not on Menu Pricing",IF(N($D1460)&lt;=0,"Qty must be above 0",IF($H1460="","No price on menu","OK"))))))</f>
        <v/>
      </c>
      <c r="O1460" s="13">
        <f>IF($C1460="","",IFERROR(MATCH($C1460,'Menu Pricing'!$B$7:$B$56,0),""))</f>
        <v/>
      </c>
    </row>
    <row r="1461" ht="17" customHeight="1">
      <c r="B1461" s="66" t="n"/>
      <c r="C1461" s="60" t="n"/>
      <c r="D1461" s="86" t="n"/>
      <c r="E1461" s="63" t="n"/>
      <c r="F1461" s="60" t="n"/>
      <c r="G1461" s="60" t="n"/>
      <c r="H1461" s="71">
        <f>IF(OR($C1461="",$D1461=""),"",IF(ISNUMBER($E1461),$E1461,IF($O1461="","",IF(N(INDEX('Menu Pricing'!$O$7:$O$56,$O1461))&gt;0,INDEX('Menu Pricing'!$O$7:$O$56,$O1461),""))))</f>
        <v/>
      </c>
      <c r="I1461" s="71">
        <f>IF($N1461&lt;&gt;"OK","",$D1461*$H1461)</f>
        <v/>
      </c>
      <c r="J1461" s="71">
        <f>IF($N1461&lt;&gt;"OK","",N(INDEX('Menu Pricing'!$F$7:$F$56,$O1461))+N(INDEX('Menu Pricing'!$G$7:$G$56,$O1461))+N(INDEX('Menu Pricing'!$J$7:$J$56,$O1461)))</f>
        <v/>
      </c>
      <c r="K1461" s="71">
        <f>IF($N1461&lt;&gt;"OK","",$D1461*$J1461)</f>
        <v/>
      </c>
      <c r="L1461" s="71">
        <f>IF($N1461&lt;&gt;"OK","",$I1461-$K1461)</f>
        <v/>
      </c>
      <c r="M1461" s="71">
        <f>IF($N1461&lt;&gt;"OK","",$D1461*N(INDEX('Menu Pricing'!$F$7:$F$56,$O1461)))</f>
        <v/>
      </c>
      <c r="N1461" s="80">
        <f>IF(AND($B1461="",$C1461="",$D1461=""),"",IF(NOT(ISNUMBER($B1461)),"Enter a valid date",IF($C1461="","Pick a menu item",IF($O1461="","Item not on Menu Pricing",IF(N($D1461)&lt;=0,"Qty must be above 0",IF($H1461="","No price on menu","OK"))))))</f>
        <v/>
      </c>
      <c r="O1461" s="13">
        <f>IF($C1461="","",IFERROR(MATCH($C1461,'Menu Pricing'!$B$7:$B$56,0),""))</f>
        <v/>
      </c>
    </row>
    <row r="1462" ht="17" customHeight="1">
      <c r="B1462" s="66" t="n"/>
      <c r="C1462" s="60" t="n"/>
      <c r="D1462" s="86" t="n"/>
      <c r="E1462" s="63" t="n"/>
      <c r="F1462" s="60" t="n"/>
      <c r="G1462" s="60" t="n"/>
      <c r="H1462" s="71">
        <f>IF(OR($C1462="",$D1462=""),"",IF(ISNUMBER($E1462),$E1462,IF($O1462="","",IF(N(INDEX('Menu Pricing'!$O$7:$O$56,$O1462))&gt;0,INDEX('Menu Pricing'!$O$7:$O$56,$O1462),""))))</f>
        <v/>
      </c>
      <c r="I1462" s="71">
        <f>IF($N1462&lt;&gt;"OK","",$D1462*$H1462)</f>
        <v/>
      </c>
      <c r="J1462" s="71">
        <f>IF($N1462&lt;&gt;"OK","",N(INDEX('Menu Pricing'!$F$7:$F$56,$O1462))+N(INDEX('Menu Pricing'!$G$7:$G$56,$O1462))+N(INDEX('Menu Pricing'!$J$7:$J$56,$O1462)))</f>
        <v/>
      </c>
      <c r="K1462" s="71">
        <f>IF($N1462&lt;&gt;"OK","",$D1462*$J1462)</f>
        <v/>
      </c>
      <c r="L1462" s="71">
        <f>IF($N1462&lt;&gt;"OK","",$I1462-$K1462)</f>
        <v/>
      </c>
      <c r="M1462" s="71">
        <f>IF($N1462&lt;&gt;"OK","",$D1462*N(INDEX('Menu Pricing'!$F$7:$F$56,$O1462)))</f>
        <v/>
      </c>
      <c r="N1462" s="80">
        <f>IF(AND($B1462="",$C1462="",$D1462=""),"",IF(NOT(ISNUMBER($B1462)),"Enter a valid date",IF($C1462="","Pick a menu item",IF($O1462="","Item not on Menu Pricing",IF(N($D1462)&lt;=0,"Qty must be above 0",IF($H1462="","No price on menu","OK"))))))</f>
        <v/>
      </c>
      <c r="O1462" s="13">
        <f>IF($C1462="","",IFERROR(MATCH($C1462,'Menu Pricing'!$B$7:$B$56,0),""))</f>
        <v/>
      </c>
    </row>
    <row r="1463" ht="17" customHeight="1">
      <c r="B1463" s="66" t="n"/>
      <c r="C1463" s="60" t="n"/>
      <c r="D1463" s="86" t="n"/>
      <c r="E1463" s="63" t="n"/>
      <c r="F1463" s="60" t="n"/>
      <c r="G1463" s="60" t="n"/>
      <c r="H1463" s="71">
        <f>IF(OR($C1463="",$D1463=""),"",IF(ISNUMBER($E1463),$E1463,IF($O1463="","",IF(N(INDEX('Menu Pricing'!$O$7:$O$56,$O1463))&gt;0,INDEX('Menu Pricing'!$O$7:$O$56,$O1463),""))))</f>
        <v/>
      </c>
      <c r="I1463" s="71">
        <f>IF($N1463&lt;&gt;"OK","",$D1463*$H1463)</f>
        <v/>
      </c>
      <c r="J1463" s="71">
        <f>IF($N1463&lt;&gt;"OK","",N(INDEX('Menu Pricing'!$F$7:$F$56,$O1463))+N(INDEX('Menu Pricing'!$G$7:$G$56,$O1463))+N(INDEX('Menu Pricing'!$J$7:$J$56,$O1463)))</f>
        <v/>
      </c>
      <c r="K1463" s="71">
        <f>IF($N1463&lt;&gt;"OK","",$D1463*$J1463)</f>
        <v/>
      </c>
      <c r="L1463" s="71">
        <f>IF($N1463&lt;&gt;"OK","",$I1463-$K1463)</f>
        <v/>
      </c>
      <c r="M1463" s="71">
        <f>IF($N1463&lt;&gt;"OK","",$D1463*N(INDEX('Menu Pricing'!$F$7:$F$56,$O1463)))</f>
        <v/>
      </c>
      <c r="N1463" s="80">
        <f>IF(AND($B1463="",$C1463="",$D1463=""),"",IF(NOT(ISNUMBER($B1463)),"Enter a valid date",IF($C1463="","Pick a menu item",IF($O1463="","Item not on Menu Pricing",IF(N($D1463)&lt;=0,"Qty must be above 0",IF($H1463="","No price on menu","OK"))))))</f>
        <v/>
      </c>
      <c r="O1463" s="13">
        <f>IF($C1463="","",IFERROR(MATCH($C1463,'Menu Pricing'!$B$7:$B$56,0),""))</f>
        <v/>
      </c>
    </row>
    <row r="1464" ht="17" customHeight="1">
      <c r="B1464" s="66" t="n"/>
      <c r="C1464" s="60" t="n"/>
      <c r="D1464" s="86" t="n"/>
      <c r="E1464" s="63" t="n"/>
      <c r="F1464" s="60" t="n"/>
      <c r="G1464" s="60" t="n"/>
      <c r="H1464" s="71">
        <f>IF(OR($C1464="",$D1464=""),"",IF(ISNUMBER($E1464),$E1464,IF($O1464="","",IF(N(INDEX('Menu Pricing'!$O$7:$O$56,$O1464))&gt;0,INDEX('Menu Pricing'!$O$7:$O$56,$O1464),""))))</f>
        <v/>
      </c>
      <c r="I1464" s="71">
        <f>IF($N1464&lt;&gt;"OK","",$D1464*$H1464)</f>
        <v/>
      </c>
      <c r="J1464" s="71">
        <f>IF($N1464&lt;&gt;"OK","",N(INDEX('Menu Pricing'!$F$7:$F$56,$O1464))+N(INDEX('Menu Pricing'!$G$7:$G$56,$O1464))+N(INDEX('Menu Pricing'!$J$7:$J$56,$O1464)))</f>
        <v/>
      </c>
      <c r="K1464" s="71">
        <f>IF($N1464&lt;&gt;"OK","",$D1464*$J1464)</f>
        <v/>
      </c>
      <c r="L1464" s="71">
        <f>IF($N1464&lt;&gt;"OK","",$I1464-$K1464)</f>
        <v/>
      </c>
      <c r="M1464" s="71">
        <f>IF($N1464&lt;&gt;"OK","",$D1464*N(INDEX('Menu Pricing'!$F$7:$F$56,$O1464)))</f>
        <v/>
      </c>
      <c r="N1464" s="80">
        <f>IF(AND($B1464="",$C1464="",$D1464=""),"",IF(NOT(ISNUMBER($B1464)),"Enter a valid date",IF($C1464="","Pick a menu item",IF($O1464="","Item not on Menu Pricing",IF(N($D1464)&lt;=0,"Qty must be above 0",IF($H1464="","No price on menu","OK"))))))</f>
        <v/>
      </c>
      <c r="O1464" s="13">
        <f>IF($C1464="","",IFERROR(MATCH($C1464,'Menu Pricing'!$B$7:$B$56,0),""))</f>
        <v/>
      </c>
    </row>
    <row r="1465" ht="17" customHeight="1">
      <c r="B1465" s="66" t="n"/>
      <c r="C1465" s="60" t="n"/>
      <c r="D1465" s="86" t="n"/>
      <c r="E1465" s="63" t="n"/>
      <c r="F1465" s="60" t="n"/>
      <c r="G1465" s="60" t="n"/>
      <c r="H1465" s="71">
        <f>IF(OR($C1465="",$D1465=""),"",IF(ISNUMBER($E1465),$E1465,IF($O1465="","",IF(N(INDEX('Menu Pricing'!$O$7:$O$56,$O1465))&gt;0,INDEX('Menu Pricing'!$O$7:$O$56,$O1465),""))))</f>
        <v/>
      </c>
      <c r="I1465" s="71">
        <f>IF($N1465&lt;&gt;"OK","",$D1465*$H1465)</f>
        <v/>
      </c>
      <c r="J1465" s="71">
        <f>IF($N1465&lt;&gt;"OK","",N(INDEX('Menu Pricing'!$F$7:$F$56,$O1465))+N(INDEX('Menu Pricing'!$G$7:$G$56,$O1465))+N(INDEX('Menu Pricing'!$J$7:$J$56,$O1465)))</f>
        <v/>
      </c>
      <c r="K1465" s="71">
        <f>IF($N1465&lt;&gt;"OK","",$D1465*$J1465)</f>
        <v/>
      </c>
      <c r="L1465" s="71">
        <f>IF($N1465&lt;&gt;"OK","",$I1465-$K1465)</f>
        <v/>
      </c>
      <c r="M1465" s="71">
        <f>IF($N1465&lt;&gt;"OK","",$D1465*N(INDEX('Menu Pricing'!$F$7:$F$56,$O1465)))</f>
        <v/>
      </c>
      <c r="N1465" s="80">
        <f>IF(AND($B1465="",$C1465="",$D1465=""),"",IF(NOT(ISNUMBER($B1465)),"Enter a valid date",IF($C1465="","Pick a menu item",IF($O1465="","Item not on Menu Pricing",IF(N($D1465)&lt;=0,"Qty must be above 0",IF($H1465="","No price on menu","OK"))))))</f>
        <v/>
      </c>
      <c r="O1465" s="13">
        <f>IF($C1465="","",IFERROR(MATCH($C1465,'Menu Pricing'!$B$7:$B$56,0),""))</f>
        <v/>
      </c>
    </row>
    <row r="1466" ht="17" customHeight="1">
      <c r="B1466" s="66" t="n"/>
      <c r="C1466" s="60" t="n"/>
      <c r="D1466" s="86" t="n"/>
      <c r="E1466" s="63" t="n"/>
      <c r="F1466" s="60" t="n"/>
      <c r="G1466" s="60" t="n"/>
      <c r="H1466" s="71">
        <f>IF(OR($C1466="",$D1466=""),"",IF(ISNUMBER($E1466),$E1466,IF($O1466="","",IF(N(INDEX('Menu Pricing'!$O$7:$O$56,$O1466))&gt;0,INDEX('Menu Pricing'!$O$7:$O$56,$O1466),""))))</f>
        <v/>
      </c>
      <c r="I1466" s="71">
        <f>IF($N1466&lt;&gt;"OK","",$D1466*$H1466)</f>
        <v/>
      </c>
      <c r="J1466" s="71">
        <f>IF($N1466&lt;&gt;"OK","",N(INDEX('Menu Pricing'!$F$7:$F$56,$O1466))+N(INDEX('Menu Pricing'!$G$7:$G$56,$O1466))+N(INDEX('Menu Pricing'!$J$7:$J$56,$O1466)))</f>
        <v/>
      </c>
      <c r="K1466" s="71">
        <f>IF($N1466&lt;&gt;"OK","",$D1466*$J1466)</f>
        <v/>
      </c>
      <c r="L1466" s="71">
        <f>IF($N1466&lt;&gt;"OK","",$I1466-$K1466)</f>
        <v/>
      </c>
      <c r="M1466" s="71">
        <f>IF($N1466&lt;&gt;"OK","",$D1466*N(INDEX('Menu Pricing'!$F$7:$F$56,$O1466)))</f>
        <v/>
      </c>
      <c r="N1466" s="80">
        <f>IF(AND($B1466="",$C1466="",$D1466=""),"",IF(NOT(ISNUMBER($B1466)),"Enter a valid date",IF($C1466="","Pick a menu item",IF($O1466="","Item not on Menu Pricing",IF(N($D1466)&lt;=0,"Qty must be above 0",IF($H1466="","No price on menu","OK"))))))</f>
        <v/>
      </c>
      <c r="O1466" s="13">
        <f>IF($C1466="","",IFERROR(MATCH($C1466,'Menu Pricing'!$B$7:$B$56,0),""))</f>
        <v/>
      </c>
    </row>
    <row r="1467" ht="17" customHeight="1">
      <c r="B1467" s="66" t="n"/>
      <c r="C1467" s="60" t="n"/>
      <c r="D1467" s="86" t="n"/>
      <c r="E1467" s="63" t="n"/>
      <c r="F1467" s="60" t="n"/>
      <c r="G1467" s="60" t="n"/>
      <c r="H1467" s="71">
        <f>IF(OR($C1467="",$D1467=""),"",IF(ISNUMBER($E1467),$E1467,IF($O1467="","",IF(N(INDEX('Menu Pricing'!$O$7:$O$56,$O1467))&gt;0,INDEX('Menu Pricing'!$O$7:$O$56,$O1467),""))))</f>
        <v/>
      </c>
      <c r="I1467" s="71">
        <f>IF($N1467&lt;&gt;"OK","",$D1467*$H1467)</f>
        <v/>
      </c>
      <c r="J1467" s="71">
        <f>IF($N1467&lt;&gt;"OK","",N(INDEX('Menu Pricing'!$F$7:$F$56,$O1467))+N(INDEX('Menu Pricing'!$G$7:$G$56,$O1467))+N(INDEX('Menu Pricing'!$J$7:$J$56,$O1467)))</f>
        <v/>
      </c>
      <c r="K1467" s="71">
        <f>IF($N1467&lt;&gt;"OK","",$D1467*$J1467)</f>
        <v/>
      </c>
      <c r="L1467" s="71">
        <f>IF($N1467&lt;&gt;"OK","",$I1467-$K1467)</f>
        <v/>
      </c>
      <c r="M1467" s="71">
        <f>IF($N1467&lt;&gt;"OK","",$D1467*N(INDEX('Menu Pricing'!$F$7:$F$56,$O1467)))</f>
        <v/>
      </c>
      <c r="N1467" s="80">
        <f>IF(AND($B1467="",$C1467="",$D1467=""),"",IF(NOT(ISNUMBER($B1467)),"Enter a valid date",IF($C1467="","Pick a menu item",IF($O1467="","Item not on Menu Pricing",IF(N($D1467)&lt;=0,"Qty must be above 0",IF($H1467="","No price on menu","OK"))))))</f>
        <v/>
      </c>
      <c r="O1467" s="13">
        <f>IF($C1467="","",IFERROR(MATCH($C1467,'Menu Pricing'!$B$7:$B$56,0),""))</f>
        <v/>
      </c>
    </row>
    <row r="1468" ht="17" customHeight="1">
      <c r="B1468" s="66" t="n"/>
      <c r="C1468" s="60" t="n"/>
      <c r="D1468" s="86" t="n"/>
      <c r="E1468" s="63" t="n"/>
      <c r="F1468" s="60" t="n"/>
      <c r="G1468" s="60" t="n"/>
      <c r="H1468" s="71">
        <f>IF(OR($C1468="",$D1468=""),"",IF(ISNUMBER($E1468),$E1468,IF($O1468="","",IF(N(INDEX('Menu Pricing'!$O$7:$O$56,$O1468))&gt;0,INDEX('Menu Pricing'!$O$7:$O$56,$O1468),""))))</f>
        <v/>
      </c>
      <c r="I1468" s="71">
        <f>IF($N1468&lt;&gt;"OK","",$D1468*$H1468)</f>
        <v/>
      </c>
      <c r="J1468" s="71">
        <f>IF($N1468&lt;&gt;"OK","",N(INDEX('Menu Pricing'!$F$7:$F$56,$O1468))+N(INDEX('Menu Pricing'!$G$7:$G$56,$O1468))+N(INDEX('Menu Pricing'!$J$7:$J$56,$O1468)))</f>
        <v/>
      </c>
      <c r="K1468" s="71">
        <f>IF($N1468&lt;&gt;"OK","",$D1468*$J1468)</f>
        <v/>
      </c>
      <c r="L1468" s="71">
        <f>IF($N1468&lt;&gt;"OK","",$I1468-$K1468)</f>
        <v/>
      </c>
      <c r="M1468" s="71">
        <f>IF($N1468&lt;&gt;"OK","",$D1468*N(INDEX('Menu Pricing'!$F$7:$F$56,$O1468)))</f>
        <v/>
      </c>
      <c r="N1468" s="80">
        <f>IF(AND($B1468="",$C1468="",$D1468=""),"",IF(NOT(ISNUMBER($B1468)),"Enter a valid date",IF($C1468="","Pick a menu item",IF($O1468="","Item not on Menu Pricing",IF(N($D1468)&lt;=0,"Qty must be above 0",IF($H1468="","No price on menu","OK"))))))</f>
        <v/>
      </c>
      <c r="O1468" s="13">
        <f>IF($C1468="","",IFERROR(MATCH($C1468,'Menu Pricing'!$B$7:$B$56,0),""))</f>
        <v/>
      </c>
    </row>
    <row r="1469" ht="17" customHeight="1">
      <c r="B1469" s="66" t="n"/>
      <c r="C1469" s="60" t="n"/>
      <c r="D1469" s="86" t="n"/>
      <c r="E1469" s="63" t="n"/>
      <c r="F1469" s="60" t="n"/>
      <c r="G1469" s="60" t="n"/>
      <c r="H1469" s="71">
        <f>IF(OR($C1469="",$D1469=""),"",IF(ISNUMBER($E1469),$E1469,IF($O1469="","",IF(N(INDEX('Menu Pricing'!$O$7:$O$56,$O1469))&gt;0,INDEX('Menu Pricing'!$O$7:$O$56,$O1469),""))))</f>
        <v/>
      </c>
      <c r="I1469" s="71">
        <f>IF($N1469&lt;&gt;"OK","",$D1469*$H1469)</f>
        <v/>
      </c>
      <c r="J1469" s="71">
        <f>IF($N1469&lt;&gt;"OK","",N(INDEX('Menu Pricing'!$F$7:$F$56,$O1469))+N(INDEX('Menu Pricing'!$G$7:$G$56,$O1469))+N(INDEX('Menu Pricing'!$J$7:$J$56,$O1469)))</f>
        <v/>
      </c>
      <c r="K1469" s="71">
        <f>IF($N1469&lt;&gt;"OK","",$D1469*$J1469)</f>
        <v/>
      </c>
      <c r="L1469" s="71">
        <f>IF($N1469&lt;&gt;"OK","",$I1469-$K1469)</f>
        <v/>
      </c>
      <c r="M1469" s="71">
        <f>IF($N1469&lt;&gt;"OK","",$D1469*N(INDEX('Menu Pricing'!$F$7:$F$56,$O1469)))</f>
        <v/>
      </c>
      <c r="N1469" s="80">
        <f>IF(AND($B1469="",$C1469="",$D1469=""),"",IF(NOT(ISNUMBER($B1469)),"Enter a valid date",IF($C1469="","Pick a menu item",IF($O1469="","Item not on Menu Pricing",IF(N($D1469)&lt;=0,"Qty must be above 0",IF($H1469="","No price on menu","OK"))))))</f>
        <v/>
      </c>
      <c r="O1469" s="13">
        <f>IF($C1469="","",IFERROR(MATCH($C1469,'Menu Pricing'!$B$7:$B$56,0),""))</f>
        <v/>
      </c>
    </row>
    <row r="1470" ht="17" customHeight="1">
      <c r="B1470" s="66" t="n"/>
      <c r="C1470" s="60" t="n"/>
      <c r="D1470" s="86" t="n"/>
      <c r="E1470" s="63" t="n"/>
      <c r="F1470" s="60" t="n"/>
      <c r="G1470" s="60" t="n"/>
      <c r="H1470" s="71">
        <f>IF(OR($C1470="",$D1470=""),"",IF(ISNUMBER($E1470),$E1470,IF($O1470="","",IF(N(INDEX('Menu Pricing'!$O$7:$O$56,$O1470))&gt;0,INDEX('Menu Pricing'!$O$7:$O$56,$O1470),""))))</f>
        <v/>
      </c>
      <c r="I1470" s="71">
        <f>IF($N1470&lt;&gt;"OK","",$D1470*$H1470)</f>
        <v/>
      </c>
      <c r="J1470" s="71">
        <f>IF($N1470&lt;&gt;"OK","",N(INDEX('Menu Pricing'!$F$7:$F$56,$O1470))+N(INDEX('Menu Pricing'!$G$7:$G$56,$O1470))+N(INDEX('Menu Pricing'!$J$7:$J$56,$O1470)))</f>
        <v/>
      </c>
      <c r="K1470" s="71">
        <f>IF($N1470&lt;&gt;"OK","",$D1470*$J1470)</f>
        <v/>
      </c>
      <c r="L1470" s="71">
        <f>IF($N1470&lt;&gt;"OK","",$I1470-$K1470)</f>
        <v/>
      </c>
      <c r="M1470" s="71">
        <f>IF($N1470&lt;&gt;"OK","",$D1470*N(INDEX('Menu Pricing'!$F$7:$F$56,$O1470)))</f>
        <v/>
      </c>
      <c r="N1470" s="80">
        <f>IF(AND($B1470="",$C1470="",$D1470=""),"",IF(NOT(ISNUMBER($B1470)),"Enter a valid date",IF($C1470="","Pick a menu item",IF($O1470="","Item not on Menu Pricing",IF(N($D1470)&lt;=0,"Qty must be above 0",IF($H1470="","No price on menu","OK"))))))</f>
        <v/>
      </c>
      <c r="O1470" s="13">
        <f>IF($C1470="","",IFERROR(MATCH($C1470,'Menu Pricing'!$B$7:$B$56,0),""))</f>
        <v/>
      </c>
    </row>
    <row r="1471" ht="17" customHeight="1">
      <c r="B1471" s="66" t="n"/>
      <c r="C1471" s="60" t="n"/>
      <c r="D1471" s="86" t="n"/>
      <c r="E1471" s="63" t="n"/>
      <c r="F1471" s="60" t="n"/>
      <c r="G1471" s="60" t="n"/>
      <c r="H1471" s="71">
        <f>IF(OR($C1471="",$D1471=""),"",IF(ISNUMBER($E1471),$E1471,IF($O1471="","",IF(N(INDEX('Menu Pricing'!$O$7:$O$56,$O1471))&gt;0,INDEX('Menu Pricing'!$O$7:$O$56,$O1471),""))))</f>
        <v/>
      </c>
      <c r="I1471" s="71">
        <f>IF($N1471&lt;&gt;"OK","",$D1471*$H1471)</f>
        <v/>
      </c>
      <c r="J1471" s="71">
        <f>IF($N1471&lt;&gt;"OK","",N(INDEX('Menu Pricing'!$F$7:$F$56,$O1471))+N(INDEX('Menu Pricing'!$G$7:$G$56,$O1471))+N(INDEX('Menu Pricing'!$J$7:$J$56,$O1471)))</f>
        <v/>
      </c>
      <c r="K1471" s="71">
        <f>IF($N1471&lt;&gt;"OK","",$D1471*$J1471)</f>
        <v/>
      </c>
      <c r="L1471" s="71">
        <f>IF($N1471&lt;&gt;"OK","",$I1471-$K1471)</f>
        <v/>
      </c>
      <c r="M1471" s="71">
        <f>IF($N1471&lt;&gt;"OK","",$D1471*N(INDEX('Menu Pricing'!$F$7:$F$56,$O1471)))</f>
        <v/>
      </c>
      <c r="N1471" s="80">
        <f>IF(AND($B1471="",$C1471="",$D1471=""),"",IF(NOT(ISNUMBER($B1471)),"Enter a valid date",IF($C1471="","Pick a menu item",IF($O1471="","Item not on Menu Pricing",IF(N($D1471)&lt;=0,"Qty must be above 0",IF($H1471="","No price on menu","OK"))))))</f>
        <v/>
      </c>
      <c r="O1471" s="13">
        <f>IF($C1471="","",IFERROR(MATCH($C1471,'Menu Pricing'!$B$7:$B$56,0),""))</f>
        <v/>
      </c>
    </row>
    <row r="1472" ht="17" customHeight="1">
      <c r="B1472" s="66" t="n"/>
      <c r="C1472" s="60" t="n"/>
      <c r="D1472" s="86" t="n"/>
      <c r="E1472" s="63" t="n"/>
      <c r="F1472" s="60" t="n"/>
      <c r="G1472" s="60" t="n"/>
      <c r="H1472" s="71">
        <f>IF(OR($C1472="",$D1472=""),"",IF(ISNUMBER($E1472),$E1472,IF($O1472="","",IF(N(INDEX('Menu Pricing'!$O$7:$O$56,$O1472))&gt;0,INDEX('Menu Pricing'!$O$7:$O$56,$O1472),""))))</f>
        <v/>
      </c>
      <c r="I1472" s="71">
        <f>IF($N1472&lt;&gt;"OK","",$D1472*$H1472)</f>
        <v/>
      </c>
      <c r="J1472" s="71">
        <f>IF($N1472&lt;&gt;"OK","",N(INDEX('Menu Pricing'!$F$7:$F$56,$O1472))+N(INDEX('Menu Pricing'!$G$7:$G$56,$O1472))+N(INDEX('Menu Pricing'!$J$7:$J$56,$O1472)))</f>
        <v/>
      </c>
      <c r="K1472" s="71">
        <f>IF($N1472&lt;&gt;"OK","",$D1472*$J1472)</f>
        <v/>
      </c>
      <c r="L1472" s="71">
        <f>IF($N1472&lt;&gt;"OK","",$I1472-$K1472)</f>
        <v/>
      </c>
      <c r="M1472" s="71">
        <f>IF($N1472&lt;&gt;"OK","",$D1472*N(INDEX('Menu Pricing'!$F$7:$F$56,$O1472)))</f>
        <v/>
      </c>
      <c r="N1472" s="80">
        <f>IF(AND($B1472="",$C1472="",$D1472=""),"",IF(NOT(ISNUMBER($B1472)),"Enter a valid date",IF($C1472="","Pick a menu item",IF($O1472="","Item not on Menu Pricing",IF(N($D1472)&lt;=0,"Qty must be above 0",IF($H1472="","No price on menu","OK"))))))</f>
        <v/>
      </c>
      <c r="O1472" s="13">
        <f>IF($C1472="","",IFERROR(MATCH($C1472,'Menu Pricing'!$B$7:$B$56,0),""))</f>
        <v/>
      </c>
    </row>
    <row r="1473" ht="17" customHeight="1">
      <c r="B1473" s="66" t="n"/>
      <c r="C1473" s="60" t="n"/>
      <c r="D1473" s="86" t="n"/>
      <c r="E1473" s="63" t="n"/>
      <c r="F1473" s="60" t="n"/>
      <c r="G1473" s="60" t="n"/>
      <c r="H1473" s="71">
        <f>IF(OR($C1473="",$D1473=""),"",IF(ISNUMBER($E1473),$E1473,IF($O1473="","",IF(N(INDEX('Menu Pricing'!$O$7:$O$56,$O1473))&gt;0,INDEX('Menu Pricing'!$O$7:$O$56,$O1473),""))))</f>
        <v/>
      </c>
      <c r="I1473" s="71">
        <f>IF($N1473&lt;&gt;"OK","",$D1473*$H1473)</f>
        <v/>
      </c>
      <c r="J1473" s="71">
        <f>IF($N1473&lt;&gt;"OK","",N(INDEX('Menu Pricing'!$F$7:$F$56,$O1473))+N(INDEX('Menu Pricing'!$G$7:$G$56,$O1473))+N(INDEX('Menu Pricing'!$J$7:$J$56,$O1473)))</f>
        <v/>
      </c>
      <c r="K1473" s="71">
        <f>IF($N1473&lt;&gt;"OK","",$D1473*$J1473)</f>
        <v/>
      </c>
      <c r="L1473" s="71">
        <f>IF($N1473&lt;&gt;"OK","",$I1473-$K1473)</f>
        <v/>
      </c>
      <c r="M1473" s="71">
        <f>IF($N1473&lt;&gt;"OK","",$D1473*N(INDEX('Menu Pricing'!$F$7:$F$56,$O1473)))</f>
        <v/>
      </c>
      <c r="N1473" s="80">
        <f>IF(AND($B1473="",$C1473="",$D1473=""),"",IF(NOT(ISNUMBER($B1473)),"Enter a valid date",IF($C1473="","Pick a menu item",IF($O1473="","Item not on Menu Pricing",IF(N($D1473)&lt;=0,"Qty must be above 0",IF($H1473="","No price on menu","OK"))))))</f>
        <v/>
      </c>
      <c r="O1473" s="13">
        <f>IF($C1473="","",IFERROR(MATCH($C1473,'Menu Pricing'!$B$7:$B$56,0),""))</f>
        <v/>
      </c>
    </row>
    <row r="1474" ht="17" customHeight="1">
      <c r="B1474" s="66" t="n"/>
      <c r="C1474" s="60" t="n"/>
      <c r="D1474" s="86" t="n"/>
      <c r="E1474" s="63" t="n"/>
      <c r="F1474" s="60" t="n"/>
      <c r="G1474" s="60" t="n"/>
      <c r="H1474" s="71">
        <f>IF(OR($C1474="",$D1474=""),"",IF(ISNUMBER($E1474),$E1474,IF($O1474="","",IF(N(INDEX('Menu Pricing'!$O$7:$O$56,$O1474))&gt;0,INDEX('Menu Pricing'!$O$7:$O$56,$O1474),""))))</f>
        <v/>
      </c>
      <c r="I1474" s="71">
        <f>IF($N1474&lt;&gt;"OK","",$D1474*$H1474)</f>
        <v/>
      </c>
      <c r="J1474" s="71">
        <f>IF($N1474&lt;&gt;"OK","",N(INDEX('Menu Pricing'!$F$7:$F$56,$O1474))+N(INDEX('Menu Pricing'!$G$7:$G$56,$O1474))+N(INDEX('Menu Pricing'!$J$7:$J$56,$O1474)))</f>
        <v/>
      </c>
      <c r="K1474" s="71">
        <f>IF($N1474&lt;&gt;"OK","",$D1474*$J1474)</f>
        <v/>
      </c>
      <c r="L1474" s="71">
        <f>IF($N1474&lt;&gt;"OK","",$I1474-$K1474)</f>
        <v/>
      </c>
      <c r="M1474" s="71">
        <f>IF($N1474&lt;&gt;"OK","",$D1474*N(INDEX('Menu Pricing'!$F$7:$F$56,$O1474)))</f>
        <v/>
      </c>
      <c r="N1474" s="80">
        <f>IF(AND($B1474="",$C1474="",$D1474=""),"",IF(NOT(ISNUMBER($B1474)),"Enter a valid date",IF($C1474="","Pick a menu item",IF($O1474="","Item not on Menu Pricing",IF(N($D1474)&lt;=0,"Qty must be above 0",IF($H1474="","No price on menu","OK"))))))</f>
        <v/>
      </c>
      <c r="O1474" s="13">
        <f>IF($C1474="","",IFERROR(MATCH($C1474,'Menu Pricing'!$B$7:$B$56,0),""))</f>
        <v/>
      </c>
    </row>
    <row r="1475" ht="17" customHeight="1">
      <c r="B1475" s="66" t="n"/>
      <c r="C1475" s="60" t="n"/>
      <c r="D1475" s="86" t="n"/>
      <c r="E1475" s="63" t="n"/>
      <c r="F1475" s="60" t="n"/>
      <c r="G1475" s="60" t="n"/>
      <c r="H1475" s="71">
        <f>IF(OR($C1475="",$D1475=""),"",IF(ISNUMBER($E1475),$E1475,IF($O1475="","",IF(N(INDEX('Menu Pricing'!$O$7:$O$56,$O1475))&gt;0,INDEX('Menu Pricing'!$O$7:$O$56,$O1475),""))))</f>
        <v/>
      </c>
      <c r="I1475" s="71">
        <f>IF($N1475&lt;&gt;"OK","",$D1475*$H1475)</f>
        <v/>
      </c>
      <c r="J1475" s="71">
        <f>IF($N1475&lt;&gt;"OK","",N(INDEX('Menu Pricing'!$F$7:$F$56,$O1475))+N(INDEX('Menu Pricing'!$G$7:$G$56,$O1475))+N(INDEX('Menu Pricing'!$J$7:$J$56,$O1475)))</f>
        <v/>
      </c>
      <c r="K1475" s="71">
        <f>IF($N1475&lt;&gt;"OK","",$D1475*$J1475)</f>
        <v/>
      </c>
      <c r="L1475" s="71">
        <f>IF($N1475&lt;&gt;"OK","",$I1475-$K1475)</f>
        <v/>
      </c>
      <c r="M1475" s="71">
        <f>IF($N1475&lt;&gt;"OK","",$D1475*N(INDEX('Menu Pricing'!$F$7:$F$56,$O1475)))</f>
        <v/>
      </c>
      <c r="N1475" s="80">
        <f>IF(AND($B1475="",$C1475="",$D1475=""),"",IF(NOT(ISNUMBER($B1475)),"Enter a valid date",IF($C1475="","Pick a menu item",IF($O1475="","Item not on Menu Pricing",IF(N($D1475)&lt;=0,"Qty must be above 0",IF($H1475="","No price on menu","OK"))))))</f>
        <v/>
      </c>
      <c r="O1475" s="13">
        <f>IF($C1475="","",IFERROR(MATCH($C1475,'Menu Pricing'!$B$7:$B$56,0),""))</f>
        <v/>
      </c>
    </row>
    <row r="1476" ht="17" customHeight="1">
      <c r="B1476" s="66" t="n"/>
      <c r="C1476" s="60" t="n"/>
      <c r="D1476" s="86" t="n"/>
      <c r="E1476" s="63" t="n"/>
      <c r="F1476" s="60" t="n"/>
      <c r="G1476" s="60" t="n"/>
      <c r="H1476" s="71">
        <f>IF(OR($C1476="",$D1476=""),"",IF(ISNUMBER($E1476),$E1476,IF($O1476="","",IF(N(INDEX('Menu Pricing'!$O$7:$O$56,$O1476))&gt;0,INDEX('Menu Pricing'!$O$7:$O$56,$O1476),""))))</f>
        <v/>
      </c>
      <c r="I1476" s="71">
        <f>IF($N1476&lt;&gt;"OK","",$D1476*$H1476)</f>
        <v/>
      </c>
      <c r="J1476" s="71">
        <f>IF($N1476&lt;&gt;"OK","",N(INDEX('Menu Pricing'!$F$7:$F$56,$O1476))+N(INDEX('Menu Pricing'!$G$7:$G$56,$O1476))+N(INDEX('Menu Pricing'!$J$7:$J$56,$O1476)))</f>
        <v/>
      </c>
      <c r="K1476" s="71">
        <f>IF($N1476&lt;&gt;"OK","",$D1476*$J1476)</f>
        <v/>
      </c>
      <c r="L1476" s="71">
        <f>IF($N1476&lt;&gt;"OK","",$I1476-$K1476)</f>
        <v/>
      </c>
      <c r="M1476" s="71">
        <f>IF($N1476&lt;&gt;"OK","",$D1476*N(INDEX('Menu Pricing'!$F$7:$F$56,$O1476)))</f>
        <v/>
      </c>
      <c r="N1476" s="80">
        <f>IF(AND($B1476="",$C1476="",$D1476=""),"",IF(NOT(ISNUMBER($B1476)),"Enter a valid date",IF($C1476="","Pick a menu item",IF($O1476="","Item not on Menu Pricing",IF(N($D1476)&lt;=0,"Qty must be above 0",IF($H1476="","No price on menu","OK"))))))</f>
        <v/>
      </c>
      <c r="O1476" s="13">
        <f>IF($C1476="","",IFERROR(MATCH($C1476,'Menu Pricing'!$B$7:$B$56,0),""))</f>
        <v/>
      </c>
    </row>
    <row r="1477" ht="17" customHeight="1">
      <c r="B1477" s="66" t="n"/>
      <c r="C1477" s="60" t="n"/>
      <c r="D1477" s="86" t="n"/>
      <c r="E1477" s="63" t="n"/>
      <c r="F1477" s="60" t="n"/>
      <c r="G1477" s="60" t="n"/>
      <c r="H1477" s="71">
        <f>IF(OR($C1477="",$D1477=""),"",IF(ISNUMBER($E1477),$E1477,IF($O1477="","",IF(N(INDEX('Menu Pricing'!$O$7:$O$56,$O1477))&gt;0,INDEX('Menu Pricing'!$O$7:$O$56,$O1477),""))))</f>
        <v/>
      </c>
      <c r="I1477" s="71">
        <f>IF($N1477&lt;&gt;"OK","",$D1477*$H1477)</f>
        <v/>
      </c>
      <c r="J1477" s="71">
        <f>IF($N1477&lt;&gt;"OK","",N(INDEX('Menu Pricing'!$F$7:$F$56,$O1477))+N(INDEX('Menu Pricing'!$G$7:$G$56,$O1477))+N(INDEX('Menu Pricing'!$J$7:$J$56,$O1477)))</f>
        <v/>
      </c>
      <c r="K1477" s="71">
        <f>IF($N1477&lt;&gt;"OK","",$D1477*$J1477)</f>
        <v/>
      </c>
      <c r="L1477" s="71">
        <f>IF($N1477&lt;&gt;"OK","",$I1477-$K1477)</f>
        <v/>
      </c>
      <c r="M1477" s="71">
        <f>IF($N1477&lt;&gt;"OK","",$D1477*N(INDEX('Menu Pricing'!$F$7:$F$56,$O1477)))</f>
        <v/>
      </c>
      <c r="N1477" s="80">
        <f>IF(AND($B1477="",$C1477="",$D1477=""),"",IF(NOT(ISNUMBER($B1477)),"Enter a valid date",IF($C1477="","Pick a menu item",IF($O1477="","Item not on Menu Pricing",IF(N($D1477)&lt;=0,"Qty must be above 0",IF($H1477="","No price on menu","OK"))))))</f>
        <v/>
      </c>
      <c r="O1477" s="13">
        <f>IF($C1477="","",IFERROR(MATCH($C1477,'Menu Pricing'!$B$7:$B$56,0),""))</f>
        <v/>
      </c>
    </row>
    <row r="1478" ht="17" customHeight="1">
      <c r="B1478" s="66" t="n"/>
      <c r="C1478" s="60" t="n"/>
      <c r="D1478" s="86" t="n"/>
      <c r="E1478" s="63" t="n"/>
      <c r="F1478" s="60" t="n"/>
      <c r="G1478" s="60" t="n"/>
      <c r="H1478" s="71">
        <f>IF(OR($C1478="",$D1478=""),"",IF(ISNUMBER($E1478),$E1478,IF($O1478="","",IF(N(INDEX('Menu Pricing'!$O$7:$O$56,$O1478))&gt;0,INDEX('Menu Pricing'!$O$7:$O$56,$O1478),""))))</f>
        <v/>
      </c>
      <c r="I1478" s="71">
        <f>IF($N1478&lt;&gt;"OK","",$D1478*$H1478)</f>
        <v/>
      </c>
      <c r="J1478" s="71">
        <f>IF($N1478&lt;&gt;"OK","",N(INDEX('Menu Pricing'!$F$7:$F$56,$O1478))+N(INDEX('Menu Pricing'!$G$7:$G$56,$O1478))+N(INDEX('Menu Pricing'!$J$7:$J$56,$O1478)))</f>
        <v/>
      </c>
      <c r="K1478" s="71">
        <f>IF($N1478&lt;&gt;"OK","",$D1478*$J1478)</f>
        <v/>
      </c>
      <c r="L1478" s="71">
        <f>IF($N1478&lt;&gt;"OK","",$I1478-$K1478)</f>
        <v/>
      </c>
      <c r="M1478" s="71">
        <f>IF($N1478&lt;&gt;"OK","",$D1478*N(INDEX('Menu Pricing'!$F$7:$F$56,$O1478)))</f>
        <v/>
      </c>
      <c r="N1478" s="80">
        <f>IF(AND($B1478="",$C1478="",$D1478=""),"",IF(NOT(ISNUMBER($B1478)),"Enter a valid date",IF($C1478="","Pick a menu item",IF($O1478="","Item not on Menu Pricing",IF(N($D1478)&lt;=0,"Qty must be above 0",IF($H1478="","No price on menu","OK"))))))</f>
        <v/>
      </c>
      <c r="O1478" s="13">
        <f>IF($C1478="","",IFERROR(MATCH($C1478,'Menu Pricing'!$B$7:$B$56,0),""))</f>
        <v/>
      </c>
    </row>
    <row r="1479" ht="17" customHeight="1">
      <c r="B1479" s="66" t="n"/>
      <c r="C1479" s="60" t="n"/>
      <c r="D1479" s="86" t="n"/>
      <c r="E1479" s="63" t="n"/>
      <c r="F1479" s="60" t="n"/>
      <c r="G1479" s="60" t="n"/>
      <c r="H1479" s="71">
        <f>IF(OR($C1479="",$D1479=""),"",IF(ISNUMBER($E1479),$E1479,IF($O1479="","",IF(N(INDEX('Menu Pricing'!$O$7:$O$56,$O1479))&gt;0,INDEX('Menu Pricing'!$O$7:$O$56,$O1479),""))))</f>
        <v/>
      </c>
      <c r="I1479" s="71">
        <f>IF($N1479&lt;&gt;"OK","",$D1479*$H1479)</f>
        <v/>
      </c>
      <c r="J1479" s="71">
        <f>IF($N1479&lt;&gt;"OK","",N(INDEX('Menu Pricing'!$F$7:$F$56,$O1479))+N(INDEX('Menu Pricing'!$G$7:$G$56,$O1479))+N(INDEX('Menu Pricing'!$J$7:$J$56,$O1479)))</f>
        <v/>
      </c>
      <c r="K1479" s="71">
        <f>IF($N1479&lt;&gt;"OK","",$D1479*$J1479)</f>
        <v/>
      </c>
      <c r="L1479" s="71">
        <f>IF($N1479&lt;&gt;"OK","",$I1479-$K1479)</f>
        <v/>
      </c>
      <c r="M1479" s="71">
        <f>IF($N1479&lt;&gt;"OK","",$D1479*N(INDEX('Menu Pricing'!$F$7:$F$56,$O1479)))</f>
        <v/>
      </c>
      <c r="N1479" s="80">
        <f>IF(AND($B1479="",$C1479="",$D1479=""),"",IF(NOT(ISNUMBER($B1479)),"Enter a valid date",IF($C1479="","Pick a menu item",IF($O1479="","Item not on Menu Pricing",IF(N($D1479)&lt;=0,"Qty must be above 0",IF($H1479="","No price on menu","OK"))))))</f>
        <v/>
      </c>
      <c r="O1479" s="13">
        <f>IF($C1479="","",IFERROR(MATCH($C1479,'Menu Pricing'!$B$7:$B$56,0),""))</f>
        <v/>
      </c>
    </row>
    <row r="1480" ht="17" customHeight="1">
      <c r="B1480" s="66" t="n"/>
      <c r="C1480" s="60" t="n"/>
      <c r="D1480" s="86" t="n"/>
      <c r="E1480" s="63" t="n"/>
      <c r="F1480" s="60" t="n"/>
      <c r="G1480" s="60" t="n"/>
      <c r="H1480" s="71">
        <f>IF(OR($C1480="",$D1480=""),"",IF(ISNUMBER($E1480),$E1480,IF($O1480="","",IF(N(INDEX('Menu Pricing'!$O$7:$O$56,$O1480))&gt;0,INDEX('Menu Pricing'!$O$7:$O$56,$O1480),""))))</f>
        <v/>
      </c>
      <c r="I1480" s="71">
        <f>IF($N1480&lt;&gt;"OK","",$D1480*$H1480)</f>
        <v/>
      </c>
      <c r="J1480" s="71">
        <f>IF($N1480&lt;&gt;"OK","",N(INDEX('Menu Pricing'!$F$7:$F$56,$O1480))+N(INDEX('Menu Pricing'!$G$7:$G$56,$O1480))+N(INDEX('Menu Pricing'!$J$7:$J$56,$O1480)))</f>
        <v/>
      </c>
      <c r="K1480" s="71">
        <f>IF($N1480&lt;&gt;"OK","",$D1480*$J1480)</f>
        <v/>
      </c>
      <c r="L1480" s="71">
        <f>IF($N1480&lt;&gt;"OK","",$I1480-$K1480)</f>
        <v/>
      </c>
      <c r="M1480" s="71">
        <f>IF($N1480&lt;&gt;"OK","",$D1480*N(INDEX('Menu Pricing'!$F$7:$F$56,$O1480)))</f>
        <v/>
      </c>
      <c r="N1480" s="80">
        <f>IF(AND($B1480="",$C1480="",$D1480=""),"",IF(NOT(ISNUMBER($B1480)),"Enter a valid date",IF($C1480="","Pick a menu item",IF($O1480="","Item not on Menu Pricing",IF(N($D1480)&lt;=0,"Qty must be above 0",IF($H1480="","No price on menu","OK"))))))</f>
        <v/>
      </c>
      <c r="O1480" s="13">
        <f>IF($C1480="","",IFERROR(MATCH($C1480,'Menu Pricing'!$B$7:$B$56,0),""))</f>
        <v/>
      </c>
    </row>
    <row r="1481" ht="17" customHeight="1">
      <c r="B1481" s="66" t="n"/>
      <c r="C1481" s="60" t="n"/>
      <c r="D1481" s="86" t="n"/>
      <c r="E1481" s="63" t="n"/>
      <c r="F1481" s="60" t="n"/>
      <c r="G1481" s="60" t="n"/>
      <c r="H1481" s="71">
        <f>IF(OR($C1481="",$D1481=""),"",IF(ISNUMBER($E1481),$E1481,IF($O1481="","",IF(N(INDEX('Menu Pricing'!$O$7:$O$56,$O1481))&gt;0,INDEX('Menu Pricing'!$O$7:$O$56,$O1481),""))))</f>
        <v/>
      </c>
      <c r="I1481" s="71">
        <f>IF($N1481&lt;&gt;"OK","",$D1481*$H1481)</f>
        <v/>
      </c>
      <c r="J1481" s="71">
        <f>IF($N1481&lt;&gt;"OK","",N(INDEX('Menu Pricing'!$F$7:$F$56,$O1481))+N(INDEX('Menu Pricing'!$G$7:$G$56,$O1481))+N(INDEX('Menu Pricing'!$J$7:$J$56,$O1481)))</f>
        <v/>
      </c>
      <c r="K1481" s="71">
        <f>IF($N1481&lt;&gt;"OK","",$D1481*$J1481)</f>
        <v/>
      </c>
      <c r="L1481" s="71">
        <f>IF($N1481&lt;&gt;"OK","",$I1481-$K1481)</f>
        <v/>
      </c>
      <c r="M1481" s="71">
        <f>IF($N1481&lt;&gt;"OK","",$D1481*N(INDEX('Menu Pricing'!$F$7:$F$56,$O1481)))</f>
        <v/>
      </c>
      <c r="N1481" s="80">
        <f>IF(AND($B1481="",$C1481="",$D1481=""),"",IF(NOT(ISNUMBER($B1481)),"Enter a valid date",IF($C1481="","Pick a menu item",IF($O1481="","Item not on Menu Pricing",IF(N($D1481)&lt;=0,"Qty must be above 0",IF($H1481="","No price on menu","OK"))))))</f>
        <v/>
      </c>
      <c r="O1481" s="13">
        <f>IF($C1481="","",IFERROR(MATCH($C1481,'Menu Pricing'!$B$7:$B$56,0),""))</f>
        <v/>
      </c>
    </row>
    <row r="1482" ht="17" customHeight="1">
      <c r="B1482" s="66" t="n"/>
      <c r="C1482" s="60" t="n"/>
      <c r="D1482" s="86" t="n"/>
      <c r="E1482" s="63" t="n"/>
      <c r="F1482" s="60" t="n"/>
      <c r="G1482" s="60" t="n"/>
      <c r="H1482" s="71">
        <f>IF(OR($C1482="",$D1482=""),"",IF(ISNUMBER($E1482),$E1482,IF($O1482="","",IF(N(INDEX('Menu Pricing'!$O$7:$O$56,$O1482))&gt;0,INDEX('Menu Pricing'!$O$7:$O$56,$O1482),""))))</f>
        <v/>
      </c>
      <c r="I1482" s="71">
        <f>IF($N1482&lt;&gt;"OK","",$D1482*$H1482)</f>
        <v/>
      </c>
      <c r="J1482" s="71">
        <f>IF($N1482&lt;&gt;"OK","",N(INDEX('Menu Pricing'!$F$7:$F$56,$O1482))+N(INDEX('Menu Pricing'!$G$7:$G$56,$O1482))+N(INDEX('Menu Pricing'!$J$7:$J$56,$O1482)))</f>
        <v/>
      </c>
      <c r="K1482" s="71">
        <f>IF($N1482&lt;&gt;"OK","",$D1482*$J1482)</f>
        <v/>
      </c>
      <c r="L1482" s="71">
        <f>IF($N1482&lt;&gt;"OK","",$I1482-$K1482)</f>
        <v/>
      </c>
      <c r="M1482" s="71">
        <f>IF($N1482&lt;&gt;"OK","",$D1482*N(INDEX('Menu Pricing'!$F$7:$F$56,$O1482)))</f>
        <v/>
      </c>
      <c r="N1482" s="80">
        <f>IF(AND($B1482="",$C1482="",$D1482=""),"",IF(NOT(ISNUMBER($B1482)),"Enter a valid date",IF($C1482="","Pick a menu item",IF($O1482="","Item not on Menu Pricing",IF(N($D1482)&lt;=0,"Qty must be above 0",IF($H1482="","No price on menu","OK"))))))</f>
        <v/>
      </c>
      <c r="O1482" s="13">
        <f>IF($C1482="","",IFERROR(MATCH($C1482,'Menu Pricing'!$B$7:$B$56,0),""))</f>
        <v/>
      </c>
    </row>
    <row r="1483" ht="17" customHeight="1">
      <c r="B1483" s="66" t="n"/>
      <c r="C1483" s="60" t="n"/>
      <c r="D1483" s="86" t="n"/>
      <c r="E1483" s="63" t="n"/>
      <c r="F1483" s="60" t="n"/>
      <c r="G1483" s="60" t="n"/>
      <c r="H1483" s="71">
        <f>IF(OR($C1483="",$D1483=""),"",IF(ISNUMBER($E1483),$E1483,IF($O1483="","",IF(N(INDEX('Menu Pricing'!$O$7:$O$56,$O1483))&gt;0,INDEX('Menu Pricing'!$O$7:$O$56,$O1483),""))))</f>
        <v/>
      </c>
      <c r="I1483" s="71">
        <f>IF($N1483&lt;&gt;"OK","",$D1483*$H1483)</f>
        <v/>
      </c>
      <c r="J1483" s="71">
        <f>IF($N1483&lt;&gt;"OK","",N(INDEX('Menu Pricing'!$F$7:$F$56,$O1483))+N(INDEX('Menu Pricing'!$G$7:$G$56,$O1483))+N(INDEX('Menu Pricing'!$J$7:$J$56,$O1483)))</f>
        <v/>
      </c>
      <c r="K1483" s="71">
        <f>IF($N1483&lt;&gt;"OK","",$D1483*$J1483)</f>
        <v/>
      </c>
      <c r="L1483" s="71">
        <f>IF($N1483&lt;&gt;"OK","",$I1483-$K1483)</f>
        <v/>
      </c>
      <c r="M1483" s="71">
        <f>IF($N1483&lt;&gt;"OK","",$D1483*N(INDEX('Menu Pricing'!$F$7:$F$56,$O1483)))</f>
        <v/>
      </c>
      <c r="N1483" s="80">
        <f>IF(AND($B1483="",$C1483="",$D1483=""),"",IF(NOT(ISNUMBER($B1483)),"Enter a valid date",IF($C1483="","Pick a menu item",IF($O1483="","Item not on Menu Pricing",IF(N($D1483)&lt;=0,"Qty must be above 0",IF($H1483="","No price on menu","OK"))))))</f>
        <v/>
      </c>
      <c r="O1483" s="13">
        <f>IF($C1483="","",IFERROR(MATCH($C1483,'Menu Pricing'!$B$7:$B$56,0),""))</f>
        <v/>
      </c>
    </row>
    <row r="1484" ht="17" customHeight="1">
      <c r="B1484" s="66" t="n"/>
      <c r="C1484" s="60" t="n"/>
      <c r="D1484" s="86" t="n"/>
      <c r="E1484" s="63" t="n"/>
      <c r="F1484" s="60" t="n"/>
      <c r="G1484" s="60" t="n"/>
      <c r="H1484" s="71">
        <f>IF(OR($C1484="",$D1484=""),"",IF(ISNUMBER($E1484),$E1484,IF($O1484="","",IF(N(INDEX('Menu Pricing'!$O$7:$O$56,$O1484))&gt;0,INDEX('Menu Pricing'!$O$7:$O$56,$O1484),""))))</f>
        <v/>
      </c>
      <c r="I1484" s="71">
        <f>IF($N1484&lt;&gt;"OK","",$D1484*$H1484)</f>
        <v/>
      </c>
      <c r="J1484" s="71">
        <f>IF($N1484&lt;&gt;"OK","",N(INDEX('Menu Pricing'!$F$7:$F$56,$O1484))+N(INDEX('Menu Pricing'!$G$7:$G$56,$O1484))+N(INDEX('Menu Pricing'!$J$7:$J$56,$O1484)))</f>
        <v/>
      </c>
      <c r="K1484" s="71">
        <f>IF($N1484&lt;&gt;"OK","",$D1484*$J1484)</f>
        <v/>
      </c>
      <c r="L1484" s="71">
        <f>IF($N1484&lt;&gt;"OK","",$I1484-$K1484)</f>
        <v/>
      </c>
      <c r="M1484" s="71">
        <f>IF($N1484&lt;&gt;"OK","",$D1484*N(INDEX('Menu Pricing'!$F$7:$F$56,$O1484)))</f>
        <v/>
      </c>
      <c r="N1484" s="80">
        <f>IF(AND($B1484="",$C1484="",$D1484=""),"",IF(NOT(ISNUMBER($B1484)),"Enter a valid date",IF($C1484="","Pick a menu item",IF($O1484="","Item not on Menu Pricing",IF(N($D1484)&lt;=0,"Qty must be above 0",IF($H1484="","No price on menu","OK"))))))</f>
        <v/>
      </c>
      <c r="O1484" s="13">
        <f>IF($C1484="","",IFERROR(MATCH($C1484,'Menu Pricing'!$B$7:$B$56,0),""))</f>
        <v/>
      </c>
    </row>
    <row r="1485" ht="17" customHeight="1">
      <c r="B1485" s="66" t="n"/>
      <c r="C1485" s="60" t="n"/>
      <c r="D1485" s="86" t="n"/>
      <c r="E1485" s="63" t="n"/>
      <c r="F1485" s="60" t="n"/>
      <c r="G1485" s="60" t="n"/>
      <c r="H1485" s="71">
        <f>IF(OR($C1485="",$D1485=""),"",IF(ISNUMBER($E1485),$E1485,IF($O1485="","",IF(N(INDEX('Menu Pricing'!$O$7:$O$56,$O1485))&gt;0,INDEX('Menu Pricing'!$O$7:$O$56,$O1485),""))))</f>
        <v/>
      </c>
      <c r="I1485" s="71">
        <f>IF($N1485&lt;&gt;"OK","",$D1485*$H1485)</f>
        <v/>
      </c>
      <c r="J1485" s="71">
        <f>IF($N1485&lt;&gt;"OK","",N(INDEX('Menu Pricing'!$F$7:$F$56,$O1485))+N(INDEX('Menu Pricing'!$G$7:$G$56,$O1485))+N(INDEX('Menu Pricing'!$J$7:$J$56,$O1485)))</f>
        <v/>
      </c>
      <c r="K1485" s="71">
        <f>IF($N1485&lt;&gt;"OK","",$D1485*$J1485)</f>
        <v/>
      </c>
      <c r="L1485" s="71">
        <f>IF($N1485&lt;&gt;"OK","",$I1485-$K1485)</f>
        <v/>
      </c>
      <c r="M1485" s="71">
        <f>IF($N1485&lt;&gt;"OK","",$D1485*N(INDEX('Menu Pricing'!$F$7:$F$56,$O1485)))</f>
        <v/>
      </c>
      <c r="N1485" s="80">
        <f>IF(AND($B1485="",$C1485="",$D1485=""),"",IF(NOT(ISNUMBER($B1485)),"Enter a valid date",IF($C1485="","Pick a menu item",IF($O1485="","Item not on Menu Pricing",IF(N($D1485)&lt;=0,"Qty must be above 0",IF($H1485="","No price on menu","OK"))))))</f>
        <v/>
      </c>
      <c r="O1485" s="13">
        <f>IF($C1485="","",IFERROR(MATCH($C1485,'Menu Pricing'!$B$7:$B$56,0),""))</f>
        <v/>
      </c>
    </row>
    <row r="1486" ht="17" customHeight="1">
      <c r="B1486" s="66" t="n"/>
      <c r="C1486" s="60" t="n"/>
      <c r="D1486" s="86" t="n"/>
      <c r="E1486" s="63" t="n"/>
      <c r="F1486" s="60" t="n"/>
      <c r="G1486" s="60" t="n"/>
      <c r="H1486" s="71">
        <f>IF(OR($C1486="",$D1486=""),"",IF(ISNUMBER($E1486),$E1486,IF($O1486="","",IF(N(INDEX('Menu Pricing'!$O$7:$O$56,$O1486))&gt;0,INDEX('Menu Pricing'!$O$7:$O$56,$O1486),""))))</f>
        <v/>
      </c>
      <c r="I1486" s="71">
        <f>IF($N1486&lt;&gt;"OK","",$D1486*$H1486)</f>
        <v/>
      </c>
      <c r="J1486" s="71">
        <f>IF($N1486&lt;&gt;"OK","",N(INDEX('Menu Pricing'!$F$7:$F$56,$O1486))+N(INDEX('Menu Pricing'!$G$7:$G$56,$O1486))+N(INDEX('Menu Pricing'!$J$7:$J$56,$O1486)))</f>
        <v/>
      </c>
      <c r="K1486" s="71">
        <f>IF($N1486&lt;&gt;"OK","",$D1486*$J1486)</f>
        <v/>
      </c>
      <c r="L1486" s="71">
        <f>IF($N1486&lt;&gt;"OK","",$I1486-$K1486)</f>
        <v/>
      </c>
      <c r="M1486" s="71">
        <f>IF($N1486&lt;&gt;"OK","",$D1486*N(INDEX('Menu Pricing'!$F$7:$F$56,$O1486)))</f>
        <v/>
      </c>
      <c r="N1486" s="80">
        <f>IF(AND($B1486="",$C1486="",$D1486=""),"",IF(NOT(ISNUMBER($B1486)),"Enter a valid date",IF($C1486="","Pick a menu item",IF($O1486="","Item not on Menu Pricing",IF(N($D1486)&lt;=0,"Qty must be above 0",IF($H1486="","No price on menu","OK"))))))</f>
        <v/>
      </c>
      <c r="O1486" s="13">
        <f>IF($C1486="","",IFERROR(MATCH($C1486,'Menu Pricing'!$B$7:$B$56,0),""))</f>
        <v/>
      </c>
    </row>
    <row r="1487" ht="17" customHeight="1">
      <c r="B1487" s="66" t="n"/>
      <c r="C1487" s="60" t="n"/>
      <c r="D1487" s="86" t="n"/>
      <c r="E1487" s="63" t="n"/>
      <c r="F1487" s="60" t="n"/>
      <c r="G1487" s="60" t="n"/>
      <c r="H1487" s="71">
        <f>IF(OR($C1487="",$D1487=""),"",IF(ISNUMBER($E1487),$E1487,IF($O1487="","",IF(N(INDEX('Menu Pricing'!$O$7:$O$56,$O1487))&gt;0,INDEX('Menu Pricing'!$O$7:$O$56,$O1487),""))))</f>
        <v/>
      </c>
      <c r="I1487" s="71">
        <f>IF($N1487&lt;&gt;"OK","",$D1487*$H1487)</f>
        <v/>
      </c>
      <c r="J1487" s="71">
        <f>IF($N1487&lt;&gt;"OK","",N(INDEX('Menu Pricing'!$F$7:$F$56,$O1487))+N(INDEX('Menu Pricing'!$G$7:$G$56,$O1487))+N(INDEX('Menu Pricing'!$J$7:$J$56,$O1487)))</f>
        <v/>
      </c>
      <c r="K1487" s="71">
        <f>IF($N1487&lt;&gt;"OK","",$D1487*$J1487)</f>
        <v/>
      </c>
      <c r="L1487" s="71">
        <f>IF($N1487&lt;&gt;"OK","",$I1487-$K1487)</f>
        <v/>
      </c>
      <c r="M1487" s="71">
        <f>IF($N1487&lt;&gt;"OK","",$D1487*N(INDEX('Menu Pricing'!$F$7:$F$56,$O1487)))</f>
        <v/>
      </c>
      <c r="N1487" s="80">
        <f>IF(AND($B1487="",$C1487="",$D1487=""),"",IF(NOT(ISNUMBER($B1487)),"Enter a valid date",IF($C1487="","Pick a menu item",IF($O1487="","Item not on Menu Pricing",IF(N($D1487)&lt;=0,"Qty must be above 0",IF($H1487="","No price on menu","OK"))))))</f>
        <v/>
      </c>
      <c r="O1487" s="13">
        <f>IF($C1487="","",IFERROR(MATCH($C1487,'Menu Pricing'!$B$7:$B$56,0),""))</f>
        <v/>
      </c>
    </row>
    <row r="1488" ht="17" customHeight="1">
      <c r="B1488" s="66" t="n"/>
      <c r="C1488" s="60" t="n"/>
      <c r="D1488" s="86" t="n"/>
      <c r="E1488" s="63" t="n"/>
      <c r="F1488" s="60" t="n"/>
      <c r="G1488" s="60" t="n"/>
      <c r="H1488" s="71">
        <f>IF(OR($C1488="",$D1488=""),"",IF(ISNUMBER($E1488),$E1488,IF($O1488="","",IF(N(INDEX('Menu Pricing'!$O$7:$O$56,$O1488))&gt;0,INDEX('Menu Pricing'!$O$7:$O$56,$O1488),""))))</f>
        <v/>
      </c>
      <c r="I1488" s="71">
        <f>IF($N1488&lt;&gt;"OK","",$D1488*$H1488)</f>
        <v/>
      </c>
      <c r="J1488" s="71">
        <f>IF($N1488&lt;&gt;"OK","",N(INDEX('Menu Pricing'!$F$7:$F$56,$O1488))+N(INDEX('Menu Pricing'!$G$7:$G$56,$O1488))+N(INDEX('Menu Pricing'!$J$7:$J$56,$O1488)))</f>
        <v/>
      </c>
      <c r="K1488" s="71">
        <f>IF($N1488&lt;&gt;"OK","",$D1488*$J1488)</f>
        <v/>
      </c>
      <c r="L1488" s="71">
        <f>IF($N1488&lt;&gt;"OK","",$I1488-$K1488)</f>
        <v/>
      </c>
      <c r="M1488" s="71">
        <f>IF($N1488&lt;&gt;"OK","",$D1488*N(INDEX('Menu Pricing'!$F$7:$F$56,$O1488)))</f>
        <v/>
      </c>
      <c r="N1488" s="80">
        <f>IF(AND($B1488="",$C1488="",$D1488=""),"",IF(NOT(ISNUMBER($B1488)),"Enter a valid date",IF($C1488="","Pick a menu item",IF($O1488="","Item not on Menu Pricing",IF(N($D1488)&lt;=0,"Qty must be above 0",IF($H1488="","No price on menu","OK"))))))</f>
        <v/>
      </c>
      <c r="O1488" s="13">
        <f>IF($C1488="","",IFERROR(MATCH($C1488,'Menu Pricing'!$B$7:$B$56,0),""))</f>
        <v/>
      </c>
    </row>
    <row r="1489" ht="17" customHeight="1">
      <c r="B1489" s="66" t="n"/>
      <c r="C1489" s="60" t="n"/>
      <c r="D1489" s="86" t="n"/>
      <c r="E1489" s="63" t="n"/>
      <c r="F1489" s="60" t="n"/>
      <c r="G1489" s="60" t="n"/>
      <c r="H1489" s="71">
        <f>IF(OR($C1489="",$D1489=""),"",IF(ISNUMBER($E1489),$E1489,IF($O1489="","",IF(N(INDEX('Menu Pricing'!$O$7:$O$56,$O1489))&gt;0,INDEX('Menu Pricing'!$O$7:$O$56,$O1489),""))))</f>
        <v/>
      </c>
      <c r="I1489" s="71">
        <f>IF($N1489&lt;&gt;"OK","",$D1489*$H1489)</f>
        <v/>
      </c>
      <c r="J1489" s="71">
        <f>IF($N1489&lt;&gt;"OK","",N(INDEX('Menu Pricing'!$F$7:$F$56,$O1489))+N(INDEX('Menu Pricing'!$G$7:$G$56,$O1489))+N(INDEX('Menu Pricing'!$J$7:$J$56,$O1489)))</f>
        <v/>
      </c>
      <c r="K1489" s="71">
        <f>IF($N1489&lt;&gt;"OK","",$D1489*$J1489)</f>
        <v/>
      </c>
      <c r="L1489" s="71">
        <f>IF($N1489&lt;&gt;"OK","",$I1489-$K1489)</f>
        <v/>
      </c>
      <c r="M1489" s="71">
        <f>IF($N1489&lt;&gt;"OK","",$D1489*N(INDEX('Menu Pricing'!$F$7:$F$56,$O1489)))</f>
        <v/>
      </c>
      <c r="N1489" s="80">
        <f>IF(AND($B1489="",$C1489="",$D1489=""),"",IF(NOT(ISNUMBER($B1489)),"Enter a valid date",IF($C1489="","Pick a menu item",IF($O1489="","Item not on Menu Pricing",IF(N($D1489)&lt;=0,"Qty must be above 0",IF($H1489="","No price on menu","OK"))))))</f>
        <v/>
      </c>
      <c r="O1489" s="13">
        <f>IF($C1489="","",IFERROR(MATCH($C1489,'Menu Pricing'!$B$7:$B$56,0),""))</f>
        <v/>
      </c>
    </row>
    <row r="1490" ht="17" customHeight="1">
      <c r="B1490" s="66" t="n"/>
      <c r="C1490" s="60" t="n"/>
      <c r="D1490" s="86" t="n"/>
      <c r="E1490" s="63" t="n"/>
      <c r="F1490" s="60" t="n"/>
      <c r="G1490" s="60" t="n"/>
      <c r="H1490" s="71">
        <f>IF(OR($C1490="",$D1490=""),"",IF(ISNUMBER($E1490),$E1490,IF($O1490="","",IF(N(INDEX('Menu Pricing'!$O$7:$O$56,$O1490))&gt;0,INDEX('Menu Pricing'!$O$7:$O$56,$O1490),""))))</f>
        <v/>
      </c>
      <c r="I1490" s="71">
        <f>IF($N1490&lt;&gt;"OK","",$D1490*$H1490)</f>
        <v/>
      </c>
      <c r="J1490" s="71">
        <f>IF($N1490&lt;&gt;"OK","",N(INDEX('Menu Pricing'!$F$7:$F$56,$O1490))+N(INDEX('Menu Pricing'!$G$7:$G$56,$O1490))+N(INDEX('Menu Pricing'!$J$7:$J$56,$O1490)))</f>
        <v/>
      </c>
      <c r="K1490" s="71">
        <f>IF($N1490&lt;&gt;"OK","",$D1490*$J1490)</f>
        <v/>
      </c>
      <c r="L1490" s="71">
        <f>IF($N1490&lt;&gt;"OK","",$I1490-$K1490)</f>
        <v/>
      </c>
      <c r="M1490" s="71">
        <f>IF($N1490&lt;&gt;"OK","",$D1490*N(INDEX('Menu Pricing'!$F$7:$F$56,$O1490)))</f>
        <v/>
      </c>
      <c r="N1490" s="80">
        <f>IF(AND($B1490="",$C1490="",$D1490=""),"",IF(NOT(ISNUMBER($B1490)),"Enter a valid date",IF($C1490="","Pick a menu item",IF($O1490="","Item not on Menu Pricing",IF(N($D1490)&lt;=0,"Qty must be above 0",IF($H1490="","No price on menu","OK"))))))</f>
        <v/>
      </c>
      <c r="O1490" s="13">
        <f>IF($C1490="","",IFERROR(MATCH($C1490,'Menu Pricing'!$B$7:$B$56,0),""))</f>
        <v/>
      </c>
    </row>
    <row r="1491" ht="17" customHeight="1">
      <c r="B1491" s="66" t="n"/>
      <c r="C1491" s="60" t="n"/>
      <c r="D1491" s="86" t="n"/>
      <c r="E1491" s="63" t="n"/>
      <c r="F1491" s="60" t="n"/>
      <c r="G1491" s="60" t="n"/>
      <c r="H1491" s="71">
        <f>IF(OR($C1491="",$D1491=""),"",IF(ISNUMBER($E1491),$E1491,IF($O1491="","",IF(N(INDEX('Menu Pricing'!$O$7:$O$56,$O1491))&gt;0,INDEX('Menu Pricing'!$O$7:$O$56,$O1491),""))))</f>
        <v/>
      </c>
      <c r="I1491" s="71">
        <f>IF($N1491&lt;&gt;"OK","",$D1491*$H1491)</f>
        <v/>
      </c>
      <c r="J1491" s="71">
        <f>IF($N1491&lt;&gt;"OK","",N(INDEX('Menu Pricing'!$F$7:$F$56,$O1491))+N(INDEX('Menu Pricing'!$G$7:$G$56,$O1491))+N(INDEX('Menu Pricing'!$J$7:$J$56,$O1491)))</f>
        <v/>
      </c>
      <c r="K1491" s="71">
        <f>IF($N1491&lt;&gt;"OK","",$D1491*$J1491)</f>
        <v/>
      </c>
      <c r="L1491" s="71">
        <f>IF($N1491&lt;&gt;"OK","",$I1491-$K1491)</f>
        <v/>
      </c>
      <c r="M1491" s="71">
        <f>IF($N1491&lt;&gt;"OK","",$D1491*N(INDEX('Menu Pricing'!$F$7:$F$56,$O1491)))</f>
        <v/>
      </c>
      <c r="N1491" s="80">
        <f>IF(AND($B1491="",$C1491="",$D1491=""),"",IF(NOT(ISNUMBER($B1491)),"Enter a valid date",IF($C1491="","Pick a menu item",IF($O1491="","Item not on Menu Pricing",IF(N($D1491)&lt;=0,"Qty must be above 0",IF($H1491="","No price on menu","OK"))))))</f>
        <v/>
      </c>
      <c r="O1491" s="13">
        <f>IF($C1491="","",IFERROR(MATCH($C1491,'Menu Pricing'!$B$7:$B$56,0),""))</f>
        <v/>
      </c>
    </row>
    <row r="1492" ht="17" customHeight="1">
      <c r="B1492" s="66" t="n"/>
      <c r="C1492" s="60" t="n"/>
      <c r="D1492" s="86" t="n"/>
      <c r="E1492" s="63" t="n"/>
      <c r="F1492" s="60" t="n"/>
      <c r="G1492" s="60" t="n"/>
      <c r="H1492" s="71">
        <f>IF(OR($C1492="",$D1492=""),"",IF(ISNUMBER($E1492),$E1492,IF($O1492="","",IF(N(INDEX('Menu Pricing'!$O$7:$O$56,$O1492))&gt;0,INDEX('Menu Pricing'!$O$7:$O$56,$O1492),""))))</f>
        <v/>
      </c>
      <c r="I1492" s="71">
        <f>IF($N1492&lt;&gt;"OK","",$D1492*$H1492)</f>
        <v/>
      </c>
      <c r="J1492" s="71">
        <f>IF($N1492&lt;&gt;"OK","",N(INDEX('Menu Pricing'!$F$7:$F$56,$O1492))+N(INDEX('Menu Pricing'!$G$7:$G$56,$O1492))+N(INDEX('Menu Pricing'!$J$7:$J$56,$O1492)))</f>
        <v/>
      </c>
      <c r="K1492" s="71">
        <f>IF($N1492&lt;&gt;"OK","",$D1492*$J1492)</f>
        <v/>
      </c>
      <c r="L1492" s="71">
        <f>IF($N1492&lt;&gt;"OK","",$I1492-$K1492)</f>
        <v/>
      </c>
      <c r="M1492" s="71">
        <f>IF($N1492&lt;&gt;"OK","",$D1492*N(INDEX('Menu Pricing'!$F$7:$F$56,$O1492)))</f>
        <v/>
      </c>
      <c r="N1492" s="80">
        <f>IF(AND($B1492="",$C1492="",$D1492=""),"",IF(NOT(ISNUMBER($B1492)),"Enter a valid date",IF($C1492="","Pick a menu item",IF($O1492="","Item not on Menu Pricing",IF(N($D1492)&lt;=0,"Qty must be above 0",IF($H1492="","No price on menu","OK"))))))</f>
        <v/>
      </c>
      <c r="O1492" s="13">
        <f>IF($C1492="","",IFERROR(MATCH($C1492,'Menu Pricing'!$B$7:$B$56,0),""))</f>
        <v/>
      </c>
    </row>
    <row r="1493" ht="17" customHeight="1">
      <c r="B1493" s="66" t="n"/>
      <c r="C1493" s="60" t="n"/>
      <c r="D1493" s="86" t="n"/>
      <c r="E1493" s="63" t="n"/>
      <c r="F1493" s="60" t="n"/>
      <c r="G1493" s="60" t="n"/>
      <c r="H1493" s="71">
        <f>IF(OR($C1493="",$D1493=""),"",IF(ISNUMBER($E1493),$E1493,IF($O1493="","",IF(N(INDEX('Menu Pricing'!$O$7:$O$56,$O1493))&gt;0,INDEX('Menu Pricing'!$O$7:$O$56,$O1493),""))))</f>
        <v/>
      </c>
      <c r="I1493" s="71">
        <f>IF($N1493&lt;&gt;"OK","",$D1493*$H1493)</f>
        <v/>
      </c>
      <c r="J1493" s="71">
        <f>IF($N1493&lt;&gt;"OK","",N(INDEX('Menu Pricing'!$F$7:$F$56,$O1493))+N(INDEX('Menu Pricing'!$G$7:$G$56,$O1493))+N(INDEX('Menu Pricing'!$J$7:$J$56,$O1493)))</f>
        <v/>
      </c>
      <c r="K1493" s="71">
        <f>IF($N1493&lt;&gt;"OK","",$D1493*$J1493)</f>
        <v/>
      </c>
      <c r="L1493" s="71">
        <f>IF($N1493&lt;&gt;"OK","",$I1493-$K1493)</f>
        <v/>
      </c>
      <c r="M1493" s="71">
        <f>IF($N1493&lt;&gt;"OK","",$D1493*N(INDEX('Menu Pricing'!$F$7:$F$56,$O1493)))</f>
        <v/>
      </c>
      <c r="N1493" s="80">
        <f>IF(AND($B1493="",$C1493="",$D1493=""),"",IF(NOT(ISNUMBER($B1493)),"Enter a valid date",IF($C1493="","Pick a menu item",IF($O1493="","Item not on Menu Pricing",IF(N($D1493)&lt;=0,"Qty must be above 0",IF($H1493="","No price on menu","OK"))))))</f>
        <v/>
      </c>
      <c r="O1493" s="13">
        <f>IF($C1493="","",IFERROR(MATCH($C1493,'Menu Pricing'!$B$7:$B$56,0),""))</f>
        <v/>
      </c>
    </row>
    <row r="1494" ht="17" customHeight="1">
      <c r="B1494" s="66" t="n"/>
      <c r="C1494" s="60" t="n"/>
      <c r="D1494" s="86" t="n"/>
      <c r="E1494" s="63" t="n"/>
      <c r="F1494" s="60" t="n"/>
      <c r="G1494" s="60" t="n"/>
      <c r="H1494" s="71">
        <f>IF(OR($C1494="",$D1494=""),"",IF(ISNUMBER($E1494),$E1494,IF($O1494="","",IF(N(INDEX('Menu Pricing'!$O$7:$O$56,$O1494))&gt;0,INDEX('Menu Pricing'!$O$7:$O$56,$O1494),""))))</f>
        <v/>
      </c>
      <c r="I1494" s="71">
        <f>IF($N1494&lt;&gt;"OK","",$D1494*$H1494)</f>
        <v/>
      </c>
      <c r="J1494" s="71">
        <f>IF($N1494&lt;&gt;"OK","",N(INDEX('Menu Pricing'!$F$7:$F$56,$O1494))+N(INDEX('Menu Pricing'!$G$7:$G$56,$O1494))+N(INDEX('Menu Pricing'!$J$7:$J$56,$O1494)))</f>
        <v/>
      </c>
      <c r="K1494" s="71">
        <f>IF($N1494&lt;&gt;"OK","",$D1494*$J1494)</f>
        <v/>
      </c>
      <c r="L1494" s="71">
        <f>IF($N1494&lt;&gt;"OK","",$I1494-$K1494)</f>
        <v/>
      </c>
      <c r="M1494" s="71">
        <f>IF($N1494&lt;&gt;"OK","",$D1494*N(INDEX('Menu Pricing'!$F$7:$F$56,$O1494)))</f>
        <v/>
      </c>
      <c r="N1494" s="80">
        <f>IF(AND($B1494="",$C1494="",$D1494=""),"",IF(NOT(ISNUMBER($B1494)),"Enter a valid date",IF($C1494="","Pick a menu item",IF($O1494="","Item not on Menu Pricing",IF(N($D1494)&lt;=0,"Qty must be above 0",IF($H1494="","No price on menu","OK"))))))</f>
        <v/>
      </c>
      <c r="O1494" s="13">
        <f>IF($C1494="","",IFERROR(MATCH($C1494,'Menu Pricing'!$B$7:$B$56,0),""))</f>
        <v/>
      </c>
    </row>
    <row r="1495" ht="17" customHeight="1">
      <c r="B1495" s="66" t="n"/>
      <c r="C1495" s="60" t="n"/>
      <c r="D1495" s="86" t="n"/>
      <c r="E1495" s="63" t="n"/>
      <c r="F1495" s="60" t="n"/>
      <c r="G1495" s="60" t="n"/>
      <c r="H1495" s="71">
        <f>IF(OR($C1495="",$D1495=""),"",IF(ISNUMBER($E1495),$E1495,IF($O1495="","",IF(N(INDEX('Menu Pricing'!$O$7:$O$56,$O1495))&gt;0,INDEX('Menu Pricing'!$O$7:$O$56,$O1495),""))))</f>
        <v/>
      </c>
      <c r="I1495" s="71">
        <f>IF($N1495&lt;&gt;"OK","",$D1495*$H1495)</f>
        <v/>
      </c>
      <c r="J1495" s="71">
        <f>IF($N1495&lt;&gt;"OK","",N(INDEX('Menu Pricing'!$F$7:$F$56,$O1495))+N(INDEX('Menu Pricing'!$G$7:$G$56,$O1495))+N(INDEX('Menu Pricing'!$J$7:$J$56,$O1495)))</f>
        <v/>
      </c>
      <c r="K1495" s="71">
        <f>IF($N1495&lt;&gt;"OK","",$D1495*$J1495)</f>
        <v/>
      </c>
      <c r="L1495" s="71">
        <f>IF($N1495&lt;&gt;"OK","",$I1495-$K1495)</f>
        <v/>
      </c>
      <c r="M1495" s="71">
        <f>IF($N1495&lt;&gt;"OK","",$D1495*N(INDEX('Menu Pricing'!$F$7:$F$56,$O1495)))</f>
        <v/>
      </c>
      <c r="N1495" s="80">
        <f>IF(AND($B1495="",$C1495="",$D1495=""),"",IF(NOT(ISNUMBER($B1495)),"Enter a valid date",IF($C1495="","Pick a menu item",IF($O1495="","Item not on Menu Pricing",IF(N($D1495)&lt;=0,"Qty must be above 0",IF($H1495="","No price on menu","OK"))))))</f>
        <v/>
      </c>
      <c r="O1495" s="13">
        <f>IF($C1495="","",IFERROR(MATCH($C1495,'Menu Pricing'!$B$7:$B$56,0),""))</f>
        <v/>
      </c>
    </row>
    <row r="1496" ht="17" customHeight="1">
      <c r="B1496" s="66" t="n"/>
      <c r="C1496" s="60" t="n"/>
      <c r="D1496" s="86" t="n"/>
      <c r="E1496" s="63" t="n"/>
      <c r="F1496" s="60" t="n"/>
      <c r="G1496" s="60" t="n"/>
      <c r="H1496" s="71">
        <f>IF(OR($C1496="",$D1496=""),"",IF(ISNUMBER($E1496),$E1496,IF($O1496="","",IF(N(INDEX('Menu Pricing'!$O$7:$O$56,$O1496))&gt;0,INDEX('Menu Pricing'!$O$7:$O$56,$O1496),""))))</f>
        <v/>
      </c>
      <c r="I1496" s="71">
        <f>IF($N1496&lt;&gt;"OK","",$D1496*$H1496)</f>
        <v/>
      </c>
      <c r="J1496" s="71">
        <f>IF($N1496&lt;&gt;"OK","",N(INDEX('Menu Pricing'!$F$7:$F$56,$O1496))+N(INDEX('Menu Pricing'!$G$7:$G$56,$O1496))+N(INDEX('Menu Pricing'!$J$7:$J$56,$O1496)))</f>
        <v/>
      </c>
      <c r="K1496" s="71">
        <f>IF($N1496&lt;&gt;"OK","",$D1496*$J1496)</f>
        <v/>
      </c>
      <c r="L1496" s="71">
        <f>IF($N1496&lt;&gt;"OK","",$I1496-$K1496)</f>
        <v/>
      </c>
      <c r="M1496" s="71">
        <f>IF($N1496&lt;&gt;"OK","",$D1496*N(INDEX('Menu Pricing'!$F$7:$F$56,$O1496)))</f>
        <v/>
      </c>
      <c r="N1496" s="80">
        <f>IF(AND($B1496="",$C1496="",$D1496=""),"",IF(NOT(ISNUMBER($B1496)),"Enter a valid date",IF($C1496="","Pick a menu item",IF($O1496="","Item not on Menu Pricing",IF(N($D1496)&lt;=0,"Qty must be above 0",IF($H1496="","No price on menu","OK"))))))</f>
        <v/>
      </c>
      <c r="O1496" s="13">
        <f>IF($C1496="","",IFERROR(MATCH($C1496,'Menu Pricing'!$B$7:$B$56,0),""))</f>
        <v/>
      </c>
    </row>
    <row r="1497" ht="17" customHeight="1">
      <c r="B1497" s="66" t="n"/>
      <c r="C1497" s="60" t="n"/>
      <c r="D1497" s="86" t="n"/>
      <c r="E1497" s="63" t="n"/>
      <c r="F1497" s="60" t="n"/>
      <c r="G1497" s="60" t="n"/>
      <c r="H1497" s="71">
        <f>IF(OR($C1497="",$D1497=""),"",IF(ISNUMBER($E1497),$E1497,IF($O1497="","",IF(N(INDEX('Menu Pricing'!$O$7:$O$56,$O1497))&gt;0,INDEX('Menu Pricing'!$O$7:$O$56,$O1497),""))))</f>
        <v/>
      </c>
      <c r="I1497" s="71">
        <f>IF($N1497&lt;&gt;"OK","",$D1497*$H1497)</f>
        <v/>
      </c>
      <c r="J1497" s="71">
        <f>IF($N1497&lt;&gt;"OK","",N(INDEX('Menu Pricing'!$F$7:$F$56,$O1497))+N(INDEX('Menu Pricing'!$G$7:$G$56,$O1497))+N(INDEX('Menu Pricing'!$J$7:$J$56,$O1497)))</f>
        <v/>
      </c>
      <c r="K1497" s="71">
        <f>IF($N1497&lt;&gt;"OK","",$D1497*$J1497)</f>
        <v/>
      </c>
      <c r="L1497" s="71">
        <f>IF($N1497&lt;&gt;"OK","",$I1497-$K1497)</f>
        <v/>
      </c>
      <c r="M1497" s="71">
        <f>IF($N1497&lt;&gt;"OK","",$D1497*N(INDEX('Menu Pricing'!$F$7:$F$56,$O1497)))</f>
        <v/>
      </c>
      <c r="N1497" s="80">
        <f>IF(AND($B1497="",$C1497="",$D1497=""),"",IF(NOT(ISNUMBER($B1497)),"Enter a valid date",IF($C1497="","Pick a menu item",IF($O1497="","Item not on Menu Pricing",IF(N($D1497)&lt;=0,"Qty must be above 0",IF($H1497="","No price on menu","OK"))))))</f>
        <v/>
      </c>
      <c r="O1497" s="13">
        <f>IF($C1497="","",IFERROR(MATCH($C1497,'Menu Pricing'!$B$7:$B$56,0),""))</f>
        <v/>
      </c>
    </row>
    <row r="1498" ht="17" customHeight="1">
      <c r="B1498" s="66" t="n"/>
      <c r="C1498" s="60" t="n"/>
      <c r="D1498" s="86" t="n"/>
      <c r="E1498" s="63" t="n"/>
      <c r="F1498" s="60" t="n"/>
      <c r="G1498" s="60" t="n"/>
      <c r="H1498" s="71">
        <f>IF(OR($C1498="",$D1498=""),"",IF(ISNUMBER($E1498),$E1498,IF($O1498="","",IF(N(INDEX('Menu Pricing'!$O$7:$O$56,$O1498))&gt;0,INDEX('Menu Pricing'!$O$7:$O$56,$O1498),""))))</f>
        <v/>
      </c>
      <c r="I1498" s="71">
        <f>IF($N1498&lt;&gt;"OK","",$D1498*$H1498)</f>
        <v/>
      </c>
      <c r="J1498" s="71">
        <f>IF($N1498&lt;&gt;"OK","",N(INDEX('Menu Pricing'!$F$7:$F$56,$O1498))+N(INDEX('Menu Pricing'!$G$7:$G$56,$O1498))+N(INDEX('Menu Pricing'!$J$7:$J$56,$O1498)))</f>
        <v/>
      </c>
      <c r="K1498" s="71">
        <f>IF($N1498&lt;&gt;"OK","",$D1498*$J1498)</f>
        <v/>
      </c>
      <c r="L1498" s="71">
        <f>IF($N1498&lt;&gt;"OK","",$I1498-$K1498)</f>
        <v/>
      </c>
      <c r="M1498" s="71">
        <f>IF($N1498&lt;&gt;"OK","",$D1498*N(INDEX('Menu Pricing'!$F$7:$F$56,$O1498)))</f>
        <v/>
      </c>
      <c r="N1498" s="80">
        <f>IF(AND($B1498="",$C1498="",$D1498=""),"",IF(NOT(ISNUMBER($B1498)),"Enter a valid date",IF($C1498="","Pick a menu item",IF($O1498="","Item not on Menu Pricing",IF(N($D1498)&lt;=0,"Qty must be above 0",IF($H1498="","No price on menu","OK"))))))</f>
        <v/>
      </c>
      <c r="O1498" s="13">
        <f>IF($C1498="","",IFERROR(MATCH($C1498,'Menu Pricing'!$B$7:$B$56,0),""))</f>
        <v/>
      </c>
    </row>
    <row r="1499" ht="17" customHeight="1">
      <c r="B1499" s="66" t="n"/>
      <c r="C1499" s="60" t="n"/>
      <c r="D1499" s="86" t="n"/>
      <c r="E1499" s="63" t="n"/>
      <c r="F1499" s="60" t="n"/>
      <c r="G1499" s="60" t="n"/>
      <c r="H1499" s="71">
        <f>IF(OR($C1499="",$D1499=""),"",IF(ISNUMBER($E1499),$E1499,IF($O1499="","",IF(N(INDEX('Menu Pricing'!$O$7:$O$56,$O1499))&gt;0,INDEX('Menu Pricing'!$O$7:$O$56,$O1499),""))))</f>
        <v/>
      </c>
      <c r="I1499" s="71">
        <f>IF($N1499&lt;&gt;"OK","",$D1499*$H1499)</f>
        <v/>
      </c>
      <c r="J1499" s="71">
        <f>IF($N1499&lt;&gt;"OK","",N(INDEX('Menu Pricing'!$F$7:$F$56,$O1499))+N(INDEX('Menu Pricing'!$G$7:$G$56,$O1499))+N(INDEX('Menu Pricing'!$J$7:$J$56,$O1499)))</f>
        <v/>
      </c>
      <c r="K1499" s="71">
        <f>IF($N1499&lt;&gt;"OK","",$D1499*$J1499)</f>
        <v/>
      </c>
      <c r="L1499" s="71">
        <f>IF($N1499&lt;&gt;"OK","",$I1499-$K1499)</f>
        <v/>
      </c>
      <c r="M1499" s="71">
        <f>IF($N1499&lt;&gt;"OK","",$D1499*N(INDEX('Menu Pricing'!$F$7:$F$56,$O1499)))</f>
        <v/>
      </c>
      <c r="N1499" s="80">
        <f>IF(AND($B1499="",$C1499="",$D1499=""),"",IF(NOT(ISNUMBER($B1499)),"Enter a valid date",IF($C1499="","Pick a menu item",IF($O1499="","Item not on Menu Pricing",IF(N($D1499)&lt;=0,"Qty must be above 0",IF($H1499="","No price on menu","OK"))))))</f>
        <v/>
      </c>
      <c r="O1499" s="13">
        <f>IF($C1499="","",IFERROR(MATCH($C1499,'Menu Pricing'!$B$7:$B$56,0),""))</f>
        <v/>
      </c>
    </row>
    <row r="1500" ht="17" customHeight="1">
      <c r="B1500" s="66" t="n"/>
      <c r="C1500" s="60" t="n"/>
      <c r="D1500" s="86" t="n"/>
      <c r="E1500" s="63" t="n"/>
      <c r="F1500" s="60" t="n"/>
      <c r="G1500" s="60" t="n"/>
      <c r="H1500" s="71">
        <f>IF(OR($C1500="",$D1500=""),"",IF(ISNUMBER($E1500),$E1500,IF($O1500="","",IF(N(INDEX('Menu Pricing'!$O$7:$O$56,$O1500))&gt;0,INDEX('Menu Pricing'!$O$7:$O$56,$O1500),""))))</f>
        <v/>
      </c>
      <c r="I1500" s="71">
        <f>IF($N1500&lt;&gt;"OK","",$D1500*$H1500)</f>
        <v/>
      </c>
      <c r="J1500" s="71">
        <f>IF($N1500&lt;&gt;"OK","",N(INDEX('Menu Pricing'!$F$7:$F$56,$O1500))+N(INDEX('Menu Pricing'!$G$7:$G$56,$O1500))+N(INDEX('Menu Pricing'!$J$7:$J$56,$O1500)))</f>
        <v/>
      </c>
      <c r="K1500" s="71">
        <f>IF($N1500&lt;&gt;"OK","",$D1500*$J1500)</f>
        <v/>
      </c>
      <c r="L1500" s="71">
        <f>IF($N1500&lt;&gt;"OK","",$I1500-$K1500)</f>
        <v/>
      </c>
      <c r="M1500" s="71">
        <f>IF($N1500&lt;&gt;"OK","",$D1500*N(INDEX('Menu Pricing'!$F$7:$F$56,$O1500)))</f>
        <v/>
      </c>
      <c r="N1500" s="80">
        <f>IF(AND($B1500="",$C1500="",$D1500=""),"",IF(NOT(ISNUMBER($B1500)),"Enter a valid date",IF($C1500="","Pick a menu item",IF($O1500="","Item not on Menu Pricing",IF(N($D1500)&lt;=0,"Qty must be above 0",IF($H1500="","No price on menu","OK"))))))</f>
        <v/>
      </c>
      <c r="O1500" s="13">
        <f>IF($C1500="","",IFERROR(MATCH($C1500,'Menu Pricing'!$B$7:$B$56,0),""))</f>
        <v/>
      </c>
    </row>
    <row r="1501" ht="17" customHeight="1">
      <c r="B1501" s="66" t="n"/>
      <c r="C1501" s="60" t="n"/>
      <c r="D1501" s="86" t="n"/>
      <c r="E1501" s="63" t="n"/>
      <c r="F1501" s="60" t="n"/>
      <c r="G1501" s="60" t="n"/>
      <c r="H1501" s="71">
        <f>IF(OR($C1501="",$D1501=""),"",IF(ISNUMBER($E1501),$E1501,IF($O1501="","",IF(N(INDEX('Menu Pricing'!$O$7:$O$56,$O1501))&gt;0,INDEX('Menu Pricing'!$O$7:$O$56,$O1501),""))))</f>
        <v/>
      </c>
      <c r="I1501" s="71">
        <f>IF($N1501&lt;&gt;"OK","",$D1501*$H1501)</f>
        <v/>
      </c>
      <c r="J1501" s="71">
        <f>IF($N1501&lt;&gt;"OK","",N(INDEX('Menu Pricing'!$F$7:$F$56,$O1501))+N(INDEX('Menu Pricing'!$G$7:$G$56,$O1501))+N(INDEX('Menu Pricing'!$J$7:$J$56,$O1501)))</f>
        <v/>
      </c>
      <c r="K1501" s="71">
        <f>IF($N1501&lt;&gt;"OK","",$D1501*$J1501)</f>
        <v/>
      </c>
      <c r="L1501" s="71">
        <f>IF($N1501&lt;&gt;"OK","",$I1501-$K1501)</f>
        <v/>
      </c>
      <c r="M1501" s="71">
        <f>IF($N1501&lt;&gt;"OK","",$D1501*N(INDEX('Menu Pricing'!$F$7:$F$56,$O1501)))</f>
        <v/>
      </c>
      <c r="N1501" s="80">
        <f>IF(AND($B1501="",$C1501="",$D1501=""),"",IF(NOT(ISNUMBER($B1501)),"Enter a valid date",IF($C1501="","Pick a menu item",IF($O1501="","Item not on Menu Pricing",IF(N($D1501)&lt;=0,"Qty must be above 0",IF($H1501="","No price on menu","OK"))))))</f>
        <v/>
      </c>
      <c r="O1501" s="13">
        <f>IF($C1501="","",IFERROR(MATCH($C1501,'Menu Pricing'!$B$7:$B$56,0),""))</f>
        <v/>
      </c>
    </row>
    <row r="1502" ht="17" customHeight="1">
      <c r="B1502" s="66" t="n"/>
      <c r="C1502" s="60" t="n"/>
      <c r="D1502" s="86" t="n"/>
      <c r="E1502" s="63" t="n"/>
      <c r="F1502" s="60" t="n"/>
      <c r="G1502" s="60" t="n"/>
      <c r="H1502" s="71">
        <f>IF(OR($C1502="",$D1502=""),"",IF(ISNUMBER($E1502),$E1502,IF($O1502="","",IF(N(INDEX('Menu Pricing'!$O$7:$O$56,$O1502))&gt;0,INDEX('Menu Pricing'!$O$7:$O$56,$O1502),""))))</f>
        <v/>
      </c>
      <c r="I1502" s="71">
        <f>IF($N1502&lt;&gt;"OK","",$D1502*$H1502)</f>
        <v/>
      </c>
      <c r="J1502" s="71">
        <f>IF($N1502&lt;&gt;"OK","",N(INDEX('Menu Pricing'!$F$7:$F$56,$O1502))+N(INDEX('Menu Pricing'!$G$7:$G$56,$O1502))+N(INDEX('Menu Pricing'!$J$7:$J$56,$O1502)))</f>
        <v/>
      </c>
      <c r="K1502" s="71">
        <f>IF($N1502&lt;&gt;"OK","",$D1502*$J1502)</f>
        <v/>
      </c>
      <c r="L1502" s="71">
        <f>IF($N1502&lt;&gt;"OK","",$I1502-$K1502)</f>
        <v/>
      </c>
      <c r="M1502" s="71">
        <f>IF($N1502&lt;&gt;"OK","",$D1502*N(INDEX('Menu Pricing'!$F$7:$F$56,$O1502)))</f>
        <v/>
      </c>
      <c r="N1502" s="80">
        <f>IF(AND($B1502="",$C1502="",$D1502=""),"",IF(NOT(ISNUMBER($B1502)),"Enter a valid date",IF($C1502="","Pick a menu item",IF($O1502="","Item not on Menu Pricing",IF(N($D1502)&lt;=0,"Qty must be above 0",IF($H1502="","No price on menu","OK"))))))</f>
        <v/>
      </c>
      <c r="O1502" s="13">
        <f>IF($C1502="","",IFERROR(MATCH($C1502,'Menu Pricing'!$B$7:$B$56,0),""))</f>
        <v/>
      </c>
    </row>
    <row r="1503" ht="17" customHeight="1">
      <c r="B1503" s="66" t="n"/>
      <c r="C1503" s="60" t="n"/>
      <c r="D1503" s="86" t="n"/>
      <c r="E1503" s="63" t="n"/>
      <c r="F1503" s="60" t="n"/>
      <c r="G1503" s="60" t="n"/>
      <c r="H1503" s="71">
        <f>IF(OR($C1503="",$D1503=""),"",IF(ISNUMBER($E1503),$E1503,IF($O1503="","",IF(N(INDEX('Menu Pricing'!$O$7:$O$56,$O1503))&gt;0,INDEX('Menu Pricing'!$O$7:$O$56,$O1503),""))))</f>
        <v/>
      </c>
      <c r="I1503" s="71">
        <f>IF($N1503&lt;&gt;"OK","",$D1503*$H1503)</f>
        <v/>
      </c>
      <c r="J1503" s="71">
        <f>IF($N1503&lt;&gt;"OK","",N(INDEX('Menu Pricing'!$F$7:$F$56,$O1503))+N(INDEX('Menu Pricing'!$G$7:$G$56,$O1503))+N(INDEX('Menu Pricing'!$J$7:$J$56,$O1503)))</f>
        <v/>
      </c>
      <c r="K1503" s="71">
        <f>IF($N1503&lt;&gt;"OK","",$D1503*$J1503)</f>
        <v/>
      </c>
      <c r="L1503" s="71">
        <f>IF($N1503&lt;&gt;"OK","",$I1503-$K1503)</f>
        <v/>
      </c>
      <c r="M1503" s="71">
        <f>IF($N1503&lt;&gt;"OK","",$D1503*N(INDEX('Menu Pricing'!$F$7:$F$56,$O1503)))</f>
        <v/>
      </c>
      <c r="N1503" s="80">
        <f>IF(AND($B1503="",$C1503="",$D1503=""),"",IF(NOT(ISNUMBER($B1503)),"Enter a valid date",IF($C1503="","Pick a menu item",IF($O1503="","Item not on Menu Pricing",IF(N($D1503)&lt;=0,"Qty must be above 0",IF($H1503="","No price on menu","OK"))))))</f>
        <v/>
      </c>
      <c r="O1503" s="13">
        <f>IF($C1503="","",IFERROR(MATCH($C1503,'Menu Pricing'!$B$7:$B$56,0),""))</f>
        <v/>
      </c>
    </row>
    <row r="1504" ht="17" customHeight="1">
      <c r="B1504" s="66" t="n"/>
      <c r="C1504" s="60" t="n"/>
      <c r="D1504" s="86" t="n"/>
      <c r="E1504" s="63" t="n"/>
      <c r="F1504" s="60" t="n"/>
      <c r="G1504" s="60" t="n"/>
      <c r="H1504" s="71">
        <f>IF(OR($C1504="",$D1504=""),"",IF(ISNUMBER($E1504),$E1504,IF($O1504="","",IF(N(INDEX('Menu Pricing'!$O$7:$O$56,$O1504))&gt;0,INDEX('Menu Pricing'!$O$7:$O$56,$O1504),""))))</f>
        <v/>
      </c>
      <c r="I1504" s="71">
        <f>IF($N1504&lt;&gt;"OK","",$D1504*$H1504)</f>
        <v/>
      </c>
      <c r="J1504" s="71">
        <f>IF($N1504&lt;&gt;"OK","",N(INDEX('Menu Pricing'!$F$7:$F$56,$O1504))+N(INDEX('Menu Pricing'!$G$7:$G$56,$O1504))+N(INDEX('Menu Pricing'!$J$7:$J$56,$O1504)))</f>
        <v/>
      </c>
      <c r="K1504" s="71">
        <f>IF($N1504&lt;&gt;"OK","",$D1504*$J1504)</f>
        <v/>
      </c>
      <c r="L1504" s="71">
        <f>IF($N1504&lt;&gt;"OK","",$I1504-$K1504)</f>
        <v/>
      </c>
      <c r="M1504" s="71">
        <f>IF($N1504&lt;&gt;"OK","",$D1504*N(INDEX('Menu Pricing'!$F$7:$F$56,$O1504)))</f>
        <v/>
      </c>
      <c r="N1504" s="80">
        <f>IF(AND($B1504="",$C1504="",$D1504=""),"",IF(NOT(ISNUMBER($B1504)),"Enter a valid date",IF($C1504="","Pick a menu item",IF($O1504="","Item not on Menu Pricing",IF(N($D1504)&lt;=0,"Qty must be above 0",IF($H1504="","No price on menu","OK"))))))</f>
        <v/>
      </c>
      <c r="O1504" s="13">
        <f>IF($C1504="","",IFERROR(MATCH($C1504,'Menu Pricing'!$B$7:$B$56,0),""))</f>
        <v/>
      </c>
    </row>
    <row r="1505" ht="17" customHeight="1">
      <c r="B1505" s="66" t="n"/>
      <c r="C1505" s="60" t="n"/>
      <c r="D1505" s="86" t="n"/>
      <c r="E1505" s="63" t="n"/>
      <c r="F1505" s="60" t="n"/>
      <c r="G1505" s="60" t="n"/>
      <c r="H1505" s="71">
        <f>IF(OR($C1505="",$D1505=""),"",IF(ISNUMBER($E1505),$E1505,IF($O1505="","",IF(N(INDEX('Menu Pricing'!$O$7:$O$56,$O1505))&gt;0,INDEX('Menu Pricing'!$O$7:$O$56,$O1505),""))))</f>
        <v/>
      </c>
      <c r="I1505" s="71">
        <f>IF($N1505&lt;&gt;"OK","",$D1505*$H1505)</f>
        <v/>
      </c>
      <c r="J1505" s="71">
        <f>IF($N1505&lt;&gt;"OK","",N(INDEX('Menu Pricing'!$F$7:$F$56,$O1505))+N(INDEX('Menu Pricing'!$G$7:$G$56,$O1505))+N(INDEX('Menu Pricing'!$J$7:$J$56,$O1505)))</f>
        <v/>
      </c>
      <c r="K1505" s="71">
        <f>IF($N1505&lt;&gt;"OK","",$D1505*$J1505)</f>
        <v/>
      </c>
      <c r="L1505" s="71">
        <f>IF($N1505&lt;&gt;"OK","",$I1505-$K1505)</f>
        <v/>
      </c>
      <c r="M1505" s="71">
        <f>IF($N1505&lt;&gt;"OK","",$D1505*N(INDEX('Menu Pricing'!$F$7:$F$56,$O1505)))</f>
        <v/>
      </c>
      <c r="N1505" s="80">
        <f>IF(AND($B1505="",$C1505="",$D1505=""),"",IF(NOT(ISNUMBER($B1505)),"Enter a valid date",IF($C1505="","Pick a menu item",IF($O1505="","Item not on Menu Pricing",IF(N($D1505)&lt;=0,"Qty must be above 0",IF($H1505="","No price on menu","OK"))))))</f>
        <v/>
      </c>
      <c r="O1505" s="13">
        <f>IF($C1505="","",IFERROR(MATCH($C1505,'Menu Pricing'!$B$7:$B$56,0),""))</f>
        <v/>
      </c>
    </row>
    <row r="1506" ht="17" customHeight="1">
      <c r="B1506" s="66" t="n"/>
      <c r="C1506" s="60" t="n"/>
      <c r="D1506" s="86" t="n"/>
      <c r="E1506" s="63" t="n"/>
      <c r="F1506" s="60" t="n"/>
      <c r="G1506" s="60" t="n"/>
      <c r="H1506" s="71">
        <f>IF(OR($C1506="",$D1506=""),"",IF(ISNUMBER($E1506),$E1506,IF($O1506="","",IF(N(INDEX('Menu Pricing'!$O$7:$O$56,$O1506))&gt;0,INDEX('Menu Pricing'!$O$7:$O$56,$O1506),""))))</f>
        <v/>
      </c>
      <c r="I1506" s="71">
        <f>IF($N1506&lt;&gt;"OK","",$D1506*$H1506)</f>
        <v/>
      </c>
      <c r="J1506" s="71">
        <f>IF($N1506&lt;&gt;"OK","",N(INDEX('Menu Pricing'!$F$7:$F$56,$O1506))+N(INDEX('Menu Pricing'!$G$7:$G$56,$O1506))+N(INDEX('Menu Pricing'!$J$7:$J$56,$O1506)))</f>
        <v/>
      </c>
      <c r="K1506" s="71">
        <f>IF($N1506&lt;&gt;"OK","",$D1506*$J1506)</f>
        <v/>
      </c>
      <c r="L1506" s="71">
        <f>IF($N1506&lt;&gt;"OK","",$I1506-$K1506)</f>
        <v/>
      </c>
      <c r="M1506" s="71">
        <f>IF($N1506&lt;&gt;"OK","",$D1506*N(INDEX('Menu Pricing'!$F$7:$F$56,$O1506)))</f>
        <v/>
      </c>
      <c r="N1506" s="80">
        <f>IF(AND($B1506="",$C1506="",$D1506=""),"",IF(NOT(ISNUMBER($B1506)),"Enter a valid date",IF($C1506="","Pick a menu item",IF($O1506="","Item not on Menu Pricing",IF(N($D1506)&lt;=0,"Qty must be above 0",IF($H1506="","No price on menu","OK"))))))</f>
        <v/>
      </c>
      <c r="O1506" s="13">
        <f>IF($C1506="","",IFERROR(MATCH($C1506,'Menu Pricing'!$B$7:$B$56,0),""))</f>
        <v/>
      </c>
    </row>
    <row r="1507" ht="17" customHeight="1">
      <c r="B1507" s="66" t="n"/>
      <c r="C1507" s="60" t="n"/>
      <c r="D1507" s="86" t="n"/>
      <c r="E1507" s="63" t="n"/>
      <c r="F1507" s="60" t="n"/>
      <c r="G1507" s="60" t="n"/>
      <c r="H1507" s="71">
        <f>IF(OR($C1507="",$D1507=""),"",IF(ISNUMBER($E1507),$E1507,IF($O1507="","",IF(N(INDEX('Menu Pricing'!$O$7:$O$56,$O1507))&gt;0,INDEX('Menu Pricing'!$O$7:$O$56,$O1507),""))))</f>
        <v/>
      </c>
      <c r="I1507" s="71">
        <f>IF($N1507&lt;&gt;"OK","",$D1507*$H1507)</f>
        <v/>
      </c>
      <c r="J1507" s="71">
        <f>IF($N1507&lt;&gt;"OK","",N(INDEX('Menu Pricing'!$F$7:$F$56,$O1507))+N(INDEX('Menu Pricing'!$G$7:$G$56,$O1507))+N(INDEX('Menu Pricing'!$J$7:$J$56,$O1507)))</f>
        <v/>
      </c>
      <c r="K1507" s="71">
        <f>IF($N1507&lt;&gt;"OK","",$D1507*$J1507)</f>
        <v/>
      </c>
      <c r="L1507" s="71">
        <f>IF($N1507&lt;&gt;"OK","",$I1507-$K1507)</f>
        <v/>
      </c>
      <c r="M1507" s="71">
        <f>IF($N1507&lt;&gt;"OK","",$D1507*N(INDEX('Menu Pricing'!$F$7:$F$56,$O1507)))</f>
        <v/>
      </c>
      <c r="N1507" s="80">
        <f>IF(AND($B1507="",$C1507="",$D1507=""),"",IF(NOT(ISNUMBER($B1507)),"Enter a valid date",IF($C1507="","Pick a menu item",IF($O1507="","Item not on Menu Pricing",IF(N($D1507)&lt;=0,"Qty must be above 0",IF($H1507="","No price on menu","OK"))))))</f>
        <v/>
      </c>
      <c r="O1507" s="13">
        <f>IF($C1507="","",IFERROR(MATCH($C1507,'Menu Pricing'!$B$7:$B$56,0),""))</f>
        <v/>
      </c>
    </row>
    <row r="1508" ht="17" customHeight="1">
      <c r="B1508" s="66" t="n"/>
      <c r="C1508" s="60" t="n"/>
      <c r="D1508" s="86" t="n"/>
      <c r="E1508" s="63" t="n"/>
      <c r="F1508" s="60" t="n"/>
      <c r="G1508" s="60" t="n"/>
      <c r="H1508" s="71">
        <f>IF(OR($C1508="",$D1508=""),"",IF(ISNUMBER($E1508),$E1508,IF($O1508="","",IF(N(INDEX('Menu Pricing'!$O$7:$O$56,$O1508))&gt;0,INDEX('Menu Pricing'!$O$7:$O$56,$O1508),""))))</f>
        <v/>
      </c>
      <c r="I1508" s="71">
        <f>IF($N1508&lt;&gt;"OK","",$D1508*$H1508)</f>
        <v/>
      </c>
      <c r="J1508" s="71">
        <f>IF($N1508&lt;&gt;"OK","",N(INDEX('Menu Pricing'!$F$7:$F$56,$O1508))+N(INDEX('Menu Pricing'!$G$7:$G$56,$O1508))+N(INDEX('Menu Pricing'!$J$7:$J$56,$O1508)))</f>
        <v/>
      </c>
      <c r="K1508" s="71">
        <f>IF($N1508&lt;&gt;"OK","",$D1508*$J1508)</f>
        <v/>
      </c>
      <c r="L1508" s="71">
        <f>IF($N1508&lt;&gt;"OK","",$I1508-$K1508)</f>
        <v/>
      </c>
      <c r="M1508" s="71">
        <f>IF($N1508&lt;&gt;"OK","",$D1508*N(INDEX('Menu Pricing'!$F$7:$F$56,$O1508)))</f>
        <v/>
      </c>
      <c r="N1508" s="80">
        <f>IF(AND($B1508="",$C1508="",$D1508=""),"",IF(NOT(ISNUMBER($B1508)),"Enter a valid date",IF($C1508="","Pick a menu item",IF($O1508="","Item not on Menu Pricing",IF(N($D1508)&lt;=0,"Qty must be above 0",IF($H1508="","No price on menu","OK"))))))</f>
        <v/>
      </c>
      <c r="O1508" s="13">
        <f>IF($C1508="","",IFERROR(MATCH($C1508,'Menu Pricing'!$B$7:$B$56,0),""))</f>
        <v/>
      </c>
    </row>
    <row r="1509" ht="17" customHeight="1">
      <c r="B1509" s="66" t="n"/>
      <c r="C1509" s="60" t="n"/>
      <c r="D1509" s="86" t="n"/>
      <c r="E1509" s="63" t="n"/>
      <c r="F1509" s="60" t="n"/>
      <c r="G1509" s="60" t="n"/>
      <c r="H1509" s="71">
        <f>IF(OR($C1509="",$D1509=""),"",IF(ISNUMBER($E1509),$E1509,IF($O1509="","",IF(N(INDEX('Menu Pricing'!$O$7:$O$56,$O1509))&gt;0,INDEX('Menu Pricing'!$O$7:$O$56,$O1509),""))))</f>
        <v/>
      </c>
      <c r="I1509" s="71">
        <f>IF($N1509&lt;&gt;"OK","",$D1509*$H1509)</f>
        <v/>
      </c>
      <c r="J1509" s="71">
        <f>IF($N1509&lt;&gt;"OK","",N(INDEX('Menu Pricing'!$F$7:$F$56,$O1509))+N(INDEX('Menu Pricing'!$G$7:$G$56,$O1509))+N(INDEX('Menu Pricing'!$J$7:$J$56,$O1509)))</f>
        <v/>
      </c>
      <c r="K1509" s="71">
        <f>IF($N1509&lt;&gt;"OK","",$D1509*$J1509)</f>
        <v/>
      </c>
      <c r="L1509" s="71">
        <f>IF($N1509&lt;&gt;"OK","",$I1509-$K1509)</f>
        <v/>
      </c>
      <c r="M1509" s="71">
        <f>IF($N1509&lt;&gt;"OK","",$D1509*N(INDEX('Menu Pricing'!$F$7:$F$56,$O1509)))</f>
        <v/>
      </c>
      <c r="N1509" s="80">
        <f>IF(AND($B1509="",$C1509="",$D1509=""),"",IF(NOT(ISNUMBER($B1509)),"Enter a valid date",IF($C1509="","Pick a menu item",IF($O1509="","Item not on Menu Pricing",IF(N($D1509)&lt;=0,"Qty must be above 0",IF($H1509="","No price on menu","OK"))))))</f>
        <v/>
      </c>
      <c r="O1509" s="13">
        <f>IF($C1509="","",IFERROR(MATCH($C1509,'Menu Pricing'!$B$7:$B$56,0),""))</f>
        <v/>
      </c>
    </row>
    <row r="1510" ht="17" customHeight="1">
      <c r="B1510" s="66" t="n"/>
      <c r="C1510" s="60" t="n"/>
      <c r="D1510" s="86" t="n"/>
      <c r="E1510" s="63" t="n"/>
      <c r="F1510" s="60" t="n"/>
      <c r="G1510" s="60" t="n"/>
      <c r="H1510" s="71">
        <f>IF(OR($C1510="",$D1510=""),"",IF(ISNUMBER($E1510),$E1510,IF($O1510="","",IF(N(INDEX('Menu Pricing'!$O$7:$O$56,$O1510))&gt;0,INDEX('Menu Pricing'!$O$7:$O$56,$O1510),""))))</f>
        <v/>
      </c>
      <c r="I1510" s="71">
        <f>IF($N1510&lt;&gt;"OK","",$D1510*$H1510)</f>
        <v/>
      </c>
      <c r="J1510" s="71">
        <f>IF($N1510&lt;&gt;"OK","",N(INDEX('Menu Pricing'!$F$7:$F$56,$O1510))+N(INDEX('Menu Pricing'!$G$7:$G$56,$O1510))+N(INDEX('Menu Pricing'!$J$7:$J$56,$O1510)))</f>
        <v/>
      </c>
      <c r="K1510" s="71">
        <f>IF($N1510&lt;&gt;"OK","",$D1510*$J1510)</f>
        <v/>
      </c>
      <c r="L1510" s="71">
        <f>IF($N1510&lt;&gt;"OK","",$I1510-$K1510)</f>
        <v/>
      </c>
      <c r="M1510" s="71">
        <f>IF($N1510&lt;&gt;"OK","",$D1510*N(INDEX('Menu Pricing'!$F$7:$F$56,$O1510)))</f>
        <v/>
      </c>
      <c r="N1510" s="80">
        <f>IF(AND($B1510="",$C1510="",$D1510=""),"",IF(NOT(ISNUMBER($B1510)),"Enter a valid date",IF($C1510="","Pick a menu item",IF($O1510="","Item not on Menu Pricing",IF(N($D1510)&lt;=0,"Qty must be above 0",IF($H1510="","No price on menu","OK"))))))</f>
        <v/>
      </c>
      <c r="O1510" s="13">
        <f>IF($C1510="","",IFERROR(MATCH($C1510,'Menu Pricing'!$B$7:$B$56,0),""))</f>
        <v/>
      </c>
    </row>
    <row r="1511" ht="17" customHeight="1">
      <c r="B1511" s="66" t="n"/>
      <c r="C1511" s="60" t="n"/>
      <c r="D1511" s="86" t="n"/>
      <c r="E1511" s="63" t="n"/>
      <c r="F1511" s="60" t="n"/>
      <c r="G1511" s="60" t="n"/>
      <c r="H1511" s="71">
        <f>IF(OR($C1511="",$D1511=""),"",IF(ISNUMBER($E1511),$E1511,IF($O1511="","",IF(N(INDEX('Menu Pricing'!$O$7:$O$56,$O1511))&gt;0,INDEX('Menu Pricing'!$O$7:$O$56,$O1511),""))))</f>
        <v/>
      </c>
      <c r="I1511" s="71">
        <f>IF($N1511&lt;&gt;"OK","",$D1511*$H1511)</f>
        <v/>
      </c>
      <c r="J1511" s="71">
        <f>IF($N1511&lt;&gt;"OK","",N(INDEX('Menu Pricing'!$F$7:$F$56,$O1511))+N(INDEX('Menu Pricing'!$G$7:$G$56,$O1511))+N(INDEX('Menu Pricing'!$J$7:$J$56,$O1511)))</f>
        <v/>
      </c>
      <c r="K1511" s="71">
        <f>IF($N1511&lt;&gt;"OK","",$D1511*$J1511)</f>
        <v/>
      </c>
      <c r="L1511" s="71">
        <f>IF($N1511&lt;&gt;"OK","",$I1511-$K1511)</f>
        <v/>
      </c>
      <c r="M1511" s="71">
        <f>IF($N1511&lt;&gt;"OK","",$D1511*N(INDEX('Menu Pricing'!$F$7:$F$56,$O1511)))</f>
        <v/>
      </c>
      <c r="N1511" s="80">
        <f>IF(AND($B1511="",$C1511="",$D1511=""),"",IF(NOT(ISNUMBER($B1511)),"Enter a valid date",IF($C1511="","Pick a menu item",IF($O1511="","Item not on Menu Pricing",IF(N($D1511)&lt;=0,"Qty must be above 0",IF($H1511="","No price on menu","OK"))))))</f>
        <v/>
      </c>
      <c r="O1511" s="13">
        <f>IF($C1511="","",IFERROR(MATCH($C1511,'Menu Pricing'!$B$7:$B$56,0),""))</f>
        <v/>
      </c>
    </row>
    <row r="1512" ht="17" customHeight="1">
      <c r="B1512" s="66" t="n"/>
      <c r="C1512" s="60" t="n"/>
      <c r="D1512" s="86" t="n"/>
      <c r="E1512" s="63" t="n"/>
      <c r="F1512" s="60" t="n"/>
      <c r="G1512" s="60" t="n"/>
      <c r="H1512" s="71">
        <f>IF(OR($C1512="",$D1512=""),"",IF(ISNUMBER($E1512),$E1512,IF($O1512="","",IF(N(INDEX('Menu Pricing'!$O$7:$O$56,$O1512))&gt;0,INDEX('Menu Pricing'!$O$7:$O$56,$O1512),""))))</f>
        <v/>
      </c>
      <c r="I1512" s="71">
        <f>IF($N1512&lt;&gt;"OK","",$D1512*$H1512)</f>
        <v/>
      </c>
      <c r="J1512" s="71">
        <f>IF($N1512&lt;&gt;"OK","",N(INDEX('Menu Pricing'!$F$7:$F$56,$O1512))+N(INDEX('Menu Pricing'!$G$7:$G$56,$O1512))+N(INDEX('Menu Pricing'!$J$7:$J$56,$O1512)))</f>
        <v/>
      </c>
      <c r="K1512" s="71">
        <f>IF($N1512&lt;&gt;"OK","",$D1512*$J1512)</f>
        <v/>
      </c>
      <c r="L1512" s="71">
        <f>IF($N1512&lt;&gt;"OK","",$I1512-$K1512)</f>
        <v/>
      </c>
      <c r="M1512" s="71">
        <f>IF($N1512&lt;&gt;"OK","",$D1512*N(INDEX('Menu Pricing'!$F$7:$F$56,$O1512)))</f>
        <v/>
      </c>
      <c r="N1512" s="80">
        <f>IF(AND($B1512="",$C1512="",$D1512=""),"",IF(NOT(ISNUMBER($B1512)),"Enter a valid date",IF($C1512="","Pick a menu item",IF($O1512="","Item not on Menu Pricing",IF(N($D1512)&lt;=0,"Qty must be above 0",IF($H1512="","No price on menu","OK"))))))</f>
        <v/>
      </c>
      <c r="O1512" s="13">
        <f>IF($C1512="","",IFERROR(MATCH($C1512,'Menu Pricing'!$B$7:$B$56,0),""))</f>
        <v/>
      </c>
    </row>
    <row r="1513" ht="17" customHeight="1">
      <c r="B1513" s="66" t="n"/>
      <c r="C1513" s="60" t="n"/>
      <c r="D1513" s="86" t="n"/>
      <c r="E1513" s="63" t="n"/>
      <c r="F1513" s="60" t="n"/>
      <c r="G1513" s="60" t="n"/>
      <c r="H1513" s="71">
        <f>IF(OR($C1513="",$D1513=""),"",IF(ISNUMBER($E1513),$E1513,IF($O1513="","",IF(N(INDEX('Menu Pricing'!$O$7:$O$56,$O1513))&gt;0,INDEX('Menu Pricing'!$O$7:$O$56,$O1513),""))))</f>
        <v/>
      </c>
      <c r="I1513" s="71">
        <f>IF($N1513&lt;&gt;"OK","",$D1513*$H1513)</f>
        <v/>
      </c>
      <c r="J1513" s="71">
        <f>IF($N1513&lt;&gt;"OK","",N(INDEX('Menu Pricing'!$F$7:$F$56,$O1513))+N(INDEX('Menu Pricing'!$G$7:$G$56,$O1513))+N(INDEX('Menu Pricing'!$J$7:$J$56,$O1513)))</f>
        <v/>
      </c>
      <c r="K1513" s="71">
        <f>IF($N1513&lt;&gt;"OK","",$D1513*$J1513)</f>
        <v/>
      </c>
      <c r="L1513" s="71">
        <f>IF($N1513&lt;&gt;"OK","",$I1513-$K1513)</f>
        <v/>
      </c>
      <c r="M1513" s="71">
        <f>IF($N1513&lt;&gt;"OK","",$D1513*N(INDEX('Menu Pricing'!$F$7:$F$56,$O1513)))</f>
        <v/>
      </c>
      <c r="N1513" s="80">
        <f>IF(AND($B1513="",$C1513="",$D1513=""),"",IF(NOT(ISNUMBER($B1513)),"Enter a valid date",IF($C1513="","Pick a menu item",IF($O1513="","Item not on Menu Pricing",IF(N($D1513)&lt;=0,"Qty must be above 0",IF($H1513="","No price on menu","OK"))))))</f>
        <v/>
      </c>
      <c r="O1513" s="13">
        <f>IF($C1513="","",IFERROR(MATCH($C1513,'Menu Pricing'!$B$7:$B$56,0),""))</f>
        <v/>
      </c>
    </row>
    <row r="1514" ht="17" customHeight="1">
      <c r="B1514" s="66" t="n"/>
      <c r="C1514" s="60" t="n"/>
      <c r="D1514" s="86" t="n"/>
      <c r="E1514" s="63" t="n"/>
      <c r="F1514" s="60" t="n"/>
      <c r="G1514" s="60" t="n"/>
      <c r="H1514" s="71">
        <f>IF(OR($C1514="",$D1514=""),"",IF(ISNUMBER($E1514),$E1514,IF($O1514="","",IF(N(INDEX('Menu Pricing'!$O$7:$O$56,$O1514))&gt;0,INDEX('Menu Pricing'!$O$7:$O$56,$O1514),""))))</f>
        <v/>
      </c>
      <c r="I1514" s="71">
        <f>IF($N1514&lt;&gt;"OK","",$D1514*$H1514)</f>
        <v/>
      </c>
      <c r="J1514" s="71">
        <f>IF($N1514&lt;&gt;"OK","",N(INDEX('Menu Pricing'!$F$7:$F$56,$O1514))+N(INDEX('Menu Pricing'!$G$7:$G$56,$O1514))+N(INDEX('Menu Pricing'!$J$7:$J$56,$O1514)))</f>
        <v/>
      </c>
      <c r="K1514" s="71">
        <f>IF($N1514&lt;&gt;"OK","",$D1514*$J1514)</f>
        <v/>
      </c>
      <c r="L1514" s="71">
        <f>IF($N1514&lt;&gt;"OK","",$I1514-$K1514)</f>
        <v/>
      </c>
      <c r="M1514" s="71">
        <f>IF($N1514&lt;&gt;"OK","",$D1514*N(INDEX('Menu Pricing'!$F$7:$F$56,$O1514)))</f>
        <v/>
      </c>
      <c r="N1514" s="80">
        <f>IF(AND($B1514="",$C1514="",$D1514=""),"",IF(NOT(ISNUMBER($B1514)),"Enter a valid date",IF($C1514="","Pick a menu item",IF($O1514="","Item not on Menu Pricing",IF(N($D1514)&lt;=0,"Qty must be above 0",IF($H1514="","No price on menu","OK"))))))</f>
        <v/>
      </c>
      <c r="O1514" s="13">
        <f>IF($C1514="","",IFERROR(MATCH($C1514,'Menu Pricing'!$B$7:$B$56,0),""))</f>
        <v/>
      </c>
    </row>
    <row r="1515" ht="17" customHeight="1">
      <c r="B1515" s="66" t="n"/>
      <c r="C1515" s="60" t="n"/>
      <c r="D1515" s="86" t="n"/>
      <c r="E1515" s="63" t="n"/>
      <c r="F1515" s="60" t="n"/>
      <c r="G1515" s="60" t="n"/>
      <c r="H1515" s="71">
        <f>IF(OR($C1515="",$D1515=""),"",IF(ISNUMBER($E1515),$E1515,IF($O1515="","",IF(N(INDEX('Menu Pricing'!$O$7:$O$56,$O1515))&gt;0,INDEX('Menu Pricing'!$O$7:$O$56,$O1515),""))))</f>
        <v/>
      </c>
      <c r="I1515" s="71">
        <f>IF($N1515&lt;&gt;"OK","",$D1515*$H1515)</f>
        <v/>
      </c>
      <c r="J1515" s="71">
        <f>IF($N1515&lt;&gt;"OK","",N(INDEX('Menu Pricing'!$F$7:$F$56,$O1515))+N(INDEX('Menu Pricing'!$G$7:$G$56,$O1515))+N(INDEX('Menu Pricing'!$J$7:$J$56,$O1515)))</f>
        <v/>
      </c>
      <c r="K1515" s="71">
        <f>IF($N1515&lt;&gt;"OK","",$D1515*$J1515)</f>
        <v/>
      </c>
      <c r="L1515" s="71">
        <f>IF($N1515&lt;&gt;"OK","",$I1515-$K1515)</f>
        <v/>
      </c>
      <c r="M1515" s="71">
        <f>IF($N1515&lt;&gt;"OK","",$D1515*N(INDEX('Menu Pricing'!$F$7:$F$56,$O1515)))</f>
        <v/>
      </c>
      <c r="N1515" s="80">
        <f>IF(AND($B1515="",$C1515="",$D1515=""),"",IF(NOT(ISNUMBER($B1515)),"Enter a valid date",IF($C1515="","Pick a menu item",IF($O1515="","Item not on Menu Pricing",IF(N($D1515)&lt;=0,"Qty must be above 0",IF($H1515="","No price on menu","OK"))))))</f>
        <v/>
      </c>
      <c r="O1515" s="13">
        <f>IF($C1515="","",IFERROR(MATCH($C1515,'Menu Pricing'!$B$7:$B$56,0),""))</f>
        <v/>
      </c>
    </row>
    <row r="1516" ht="17" customHeight="1">
      <c r="B1516" s="66" t="n"/>
      <c r="C1516" s="60" t="n"/>
      <c r="D1516" s="86" t="n"/>
      <c r="E1516" s="63" t="n"/>
      <c r="F1516" s="60" t="n"/>
      <c r="G1516" s="60" t="n"/>
      <c r="H1516" s="71">
        <f>IF(OR($C1516="",$D1516=""),"",IF(ISNUMBER($E1516),$E1516,IF($O1516="","",IF(N(INDEX('Menu Pricing'!$O$7:$O$56,$O1516))&gt;0,INDEX('Menu Pricing'!$O$7:$O$56,$O1516),""))))</f>
        <v/>
      </c>
      <c r="I1516" s="71">
        <f>IF($N1516&lt;&gt;"OK","",$D1516*$H1516)</f>
        <v/>
      </c>
      <c r="J1516" s="71">
        <f>IF($N1516&lt;&gt;"OK","",N(INDEX('Menu Pricing'!$F$7:$F$56,$O1516))+N(INDEX('Menu Pricing'!$G$7:$G$56,$O1516))+N(INDEX('Menu Pricing'!$J$7:$J$56,$O1516)))</f>
        <v/>
      </c>
      <c r="K1516" s="71">
        <f>IF($N1516&lt;&gt;"OK","",$D1516*$J1516)</f>
        <v/>
      </c>
      <c r="L1516" s="71">
        <f>IF($N1516&lt;&gt;"OK","",$I1516-$K1516)</f>
        <v/>
      </c>
      <c r="M1516" s="71">
        <f>IF($N1516&lt;&gt;"OK","",$D1516*N(INDEX('Menu Pricing'!$F$7:$F$56,$O1516)))</f>
        <v/>
      </c>
      <c r="N1516" s="80">
        <f>IF(AND($B1516="",$C1516="",$D1516=""),"",IF(NOT(ISNUMBER($B1516)),"Enter a valid date",IF($C1516="","Pick a menu item",IF($O1516="","Item not on Menu Pricing",IF(N($D1516)&lt;=0,"Qty must be above 0",IF($H1516="","No price on menu","OK"))))))</f>
        <v/>
      </c>
      <c r="O1516" s="13">
        <f>IF($C1516="","",IFERROR(MATCH($C1516,'Menu Pricing'!$B$7:$B$56,0),""))</f>
        <v/>
      </c>
    </row>
    <row r="1517" ht="17" customHeight="1">
      <c r="B1517" s="66" t="n"/>
      <c r="C1517" s="60" t="n"/>
      <c r="D1517" s="86" t="n"/>
      <c r="E1517" s="63" t="n"/>
      <c r="F1517" s="60" t="n"/>
      <c r="G1517" s="60" t="n"/>
      <c r="H1517" s="71">
        <f>IF(OR($C1517="",$D1517=""),"",IF(ISNUMBER($E1517),$E1517,IF($O1517="","",IF(N(INDEX('Menu Pricing'!$O$7:$O$56,$O1517))&gt;0,INDEX('Menu Pricing'!$O$7:$O$56,$O1517),""))))</f>
        <v/>
      </c>
      <c r="I1517" s="71">
        <f>IF($N1517&lt;&gt;"OK","",$D1517*$H1517)</f>
        <v/>
      </c>
      <c r="J1517" s="71">
        <f>IF($N1517&lt;&gt;"OK","",N(INDEX('Menu Pricing'!$F$7:$F$56,$O1517))+N(INDEX('Menu Pricing'!$G$7:$G$56,$O1517))+N(INDEX('Menu Pricing'!$J$7:$J$56,$O1517)))</f>
        <v/>
      </c>
      <c r="K1517" s="71">
        <f>IF($N1517&lt;&gt;"OK","",$D1517*$J1517)</f>
        <v/>
      </c>
      <c r="L1517" s="71">
        <f>IF($N1517&lt;&gt;"OK","",$I1517-$K1517)</f>
        <v/>
      </c>
      <c r="M1517" s="71">
        <f>IF($N1517&lt;&gt;"OK","",$D1517*N(INDEX('Menu Pricing'!$F$7:$F$56,$O1517)))</f>
        <v/>
      </c>
      <c r="N1517" s="80">
        <f>IF(AND($B1517="",$C1517="",$D1517=""),"",IF(NOT(ISNUMBER($B1517)),"Enter a valid date",IF($C1517="","Pick a menu item",IF($O1517="","Item not on Menu Pricing",IF(N($D1517)&lt;=0,"Qty must be above 0",IF($H1517="","No price on menu","OK"))))))</f>
        <v/>
      </c>
      <c r="O1517" s="13">
        <f>IF($C1517="","",IFERROR(MATCH($C1517,'Menu Pricing'!$B$7:$B$56,0),""))</f>
        <v/>
      </c>
    </row>
    <row r="1518" ht="17" customHeight="1">
      <c r="B1518" s="66" t="n"/>
      <c r="C1518" s="60" t="n"/>
      <c r="D1518" s="86" t="n"/>
      <c r="E1518" s="63" t="n"/>
      <c r="F1518" s="60" t="n"/>
      <c r="G1518" s="60" t="n"/>
      <c r="H1518" s="71">
        <f>IF(OR($C1518="",$D1518=""),"",IF(ISNUMBER($E1518),$E1518,IF($O1518="","",IF(N(INDEX('Menu Pricing'!$O$7:$O$56,$O1518))&gt;0,INDEX('Menu Pricing'!$O$7:$O$56,$O1518),""))))</f>
        <v/>
      </c>
      <c r="I1518" s="71">
        <f>IF($N1518&lt;&gt;"OK","",$D1518*$H1518)</f>
        <v/>
      </c>
      <c r="J1518" s="71">
        <f>IF($N1518&lt;&gt;"OK","",N(INDEX('Menu Pricing'!$F$7:$F$56,$O1518))+N(INDEX('Menu Pricing'!$G$7:$G$56,$O1518))+N(INDEX('Menu Pricing'!$J$7:$J$56,$O1518)))</f>
        <v/>
      </c>
      <c r="K1518" s="71">
        <f>IF($N1518&lt;&gt;"OK","",$D1518*$J1518)</f>
        <v/>
      </c>
      <c r="L1518" s="71">
        <f>IF($N1518&lt;&gt;"OK","",$I1518-$K1518)</f>
        <v/>
      </c>
      <c r="M1518" s="71">
        <f>IF($N1518&lt;&gt;"OK","",$D1518*N(INDEX('Menu Pricing'!$F$7:$F$56,$O1518)))</f>
        <v/>
      </c>
      <c r="N1518" s="80">
        <f>IF(AND($B1518="",$C1518="",$D1518=""),"",IF(NOT(ISNUMBER($B1518)),"Enter a valid date",IF($C1518="","Pick a menu item",IF($O1518="","Item not on Menu Pricing",IF(N($D1518)&lt;=0,"Qty must be above 0",IF($H1518="","No price on menu","OK"))))))</f>
        <v/>
      </c>
      <c r="O1518" s="13">
        <f>IF($C1518="","",IFERROR(MATCH($C1518,'Menu Pricing'!$B$7:$B$56,0),""))</f>
        <v/>
      </c>
    </row>
    <row r="1519" ht="17" customHeight="1">
      <c r="B1519" s="66" t="n"/>
      <c r="C1519" s="60" t="n"/>
      <c r="D1519" s="86" t="n"/>
      <c r="E1519" s="63" t="n"/>
      <c r="F1519" s="60" t="n"/>
      <c r="G1519" s="60" t="n"/>
      <c r="H1519" s="71">
        <f>IF(OR($C1519="",$D1519=""),"",IF(ISNUMBER($E1519),$E1519,IF($O1519="","",IF(N(INDEX('Menu Pricing'!$O$7:$O$56,$O1519))&gt;0,INDEX('Menu Pricing'!$O$7:$O$56,$O1519),""))))</f>
        <v/>
      </c>
      <c r="I1519" s="71">
        <f>IF($N1519&lt;&gt;"OK","",$D1519*$H1519)</f>
        <v/>
      </c>
      <c r="J1519" s="71">
        <f>IF($N1519&lt;&gt;"OK","",N(INDEX('Menu Pricing'!$F$7:$F$56,$O1519))+N(INDEX('Menu Pricing'!$G$7:$G$56,$O1519))+N(INDEX('Menu Pricing'!$J$7:$J$56,$O1519)))</f>
        <v/>
      </c>
      <c r="K1519" s="71">
        <f>IF($N1519&lt;&gt;"OK","",$D1519*$J1519)</f>
        <v/>
      </c>
      <c r="L1519" s="71">
        <f>IF($N1519&lt;&gt;"OK","",$I1519-$K1519)</f>
        <v/>
      </c>
      <c r="M1519" s="71">
        <f>IF($N1519&lt;&gt;"OK","",$D1519*N(INDEX('Menu Pricing'!$F$7:$F$56,$O1519)))</f>
        <v/>
      </c>
      <c r="N1519" s="80">
        <f>IF(AND($B1519="",$C1519="",$D1519=""),"",IF(NOT(ISNUMBER($B1519)),"Enter a valid date",IF($C1519="","Pick a menu item",IF($O1519="","Item not on Menu Pricing",IF(N($D1519)&lt;=0,"Qty must be above 0",IF($H1519="","No price on menu","OK"))))))</f>
        <v/>
      </c>
      <c r="O1519" s="13">
        <f>IF($C1519="","",IFERROR(MATCH($C1519,'Menu Pricing'!$B$7:$B$56,0),""))</f>
        <v/>
      </c>
    </row>
    <row r="1520" ht="17" customHeight="1">
      <c r="B1520" s="66" t="n"/>
      <c r="C1520" s="60" t="n"/>
      <c r="D1520" s="86" t="n"/>
      <c r="E1520" s="63" t="n"/>
      <c r="F1520" s="60" t="n"/>
      <c r="G1520" s="60" t="n"/>
      <c r="H1520" s="71">
        <f>IF(OR($C1520="",$D1520=""),"",IF(ISNUMBER($E1520),$E1520,IF($O1520="","",IF(N(INDEX('Menu Pricing'!$O$7:$O$56,$O1520))&gt;0,INDEX('Menu Pricing'!$O$7:$O$56,$O1520),""))))</f>
        <v/>
      </c>
      <c r="I1520" s="71">
        <f>IF($N1520&lt;&gt;"OK","",$D1520*$H1520)</f>
        <v/>
      </c>
      <c r="J1520" s="71">
        <f>IF($N1520&lt;&gt;"OK","",N(INDEX('Menu Pricing'!$F$7:$F$56,$O1520))+N(INDEX('Menu Pricing'!$G$7:$G$56,$O1520))+N(INDEX('Menu Pricing'!$J$7:$J$56,$O1520)))</f>
        <v/>
      </c>
      <c r="K1520" s="71">
        <f>IF($N1520&lt;&gt;"OK","",$D1520*$J1520)</f>
        <v/>
      </c>
      <c r="L1520" s="71">
        <f>IF($N1520&lt;&gt;"OK","",$I1520-$K1520)</f>
        <v/>
      </c>
      <c r="M1520" s="71">
        <f>IF($N1520&lt;&gt;"OK","",$D1520*N(INDEX('Menu Pricing'!$F$7:$F$56,$O1520)))</f>
        <v/>
      </c>
      <c r="N1520" s="80">
        <f>IF(AND($B1520="",$C1520="",$D1520=""),"",IF(NOT(ISNUMBER($B1520)),"Enter a valid date",IF($C1520="","Pick a menu item",IF($O1520="","Item not on Menu Pricing",IF(N($D1520)&lt;=0,"Qty must be above 0",IF($H1520="","No price on menu","OK"))))))</f>
        <v/>
      </c>
      <c r="O1520" s="13">
        <f>IF($C1520="","",IFERROR(MATCH($C1520,'Menu Pricing'!$B$7:$B$56,0),""))</f>
        <v/>
      </c>
    </row>
    <row r="1521" ht="17" customHeight="1">
      <c r="B1521" s="66" t="n"/>
      <c r="C1521" s="60" t="n"/>
      <c r="D1521" s="86" t="n"/>
      <c r="E1521" s="63" t="n"/>
      <c r="F1521" s="60" t="n"/>
      <c r="G1521" s="60" t="n"/>
      <c r="H1521" s="71">
        <f>IF(OR($C1521="",$D1521=""),"",IF(ISNUMBER($E1521),$E1521,IF($O1521="","",IF(N(INDEX('Menu Pricing'!$O$7:$O$56,$O1521))&gt;0,INDEX('Menu Pricing'!$O$7:$O$56,$O1521),""))))</f>
        <v/>
      </c>
      <c r="I1521" s="71">
        <f>IF($N1521&lt;&gt;"OK","",$D1521*$H1521)</f>
        <v/>
      </c>
      <c r="J1521" s="71">
        <f>IF($N1521&lt;&gt;"OK","",N(INDEX('Menu Pricing'!$F$7:$F$56,$O1521))+N(INDEX('Menu Pricing'!$G$7:$G$56,$O1521))+N(INDEX('Menu Pricing'!$J$7:$J$56,$O1521)))</f>
        <v/>
      </c>
      <c r="K1521" s="71">
        <f>IF($N1521&lt;&gt;"OK","",$D1521*$J1521)</f>
        <v/>
      </c>
      <c r="L1521" s="71">
        <f>IF($N1521&lt;&gt;"OK","",$I1521-$K1521)</f>
        <v/>
      </c>
      <c r="M1521" s="71">
        <f>IF($N1521&lt;&gt;"OK","",$D1521*N(INDEX('Menu Pricing'!$F$7:$F$56,$O1521)))</f>
        <v/>
      </c>
      <c r="N1521" s="80">
        <f>IF(AND($B1521="",$C1521="",$D1521=""),"",IF(NOT(ISNUMBER($B1521)),"Enter a valid date",IF($C1521="","Pick a menu item",IF($O1521="","Item not on Menu Pricing",IF(N($D1521)&lt;=0,"Qty must be above 0",IF($H1521="","No price on menu","OK"))))))</f>
        <v/>
      </c>
      <c r="O1521" s="13">
        <f>IF($C1521="","",IFERROR(MATCH($C1521,'Menu Pricing'!$B$7:$B$56,0),""))</f>
        <v/>
      </c>
    </row>
    <row r="1522" ht="17" customHeight="1">
      <c r="B1522" s="66" t="n"/>
      <c r="C1522" s="60" t="n"/>
      <c r="D1522" s="86" t="n"/>
      <c r="E1522" s="63" t="n"/>
      <c r="F1522" s="60" t="n"/>
      <c r="G1522" s="60" t="n"/>
      <c r="H1522" s="71">
        <f>IF(OR($C1522="",$D1522=""),"",IF(ISNUMBER($E1522),$E1522,IF($O1522="","",IF(N(INDEX('Menu Pricing'!$O$7:$O$56,$O1522))&gt;0,INDEX('Menu Pricing'!$O$7:$O$56,$O1522),""))))</f>
        <v/>
      </c>
      <c r="I1522" s="71">
        <f>IF($N1522&lt;&gt;"OK","",$D1522*$H1522)</f>
        <v/>
      </c>
      <c r="J1522" s="71">
        <f>IF($N1522&lt;&gt;"OK","",N(INDEX('Menu Pricing'!$F$7:$F$56,$O1522))+N(INDEX('Menu Pricing'!$G$7:$G$56,$O1522))+N(INDEX('Menu Pricing'!$J$7:$J$56,$O1522)))</f>
        <v/>
      </c>
      <c r="K1522" s="71">
        <f>IF($N1522&lt;&gt;"OK","",$D1522*$J1522)</f>
        <v/>
      </c>
      <c r="L1522" s="71">
        <f>IF($N1522&lt;&gt;"OK","",$I1522-$K1522)</f>
        <v/>
      </c>
      <c r="M1522" s="71">
        <f>IF($N1522&lt;&gt;"OK","",$D1522*N(INDEX('Menu Pricing'!$F$7:$F$56,$O1522)))</f>
        <v/>
      </c>
      <c r="N1522" s="80">
        <f>IF(AND($B1522="",$C1522="",$D1522=""),"",IF(NOT(ISNUMBER($B1522)),"Enter a valid date",IF($C1522="","Pick a menu item",IF($O1522="","Item not on Menu Pricing",IF(N($D1522)&lt;=0,"Qty must be above 0",IF($H1522="","No price on menu","OK"))))))</f>
        <v/>
      </c>
      <c r="O1522" s="13">
        <f>IF($C1522="","",IFERROR(MATCH($C1522,'Menu Pricing'!$B$7:$B$56,0),""))</f>
        <v/>
      </c>
    </row>
    <row r="1523" ht="17" customHeight="1">
      <c r="B1523" s="66" t="n"/>
      <c r="C1523" s="60" t="n"/>
      <c r="D1523" s="86" t="n"/>
      <c r="E1523" s="63" t="n"/>
      <c r="F1523" s="60" t="n"/>
      <c r="G1523" s="60" t="n"/>
      <c r="H1523" s="71">
        <f>IF(OR($C1523="",$D1523=""),"",IF(ISNUMBER($E1523),$E1523,IF($O1523="","",IF(N(INDEX('Menu Pricing'!$O$7:$O$56,$O1523))&gt;0,INDEX('Menu Pricing'!$O$7:$O$56,$O1523),""))))</f>
        <v/>
      </c>
      <c r="I1523" s="71">
        <f>IF($N1523&lt;&gt;"OK","",$D1523*$H1523)</f>
        <v/>
      </c>
      <c r="J1523" s="71">
        <f>IF($N1523&lt;&gt;"OK","",N(INDEX('Menu Pricing'!$F$7:$F$56,$O1523))+N(INDEX('Menu Pricing'!$G$7:$G$56,$O1523))+N(INDEX('Menu Pricing'!$J$7:$J$56,$O1523)))</f>
        <v/>
      </c>
      <c r="K1523" s="71">
        <f>IF($N1523&lt;&gt;"OK","",$D1523*$J1523)</f>
        <v/>
      </c>
      <c r="L1523" s="71">
        <f>IF($N1523&lt;&gt;"OK","",$I1523-$K1523)</f>
        <v/>
      </c>
      <c r="M1523" s="71">
        <f>IF($N1523&lt;&gt;"OK","",$D1523*N(INDEX('Menu Pricing'!$F$7:$F$56,$O1523)))</f>
        <v/>
      </c>
      <c r="N1523" s="80">
        <f>IF(AND($B1523="",$C1523="",$D1523=""),"",IF(NOT(ISNUMBER($B1523)),"Enter a valid date",IF($C1523="","Pick a menu item",IF($O1523="","Item not on Menu Pricing",IF(N($D1523)&lt;=0,"Qty must be above 0",IF($H1523="","No price on menu","OK"))))))</f>
        <v/>
      </c>
      <c r="O1523" s="13">
        <f>IF($C1523="","",IFERROR(MATCH($C1523,'Menu Pricing'!$B$7:$B$56,0),""))</f>
        <v/>
      </c>
    </row>
    <row r="1524" ht="17" customHeight="1">
      <c r="B1524" s="66" t="n"/>
      <c r="C1524" s="60" t="n"/>
      <c r="D1524" s="86" t="n"/>
      <c r="E1524" s="63" t="n"/>
      <c r="F1524" s="60" t="n"/>
      <c r="G1524" s="60" t="n"/>
      <c r="H1524" s="71">
        <f>IF(OR($C1524="",$D1524=""),"",IF(ISNUMBER($E1524),$E1524,IF($O1524="","",IF(N(INDEX('Menu Pricing'!$O$7:$O$56,$O1524))&gt;0,INDEX('Menu Pricing'!$O$7:$O$56,$O1524),""))))</f>
        <v/>
      </c>
      <c r="I1524" s="71">
        <f>IF($N1524&lt;&gt;"OK","",$D1524*$H1524)</f>
        <v/>
      </c>
      <c r="J1524" s="71">
        <f>IF($N1524&lt;&gt;"OK","",N(INDEX('Menu Pricing'!$F$7:$F$56,$O1524))+N(INDEX('Menu Pricing'!$G$7:$G$56,$O1524))+N(INDEX('Menu Pricing'!$J$7:$J$56,$O1524)))</f>
        <v/>
      </c>
      <c r="K1524" s="71">
        <f>IF($N1524&lt;&gt;"OK","",$D1524*$J1524)</f>
        <v/>
      </c>
      <c r="L1524" s="71">
        <f>IF($N1524&lt;&gt;"OK","",$I1524-$K1524)</f>
        <v/>
      </c>
      <c r="M1524" s="71">
        <f>IF($N1524&lt;&gt;"OK","",$D1524*N(INDEX('Menu Pricing'!$F$7:$F$56,$O1524)))</f>
        <v/>
      </c>
      <c r="N1524" s="80">
        <f>IF(AND($B1524="",$C1524="",$D1524=""),"",IF(NOT(ISNUMBER($B1524)),"Enter a valid date",IF($C1524="","Pick a menu item",IF($O1524="","Item not on Menu Pricing",IF(N($D1524)&lt;=0,"Qty must be above 0",IF($H1524="","No price on menu","OK"))))))</f>
        <v/>
      </c>
      <c r="O1524" s="13">
        <f>IF($C1524="","",IFERROR(MATCH($C1524,'Menu Pricing'!$B$7:$B$56,0),""))</f>
        <v/>
      </c>
    </row>
    <row r="1525" ht="17" customHeight="1">
      <c r="B1525" s="66" t="n"/>
      <c r="C1525" s="60" t="n"/>
      <c r="D1525" s="86" t="n"/>
      <c r="E1525" s="63" t="n"/>
      <c r="F1525" s="60" t="n"/>
      <c r="G1525" s="60" t="n"/>
      <c r="H1525" s="71">
        <f>IF(OR($C1525="",$D1525=""),"",IF(ISNUMBER($E1525),$E1525,IF($O1525="","",IF(N(INDEX('Menu Pricing'!$O$7:$O$56,$O1525))&gt;0,INDEX('Menu Pricing'!$O$7:$O$56,$O1525),""))))</f>
        <v/>
      </c>
      <c r="I1525" s="71">
        <f>IF($N1525&lt;&gt;"OK","",$D1525*$H1525)</f>
        <v/>
      </c>
      <c r="J1525" s="71">
        <f>IF($N1525&lt;&gt;"OK","",N(INDEX('Menu Pricing'!$F$7:$F$56,$O1525))+N(INDEX('Menu Pricing'!$G$7:$G$56,$O1525))+N(INDEX('Menu Pricing'!$J$7:$J$56,$O1525)))</f>
        <v/>
      </c>
      <c r="K1525" s="71">
        <f>IF($N1525&lt;&gt;"OK","",$D1525*$J1525)</f>
        <v/>
      </c>
      <c r="L1525" s="71">
        <f>IF($N1525&lt;&gt;"OK","",$I1525-$K1525)</f>
        <v/>
      </c>
      <c r="M1525" s="71">
        <f>IF($N1525&lt;&gt;"OK","",$D1525*N(INDEX('Menu Pricing'!$F$7:$F$56,$O1525)))</f>
        <v/>
      </c>
      <c r="N1525" s="80">
        <f>IF(AND($B1525="",$C1525="",$D1525=""),"",IF(NOT(ISNUMBER($B1525)),"Enter a valid date",IF($C1525="","Pick a menu item",IF($O1525="","Item not on Menu Pricing",IF(N($D1525)&lt;=0,"Qty must be above 0",IF($H1525="","No price on menu","OK"))))))</f>
        <v/>
      </c>
      <c r="O1525" s="13">
        <f>IF($C1525="","",IFERROR(MATCH($C1525,'Menu Pricing'!$B$7:$B$56,0),""))</f>
        <v/>
      </c>
    </row>
    <row r="1526" ht="17" customHeight="1">
      <c r="B1526" s="66" t="n"/>
      <c r="C1526" s="60" t="n"/>
      <c r="D1526" s="86" t="n"/>
      <c r="E1526" s="63" t="n"/>
      <c r="F1526" s="60" t="n"/>
      <c r="G1526" s="60" t="n"/>
      <c r="H1526" s="71">
        <f>IF(OR($C1526="",$D1526=""),"",IF(ISNUMBER($E1526),$E1526,IF($O1526="","",IF(N(INDEX('Menu Pricing'!$O$7:$O$56,$O1526))&gt;0,INDEX('Menu Pricing'!$O$7:$O$56,$O1526),""))))</f>
        <v/>
      </c>
      <c r="I1526" s="71">
        <f>IF($N1526&lt;&gt;"OK","",$D1526*$H1526)</f>
        <v/>
      </c>
      <c r="J1526" s="71">
        <f>IF($N1526&lt;&gt;"OK","",N(INDEX('Menu Pricing'!$F$7:$F$56,$O1526))+N(INDEX('Menu Pricing'!$G$7:$G$56,$O1526))+N(INDEX('Menu Pricing'!$J$7:$J$56,$O1526)))</f>
        <v/>
      </c>
      <c r="K1526" s="71">
        <f>IF($N1526&lt;&gt;"OK","",$D1526*$J1526)</f>
        <v/>
      </c>
      <c r="L1526" s="71">
        <f>IF($N1526&lt;&gt;"OK","",$I1526-$K1526)</f>
        <v/>
      </c>
      <c r="M1526" s="71">
        <f>IF($N1526&lt;&gt;"OK","",$D1526*N(INDEX('Menu Pricing'!$F$7:$F$56,$O1526)))</f>
        <v/>
      </c>
      <c r="N1526" s="80">
        <f>IF(AND($B1526="",$C1526="",$D1526=""),"",IF(NOT(ISNUMBER($B1526)),"Enter a valid date",IF($C1526="","Pick a menu item",IF($O1526="","Item not on Menu Pricing",IF(N($D1526)&lt;=0,"Qty must be above 0",IF($H1526="","No price on menu","OK"))))))</f>
        <v/>
      </c>
      <c r="O1526" s="13">
        <f>IF($C1526="","",IFERROR(MATCH($C1526,'Menu Pricing'!$B$7:$B$56,0),""))</f>
        <v/>
      </c>
    </row>
    <row r="1527" ht="17" customHeight="1">
      <c r="B1527" s="66" t="n"/>
      <c r="C1527" s="60" t="n"/>
      <c r="D1527" s="86" t="n"/>
      <c r="E1527" s="63" t="n"/>
      <c r="F1527" s="60" t="n"/>
      <c r="G1527" s="60" t="n"/>
      <c r="H1527" s="71">
        <f>IF(OR($C1527="",$D1527=""),"",IF(ISNUMBER($E1527),$E1527,IF($O1527="","",IF(N(INDEX('Menu Pricing'!$O$7:$O$56,$O1527))&gt;0,INDEX('Menu Pricing'!$O$7:$O$56,$O1527),""))))</f>
        <v/>
      </c>
      <c r="I1527" s="71">
        <f>IF($N1527&lt;&gt;"OK","",$D1527*$H1527)</f>
        <v/>
      </c>
      <c r="J1527" s="71">
        <f>IF($N1527&lt;&gt;"OK","",N(INDEX('Menu Pricing'!$F$7:$F$56,$O1527))+N(INDEX('Menu Pricing'!$G$7:$G$56,$O1527))+N(INDEX('Menu Pricing'!$J$7:$J$56,$O1527)))</f>
        <v/>
      </c>
      <c r="K1527" s="71">
        <f>IF($N1527&lt;&gt;"OK","",$D1527*$J1527)</f>
        <v/>
      </c>
      <c r="L1527" s="71">
        <f>IF($N1527&lt;&gt;"OK","",$I1527-$K1527)</f>
        <v/>
      </c>
      <c r="M1527" s="71">
        <f>IF($N1527&lt;&gt;"OK","",$D1527*N(INDEX('Menu Pricing'!$F$7:$F$56,$O1527)))</f>
        <v/>
      </c>
      <c r="N1527" s="80">
        <f>IF(AND($B1527="",$C1527="",$D1527=""),"",IF(NOT(ISNUMBER($B1527)),"Enter a valid date",IF($C1527="","Pick a menu item",IF($O1527="","Item not on Menu Pricing",IF(N($D1527)&lt;=0,"Qty must be above 0",IF($H1527="","No price on menu","OK"))))))</f>
        <v/>
      </c>
      <c r="O1527" s="13">
        <f>IF($C1527="","",IFERROR(MATCH($C1527,'Menu Pricing'!$B$7:$B$56,0),""))</f>
        <v/>
      </c>
    </row>
    <row r="1528" ht="17" customHeight="1">
      <c r="B1528" s="66" t="n"/>
      <c r="C1528" s="60" t="n"/>
      <c r="D1528" s="86" t="n"/>
      <c r="E1528" s="63" t="n"/>
      <c r="F1528" s="60" t="n"/>
      <c r="G1528" s="60" t="n"/>
      <c r="H1528" s="71">
        <f>IF(OR($C1528="",$D1528=""),"",IF(ISNUMBER($E1528),$E1528,IF($O1528="","",IF(N(INDEX('Menu Pricing'!$O$7:$O$56,$O1528))&gt;0,INDEX('Menu Pricing'!$O$7:$O$56,$O1528),""))))</f>
        <v/>
      </c>
      <c r="I1528" s="71">
        <f>IF($N1528&lt;&gt;"OK","",$D1528*$H1528)</f>
        <v/>
      </c>
      <c r="J1528" s="71">
        <f>IF($N1528&lt;&gt;"OK","",N(INDEX('Menu Pricing'!$F$7:$F$56,$O1528))+N(INDEX('Menu Pricing'!$G$7:$G$56,$O1528))+N(INDEX('Menu Pricing'!$J$7:$J$56,$O1528)))</f>
        <v/>
      </c>
      <c r="K1528" s="71">
        <f>IF($N1528&lt;&gt;"OK","",$D1528*$J1528)</f>
        <v/>
      </c>
      <c r="L1528" s="71">
        <f>IF($N1528&lt;&gt;"OK","",$I1528-$K1528)</f>
        <v/>
      </c>
      <c r="M1528" s="71">
        <f>IF($N1528&lt;&gt;"OK","",$D1528*N(INDEX('Menu Pricing'!$F$7:$F$56,$O1528)))</f>
        <v/>
      </c>
      <c r="N1528" s="80">
        <f>IF(AND($B1528="",$C1528="",$D1528=""),"",IF(NOT(ISNUMBER($B1528)),"Enter a valid date",IF($C1528="","Pick a menu item",IF($O1528="","Item not on Menu Pricing",IF(N($D1528)&lt;=0,"Qty must be above 0",IF($H1528="","No price on menu","OK"))))))</f>
        <v/>
      </c>
      <c r="O1528" s="13">
        <f>IF($C1528="","",IFERROR(MATCH($C1528,'Menu Pricing'!$B$7:$B$56,0),""))</f>
        <v/>
      </c>
    </row>
    <row r="1529" ht="17" customHeight="1">
      <c r="B1529" s="66" t="n"/>
      <c r="C1529" s="60" t="n"/>
      <c r="D1529" s="86" t="n"/>
      <c r="E1529" s="63" t="n"/>
      <c r="F1529" s="60" t="n"/>
      <c r="G1529" s="60" t="n"/>
      <c r="H1529" s="71">
        <f>IF(OR($C1529="",$D1529=""),"",IF(ISNUMBER($E1529),$E1529,IF($O1529="","",IF(N(INDEX('Menu Pricing'!$O$7:$O$56,$O1529))&gt;0,INDEX('Menu Pricing'!$O$7:$O$56,$O1529),""))))</f>
        <v/>
      </c>
      <c r="I1529" s="71">
        <f>IF($N1529&lt;&gt;"OK","",$D1529*$H1529)</f>
        <v/>
      </c>
      <c r="J1529" s="71">
        <f>IF($N1529&lt;&gt;"OK","",N(INDEX('Menu Pricing'!$F$7:$F$56,$O1529))+N(INDEX('Menu Pricing'!$G$7:$G$56,$O1529))+N(INDEX('Menu Pricing'!$J$7:$J$56,$O1529)))</f>
        <v/>
      </c>
      <c r="K1529" s="71">
        <f>IF($N1529&lt;&gt;"OK","",$D1529*$J1529)</f>
        <v/>
      </c>
      <c r="L1529" s="71">
        <f>IF($N1529&lt;&gt;"OK","",$I1529-$K1529)</f>
        <v/>
      </c>
      <c r="M1529" s="71">
        <f>IF($N1529&lt;&gt;"OK","",$D1529*N(INDEX('Menu Pricing'!$F$7:$F$56,$O1529)))</f>
        <v/>
      </c>
      <c r="N1529" s="80">
        <f>IF(AND($B1529="",$C1529="",$D1529=""),"",IF(NOT(ISNUMBER($B1529)),"Enter a valid date",IF($C1529="","Pick a menu item",IF($O1529="","Item not on Menu Pricing",IF(N($D1529)&lt;=0,"Qty must be above 0",IF($H1529="","No price on menu","OK"))))))</f>
        <v/>
      </c>
      <c r="O1529" s="13">
        <f>IF($C1529="","",IFERROR(MATCH($C1529,'Menu Pricing'!$B$7:$B$56,0),""))</f>
        <v/>
      </c>
    </row>
    <row r="1530" ht="17" customHeight="1">
      <c r="B1530" s="66" t="n"/>
      <c r="C1530" s="60" t="n"/>
      <c r="D1530" s="86" t="n"/>
      <c r="E1530" s="63" t="n"/>
      <c r="F1530" s="60" t="n"/>
      <c r="G1530" s="60" t="n"/>
      <c r="H1530" s="71">
        <f>IF(OR($C1530="",$D1530=""),"",IF(ISNUMBER($E1530),$E1530,IF($O1530="","",IF(N(INDEX('Menu Pricing'!$O$7:$O$56,$O1530))&gt;0,INDEX('Menu Pricing'!$O$7:$O$56,$O1530),""))))</f>
        <v/>
      </c>
      <c r="I1530" s="71">
        <f>IF($N1530&lt;&gt;"OK","",$D1530*$H1530)</f>
        <v/>
      </c>
      <c r="J1530" s="71">
        <f>IF($N1530&lt;&gt;"OK","",N(INDEX('Menu Pricing'!$F$7:$F$56,$O1530))+N(INDEX('Menu Pricing'!$G$7:$G$56,$O1530))+N(INDEX('Menu Pricing'!$J$7:$J$56,$O1530)))</f>
        <v/>
      </c>
      <c r="K1530" s="71">
        <f>IF($N1530&lt;&gt;"OK","",$D1530*$J1530)</f>
        <v/>
      </c>
      <c r="L1530" s="71">
        <f>IF($N1530&lt;&gt;"OK","",$I1530-$K1530)</f>
        <v/>
      </c>
      <c r="M1530" s="71">
        <f>IF($N1530&lt;&gt;"OK","",$D1530*N(INDEX('Menu Pricing'!$F$7:$F$56,$O1530)))</f>
        <v/>
      </c>
      <c r="N1530" s="80">
        <f>IF(AND($B1530="",$C1530="",$D1530=""),"",IF(NOT(ISNUMBER($B1530)),"Enter a valid date",IF($C1530="","Pick a menu item",IF($O1530="","Item not on Menu Pricing",IF(N($D1530)&lt;=0,"Qty must be above 0",IF($H1530="","No price on menu","OK"))))))</f>
        <v/>
      </c>
      <c r="O1530" s="13">
        <f>IF($C1530="","",IFERROR(MATCH($C1530,'Menu Pricing'!$B$7:$B$56,0),""))</f>
        <v/>
      </c>
    </row>
    <row r="1531" ht="17" customHeight="1">
      <c r="B1531" s="66" t="n"/>
      <c r="C1531" s="60" t="n"/>
      <c r="D1531" s="86" t="n"/>
      <c r="E1531" s="63" t="n"/>
      <c r="F1531" s="60" t="n"/>
      <c r="G1531" s="60" t="n"/>
      <c r="H1531" s="71">
        <f>IF(OR($C1531="",$D1531=""),"",IF(ISNUMBER($E1531),$E1531,IF($O1531="","",IF(N(INDEX('Menu Pricing'!$O$7:$O$56,$O1531))&gt;0,INDEX('Menu Pricing'!$O$7:$O$56,$O1531),""))))</f>
        <v/>
      </c>
      <c r="I1531" s="71">
        <f>IF($N1531&lt;&gt;"OK","",$D1531*$H1531)</f>
        <v/>
      </c>
      <c r="J1531" s="71">
        <f>IF($N1531&lt;&gt;"OK","",N(INDEX('Menu Pricing'!$F$7:$F$56,$O1531))+N(INDEX('Menu Pricing'!$G$7:$G$56,$O1531))+N(INDEX('Menu Pricing'!$J$7:$J$56,$O1531)))</f>
        <v/>
      </c>
      <c r="K1531" s="71">
        <f>IF($N1531&lt;&gt;"OK","",$D1531*$J1531)</f>
        <v/>
      </c>
      <c r="L1531" s="71">
        <f>IF($N1531&lt;&gt;"OK","",$I1531-$K1531)</f>
        <v/>
      </c>
      <c r="M1531" s="71">
        <f>IF($N1531&lt;&gt;"OK","",$D1531*N(INDEX('Menu Pricing'!$F$7:$F$56,$O1531)))</f>
        <v/>
      </c>
      <c r="N1531" s="80">
        <f>IF(AND($B1531="",$C1531="",$D1531=""),"",IF(NOT(ISNUMBER($B1531)),"Enter a valid date",IF($C1531="","Pick a menu item",IF($O1531="","Item not on Menu Pricing",IF(N($D1531)&lt;=0,"Qty must be above 0",IF($H1531="","No price on menu","OK"))))))</f>
        <v/>
      </c>
      <c r="O1531" s="13">
        <f>IF($C1531="","",IFERROR(MATCH($C1531,'Menu Pricing'!$B$7:$B$56,0),""))</f>
        <v/>
      </c>
    </row>
    <row r="1532" ht="17" customHeight="1">
      <c r="B1532" s="66" t="n"/>
      <c r="C1532" s="60" t="n"/>
      <c r="D1532" s="86" t="n"/>
      <c r="E1532" s="63" t="n"/>
      <c r="F1532" s="60" t="n"/>
      <c r="G1532" s="60" t="n"/>
      <c r="H1532" s="71">
        <f>IF(OR($C1532="",$D1532=""),"",IF(ISNUMBER($E1532),$E1532,IF($O1532="","",IF(N(INDEX('Menu Pricing'!$O$7:$O$56,$O1532))&gt;0,INDEX('Menu Pricing'!$O$7:$O$56,$O1532),""))))</f>
        <v/>
      </c>
      <c r="I1532" s="71">
        <f>IF($N1532&lt;&gt;"OK","",$D1532*$H1532)</f>
        <v/>
      </c>
      <c r="J1532" s="71">
        <f>IF($N1532&lt;&gt;"OK","",N(INDEX('Menu Pricing'!$F$7:$F$56,$O1532))+N(INDEX('Menu Pricing'!$G$7:$G$56,$O1532))+N(INDEX('Menu Pricing'!$J$7:$J$56,$O1532)))</f>
        <v/>
      </c>
      <c r="K1532" s="71">
        <f>IF($N1532&lt;&gt;"OK","",$D1532*$J1532)</f>
        <v/>
      </c>
      <c r="L1532" s="71">
        <f>IF($N1532&lt;&gt;"OK","",$I1532-$K1532)</f>
        <v/>
      </c>
      <c r="M1532" s="71">
        <f>IF($N1532&lt;&gt;"OK","",$D1532*N(INDEX('Menu Pricing'!$F$7:$F$56,$O1532)))</f>
        <v/>
      </c>
      <c r="N1532" s="80">
        <f>IF(AND($B1532="",$C1532="",$D1532=""),"",IF(NOT(ISNUMBER($B1532)),"Enter a valid date",IF($C1532="","Pick a menu item",IF($O1532="","Item not on Menu Pricing",IF(N($D1532)&lt;=0,"Qty must be above 0",IF($H1532="","No price on menu","OK"))))))</f>
        <v/>
      </c>
      <c r="O1532" s="13">
        <f>IF($C1532="","",IFERROR(MATCH($C1532,'Menu Pricing'!$B$7:$B$56,0),""))</f>
        <v/>
      </c>
    </row>
    <row r="1533" ht="17" customHeight="1">
      <c r="B1533" s="66" t="n"/>
      <c r="C1533" s="60" t="n"/>
      <c r="D1533" s="86" t="n"/>
      <c r="E1533" s="63" t="n"/>
      <c r="F1533" s="60" t="n"/>
      <c r="G1533" s="60" t="n"/>
      <c r="H1533" s="71">
        <f>IF(OR($C1533="",$D1533=""),"",IF(ISNUMBER($E1533),$E1533,IF($O1533="","",IF(N(INDEX('Menu Pricing'!$O$7:$O$56,$O1533))&gt;0,INDEX('Menu Pricing'!$O$7:$O$56,$O1533),""))))</f>
        <v/>
      </c>
      <c r="I1533" s="71">
        <f>IF($N1533&lt;&gt;"OK","",$D1533*$H1533)</f>
        <v/>
      </c>
      <c r="J1533" s="71">
        <f>IF($N1533&lt;&gt;"OK","",N(INDEX('Menu Pricing'!$F$7:$F$56,$O1533))+N(INDEX('Menu Pricing'!$G$7:$G$56,$O1533))+N(INDEX('Menu Pricing'!$J$7:$J$56,$O1533)))</f>
        <v/>
      </c>
      <c r="K1533" s="71">
        <f>IF($N1533&lt;&gt;"OK","",$D1533*$J1533)</f>
        <v/>
      </c>
      <c r="L1533" s="71">
        <f>IF($N1533&lt;&gt;"OK","",$I1533-$K1533)</f>
        <v/>
      </c>
      <c r="M1533" s="71">
        <f>IF($N1533&lt;&gt;"OK","",$D1533*N(INDEX('Menu Pricing'!$F$7:$F$56,$O1533)))</f>
        <v/>
      </c>
      <c r="N1533" s="80">
        <f>IF(AND($B1533="",$C1533="",$D1533=""),"",IF(NOT(ISNUMBER($B1533)),"Enter a valid date",IF($C1533="","Pick a menu item",IF($O1533="","Item not on Menu Pricing",IF(N($D1533)&lt;=0,"Qty must be above 0",IF($H1533="","No price on menu","OK"))))))</f>
        <v/>
      </c>
      <c r="O1533" s="13">
        <f>IF($C1533="","",IFERROR(MATCH($C1533,'Menu Pricing'!$B$7:$B$56,0),""))</f>
        <v/>
      </c>
    </row>
    <row r="1534" ht="17" customHeight="1">
      <c r="B1534" s="66" t="n"/>
      <c r="C1534" s="60" t="n"/>
      <c r="D1534" s="86" t="n"/>
      <c r="E1534" s="63" t="n"/>
      <c r="F1534" s="60" t="n"/>
      <c r="G1534" s="60" t="n"/>
      <c r="H1534" s="71">
        <f>IF(OR($C1534="",$D1534=""),"",IF(ISNUMBER($E1534),$E1534,IF($O1534="","",IF(N(INDEX('Menu Pricing'!$O$7:$O$56,$O1534))&gt;0,INDEX('Menu Pricing'!$O$7:$O$56,$O1534),""))))</f>
        <v/>
      </c>
      <c r="I1534" s="71">
        <f>IF($N1534&lt;&gt;"OK","",$D1534*$H1534)</f>
        <v/>
      </c>
      <c r="J1534" s="71">
        <f>IF($N1534&lt;&gt;"OK","",N(INDEX('Menu Pricing'!$F$7:$F$56,$O1534))+N(INDEX('Menu Pricing'!$G$7:$G$56,$O1534))+N(INDEX('Menu Pricing'!$J$7:$J$56,$O1534)))</f>
        <v/>
      </c>
      <c r="K1534" s="71">
        <f>IF($N1534&lt;&gt;"OK","",$D1534*$J1534)</f>
        <v/>
      </c>
      <c r="L1534" s="71">
        <f>IF($N1534&lt;&gt;"OK","",$I1534-$K1534)</f>
        <v/>
      </c>
      <c r="M1534" s="71">
        <f>IF($N1534&lt;&gt;"OK","",$D1534*N(INDEX('Menu Pricing'!$F$7:$F$56,$O1534)))</f>
        <v/>
      </c>
      <c r="N1534" s="80">
        <f>IF(AND($B1534="",$C1534="",$D1534=""),"",IF(NOT(ISNUMBER($B1534)),"Enter a valid date",IF($C1534="","Pick a menu item",IF($O1534="","Item not on Menu Pricing",IF(N($D1534)&lt;=0,"Qty must be above 0",IF($H1534="","No price on menu","OK"))))))</f>
        <v/>
      </c>
      <c r="O1534" s="13">
        <f>IF($C1534="","",IFERROR(MATCH($C1534,'Menu Pricing'!$B$7:$B$56,0),""))</f>
        <v/>
      </c>
    </row>
    <row r="1535" ht="17" customHeight="1">
      <c r="B1535" s="66" t="n"/>
      <c r="C1535" s="60" t="n"/>
      <c r="D1535" s="86" t="n"/>
      <c r="E1535" s="63" t="n"/>
      <c r="F1535" s="60" t="n"/>
      <c r="G1535" s="60" t="n"/>
      <c r="H1535" s="71">
        <f>IF(OR($C1535="",$D1535=""),"",IF(ISNUMBER($E1535),$E1535,IF($O1535="","",IF(N(INDEX('Menu Pricing'!$O$7:$O$56,$O1535))&gt;0,INDEX('Menu Pricing'!$O$7:$O$56,$O1535),""))))</f>
        <v/>
      </c>
      <c r="I1535" s="71">
        <f>IF($N1535&lt;&gt;"OK","",$D1535*$H1535)</f>
        <v/>
      </c>
      <c r="J1535" s="71">
        <f>IF($N1535&lt;&gt;"OK","",N(INDEX('Menu Pricing'!$F$7:$F$56,$O1535))+N(INDEX('Menu Pricing'!$G$7:$G$56,$O1535))+N(INDEX('Menu Pricing'!$J$7:$J$56,$O1535)))</f>
        <v/>
      </c>
      <c r="K1535" s="71">
        <f>IF($N1535&lt;&gt;"OK","",$D1535*$J1535)</f>
        <v/>
      </c>
      <c r="L1535" s="71">
        <f>IF($N1535&lt;&gt;"OK","",$I1535-$K1535)</f>
        <v/>
      </c>
      <c r="M1535" s="71">
        <f>IF($N1535&lt;&gt;"OK","",$D1535*N(INDEX('Menu Pricing'!$F$7:$F$56,$O1535)))</f>
        <v/>
      </c>
      <c r="N1535" s="80">
        <f>IF(AND($B1535="",$C1535="",$D1535=""),"",IF(NOT(ISNUMBER($B1535)),"Enter a valid date",IF($C1535="","Pick a menu item",IF($O1535="","Item not on Menu Pricing",IF(N($D1535)&lt;=0,"Qty must be above 0",IF($H1535="","No price on menu","OK"))))))</f>
        <v/>
      </c>
      <c r="O1535" s="13">
        <f>IF($C1535="","",IFERROR(MATCH($C1535,'Menu Pricing'!$B$7:$B$56,0),""))</f>
        <v/>
      </c>
    </row>
    <row r="1536" ht="17" customHeight="1">
      <c r="B1536" s="66" t="n"/>
      <c r="C1536" s="60" t="n"/>
      <c r="D1536" s="86" t="n"/>
      <c r="E1536" s="63" t="n"/>
      <c r="F1536" s="60" t="n"/>
      <c r="G1536" s="60" t="n"/>
      <c r="H1536" s="71">
        <f>IF(OR($C1536="",$D1536=""),"",IF(ISNUMBER($E1536),$E1536,IF($O1536="","",IF(N(INDEX('Menu Pricing'!$O$7:$O$56,$O1536))&gt;0,INDEX('Menu Pricing'!$O$7:$O$56,$O1536),""))))</f>
        <v/>
      </c>
      <c r="I1536" s="71">
        <f>IF($N1536&lt;&gt;"OK","",$D1536*$H1536)</f>
        <v/>
      </c>
      <c r="J1536" s="71">
        <f>IF($N1536&lt;&gt;"OK","",N(INDEX('Menu Pricing'!$F$7:$F$56,$O1536))+N(INDEX('Menu Pricing'!$G$7:$G$56,$O1536))+N(INDEX('Menu Pricing'!$J$7:$J$56,$O1536)))</f>
        <v/>
      </c>
      <c r="K1536" s="71">
        <f>IF($N1536&lt;&gt;"OK","",$D1536*$J1536)</f>
        <v/>
      </c>
      <c r="L1536" s="71">
        <f>IF($N1536&lt;&gt;"OK","",$I1536-$K1536)</f>
        <v/>
      </c>
      <c r="M1536" s="71">
        <f>IF($N1536&lt;&gt;"OK","",$D1536*N(INDEX('Menu Pricing'!$F$7:$F$56,$O1536)))</f>
        <v/>
      </c>
      <c r="N1536" s="80">
        <f>IF(AND($B1536="",$C1536="",$D1536=""),"",IF(NOT(ISNUMBER($B1536)),"Enter a valid date",IF($C1536="","Pick a menu item",IF($O1536="","Item not on Menu Pricing",IF(N($D1536)&lt;=0,"Qty must be above 0",IF($H1536="","No price on menu","OK"))))))</f>
        <v/>
      </c>
      <c r="O1536" s="13">
        <f>IF($C1536="","",IFERROR(MATCH($C1536,'Menu Pricing'!$B$7:$B$56,0),""))</f>
        <v/>
      </c>
    </row>
    <row r="1537" ht="17" customHeight="1">
      <c r="B1537" s="66" t="n"/>
      <c r="C1537" s="60" t="n"/>
      <c r="D1537" s="86" t="n"/>
      <c r="E1537" s="63" t="n"/>
      <c r="F1537" s="60" t="n"/>
      <c r="G1537" s="60" t="n"/>
      <c r="H1537" s="71">
        <f>IF(OR($C1537="",$D1537=""),"",IF(ISNUMBER($E1537),$E1537,IF($O1537="","",IF(N(INDEX('Menu Pricing'!$O$7:$O$56,$O1537))&gt;0,INDEX('Menu Pricing'!$O$7:$O$56,$O1537),""))))</f>
        <v/>
      </c>
      <c r="I1537" s="71">
        <f>IF($N1537&lt;&gt;"OK","",$D1537*$H1537)</f>
        <v/>
      </c>
      <c r="J1537" s="71">
        <f>IF($N1537&lt;&gt;"OK","",N(INDEX('Menu Pricing'!$F$7:$F$56,$O1537))+N(INDEX('Menu Pricing'!$G$7:$G$56,$O1537))+N(INDEX('Menu Pricing'!$J$7:$J$56,$O1537)))</f>
        <v/>
      </c>
      <c r="K1537" s="71">
        <f>IF($N1537&lt;&gt;"OK","",$D1537*$J1537)</f>
        <v/>
      </c>
      <c r="L1537" s="71">
        <f>IF($N1537&lt;&gt;"OK","",$I1537-$K1537)</f>
        <v/>
      </c>
      <c r="M1537" s="71">
        <f>IF($N1537&lt;&gt;"OK","",$D1537*N(INDEX('Menu Pricing'!$F$7:$F$56,$O1537)))</f>
        <v/>
      </c>
      <c r="N1537" s="80">
        <f>IF(AND($B1537="",$C1537="",$D1537=""),"",IF(NOT(ISNUMBER($B1537)),"Enter a valid date",IF($C1537="","Pick a menu item",IF($O1537="","Item not on Menu Pricing",IF(N($D1537)&lt;=0,"Qty must be above 0",IF($H1537="","No price on menu","OK"))))))</f>
        <v/>
      </c>
      <c r="O1537" s="13">
        <f>IF($C1537="","",IFERROR(MATCH($C1537,'Menu Pricing'!$B$7:$B$56,0),""))</f>
        <v/>
      </c>
    </row>
    <row r="1538" ht="17" customHeight="1">
      <c r="B1538" s="66" t="n"/>
      <c r="C1538" s="60" t="n"/>
      <c r="D1538" s="86" t="n"/>
      <c r="E1538" s="63" t="n"/>
      <c r="F1538" s="60" t="n"/>
      <c r="G1538" s="60" t="n"/>
      <c r="H1538" s="71">
        <f>IF(OR($C1538="",$D1538=""),"",IF(ISNUMBER($E1538),$E1538,IF($O1538="","",IF(N(INDEX('Menu Pricing'!$O$7:$O$56,$O1538))&gt;0,INDEX('Menu Pricing'!$O$7:$O$56,$O1538),""))))</f>
        <v/>
      </c>
      <c r="I1538" s="71">
        <f>IF($N1538&lt;&gt;"OK","",$D1538*$H1538)</f>
        <v/>
      </c>
      <c r="J1538" s="71">
        <f>IF($N1538&lt;&gt;"OK","",N(INDEX('Menu Pricing'!$F$7:$F$56,$O1538))+N(INDEX('Menu Pricing'!$G$7:$G$56,$O1538))+N(INDEX('Menu Pricing'!$J$7:$J$56,$O1538)))</f>
        <v/>
      </c>
      <c r="K1538" s="71">
        <f>IF($N1538&lt;&gt;"OK","",$D1538*$J1538)</f>
        <v/>
      </c>
      <c r="L1538" s="71">
        <f>IF($N1538&lt;&gt;"OK","",$I1538-$K1538)</f>
        <v/>
      </c>
      <c r="M1538" s="71">
        <f>IF($N1538&lt;&gt;"OK","",$D1538*N(INDEX('Menu Pricing'!$F$7:$F$56,$O1538)))</f>
        <v/>
      </c>
      <c r="N1538" s="80">
        <f>IF(AND($B1538="",$C1538="",$D1538=""),"",IF(NOT(ISNUMBER($B1538)),"Enter a valid date",IF($C1538="","Pick a menu item",IF($O1538="","Item not on Menu Pricing",IF(N($D1538)&lt;=0,"Qty must be above 0",IF($H1538="","No price on menu","OK"))))))</f>
        <v/>
      </c>
      <c r="O1538" s="13">
        <f>IF($C1538="","",IFERROR(MATCH($C1538,'Menu Pricing'!$B$7:$B$56,0),""))</f>
        <v/>
      </c>
    </row>
    <row r="1539" ht="17" customHeight="1">
      <c r="B1539" s="66" t="n"/>
      <c r="C1539" s="60" t="n"/>
      <c r="D1539" s="86" t="n"/>
      <c r="E1539" s="63" t="n"/>
      <c r="F1539" s="60" t="n"/>
      <c r="G1539" s="60" t="n"/>
      <c r="H1539" s="71">
        <f>IF(OR($C1539="",$D1539=""),"",IF(ISNUMBER($E1539),$E1539,IF($O1539="","",IF(N(INDEX('Menu Pricing'!$O$7:$O$56,$O1539))&gt;0,INDEX('Menu Pricing'!$O$7:$O$56,$O1539),""))))</f>
        <v/>
      </c>
      <c r="I1539" s="71">
        <f>IF($N1539&lt;&gt;"OK","",$D1539*$H1539)</f>
        <v/>
      </c>
      <c r="J1539" s="71">
        <f>IF($N1539&lt;&gt;"OK","",N(INDEX('Menu Pricing'!$F$7:$F$56,$O1539))+N(INDEX('Menu Pricing'!$G$7:$G$56,$O1539))+N(INDEX('Menu Pricing'!$J$7:$J$56,$O1539)))</f>
        <v/>
      </c>
      <c r="K1539" s="71">
        <f>IF($N1539&lt;&gt;"OK","",$D1539*$J1539)</f>
        <v/>
      </c>
      <c r="L1539" s="71">
        <f>IF($N1539&lt;&gt;"OK","",$I1539-$K1539)</f>
        <v/>
      </c>
      <c r="M1539" s="71">
        <f>IF($N1539&lt;&gt;"OK","",$D1539*N(INDEX('Menu Pricing'!$F$7:$F$56,$O1539)))</f>
        <v/>
      </c>
      <c r="N1539" s="80">
        <f>IF(AND($B1539="",$C1539="",$D1539=""),"",IF(NOT(ISNUMBER($B1539)),"Enter a valid date",IF($C1539="","Pick a menu item",IF($O1539="","Item not on Menu Pricing",IF(N($D1539)&lt;=0,"Qty must be above 0",IF($H1539="","No price on menu","OK"))))))</f>
        <v/>
      </c>
      <c r="O1539" s="13">
        <f>IF($C1539="","",IFERROR(MATCH($C1539,'Menu Pricing'!$B$7:$B$56,0),""))</f>
        <v/>
      </c>
    </row>
    <row r="1540" ht="17" customHeight="1">
      <c r="B1540" s="66" t="n"/>
      <c r="C1540" s="60" t="n"/>
      <c r="D1540" s="86" t="n"/>
      <c r="E1540" s="63" t="n"/>
      <c r="F1540" s="60" t="n"/>
      <c r="G1540" s="60" t="n"/>
      <c r="H1540" s="71">
        <f>IF(OR($C1540="",$D1540=""),"",IF(ISNUMBER($E1540),$E1540,IF($O1540="","",IF(N(INDEX('Menu Pricing'!$O$7:$O$56,$O1540))&gt;0,INDEX('Menu Pricing'!$O$7:$O$56,$O1540),""))))</f>
        <v/>
      </c>
      <c r="I1540" s="71">
        <f>IF($N1540&lt;&gt;"OK","",$D1540*$H1540)</f>
        <v/>
      </c>
      <c r="J1540" s="71">
        <f>IF($N1540&lt;&gt;"OK","",N(INDEX('Menu Pricing'!$F$7:$F$56,$O1540))+N(INDEX('Menu Pricing'!$G$7:$G$56,$O1540))+N(INDEX('Menu Pricing'!$J$7:$J$56,$O1540)))</f>
        <v/>
      </c>
      <c r="K1540" s="71">
        <f>IF($N1540&lt;&gt;"OK","",$D1540*$J1540)</f>
        <v/>
      </c>
      <c r="L1540" s="71">
        <f>IF($N1540&lt;&gt;"OK","",$I1540-$K1540)</f>
        <v/>
      </c>
      <c r="M1540" s="71">
        <f>IF($N1540&lt;&gt;"OK","",$D1540*N(INDEX('Menu Pricing'!$F$7:$F$56,$O1540)))</f>
        <v/>
      </c>
      <c r="N1540" s="80">
        <f>IF(AND($B1540="",$C1540="",$D1540=""),"",IF(NOT(ISNUMBER($B1540)),"Enter a valid date",IF($C1540="","Pick a menu item",IF($O1540="","Item not on Menu Pricing",IF(N($D1540)&lt;=0,"Qty must be above 0",IF($H1540="","No price on menu","OK"))))))</f>
        <v/>
      </c>
      <c r="O1540" s="13">
        <f>IF($C1540="","",IFERROR(MATCH($C1540,'Menu Pricing'!$B$7:$B$56,0),""))</f>
        <v/>
      </c>
    </row>
    <row r="1541" ht="17" customHeight="1">
      <c r="B1541" s="66" t="n"/>
      <c r="C1541" s="60" t="n"/>
      <c r="D1541" s="86" t="n"/>
      <c r="E1541" s="63" t="n"/>
      <c r="F1541" s="60" t="n"/>
      <c r="G1541" s="60" t="n"/>
      <c r="H1541" s="71">
        <f>IF(OR($C1541="",$D1541=""),"",IF(ISNUMBER($E1541),$E1541,IF($O1541="","",IF(N(INDEX('Menu Pricing'!$O$7:$O$56,$O1541))&gt;0,INDEX('Menu Pricing'!$O$7:$O$56,$O1541),""))))</f>
        <v/>
      </c>
      <c r="I1541" s="71">
        <f>IF($N1541&lt;&gt;"OK","",$D1541*$H1541)</f>
        <v/>
      </c>
      <c r="J1541" s="71">
        <f>IF($N1541&lt;&gt;"OK","",N(INDEX('Menu Pricing'!$F$7:$F$56,$O1541))+N(INDEX('Menu Pricing'!$G$7:$G$56,$O1541))+N(INDEX('Menu Pricing'!$J$7:$J$56,$O1541)))</f>
        <v/>
      </c>
      <c r="K1541" s="71">
        <f>IF($N1541&lt;&gt;"OK","",$D1541*$J1541)</f>
        <v/>
      </c>
      <c r="L1541" s="71">
        <f>IF($N1541&lt;&gt;"OK","",$I1541-$K1541)</f>
        <v/>
      </c>
      <c r="M1541" s="71">
        <f>IF($N1541&lt;&gt;"OK","",$D1541*N(INDEX('Menu Pricing'!$F$7:$F$56,$O1541)))</f>
        <v/>
      </c>
      <c r="N1541" s="80">
        <f>IF(AND($B1541="",$C1541="",$D1541=""),"",IF(NOT(ISNUMBER($B1541)),"Enter a valid date",IF($C1541="","Pick a menu item",IF($O1541="","Item not on Menu Pricing",IF(N($D1541)&lt;=0,"Qty must be above 0",IF($H1541="","No price on menu","OK"))))))</f>
        <v/>
      </c>
      <c r="O1541" s="13">
        <f>IF($C1541="","",IFERROR(MATCH($C1541,'Menu Pricing'!$B$7:$B$56,0),""))</f>
        <v/>
      </c>
    </row>
    <row r="1542" ht="17" customHeight="1">
      <c r="B1542" s="66" t="n"/>
      <c r="C1542" s="60" t="n"/>
      <c r="D1542" s="86" t="n"/>
      <c r="E1542" s="63" t="n"/>
      <c r="F1542" s="60" t="n"/>
      <c r="G1542" s="60" t="n"/>
      <c r="H1542" s="71">
        <f>IF(OR($C1542="",$D1542=""),"",IF(ISNUMBER($E1542),$E1542,IF($O1542="","",IF(N(INDEX('Menu Pricing'!$O$7:$O$56,$O1542))&gt;0,INDEX('Menu Pricing'!$O$7:$O$56,$O1542),""))))</f>
        <v/>
      </c>
      <c r="I1542" s="71">
        <f>IF($N1542&lt;&gt;"OK","",$D1542*$H1542)</f>
        <v/>
      </c>
      <c r="J1542" s="71">
        <f>IF($N1542&lt;&gt;"OK","",N(INDEX('Menu Pricing'!$F$7:$F$56,$O1542))+N(INDEX('Menu Pricing'!$G$7:$G$56,$O1542))+N(INDEX('Menu Pricing'!$J$7:$J$56,$O1542)))</f>
        <v/>
      </c>
      <c r="K1542" s="71">
        <f>IF($N1542&lt;&gt;"OK","",$D1542*$J1542)</f>
        <v/>
      </c>
      <c r="L1542" s="71">
        <f>IF($N1542&lt;&gt;"OK","",$I1542-$K1542)</f>
        <v/>
      </c>
      <c r="M1542" s="71">
        <f>IF($N1542&lt;&gt;"OK","",$D1542*N(INDEX('Menu Pricing'!$F$7:$F$56,$O1542)))</f>
        <v/>
      </c>
      <c r="N1542" s="80">
        <f>IF(AND($B1542="",$C1542="",$D1542=""),"",IF(NOT(ISNUMBER($B1542)),"Enter a valid date",IF($C1542="","Pick a menu item",IF($O1542="","Item not on Menu Pricing",IF(N($D1542)&lt;=0,"Qty must be above 0",IF($H1542="","No price on menu","OK"))))))</f>
        <v/>
      </c>
      <c r="O1542" s="13">
        <f>IF($C1542="","",IFERROR(MATCH($C1542,'Menu Pricing'!$B$7:$B$56,0),""))</f>
        <v/>
      </c>
    </row>
    <row r="1543" ht="17" customHeight="1">
      <c r="B1543" s="66" t="n"/>
      <c r="C1543" s="60" t="n"/>
      <c r="D1543" s="86" t="n"/>
      <c r="E1543" s="63" t="n"/>
      <c r="F1543" s="60" t="n"/>
      <c r="G1543" s="60" t="n"/>
      <c r="H1543" s="71">
        <f>IF(OR($C1543="",$D1543=""),"",IF(ISNUMBER($E1543),$E1543,IF($O1543="","",IF(N(INDEX('Menu Pricing'!$O$7:$O$56,$O1543))&gt;0,INDEX('Menu Pricing'!$O$7:$O$56,$O1543),""))))</f>
        <v/>
      </c>
      <c r="I1543" s="71">
        <f>IF($N1543&lt;&gt;"OK","",$D1543*$H1543)</f>
        <v/>
      </c>
      <c r="J1543" s="71">
        <f>IF($N1543&lt;&gt;"OK","",N(INDEX('Menu Pricing'!$F$7:$F$56,$O1543))+N(INDEX('Menu Pricing'!$G$7:$G$56,$O1543))+N(INDEX('Menu Pricing'!$J$7:$J$56,$O1543)))</f>
        <v/>
      </c>
      <c r="K1543" s="71">
        <f>IF($N1543&lt;&gt;"OK","",$D1543*$J1543)</f>
        <v/>
      </c>
      <c r="L1543" s="71">
        <f>IF($N1543&lt;&gt;"OK","",$I1543-$K1543)</f>
        <v/>
      </c>
      <c r="M1543" s="71">
        <f>IF($N1543&lt;&gt;"OK","",$D1543*N(INDEX('Menu Pricing'!$F$7:$F$56,$O1543)))</f>
        <v/>
      </c>
      <c r="N1543" s="80">
        <f>IF(AND($B1543="",$C1543="",$D1543=""),"",IF(NOT(ISNUMBER($B1543)),"Enter a valid date",IF($C1543="","Pick a menu item",IF($O1543="","Item not on Menu Pricing",IF(N($D1543)&lt;=0,"Qty must be above 0",IF($H1543="","No price on menu","OK"))))))</f>
        <v/>
      </c>
      <c r="O1543" s="13">
        <f>IF($C1543="","",IFERROR(MATCH($C1543,'Menu Pricing'!$B$7:$B$56,0),""))</f>
        <v/>
      </c>
    </row>
    <row r="1544" ht="17" customHeight="1">
      <c r="B1544" s="66" t="n"/>
      <c r="C1544" s="60" t="n"/>
      <c r="D1544" s="86" t="n"/>
      <c r="E1544" s="63" t="n"/>
      <c r="F1544" s="60" t="n"/>
      <c r="G1544" s="60" t="n"/>
      <c r="H1544" s="71">
        <f>IF(OR($C1544="",$D1544=""),"",IF(ISNUMBER($E1544),$E1544,IF($O1544="","",IF(N(INDEX('Menu Pricing'!$O$7:$O$56,$O1544))&gt;0,INDEX('Menu Pricing'!$O$7:$O$56,$O1544),""))))</f>
        <v/>
      </c>
      <c r="I1544" s="71">
        <f>IF($N1544&lt;&gt;"OK","",$D1544*$H1544)</f>
        <v/>
      </c>
      <c r="J1544" s="71">
        <f>IF($N1544&lt;&gt;"OK","",N(INDEX('Menu Pricing'!$F$7:$F$56,$O1544))+N(INDEX('Menu Pricing'!$G$7:$G$56,$O1544))+N(INDEX('Menu Pricing'!$J$7:$J$56,$O1544)))</f>
        <v/>
      </c>
      <c r="K1544" s="71">
        <f>IF($N1544&lt;&gt;"OK","",$D1544*$J1544)</f>
        <v/>
      </c>
      <c r="L1544" s="71">
        <f>IF($N1544&lt;&gt;"OK","",$I1544-$K1544)</f>
        <v/>
      </c>
      <c r="M1544" s="71">
        <f>IF($N1544&lt;&gt;"OK","",$D1544*N(INDEX('Menu Pricing'!$F$7:$F$56,$O1544)))</f>
        <v/>
      </c>
      <c r="N1544" s="80">
        <f>IF(AND($B1544="",$C1544="",$D1544=""),"",IF(NOT(ISNUMBER($B1544)),"Enter a valid date",IF($C1544="","Pick a menu item",IF($O1544="","Item not on Menu Pricing",IF(N($D1544)&lt;=0,"Qty must be above 0",IF($H1544="","No price on menu","OK"))))))</f>
        <v/>
      </c>
      <c r="O1544" s="13">
        <f>IF($C1544="","",IFERROR(MATCH($C1544,'Menu Pricing'!$B$7:$B$56,0),""))</f>
        <v/>
      </c>
    </row>
    <row r="1545" ht="17" customHeight="1">
      <c r="B1545" s="66" t="n"/>
      <c r="C1545" s="60" t="n"/>
      <c r="D1545" s="86" t="n"/>
      <c r="E1545" s="63" t="n"/>
      <c r="F1545" s="60" t="n"/>
      <c r="G1545" s="60" t="n"/>
      <c r="H1545" s="71">
        <f>IF(OR($C1545="",$D1545=""),"",IF(ISNUMBER($E1545),$E1545,IF($O1545="","",IF(N(INDEX('Menu Pricing'!$O$7:$O$56,$O1545))&gt;0,INDEX('Menu Pricing'!$O$7:$O$56,$O1545),""))))</f>
        <v/>
      </c>
      <c r="I1545" s="71">
        <f>IF($N1545&lt;&gt;"OK","",$D1545*$H1545)</f>
        <v/>
      </c>
      <c r="J1545" s="71">
        <f>IF($N1545&lt;&gt;"OK","",N(INDEX('Menu Pricing'!$F$7:$F$56,$O1545))+N(INDEX('Menu Pricing'!$G$7:$G$56,$O1545))+N(INDEX('Menu Pricing'!$J$7:$J$56,$O1545)))</f>
        <v/>
      </c>
      <c r="K1545" s="71">
        <f>IF($N1545&lt;&gt;"OK","",$D1545*$J1545)</f>
        <v/>
      </c>
      <c r="L1545" s="71">
        <f>IF($N1545&lt;&gt;"OK","",$I1545-$K1545)</f>
        <v/>
      </c>
      <c r="M1545" s="71">
        <f>IF($N1545&lt;&gt;"OK","",$D1545*N(INDEX('Menu Pricing'!$F$7:$F$56,$O1545)))</f>
        <v/>
      </c>
      <c r="N1545" s="80">
        <f>IF(AND($B1545="",$C1545="",$D1545=""),"",IF(NOT(ISNUMBER($B1545)),"Enter a valid date",IF($C1545="","Pick a menu item",IF($O1545="","Item not on Menu Pricing",IF(N($D1545)&lt;=0,"Qty must be above 0",IF($H1545="","No price on menu","OK"))))))</f>
        <v/>
      </c>
      <c r="O1545" s="13">
        <f>IF($C1545="","",IFERROR(MATCH($C1545,'Menu Pricing'!$B$7:$B$56,0),""))</f>
        <v/>
      </c>
    </row>
    <row r="1546" ht="17" customHeight="1">
      <c r="B1546" s="66" t="n"/>
      <c r="C1546" s="60" t="n"/>
      <c r="D1546" s="86" t="n"/>
      <c r="E1546" s="63" t="n"/>
      <c r="F1546" s="60" t="n"/>
      <c r="G1546" s="60" t="n"/>
      <c r="H1546" s="71">
        <f>IF(OR($C1546="",$D1546=""),"",IF(ISNUMBER($E1546),$E1546,IF($O1546="","",IF(N(INDEX('Menu Pricing'!$O$7:$O$56,$O1546))&gt;0,INDEX('Menu Pricing'!$O$7:$O$56,$O1546),""))))</f>
        <v/>
      </c>
      <c r="I1546" s="71">
        <f>IF($N1546&lt;&gt;"OK","",$D1546*$H1546)</f>
        <v/>
      </c>
      <c r="J1546" s="71">
        <f>IF($N1546&lt;&gt;"OK","",N(INDEX('Menu Pricing'!$F$7:$F$56,$O1546))+N(INDEX('Menu Pricing'!$G$7:$G$56,$O1546))+N(INDEX('Menu Pricing'!$J$7:$J$56,$O1546)))</f>
        <v/>
      </c>
      <c r="K1546" s="71">
        <f>IF($N1546&lt;&gt;"OK","",$D1546*$J1546)</f>
        <v/>
      </c>
      <c r="L1546" s="71">
        <f>IF($N1546&lt;&gt;"OK","",$I1546-$K1546)</f>
        <v/>
      </c>
      <c r="M1546" s="71">
        <f>IF($N1546&lt;&gt;"OK","",$D1546*N(INDEX('Menu Pricing'!$F$7:$F$56,$O1546)))</f>
        <v/>
      </c>
      <c r="N1546" s="80">
        <f>IF(AND($B1546="",$C1546="",$D1546=""),"",IF(NOT(ISNUMBER($B1546)),"Enter a valid date",IF($C1546="","Pick a menu item",IF($O1546="","Item not on Menu Pricing",IF(N($D1546)&lt;=0,"Qty must be above 0",IF($H1546="","No price on menu","OK"))))))</f>
        <v/>
      </c>
      <c r="O1546" s="13">
        <f>IF($C1546="","",IFERROR(MATCH($C1546,'Menu Pricing'!$B$7:$B$56,0),""))</f>
        <v/>
      </c>
    </row>
    <row r="1547" ht="17" customHeight="1">
      <c r="B1547" s="66" t="n"/>
      <c r="C1547" s="60" t="n"/>
      <c r="D1547" s="86" t="n"/>
      <c r="E1547" s="63" t="n"/>
      <c r="F1547" s="60" t="n"/>
      <c r="G1547" s="60" t="n"/>
      <c r="H1547" s="71">
        <f>IF(OR($C1547="",$D1547=""),"",IF(ISNUMBER($E1547),$E1547,IF($O1547="","",IF(N(INDEX('Menu Pricing'!$O$7:$O$56,$O1547))&gt;0,INDEX('Menu Pricing'!$O$7:$O$56,$O1547),""))))</f>
        <v/>
      </c>
      <c r="I1547" s="71">
        <f>IF($N1547&lt;&gt;"OK","",$D1547*$H1547)</f>
        <v/>
      </c>
      <c r="J1547" s="71">
        <f>IF($N1547&lt;&gt;"OK","",N(INDEX('Menu Pricing'!$F$7:$F$56,$O1547))+N(INDEX('Menu Pricing'!$G$7:$G$56,$O1547))+N(INDEX('Menu Pricing'!$J$7:$J$56,$O1547)))</f>
        <v/>
      </c>
      <c r="K1547" s="71">
        <f>IF($N1547&lt;&gt;"OK","",$D1547*$J1547)</f>
        <v/>
      </c>
      <c r="L1547" s="71">
        <f>IF($N1547&lt;&gt;"OK","",$I1547-$K1547)</f>
        <v/>
      </c>
      <c r="M1547" s="71">
        <f>IF($N1547&lt;&gt;"OK","",$D1547*N(INDEX('Menu Pricing'!$F$7:$F$56,$O1547)))</f>
        <v/>
      </c>
      <c r="N1547" s="80">
        <f>IF(AND($B1547="",$C1547="",$D1547=""),"",IF(NOT(ISNUMBER($B1547)),"Enter a valid date",IF($C1547="","Pick a menu item",IF($O1547="","Item not on Menu Pricing",IF(N($D1547)&lt;=0,"Qty must be above 0",IF($H1547="","No price on menu","OK"))))))</f>
        <v/>
      </c>
      <c r="O1547" s="13">
        <f>IF($C1547="","",IFERROR(MATCH($C1547,'Menu Pricing'!$B$7:$B$56,0),""))</f>
        <v/>
      </c>
    </row>
    <row r="1548" ht="17" customHeight="1">
      <c r="B1548" s="66" t="n"/>
      <c r="C1548" s="60" t="n"/>
      <c r="D1548" s="86" t="n"/>
      <c r="E1548" s="63" t="n"/>
      <c r="F1548" s="60" t="n"/>
      <c r="G1548" s="60" t="n"/>
      <c r="H1548" s="71">
        <f>IF(OR($C1548="",$D1548=""),"",IF(ISNUMBER($E1548),$E1548,IF($O1548="","",IF(N(INDEX('Menu Pricing'!$O$7:$O$56,$O1548))&gt;0,INDEX('Menu Pricing'!$O$7:$O$56,$O1548),""))))</f>
        <v/>
      </c>
      <c r="I1548" s="71">
        <f>IF($N1548&lt;&gt;"OK","",$D1548*$H1548)</f>
        <v/>
      </c>
      <c r="J1548" s="71">
        <f>IF($N1548&lt;&gt;"OK","",N(INDEX('Menu Pricing'!$F$7:$F$56,$O1548))+N(INDEX('Menu Pricing'!$G$7:$G$56,$O1548))+N(INDEX('Menu Pricing'!$J$7:$J$56,$O1548)))</f>
        <v/>
      </c>
      <c r="K1548" s="71">
        <f>IF($N1548&lt;&gt;"OK","",$D1548*$J1548)</f>
        <v/>
      </c>
      <c r="L1548" s="71">
        <f>IF($N1548&lt;&gt;"OK","",$I1548-$K1548)</f>
        <v/>
      </c>
      <c r="M1548" s="71">
        <f>IF($N1548&lt;&gt;"OK","",$D1548*N(INDEX('Menu Pricing'!$F$7:$F$56,$O1548)))</f>
        <v/>
      </c>
      <c r="N1548" s="80">
        <f>IF(AND($B1548="",$C1548="",$D1548=""),"",IF(NOT(ISNUMBER($B1548)),"Enter a valid date",IF($C1548="","Pick a menu item",IF($O1548="","Item not on Menu Pricing",IF(N($D1548)&lt;=0,"Qty must be above 0",IF($H1548="","No price on menu","OK"))))))</f>
        <v/>
      </c>
      <c r="O1548" s="13">
        <f>IF($C1548="","",IFERROR(MATCH($C1548,'Menu Pricing'!$B$7:$B$56,0),""))</f>
        <v/>
      </c>
    </row>
    <row r="1549" ht="17" customHeight="1">
      <c r="B1549" s="66" t="n"/>
      <c r="C1549" s="60" t="n"/>
      <c r="D1549" s="86" t="n"/>
      <c r="E1549" s="63" t="n"/>
      <c r="F1549" s="60" t="n"/>
      <c r="G1549" s="60" t="n"/>
      <c r="H1549" s="71">
        <f>IF(OR($C1549="",$D1549=""),"",IF(ISNUMBER($E1549),$E1549,IF($O1549="","",IF(N(INDEX('Menu Pricing'!$O$7:$O$56,$O1549))&gt;0,INDEX('Menu Pricing'!$O$7:$O$56,$O1549),""))))</f>
        <v/>
      </c>
      <c r="I1549" s="71">
        <f>IF($N1549&lt;&gt;"OK","",$D1549*$H1549)</f>
        <v/>
      </c>
      <c r="J1549" s="71">
        <f>IF($N1549&lt;&gt;"OK","",N(INDEX('Menu Pricing'!$F$7:$F$56,$O1549))+N(INDEX('Menu Pricing'!$G$7:$G$56,$O1549))+N(INDEX('Menu Pricing'!$J$7:$J$56,$O1549)))</f>
        <v/>
      </c>
      <c r="K1549" s="71">
        <f>IF($N1549&lt;&gt;"OK","",$D1549*$J1549)</f>
        <v/>
      </c>
      <c r="L1549" s="71">
        <f>IF($N1549&lt;&gt;"OK","",$I1549-$K1549)</f>
        <v/>
      </c>
      <c r="M1549" s="71">
        <f>IF($N1549&lt;&gt;"OK","",$D1549*N(INDEX('Menu Pricing'!$F$7:$F$56,$O1549)))</f>
        <v/>
      </c>
      <c r="N1549" s="80">
        <f>IF(AND($B1549="",$C1549="",$D1549=""),"",IF(NOT(ISNUMBER($B1549)),"Enter a valid date",IF($C1549="","Pick a menu item",IF($O1549="","Item not on Menu Pricing",IF(N($D1549)&lt;=0,"Qty must be above 0",IF($H1549="","No price on menu","OK"))))))</f>
        <v/>
      </c>
      <c r="O1549" s="13">
        <f>IF($C1549="","",IFERROR(MATCH($C1549,'Menu Pricing'!$B$7:$B$56,0),""))</f>
        <v/>
      </c>
    </row>
    <row r="1550" ht="17" customHeight="1">
      <c r="B1550" s="66" t="n"/>
      <c r="C1550" s="60" t="n"/>
      <c r="D1550" s="86" t="n"/>
      <c r="E1550" s="63" t="n"/>
      <c r="F1550" s="60" t="n"/>
      <c r="G1550" s="60" t="n"/>
      <c r="H1550" s="71">
        <f>IF(OR($C1550="",$D1550=""),"",IF(ISNUMBER($E1550),$E1550,IF($O1550="","",IF(N(INDEX('Menu Pricing'!$O$7:$O$56,$O1550))&gt;0,INDEX('Menu Pricing'!$O$7:$O$56,$O1550),""))))</f>
        <v/>
      </c>
      <c r="I1550" s="71">
        <f>IF($N1550&lt;&gt;"OK","",$D1550*$H1550)</f>
        <v/>
      </c>
      <c r="J1550" s="71">
        <f>IF($N1550&lt;&gt;"OK","",N(INDEX('Menu Pricing'!$F$7:$F$56,$O1550))+N(INDEX('Menu Pricing'!$G$7:$G$56,$O1550))+N(INDEX('Menu Pricing'!$J$7:$J$56,$O1550)))</f>
        <v/>
      </c>
      <c r="K1550" s="71">
        <f>IF($N1550&lt;&gt;"OK","",$D1550*$J1550)</f>
        <v/>
      </c>
      <c r="L1550" s="71">
        <f>IF($N1550&lt;&gt;"OK","",$I1550-$K1550)</f>
        <v/>
      </c>
      <c r="M1550" s="71">
        <f>IF($N1550&lt;&gt;"OK","",$D1550*N(INDEX('Menu Pricing'!$F$7:$F$56,$O1550)))</f>
        <v/>
      </c>
      <c r="N1550" s="80">
        <f>IF(AND($B1550="",$C1550="",$D1550=""),"",IF(NOT(ISNUMBER($B1550)),"Enter a valid date",IF($C1550="","Pick a menu item",IF($O1550="","Item not on Menu Pricing",IF(N($D1550)&lt;=0,"Qty must be above 0",IF($H1550="","No price on menu","OK"))))))</f>
        <v/>
      </c>
      <c r="O1550" s="13">
        <f>IF($C1550="","",IFERROR(MATCH($C1550,'Menu Pricing'!$B$7:$B$56,0),""))</f>
        <v/>
      </c>
    </row>
    <row r="1551" ht="17" customHeight="1">
      <c r="B1551" s="66" t="n"/>
      <c r="C1551" s="60" t="n"/>
      <c r="D1551" s="86" t="n"/>
      <c r="E1551" s="63" t="n"/>
      <c r="F1551" s="60" t="n"/>
      <c r="G1551" s="60" t="n"/>
      <c r="H1551" s="71">
        <f>IF(OR($C1551="",$D1551=""),"",IF(ISNUMBER($E1551),$E1551,IF($O1551="","",IF(N(INDEX('Menu Pricing'!$O$7:$O$56,$O1551))&gt;0,INDEX('Menu Pricing'!$O$7:$O$56,$O1551),""))))</f>
        <v/>
      </c>
      <c r="I1551" s="71">
        <f>IF($N1551&lt;&gt;"OK","",$D1551*$H1551)</f>
        <v/>
      </c>
      <c r="J1551" s="71">
        <f>IF($N1551&lt;&gt;"OK","",N(INDEX('Menu Pricing'!$F$7:$F$56,$O1551))+N(INDEX('Menu Pricing'!$G$7:$G$56,$O1551))+N(INDEX('Menu Pricing'!$J$7:$J$56,$O1551)))</f>
        <v/>
      </c>
      <c r="K1551" s="71">
        <f>IF($N1551&lt;&gt;"OK","",$D1551*$J1551)</f>
        <v/>
      </c>
      <c r="L1551" s="71">
        <f>IF($N1551&lt;&gt;"OK","",$I1551-$K1551)</f>
        <v/>
      </c>
      <c r="M1551" s="71">
        <f>IF($N1551&lt;&gt;"OK","",$D1551*N(INDEX('Menu Pricing'!$F$7:$F$56,$O1551)))</f>
        <v/>
      </c>
      <c r="N1551" s="80">
        <f>IF(AND($B1551="",$C1551="",$D1551=""),"",IF(NOT(ISNUMBER($B1551)),"Enter a valid date",IF($C1551="","Pick a menu item",IF($O1551="","Item not on Menu Pricing",IF(N($D1551)&lt;=0,"Qty must be above 0",IF($H1551="","No price on menu","OK"))))))</f>
        <v/>
      </c>
      <c r="O1551" s="13">
        <f>IF($C1551="","",IFERROR(MATCH($C1551,'Menu Pricing'!$B$7:$B$56,0),""))</f>
        <v/>
      </c>
    </row>
    <row r="1552" ht="17" customHeight="1">
      <c r="B1552" s="66" t="n"/>
      <c r="C1552" s="60" t="n"/>
      <c r="D1552" s="86" t="n"/>
      <c r="E1552" s="63" t="n"/>
      <c r="F1552" s="60" t="n"/>
      <c r="G1552" s="60" t="n"/>
      <c r="H1552" s="71">
        <f>IF(OR($C1552="",$D1552=""),"",IF(ISNUMBER($E1552),$E1552,IF($O1552="","",IF(N(INDEX('Menu Pricing'!$O$7:$O$56,$O1552))&gt;0,INDEX('Menu Pricing'!$O$7:$O$56,$O1552),""))))</f>
        <v/>
      </c>
      <c r="I1552" s="71">
        <f>IF($N1552&lt;&gt;"OK","",$D1552*$H1552)</f>
        <v/>
      </c>
      <c r="J1552" s="71">
        <f>IF($N1552&lt;&gt;"OK","",N(INDEX('Menu Pricing'!$F$7:$F$56,$O1552))+N(INDEX('Menu Pricing'!$G$7:$G$56,$O1552))+N(INDEX('Menu Pricing'!$J$7:$J$56,$O1552)))</f>
        <v/>
      </c>
      <c r="K1552" s="71">
        <f>IF($N1552&lt;&gt;"OK","",$D1552*$J1552)</f>
        <v/>
      </c>
      <c r="L1552" s="71">
        <f>IF($N1552&lt;&gt;"OK","",$I1552-$K1552)</f>
        <v/>
      </c>
      <c r="M1552" s="71">
        <f>IF($N1552&lt;&gt;"OK","",$D1552*N(INDEX('Menu Pricing'!$F$7:$F$56,$O1552)))</f>
        <v/>
      </c>
      <c r="N1552" s="80">
        <f>IF(AND($B1552="",$C1552="",$D1552=""),"",IF(NOT(ISNUMBER($B1552)),"Enter a valid date",IF($C1552="","Pick a menu item",IF($O1552="","Item not on Menu Pricing",IF(N($D1552)&lt;=0,"Qty must be above 0",IF($H1552="","No price on menu","OK"))))))</f>
        <v/>
      </c>
      <c r="O1552" s="13">
        <f>IF($C1552="","",IFERROR(MATCH($C1552,'Menu Pricing'!$B$7:$B$56,0),""))</f>
        <v/>
      </c>
    </row>
    <row r="1553" ht="17" customHeight="1">
      <c r="B1553" s="66" t="n"/>
      <c r="C1553" s="60" t="n"/>
      <c r="D1553" s="86" t="n"/>
      <c r="E1553" s="63" t="n"/>
      <c r="F1553" s="60" t="n"/>
      <c r="G1553" s="60" t="n"/>
      <c r="H1553" s="71">
        <f>IF(OR($C1553="",$D1553=""),"",IF(ISNUMBER($E1553),$E1553,IF($O1553="","",IF(N(INDEX('Menu Pricing'!$O$7:$O$56,$O1553))&gt;0,INDEX('Menu Pricing'!$O$7:$O$56,$O1553),""))))</f>
        <v/>
      </c>
      <c r="I1553" s="71">
        <f>IF($N1553&lt;&gt;"OK","",$D1553*$H1553)</f>
        <v/>
      </c>
      <c r="J1553" s="71">
        <f>IF($N1553&lt;&gt;"OK","",N(INDEX('Menu Pricing'!$F$7:$F$56,$O1553))+N(INDEX('Menu Pricing'!$G$7:$G$56,$O1553))+N(INDEX('Menu Pricing'!$J$7:$J$56,$O1553)))</f>
        <v/>
      </c>
      <c r="K1553" s="71">
        <f>IF($N1553&lt;&gt;"OK","",$D1553*$J1553)</f>
        <v/>
      </c>
      <c r="L1553" s="71">
        <f>IF($N1553&lt;&gt;"OK","",$I1553-$K1553)</f>
        <v/>
      </c>
      <c r="M1553" s="71">
        <f>IF($N1553&lt;&gt;"OK","",$D1553*N(INDEX('Menu Pricing'!$F$7:$F$56,$O1553)))</f>
        <v/>
      </c>
      <c r="N1553" s="80">
        <f>IF(AND($B1553="",$C1553="",$D1553=""),"",IF(NOT(ISNUMBER($B1553)),"Enter a valid date",IF($C1553="","Pick a menu item",IF($O1553="","Item not on Menu Pricing",IF(N($D1553)&lt;=0,"Qty must be above 0",IF($H1553="","No price on menu","OK"))))))</f>
        <v/>
      </c>
      <c r="O1553" s="13">
        <f>IF($C1553="","",IFERROR(MATCH($C1553,'Menu Pricing'!$B$7:$B$56,0),""))</f>
        <v/>
      </c>
    </row>
    <row r="1554" ht="17" customHeight="1">
      <c r="B1554" s="66" t="n"/>
      <c r="C1554" s="60" t="n"/>
      <c r="D1554" s="86" t="n"/>
      <c r="E1554" s="63" t="n"/>
      <c r="F1554" s="60" t="n"/>
      <c r="G1554" s="60" t="n"/>
      <c r="H1554" s="71">
        <f>IF(OR($C1554="",$D1554=""),"",IF(ISNUMBER($E1554),$E1554,IF($O1554="","",IF(N(INDEX('Menu Pricing'!$O$7:$O$56,$O1554))&gt;0,INDEX('Menu Pricing'!$O$7:$O$56,$O1554),""))))</f>
        <v/>
      </c>
      <c r="I1554" s="71">
        <f>IF($N1554&lt;&gt;"OK","",$D1554*$H1554)</f>
        <v/>
      </c>
      <c r="J1554" s="71">
        <f>IF($N1554&lt;&gt;"OK","",N(INDEX('Menu Pricing'!$F$7:$F$56,$O1554))+N(INDEX('Menu Pricing'!$G$7:$G$56,$O1554))+N(INDEX('Menu Pricing'!$J$7:$J$56,$O1554)))</f>
        <v/>
      </c>
      <c r="K1554" s="71">
        <f>IF($N1554&lt;&gt;"OK","",$D1554*$J1554)</f>
        <v/>
      </c>
      <c r="L1554" s="71">
        <f>IF($N1554&lt;&gt;"OK","",$I1554-$K1554)</f>
        <v/>
      </c>
      <c r="M1554" s="71">
        <f>IF($N1554&lt;&gt;"OK","",$D1554*N(INDEX('Menu Pricing'!$F$7:$F$56,$O1554)))</f>
        <v/>
      </c>
      <c r="N1554" s="80">
        <f>IF(AND($B1554="",$C1554="",$D1554=""),"",IF(NOT(ISNUMBER($B1554)),"Enter a valid date",IF($C1554="","Pick a menu item",IF($O1554="","Item not on Menu Pricing",IF(N($D1554)&lt;=0,"Qty must be above 0",IF($H1554="","No price on menu","OK"))))))</f>
        <v/>
      </c>
      <c r="O1554" s="13">
        <f>IF($C1554="","",IFERROR(MATCH($C1554,'Menu Pricing'!$B$7:$B$56,0),""))</f>
        <v/>
      </c>
    </row>
    <row r="1555" ht="17" customHeight="1">
      <c r="B1555" s="66" t="n"/>
      <c r="C1555" s="60" t="n"/>
      <c r="D1555" s="86" t="n"/>
      <c r="E1555" s="63" t="n"/>
      <c r="F1555" s="60" t="n"/>
      <c r="G1555" s="60" t="n"/>
      <c r="H1555" s="71">
        <f>IF(OR($C1555="",$D1555=""),"",IF(ISNUMBER($E1555),$E1555,IF($O1555="","",IF(N(INDEX('Menu Pricing'!$O$7:$O$56,$O1555))&gt;0,INDEX('Menu Pricing'!$O$7:$O$56,$O1555),""))))</f>
        <v/>
      </c>
      <c r="I1555" s="71">
        <f>IF($N1555&lt;&gt;"OK","",$D1555*$H1555)</f>
        <v/>
      </c>
      <c r="J1555" s="71">
        <f>IF($N1555&lt;&gt;"OK","",N(INDEX('Menu Pricing'!$F$7:$F$56,$O1555))+N(INDEX('Menu Pricing'!$G$7:$G$56,$O1555))+N(INDEX('Menu Pricing'!$J$7:$J$56,$O1555)))</f>
        <v/>
      </c>
      <c r="K1555" s="71">
        <f>IF($N1555&lt;&gt;"OK","",$D1555*$J1555)</f>
        <v/>
      </c>
      <c r="L1555" s="71">
        <f>IF($N1555&lt;&gt;"OK","",$I1555-$K1555)</f>
        <v/>
      </c>
      <c r="M1555" s="71">
        <f>IF($N1555&lt;&gt;"OK","",$D1555*N(INDEX('Menu Pricing'!$F$7:$F$56,$O1555)))</f>
        <v/>
      </c>
      <c r="N1555" s="80">
        <f>IF(AND($B1555="",$C1555="",$D1555=""),"",IF(NOT(ISNUMBER($B1555)),"Enter a valid date",IF($C1555="","Pick a menu item",IF($O1555="","Item not on Menu Pricing",IF(N($D1555)&lt;=0,"Qty must be above 0",IF($H1555="","No price on menu","OK"))))))</f>
        <v/>
      </c>
      <c r="O1555" s="13">
        <f>IF($C1555="","",IFERROR(MATCH($C1555,'Menu Pricing'!$B$7:$B$56,0),""))</f>
        <v/>
      </c>
    </row>
    <row r="1556" ht="17" customHeight="1">
      <c r="B1556" s="66" t="n"/>
      <c r="C1556" s="60" t="n"/>
      <c r="D1556" s="86" t="n"/>
      <c r="E1556" s="63" t="n"/>
      <c r="F1556" s="60" t="n"/>
      <c r="G1556" s="60" t="n"/>
      <c r="H1556" s="71">
        <f>IF(OR($C1556="",$D1556=""),"",IF(ISNUMBER($E1556),$E1556,IF($O1556="","",IF(N(INDEX('Menu Pricing'!$O$7:$O$56,$O1556))&gt;0,INDEX('Menu Pricing'!$O$7:$O$56,$O1556),""))))</f>
        <v/>
      </c>
      <c r="I1556" s="71">
        <f>IF($N1556&lt;&gt;"OK","",$D1556*$H1556)</f>
        <v/>
      </c>
      <c r="J1556" s="71">
        <f>IF($N1556&lt;&gt;"OK","",N(INDEX('Menu Pricing'!$F$7:$F$56,$O1556))+N(INDEX('Menu Pricing'!$G$7:$G$56,$O1556))+N(INDEX('Menu Pricing'!$J$7:$J$56,$O1556)))</f>
        <v/>
      </c>
      <c r="K1556" s="71">
        <f>IF($N1556&lt;&gt;"OK","",$D1556*$J1556)</f>
        <v/>
      </c>
      <c r="L1556" s="71">
        <f>IF($N1556&lt;&gt;"OK","",$I1556-$K1556)</f>
        <v/>
      </c>
      <c r="M1556" s="71">
        <f>IF($N1556&lt;&gt;"OK","",$D1556*N(INDEX('Menu Pricing'!$F$7:$F$56,$O1556)))</f>
        <v/>
      </c>
      <c r="N1556" s="80">
        <f>IF(AND($B1556="",$C1556="",$D1556=""),"",IF(NOT(ISNUMBER($B1556)),"Enter a valid date",IF($C1556="","Pick a menu item",IF($O1556="","Item not on Menu Pricing",IF(N($D1556)&lt;=0,"Qty must be above 0",IF($H1556="","No price on menu","OK"))))))</f>
        <v/>
      </c>
      <c r="O1556" s="13">
        <f>IF($C1556="","",IFERROR(MATCH($C1556,'Menu Pricing'!$B$7:$B$56,0),""))</f>
        <v/>
      </c>
    </row>
    <row r="1557" ht="17" customHeight="1">
      <c r="B1557" s="66" t="n"/>
      <c r="C1557" s="60" t="n"/>
      <c r="D1557" s="86" t="n"/>
      <c r="E1557" s="63" t="n"/>
      <c r="F1557" s="60" t="n"/>
      <c r="G1557" s="60" t="n"/>
      <c r="H1557" s="71">
        <f>IF(OR($C1557="",$D1557=""),"",IF(ISNUMBER($E1557),$E1557,IF($O1557="","",IF(N(INDEX('Menu Pricing'!$O$7:$O$56,$O1557))&gt;0,INDEX('Menu Pricing'!$O$7:$O$56,$O1557),""))))</f>
        <v/>
      </c>
      <c r="I1557" s="71">
        <f>IF($N1557&lt;&gt;"OK","",$D1557*$H1557)</f>
        <v/>
      </c>
      <c r="J1557" s="71">
        <f>IF($N1557&lt;&gt;"OK","",N(INDEX('Menu Pricing'!$F$7:$F$56,$O1557))+N(INDEX('Menu Pricing'!$G$7:$G$56,$O1557))+N(INDEX('Menu Pricing'!$J$7:$J$56,$O1557)))</f>
        <v/>
      </c>
      <c r="K1557" s="71">
        <f>IF($N1557&lt;&gt;"OK","",$D1557*$J1557)</f>
        <v/>
      </c>
      <c r="L1557" s="71">
        <f>IF($N1557&lt;&gt;"OK","",$I1557-$K1557)</f>
        <v/>
      </c>
      <c r="M1557" s="71">
        <f>IF($N1557&lt;&gt;"OK","",$D1557*N(INDEX('Menu Pricing'!$F$7:$F$56,$O1557)))</f>
        <v/>
      </c>
      <c r="N1557" s="80">
        <f>IF(AND($B1557="",$C1557="",$D1557=""),"",IF(NOT(ISNUMBER($B1557)),"Enter a valid date",IF($C1557="","Pick a menu item",IF($O1557="","Item not on Menu Pricing",IF(N($D1557)&lt;=0,"Qty must be above 0",IF($H1557="","No price on menu","OK"))))))</f>
        <v/>
      </c>
      <c r="O1557" s="13">
        <f>IF($C1557="","",IFERROR(MATCH($C1557,'Menu Pricing'!$B$7:$B$56,0),""))</f>
        <v/>
      </c>
    </row>
    <row r="1558" ht="17" customHeight="1">
      <c r="B1558" s="66" t="n"/>
      <c r="C1558" s="60" t="n"/>
      <c r="D1558" s="86" t="n"/>
      <c r="E1558" s="63" t="n"/>
      <c r="F1558" s="60" t="n"/>
      <c r="G1558" s="60" t="n"/>
      <c r="H1558" s="71">
        <f>IF(OR($C1558="",$D1558=""),"",IF(ISNUMBER($E1558),$E1558,IF($O1558="","",IF(N(INDEX('Menu Pricing'!$O$7:$O$56,$O1558))&gt;0,INDEX('Menu Pricing'!$O$7:$O$56,$O1558),""))))</f>
        <v/>
      </c>
      <c r="I1558" s="71">
        <f>IF($N1558&lt;&gt;"OK","",$D1558*$H1558)</f>
        <v/>
      </c>
      <c r="J1558" s="71">
        <f>IF($N1558&lt;&gt;"OK","",N(INDEX('Menu Pricing'!$F$7:$F$56,$O1558))+N(INDEX('Menu Pricing'!$G$7:$G$56,$O1558))+N(INDEX('Menu Pricing'!$J$7:$J$56,$O1558)))</f>
        <v/>
      </c>
      <c r="K1558" s="71">
        <f>IF($N1558&lt;&gt;"OK","",$D1558*$J1558)</f>
        <v/>
      </c>
      <c r="L1558" s="71">
        <f>IF($N1558&lt;&gt;"OK","",$I1558-$K1558)</f>
        <v/>
      </c>
      <c r="M1558" s="71">
        <f>IF($N1558&lt;&gt;"OK","",$D1558*N(INDEX('Menu Pricing'!$F$7:$F$56,$O1558)))</f>
        <v/>
      </c>
      <c r="N1558" s="80">
        <f>IF(AND($B1558="",$C1558="",$D1558=""),"",IF(NOT(ISNUMBER($B1558)),"Enter a valid date",IF($C1558="","Pick a menu item",IF($O1558="","Item not on Menu Pricing",IF(N($D1558)&lt;=0,"Qty must be above 0",IF($H1558="","No price on menu","OK"))))))</f>
        <v/>
      </c>
      <c r="O1558" s="13">
        <f>IF($C1558="","",IFERROR(MATCH($C1558,'Menu Pricing'!$B$7:$B$56,0),""))</f>
        <v/>
      </c>
    </row>
    <row r="1559" ht="17" customHeight="1">
      <c r="B1559" s="66" t="n"/>
      <c r="C1559" s="60" t="n"/>
      <c r="D1559" s="86" t="n"/>
      <c r="E1559" s="63" t="n"/>
      <c r="F1559" s="60" t="n"/>
      <c r="G1559" s="60" t="n"/>
      <c r="H1559" s="71">
        <f>IF(OR($C1559="",$D1559=""),"",IF(ISNUMBER($E1559),$E1559,IF($O1559="","",IF(N(INDEX('Menu Pricing'!$O$7:$O$56,$O1559))&gt;0,INDEX('Menu Pricing'!$O$7:$O$56,$O1559),""))))</f>
        <v/>
      </c>
      <c r="I1559" s="71">
        <f>IF($N1559&lt;&gt;"OK","",$D1559*$H1559)</f>
        <v/>
      </c>
      <c r="J1559" s="71">
        <f>IF($N1559&lt;&gt;"OK","",N(INDEX('Menu Pricing'!$F$7:$F$56,$O1559))+N(INDEX('Menu Pricing'!$G$7:$G$56,$O1559))+N(INDEX('Menu Pricing'!$J$7:$J$56,$O1559)))</f>
        <v/>
      </c>
      <c r="K1559" s="71">
        <f>IF($N1559&lt;&gt;"OK","",$D1559*$J1559)</f>
        <v/>
      </c>
      <c r="L1559" s="71">
        <f>IF($N1559&lt;&gt;"OK","",$I1559-$K1559)</f>
        <v/>
      </c>
      <c r="M1559" s="71">
        <f>IF($N1559&lt;&gt;"OK","",$D1559*N(INDEX('Menu Pricing'!$F$7:$F$56,$O1559)))</f>
        <v/>
      </c>
      <c r="N1559" s="80">
        <f>IF(AND($B1559="",$C1559="",$D1559=""),"",IF(NOT(ISNUMBER($B1559)),"Enter a valid date",IF($C1559="","Pick a menu item",IF($O1559="","Item not on Menu Pricing",IF(N($D1559)&lt;=0,"Qty must be above 0",IF($H1559="","No price on menu","OK"))))))</f>
        <v/>
      </c>
      <c r="O1559" s="13">
        <f>IF($C1559="","",IFERROR(MATCH($C1559,'Menu Pricing'!$B$7:$B$56,0),""))</f>
        <v/>
      </c>
    </row>
    <row r="1560" ht="17" customHeight="1">
      <c r="B1560" s="66" t="n"/>
      <c r="C1560" s="60" t="n"/>
      <c r="D1560" s="86" t="n"/>
      <c r="E1560" s="63" t="n"/>
      <c r="F1560" s="60" t="n"/>
      <c r="G1560" s="60" t="n"/>
      <c r="H1560" s="71">
        <f>IF(OR($C1560="",$D1560=""),"",IF(ISNUMBER($E1560),$E1560,IF($O1560="","",IF(N(INDEX('Menu Pricing'!$O$7:$O$56,$O1560))&gt;0,INDEX('Menu Pricing'!$O$7:$O$56,$O1560),""))))</f>
        <v/>
      </c>
      <c r="I1560" s="71">
        <f>IF($N1560&lt;&gt;"OK","",$D1560*$H1560)</f>
        <v/>
      </c>
      <c r="J1560" s="71">
        <f>IF($N1560&lt;&gt;"OK","",N(INDEX('Menu Pricing'!$F$7:$F$56,$O1560))+N(INDEX('Menu Pricing'!$G$7:$G$56,$O1560))+N(INDEX('Menu Pricing'!$J$7:$J$56,$O1560)))</f>
        <v/>
      </c>
      <c r="K1560" s="71">
        <f>IF($N1560&lt;&gt;"OK","",$D1560*$J1560)</f>
        <v/>
      </c>
      <c r="L1560" s="71">
        <f>IF($N1560&lt;&gt;"OK","",$I1560-$K1560)</f>
        <v/>
      </c>
      <c r="M1560" s="71">
        <f>IF($N1560&lt;&gt;"OK","",$D1560*N(INDEX('Menu Pricing'!$F$7:$F$56,$O1560)))</f>
        <v/>
      </c>
      <c r="N1560" s="80">
        <f>IF(AND($B1560="",$C1560="",$D1560=""),"",IF(NOT(ISNUMBER($B1560)),"Enter a valid date",IF($C1560="","Pick a menu item",IF($O1560="","Item not on Menu Pricing",IF(N($D1560)&lt;=0,"Qty must be above 0",IF($H1560="","No price on menu","OK"))))))</f>
        <v/>
      </c>
      <c r="O1560" s="13">
        <f>IF($C1560="","",IFERROR(MATCH($C1560,'Menu Pricing'!$B$7:$B$56,0),""))</f>
        <v/>
      </c>
    </row>
    <row r="1561" ht="17" customHeight="1">
      <c r="B1561" s="66" t="n"/>
      <c r="C1561" s="60" t="n"/>
      <c r="D1561" s="86" t="n"/>
      <c r="E1561" s="63" t="n"/>
      <c r="F1561" s="60" t="n"/>
      <c r="G1561" s="60" t="n"/>
      <c r="H1561" s="71">
        <f>IF(OR($C1561="",$D1561=""),"",IF(ISNUMBER($E1561),$E1561,IF($O1561="","",IF(N(INDEX('Menu Pricing'!$O$7:$O$56,$O1561))&gt;0,INDEX('Menu Pricing'!$O$7:$O$56,$O1561),""))))</f>
        <v/>
      </c>
      <c r="I1561" s="71">
        <f>IF($N1561&lt;&gt;"OK","",$D1561*$H1561)</f>
        <v/>
      </c>
      <c r="J1561" s="71">
        <f>IF($N1561&lt;&gt;"OK","",N(INDEX('Menu Pricing'!$F$7:$F$56,$O1561))+N(INDEX('Menu Pricing'!$G$7:$G$56,$O1561))+N(INDEX('Menu Pricing'!$J$7:$J$56,$O1561)))</f>
        <v/>
      </c>
      <c r="K1561" s="71">
        <f>IF($N1561&lt;&gt;"OK","",$D1561*$J1561)</f>
        <v/>
      </c>
      <c r="L1561" s="71">
        <f>IF($N1561&lt;&gt;"OK","",$I1561-$K1561)</f>
        <v/>
      </c>
      <c r="M1561" s="71">
        <f>IF($N1561&lt;&gt;"OK","",$D1561*N(INDEX('Menu Pricing'!$F$7:$F$56,$O1561)))</f>
        <v/>
      </c>
      <c r="N1561" s="80">
        <f>IF(AND($B1561="",$C1561="",$D1561=""),"",IF(NOT(ISNUMBER($B1561)),"Enter a valid date",IF($C1561="","Pick a menu item",IF($O1561="","Item not on Menu Pricing",IF(N($D1561)&lt;=0,"Qty must be above 0",IF($H1561="","No price on menu","OK"))))))</f>
        <v/>
      </c>
      <c r="O1561" s="13">
        <f>IF($C1561="","",IFERROR(MATCH($C1561,'Menu Pricing'!$B$7:$B$56,0),""))</f>
        <v/>
      </c>
    </row>
    <row r="1562" ht="17" customHeight="1">
      <c r="B1562" s="66" t="n"/>
      <c r="C1562" s="60" t="n"/>
      <c r="D1562" s="86" t="n"/>
      <c r="E1562" s="63" t="n"/>
      <c r="F1562" s="60" t="n"/>
      <c r="G1562" s="60" t="n"/>
      <c r="H1562" s="71">
        <f>IF(OR($C1562="",$D1562=""),"",IF(ISNUMBER($E1562),$E1562,IF($O1562="","",IF(N(INDEX('Menu Pricing'!$O$7:$O$56,$O1562))&gt;0,INDEX('Menu Pricing'!$O$7:$O$56,$O1562),""))))</f>
        <v/>
      </c>
      <c r="I1562" s="71">
        <f>IF($N1562&lt;&gt;"OK","",$D1562*$H1562)</f>
        <v/>
      </c>
      <c r="J1562" s="71">
        <f>IF($N1562&lt;&gt;"OK","",N(INDEX('Menu Pricing'!$F$7:$F$56,$O1562))+N(INDEX('Menu Pricing'!$G$7:$G$56,$O1562))+N(INDEX('Menu Pricing'!$J$7:$J$56,$O1562)))</f>
        <v/>
      </c>
      <c r="K1562" s="71">
        <f>IF($N1562&lt;&gt;"OK","",$D1562*$J1562)</f>
        <v/>
      </c>
      <c r="L1562" s="71">
        <f>IF($N1562&lt;&gt;"OK","",$I1562-$K1562)</f>
        <v/>
      </c>
      <c r="M1562" s="71">
        <f>IF($N1562&lt;&gt;"OK","",$D1562*N(INDEX('Menu Pricing'!$F$7:$F$56,$O1562)))</f>
        <v/>
      </c>
      <c r="N1562" s="80">
        <f>IF(AND($B1562="",$C1562="",$D1562=""),"",IF(NOT(ISNUMBER($B1562)),"Enter a valid date",IF($C1562="","Pick a menu item",IF($O1562="","Item not on Menu Pricing",IF(N($D1562)&lt;=0,"Qty must be above 0",IF($H1562="","No price on menu","OK"))))))</f>
        <v/>
      </c>
      <c r="O1562" s="13">
        <f>IF($C1562="","",IFERROR(MATCH($C1562,'Menu Pricing'!$B$7:$B$56,0),""))</f>
        <v/>
      </c>
    </row>
    <row r="1563" ht="17" customHeight="1">
      <c r="B1563" s="66" t="n"/>
      <c r="C1563" s="60" t="n"/>
      <c r="D1563" s="86" t="n"/>
      <c r="E1563" s="63" t="n"/>
      <c r="F1563" s="60" t="n"/>
      <c r="G1563" s="60" t="n"/>
      <c r="H1563" s="71">
        <f>IF(OR($C1563="",$D1563=""),"",IF(ISNUMBER($E1563),$E1563,IF($O1563="","",IF(N(INDEX('Menu Pricing'!$O$7:$O$56,$O1563))&gt;0,INDEX('Menu Pricing'!$O$7:$O$56,$O1563),""))))</f>
        <v/>
      </c>
      <c r="I1563" s="71">
        <f>IF($N1563&lt;&gt;"OK","",$D1563*$H1563)</f>
        <v/>
      </c>
      <c r="J1563" s="71">
        <f>IF($N1563&lt;&gt;"OK","",N(INDEX('Menu Pricing'!$F$7:$F$56,$O1563))+N(INDEX('Menu Pricing'!$G$7:$G$56,$O1563))+N(INDEX('Menu Pricing'!$J$7:$J$56,$O1563)))</f>
        <v/>
      </c>
      <c r="K1563" s="71">
        <f>IF($N1563&lt;&gt;"OK","",$D1563*$J1563)</f>
        <v/>
      </c>
      <c r="L1563" s="71">
        <f>IF($N1563&lt;&gt;"OK","",$I1563-$K1563)</f>
        <v/>
      </c>
      <c r="M1563" s="71">
        <f>IF($N1563&lt;&gt;"OK","",$D1563*N(INDEX('Menu Pricing'!$F$7:$F$56,$O1563)))</f>
        <v/>
      </c>
      <c r="N1563" s="80">
        <f>IF(AND($B1563="",$C1563="",$D1563=""),"",IF(NOT(ISNUMBER($B1563)),"Enter a valid date",IF($C1563="","Pick a menu item",IF($O1563="","Item not on Menu Pricing",IF(N($D1563)&lt;=0,"Qty must be above 0",IF($H1563="","No price on menu","OK"))))))</f>
        <v/>
      </c>
      <c r="O1563" s="13">
        <f>IF($C1563="","",IFERROR(MATCH($C1563,'Menu Pricing'!$B$7:$B$56,0),""))</f>
        <v/>
      </c>
    </row>
    <row r="1564" ht="17" customHeight="1">
      <c r="B1564" s="66" t="n"/>
      <c r="C1564" s="60" t="n"/>
      <c r="D1564" s="86" t="n"/>
      <c r="E1564" s="63" t="n"/>
      <c r="F1564" s="60" t="n"/>
      <c r="G1564" s="60" t="n"/>
      <c r="H1564" s="71">
        <f>IF(OR($C1564="",$D1564=""),"",IF(ISNUMBER($E1564),$E1564,IF($O1564="","",IF(N(INDEX('Menu Pricing'!$O$7:$O$56,$O1564))&gt;0,INDEX('Menu Pricing'!$O$7:$O$56,$O1564),""))))</f>
        <v/>
      </c>
      <c r="I1564" s="71">
        <f>IF($N1564&lt;&gt;"OK","",$D1564*$H1564)</f>
        <v/>
      </c>
      <c r="J1564" s="71">
        <f>IF($N1564&lt;&gt;"OK","",N(INDEX('Menu Pricing'!$F$7:$F$56,$O1564))+N(INDEX('Menu Pricing'!$G$7:$G$56,$O1564))+N(INDEX('Menu Pricing'!$J$7:$J$56,$O1564)))</f>
        <v/>
      </c>
      <c r="K1564" s="71">
        <f>IF($N1564&lt;&gt;"OK","",$D1564*$J1564)</f>
        <v/>
      </c>
      <c r="L1564" s="71">
        <f>IF($N1564&lt;&gt;"OK","",$I1564-$K1564)</f>
        <v/>
      </c>
      <c r="M1564" s="71">
        <f>IF($N1564&lt;&gt;"OK","",$D1564*N(INDEX('Menu Pricing'!$F$7:$F$56,$O1564)))</f>
        <v/>
      </c>
      <c r="N1564" s="80">
        <f>IF(AND($B1564="",$C1564="",$D1564=""),"",IF(NOT(ISNUMBER($B1564)),"Enter a valid date",IF($C1564="","Pick a menu item",IF($O1564="","Item not on Menu Pricing",IF(N($D1564)&lt;=0,"Qty must be above 0",IF($H1564="","No price on menu","OK"))))))</f>
        <v/>
      </c>
      <c r="O1564" s="13">
        <f>IF($C1564="","",IFERROR(MATCH($C1564,'Menu Pricing'!$B$7:$B$56,0),""))</f>
        <v/>
      </c>
    </row>
    <row r="1565" ht="17" customHeight="1">
      <c r="B1565" s="66" t="n"/>
      <c r="C1565" s="60" t="n"/>
      <c r="D1565" s="86" t="n"/>
      <c r="E1565" s="63" t="n"/>
      <c r="F1565" s="60" t="n"/>
      <c r="G1565" s="60" t="n"/>
      <c r="H1565" s="71">
        <f>IF(OR($C1565="",$D1565=""),"",IF(ISNUMBER($E1565),$E1565,IF($O1565="","",IF(N(INDEX('Menu Pricing'!$O$7:$O$56,$O1565))&gt;0,INDEX('Menu Pricing'!$O$7:$O$56,$O1565),""))))</f>
        <v/>
      </c>
      <c r="I1565" s="71">
        <f>IF($N1565&lt;&gt;"OK","",$D1565*$H1565)</f>
        <v/>
      </c>
      <c r="J1565" s="71">
        <f>IF($N1565&lt;&gt;"OK","",N(INDEX('Menu Pricing'!$F$7:$F$56,$O1565))+N(INDEX('Menu Pricing'!$G$7:$G$56,$O1565))+N(INDEX('Menu Pricing'!$J$7:$J$56,$O1565)))</f>
        <v/>
      </c>
      <c r="K1565" s="71">
        <f>IF($N1565&lt;&gt;"OK","",$D1565*$J1565)</f>
        <v/>
      </c>
      <c r="L1565" s="71">
        <f>IF($N1565&lt;&gt;"OK","",$I1565-$K1565)</f>
        <v/>
      </c>
      <c r="M1565" s="71">
        <f>IF($N1565&lt;&gt;"OK","",$D1565*N(INDEX('Menu Pricing'!$F$7:$F$56,$O1565)))</f>
        <v/>
      </c>
      <c r="N1565" s="80">
        <f>IF(AND($B1565="",$C1565="",$D1565=""),"",IF(NOT(ISNUMBER($B1565)),"Enter a valid date",IF($C1565="","Pick a menu item",IF($O1565="","Item not on Menu Pricing",IF(N($D1565)&lt;=0,"Qty must be above 0",IF($H1565="","No price on menu","OK"))))))</f>
        <v/>
      </c>
      <c r="O1565" s="13">
        <f>IF($C1565="","",IFERROR(MATCH($C1565,'Menu Pricing'!$B$7:$B$56,0),""))</f>
        <v/>
      </c>
    </row>
    <row r="1566" ht="17" customHeight="1">
      <c r="B1566" s="66" t="n"/>
      <c r="C1566" s="60" t="n"/>
      <c r="D1566" s="86" t="n"/>
      <c r="E1566" s="63" t="n"/>
      <c r="F1566" s="60" t="n"/>
      <c r="G1566" s="60" t="n"/>
      <c r="H1566" s="71">
        <f>IF(OR($C1566="",$D1566=""),"",IF(ISNUMBER($E1566),$E1566,IF($O1566="","",IF(N(INDEX('Menu Pricing'!$O$7:$O$56,$O1566))&gt;0,INDEX('Menu Pricing'!$O$7:$O$56,$O1566),""))))</f>
        <v/>
      </c>
      <c r="I1566" s="71">
        <f>IF($N1566&lt;&gt;"OK","",$D1566*$H1566)</f>
        <v/>
      </c>
      <c r="J1566" s="71">
        <f>IF($N1566&lt;&gt;"OK","",N(INDEX('Menu Pricing'!$F$7:$F$56,$O1566))+N(INDEX('Menu Pricing'!$G$7:$G$56,$O1566))+N(INDEX('Menu Pricing'!$J$7:$J$56,$O1566)))</f>
        <v/>
      </c>
      <c r="K1566" s="71">
        <f>IF($N1566&lt;&gt;"OK","",$D1566*$J1566)</f>
        <v/>
      </c>
      <c r="L1566" s="71">
        <f>IF($N1566&lt;&gt;"OK","",$I1566-$K1566)</f>
        <v/>
      </c>
      <c r="M1566" s="71">
        <f>IF($N1566&lt;&gt;"OK","",$D1566*N(INDEX('Menu Pricing'!$F$7:$F$56,$O1566)))</f>
        <v/>
      </c>
      <c r="N1566" s="80">
        <f>IF(AND($B1566="",$C1566="",$D1566=""),"",IF(NOT(ISNUMBER($B1566)),"Enter a valid date",IF($C1566="","Pick a menu item",IF($O1566="","Item not on Menu Pricing",IF(N($D1566)&lt;=0,"Qty must be above 0",IF($H1566="","No price on menu","OK"))))))</f>
        <v/>
      </c>
      <c r="O1566" s="13">
        <f>IF($C1566="","",IFERROR(MATCH($C1566,'Menu Pricing'!$B$7:$B$56,0),""))</f>
        <v/>
      </c>
    </row>
    <row r="1567" ht="17" customHeight="1">
      <c r="B1567" s="66" t="n"/>
      <c r="C1567" s="60" t="n"/>
      <c r="D1567" s="86" t="n"/>
      <c r="E1567" s="63" t="n"/>
      <c r="F1567" s="60" t="n"/>
      <c r="G1567" s="60" t="n"/>
      <c r="H1567" s="71">
        <f>IF(OR($C1567="",$D1567=""),"",IF(ISNUMBER($E1567),$E1567,IF($O1567="","",IF(N(INDEX('Menu Pricing'!$O$7:$O$56,$O1567))&gt;0,INDEX('Menu Pricing'!$O$7:$O$56,$O1567),""))))</f>
        <v/>
      </c>
      <c r="I1567" s="71">
        <f>IF($N1567&lt;&gt;"OK","",$D1567*$H1567)</f>
        <v/>
      </c>
      <c r="J1567" s="71">
        <f>IF($N1567&lt;&gt;"OK","",N(INDEX('Menu Pricing'!$F$7:$F$56,$O1567))+N(INDEX('Menu Pricing'!$G$7:$G$56,$O1567))+N(INDEX('Menu Pricing'!$J$7:$J$56,$O1567)))</f>
        <v/>
      </c>
      <c r="K1567" s="71">
        <f>IF($N1567&lt;&gt;"OK","",$D1567*$J1567)</f>
        <v/>
      </c>
      <c r="L1567" s="71">
        <f>IF($N1567&lt;&gt;"OK","",$I1567-$K1567)</f>
        <v/>
      </c>
      <c r="M1567" s="71">
        <f>IF($N1567&lt;&gt;"OK","",$D1567*N(INDEX('Menu Pricing'!$F$7:$F$56,$O1567)))</f>
        <v/>
      </c>
      <c r="N1567" s="80">
        <f>IF(AND($B1567="",$C1567="",$D1567=""),"",IF(NOT(ISNUMBER($B1567)),"Enter a valid date",IF($C1567="","Pick a menu item",IF($O1567="","Item not on Menu Pricing",IF(N($D1567)&lt;=0,"Qty must be above 0",IF($H1567="","No price on menu","OK"))))))</f>
        <v/>
      </c>
      <c r="O1567" s="13">
        <f>IF($C1567="","",IFERROR(MATCH($C1567,'Menu Pricing'!$B$7:$B$56,0),""))</f>
        <v/>
      </c>
    </row>
    <row r="1568" ht="17" customHeight="1">
      <c r="B1568" s="66" t="n"/>
      <c r="C1568" s="60" t="n"/>
      <c r="D1568" s="86" t="n"/>
      <c r="E1568" s="63" t="n"/>
      <c r="F1568" s="60" t="n"/>
      <c r="G1568" s="60" t="n"/>
      <c r="H1568" s="71">
        <f>IF(OR($C1568="",$D1568=""),"",IF(ISNUMBER($E1568),$E1568,IF($O1568="","",IF(N(INDEX('Menu Pricing'!$O$7:$O$56,$O1568))&gt;0,INDEX('Menu Pricing'!$O$7:$O$56,$O1568),""))))</f>
        <v/>
      </c>
      <c r="I1568" s="71">
        <f>IF($N1568&lt;&gt;"OK","",$D1568*$H1568)</f>
        <v/>
      </c>
      <c r="J1568" s="71">
        <f>IF($N1568&lt;&gt;"OK","",N(INDEX('Menu Pricing'!$F$7:$F$56,$O1568))+N(INDEX('Menu Pricing'!$G$7:$G$56,$O1568))+N(INDEX('Menu Pricing'!$J$7:$J$56,$O1568)))</f>
        <v/>
      </c>
      <c r="K1568" s="71">
        <f>IF($N1568&lt;&gt;"OK","",$D1568*$J1568)</f>
        <v/>
      </c>
      <c r="L1568" s="71">
        <f>IF($N1568&lt;&gt;"OK","",$I1568-$K1568)</f>
        <v/>
      </c>
      <c r="M1568" s="71">
        <f>IF($N1568&lt;&gt;"OK","",$D1568*N(INDEX('Menu Pricing'!$F$7:$F$56,$O1568)))</f>
        <v/>
      </c>
      <c r="N1568" s="80">
        <f>IF(AND($B1568="",$C1568="",$D1568=""),"",IF(NOT(ISNUMBER($B1568)),"Enter a valid date",IF($C1568="","Pick a menu item",IF($O1568="","Item not on Menu Pricing",IF(N($D1568)&lt;=0,"Qty must be above 0",IF($H1568="","No price on menu","OK"))))))</f>
        <v/>
      </c>
      <c r="O1568" s="13">
        <f>IF($C1568="","",IFERROR(MATCH($C1568,'Menu Pricing'!$B$7:$B$56,0),""))</f>
        <v/>
      </c>
    </row>
    <row r="1569" ht="17" customHeight="1">
      <c r="B1569" s="66" t="n"/>
      <c r="C1569" s="60" t="n"/>
      <c r="D1569" s="86" t="n"/>
      <c r="E1569" s="63" t="n"/>
      <c r="F1569" s="60" t="n"/>
      <c r="G1569" s="60" t="n"/>
      <c r="H1569" s="71">
        <f>IF(OR($C1569="",$D1569=""),"",IF(ISNUMBER($E1569),$E1569,IF($O1569="","",IF(N(INDEX('Menu Pricing'!$O$7:$O$56,$O1569))&gt;0,INDEX('Menu Pricing'!$O$7:$O$56,$O1569),""))))</f>
        <v/>
      </c>
      <c r="I1569" s="71">
        <f>IF($N1569&lt;&gt;"OK","",$D1569*$H1569)</f>
        <v/>
      </c>
      <c r="J1569" s="71">
        <f>IF($N1569&lt;&gt;"OK","",N(INDEX('Menu Pricing'!$F$7:$F$56,$O1569))+N(INDEX('Menu Pricing'!$G$7:$G$56,$O1569))+N(INDEX('Menu Pricing'!$J$7:$J$56,$O1569)))</f>
        <v/>
      </c>
      <c r="K1569" s="71">
        <f>IF($N1569&lt;&gt;"OK","",$D1569*$J1569)</f>
        <v/>
      </c>
      <c r="L1569" s="71">
        <f>IF($N1569&lt;&gt;"OK","",$I1569-$K1569)</f>
        <v/>
      </c>
      <c r="M1569" s="71">
        <f>IF($N1569&lt;&gt;"OK","",$D1569*N(INDEX('Menu Pricing'!$F$7:$F$56,$O1569)))</f>
        <v/>
      </c>
      <c r="N1569" s="80">
        <f>IF(AND($B1569="",$C1569="",$D1569=""),"",IF(NOT(ISNUMBER($B1569)),"Enter a valid date",IF($C1569="","Pick a menu item",IF($O1569="","Item not on Menu Pricing",IF(N($D1569)&lt;=0,"Qty must be above 0",IF($H1569="","No price on menu","OK"))))))</f>
        <v/>
      </c>
      <c r="O1569" s="13">
        <f>IF($C1569="","",IFERROR(MATCH($C1569,'Menu Pricing'!$B$7:$B$56,0),""))</f>
        <v/>
      </c>
    </row>
    <row r="1570" ht="17" customHeight="1">
      <c r="B1570" s="66" t="n"/>
      <c r="C1570" s="60" t="n"/>
      <c r="D1570" s="86" t="n"/>
      <c r="E1570" s="63" t="n"/>
      <c r="F1570" s="60" t="n"/>
      <c r="G1570" s="60" t="n"/>
      <c r="H1570" s="71">
        <f>IF(OR($C1570="",$D1570=""),"",IF(ISNUMBER($E1570),$E1570,IF($O1570="","",IF(N(INDEX('Menu Pricing'!$O$7:$O$56,$O1570))&gt;0,INDEX('Menu Pricing'!$O$7:$O$56,$O1570),""))))</f>
        <v/>
      </c>
      <c r="I1570" s="71">
        <f>IF($N1570&lt;&gt;"OK","",$D1570*$H1570)</f>
        <v/>
      </c>
      <c r="J1570" s="71">
        <f>IF($N1570&lt;&gt;"OK","",N(INDEX('Menu Pricing'!$F$7:$F$56,$O1570))+N(INDEX('Menu Pricing'!$G$7:$G$56,$O1570))+N(INDEX('Menu Pricing'!$J$7:$J$56,$O1570)))</f>
        <v/>
      </c>
      <c r="K1570" s="71">
        <f>IF($N1570&lt;&gt;"OK","",$D1570*$J1570)</f>
        <v/>
      </c>
      <c r="L1570" s="71">
        <f>IF($N1570&lt;&gt;"OK","",$I1570-$K1570)</f>
        <v/>
      </c>
      <c r="M1570" s="71">
        <f>IF($N1570&lt;&gt;"OK","",$D1570*N(INDEX('Menu Pricing'!$F$7:$F$56,$O1570)))</f>
        <v/>
      </c>
      <c r="N1570" s="80">
        <f>IF(AND($B1570="",$C1570="",$D1570=""),"",IF(NOT(ISNUMBER($B1570)),"Enter a valid date",IF($C1570="","Pick a menu item",IF($O1570="","Item not on Menu Pricing",IF(N($D1570)&lt;=0,"Qty must be above 0",IF($H1570="","No price on menu","OK"))))))</f>
        <v/>
      </c>
      <c r="O1570" s="13">
        <f>IF($C1570="","",IFERROR(MATCH($C1570,'Menu Pricing'!$B$7:$B$56,0),""))</f>
        <v/>
      </c>
    </row>
    <row r="1571" ht="17" customHeight="1">
      <c r="B1571" s="66" t="n"/>
      <c r="C1571" s="60" t="n"/>
      <c r="D1571" s="86" t="n"/>
      <c r="E1571" s="63" t="n"/>
      <c r="F1571" s="60" t="n"/>
      <c r="G1571" s="60" t="n"/>
      <c r="H1571" s="71">
        <f>IF(OR($C1571="",$D1571=""),"",IF(ISNUMBER($E1571),$E1571,IF($O1571="","",IF(N(INDEX('Menu Pricing'!$O$7:$O$56,$O1571))&gt;0,INDEX('Menu Pricing'!$O$7:$O$56,$O1571),""))))</f>
        <v/>
      </c>
      <c r="I1571" s="71">
        <f>IF($N1571&lt;&gt;"OK","",$D1571*$H1571)</f>
        <v/>
      </c>
      <c r="J1571" s="71">
        <f>IF($N1571&lt;&gt;"OK","",N(INDEX('Menu Pricing'!$F$7:$F$56,$O1571))+N(INDEX('Menu Pricing'!$G$7:$G$56,$O1571))+N(INDEX('Menu Pricing'!$J$7:$J$56,$O1571)))</f>
        <v/>
      </c>
      <c r="K1571" s="71">
        <f>IF($N1571&lt;&gt;"OK","",$D1571*$J1571)</f>
        <v/>
      </c>
      <c r="L1571" s="71">
        <f>IF($N1571&lt;&gt;"OK","",$I1571-$K1571)</f>
        <v/>
      </c>
      <c r="M1571" s="71">
        <f>IF($N1571&lt;&gt;"OK","",$D1571*N(INDEX('Menu Pricing'!$F$7:$F$56,$O1571)))</f>
        <v/>
      </c>
      <c r="N1571" s="80">
        <f>IF(AND($B1571="",$C1571="",$D1571=""),"",IF(NOT(ISNUMBER($B1571)),"Enter a valid date",IF($C1571="","Pick a menu item",IF($O1571="","Item not on Menu Pricing",IF(N($D1571)&lt;=0,"Qty must be above 0",IF($H1571="","No price on menu","OK"))))))</f>
        <v/>
      </c>
      <c r="O1571" s="13">
        <f>IF($C1571="","",IFERROR(MATCH($C1571,'Menu Pricing'!$B$7:$B$56,0),""))</f>
        <v/>
      </c>
    </row>
    <row r="1572" ht="17" customHeight="1">
      <c r="B1572" s="66" t="n"/>
      <c r="C1572" s="60" t="n"/>
      <c r="D1572" s="86" t="n"/>
      <c r="E1572" s="63" t="n"/>
      <c r="F1572" s="60" t="n"/>
      <c r="G1572" s="60" t="n"/>
      <c r="H1572" s="71">
        <f>IF(OR($C1572="",$D1572=""),"",IF(ISNUMBER($E1572),$E1572,IF($O1572="","",IF(N(INDEX('Menu Pricing'!$O$7:$O$56,$O1572))&gt;0,INDEX('Menu Pricing'!$O$7:$O$56,$O1572),""))))</f>
        <v/>
      </c>
      <c r="I1572" s="71">
        <f>IF($N1572&lt;&gt;"OK","",$D1572*$H1572)</f>
        <v/>
      </c>
      <c r="J1572" s="71">
        <f>IF($N1572&lt;&gt;"OK","",N(INDEX('Menu Pricing'!$F$7:$F$56,$O1572))+N(INDEX('Menu Pricing'!$G$7:$G$56,$O1572))+N(INDEX('Menu Pricing'!$J$7:$J$56,$O1572)))</f>
        <v/>
      </c>
      <c r="K1572" s="71">
        <f>IF($N1572&lt;&gt;"OK","",$D1572*$J1572)</f>
        <v/>
      </c>
      <c r="L1572" s="71">
        <f>IF($N1572&lt;&gt;"OK","",$I1572-$K1572)</f>
        <v/>
      </c>
      <c r="M1572" s="71">
        <f>IF($N1572&lt;&gt;"OK","",$D1572*N(INDEX('Menu Pricing'!$F$7:$F$56,$O1572)))</f>
        <v/>
      </c>
      <c r="N1572" s="80">
        <f>IF(AND($B1572="",$C1572="",$D1572=""),"",IF(NOT(ISNUMBER($B1572)),"Enter a valid date",IF($C1572="","Pick a menu item",IF($O1572="","Item not on Menu Pricing",IF(N($D1572)&lt;=0,"Qty must be above 0",IF($H1572="","No price on menu","OK"))))))</f>
        <v/>
      </c>
      <c r="O1572" s="13">
        <f>IF($C1572="","",IFERROR(MATCH($C1572,'Menu Pricing'!$B$7:$B$56,0),""))</f>
        <v/>
      </c>
    </row>
    <row r="1573" ht="17" customHeight="1">
      <c r="B1573" s="66" t="n"/>
      <c r="C1573" s="60" t="n"/>
      <c r="D1573" s="86" t="n"/>
      <c r="E1573" s="63" t="n"/>
      <c r="F1573" s="60" t="n"/>
      <c r="G1573" s="60" t="n"/>
      <c r="H1573" s="71">
        <f>IF(OR($C1573="",$D1573=""),"",IF(ISNUMBER($E1573),$E1573,IF($O1573="","",IF(N(INDEX('Menu Pricing'!$O$7:$O$56,$O1573))&gt;0,INDEX('Menu Pricing'!$O$7:$O$56,$O1573),""))))</f>
        <v/>
      </c>
      <c r="I1573" s="71">
        <f>IF($N1573&lt;&gt;"OK","",$D1573*$H1573)</f>
        <v/>
      </c>
      <c r="J1573" s="71">
        <f>IF($N1573&lt;&gt;"OK","",N(INDEX('Menu Pricing'!$F$7:$F$56,$O1573))+N(INDEX('Menu Pricing'!$G$7:$G$56,$O1573))+N(INDEX('Menu Pricing'!$J$7:$J$56,$O1573)))</f>
        <v/>
      </c>
      <c r="K1573" s="71">
        <f>IF($N1573&lt;&gt;"OK","",$D1573*$J1573)</f>
        <v/>
      </c>
      <c r="L1573" s="71">
        <f>IF($N1573&lt;&gt;"OK","",$I1573-$K1573)</f>
        <v/>
      </c>
      <c r="M1573" s="71">
        <f>IF($N1573&lt;&gt;"OK","",$D1573*N(INDEX('Menu Pricing'!$F$7:$F$56,$O1573)))</f>
        <v/>
      </c>
      <c r="N1573" s="80">
        <f>IF(AND($B1573="",$C1573="",$D1573=""),"",IF(NOT(ISNUMBER($B1573)),"Enter a valid date",IF($C1573="","Pick a menu item",IF($O1573="","Item not on Menu Pricing",IF(N($D1573)&lt;=0,"Qty must be above 0",IF($H1573="","No price on menu","OK"))))))</f>
        <v/>
      </c>
      <c r="O1573" s="13">
        <f>IF($C1573="","",IFERROR(MATCH($C1573,'Menu Pricing'!$B$7:$B$56,0),""))</f>
        <v/>
      </c>
    </row>
    <row r="1574" ht="17" customHeight="1">
      <c r="B1574" s="66" t="n"/>
      <c r="C1574" s="60" t="n"/>
      <c r="D1574" s="86" t="n"/>
      <c r="E1574" s="63" t="n"/>
      <c r="F1574" s="60" t="n"/>
      <c r="G1574" s="60" t="n"/>
      <c r="H1574" s="71">
        <f>IF(OR($C1574="",$D1574=""),"",IF(ISNUMBER($E1574),$E1574,IF($O1574="","",IF(N(INDEX('Menu Pricing'!$O$7:$O$56,$O1574))&gt;0,INDEX('Menu Pricing'!$O$7:$O$56,$O1574),""))))</f>
        <v/>
      </c>
      <c r="I1574" s="71">
        <f>IF($N1574&lt;&gt;"OK","",$D1574*$H1574)</f>
        <v/>
      </c>
      <c r="J1574" s="71">
        <f>IF($N1574&lt;&gt;"OK","",N(INDEX('Menu Pricing'!$F$7:$F$56,$O1574))+N(INDEX('Menu Pricing'!$G$7:$G$56,$O1574))+N(INDEX('Menu Pricing'!$J$7:$J$56,$O1574)))</f>
        <v/>
      </c>
      <c r="K1574" s="71">
        <f>IF($N1574&lt;&gt;"OK","",$D1574*$J1574)</f>
        <v/>
      </c>
      <c r="L1574" s="71">
        <f>IF($N1574&lt;&gt;"OK","",$I1574-$K1574)</f>
        <v/>
      </c>
      <c r="M1574" s="71">
        <f>IF($N1574&lt;&gt;"OK","",$D1574*N(INDEX('Menu Pricing'!$F$7:$F$56,$O1574)))</f>
        <v/>
      </c>
      <c r="N1574" s="80">
        <f>IF(AND($B1574="",$C1574="",$D1574=""),"",IF(NOT(ISNUMBER($B1574)),"Enter a valid date",IF($C1574="","Pick a menu item",IF($O1574="","Item not on Menu Pricing",IF(N($D1574)&lt;=0,"Qty must be above 0",IF($H1574="","No price on menu","OK"))))))</f>
        <v/>
      </c>
      <c r="O1574" s="13">
        <f>IF($C1574="","",IFERROR(MATCH($C1574,'Menu Pricing'!$B$7:$B$56,0),""))</f>
        <v/>
      </c>
    </row>
    <row r="1575" ht="17" customHeight="1">
      <c r="B1575" s="66" t="n"/>
      <c r="C1575" s="60" t="n"/>
      <c r="D1575" s="86" t="n"/>
      <c r="E1575" s="63" t="n"/>
      <c r="F1575" s="60" t="n"/>
      <c r="G1575" s="60" t="n"/>
      <c r="H1575" s="71">
        <f>IF(OR($C1575="",$D1575=""),"",IF(ISNUMBER($E1575),$E1575,IF($O1575="","",IF(N(INDEX('Menu Pricing'!$O$7:$O$56,$O1575))&gt;0,INDEX('Menu Pricing'!$O$7:$O$56,$O1575),""))))</f>
        <v/>
      </c>
      <c r="I1575" s="71">
        <f>IF($N1575&lt;&gt;"OK","",$D1575*$H1575)</f>
        <v/>
      </c>
      <c r="J1575" s="71">
        <f>IF($N1575&lt;&gt;"OK","",N(INDEX('Menu Pricing'!$F$7:$F$56,$O1575))+N(INDEX('Menu Pricing'!$G$7:$G$56,$O1575))+N(INDEX('Menu Pricing'!$J$7:$J$56,$O1575)))</f>
        <v/>
      </c>
      <c r="K1575" s="71">
        <f>IF($N1575&lt;&gt;"OK","",$D1575*$J1575)</f>
        <v/>
      </c>
      <c r="L1575" s="71">
        <f>IF($N1575&lt;&gt;"OK","",$I1575-$K1575)</f>
        <v/>
      </c>
      <c r="M1575" s="71">
        <f>IF($N1575&lt;&gt;"OK","",$D1575*N(INDEX('Menu Pricing'!$F$7:$F$56,$O1575)))</f>
        <v/>
      </c>
      <c r="N1575" s="80">
        <f>IF(AND($B1575="",$C1575="",$D1575=""),"",IF(NOT(ISNUMBER($B1575)),"Enter a valid date",IF($C1575="","Pick a menu item",IF($O1575="","Item not on Menu Pricing",IF(N($D1575)&lt;=0,"Qty must be above 0",IF($H1575="","No price on menu","OK"))))))</f>
        <v/>
      </c>
      <c r="O1575" s="13">
        <f>IF($C1575="","",IFERROR(MATCH($C1575,'Menu Pricing'!$B$7:$B$56,0),""))</f>
        <v/>
      </c>
    </row>
    <row r="1576" ht="17" customHeight="1">
      <c r="B1576" s="66" t="n"/>
      <c r="C1576" s="60" t="n"/>
      <c r="D1576" s="86" t="n"/>
      <c r="E1576" s="63" t="n"/>
      <c r="F1576" s="60" t="n"/>
      <c r="G1576" s="60" t="n"/>
      <c r="H1576" s="71">
        <f>IF(OR($C1576="",$D1576=""),"",IF(ISNUMBER($E1576),$E1576,IF($O1576="","",IF(N(INDEX('Menu Pricing'!$O$7:$O$56,$O1576))&gt;0,INDEX('Menu Pricing'!$O$7:$O$56,$O1576),""))))</f>
        <v/>
      </c>
      <c r="I1576" s="71">
        <f>IF($N1576&lt;&gt;"OK","",$D1576*$H1576)</f>
        <v/>
      </c>
      <c r="J1576" s="71">
        <f>IF($N1576&lt;&gt;"OK","",N(INDEX('Menu Pricing'!$F$7:$F$56,$O1576))+N(INDEX('Menu Pricing'!$G$7:$G$56,$O1576))+N(INDEX('Menu Pricing'!$J$7:$J$56,$O1576)))</f>
        <v/>
      </c>
      <c r="K1576" s="71">
        <f>IF($N1576&lt;&gt;"OK","",$D1576*$J1576)</f>
        <v/>
      </c>
      <c r="L1576" s="71">
        <f>IF($N1576&lt;&gt;"OK","",$I1576-$K1576)</f>
        <v/>
      </c>
      <c r="M1576" s="71">
        <f>IF($N1576&lt;&gt;"OK","",$D1576*N(INDEX('Menu Pricing'!$F$7:$F$56,$O1576)))</f>
        <v/>
      </c>
      <c r="N1576" s="80">
        <f>IF(AND($B1576="",$C1576="",$D1576=""),"",IF(NOT(ISNUMBER($B1576)),"Enter a valid date",IF($C1576="","Pick a menu item",IF($O1576="","Item not on Menu Pricing",IF(N($D1576)&lt;=0,"Qty must be above 0",IF($H1576="","No price on menu","OK"))))))</f>
        <v/>
      </c>
      <c r="O1576" s="13">
        <f>IF($C1576="","",IFERROR(MATCH($C1576,'Menu Pricing'!$B$7:$B$56,0),""))</f>
        <v/>
      </c>
    </row>
    <row r="1577" ht="17" customHeight="1">
      <c r="B1577" s="66" t="n"/>
      <c r="C1577" s="60" t="n"/>
      <c r="D1577" s="86" t="n"/>
      <c r="E1577" s="63" t="n"/>
      <c r="F1577" s="60" t="n"/>
      <c r="G1577" s="60" t="n"/>
      <c r="H1577" s="71">
        <f>IF(OR($C1577="",$D1577=""),"",IF(ISNUMBER($E1577),$E1577,IF($O1577="","",IF(N(INDEX('Menu Pricing'!$O$7:$O$56,$O1577))&gt;0,INDEX('Menu Pricing'!$O$7:$O$56,$O1577),""))))</f>
        <v/>
      </c>
      <c r="I1577" s="71">
        <f>IF($N1577&lt;&gt;"OK","",$D1577*$H1577)</f>
        <v/>
      </c>
      <c r="J1577" s="71">
        <f>IF($N1577&lt;&gt;"OK","",N(INDEX('Menu Pricing'!$F$7:$F$56,$O1577))+N(INDEX('Menu Pricing'!$G$7:$G$56,$O1577))+N(INDEX('Menu Pricing'!$J$7:$J$56,$O1577)))</f>
        <v/>
      </c>
      <c r="K1577" s="71">
        <f>IF($N1577&lt;&gt;"OK","",$D1577*$J1577)</f>
        <v/>
      </c>
      <c r="L1577" s="71">
        <f>IF($N1577&lt;&gt;"OK","",$I1577-$K1577)</f>
        <v/>
      </c>
      <c r="M1577" s="71">
        <f>IF($N1577&lt;&gt;"OK","",$D1577*N(INDEX('Menu Pricing'!$F$7:$F$56,$O1577)))</f>
        <v/>
      </c>
      <c r="N1577" s="80">
        <f>IF(AND($B1577="",$C1577="",$D1577=""),"",IF(NOT(ISNUMBER($B1577)),"Enter a valid date",IF($C1577="","Pick a menu item",IF($O1577="","Item not on Menu Pricing",IF(N($D1577)&lt;=0,"Qty must be above 0",IF($H1577="","No price on menu","OK"))))))</f>
        <v/>
      </c>
      <c r="O1577" s="13">
        <f>IF($C1577="","",IFERROR(MATCH($C1577,'Menu Pricing'!$B$7:$B$56,0),""))</f>
        <v/>
      </c>
    </row>
    <row r="1578" ht="17" customHeight="1">
      <c r="B1578" s="66" t="n"/>
      <c r="C1578" s="60" t="n"/>
      <c r="D1578" s="86" t="n"/>
      <c r="E1578" s="63" t="n"/>
      <c r="F1578" s="60" t="n"/>
      <c r="G1578" s="60" t="n"/>
      <c r="H1578" s="71">
        <f>IF(OR($C1578="",$D1578=""),"",IF(ISNUMBER($E1578),$E1578,IF($O1578="","",IF(N(INDEX('Menu Pricing'!$O$7:$O$56,$O1578))&gt;0,INDEX('Menu Pricing'!$O$7:$O$56,$O1578),""))))</f>
        <v/>
      </c>
      <c r="I1578" s="71">
        <f>IF($N1578&lt;&gt;"OK","",$D1578*$H1578)</f>
        <v/>
      </c>
      <c r="J1578" s="71">
        <f>IF($N1578&lt;&gt;"OK","",N(INDEX('Menu Pricing'!$F$7:$F$56,$O1578))+N(INDEX('Menu Pricing'!$G$7:$G$56,$O1578))+N(INDEX('Menu Pricing'!$J$7:$J$56,$O1578)))</f>
        <v/>
      </c>
      <c r="K1578" s="71">
        <f>IF($N1578&lt;&gt;"OK","",$D1578*$J1578)</f>
        <v/>
      </c>
      <c r="L1578" s="71">
        <f>IF($N1578&lt;&gt;"OK","",$I1578-$K1578)</f>
        <v/>
      </c>
      <c r="M1578" s="71">
        <f>IF($N1578&lt;&gt;"OK","",$D1578*N(INDEX('Menu Pricing'!$F$7:$F$56,$O1578)))</f>
        <v/>
      </c>
      <c r="N1578" s="80">
        <f>IF(AND($B1578="",$C1578="",$D1578=""),"",IF(NOT(ISNUMBER($B1578)),"Enter a valid date",IF($C1578="","Pick a menu item",IF($O1578="","Item not on Menu Pricing",IF(N($D1578)&lt;=0,"Qty must be above 0",IF($H1578="","No price on menu","OK"))))))</f>
        <v/>
      </c>
      <c r="O1578" s="13">
        <f>IF($C1578="","",IFERROR(MATCH($C1578,'Menu Pricing'!$B$7:$B$56,0),""))</f>
        <v/>
      </c>
    </row>
    <row r="1579" ht="17" customHeight="1">
      <c r="B1579" s="66" t="n"/>
      <c r="C1579" s="60" t="n"/>
      <c r="D1579" s="86" t="n"/>
      <c r="E1579" s="63" t="n"/>
      <c r="F1579" s="60" t="n"/>
      <c r="G1579" s="60" t="n"/>
      <c r="H1579" s="71">
        <f>IF(OR($C1579="",$D1579=""),"",IF(ISNUMBER($E1579),$E1579,IF($O1579="","",IF(N(INDEX('Menu Pricing'!$O$7:$O$56,$O1579))&gt;0,INDEX('Menu Pricing'!$O$7:$O$56,$O1579),""))))</f>
        <v/>
      </c>
      <c r="I1579" s="71">
        <f>IF($N1579&lt;&gt;"OK","",$D1579*$H1579)</f>
        <v/>
      </c>
      <c r="J1579" s="71">
        <f>IF($N1579&lt;&gt;"OK","",N(INDEX('Menu Pricing'!$F$7:$F$56,$O1579))+N(INDEX('Menu Pricing'!$G$7:$G$56,$O1579))+N(INDEX('Menu Pricing'!$J$7:$J$56,$O1579)))</f>
        <v/>
      </c>
      <c r="K1579" s="71">
        <f>IF($N1579&lt;&gt;"OK","",$D1579*$J1579)</f>
        <v/>
      </c>
      <c r="L1579" s="71">
        <f>IF($N1579&lt;&gt;"OK","",$I1579-$K1579)</f>
        <v/>
      </c>
      <c r="M1579" s="71">
        <f>IF($N1579&lt;&gt;"OK","",$D1579*N(INDEX('Menu Pricing'!$F$7:$F$56,$O1579)))</f>
        <v/>
      </c>
      <c r="N1579" s="80">
        <f>IF(AND($B1579="",$C1579="",$D1579=""),"",IF(NOT(ISNUMBER($B1579)),"Enter a valid date",IF($C1579="","Pick a menu item",IF($O1579="","Item not on Menu Pricing",IF(N($D1579)&lt;=0,"Qty must be above 0",IF($H1579="","No price on menu","OK"))))))</f>
        <v/>
      </c>
      <c r="O1579" s="13">
        <f>IF($C1579="","",IFERROR(MATCH($C1579,'Menu Pricing'!$B$7:$B$56,0),""))</f>
        <v/>
      </c>
    </row>
    <row r="1580" ht="17" customHeight="1">
      <c r="B1580" s="66" t="n"/>
      <c r="C1580" s="60" t="n"/>
      <c r="D1580" s="86" t="n"/>
      <c r="E1580" s="63" t="n"/>
      <c r="F1580" s="60" t="n"/>
      <c r="G1580" s="60" t="n"/>
      <c r="H1580" s="71">
        <f>IF(OR($C1580="",$D1580=""),"",IF(ISNUMBER($E1580),$E1580,IF($O1580="","",IF(N(INDEX('Menu Pricing'!$O$7:$O$56,$O1580))&gt;0,INDEX('Menu Pricing'!$O$7:$O$56,$O1580),""))))</f>
        <v/>
      </c>
      <c r="I1580" s="71">
        <f>IF($N1580&lt;&gt;"OK","",$D1580*$H1580)</f>
        <v/>
      </c>
      <c r="J1580" s="71">
        <f>IF($N1580&lt;&gt;"OK","",N(INDEX('Menu Pricing'!$F$7:$F$56,$O1580))+N(INDEX('Menu Pricing'!$G$7:$G$56,$O1580))+N(INDEX('Menu Pricing'!$J$7:$J$56,$O1580)))</f>
        <v/>
      </c>
      <c r="K1580" s="71">
        <f>IF($N1580&lt;&gt;"OK","",$D1580*$J1580)</f>
        <v/>
      </c>
      <c r="L1580" s="71">
        <f>IF($N1580&lt;&gt;"OK","",$I1580-$K1580)</f>
        <v/>
      </c>
      <c r="M1580" s="71">
        <f>IF($N1580&lt;&gt;"OK","",$D1580*N(INDEX('Menu Pricing'!$F$7:$F$56,$O1580)))</f>
        <v/>
      </c>
      <c r="N1580" s="80">
        <f>IF(AND($B1580="",$C1580="",$D1580=""),"",IF(NOT(ISNUMBER($B1580)),"Enter a valid date",IF($C1580="","Pick a menu item",IF($O1580="","Item not on Menu Pricing",IF(N($D1580)&lt;=0,"Qty must be above 0",IF($H1580="","No price on menu","OK"))))))</f>
        <v/>
      </c>
      <c r="O1580" s="13">
        <f>IF($C1580="","",IFERROR(MATCH($C1580,'Menu Pricing'!$B$7:$B$56,0),""))</f>
        <v/>
      </c>
    </row>
    <row r="1581" ht="17" customHeight="1">
      <c r="B1581" s="66" t="n"/>
      <c r="C1581" s="60" t="n"/>
      <c r="D1581" s="86" t="n"/>
      <c r="E1581" s="63" t="n"/>
      <c r="F1581" s="60" t="n"/>
      <c r="G1581" s="60" t="n"/>
      <c r="H1581" s="71">
        <f>IF(OR($C1581="",$D1581=""),"",IF(ISNUMBER($E1581),$E1581,IF($O1581="","",IF(N(INDEX('Menu Pricing'!$O$7:$O$56,$O1581))&gt;0,INDEX('Menu Pricing'!$O$7:$O$56,$O1581),""))))</f>
        <v/>
      </c>
      <c r="I1581" s="71">
        <f>IF($N1581&lt;&gt;"OK","",$D1581*$H1581)</f>
        <v/>
      </c>
      <c r="J1581" s="71">
        <f>IF($N1581&lt;&gt;"OK","",N(INDEX('Menu Pricing'!$F$7:$F$56,$O1581))+N(INDEX('Menu Pricing'!$G$7:$G$56,$O1581))+N(INDEX('Menu Pricing'!$J$7:$J$56,$O1581)))</f>
        <v/>
      </c>
      <c r="K1581" s="71">
        <f>IF($N1581&lt;&gt;"OK","",$D1581*$J1581)</f>
        <v/>
      </c>
      <c r="L1581" s="71">
        <f>IF($N1581&lt;&gt;"OK","",$I1581-$K1581)</f>
        <v/>
      </c>
      <c r="M1581" s="71">
        <f>IF($N1581&lt;&gt;"OK","",$D1581*N(INDEX('Menu Pricing'!$F$7:$F$56,$O1581)))</f>
        <v/>
      </c>
      <c r="N1581" s="80">
        <f>IF(AND($B1581="",$C1581="",$D1581=""),"",IF(NOT(ISNUMBER($B1581)),"Enter a valid date",IF($C1581="","Pick a menu item",IF($O1581="","Item not on Menu Pricing",IF(N($D1581)&lt;=0,"Qty must be above 0",IF($H1581="","No price on menu","OK"))))))</f>
        <v/>
      </c>
      <c r="O1581" s="13">
        <f>IF($C1581="","",IFERROR(MATCH($C1581,'Menu Pricing'!$B$7:$B$56,0),""))</f>
        <v/>
      </c>
    </row>
    <row r="1582" ht="17" customHeight="1">
      <c r="B1582" s="66" t="n"/>
      <c r="C1582" s="60" t="n"/>
      <c r="D1582" s="86" t="n"/>
      <c r="E1582" s="63" t="n"/>
      <c r="F1582" s="60" t="n"/>
      <c r="G1582" s="60" t="n"/>
      <c r="H1582" s="71">
        <f>IF(OR($C1582="",$D1582=""),"",IF(ISNUMBER($E1582),$E1582,IF($O1582="","",IF(N(INDEX('Menu Pricing'!$O$7:$O$56,$O1582))&gt;0,INDEX('Menu Pricing'!$O$7:$O$56,$O1582),""))))</f>
        <v/>
      </c>
      <c r="I1582" s="71">
        <f>IF($N1582&lt;&gt;"OK","",$D1582*$H1582)</f>
        <v/>
      </c>
      <c r="J1582" s="71">
        <f>IF($N1582&lt;&gt;"OK","",N(INDEX('Menu Pricing'!$F$7:$F$56,$O1582))+N(INDEX('Menu Pricing'!$G$7:$G$56,$O1582))+N(INDEX('Menu Pricing'!$J$7:$J$56,$O1582)))</f>
        <v/>
      </c>
      <c r="K1582" s="71">
        <f>IF($N1582&lt;&gt;"OK","",$D1582*$J1582)</f>
        <v/>
      </c>
      <c r="L1582" s="71">
        <f>IF($N1582&lt;&gt;"OK","",$I1582-$K1582)</f>
        <v/>
      </c>
      <c r="M1582" s="71">
        <f>IF($N1582&lt;&gt;"OK","",$D1582*N(INDEX('Menu Pricing'!$F$7:$F$56,$O1582)))</f>
        <v/>
      </c>
      <c r="N1582" s="80">
        <f>IF(AND($B1582="",$C1582="",$D1582=""),"",IF(NOT(ISNUMBER($B1582)),"Enter a valid date",IF($C1582="","Pick a menu item",IF($O1582="","Item not on Menu Pricing",IF(N($D1582)&lt;=0,"Qty must be above 0",IF($H1582="","No price on menu","OK"))))))</f>
        <v/>
      </c>
      <c r="O1582" s="13">
        <f>IF($C1582="","",IFERROR(MATCH($C1582,'Menu Pricing'!$B$7:$B$56,0),""))</f>
        <v/>
      </c>
    </row>
    <row r="1583" ht="17" customHeight="1">
      <c r="B1583" s="66" t="n"/>
      <c r="C1583" s="60" t="n"/>
      <c r="D1583" s="86" t="n"/>
      <c r="E1583" s="63" t="n"/>
      <c r="F1583" s="60" t="n"/>
      <c r="G1583" s="60" t="n"/>
      <c r="H1583" s="71">
        <f>IF(OR($C1583="",$D1583=""),"",IF(ISNUMBER($E1583),$E1583,IF($O1583="","",IF(N(INDEX('Menu Pricing'!$O$7:$O$56,$O1583))&gt;0,INDEX('Menu Pricing'!$O$7:$O$56,$O1583),""))))</f>
        <v/>
      </c>
      <c r="I1583" s="71">
        <f>IF($N1583&lt;&gt;"OK","",$D1583*$H1583)</f>
        <v/>
      </c>
      <c r="J1583" s="71">
        <f>IF($N1583&lt;&gt;"OK","",N(INDEX('Menu Pricing'!$F$7:$F$56,$O1583))+N(INDEX('Menu Pricing'!$G$7:$G$56,$O1583))+N(INDEX('Menu Pricing'!$J$7:$J$56,$O1583)))</f>
        <v/>
      </c>
      <c r="K1583" s="71">
        <f>IF($N1583&lt;&gt;"OK","",$D1583*$J1583)</f>
        <v/>
      </c>
      <c r="L1583" s="71">
        <f>IF($N1583&lt;&gt;"OK","",$I1583-$K1583)</f>
        <v/>
      </c>
      <c r="M1583" s="71">
        <f>IF($N1583&lt;&gt;"OK","",$D1583*N(INDEX('Menu Pricing'!$F$7:$F$56,$O1583)))</f>
        <v/>
      </c>
      <c r="N1583" s="80">
        <f>IF(AND($B1583="",$C1583="",$D1583=""),"",IF(NOT(ISNUMBER($B1583)),"Enter a valid date",IF($C1583="","Pick a menu item",IF($O1583="","Item not on Menu Pricing",IF(N($D1583)&lt;=0,"Qty must be above 0",IF($H1583="","No price on menu","OK"))))))</f>
        <v/>
      </c>
      <c r="O1583" s="13">
        <f>IF($C1583="","",IFERROR(MATCH($C1583,'Menu Pricing'!$B$7:$B$56,0),""))</f>
        <v/>
      </c>
    </row>
    <row r="1584" ht="17" customHeight="1">
      <c r="B1584" s="66" t="n"/>
      <c r="C1584" s="60" t="n"/>
      <c r="D1584" s="86" t="n"/>
      <c r="E1584" s="63" t="n"/>
      <c r="F1584" s="60" t="n"/>
      <c r="G1584" s="60" t="n"/>
      <c r="H1584" s="71">
        <f>IF(OR($C1584="",$D1584=""),"",IF(ISNUMBER($E1584),$E1584,IF($O1584="","",IF(N(INDEX('Menu Pricing'!$O$7:$O$56,$O1584))&gt;0,INDEX('Menu Pricing'!$O$7:$O$56,$O1584),""))))</f>
        <v/>
      </c>
      <c r="I1584" s="71">
        <f>IF($N1584&lt;&gt;"OK","",$D1584*$H1584)</f>
        <v/>
      </c>
      <c r="J1584" s="71">
        <f>IF($N1584&lt;&gt;"OK","",N(INDEX('Menu Pricing'!$F$7:$F$56,$O1584))+N(INDEX('Menu Pricing'!$G$7:$G$56,$O1584))+N(INDEX('Menu Pricing'!$J$7:$J$56,$O1584)))</f>
        <v/>
      </c>
      <c r="K1584" s="71">
        <f>IF($N1584&lt;&gt;"OK","",$D1584*$J1584)</f>
        <v/>
      </c>
      <c r="L1584" s="71">
        <f>IF($N1584&lt;&gt;"OK","",$I1584-$K1584)</f>
        <v/>
      </c>
      <c r="M1584" s="71">
        <f>IF($N1584&lt;&gt;"OK","",$D1584*N(INDEX('Menu Pricing'!$F$7:$F$56,$O1584)))</f>
        <v/>
      </c>
      <c r="N1584" s="80">
        <f>IF(AND($B1584="",$C1584="",$D1584=""),"",IF(NOT(ISNUMBER($B1584)),"Enter a valid date",IF($C1584="","Pick a menu item",IF($O1584="","Item not on Menu Pricing",IF(N($D1584)&lt;=0,"Qty must be above 0",IF($H1584="","No price on menu","OK"))))))</f>
        <v/>
      </c>
      <c r="O1584" s="13">
        <f>IF($C1584="","",IFERROR(MATCH($C1584,'Menu Pricing'!$B$7:$B$56,0),""))</f>
        <v/>
      </c>
    </row>
    <row r="1585" ht="17" customHeight="1">
      <c r="B1585" s="66" t="n"/>
      <c r="C1585" s="60" t="n"/>
      <c r="D1585" s="86" t="n"/>
      <c r="E1585" s="63" t="n"/>
      <c r="F1585" s="60" t="n"/>
      <c r="G1585" s="60" t="n"/>
      <c r="H1585" s="71">
        <f>IF(OR($C1585="",$D1585=""),"",IF(ISNUMBER($E1585),$E1585,IF($O1585="","",IF(N(INDEX('Menu Pricing'!$O$7:$O$56,$O1585))&gt;0,INDEX('Menu Pricing'!$O$7:$O$56,$O1585),""))))</f>
        <v/>
      </c>
      <c r="I1585" s="71">
        <f>IF($N1585&lt;&gt;"OK","",$D1585*$H1585)</f>
        <v/>
      </c>
      <c r="J1585" s="71">
        <f>IF($N1585&lt;&gt;"OK","",N(INDEX('Menu Pricing'!$F$7:$F$56,$O1585))+N(INDEX('Menu Pricing'!$G$7:$G$56,$O1585))+N(INDEX('Menu Pricing'!$J$7:$J$56,$O1585)))</f>
        <v/>
      </c>
      <c r="K1585" s="71">
        <f>IF($N1585&lt;&gt;"OK","",$D1585*$J1585)</f>
        <v/>
      </c>
      <c r="L1585" s="71">
        <f>IF($N1585&lt;&gt;"OK","",$I1585-$K1585)</f>
        <v/>
      </c>
      <c r="M1585" s="71">
        <f>IF($N1585&lt;&gt;"OK","",$D1585*N(INDEX('Menu Pricing'!$F$7:$F$56,$O1585)))</f>
        <v/>
      </c>
      <c r="N1585" s="80">
        <f>IF(AND($B1585="",$C1585="",$D1585=""),"",IF(NOT(ISNUMBER($B1585)),"Enter a valid date",IF($C1585="","Pick a menu item",IF($O1585="","Item not on Menu Pricing",IF(N($D1585)&lt;=0,"Qty must be above 0",IF($H1585="","No price on menu","OK"))))))</f>
        <v/>
      </c>
      <c r="O1585" s="13">
        <f>IF($C1585="","",IFERROR(MATCH($C1585,'Menu Pricing'!$B$7:$B$56,0),""))</f>
        <v/>
      </c>
    </row>
    <row r="1586" ht="17" customHeight="1">
      <c r="B1586" s="66" t="n"/>
      <c r="C1586" s="60" t="n"/>
      <c r="D1586" s="86" t="n"/>
      <c r="E1586" s="63" t="n"/>
      <c r="F1586" s="60" t="n"/>
      <c r="G1586" s="60" t="n"/>
      <c r="H1586" s="71">
        <f>IF(OR($C1586="",$D1586=""),"",IF(ISNUMBER($E1586),$E1586,IF($O1586="","",IF(N(INDEX('Menu Pricing'!$O$7:$O$56,$O1586))&gt;0,INDEX('Menu Pricing'!$O$7:$O$56,$O1586),""))))</f>
        <v/>
      </c>
      <c r="I1586" s="71">
        <f>IF($N1586&lt;&gt;"OK","",$D1586*$H1586)</f>
        <v/>
      </c>
      <c r="J1586" s="71">
        <f>IF($N1586&lt;&gt;"OK","",N(INDEX('Menu Pricing'!$F$7:$F$56,$O1586))+N(INDEX('Menu Pricing'!$G$7:$G$56,$O1586))+N(INDEX('Menu Pricing'!$J$7:$J$56,$O1586)))</f>
        <v/>
      </c>
      <c r="K1586" s="71">
        <f>IF($N1586&lt;&gt;"OK","",$D1586*$J1586)</f>
        <v/>
      </c>
      <c r="L1586" s="71">
        <f>IF($N1586&lt;&gt;"OK","",$I1586-$K1586)</f>
        <v/>
      </c>
      <c r="M1586" s="71">
        <f>IF($N1586&lt;&gt;"OK","",$D1586*N(INDEX('Menu Pricing'!$F$7:$F$56,$O1586)))</f>
        <v/>
      </c>
      <c r="N1586" s="80">
        <f>IF(AND($B1586="",$C1586="",$D1586=""),"",IF(NOT(ISNUMBER($B1586)),"Enter a valid date",IF($C1586="","Pick a menu item",IF($O1586="","Item not on Menu Pricing",IF(N($D1586)&lt;=0,"Qty must be above 0",IF($H1586="","No price on menu","OK"))))))</f>
        <v/>
      </c>
      <c r="O1586" s="13">
        <f>IF($C1586="","",IFERROR(MATCH($C1586,'Menu Pricing'!$B$7:$B$56,0),""))</f>
        <v/>
      </c>
    </row>
    <row r="1587" ht="17" customHeight="1">
      <c r="B1587" s="66" t="n"/>
      <c r="C1587" s="60" t="n"/>
      <c r="D1587" s="86" t="n"/>
      <c r="E1587" s="63" t="n"/>
      <c r="F1587" s="60" t="n"/>
      <c r="G1587" s="60" t="n"/>
      <c r="H1587" s="71">
        <f>IF(OR($C1587="",$D1587=""),"",IF(ISNUMBER($E1587),$E1587,IF($O1587="","",IF(N(INDEX('Menu Pricing'!$O$7:$O$56,$O1587))&gt;0,INDEX('Menu Pricing'!$O$7:$O$56,$O1587),""))))</f>
        <v/>
      </c>
      <c r="I1587" s="71">
        <f>IF($N1587&lt;&gt;"OK","",$D1587*$H1587)</f>
        <v/>
      </c>
      <c r="J1587" s="71">
        <f>IF($N1587&lt;&gt;"OK","",N(INDEX('Menu Pricing'!$F$7:$F$56,$O1587))+N(INDEX('Menu Pricing'!$G$7:$G$56,$O1587))+N(INDEX('Menu Pricing'!$J$7:$J$56,$O1587)))</f>
        <v/>
      </c>
      <c r="K1587" s="71">
        <f>IF($N1587&lt;&gt;"OK","",$D1587*$J1587)</f>
        <v/>
      </c>
      <c r="L1587" s="71">
        <f>IF($N1587&lt;&gt;"OK","",$I1587-$K1587)</f>
        <v/>
      </c>
      <c r="M1587" s="71">
        <f>IF($N1587&lt;&gt;"OK","",$D1587*N(INDEX('Menu Pricing'!$F$7:$F$56,$O1587)))</f>
        <v/>
      </c>
      <c r="N1587" s="80">
        <f>IF(AND($B1587="",$C1587="",$D1587=""),"",IF(NOT(ISNUMBER($B1587)),"Enter a valid date",IF($C1587="","Pick a menu item",IF($O1587="","Item not on Menu Pricing",IF(N($D1587)&lt;=0,"Qty must be above 0",IF($H1587="","No price on menu","OK"))))))</f>
        <v/>
      </c>
      <c r="O1587" s="13">
        <f>IF($C1587="","",IFERROR(MATCH($C1587,'Menu Pricing'!$B$7:$B$56,0),""))</f>
        <v/>
      </c>
    </row>
    <row r="1588" ht="17" customHeight="1">
      <c r="B1588" s="66" t="n"/>
      <c r="C1588" s="60" t="n"/>
      <c r="D1588" s="86" t="n"/>
      <c r="E1588" s="63" t="n"/>
      <c r="F1588" s="60" t="n"/>
      <c r="G1588" s="60" t="n"/>
      <c r="H1588" s="71">
        <f>IF(OR($C1588="",$D1588=""),"",IF(ISNUMBER($E1588),$E1588,IF($O1588="","",IF(N(INDEX('Menu Pricing'!$O$7:$O$56,$O1588))&gt;0,INDEX('Menu Pricing'!$O$7:$O$56,$O1588),""))))</f>
        <v/>
      </c>
      <c r="I1588" s="71">
        <f>IF($N1588&lt;&gt;"OK","",$D1588*$H1588)</f>
        <v/>
      </c>
      <c r="J1588" s="71">
        <f>IF($N1588&lt;&gt;"OK","",N(INDEX('Menu Pricing'!$F$7:$F$56,$O1588))+N(INDEX('Menu Pricing'!$G$7:$G$56,$O1588))+N(INDEX('Menu Pricing'!$J$7:$J$56,$O1588)))</f>
        <v/>
      </c>
      <c r="K1588" s="71">
        <f>IF($N1588&lt;&gt;"OK","",$D1588*$J1588)</f>
        <v/>
      </c>
      <c r="L1588" s="71">
        <f>IF($N1588&lt;&gt;"OK","",$I1588-$K1588)</f>
        <v/>
      </c>
      <c r="M1588" s="71">
        <f>IF($N1588&lt;&gt;"OK","",$D1588*N(INDEX('Menu Pricing'!$F$7:$F$56,$O1588)))</f>
        <v/>
      </c>
      <c r="N1588" s="80">
        <f>IF(AND($B1588="",$C1588="",$D1588=""),"",IF(NOT(ISNUMBER($B1588)),"Enter a valid date",IF($C1588="","Pick a menu item",IF($O1588="","Item not on Menu Pricing",IF(N($D1588)&lt;=0,"Qty must be above 0",IF($H1588="","No price on menu","OK"))))))</f>
        <v/>
      </c>
      <c r="O1588" s="13">
        <f>IF($C1588="","",IFERROR(MATCH($C1588,'Menu Pricing'!$B$7:$B$56,0),""))</f>
        <v/>
      </c>
    </row>
    <row r="1589" ht="17" customHeight="1">
      <c r="B1589" s="66" t="n"/>
      <c r="C1589" s="60" t="n"/>
      <c r="D1589" s="86" t="n"/>
      <c r="E1589" s="63" t="n"/>
      <c r="F1589" s="60" t="n"/>
      <c r="G1589" s="60" t="n"/>
      <c r="H1589" s="71">
        <f>IF(OR($C1589="",$D1589=""),"",IF(ISNUMBER($E1589),$E1589,IF($O1589="","",IF(N(INDEX('Menu Pricing'!$O$7:$O$56,$O1589))&gt;0,INDEX('Menu Pricing'!$O$7:$O$56,$O1589),""))))</f>
        <v/>
      </c>
      <c r="I1589" s="71">
        <f>IF($N1589&lt;&gt;"OK","",$D1589*$H1589)</f>
        <v/>
      </c>
      <c r="J1589" s="71">
        <f>IF($N1589&lt;&gt;"OK","",N(INDEX('Menu Pricing'!$F$7:$F$56,$O1589))+N(INDEX('Menu Pricing'!$G$7:$G$56,$O1589))+N(INDEX('Menu Pricing'!$J$7:$J$56,$O1589)))</f>
        <v/>
      </c>
      <c r="K1589" s="71">
        <f>IF($N1589&lt;&gt;"OK","",$D1589*$J1589)</f>
        <v/>
      </c>
      <c r="L1589" s="71">
        <f>IF($N1589&lt;&gt;"OK","",$I1589-$K1589)</f>
        <v/>
      </c>
      <c r="M1589" s="71">
        <f>IF($N1589&lt;&gt;"OK","",$D1589*N(INDEX('Menu Pricing'!$F$7:$F$56,$O1589)))</f>
        <v/>
      </c>
      <c r="N1589" s="80">
        <f>IF(AND($B1589="",$C1589="",$D1589=""),"",IF(NOT(ISNUMBER($B1589)),"Enter a valid date",IF($C1589="","Pick a menu item",IF($O1589="","Item not on Menu Pricing",IF(N($D1589)&lt;=0,"Qty must be above 0",IF($H1589="","No price on menu","OK"))))))</f>
        <v/>
      </c>
      <c r="O1589" s="13">
        <f>IF($C1589="","",IFERROR(MATCH($C1589,'Menu Pricing'!$B$7:$B$56,0),""))</f>
        <v/>
      </c>
    </row>
    <row r="1590" ht="17" customHeight="1">
      <c r="B1590" s="66" t="n"/>
      <c r="C1590" s="60" t="n"/>
      <c r="D1590" s="86" t="n"/>
      <c r="E1590" s="63" t="n"/>
      <c r="F1590" s="60" t="n"/>
      <c r="G1590" s="60" t="n"/>
      <c r="H1590" s="71">
        <f>IF(OR($C1590="",$D1590=""),"",IF(ISNUMBER($E1590),$E1590,IF($O1590="","",IF(N(INDEX('Menu Pricing'!$O$7:$O$56,$O1590))&gt;0,INDEX('Menu Pricing'!$O$7:$O$56,$O1590),""))))</f>
        <v/>
      </c>
      <c r="I1590" s="71">
        <f>IF($N1590&lt;&gt;"OK","",$D1590*$H1590)</f>
        <v/>
      </c>
      <c r="J1590" s="71">
        <f>IF($N1590&lt;&gt;"OK","",N(INDEX('Menu Pricing'!$F$7:$F$56,$O1590))+N(INDEX('Menu Pricing'!$G$7:$G$56,$O1590))+N(INDEX('Menu Pricing'!$J$7:$J$56,$O1590)))</f>
        <v/>
      </c>
      <c r="K1590" s="71">
        <f>IF($N1590&lt;&gt;"OK","",$D1590*$J1590)</f>
        <v/>
      </c>
      <c r="L1590" s="71">
        <f>IF($N1590&lt;&gt;"OK","",$I1590-$K1590)</f>
        <v/>
      </c>
      <c r="M1590" s="71">
        <f>IF($N1590&lt;&gt;"OK","",$D1590*N(INDEX('Menu Pricing'!$F$7:$F$56,$O1590)))</f>
        <v/>
      </c>
      <c r="N1590" s="80">
        <f>IF(AND($B1590="",$C1590="",$D1590=""),"",IF(NOT(ISNUMBER($B1590)),"Enter a valid date",IF($C1590="","Pick a menu item",IF($O1590="","Item not on Menu Pricing",IF(N($D1590)&lt;=0,"Qty must be above 0",IF($H1590="","No price on menu","OK"))))))</f>
        <v/>
      </c>
      <c r="O1590" s="13">
        <f>IF($C1590="","",IFERROR(MATCH($C1590,'Menu Pricing'!$B$7:$B$56,0),""))</f>
        <v/>
      </c>
    </row>
    <row r="1591" ht="17" customHeight="1">
      <c r="B1591" s="66" t="n"/>
      <c r="C1591" s="60" t="n"/>
      <c r="D1591" s="86" t="n"/>
      <c r="E1591" s="63" t="n"/>
      <c r="F1591" s="60" t="n"/>
      <c r="G1591" s="60" t="n"/>
      <c r="H1591" s="71">
        <f>IF(OR($C1591="",$D1591=""),"",IF(ISNUMBER($E1591),$E1591,IF($O1591="","",IF(N(INDEX('Menu Pricing'!$O$7:$O$56,$O1591))&gt;0,INDEX('Menu Pricing'!$O$7:$O$56,$O1591),""))))</f>
        <v/>
      </c>
      <c r="I1591" s="71">
        <f>IF($N1591&lt;&gt;"OK","",$D1591*$H1591)</f>
        <v/>
      </c>
      <c r="J1591" s="71">
        <f>IF($N1591&lt;&gt;"OK","",N(INDEX('Menu Pricing'!$F$7:$F$56,$O1591))+N(INDEX('Menu Pricing'!$G$7:$G$56,$O1591))+N(INDEX('Menu Pricing'!$J$7:$J$56,$O1591)))</f>
        <v/>
      </c>
      <c r="K1591" s="71">
        <f>IF($N1591&lt;&gt;"OK","",$D1591*$J1591)</f>
        <v/>
      </c>
      <c r="L1591" s="71">
        <f>IF($N1591&lt;&gt;"OK","",$I1591-$K1591)</f>
        <v/>
      </c>
      <c r="M1591" s="71">
        <f>IF($N1591&lt;&gt;"OK","",$D1591*N(INDEX('Menu Pricing'!$F$7:$F$56,$O1591)))</f>
        <v/>
      </c>
      <c r="N1591" s="80">
        <f>IF(AND($B1591="",$C1591="",$D1591=""),"",IF(NOT(ISNUMBER($B1591)),"Enter a valid date",IF($C1591="","Pick a menu item",IF($O1591="","Item not on Menu Pricing",IF(N($D1591)&lt;=0,"Qty must be above 0",IF($H1591="","No price on menu","OK"))))))</f>
        <v/>
      </c>
      <c r="O1591" s="13">
        <f>IF($C1591="","",IFERROR(MATCH($C1591,'Menu Pricing'!$B$7:$B$56,0),""))</f>
        <v/>
      </c>
    </row>
    <row r="1592" ht="17" customHeight="1">
      <c r="B1592" s="66" t="n"/>
      <c r="C1592" s="60" t="n"/>
      <c r="D1592" s="86" t="n"/>
      <c r="E1592" s="63" t="n"/>
      <c r="F1592" s="60" t="n"/>
      <c r="G1592" s="60" t="n"/>
      <c r="H1592" s="71">
        <f>IF(OR($C1592="",$D1592=""),"",IF(ISNUMBER($E1592),$E1592,IF($O1592="","",IF(N(INDEX('Menu Pricing'!$O$7:$O$56,$O1592))&gt;0,INDEX('Menu Pricing'!$O$7:$O$56,$O1592),""))))</f>
        <v/>
      </c>
      <c r="I1592" s="71">
        <f>IF($N1592&lt;&gt;"OK","",$D1592*$H1592)</f>
        <v/>
      </c>
      <c r="J1592" s="71">
        <f>IF($N1592&lt;&gt;"OK","",N(INDEX('Menu Pricing'!$F$7:$F$56,$O1592))+N(INDEX('Menu Pricing'!$G$7:$G$56,$O1592))+N(INDEX('Menu Pricing'!$J$7:$J$56,$O1592)))</f>
        <v/>
      </c>
      <c r="K1592" s="71">
        <f>IF($N1592&lt;&gt;"OK","",$D1592*$J1592)</f>
        <v/>
      </c>
      <c r="L1592" s="71">
        <f>IF($N1592&lt;&gt;"OK","",$I1592-$K1592)</f>
        <v/>
      </c>
      <c r="M1592" s="71">
        <f>IF($N1592&lt;&gt;"OK","",$D1592*N(INDEX('Menu Pricing'!$F$7:$F$56,$O1592)))</f>
        <v/>
      </c>
      <c r="N1592" s="80">
        <f>IF(AND($B1592="",$C1592="",$D1592=""),"",IF(NOT(ISNUMBER($B1592)),"Enter a valid date",IF($C1592="","Pick a menu item",IF($O1592="","Item not on Menu Pricing",IF(N($D1592)&lt;=0,"Qty must be above 0",IF($H1592="","No price on menu","OK"))))))</f>
        <v/>
      </c>
      <c r="O1592" s="13">
        <f>IF($C1592="","",IFERROR(MATCH($C1592,'Menu Pricing'!$B$7:$B$56,0),""))</f>
        <v/>
      </c>
    </row>
    <row r="1593" ht="17" customHeight="1">
      <c r="B1593" s="66" t="n"/>
      <c r="C1593" s="60" t="n"/>
      <c r="D1593" s="86" t="n"/>
      <c r="E1593" s="63" t="n"/>
      <c r="F1593" s="60" t="n"/>
      <c r="G1593" s="60" t="n"/>
      <c r="H1593" s="71">
        <f>IF(OR($C1593="",$D1593=""),"",IF(ISNUMBER($E1593),$E1593,IF($O1593="","",IF(N(INDEX('Menu Pricing'!$O$7:$O$56,$O1593))&gt;0,INDEX('Menu Pricing'!$O$7:$O$56,$O1593),""))))</f>
        <v/>
      </c>
      <c r="I1593" s="71">
        <f>IF($N1593&lt;&gt;"OK","",$D1593*$H1593)</f>
        <v/>
      </c>
      <c r="J1593" s="71">
        <f>IF($N1593&lt;&gt;"OK","",N(INDEX('Menu Pricing'!$F$7:$F$56,$O1593))+N(INDEX('Menu Pricing'!$G$7:$G$56,$O1593))+N(INDEX('Menu Pricing'!$J$7:$J$56,$O1593)))</f>
        <v/>
      </c>
      <c r="K1593" s="71">
        <f>IF($N1593&lt;&gt;"OK","",$D1593*$J1593)</f>
        <v/>
      </c>
      <c r="L1593" s="71">
        <f>IF($N1593&lt;&gt;"OK","",$I1593-$K1593)</f>
        <v/>
      </c>
      <c r="M1593" s="71">
        <f>IF($N1593&lt;&gt;"OK","",$D1593*N(INDEX('Menu Pricing'!$F$7:$F$56,$O1593)))</f>
        <v/>
      </c>
      <c r="N1593" s="80">
        <f>IF(AND($B1593="",$C1593="",$D1593=""),"",IF(NOT(ISNUMBER($B1593)),"Enter a valid date",IF($C1593="","Pick a menu item",IF($O1593="","Item not on Menu Pricing",IF(N($D1593)&lt;=0,"Qty must be above 0",IF($H1593="","No price on menu","OK"))))))</f>
        <v/>
      </c>
      <c r="O1593" s="13">
        <f>IF($C1593="","",IFERROR(MATCH($C1593,'Menu Pricing'!$B$7:$B$56,0),""))</f>
        <v/>
      </c>
    </row>
    <row r="1594" ht="17" customHeight="1">
      <c r="B1594" s="66" t="n"/>
      <c r="C1594" s="60" t="n"/>
      <c r="D1594" s="86" t="n"/>
      <c r="E1594" s="63" t="n"/>
      <c r="F1594" s="60" t="n"/>
      <c r="G1594" s="60" t="n"/>
      <c r="H1594" s="71">
        <f>IF(OR($C1594="",$D1594=""),"",IF(ISNUMBER($E1594),$E1594,IF($O1594="","",IF(N(INDEX('Menu Pricing'!$O$7:$O$56,$O1594))&gt;0,INDEX('Menu Pricing'!$O$7:$O$56,$O1594),""))))</f>
        <v/>
      </c>
      <c r="I1594" s="71">
        <f>IF($N1594&lt;&gt;"OK","",$D1594*$H1594)</f>
        <v/>
      </c>
      <c r="J1594" s="71">
        <f>IF($N1594&lt;&gt;"OK","",N(INDEX('Menu Pricing'!$F$7:$F$56,$O1594))+N(INDEX('Menu Pricing'!$G$7:$G$56,$O1594))+N(INDEX('Menu Pricing'!$J$7:$J$56,$O1594)))</f>
        <v/>
      </c>
      <c r="K1594" s="71">
        <f>IF($N1594&lt;&gt;"OK","",$D1594*$J1594)</f>
        <v/>
      </c>
      <c r="L1594" s="71">
        <f>IF($N1594&lt;&gt;"OK","",$I1594-$K1594)</f>
        <v/>
      </c>
      <c r="M1594" s="71">
        <f>IF($N1594&lt;&gt;"OK","",$D1594*N(INDEX('Menu Pricing'!$F$7:$F$56,$O1594)))</f>
        <v/>
      </c>
      <c r="N1594" s="80">
        <f>IF(AND($B1594="",$C1594="",$D1594=""),"",IF(NOT(ISNUMBER($B1594)),"Enter a valid date",IF($C1594="","Pick a menu item",IF($O1594="","Item not on Menu Pricing",IF(N($D1594)&lt;=0,"Qty must be above 0",IF($H1594="","No price on menu","OK"))))))</f>
        <v/>
      </c>
      <c r="O1594" s="13">
        <f>IF($C1594="","",IFERROR(MATCH($C1594,'Menu Pricing'!$B$7:$B$56,0),""))</f>
        <v/>
      </c>
    </row>
    <row r="1595" ht="17" customHeight="1">
      <c r="B1595" s="66" t="n"/>
      <c r="C1595" s="60" t="n"/>
      <c r="D1595" s="86" t="n"/>
      <c r="E1595" s="63" t="n"/>
      <c r="F1595" s="60" t="n"/>
      <c r="G1595" s="60" t="n"/>
      <c r="H1595" s="71">
        <f>IF(OR($C1595="",$D1595=""),"",IF(ISNUMBER($E1595),$E1595,IF($O1595="","",IF(N(INDEX('Menu Pricing'!$O$7:$O$56,$O1595))&gt;0,INDEX('Menu Pricing'!$O$7:$O$56,$O1595),""))))</f>
        <v/>
      </c>
      <c r="I1595" s="71">
        <f>IF($N1595&lt;&gt;"OK","",$D1595*$H1595)</f>
        <v/>
      </c>
      <c r="J1595" s="71">
        <f>IF($N1595&lt;&gt;"OK","",N(INDEX('Menu Pricing'!$F$7:$F$56,$O1595))+N(INDEX('Menu Pricing'!$G$7:$G$56,$O1595))+N(INDEX('Menu Pricing'!$J$7:$J$56,$O1595)))</f>
        <v/>
      </c>
      <c r="K1595" s="71">
        <f>IF($N1595&lt;&gt;"OK","",$D1595*$J1595)</f>
        <v/>
      </c>
      <c r="L1595" s="71">
        <f>IF($N1595&lt;&gt;"OK","",$I1595-$K1595)</f>
        <v/>
      </c>
      <c r="M1595" s="71">
        <f>IF($N1595&lt;&gt;"OK","",$D1595*N(INDEX('Menu Pricing'!$F$7:$F$56,$O1595)))</f>
        <v/>
      </c>
      <c r="N1595" s="80">
        <f>IF(AND($B1595="",$C1595="",$D1595=""),"",IF(NOT(ISNUMBER($B1595)),"Enter a valid date",IF($C1595="","Pick a menu item",IF($O1595="","Item not on Menu Pricing",IF(N($D1595)&lt;=0,"Qty must be above 0",IF($H1595="","No price on menu","OK"))))))</f>
        <v/>
      </c>
      <c r="O1595" s="13">
        <f>IF($C1595="","",IFERROR(MATCH($C1595,'Menu Pricing'!$B$7:$B$56,0),""))</f>
        <v/>
      </c>
    </row>
    <row r="1596" ht="17" customHeight="1">
      <c r="B1596" s="66" t="n"/>
      <c r="C1596" s="60" t="n"/>
      <c r="D1596" s="86" t="n"/>
      <c r="E1596" s="63" t="n"/>
      <c r="F1596" s="60" t="n"/>
      <c r="G1596" s="60" t="n"/>
      <c r="H1596" s="71">
        <f>IF(OR($C1596="",$D1596=""),"",IF(ISNUMBER($E1596),$E1596,IF($O1596="","",IF(N(INDEX('Menu Pricing'!$O$7:$O$56,$O1596))&gt;0,INDEX('Menu Pricing'!$O$7:$O$56,$O1596),""))))</f>
        <v/>
      </c>
      <c r="I1596" s="71">
        <f>IF($N1596&lt;&gt;"OK","",$D1596*$H1596)</f>
        <v/>
      </c>
      <c r="J1596" s="71">
        <f>IF($N1596&lt;&gt;"OK","",N(INDEX('Menu Pricing'!$F$7:$F$56,$O1596))+N(INDEX('Menu Pricing'!$G$7:$G$56,$O1596))+N(INDEX('Menu Pricing'!$J$7:$J$56,$O1596)))</f>
        <v/>
      </c>
      <c r="K1596" s="71">
        <f>IF($N1596&lt;&gt;"OK","",$D1596*$J1596)</f>
        <v/>
      </c>
      <c r="L1596" s="71">
        <f>IF($N1596&lt;&gt;"OK","",$I1596-$K1596)</f>
        <v/>
      </c>
      <c r="M1596" s="71">
        <f>IF($N1596&lt;&gt;"OK","",$D1596*N(INDEX('Menu Pricing'!$F$7:$F$56,$O1596)))</f>
        <v/>
      </c>
      <c r="N1596" s="80">
        <f>IF(AND($B1596="",$C1596="",$D1596=""),"",IF(NOT(ISNUMBER($B1596)),"Enter a valid date",IF($C1596="","Pick a menu item",IF($O1596="","Item not on Menu Pricing",IF(N($D1596)&lt;=0,"Qty must be above 0",IF($H1596="","No price on menu","OK"))))))</f>
        <v/>
      </c>
      <c r="O1596" s="13">
        <f>IF($C1596="","",IFERROR(MATCH($C1596,'Menu Pricing'!$B$7:$B$56,0),""))</f>
        <v/>
      </c>
    </row>
    <row r="1597" ht="17" customHeight="1">
      <c r="B1597" s="66" t="n"/>
      <c r="C1597" s="60" t="n"/>
      <c r="D1597" s="86" t="n"/>
      <c r="E1597" s="63" t="n"/>
      <c r="F1597" s="60" t="n"/>
      <c r="G1597" s="60" t="n"/>
      <c r="H1597" s="71">
        <f>IF(OR($C1597="",$D1597=""),"",IF(ISNUMBER($E1597),$E1597,IF($O1597="","",IF(N(INDEX('Menu Pricing'!$O$7:$O$56,$O1597))&gt;0,INDEX('Menu Pricing'!$O$7:$O$56,$O1597),""))))</f>
        <v/>
      </c>
      <c r="I1597" s="71">
        <f>IF($N1597&lt;&gt;"OK","",$D1597*$H1597)</f>
        <v/>
      </c>
      <c r="J1597" s="71">
        <f>IF($N1597&lt;&gt;"OK","",N(INDEX('Menu Pricing'!$F$7:$F$56,$O1597))+N(INDEX('Menu Pricing'!$G$7:$G$56,$O1597))+N(INDEX('Menu Pricing'!$J$7:$J$56,$O1597)))</f>
        <v/>
      </c>
      <c r="K1597" s="71">
        <f>IF($N1597&lt;&gt;"OK","",$D1597*$J1597)</f>
        <v/>
      </c>
      <c r="L1597" s="71">
        <f>IF($N1597&lt;&gt;"OK","",$I1597-$K1597)</f>
        <v/>
      </c>
      <c r="M1597" s="71">
        <f>IF($N1597&lt;&gt;"OK","",$D1597*N(INDEX('Menu Pricing'!$F$7:$F$56,$O1597)))</f>
        <v/>
      </c>
      <c r="N1597" s="80">
        <f>IF(AND($B1597="",$C1597="",$D1597=""),"",IF(NOT(ISNUMBER($B1597)),"Enter a valid date",IF($C1597="","Pick a menu item",IF($O1597="","Item not on Menu Pricing",IF(N($D1597)&lt;=0,"Qty must be above 0",IF($H1597="","No price on menu","OK"))))))</f>
        <v/>
      </c>
      <c r="O1597" s="13">
        <f>IF($C1597="","",IFERROR(MATCH($C1597,'Menu Pricing'!$B$7:$B$56,0),""))</f>
        <v/>
      </c>
    </row>
    <row r="1598" ht="17" customHeight="1">
      <c r="B1598" s="66" t="n"/>
      <c r="C1598" s="60" t="n"/>
      <c r="D1598" s="86" t="n"/>
      <c r="E1598" s="63" t="n"/>
      <c r="F1598" s="60" t="n"/>
      <c r="G1598" s="60" t="n"/>
      <c r="H1598" s="71">
        <f>IF(OR($C1598="",$D1598=""),"",IF(ISNUMBER($E1598),$E1598,IF($O1598="","",IF(N(INDEX('Menu Pricing'!$O$7:$O$56,$O1598))&gt;0,INDEX('Menu Pricing'!$O$7:$O$56,$O1598),""))))</f>
        <v/>
      </c>
      <c r="I1598" s="71">
        <f>IF($N1598&lt;&gt;"OK","",$D1598*$H1598)</f>
        <v/>
      </c>
      <c r="J1598" s="71">
        <f>IF($N1598&lt;&gt;"OK","",N(INDEX('Menu Pricing'!$F$7:$F$56,$O1598))+N(INDEX('Menu Pricing'!$G$7:$G$56,$O1598))+N(INDEX('Menu Pricing'!$J$7:$J$56,$O1598)))</f>
        <v/>
      </c>
      <c r="K1598" s="71">
        <f>IF($N1598&lt;&gt;"OK","",$D1598*$J1598)</f>
        <v/>
      </c>
      <c r="L1598" s="71">
        <f>IF($N1598&lt;&gt;"OK","",$I1598-$K1598)</f>
        <v/>
      </c>
      <c r="M1598" s="71">
        <f>IF($N1598&lt;&gt;"OK","",$D1598*N(INDEX('Menu Pricing'!$F$7:$F$56,$O1598)))</f>
        <v/>
      </c>
      <c r="N1598" s="80">
        <f>IF(AND($B1598="",$C1598="",$D1598=""),"",IF(NOT(ISNUMBER($B1598)),"Enter a valid date",IF($C1598="","Pick a menu item",IF($O1598="","Item not on Menu Pricing",IF(N($D1598)&lt;=0,"Qty must be above 0",IF($H1598="","No price on menu","OK"))))))</f>
        <v/>
      </c>
      <c r="O1598" s="13">
        <f>IF($C1598="","",IFERROR(MATCH($C1598,'Menu Pricing'!$B$7:$B$56,0),""))</f>
        <v/>
      </c>
    </row>
    <row r="1599" ht="17" customHeight="1">
      <c r="B1599" s="66" t="n"/>
      <c r="C1599" s="60" t="n"/>
      <c r="D1599" s="86" t="n"/>
      <c r="E1599" s="63" t="n"/>
      <c r="F1599" s="60" t="n"/>
      <c r="G1599" s="60" t="n"/>
      <c r="H1599" s="71">
        <f>IF(OR($C1599="",$D1599=""),"",IF(ISNUMBER($E1599),$E1599,IF($O1599="","",IF(N(INDEX('Menu Pricing'!$O$7:$O$56,$O1599))&gt;0,INDEX('Menu Pricing'!$O$7:$O$56,$O1599),""))))</f>
        <v/>
      </c>
      <c r="I1599" s="71">
        <f>IF($N1599&lt;&gt;"OK","",$D1599*$H1599)</f>
        <v/>
      </c>
      <c r="J1599" s="71">
        <f>IF($N1599&lt;&gt;"OK","",N(INDEX('Menu Pricing'!$F$7:$F$56,$O1599))+N(INDEX('Menu Pricing'!$G$7:$G$56,$O1599))+N(INDEX('Menu Pricing'!$J$7:$J$56,$O1599)))</f>
        <v/>
      </c>
      <c r="K1599" s="71">
        <f>IF($N1599&lt;&gt;"OK","",$D1599*$J1599)</f>
        <v/>
      </c>
      <c r="L1599" s="71">
        <f>IF($N1599&lt;&gt;"OK","",$I1599-$K1599)</f>
        <v/>
      </c>
      <c r="M1599" s="71">
        <f>IF($N1599&lt;&gt;"OK","",$D1599*N(INDEX('Menu Pricing'!$F$7:$F$56,$O1599)))</f>
        <v/>
      </c>
      <c r="N1599" s="80">
        <f>IF(AND($B1599="",$C1599="",$D1599=""),"",IF(NOT(ISNUMBER($B1599)),"Enter a valid date",IF($C1599="","Pick a menu item",IF($O1599="","Item not on Menu Pricing",IF(N($D1599)&lt;=0,"Qty must be above 0",IF($H1599="","No price on menu","OK"))))))</f>
        <v/>
      </c>
      <c r="O1599" s="13">
        <f>IF($C1599="","",IFERROR(MATCH($C1599,'Menu Pricing'!$B$7:$B$56,0),""))</f>
        <v/>
      </c>
    </row>
    <row r="1600" ht="17" customHeight="1">
      <c r="B1600" s="66" t="n"/>
      <c r="C1600" s="60" t="n"/>
      <c r="D1600" s="86" t="n"/>
      <c r="E1600" s="63" t="n"/>
      <c r="F1600" s="60" t="n"/>
      <c r="G1600" s="60" t="n"/>
      <c r="H1600" s="71">
        <f>IF(OR($C1600="",$D1600=""),"",IF(ISNUMBER($E1600),$E1600,IF($O1600="","",IF(N(INDEX('Menu Pricing'!$O$7:$O$56,$O1600))&gt;0,INDEX('Menu Pricing'!$O$7:$O$56,$O1600),""))))</f>
        <v/>
      </c>
      <c r="I1600" s="71">
        <f>IF($N1600&lt;&gt;"OK","",$D1600*$H1600)</f>
        <v/>
      </c>
      <c r="J1600" s="71">
        <f>IF($N1600&lt;&gt;"OK","",N(INDEX('Menu Pricing'!$F$7:$F$56,$O1600))+N(INDEX('Menu Pricing'!$G$7:$G$56,$O1600))+N(INDEX('Menu Pricing'!$J$7:$J$56,$O1600)))</f>
        <v/>
      </c>
      <c r="K1600" s="71">
        <f>IF($N1600&lt;&gt;"OK","",$D1600*$J1600)</f>
        <v/>
      </c>
      <c r="L1600" s="71">
        <f>IF($N1600&lt;&gt;"OK","",$I1600-$K1600)</f>
        <v/>
      </c>
      <c r="M1600" s="71">
        <f>IF($N1600&lt;&gt;"OK","",$D1600*N(INDEX('Menu Pricing'!$F$7:$F$56,$O1600)))</f>
        <v/>
      </c>
      <c r="N1600" s="80">
        <f>IF(AND($B1600="",$C1600="",$D1600=""),"",IF(NOT(ISNUMBER($B1600)),"Enter a valid date",IF($C1600="","Pick a menu item",IF($O1600="","Item not on Menu Pricing",IF(N($D1600)&lt;=0,"Qty must be above 0",IF($H1600="","No price on menu","OK"))))))</f>
        <v/>
      </c>
      <c r="O1600" s="13">
        <f>IF($C1600="","",IFERROR(MATCH($C1600,'Menu Pricing'!$B$7:$B$56,0),""))</f>
        <v/>
      </c>
    </row>
    <row r="1601" ht="17" customHeight="1">
      <c r="B1601" s="66" t="n"/>
      <c r="C1601" s="60" t="n"/>
      <c r="D1601" s="86" t="n"/>
      <c r="E1601" s="63" t="n"/>
      <c r="F1601" s="60" t="n"/>
      <c r="G1601" s="60" t="n"/>
      <c r="H1601" s="71">
        <f>IF(OR($C1601="",$D1601=""),"",IF(ISNUMBER($E1601),$E1601,IF($O1601="","",IF(N(INDEX('Menu Pricing'!$O$7:$O$56,$O1601))&gt;0,INDEX('Menu Pricing'!$O$7:$O$56,$O1601),""))))</f>
        <v/>
      </c>
      <c r="I1601" s="71">
        <f>IF($N1601&lt;&gt;"OK","",$D1601*$H1601)</f>
        <v/>
      </c>
      <c r="J1601" s="71">
        <f>IF($N1601&lt;&gt;"OK","",N(INDEX('Menu Pricing'!$F$7:$F$56,$O1601))+N(INDEX('Menu Pricing'!$G$7:$G$56,$O1601))+N(INDEX('Menu Pricing'!$J$7:$J$56,$O1601)))</f>
        <v/>
      </c>
      <c r="K1601" s="71">
        <f>IF($N1601&lt;&gt;"OK","",$D1601*$J1601)</f>
        <v/>
      </c>
      <c r="L1601" s="71">
        <f>IF($N1601&lt;&gt;"OK","",$I1601-$K1601)</f>
        <v/>
      </c>
      <c r="M1601" s="71">
        <f>IF($N1601&lt;&gt;"OK","",$D1601*N(INDEX('Menu Pricing'!$F$7:$F$56,$O1601)))</f>
        <v/>
      </c>
      <c r="N1601" s="80">
        <f>IF(AND($B1601="",$C1601="",$D1601=""),"",IF(NOT(ISNUMBER($B1601)),"Enter a valid date",IF($C1601="","Pick a menu item",IF($O1601="","Item not on Menu Pricing",IF(N($D1601)&lt;=0,"Qty must be above 0",IF($H1601="","No price on menu","OK"))))))</f>
        <v/>
      </c>
      <c r="O1601" s="13">
        <f>IF($C1601="","",IFERROR(MATCH($C1601,'Menu Pricing'!$B$7:$B$56,0),""))</f>
        <v/>
      </c>
    </row>
    <row r="1602" ht="17" customHeight="1">
      <c r="B1602" s="66" t="n"/>
      <c r="C1602" s="60" t="n"/>
      <c r="D1602" s="86" t="n"/>
      <c r="E1602" s="63" t="n"/>
      <c r="F1602" s="60" t="n"/>
      <c r="G1602" s="60" t="n"/>
      <c r="H1602" s="71">
        <f>IF(OR($C1602="",$D1602=""),"",IF(ISNUMBER($E1602),$E1602,IF($O1602="","",IF(N(INDEX('Menu Pricing'!$O$7:$O$56,$O1602))&gt;0,INDEX('Menu Pricing'!$O$7:$O$56,$O1602),""))))</f>
        <v/>
      </c>
      <c r="I1602" s="71">
        <f>IF($N1602&lt;&gt;"OK","",$D1602*$H1602)</f>
        <v/>
      </c>
      <c r="J1602" s="71">
        <f>IF($N1602&lt;&gt;"OK","",N(INDEX('Menu Pricing'!$F$7:$F$56,$O1602))+N(INDEX('Menu Pricing'!$G$7:$G$56,$O1602))+N(INDEX('Menu Pricing'!$J$7:$J$56,$O1602)))</f>
        <v/>
      </c>
      <c r="K1602" s="71">
        <f>IF($N1602&lt;&gt;"OK","",$D1602*$J1602)</f>
        <v/>
      </c>
      <c r="L1602" s="71">
        <f>IF($N1602&lt;&gt;"OK","",$I1602-$K1602)</f>
        <v/>
      </c>
      <c r="M1602" s="71">
        <f>IF($N1602&lt;&gt;"OK","",$D1602*N(INDEX('Menu Pricing'!$F$7:$F$56,$O1602)))</f>
        <v/>
      </c>
      <c r="N1602" s="80">
        <f>IF(AND($B1602="",$C1602="",$D1602=""),"",IF(NOT(ISNUMBER($B1602)),"Enter a valid date",IF($C1602="","Pick a menu item",IF($O1602="","Item not on Menu Pricing",IF(N($D1602)&lt;=0,"Qty must be above 0",IF($H1602="","No price on menu","OK"))))))</f>
        <v/>
      </c>
      <c r="O1602" s="13">
        <f>IF($C1602="","",IFERROR(MATCH($C1602,'Menu Pricing'!$B$7:$B$56,0),""))</f>
        <v/>
      </c>
    </row>
    <row r="1603" ht="17" customHeight="1">
      <c r="B1603" s="66" t="n"/>
      <c r="C1603" s="60" t="n"/>
      <c r="D1603" s="86" t="n"/>
      <c r="E1603" s="63" t="n"/>
      <c r="F1603" s="60" t="n"/>
      <c r="G1603" s="60" t="n"/>
      <c r="H1603" s="71">
        <f>IF(OR($C1603="",$D1603=""),"",IF(ISNUMBER($E1603),$E1603,IF($O1603="","",IF(N(INDEX('Menu Pricing'!$O$7:$O$56,$O1603))&gt;0,INDEX('Menu Pricing'!$O$7:$O$56,$O1603),""))))</f>
        <v/>
      </c>
      <c r="I1603" s="71">
        <f>IF($N1603&lt;&gt;"OK","",$D1603*$H1603)</f>
        <v/>
      </c>
      <c r="J1603" s="71">
        <f>IF($N1603&lt;&gt;"OK","",N(INDEX('Menu Pricing'!$F$7:$F$56,$O1603))+N(INDEX('Menu Pricing'!$G$7:$G$56,$O1603))+N(INDEX('Menu Pricing'!$J$7:$J$56,$O1603)))</f>
        <v/>
      </c>
      <c r="K1603" s="71">
        <f>IF($N1603&lt;&gt;"OK","",$D1603*$J1603)</f>
        <v/>
      </c>
      <c r="L1603" s="71">
        <f>IF($N1603&lt;&gt;"OK","",$I1603-$K1603)</f>
        <v/>
      </c>
      <c r="M1603" s="71">
        <f>IF($N1603&lt;&gt;"OK","",$D1603*N(INDEX('Menu Pricing'!$F$7:$F$56,$O1603)))</f>
        <v/>
      </c>
      <c r="N1603" s="80">
        <f>IF(AND($B1603="",$C1603="",$D1603=""),"",IF(NOT(ISNUMBER($B1603)),"Enter a valid date",IF($C1603="","Pick a menu item",IF($O1603="","Item not on Menu Pricing",IF(N($D1603)&lt;=0,"Qty must be above 0",IF($H1603="","No price on menu","OK"))))))</f>
        <v/>
      </c>
      <c r="O1603" s="13">
        <f>IF($C1603="","",IFERROR(MATCH($C1603,'Menu Pricing'!$B$7:$B$56,0),""))</f>
        <v/>
      </c>
    </row>
    <row r="1604" ht="17" customHeight="1">
      <c r="B1604" s="66" t="n"/>
      <c r="C1604" s="60" t="n"/>
      <c r="D1604" s="86" t="n"/>
      <c r="E1604" s="63" t="n"/>
      <c r="F1604" s="60" t="n"/>
      <c r="G1604" s="60" t="n"/>
      <c r="H1604" s="71">
        <f>IF(OR($C1604="",$D1604=""),"",IF(ISNUMBER($E1604),$E1604,IF($O1604="","",IF(N(INDEX('Menu Pricing'!$O$7:$O$56,$O1604))&gt;0,INDEX('Menu Pricing'!$O$7:$O$56,$O1604),""))))</f>
        <v/>
      </c>
      <c r="I1604" s="71">
        <f>IF($N1604&lt;&gt;"OK","",$D1604*$H1604)</f>
        <v/>
      </c>
      <c r="J1604" s="71">
        <f>IF($N1604&lt;&gt;"OK","",N(INDEX('Menu Pricing'!$F$7:$F$56,$O1604))+N(INDEX('Menu Pricing'!$G$7:$G$56,$O1604))+N(INDEX('Menu Pricing'!$J$7:$J$56,$O1604)))</f>
        <v/>
      </c>
      <c r="K1604" s="71">
        <f>IF($N1604&lt;&gt;"OK","",$D1604*$J1604)</f>
        <v/>
      </c>
      <c r="L1604" s="71">
        <f>IF($N1604&lt;&gt;"OK","",$I1604-$K1604)</f>
        <v/>
      </c>
      <c r="M1604" s="71">
        <f>IF($N1604&lt;&gt;"OK","",$D1604*N(INDEX('Menu Pricing'!$F$7:$F$56,$O1604)))</f>
        <v/>
      </c>
      <c r="N1604" s="80">
        <f>IF(AND($B1604="",$C1604="",$D1604=""),"",IF(NOT(ISNUMBER($B1604)),"Enter a valid date",IF($C1604="","Pick a menu item",IF($O1604="","Item not on Menu Pricing",IF(N($D1604)&lt;=0,"Qty must be above 0",IF($H1604="","No price on menu","OK"))))))</f>
        <v/>
      </c>
      <c r="O1604" s="13">
        <f>IF($C1604="","",IFERROR(MATCH($C1604,'Menu Pricing'!$B$7:$B$56,0),""))</f>
        <v/>
      </c>
    </row>
    <row r="1605" ht="17" customHeight="1">
      <c r="B1605" s="66" t="n"/>
      <c r="C1605" s="60" t="n"/>
      <c r="D1605" s="86" t="n"/>
      <c r="E1605" s="63" t="n"/>
      <c r="F1605" s="60" t="n"/>
      <c r="G1605" s="60" t="n"/>
      <c r="H1605" s="71">
        <f>IF(OR($C1605="",$D1605=""),"",IF(ISNUMBER($E1605),$E1605,IF($O1605="","",IF(N(INDEX('Menu Pricing'!$O$7:$O$56,$O1605))&gt;0,INDEX('Menu Pricing'!$O$7:$O$56,$O1605),""))))</f>
        <v/>
      </c>
      <c r="I1605" s="71">
        <f>IF($N1605&lt;&gt;"OK","",$D1605*$H1605)</f>
        <v/>
      </c>
      <c r="J1605" s="71">
        <f>IF($N1605&lt;&gt;"OK","",N(INDEX('Menu Pricing'!$F$7:$F$56,$O1605))+N(INDEX('Menu Pricing'!$G$7:$G$56,$O1605))+N(INDEX('Menu Pricing'!$J$7:$J$56,$O1605)))</f>
        <v/>
      </c>
      <c r="K1605" s="71">
        <f>IF($N1605&lt;&gt;"OK","",$D1605*$J1605)</f>
        <v/>
      </c>
      <c r="L1605" s="71">
        <f>IF($N1605&lt;&gt;"OK","",$I1605-$K1605)</f>
        <v/>
      </c>
      <c r="M1605" s="71">
        <f>IF($N1605&lt;&gt;"OK","",$D1605*N(INDEX('Menu Pricing'!$F$7:$F$56,$O1605)))</f>
        <v/>
      </c>
      <c r="N1605" s="80">
        <f>IF(AND($B1605="",$C1605="",$D1605=""),"",IF(NOT(ISNUMBER($B1605)),"Enter a valid date",IF($C1605="","Pick a menu item",IF($O1605="","Item not on Menu Pricing",IF(N($D1605)&lt;=0,"Qty must be above 0",IF($H1605="","No price on menu","OK"))))))</f>
        <v/>
      </c>
      <c r="O1605" s="13">
        <f>IF($C1605="","",IFERROR(MATCH($C1605,'Menu Pricing'!$B$7:$B$56,0),""))</f>
        <v/>
      </c>
    </row>
    <row r="1606" ht="17" customHeight="1">
      <c r="B1606" s="66" t="n"/>
      <c r="C1606" s="60" t="n"/>
      <c r="D1606" s="86" t="n"/>
      <c r="E1606" s="63" t="n"/>
      <c r="F1606" s="60" t="n"/>
      <c r="G1606" s="60" t="n"/>
      <c r="H1606" s="71">
        <f>IF(OR($C1606="",$D1606=""),"",IF(ISNUMBER($E1606),$E1606,IF($O1606="","",IF(N(INDEX('Menu Pricing'!$O$7:$O$56,$O1606))&gt;0,INDEX('Menu Pricing'!$O$7:$O$56,$O1606),""))))</f>
        <v/>
      </c>
      <c r="I1606" s="71">
        <f>IF($N1606&lt;&gt;"OK","",$D1606*$H1606)</f>
        <v/>
      </c>
      <c r="J1606" s="71">
        <f>IF($N1606&lt;&gt;"OK","",N(INDEX('Menu Pricing'!$F$7:$F$56,$O1606))+N(INDEX('Menu Pricing'!$G$7:$G$56,$O1606))+N(INDEX('Menu Pricing'!$J$7:$J$56,$O1606)))</f>
        <v/>
      </c>
      <c r="K1606" s="71">
        <f>IF($N1606&lt;&gt;"OK","",$D1606*$J1606)</f>
        <v/>
      </c>
      <c r="L1606" s="71">
        <f>IF($N1606&lt;&gt;"OK","",$I1606-$K1606)</f>
        <v/>
      </c>
      <c r="M1606" s="71">
        <f>IF($N1606&lt;&gt;"OK","",$D1606*N(INDEX('Menu Pricing'!$F$7:$F$56,$O1606)))</f>
        <v/>
      </c>
      <c r="N1606" s="80">
        <f>IF(AND($B1606="",$C1606="",$D1606=""),"",IF(NOT(ISNUMBER($B1606)),"Enter a valid date",IF($C1606="","Pick a menu item",IF($O1606="","Item not on Menu Pricing",IF(N($D1606)&lt;=0,"Qty must be above 0",IF($H1606="","No price on menu","OK"))))))</f>
        <v/>
      </c>
      <c r="O1606" s="13">
        <f>IF($C1606="","",IFERROR(MATCH($C1606,'Menu Pricing'!$B$7:$B$56,0),""))</f>
        <v/>
      </c>
    </row>
    <row r="1607" ht="17" customHeight="1">
      <c r="B1607" s="66" t="n"/>
      <c r="C1607" s="60" t="n"/>
      <c r="D1607" s="86" t="n"/>
      <c r="E1607" s="63" t="n"/>
      <c r="F1607" s="60" t="n"/>
      <c r="G1607" s="60" t="n"/>
      <c r="H1607" s="71">
        <f>IF(OR($C1607="",$D1607=""),"",IF(ISNUMBER($E1607),$E1607,IF($O1607="","",IF(N(INDEX('Menu Pricing'!$O$7:$O$56,$O1607))&gt;0,INDEX('Menu Pricing'!$O$7:$O$56,$O1607),""))))</f>
        <v/>
      </c>
      <c r="I1607" s="71">
        <f>IF($N1607&lt;&gt;"OK","",$D1607*$H1607)</f>
        <v/>
      </c>
      <c r="J1607" s="71">
        <f>IF($N1607&lt;&gt;"OK","",N(INDEX('Menu Pricing'!$F$7:$F$56,$O1607))+N(INDEX('Menu Pricing'!$G$7:$G$56,$O1607))+N(INDEX('Menu Pricing'!$J$7:$J$56,$O1607)))</f>
        <v/>
      </c>
      <c r="K1607" s="71">
        <f>IF($N1607&lt;&gt;"OK","",$D1607*$J1607)</f>
        <v/>
      </c>
      <c r="L1607" s="71">
        <f>IF($N1607&lt;&gt;"OK","",$I1607-$K1607)</f>
        <v/>
      </c>
      <c r="M1607" s="71">
        <f>IF($N1607&lt;&gt;"OK","",$D1607*N(INDEX('Menu Pricing'!$F$7:$F$56,$O1607)))</f>
        <v/>
      </c>
      <c r="N1607" s="80">
        <f>IF(AND($B1607="",$C1607="",$D1607=""),"",IF(NOT(ISNUMBER($B1607)),"Enter a valid date",IF($C1607="","Pick a menu item",IF($O1607="","Item not on Menu Pricing",IF(N($D1607)&lt;=0,"Qty must be above 0",IF($H1607="","No price on menu","OK"))))))</f>
        <v/>
      </c>
      <c r="O1607" s="13">
        <f>IF($C1607="","",IFERROR(MATCH($C1607,'Menu Pricing'!$B$7:$B$56,0),""))</f>
        <v/>
      </c>
    </row>
    <row r="1608" ht="17" customHeight="1">
      <c r="B1608" s="66" t="n"/>
      <c r="C1608" s="60" t="n"/>
      <c r="D1608" s="86" t="n"/>
      <c r="E1608" s="63" t="n"/>
      <c r="F1608" s="60" t="n"/>
      <c r="G1608" s="60" t="n"/>
      <c r="H1608" s="71">
        <f>IF(OR($C1608="",$D1608=""),"",IF(ISNUMBER($E1608),$E1608,IF($O1608="","",IF(N(INDEX('Menu Pricing'!$O$7:$O$56,$O1608))&gt;0,INDEX('Menu Pricing'!$O$7:$O$56,$O1608),""))))</f>
        <v/>
      </c>
      <c r="I1608" s="71">
        <f>IF($N1608&lt;&gt;"OK","",$D1608*$H1608)</f>
        <v/>
      </c>
      <c r="J1608" s="71">
        <f>IF($N1608&lt;&gt;"OK","",N(INDEX('Menu Pricing'!$F$7:$F$56,$O1608))+N(INDEX('Menu Pricing'!$G$7:$G$56,$O1608))+N(INDEX('Menu Pricing'!$J$7:$J$56,$O1608)))</f>
        <v/>
      </c>
      <c r="K1608" s="71">
        <f>IF($N1608&lt;&gt;"OK","",$D1608*$J1608)</f>
        <v/>
      </c>
      <c r="L1608" s="71">
        <f>IF($N1608&lt;&gt;"OK","",$I1608-$K1608)</f>
        <v/>
      </c>
      <c r="M1608" s="71">
        <f>IF($N1608&lt;&gt;"OK","",$D1608*N(INDEX('Menu Pricing'!$F$7:$F$56,$O1608)))</f>
        <v/>
      </c>
      <c r="N1608" s="80">
        <f>IF(AND($B1608="",$C1608="",$D1608=""),"",IF(NOT(ISNUMBER($B1608)),"Enter a valid date",IF($C1608="","Pick a menu item",IF($O1608="","Item not on Menu Pricing",IF(N($D1608)&lt;=0,"Qty must be above 0",IF($H1608="","No price on menu","OK"))))))</f>
        <v/>
      </c>
      <c r="O1608" s="13">
        <f>IF($C1608="","",IFERROR(MATCH($C1608,'Menu Pricing'!$B$7:$B$56,0),""))</f>
        <v/>
      </c>
    </row>
    <row r="1609" ht="17" customHeight="1">
      <c r="B1609" s="66" t="n"/>
      <c r="C1609" s="60" t="n"/>
      <c r="D1609" s="86" t="n"/>
      <c r="E1609" s="63" t="n"/>
      <c r="F1609" s="60" t="n"/>
      <c r="G1609" s="60" t="n"/>
      <c r="H1609" s="71">
        <f>IF(OR($C1609="",$D1609=""),"",IF(ISNUMBER($E1609),$E1609,IF($O1609="","",IF(N(INDEX('Menu Pricing'!$O$7:$O$56,$O1609))&gt;0,INDEX('Menu Pricing'!$O$7:$O$56,$O1609),""))))</f>
        <v/>
      </c>
      <c r="I1609" s="71">
        <f>IF($N1609&lt;&gt;"OK","",$D1609*$H1609)</f>
        <v/>
      </c>
      <c r="J1609" s="71">
        <f>IF($N1609&lt;&gt;"OK","",N(INDEX('Menu Pricing'!$F$7:$F$56,$O1609))+N(INDEX('Menu Pricing'!$G$7:$G$56,$O1609))+N(INDEX('Menu Pricing'!$J$7:$J$56,$O1609)))</f>
        <v/>
      </c>
      <c r="K1609" s="71">
        <f>IF($N1609&lt;&gt;"OK","",$D1609*$J1609)</f>
        <v/>
      </c>
      <c r="L1609" s="71">
        <f>IF($N1609&lt;&gt;"OK","",$I1609-$K1609)</f>
        <v/>
      </c>
      <c r="M1609" s="71">
        <f>IF($N1609&lt;&gt;"OK","",$D1609*N(INDEX('Menu Pricing'!$F$7:$F$56,$O1609)))</f>
        <v/>
      </c>
      <c r="N1609" s="80">
        <f>IF(AND($B1609="",$C1609="",$D1609=""),"",IF(NOT(ISNUMBER($B1609)),"Enter a valid date",IF($C1609="","Pick a menu item",IF($O1609="","Item not on Menu Pricing",IF(N($D1609)&lt;=0,"Qty must be above 0",IF($H1609="","No price on menu","OK"))))))</f>
        <v/>
      </c>
      <c r="O1609" s="13">
        <f>IF($C1609="","",IFERROR(MATCH($C1609,'Menu Pricing'!$B$7:$B$56,0),""))</f>
        <v/>
      </c>
    </row>
    <row r="1610" ht="17" customHeight="1">
      <c r="B1610" s="66" t="n"/>
      <c r="C1610" s="60" t="n"/>
      <c r="D1610" s="86" t="n"/>
      <c r="E1610" s="63" t="n"/>
      <c r="F1610" s="60" t="n"/>
      <c r="G1610" s="60" t="n"/>
      <c r="H1610" s="71">
        <f>IF(OR($C1610="",$D1610=""),"",IF(ISNUMBER($E1610),$E1610,IF($O1610="","",IF(N(INDEX('Menu Pricing'!$O$7:$O$56,$O1610))&gt;0,INDEX('Menu Pricing'!$O$7:$O$56,$O1610),""))))</f>
        <v/>
      </c>
      <c r="I1610" s="71">
        <f>IF($N1610&lt;&gt;"OK","",$D1610*$H1610)</f>
        <v/>
      </c>
      <c r="J1610" s="71">
        <f>IF($N1610&lt;&gt;"OK","",N(INDEX('Menu Pricing'!$F$7:$F$56,$O1610))+N(INDEX('Menu Pricing'!$G$7:$G$56,$O1610))+N(INDEX('Menu Pricing'!$J$7:$J$56,$O1610)))</f>
        <v/>
      </c>
      <c r="K1610" s="71">
        <f>IF($N1610&lt;&gt;"OK","",$D1610*$J1610)</f>
        <v/>
      </c>
      <c r="L1610" s="71">
        <f>IF($N1610&lt;&gt;"OK","",$I1610-$K1610)</f>
        <v/>
      </c>
      <c r="M1610" s="71">
        <f>IF($N1610&lt;&gt;"OK","",$D1610*N(INDEX('Menu Pricing'!$F$7:$F$56,$O1610)))</f>
        <v/>
      </c>
      <c r="N1610" s="80">
        <f>IF(AND($B1610="",$C1610="",$D1610=""),"",IF(NOT(ISNUMBER($B1610)),"Enter a valid date",IF($C1610="","Pick a menu item",IF($O1610="","Item not on Menu Pricing",IF(N($D1610)&lt;=0,"Qty must be above 0",IF($H1610="","No price on menu","OK"))))))</f>
        <v/>
      </c>
      <c r="O1610" s="13">
        <f>IF($C1610="","",IFERROR(MATCH($C1610,'Menu Pricing'!$B$7:$B$56,0),""))</f>
        <v/>
      </c>
    </row>
    <row r="1611" ht="17" customHeight="1">
      <c r="B1611" s="66" t="n"/>
      <c r="C1611" s="60" t="n"/>
      <c r="D1611" s="86" t="n"/>
      <c r="E1611" s="63" t="n"/>
      <c r="F1611" s="60" t="n"/>
      <c r="G1611" s="60" t="n"/>
      <c r="H1611" s="71">
        <f>IF(OR($C1611="",$D1611=""),"",IF(ISNUMBER($E1611),$E1611,IF($O1611="","",IF(N(INDEX('Menu Pricing'!$O$7:$O$56,$O1611))&gt;0,INDEX('Menu Pricing'!$O$7:$O$56,$O1611),""))))</f>
        <v/>
      </c>
      <c r="I1611" s="71">
        <f>IF($N1611&lt;&gt;"OK","",$D1611*$H1611)</f>
        <v/>
      </c>
      <c r="J1611" s="71">
        <f>IF($N1611&lt;&gt;"OK","",N(INDEX('Menu Pricing'!$F$7:$F$56,$O1611))+N(INDEX('Menu Pricing'!$G$7:$G$56,$O1611))+N(INDEX('Menu Pricing'!$J$7:$J$56,$O1611)))</f>
        <v/>
      </c>
      <c r="K1611" s="71">
        <f>IF($N1611&lt;&gt;"OK","",$D1611*$J1611)</f>
        <v/>
      </c>
      <c r="L1611" s="71">
        <f>IF($N1611&lt;&gt;"OK","",$I1611-$K1611)</f>
        <v/>
      </c>
      <c r="M1611" s="71">
        <f>IF($N1611&lt;&gt;"OK","",$D1611*N(INDEX('Menu Pricing'!$F$7:$F$56,$O1611)))</f>
        <v/>
      </c>
      <c r="N1611" s="80">
        <f>IF(AND($B1611="",$C1611="",$D1611=""),"",IF(NOT(ISNUMBER($B1611)),"Enter a valid date",IF($C1611="","Pick a menu item",IF($O1611="","Item not on Menu Pricing",IF(N($D1611)&lt;=0,"Qty must be above 0",IF($H1611="","No price on menu","OK"))))))</f>
        <v/>
      </c>
      <c r="O1611" s="13">
        <f>IF($C1611="","",IFERROR(MATCH($C1611,'Menu Pricing'!$B$7:$B$56,0),""))</f>
        <v/>
      </c>
    </row>
    <row r="1612" ht="17" customHeight="1">
      <c r="B1612" s="66" t="n"/>
      <c r="C1612" s="60" t="n"/>
      <c r="D1612" s="86" t="n"/>
      <c r="E1612" s="63" t="n"/>
      <c r="F1612" s="60" t="n"/>
      <c r="G1612" s="60" t="n"/>
      <c r="H1612" s="71">
        <f>IF(OR($C1612="",$D1612=""),"",IF(ISNUMBER($E1612),$E1612,IF($O1612="","",IF(N(INDEX('Menu Pricing'!$O$7:$O$56,$O1612))&gt;0,INDEX('Menu Pricing'!$O$7:$O$56,$O1612),""))))</f>
        <v/>
      </c>
      <c r="I1612" s="71">
        <f>IF($N1612&lt;&gt;"OK","",$D1612*$H1612)</f>
        <v/>
      </c>
      <c r="J1612" s="71">
        <f>IF($N1612&lt;&gt;"OK","",N(INDEX('Menu Pricing'!$F$7:$F$56,$O1612))+N(INDEX('Menu Pricing'!$G$7:$G$56,$O1612))+N(INDEX('Menu Pricing'!$J$7:$J$56,$O1612)))</f>
        <v/>
      </c>
      <c r="K1612" s="71">
        <f>IF($N1612&lt;&gt;"OK","",$D1612*$J1612)</f>
        <v/>
      </c>
      <c r="L1612" s="71">
        <f>IF($N1612&lt;&gt;"OK","",$I1612-$K1612)</f>
        <v/>
      </c>
      <c r="M1612" s="71">
        <f>IF($N1612&lt;&gt;"OK","",$D1612*N(INDEX('Menu Pricing'!$F$7:$F$56,$O1612)))</f>
        <v/>
      </c>
      <c r="N1612" s="80">
        <f>IF(AND($B1612="",$C1612="",$D1612=""),"",IF(NOT(ISNUMBER($B1612)),"Enter a valid date",IF($C1612="","Pick a menu item",IF($O1612="","Item not on Menu Pricing",IF(N($D1612)&lt;=0,"Qty must be above 0",IF($H1612="","No price on menu","OK"))))))</f>
        <v/>
      </c>
      <c r="O1612" s="13">
        <f>IF($C1612="","",IFERROR(MATCH($C1612,'Menu Pricing'!$B$7:$B$56,0),""))</f>
        <v/>
      </c>
    </row>
    <row r="1613" ht="17" customHeight="1">
      <c r="B1613" s="66" t="n"/>
      <c r="C1613" s="60" t="n"/>
      <c r="D1613" s="86" t="n"/>
      <c r="E1613" s="63" t="n"/>
      <c r="F1613" s="60" t="n"/>
      <c r="G1613" s="60" t="n"/>
      <c r="H1613" s="71">
        <f>IF(OR($C1613="",$D1613=""),"",IF(ISNUMBER($E1613),$E1613,IF($O1613="","",IF(N(INDEX('Menu Pricing'!$O$7:$O$56,$O1613))&gt;0,INDEX('Menu Pricing'!$O$7:$O$56,$O1613),""))))</f>
        <v/>
      </c>
      <c r="I1613" s="71">
        <f>IF($N1613&lt;&gt;"OK","",$D1613*$H1613)</f>
        <v/>
      </c>
      <c r="J1613" s="71">
        <f>IF($N1613&lt;&gt;"OK","",N(INDEX('Menu Pricing'!$F$7:$F$56,$O1613))+N(INDEX('Menu Pricing'!$G$7:$G$56,$O1613))+N(INDEX('Menu Pricing'!$J$7:$J$56,$O1613)))</f>
        <v/>
      </c>
      <c r="K1613" s="71">
        <f>IF($N1613&lt;&gt;"OK","",$D1613*$J1613)</f>
        <v/>
      </c>
      <c r="L1613" s="71">
        <f>IF($N1613&lt;&gt;"OK","",$I1613-$K1613)</f>
        <v/>
      </c>
      <c r="M1613" s="71">
        <f>IF($N1613&lt;&gt;"OK","",$D1613*N(INDEX('Menu Pricing'!$F$7:$F$56,$O1613)))</f>
        <v/>
      </c>
      <c r="N1613" s="80">
        <f>IF(AND($B1613="",$C1613="",$D1613=""),"",IF(NOT(ISNUMBER($B1613)),"Enter a valid date",IF($C1613="","Pick a menu item",IF($O1613="","Item not on Menu Pricing",IF(N($D1613)&lt;=0,"Qty must be above 0",IF($H1613="","No price on menu","OK"))))))</f>
        <v/>
      </c>
      <c r="O1613" s="13">
        <f>IF($C1613="","",IFERROR(MATCH($C1613,'Menu Pricing'!$B$7:$B$56,0),""))</f>
        <v/>
      </c>
    </row>
    <row r="1614" ht="17" customHeight="1">
      <c r="B1614" s="66" t="n"/>
      <c r="C1614" s="60" t="n"/>
      <c r="D1614" s="86" t="n"/>
      <c r="E1614" s="63" t="n"/>
      <c r="F1614" s="60" t="n"/>
      <c r="G1614" s="60" t="n"/>
      <c r="H1614" s="71">
        <f>IF(OR($C1614="",$D1614=""),"",IF(ISNUMBER($E1614),$E1614,IF($O1614="","",IF(N(INDEX('Menu Pricing'!$O$7:$O$56,$O1614))&gt;0,INDEX('Menu Pricing'!$O$7:$O$56,$O1614),""))))</f>
        <v/>
      </c>
      <c r="I1614" s="71">
        <f>IF($N1614&lt;&gt;"OK","",$D1614*$H1614)</f>
        <v/>
      </c>
      <c r="J1614" s="71">
        <f>IF($N1614&lt;&gt;"OK","",N(INDEX('Menu Pricing'!$F$7:$F$56,$O1614))+N(INDEX('Menu Pricing'!$G$7:$G$56,$O1614))+N(INDEX('Menu Pricing'!$J$7:$J$56,$O1614)))</f>
        <v/>
      </c>
      <c r="K1614" s="71">
        <f>IF($N1614&lt;&gt;"OK","",$D1614*$J1614)</f>
        <v/>
      </c>
      <c r="L1614" s="71">
        <f>IF($N1614&lt;&gt;"OK","",$I1614-$K1614)</f>
        <v/>
      </c>
      <c r="M1614" s="71">
        <f>IF($N1614&lt;&gt;"OK","",$D1614*N(INDEX('Menu Pricing'!$F$7:$F$56,$O1614)))</f>
        <v/>
      </c>
      <c r="N1614" s="80">
        <f>IF(AND($B1614="",$C1614="",$D1614=""),"",IF(NOT(ISNUMBER($B1614)),"Enter a valid date",IF($C1614="","Pick a menu item",IF($O1614="","Item not on Menu Pricing",IF(N($D1614)&lt;=0,"Qty must be above 0",IF($H1614="","No price on menu","OK"))))))</f>
        <v/>
      </c>
      <c r="O1614" s="13">
        <f>IF($C1614="","",IFERROR(MATCH($C1614,'Menu Pricing'!$B$7:$B$56,0),""))</f>
        <v/>
      </c>
    </row>
    <row r="1615" ht="17" customHeight="1">
      <c r="B1615" s="66" t="n"/>
      <c r="C1615" s="60" t="n"/>
      <c r="D1615" s="86" t="n"/>
      <c r="E1615" s="63" t="n"/>
      <c r="F1615" s="60" t="n"/>
      <c r="G1615" s="60" t="n"/>
      <c r="H1615" s="71">
        <f>IF(OR($C1615="",$D1615=""),"",IF(ISNUMBER($E1615),$E1615,IF($O1615="","",IF(N(INDEX('Menu Pricing'!$O$7:$O$56,$O1615))&gt;0,INDEX('Menu Pricing'!$O$7:$O$56,$O1615),""))))</f>
        <v/>
      </c>
      <c r="I1615" s="71">
        <f>IF($N1615&lt;&gt;"OK","",$D1615*$H1615)</f>
        <v/>
      </c>
      <c r="J1615" s="71">
        <f>IF($N1615&lt;&gt;"OK","",N(INDEX('Menu Pricing'!$F$7:$F$56,$O1615))+N(INDEX('Menu Pricing'!$G$7:$G$56,$O1615))+N(INDEX('Menu Pricing'!$J$7:$J$56,$O1615)))</f>
        <v/>
      </c>
      <c r="K1615" s="71">
        <f>IF($N1615&lt;&gt;"OK","",$D1615*$J1615)</f>
        <v/>
      </c>
      <c r="L1615" s="71">
        <f>IF($N1615&lt;&gt;"OK","",$I1615-$K1615)</f>
        <v/>
      </c>
      <c r="M1615" s="71">
        <f>IF($N1615&lt;&gt;"OK","",$D1615*N(INDEX('Menu Pricing'!$F$7:$F$56,$O1615)))</f>
        <v/>
      </c>
      <c r="N1615" s="80">
        <f>IF(AND($B1615="",$C1615="",$D1615=""),"",IF(NOT(ISNUMBER($B1615)),"Enter a valid date",IF($C1615="","Pick a menu item",IF($O1615="","Item not on Menu Pricing",IF(N($D1615)&lt;=0,"Qty must be above 0",IF($H1615="","No price on menu","OK"))))))</f>
        <v/>
      </c>
      <c r="O1615" s="13">
        <f>IF($C1615="","",IFERROR(MATCH($C1615,'Menu Pricing'!$B$7:$B$56,0),""))</f>
        <v/>
      </c>
    </row>
    <row r="1616" ht="17" customHeight="1">
      <c r="B1616" s="66" t="n"/>
      <c r="C1616" s="60" t="n"/>
      <c r="D1616" s="86" t="n"/>
      <c r="E1616" s="63" t="n"/>
      <c r="F1616" s="60" t="n"/>
      <c r="G1616" s="60" t="n"/>
      <c r="H1616" s="71">
        <f>IF(OR($C1616="",$D1616=""),"",IF(ISNUMBER($E1616),$E1616,IF($O1616="","",IF(N(INDEX('Menu Pricing'!$O$7:$O$56,$O1616))&gt;0,INDEX('Menu Pricing'!$O$7:$O$56,$O1616),""))))</f>
        <v/>
      </c>
      <c r="I1616" s="71">
        <f>IF($N1616&lt;&gt;"OK","",$D1616*$H1616)</f>
        <v/>
      </c>
      <c r="J1616" s="71">
        <f>IF($N1616&lt;&gt;"OK","",N(INDEX('Menu Pricing'!$F$7:$F$56,$O1616))+N(INDEX('Menu Pricing'!$G$7:$G$56,$O1616))+N(INDEX('Menu Pricing'!$J$7:$J$56,$O1616)))</f>
        <v/>
      </c>
      <c r="K1616" s="71">
        <f>IF($N1616&lt;&gt;"OK","",$D1616*$J1616)</f>
        <v/>
      </c>
      <c r="L1616" s="71">
        <f>IF($N1616&lt;&gt;"OK","",$I1616-$K1616)</f>
        <v/>
      </c>
      <c r="M1616" s="71">
        <f>IF($N1616&lt;&gt;"OK","",$D1616*N(INDEX('Menu Pricing'!$F$7:$F$56,$O1616)))</f>
        <v/>
      </c>
      <c r="N1616" s="80">
        <f>IF(AND($B1616="",$C1616="",$D1616=""),"",IF(NOT(ISNUMBER($B1616)),"Enter a valid date",IF($C1616="","Pick a menu item",IF($O1616="","Item not on Menu Pricing",IF(N($D1616)&lt;=0,"Qty must be above 0",IF($H1616="","No price on menu","OK"))))))</f>
        <v/>
      </c>
      <c r="O1616" s="13">
        <f>IF($C1616="","",IFERROR(MATCH($C1616,'Menu Pricing'!$B$7:$B$56,0),""))</f>
        <v/>
      </c>
    </row>
    <row r="1617" ht="17" customHeight="1">
      <c r="B1617" s="66" t="n"/>
      <c r="C1617" s="60" t="n"/>
      <c r="D1617" s="86" t="n"/>
      <c r="E1617" s="63" t="n"/>
      <c r="F1617" s="60" t="n"/>
      <c r="G1617" s="60" t="n"/>
      <c r="H1617" s="71">
        <f>IF(OR($C1617="",$D1617=""),"",IF(ISNUMBER($E1617),$E1617,IF($O1617="","",IF(N(INDEX('Menu Pricing'!$O$7:$O$56,$O1617))&gt;0,INDEX('Menu Pricing'!$O$7:$O$56,$O1617),""))))</f>
        <v/>
      </c>
      <c r="I1617" s="71">
        <f>IF($N1617&lt;&gt;"OK","",$D1617*$H1617)</f>
        <v/>
      </c>
      <c r="J1617" s="71">
        <f>IF($N1617&lt;&gt;"OK","",N(INDEX('Menu Pricing'!$F$7:$F$56,$O1617))+N(INDEX('Menu Pricing'!$G$7:$G$56,$O1617))+N(INDEX('Menu Pricing'!$J$7:$J$56,$O1617)))</f>
        <v/>
      </c>
      <c r="K1617" s="71">
        <f>IF($N1617&lt;&gt;"OK","",$D1617*$J1617)</f>
        <v/>
      </c>
      <c r="L1617" s="71">
        <f>IF($N1617&lt;&gt;"OK","",$I1617-$K1617)</f>
        <v/>
      </c>
      <c r="M1617" s="71">
        <f>IF($N1617&lt;&gt;"OK","",$D1617*N(INDEX('Menu Pricing'!$F$7:$F$56,$O1617)))</f>
        <v/>
      </c>
      <c r="N1617" s="80">
        <f>IF(AND($B1617="",$C1617="",$D1617=""),"",IF(NOT(ISNUMBER($B1617)),"Enter a valid date",IF($C1617="","Pick a menu item",IF($O1617="","Item not on Menu Pricing",IF(N($D1617)&lt;=0,"Qty must be above 0",IF($H1617="","No price on menu","OK"))))))</f>
        <v/>
      </c>
      <c r="O1617" s="13">
        <f>IF($C1617="","",IFERROR(MATCH($C1617,'Menu Pricing'!$B$7:$B$56,0),""))</f>
        <v/>
      </c>
    </row>
    <row r="1618" ht="17" customHeight="1">
      <c r="B1618" s="66" t="n"/>
      <c r="C1618" s="60" t="n"/>
      <c r="D1618" s="86" t="n"/>
      <c r="E1618" s="63" t="n"/>
      <c r="F1618" s="60" t="n"/>
      <c r="G1618" s="60" t="n"/>
      <c r="H1618" s="71">
        <f>IF(OR($C1618="",$D1618=""),"",IF(ISNUMBER($E1618),$E1618,IF($O1618="","",IF(N(INDEX('Menu Pricing'!$O$7:$O$56,$O1618))&gt;0,INDEX('Menu Pricing'!$O$7:$O$56,$O1618),""))))</f>
        <v/>
      </c>
      <c r="I1618" s="71">
        <f>IF($N1618&lt;&gt;"OK","",$D1618*$H1618)</f>
        <v/>
      </c>
      <c r="J1618" s="71">
        <f>IF($N1618&lt;&gt;"OK","",N(INDEX('Menu Pricing'!$F$7:$F$56,$O1618))+N(INDEX('Menu Pricing'!$G$7:$G$56,$O1618))+N(INDEX('Menu Pricing'!$J$7:$J$56,$O1618)))</f>
        <v/>
      </c>
      <c r="K1618" s="71">
        <f>IF($N1618&lt;&gt;"OK","",$D1618*$J1618)</f>
        <v/>
      </c>
      <c r="L1618" s="71">
        <f>IF($N1618&lt;&gt;"OK","",$I1618-$K1618)</f>
        <v/>
      </c>
      <c r="M1618" s="71">
        <f>IF($N1618&lt;&gt;"OK","",$D1618*N(INDEX('Menu Pricing'!$F$7:$F$56,$O1618)))</f>
        <v/>
      </c>
      <c r="N1618" s="80">
        <f>IF(AND($B1618="",$C1618="",$D1618=""),"",IF(NOT(ISNUMBER($B1618)),"Enter a valid date",IF($C1618="","Pick a menu item",IF($O1618="","Item not on Menu Pricing",IF(N($D1618)&lt;=0,"Qty must be above 0",IF($H1618="","No price on menu","OK"))))))</f>
        <v/>
      </c>
      <c r="O1618" s="13">
        <f>IF($C1618="","",IFERROR(MATCH($C1618,'Menu Pricing'!$B$7:$B$56,0),""))</f>
        <v/>
      </c>
    </row>
    <row r="1619" ht="17" customHeight="1">
      <c r="B1619" s="66" t="n"/>
      <c r="C1619" s="60" t="n"/>
      <c r="D1619" s="86" t="n"/>
      <c r="E1619" s="63" t="n"/>
      <c r="F1619" s="60" t="n"/>
      <c r="G1619" s="60" t="n"/>
      <c r="H1619" s="71">
        <f>IF(OR($C1619="",$D1619=""),"",IF(ISNUMBER($E1619),$E1619,IF($O1619="","",IF(N(INDEX('Menu Pricing'!$O$7:$O$56,$O1619))&gt;0,INDEX('Menu Pricing'!$O$7:$O$56,$O1619),""))))</f>
        <v/>
      </c>
      <c r="I1619" s="71">
        <f>IF($N1619&lt;&gt;"OK","",$D1619*$H1619)</f>
        <v/>
      </c>
      <c r="J1619" s="71">
        <f>IF($N1619&lt;&gt;"OK","",N(INDEX('Menu Pricing'!$F$7:$F$56,$O1619))+N(INDEX('Menu Pricing'!$G$7:$G$56,$O1619))+N(INDEX('Menu Pricing'!$J$7:$J$56,$O1619)))</f>
        <v/>
      </c>
      <c r="K1619" s="71">
        <f>IF($N1619&lt;&gt;"OK","",$D1619*$J1619)</f>
        <v/>
      </c>
      <c r="L1619" s="71">
        <f>IF($N1619&lt;&gt;"OK","",$I1619-$K1619)</f>
        <v/>
      </c>
      <c r="M1619" s="71">
        <f>IF($N1619&lt;&gt;"OK","",$D1619*N(INDEX('Menu Pricing'!$F$7:$F$56,$O1619)))</f>
        <v/>
      </c>
      <c r="N1619" s="80">
        <f>IF(AND($B1619="",$C1619="",$D1619=""),"",IF(NOT(ISNUMBER($B1619)),"Enter a valid date",IF($C1619="","Pick a menu item",IF($O1619="","Item not on Menu Pricing",IF(N($D1619)&lt;=0,"Qty must be above 0",IF($H1619="","No price on menu","OK"))))))</f>
        <v/>
      </c>
      <c r="O1619" s="13">
        <f>IF($C1619="","",IFERROR(MATCH($C1619,'Menu Pricing'!$B$7:$B$56,0),""))</f>
        <v/>
      </c>
    </row>
    <row r="1620" ht="17" customHeight="1">
      <c r="B1620" s="66" t="n"/>
      <c r="C1620" s="60" t="n"/>
      <c r="D1620" s="86" t="n"/>
      <c r="E1620" s="63" t="n"/>
      <c r="F1620" s="60" t="n"/>
      <c r="G1620" s="60" t="n"/>
      <c r="H1620" s="71">
        <f>IF(OR($C1620="",$D1620=""),"",IF(ISNUMBER($E1620),$E1620,IF($O1620="","",IF(N(INDEX('Menu Pricing'!$O$7:$O$56,$O1620))&gt;0,INDEX('Menu Pricing'!$O$7:$O$56,$O1620),""))))</f>
        <v/>
      </c>
      <c r="I1620" s="71">
        <f>IF($N1620&lt;&gt;"OK","",$D1620*$H1620)</f>
        <v/>
      </c>
      <c r="J1620" s="71">
        <f>IF($N1620&lt;&gt;"OK","",N(INDEX('Menu Pricing'!$F$7:$F$56,$O1620))+N(INDEX('Menu Pricing'!$G$7:$G$56,$O1620))+N(INDEX('Menu Pricing'!$J$7:$J$56,$O1620)))</f>
        <v/>
      </c>
      <c r="K1620" s="71">
        <f>IF($N1620&lt;&gt;"OK","",$D1620*$J1620)</f>
        <v/>
      </c>
      <c r="L1620" s="71">
        <f>IF($N1620&lt;&gt;"OK","",$I1620-$K1620)</f>
        <v/>
      </c>
      <c r="M1620" s="71">
        <f>IF($N1620&lt;&gt;"OK","",$D1620*N(INDEX('Menu Pricing'!$F$7:$F$56,$O1620)))</f>
        <v/>
      </c>
      <c r="N1620" s="80">
        <f>IF(AND($B1620="",$C1620="",$D1620=""),"",IF(NOT(ISNUMBER($B1620)),"Enter a valid date",IF($C1620="","Pick a menu item",IF($O1620="","Item not on Menu Pricing",IF(N($D1620)&lt;=0,"Qty must be above 0",IF($H1620="","No price on menu","OK"))))))</f>
        <v/>
      </c>
      <c r="O1620" s="13">
        <f>IF($C1620="","",IFERROR(MATCH($C1620,'Menu Pricing'!$B$7:$B$56,0),""))</f>
        <v/>
      </c>
    </row>
    <row r="1621" ht="17" customHeight="1">
      <c r="B1621" s="66" t="n"/>
      <c r="C1621" s="60" t="n"/>
      <c r="D1621" s="86" t="n"/>
      <c r="E1621" s="63" t="n"/>
      <c r="F1621" s="60" t="n"/>
      <c r="G1621" s="60" t="n"/>
      <c r="H1621" s="71">
        <f>IF(OR($C1621="",$D1621=""),"",IF(ISNUMBER($E1621),$E1621,IF($O1621="","",IF(N(INDEX('Menu Pricing'!$O$7:$O$56,$O1621))&gt;0,INDEX('Menu Pricing'!$O$7:$O$56,$O1621),""))))</f>
        <v/>
      </c>
      <c r="I1621" s="71">
        <f>IF($N1621&lt;&gt;"OK","",$D1621*$H1621)</f>
        <v/>
      </c>
      <c r="J1621" s="71">
        <f>IF($N1621&lt;&gt;"OK","",N(INDEX('Menu Pricing'!$F$7:$F$56,$O1621))+N(INDEX('Menu Pricing'!$G$7:$G$56,$O1621))+N(INDEX('Menu Pricing'!$J$7:$J$56,$O1621)))</f>
        <v/>
      </c>
      <c r="K1621" s="71">
        <f>IF($N1621&lt;&gt;"OK","",$D1621*$J1621)</f>
        <v/>
      </c>
      <c r="L1621" s="71">
        <f>IF($N1621&lt;&gt;"OK","",$I1621-$K1621)</f>
        <v/>
      </c>
      <c r="M1621" s="71">
        <f>IF($N1621&lt;&gt;"OK","",$D1621*N(INDEX('Menu Pricing'!$F$7:$F$56,$O1621)))</f>
        <v/>
      </c>
      <c r="N1621" s="80">
        <f>IF(AND($B1621="",$C1621="",$D1621=""),"",IF(NOT(ISNUMBER($B1621)),"Enter a valid date",IF($C1621="","Pick a menu item",IF($O1621="","Item not on Menu Pricing",IF(N($D1621)&lt;=0,"Qty must be above 0",IF($H1621="","No price on menu","OK"))))))</f>
        <v/>
      </c>
      <c r="O1621" s="13">
        <f>IF($C1621="","",IFERROR(MATCH($C1621,'Menu Pricing'!$B$7:$B$56,0),""))</f>
        <v/>
      </c>
    </row>
    <row r="1622" ht="17" customHeight="1">
      <c r="B1622" s="66" t="n"/>
      <c r="C1622" s="60" t="n"/>
      <c r="D1622" s="86" t="n"/>
      <c r="E1622" s="63" t="n"/>
      <c r="F1622" s="60" t="n"/>
      <c r="G1622" s="60" t="n"/>
      <c r="H1622" s="71">
        <f>IF(OR($C1622="",$D1622=""),"",IF(ISNUMBER($E1622),$E1622,IF($O1622="","",IF(N(INDEX('Menu Pricing'!$O$7:$O$56,$O1622))&gt;0,INDEX('Menu Pricing'!$O$7:$O$56,$O1622),""))))</f>
        <v/>
      </c>
      <c r="I1622" s="71">
        <f>IF($N1622&lt;&gt;"OK","",$D1622*$H1622)</f>
        <v/>
      </c>
      <c r="J1622" s="71">
        <f>IF($N1622&lt;&gt;"OK","",N(INDEX('Menu Pricing'!$F$7:$F$56,$O1622))+N(INDEX('Menu Pricing'!$G$7:$G$56,$O1622))+N(INDEX('Menu Pricing'!$J$7:$J$56,$O1622)))</f>
        <v/>
      </c>
      <c r="K1622" s="71">
        <f>IF($N1622&lt;&gt;"OK","",$D1622*$J1622)</f>
        <v/>
      </c>
      <c r="L1622" s="71">
        <f>IF($N1622&lt;&gt;"OK","",$I1622-$K1622)</f>
        <v/>
      </c>
      <c r="M1622" s="71">
        <f>IF($N1622&lt;&gt;"OK","",$D1622*N(INDEX('Menu Pricing'!$F$7:$F$56,$O1622)))</f>
        <v/>
      </c>
      <c r="N1622" s="80">
        <f>IF(AND($B1622="",$C1622="",$D1622=""),"",IF(NOT(ISNUMBER($B1622)),"Enter a valid date",IF($C1622="","Pick a menu item",IF($O1622="","Item not on Menu Pricing",IF(N($D1622)&lt;=0,"Qty must be above 0",IF($H1622="","No price on menu","OK"))))))</f>
        <v/>
      </c>
      <c r="O1622" s="13">
        <f>IF($C1622="","",IFERROR(MATCH($C1622,'Menu Pricing'!$B$7:$B$56,0),""))</f>
        <v/>
      </c>
    </row>
    <row r="1623" ht="17" customHeight="1">
      <c r="B1623" s="66" t="n"/>
      <c r="C1623" s="60" t="n"/>
      <c r="D1623" s="86" t="n"/>
      <c r="E1623" s="63" t="n"/>
      <c r="F1623" s="60" t="n"/>
      <c r="G1623" s="60" t="n"/>
      <c r="H1623" s="71">
        <f>IF(OR($C1623="",$D1623=""),"",IF(ISNUMBER($E1623),$E1623,IF($O1623="","",IF(N(INDEX('Menu Pricing'!$O$7:$O$56,$O1623))&gt;0,INDEX('Menu Pricing'!$O$7:$O$56,$O1623),""))))</f>
        <v/>
      </c>
      <c r="I1623" s="71">
        <f>IF($N1623&lt;&gt;"OK","",$D1623*$H1623)</f>
        <v/>
      </c>
      <c r="J1623" s="71">
        <f>IF($N1623&lt;&gt;"OK","",N(INDEX('Menu Pricing'!$F$7:$F$56,$O1623))+N(INDEX('Menu Pricing'!$G$7:$G$56,$O1623))+N(INDEX('Menu Pricing'!$J$7:$J$56,$O1623)))</f>
        <v/>
      </c>
      <c r="K1623" s="71">
        <f>IF($N1623&lt;&gt;"OK","",$D1623*$J1623)</f>
        <v/>
      </c>
      <c r="L1623" s="71">
        <f>IF($N1623&lt;&gt;"OK","",$I1623-$K1623)</f>
        <v/>
      </c>
      <c r="M1623" s="71">
        <f>IF($N1623&lt;&gt;"OK","",$D1623*N(INDEX('Menu Pricing'!$F$7:$F$56,$O1623)))</f>
        <v/>
      </c>
      <c r="N1623" s="80">
        <f>IF(AND($B1623="",$C1623="",$D1623=""),"",IF(NOT(ISNUMBER($B1623)),"Enter a valid date",IF($C1623="","Pick a menu item",IF($O1623="","Item not on Menu Pricing",IF(N($D1623)&lt;=0,"Qty must be above 0",IF($H1623="","No price on menu","OK"))))))</f>
        <v/>
      </c>
      <c r="O1623" s="13">
        <f>IF($C1623="","",IFERROR(MATCH($C1623,'Menu Pricing'!$B$7:$B$56,0),""))</f>
        <v/>
      </c>
    </row>
    <row r="1624" ht="17" customHeight="1">
      <c r="B1624" s="66" t="n"/>
      <c r="C1624" s="60" t="n"/>
      <c r="D1624" s="86" t="n"/>
      <c r="E1624" s="63" t="n"/>
      <c r="F1624" s="60" t="n"/>
      <c r="G1624" s="60" t="n"/>
      <c r="H1624" s="71">
        <f>IF(OR($C1624="",$D1624=""),"",IF(ISNUMBER($E1624),$E1624,IF($O1624="","",IF(N(INDEX('Menu Pricing'!$O$7:$O$56,$O1624))&gt;0,INDEX('Menu Pricing'!$O$7:$O$56,$O1624),""))))</f>
        <v/>
      </c>
      <c r="I1624" s="71">
        <f>IF($N1624&lt;&gt;"OK","",$D1624*$H1624)</f>
        <v/>
      </c>
      <c r="J1624" s="71">
        <f>IF($N1624&lt;&gt;"OK","",N(INDEX('Menu Pricing'!$F$7:$F$56,$O1624))+N(INDEX('Menu Pricing'!$G$7:$G$56,$O1624))+N(INDEX('Menu Pricing'!$J$7:$J$56,$O1624)))</f>
        <v/>
      </c>
      <c r="K1624" s="71">
        <f>IF($N1624&lt;&gt;"OK","",$D1624*$J1624)</f>
        <v/>
      </c>
      <c r="L1624" s="71">
        <f>IF($N1624&lt;&gt;"OK","",$I1624-$K1624)</f>
        <v/>
      </c>
      <c r="M1624" s="71">
        <f>IF($N1624&lt;&gt;"OK","",$D1624*N(INDEX('Menu Pricing'!$F$7:$F$56,$O1624)))</f>
        <v/>
      </c>
      <c r="N1624" s="80">
        <f>IF(AND($B1624="",$C1624="",$D1624=""),"",IF(NOT(ISNUMBER($B1624)),"Enter a valid date",IF($C1624="","Pick a menu item",IF($O1624="","Item not on Menu Pricing",IF(N($D1624)&lt;=0,"Qty must be above 0",IF($H1624="","No price on menu","OK"))))))</f>
        <v/>
      </c>
      <c r="O1624" s="13">
        <f>IF($C1624="","",IFERROR(MATCH($C1624,'Menu Pricing'!$B$7:$B$56,0),""))</f>
        <v/>
      </c>
    </row>
    <row r="1625" ht="17" customHeight="1">
      <c r="B1625" s="66" t="n"/>
      <c r="C1625" s="60" t="n"/>
      <c r="D1625" s="86" t="n"/>
      <c r="E1625" s="63" t="n"/>
      <c r="F1625" s="60" t="n"/>
      <c r="G1625" s="60" t="n"/>
      <c r="H1625" s="71">
        <f>IF(OR($C1625="",$D1625=""),"",IF(ISNUMBER($E1625),$E1625,IF($O1625="","",IF(N(INDEX('Menu Pricing'!$O$7:$O$56,$O1625))&gt;0,INDEX('Menu Pricing'!$O$7:$O$56,$O1625),""))))</f>
        <v/>
      </c>
      <c r="I1625" s="71">
        <f>IF($N1625&lt;&gt;"OK","",$D1625*$H1625)</f>
        <v/>
      </c>
      <c r="J1625" s="71">
        <f>IF($N1625&lt;&gt;"OK","",N(INDEX('Menu Pricing'!$F$7:$F$56,$O1625))+N(INDEX('Menu Pricing'!$G$7:$G$56,$O1625))+N(INDEX('Menu Pricing'!$J$7:$J$56,$O1625)))</f>
        <v/>
      </c>
      <c r="K1625" s="71">
        <f>IF($N1625&lt;&gt;"OK","",$D1625*$J1625)</f>
        <v/>
      </c>
      <c r="L1625" s="71">
        <f>IF($N1625&lt;&gt;"OK","",$I1625-$K1625)</f>
        <v/>
      </c>
      <c r="M1625" s="71">
        <f>IF($N1625&lt;&gt;"OK","",$D1625*N(INDEX('Menu Pricing'!$F$7:$F$56,$O1625)))</f>
        <v/>
      </c>
      <c r="N1625" s="80">
        <f>IF(AND($B1625="",$C1625="",$D1625=""),"",IF(NOT(ISNUMBER($B1625)),"Enter a valid date",IF($C1625="","Pick a menu item",IF($O1625="","Item not on Menu Pricing",IF(N($D1625)&lt;=0,"Qty must be above 0",IF($H1625="","No price on menu","OK"))))))</f>
        <v/>
      </c>
      <c r="O1625" s="13">
        <f>IF($C1625="","",IFERROR(MATCH($C1625,'Menu Pricing'!$B$7:$B$56,0),""))</f>
        <v/>
      </c>
    </row>
    <row r="1626" ht="17" customHeight="1">
      <c r="B1626" s="66" t="n"/>
      <c r="C1626" s="60" t="n"/>
      <c r="D1626" s="86" t="n"/>
      <c r="E1626" s="63" t="n"/>
      <c r="F1626" s="60" t="n"/>
      <c r="G1626" s="60" t="n"/>
      <c r="H1626" s="71">
        <f>IF(OR($C1626="",$D1626=""),"",IF(ISNUMBER($E1626),$E1626,IF($O1626="","",IF(N(INDEX('Menu Pricing'!$O$7:$O$56,$O1626))&gt;0,INDEX('Menu Pricing'!$O$7:$O$56,$O1626),""))))</f>
        <v/>
      </c>
      <c r="I1626" s="71">
        <f>IF($N1626&lt;&gt;"OK","",$D1626*$H1626)</f>
        <v/>
      </c>
      <c r="J1626" s="71">
        <f>IF($N1626&lt;&gt;"OK","",N(INDEX('Menu Pricing'!$F$7:$F$56,$O1626))+N(INDEX('Menu Pricing'!$G$7:$G$56,$O1626))+N(INDEX('Menu Pricing'!$J$7:$J$56,$O1626)))</f>
        <v/>
      </c>
      <c r="K1626" s="71">
        <f>IF($N1626&lt;&gt;"OK","",$D1626*$J1626)</f>
        <v/>
      </c>
      <c r="L1626" s="71">
        <f>IF($N1626&lt;&gt;"OK","",$I1626-$K1626)</f>
        <v/>
      </c>
      <c r="M1626" s="71">
        <f>IF($N1626&lt;&gt;"OK","",$D1626*N(INDEX('Menu Pricing'!$F$7:$F$56,$O1626)))</f>
        <v/>
      </c>
      <c r="N1626" s="80">
        <f>IF(AND($B1626="",$C1626="",$D1626=""),"",IF(NOT(ISNUMBER($B1626)),"Enter a valid date",IF($C1626="","Pick a menu item",IF($O1626="","Item not on Menu Pricing",IF(N($D1626)&lt;=0,"Qty must be above 0",IF($H1626="","No price on menu","OK"))))))</f>
        <v/>
      </c>
      <c r="O1626" s="13">
        <f>IF($C1626="","",IFERROR(MATCH($C1626,'Menu Pricing'!$B$7:$B$56,0),""))</f>
        <v/>
      </c>
    </row>
    <row r="1627" ht="17" customHeight="1">
      <c r="B1627" s="66" t="n"/>
      <c r="C1627" s="60" t="n"/>
      <c r="D1627" s="86" t="n"/>
      <c r="E1627" s="63" t="n"/>
      <c r="F1627" s="60" t="n"/>
      <c r="G1627" s="60" t="n"/>
      <c r="H1627" s="71">
        <f>IF(OR($C1627="",$D1627=""),"",IF(ISNUMBER($E1627),$E1627,IF($O1627="","",IF(N(INDEX('Menu Pricing'!$O$7:$O$56,$O1627))&gt;0,INDEX('Menu Pricing'!$O$7:$O$56,$O1627),""))))</f>
        <v/>
      </c>
      <c r="I1627" s="71">
        <f>IF($N1627&lt;&gt;"OK","",$D1627*$H1627)</f>
        <v/>
      </c>
      <c r="J1627" s="71">
        <f>IF($N1627&lt;&gt;"OK","",N(INDEX('Menu Pricing'!$F$7:$F$56,$O1627))+N(INDEX('Menu Pricing'!$G$7:$G$56,$O1627))+N(INDEX('Menu Pricing'!$J$7:$J$56,$O1627)))</f>
        <v/>
      </c>
      <c r="K1627" s="71">
        <f>IF($N1627&lt;&gt;"OK","",$D1627*$J1627)</f>
        <v/>
      </c>
      <c r="L1627" s="71">
        <f>IF($N1627&lt;&gt;"OK","",$I1627-$K1627)</f>
        <v/>
      </c>
      <c r="M1627" s="71">
        <f>IF($N1627&lt;&gt;"OK","",$D1627*N(INDEX('Menu Pricing'!$F$7:$F$56,$O1627)))</f>
        <v/>
      </c>
      <c r="N1627" s="80">
        <f>IF(AND($B1627="",$C1627="",$D1627=""),"",IF(NOT(ISNUMBER($B1627)),"Enter a valid date",IF($C1627="","Pick a menu item",IF($O1627="","Item not on Menu Pricing",IF(N($D1627)&lt;=0,"Qty must be above 0",IF($H1627="","No price on menu","OK"))))))</f>
        <v/>
      </c>
      <c r="O1627" s="13">
        <f>IF($C1627="","",IFERROR(MATCH($C1627,'Menu Pricing'!$B$7:$B$56,0),""))</f>
        <v/>
      </c>
    </row>
    <row r="1628" ht="17" customHeight="1">
      <c r="B1628" s="66" t="n"/>
      <c r="C1628" s="60" t="n"/>
      <c r="D1628" s="86" t="n"/>
      <c r="E1628" s="63" t="n"/>
      <c r="F1628" s="60" t="n"/>
      <c r="G1628" s="60" t="n"/>
      <c r="H1628" s="71">
        <f>IF(OR($C1628="",$D1628=""),"",IF(ISNUMBER($E1628),$E1628,IF($O1628="","",IF(N(INDEX('Menu Pricing'!$O$7:$O$56,$O1628))&gt;0,INDEX('Menu Pricing'!$O$7:$O$56,$O1628),""))))</f>
        <v/>
      </c>
      <c r="I1628" s="71">
        <f>IF($N1628&lt;&gt;"OK","",$D1628*$H1628)</f>
        <v/>
      </c>
      <c r="J1628" s="71">
        <f>IF($N1628&lt;&gt;"OK","",N(INDEX('Menu Pricing'!$F$7:$F$56,$O1628))+N(INDEX('Menu Pricing'!$G$7:$G$56,$O1628))+N(INDEX('Menu Pricing'!$J$7:$J$56,$O1628)))</f>
        <v/>
      </c>
      <c r="K1628" s="71">
        <f>IF($N1628&lt;&gt;"OK","",$D1628*$J1628)</f>
        <v/>
      </c>
      <c r="L1628" s="71">
        <f>IF($N1628&lt;&gt;"OK","",$I1628-$K1628)</f>
        <v/>
      </c>
      <c r="M1628" s="71">
        <f>IF($N1628&lt;&gt;"OK","",$D1628*N(INDEX('Menu Pricing'!$F$7:$F$56,$O1628)))</f>
        <v/>
      </c>
      <c r="N1628" s="80">
        <f>IF(AND($B1628="",$C1628="",$D1628=""),"",IF(NOT(ISNUMBER($B1628)),"Enter a valid date",IF($C1628="","Pick a menu item",IF($O1628="","Item not on Menu Pricing",IF(N($D1628)&lt;=0,"Qty must be above 0",IF($H1628="","No price on menu","OK"))))))</f>
        <v/>
      </c>
      <c r="O1628" s="13">
        <f>IF($C1628="","",IFERROR(MATCH($C1628,'Menu Pricing'!$B$7:$B$56,0),""))</f>
        <v/>
      </c>
    </row>
    <row r="1629" ht="17" customHeight="1">
      <c r="B1629" s="66" t="n"/>
      <c r="C1629" s="60" t="n"/>
      <c r="D1629" s="86" t="n"/>
      <c r="E1629" s="63" t="n"/>
      <c r="F1629" s="60" t="n"/>
      <c r="G1629" s="60" t="n"/>
      <c r="H1629" s="71">
        <f>IF(OR($C1629="",$D1629=""),"",IF(ISNUMBER($E1629),$E1629,IF($O1629="","",IF(N(INDEX('Menu Pricing'!$O$7:$O$56,$O1629))&gt;0,INDEX('Menu Pricing'!$O$7:$O$56,$O1629),""))))</f>
        <v/>
      </c>
      <c r="I1629" s="71">
        <f>IF($N1629&lt;&gt;"OK","",$D1629*$H1629)</f>
        <v/>
      </c>
      <c r="J1629" s="71">
        <f>IF($N1629&lt;&gt;"OK","",N(INDEX('Menu Pricing'!$F$7:$F$56,$O1629))+N(INDEX('Menu Pricing'!$G$7:$G$56,$O1629))+N(INDEX('Menu Pricing'!$J$7:$J$56,$O1629)))</f>
        <v/>
      </c>
      <c r="K1629" s="71">
        <f>IF($N1629&lt;&gt;"OK","",$D1629*$J1629)</f>
        <v/>
      </c>
      <c r="L1629" s="71">
        <f>IF($N1629&lt;&gt;"OK","",$I1629-$K1629)</f>
        <v/>
      </c>
      <c r="M1629" s="71">
        <f>IF($N1629&lt;&gt;"OK","",$D1629*N(INDEX('Menu Pricing'!$F$7:$F$56,$O1629)))</f>
        <v/>
      </c>
      <c r="N1629" s="80">
        <f>IF(AND($B1629="",$C1629="",$D1629=""),"",IF(NOT(ISNUMBER($B1629)),"Enter a valid date",IF($C1629="","Pick a menu item",IF($O1629="","Item not on Menu Pricing",IF(N($D1629)&lt;=0,"Qty must be above 0",IF($H1629="","No price on menu","OK"))))))</f>
        <v/>
      </c>
      <c r="O1629" s="13">
        <f>IF($C1629="","",IFERROR(MATCH($C1629,'Menu Pricing'!$B$7:$B$56,0),""))</f>
        <v/>
      </c>
    </row>
    <row r="1630" ht="17" customHeight="1">
      <c r="B1630" s="66" t="n"/>
      <c r="C1630" s="60" t="n"/>
      <c r="D1630" s="86" t="n"/>
      <c r="E1630" s="63" t="n"/>
      <c r="F1630" s="60" t="n"/>
      <c r="G1630" s="60" t="n"/>
      <c r="H1630" s="71">
        <f>IF(OR($C1630="",$D1630=""),"",IF(ISNUMBER($E1630),$E1630,IF($O1630="","",IF(N(INDEX('Menu Pricing'!$O$7:$O$56,$O1630))&gt;0,INDEX('Menu Pricing'!$O$7:$O$56,$O1630),""))))</f>
        <v/>
      </c>
      <c r="I1630" s="71">
        <f>IF($N1630&lt;&gt;"OK","",$D1630*$H1630)</f>
        <v/>
      </c>
      <c r="J1630" s="71">
        <f>IF($N1630&lt;&gt;"OK","",N(INDEX('Menu Pricing'!$F$7:$F$56,$O1630))+N(INDEX('Menu Pricing'!$G$7:$G$56,$O1630))+N(INDEX('Menu Pricing'!$J$7:$J$56,$O1630)))</f>
        <v/>
      </c>
      <c r="K1630" s="71">
        <f>IF($N1630&lt;&gt;"OK","",$D1630*$J1630)</f>
        <v/>
      </c>
      <c r="L1630" s="71">
        <f>IF($N1630&lt;&gt;"OK","",$I1630-$K1630)</f>
        <v/>
      </c>
      <c r="M1630" s="71">
        <f>IF($N1630&lt;&gt;"OK","",$D1630*N(INDEX('Menu Pricing'!$F$7:$F$56,$O1630)))</f>
        <v/>
      </c>
      <c r="N1630" s="80">
        <f>IF(AND($B1630="",$C1630="",$D1630=""),"",IF(NOT(ISNUMBER($B1630)),"Enter a valid date",IF($C1630="","Pick a menu item",IF($O1630="","Item not on Menu Pricing",IF(N($D1630)&lt;=0,"Qty must be above 0",IF($H1630="","No price on menu","OK"))))))</f>
        <v/>
      </c>
      <c r="O1630" s="13">
        <f>IF($C1630="","",IFERROR(MATCH($C1630,'Menu Pricing'!$B$7:$B$56,0),""))</f>
        <v/>
      </c>
    </row>
    <row r="1631" ht="17" customHeight="1">
      <c r="B1631" s="66" t="n"/>
      <c r="C1631" s="60" t="n"/>
      <c r="D1631" s="86" t="n"/>
      <c r="E1631" s="63" t="n"/>
      <c r="F1631" s="60" t="n"/>
      <c r="G1631" s="60" t="n"/>
      <c r="H1631" s="71">
        <f>IF(OR($C1631="",$D1631=""),"",IF(ISNUMBER($E1631),$E1631,IF($O1631="","",IF(N(INDEX('Menu Pricing'!$O$7:$O$56,$O1631))&gt;0,INDEX('Menu Pricing'!$O$7:$O$56,$O1631),""))))</f>
        <v/>
      </c>
      <c r="I1631" s="71">
        <f>IF($N1631&lt;&gt;"OK","",$D1631*$H1631)</f>
        <v/>
      </c>
      <c r="J1631" s="71">
        <f>IF($N1631&lt;&gt;"OK","",N(INDEX('Menu Pricing'!$F$7:$F$56,$O1631))+N(INDEX('Menu Pricing'!$G$7:$G$56,$O1631))+N(INDEX('Menu Pricing'!$J$7:$J$56,$O1631)))</f>
        <v/>
      </c>
      <c r="K1631" s="71">
        <f>IF($N1631&lt;&gt;"OK","",$D1631*$J1631)</f>
        <v/>
      </c>
      <c r="L1631" s="71">
        <f>IF($N1631&lt;&gt;"OK","",$I1631-$K1631)</f>
        <v/>
      </c>
      <c r="M1631" s="71">
        <f>IF($N1631&lt;&gt;"OK","",$D1631*N(INDEX('Menu Pricing'!$F$7:$F$56,$O1631)))</f>
        <v/>
      </c>
      <c r="N1631" s="80">
        <f>IF(AND($B1631="",$C1631="",$D1631=""),"",IF(NOT(ISNUMBER($B1631)),"Enter a valid date",IF($C1631="","Pick a menu item",IF($O1631="","Item not on Menu Pricing",IF(N($D1631)&lt;=0,"Qty must be above 0",IF($H1631="","No price on menu","OK"))))))</f>
        <v/>
      </c>
      <c r="O1631" s="13">
        <f>IF($C1631="","",IFERROR(MATCH($C1631,'Menu Pricing'!$B$7:$B$56,0),""))</f>
        <v/>
      </c>
    </row>
    <row r="1632" ht="17" customHeight="1">
      <c r="B1632" s="66" t="n"/>
      <c r="C1632" s="60" t="n"/>
      <c r="D1632" s="86" t="n"/>
      <c r="E1632" s="63" t="n"/>
      <c r="F1632" s="60" t="n"/>
      <c r="G1632" s="60" t="n"/>
      <c r="H1632" s="71">
        <f>IF(OR($C1632="",$D1632=""),"",IF(ISNUMBER($E1632),$E1632,IF($O1632="","",IF(N(INDEX('Menu Pricing'!$O$7:$O$56,$O1632))&gt;0,INDEX('Menu Pricing'!$O$7:$O$56,$O1632),""))))</f>
        <v/>
      </c>
      <c r="I1632" s="71">
        <f>IF($N1632&lt;&gt;"OK","",$D1632*$H1632)</f>
        <v/>
      </c>
      <c r="J1632" s="71">
        <f>IF($N1632&lt;&gt;"OK","",N(INDEX('Menu Pricing'!$F$7:$F$56,$O1632))+N(INDEX('Menu Pricing'!$G$7:$G$56,$O1632))+N(INDEX('Menu Pricing'!$J$7:$J$56,$O1632)))</f>
        <v/>
      </c>
      <c r="K1632" s="71">
        <f>IF($N1632&lt;&gt;"OK","",$D1632*$J1632)</f>
        <v/>
      </c>
      <c r="L1632" s="71">
        <f>IF($N1632&lt;&gt;"OK","",$I1632-$K1632)</f>
        <v/>
      </c>
      <c r="M1632" s="71">
        <f>IF($N1632&lt;&gt;"OK","",$D1632*N(INDEX('Menu Pricing'!$F$7:$F$56,$O1632)))</f>
        <v/>
      </c>
      <c r="N1632" s="80">
        <f>IF(AND($B1632="",$C1632="",$D1632=""),"",IF(NOT(ISNUMBER($B1632)),"Enter a valid date",IF($C1632="","Pick a menu item",IF($O1632="","Item not on Menu Pricing",IF(N($D1632)&lt;=0,"Qty must be above 0",IF($H1632="","No price on menu","OK"))))))</f>
        <v/>
      </c>
      <c r="O1632" s="13">
        <f>IF($C1632="","",IFERROR(MATCH($C1632,'Menu Pricing'!$B$7:$B$56,0),""))</f>
        <v/>
      </c>
    </row>
    <row r="1633" ht="17" customHeight="1">
      <c r="B1633" s="66" t="n"/>
      <c r="C1633" s="60" t="n"/>
      <c r="D1633" s="86" t="n"/>
      <c r="E1633" s="63" t="n"/>
      <c r="F1633" s="60" t="n"/>
      <c r="G1633" s="60" t="n"/>
      <c r="H1633" s="71">
        <f>IF(OR($C1633="",$D1633=""),"",IF(ISNUMBER($E1633),$E1633,IF($O1633="","",IF(N(INDEX('Menu Pricing'!$O$7:$O$56,$O1633))&gt;0,INDEX('Menu Pricing'!$O$7:$O$56,$O1633),""))))</f>
        <v/>
      </c>
      <c r="I1633" s="71">
        <f>IF($N1633&lt;&gt;"OK","",$D1633*$H1633)</f>
        <v/>
      </c>
      <c r="J1633" s="71">
        <f>IF($N1633&lt;&gt;"OK","",N(INDEX('Menu Pricing'!$F$7:$F$56,$O1633))+N(INDEX('Menu Pricing'!$G$7:$G$56,$O1633))+N(INDEX('Menu Pricing'!$J$7:$J$56,$O1633)))</f>
        <v/>
      </c>
      <c r="K1633" s="71">
        <f>IF($N1633&lt;&gt;"OK","",$D1633*$J1633)</f>
        <v/>
      </c>
      <c r="L1633" s="71">
        <f>IF($N1633&lt;&gt;"OK","",$I1633-$K1633)</f>
        <v/>
      </c>
      <c r="M1633" s="71">
        <f>IF($N1633&lt;&gt;"OK","",$D1633*N(INDEX('Menu Pricing'!$F$7:$F$56,$O1633)))</f>
        <v/>
      </c>
      <c r="N1633" s="80">
        <f>IF(AND($B1633="",$C1633="",$D1633=""),"",IF(NOT(ISNUMBER($B1633)),"Enter a valid date",IF($C1633="","Pick a menu item",IF($O1633="","Item not on Menu Pricing",IF(N($D1633)&lt;=0,"Qty must be above 0",IF($H1633="","No price on menu","OK"))))))</f>
        <v/>
      </c>
      <c r="O1633" s="13">
        <f>IF($C1633="","",IFERROR(MATCH($C1633,'Menu Pricing'!$B$7:$B$56,0),""))</f>
        <v/>
      </c>
    </row>
    <row r="1634" ht="17" customHeight="1">
      <c r="B1634" s="66" t="n"/>
      <c r="C1634" s="60" t="n"/>
      <c r="D1634" s="86" t="n"/>
      <c r="E1634" s="63" t="n"/>
      <c r="F1634" s="60" t="n"/>
      <c r="G1634" s="60" t="n"/>
      <c r="H1634" s="71">
        <f>IF(OR($C1634="",$D1634=""),"",IF(ISNUMBER($E1634),$E1634,IF($O1634="","",IF(N(INDEX('Menu Pricing'!$O$7:$O$56,$O1634))&gt;0,INDEX('Menu Pricing'!$O$7:$O$56,$O1634),""))))</f>
        <v/>
      </c>
      <c r="I1634" s="71">
        <f>IF($N1634&lt;&gt;"OK","",$D1634*$H1634)</f>
        <v/>
      </c>
      <c r="J1634" s="71">
        <f>IF($N1634&lt;&gt;"OK","",N(INDEX('Menu Pricing'!$F$7:$F$56,$O1634))+N(INDEX('Menu Pricing'!$G$7:$G$56,$O1634))+N(INDEX('Menu Pricing'!$J$7:$J$56,$O1634)))</f>
        <v/>
      </c>
      <c r="K1634" s="71">
        <f>IF($N1634&lt;&gt;"OK","",$D1634*$J1634)</f>
        <v/>
      </c>
      <c r="L1634" s="71">
        <f>IF($N1634&lt;&gt;"OK","",$I1634-$K1634)</f>
        <v/>
      </c>
      <c r="M1634" s="71">
        <f>IF($N1634&lt;&gt;"OK","",$D1634*N(INDEX('Menu Pricing'!$F$7:$F$56,$O1634)))</f>
        <v/>
      </c>
      <c r="N1634" s="80">
        <f>IF(AND($B1634="",$C1634="",$D1634=""),"",IF(NOT(ISNUMBER($B1634)),"Enter a valid date",IF($C1634="","Pick a menu item",IF($O1634="","Item not on Menu Pricing",IF(N($D1634)&lt;=0,"Qty must be above 0",IF($H1634="","No price on menu","OK"))))))</f>
        <v/>
      </c>
      <c r="O1634" s="13">
        <f>IF($C1634="","",IFERROR(MATCH($C1634,'Menu Pricing'!$B$7:$B$56,0),""))</f>
        <v/>
      </c>
    </row>
    <row r="1635" ht="17" customHeight="1">
      <c r="B1635" s="66" t="n"/>
      <c r="C1635" s="60" t="n"/>
      <c r="D1635" s="86" t="n"/>
      <c r="E1635" s="63" t="n"/>
      <c r="F1635" s="60" t="n"/>
      <c r="G1635" s="60" t="n"/>
      <c r="H1635" s="71">
        <f>IF(OR($C1635="",$D1635=""),"",IF(ISNUMBER($E1635),$E1635,IF($O1635="","",IF(N(INDEX('Menu Pricing'!$O$7:$O$56,$O1635))&gt;0,INDEX('Menu Pricing'!$O$7:$O$56,$O1635),""))))</f>
        <v/>
      </c>
      <c r="I1635" s="71">
        <f>IF($N1635&lt;&gt;"OK","",$D1635*$H1635)</f>
        <v/>
      </c>
      <c r="J1635" s="71">
        <f>IF($N1635&lt;&gt;"OK","",N(INDEX('Menu Pricing'!$F$7:$F$56,$O1635))+N(INDEX('Menu Pricing'!$G$7:$G$56,$O1635))+N(INDEX('Menu Pricing'!$J$7:$J$56,$O1635)))</f>
        <v/>
      </c>
      <c r="K1635" s="71">
        <f>IF($N1635&lt;&gt;"OK","",$D1635*$J1635)</f>
        <v/>
      </c>
      <c r="L1635" s="71">
        <f>IF($N1635&lt;&gt;"OK","",$I1635-$K1635)</f>
        <v/>
      </c>
      <c r="M1635" s="71">
        <f>IF($N1635&lt;&gt;"OK","",$D1635*N(INDEX('Menu Pricing'!$F$7:$F$56,$O1635)))</f>
        <v/>
      </c>
      <c r="N1635" s="80">
        <f>IF(AND($B1635="",$C1635="",$D1635=""),"",IF(NOT(ISNUMBER($B1635)),"Enter a valid date",IF($C1635="","Pick a menu item",IF($O1635="","Item not on Menu Pricing",IF(N($D1635)&lt;=0,"Qty must be above 0",IF($H1635="","No price on menu","OK"))))))</f>
        <v/>
      </c>
      <c r="O1635" s="13">
        <f>IF($C1635="","",IFERROR(MATCH($C1635,'Menu Pricing'!$B$7:$B$56,0),""))</f>
        <v/>
      </c>
    </row>
    <row r="1636" ht="17" customHeight="1">
      <c r="B1636" s="66" t="n"/>
      <c r="C1636" s="60" t="n"/>
      <c r="D1636" s="86" t="n"/>
      <c r="E1636" s="63" t="n"/>
      <c r="F1636" s="60" t="n"/>
      <c r="G1636" s="60" t="n"/>
      <c r="H1636" s="71">
        <f>IF(OR($C1636="",$D1636=""),"",IF(ISNUMBER($E1636),$E1636,IF($O1636="","",IF(N(INDEX('Menu Pricing'!$O$7:$O$56,$O1636))&gt;0,INDEX('Menu Pricing'!$O$7:$O$56,$O1636),""))))</f>
        <v/>
      </c>
      <c r="I1636" s="71">
        <f>IF($N1636&lt;&gt;"OK","",$D1636*$H1636)</f>
        <v/>
      </c>
      <c r="J1636" s="71">
        <f>IF($N1636&lt;&gt;"OK","",N(INDEX('Menu Pricing'!$F$7:$F$56,$O1636))+N(INDEX('Menu Pricing'!$G$7:$G$56,$O1636))+N(INDEX('Menu Pricing'!$J$7:$J$56,$O1636)))</f>
        <v/>
      </c>
      <c r="K1636" s="71">
        <f>IF($N1636&lt;&gt;"OK","",$D1636*$J1636)</f>
        <v/>
      </c>
      <c r="L1636" s="71">
        <f>IF($N1636&lt;&gt;"OK","",$I1636-$K1636)</f>
        <v/>
      </c>
      <c r="M1636" s="71">
        <f>IF($N1636&lt;&gt;"OK","",$D1636*N(INDEX('Menu Pricing'!$F$7:$F$56,$O1636)))</f>
        <v/>
      </c>
      <c r="N1636" s="80">
        <f>IF(AND($B1636="",$C1636="",$D1636=""),"",IF(NOT(ISNUMBER($B1636)),"Enter a valid date",IF($C1636="","Pick a menu item",IF($O1636="","Item not on Menu Pricing",IF(N($D1636)&lt;=0,"Qty must be above 0",IF($H1636="","No price on menu","OK"))))))</f>
        <v/>
      </c>
      <c r="O1636" s="13">
        <f>IF($C1636="","",IFERROR(MATCH($C1636,'Menu Pricing'!$B$7:$B$56,0),""))</f>
        <v/>
      </c>
    </row>
    <row r="1637" ht="17" customHeight="1">
      <c r="B1637" s="66" t="n"/>
      <c r="C1637" s="60" t="n"/>
      <c r="D1637" s="86" t="n"/>
      <c r="E1637" s="63" t="n"/>
      <c r="F1637" s="60" t="n"/>
      <c r="G1637" s="60" t="n"/>
      <c r="H1637" s="71">
        <f>IF(OR($C1637="",$D1637=""),"",IF(ISNUMBER($E1637),$E1637,IF($O1637="","",IF(N(INDEX('Menu Pricing'!$O$7:$O$56,$O1637))&gt;0,INDEX('Menu Pricing'!$O$7:$O$56,$O1637),""))))</f>
        <v/>
      </c>
      <c r="I1637" s="71">
        <f>IF($N1637&lt;&gt;"OK","",$D1637*$H1637)</f>
        <v/>
      </c>
      <c r="J1637" s="71">
        <f>IF($N1637&lt;&gt;"OK","",N(INDEX('Menu Pricing'!$F$7:$F$56,$O1637))+N(INDEX('Menu Pricing'!$G$7:$G$56,$O1637))+N(INDEX('Menu Pricing'!$J$7:$J$56,$O1637)))</f>
        <v/>
      </c>
      <c r="K1637" s="71">
        <f>IF($N1637&lt;&gt;"OK","",$D1637*$J1637)</f>
        <v/>
      </c>
      <c r="L1637" s="71">
        <f>IF($N1637&lt;&gt;"OK","",$I1637-$K1637)</f>
        <v/>
      </c>
      <c r="M1637" s="71">
        <f>IF($N1637&lt;&gt;"OK","",$D1637*N(INDEX('Menu Pricing'!$F$7:$F$56,$O1637)))</f>
        <v/>
      </c>
      <c r="N1637" s="80">
        <f>IF(AND($B1637="",$C1637="",$D1637=""),"",IF(NOT(ISNUMBER($B1637)),"Enter a valid date",IF($C1637="","Pick a menu item",IF($O1637="","Item not on Menu Pricing",IF(N($D1637)&lt;=0,"Qty must be above 0",IF($H1637="","No price on menu","OK"))))))</f>
        <v/>
      </c>
      <c r="O1637" s="13">
        <f>IF($C1637="","",IFERROR(MATCH($C1637,'Menu Pricing'!$B$7:$B$56,0),""))</f>
        <v/>
      </c>
    </row>
    <row r="1638" ht="17" customHeight="1">
      <c r="B1638" s="66" t="n"/>
      <c r="C1638" s="60" t="n"/>
      <c r="D1638" s="86" t="n"/>
      <c r="E1638" s="63" t="n"/>
      <c r="F1638" s="60" t="n"/>
      <c r="G1638" s="60" t="n"/>
      <c r="H1638" s="71">
        <f>IF(OR($C1638="",$D1638=""),"",IF(ISNUMBER($E1638),$E1638,IF($O1638="","",IF(N(INDEX('Menu Pricing'!$O$7:$O$56,$O1638))&gt;0,INDEX('Menu Pricing'!$O$7:$O$56,$O1638),""))))</f>
        <v/>
      </c>
      <c r="I1638" s="71">
        <f>IF($N1638&lt;&gt;"OK","",$D1638*$H1638)</f>
        <v/>
      </c>
      <c r="J1638" s="71">
        <f>IF($N1638&lt;&gt;"OK","",N(INDEX('Menu Pricing'!$F$7:$F$56,$O1638))+N(INDEX('Menu Pricing'!$G$7:$G$56,$O1638))+N(INDEX('Menu Pricing'!$J$7:$J$56,$O1638)))</f>
        <v/>
      </c>
      <c r="K1638" s="71">
        <f>IF($N1638&lt;&gt;"OK","",$D1638*$J1638)</f>
        <v/>
      </c>
      <c r="L1638" s="71">
        <f>IF($N1638&lt;&gt;"OK","",$I1638-$K1638)</f>
        <v/>
      </c>
      <c r="M1638" s="71">
        <f>IF($N1638&lt;&gt;"OK","",$D1638*N(INDEX('Menu Pricing'!$F$7:$F$56,$O1638)))</f>
        <v/>
      </c>
      <c r="N1638" s="80">
        <f>IF(AND($B1638="",$C1638="",$D1638=""),"",IF(NOT(ISNUMBER($B1638)),"Enter a valid date",IF($C1638="","Pick a menu item",IF($O1638="","Item not on Menu Pricing",IF(N($D1638)&lt;=0,"Qty must be above 0",IF($H1638="","No price on menu","OK"))))))</f>
        <v/>
      </c>
      <c r="O1638" s="13">
        <f>IF($C1638="","",IFERROR(MATCH($C1638,'Menu Pricing'!$B$7:$B$56,0),""))</f>
        <v/>
      </c>
    </row>
    <row r="1639" ht="17" customHeight="1">
      <c r="B1639" s="66" t="n"/>
      <c r="C1639" s="60" t="n"/>
      <c r="D1639" s="86" t="n"/>
      <c r="E1639" s="63" t="n"/>
      <c r="F1639" s="60" t="n"/>
      <c r="G1639" s="60" t="n"/>
      <c r="H1639" s="71">
        <f>IF(OR($C1639="",$D1639=""),"",IF(ISNUMBER($E1639),$E1639,IF($O1639="","",IF(N(INDEX('Menu Pricing'!$O$7:$O$56,$O1639))&gt;0,INDEX('Menu Pricing'!$O$7:$O$56,$O1639),""))))</f>
        <v/>
      </c>
      <c r="I1639" s="71">
        <f>IF($N1639&lt;&gt;"OK","",$D1639*$H1639)</f>
        <v/>
      </c>
      <c r="J1639" s="71">
        <f>IF($N1639&lt;&gt;"OK","",N(INDEX('Menu Pricing'!$F$7:$F$56,$O1639))+N(INDEX('Menu Pricing'!$G$7:$G$56,$O1639))+N(INDEX('Menu Pricing'!$J$7:$J$56,$O1639)))</f>
        <v/>
      </c>
      <c r="K1639" s="71">
        <f>IF($N1639&lt;&gt;"OK","",$D1639*$J1639)</f>
        <v/>
      </c>
      <c r="L1639" s="71">
        <f>IF($N1639&lt;&gt;"OK","",$I1639-$K1639)</f>
        <v/>
      </c>
      <c r="M1639" s="71">
        <f>IF($N1639&lt;&gt;"OK","",$D1639*N(INDEX('Menu Pricing'!$F$7:$F$56,$O1639)))</f>
        <v/>
      </c>
      <c r="N1639" s="80">
        <f>IF(AND($B1639="",$C1639="",$D1639=""),"",IF(NOT(ISNUMBER($B1639)),"Enter a valid date",IF($C1639="","Pick a menu item",IF($O1639="","Item not on Menu Pricing",IF(N($D1639)&lt;=0,"Qty must be above 0",IF($H1639="","No price on menu","OK"))))))</f>
        <v/>
      </c>
      <c r="O1639" s="13">
        <f>IF($C1639="","",IFERROR(MATCH($C1639,'Menu Pricing'!$B$7:$B$56,0),""))</f>
        <v/>
      </c>
    </row>
    <row r="1640" ht="17" customHeight="1">
      <c r="B1640" s="66" t="n"/>
      <c r="C1640" s="60" t="n"/>
      <c r="D1640" s="86" t="n"/>
      <c r="E1640" s="63" t="n"/>
      <c r="F1640" s="60" t="n"/>
      <c r="G1640" s="60" t="n"/>
      <c r="H1640" s="71">
        <f>IF(OR($C1640="",$D1640=""),"",IF(ISNUMBER($E1640),$E1640,IF($O1640="","",IF(N(INDEX('Menu Pricing'!$O$7:$O$56,$O1640))&gt;0,INDEX('Menu Pricing'!$O$7:$O$56,$O1640),""))))</f>
        <v/>
      </c>
      <c r="I1640" s="71">
        <f>IF($N1640&lt;&gt;"OK","",$D1640*$H1640)</f>
        <v/>
      </c>
      <c r="J1640" s="71">
        <f>IF($N1640&lt;&gt;"OK","",N(INDEX('Menu Pricing'!$F$7:$F$56,$O1640))+N(INDEX('Menu Pricing'!$G$7:$G$56,$O1640))+N(INDEX('Menu Pricing'!$J$7:$J$56,$O1640)))</f>
        <v/>
      </c>
      <c r="K1640" s="71">
        <f>IF($N1640&lt;&gt;"OK","",$D1640*$J1640)</f>
        <v/>
      </c>
      <c r="L1640" s="71">
        <f>IF($N1640&lt;&gt;"OK","",$I1640-$K1640)</f>
        <v/>
      </c>
      <c r="M1640" s="71">
        <f>IF($N1640&lt;&gt;"OK","",$D1640*N(INDEX('Menu Pricing'!$F$7:$F$56,$O1640)))</f>
        <v/>
      </c>
      <c r="N1640" s="80">
        <f>IF(AND($B1640="",$C1640="",$D1640=""),"",IF(NOT(ISNUMBER($B1640)),"Enter a valid date",IF($C1640="","Pick a menu item",IF($O1640="","Item not on Menu Pricing",IF(N($D1640)&lt;=0,"Qty must be above 0",IF($H1640="","No price on menu","OK"))))))</f>
        <v/>
      </c>
      <c r="O1640" s="13">
        <f>IF($C1640="","",IFERROR(MATCH($C1640,'Menu Pricing'!$B$7:$B$56,0),""))</f>
        <v/>
      </c>
    </row>
    <row r="1641" ht="17" customHeight="1">
      <c r="B1641" s="66" t="n"/>
      <c r="C1641" s="60" t="n"/>
      <c r="D1641" s="86" t="n"/>
      <c r="E1641" s="63" t="n"/>
      <c r="F1641" s="60" t="n"/>
      <c r="G1641" s="60" t="n"/>
      <c r="H1641" s="71">
        <f>IF(OR($C1641="",$D1641=""),"",IF(ISNUMBER($E1641),$E1641,IF($O1641="","",IF(N(INDEX('Menu Pricing'!$O$7:$O$56,$O1641))&gt;0,INDEX('Menu Pricing'!$O$7:$O$56,$O1641),""))))</f>
        <v/>
      </c>
      <c r="I1641" s="71">
        <f>IF($N1641&lt;&gt;"OK","",$D1641*$H1641)</f>
        <v/>
      </c>
      <c r="J1641" s="71">
        <f>IF($N1641&lt;&gt;"OK","",N(INDEX('Menu Pricing'!$F$7:$F$56,$O1641))+N(INDEX('Menu Pricing'!$G$7:$G$56,$O1641))+N(INDEX('Menu Pricing'!$J$7:$J$56,$O1641)))</f>
        <v/>
      </c>
      <c r="K1641" s="71">
        <f>IF($N1641&lt;&gt;"OK","",$D1641*$J1641)</f>
        <v/>
      </c>
      <c r="L1641" s="71">
        <f>IF($N1641&lt;&gt;"OK","",$I1641-$K1641)</f>
        <v/>
      </c>
      <c r="M1641" s="71">
        <f>IF($N1641&lt;&gt;"OK","",$D1641*N(INDEX('Menu Pricing'!$F$7:$F$56,$O1641)))</f>
        <v/>
      </c>
      <c r="N1641" s="80">
        <f>IF(AND($B1641="",$C1641="",$D1641=""),"",IF(NOT(ISNUMBER($B1641)),"Enter a valid date",IF($C1641="","Pick a menu item",IF($O1641="","Item not on Menu Pricing",IF(N($D1641)&lt;=0,"Qty must be above 0",IF($H1641="","No price on menu","OK"))))))</f>
        <v/>
      </c>
      <c r="O1641" s="13">
        <f>IF($C1641="","",IFERROR(MATCH($C1641,'Menu Pricing'!$B$7:$B$56,0),""))</f>
        <v/>
      </c>
    </row>
    <row r="1642" ht="17" customHeight="1">
      <c r="B1642" s="66" t="n"/>
      <c r="C1642" s="60" t="n"/>
      <c r="D1642" s="86" t="n"/>
      <c r="E1642" s="63" t="n"/>
      <c r="F1642" s="60" t="n"/>
      <c r="G1642" s="60" t="n"/>
      <c r="H1642" s="71">
        <f>IF(OR($C1642="",$D1642=""),"",IF(ISNUMBER($E1642),$E1642,IF($O1642="","",IF(N(INDEX('Menu Pricing'!$O$7:$O$56,$O1642))&gt;0,INDEX('Menu Pricing'!$O$7:$O$56,$O1642),""))))</f>
        <v/>
      </c>
      <c r="I1642" s="71">
        <f>IF($N1642&lt;&gt;"OK","",$D1642*$H1642)</f>
        <v/>
      </c>
      <c r="J1642" s="71">
        <f>IF($N1642&lt;&gt;"OK","",N(INDEX('Menu Pricing'!$F$7:$F$56,$O1642))+N(INDEX('Menu Pricing'!$G$7:$G$56,$O1642))+N(INDEX('Menu Pricing'!$J$7:$J$56,$O1642)))</f>
        <v/>
      </c>
      <c r="K1642" s="71">
        <f>IF($N1642&lt;&gt;"OK","",$D1642*$J1642)</f>
        <v/>
      </c>
      <c r="L1642" s="71">
        <f>IF($N1642&lt;&gt;"OK","",$I1642-$K1642)</f>
        <v/>
      </c>
      <c r="M1642" s="71">
        <f>IF($N1642&lt;&gt;"OK","",$D1642*N(INDEX('Menu Pricing'!$F$7:$F$56,$O1642)))</f>
        <v/>
      </c>
      <c r="N1642" s="80">
        <f>IF(AND($B1642="",$C1642="",$D1642=""),"",IF(NOT(ISNUMBER($B1642)),"Enter a valid date",IF($C1642="","Pick a menu item",IF($O1642="","Item not on Menu Pricing",IF(N($D1642)&lt;=0,"Qty must be above 0",IF($H1642="","No price on menu","OK"))))))</f>
        <v/>
      </c>
      <c r="O1642" s="13">
        <f>IF($C1642="","",IFERROR(MATCH($C1642,'Menu Pricing'!$B$7:$B$56,0),""))</f>
        <v/>
      </c>
    </row>
    <row r="1643" ht="17" customHeight="1">
      <c r="B1643" s="66" t="n"/>
      <c r="C1643" s="60" t="n"/>
      <c r="D1643" s="86" t="n"/>
      <c r="E1643" s="63" t="n"/>
      <c r="F1643" s="60" t="n"/>
      <c r="G1643" s="60" t="n"/>
      <c r="H1643" s="71">
        <f>IF(OR($C1643="",$D1643=""),"",IF(ISNUMBER($E1643),$E1643,IF($O1643="","",IF(N(INDEX('Menu Pricing'!$O$7:$O$56,$O1643))&gt;0,INDEX('Menu Pricing'!$O$7:$O$56,$O1643),""))))</f>
        <v/>
      </c>
      <c r="I1643" s="71">
        <f>IF($N1643&lt;&gt;"OK","",$D1643*$H1643)</f>
        <v/>
      </c>
      <c r="J1643" s="71">
        <f>IF($N1643&lt;&gt;"OK","",N(INDEX('Menu Pricing'!$F$7:$F$56,$O1643))+N(INDEX('Menu Pricing'!$G$7:$G$56,$O1643))+N(INDEX('Menu Pricing'!$J$7:$J$56,$O1643)))</f>
        <v/>
      </c>
      <c r="K1643" s="71">
        <f>IF($N1643&lt;&gt;"OK","",$D1643*$J1643)</f>
        <v/>
      </c>
      <c r="L1643" s="71">
        <f>IF($N1643&lt;&gt;"OK","",$I1643-$K1643)</f>
        <v/>
      </c>
      <c r="M1643" s="71">
        <f>IF($N1643&lt;&gt;"OK","",$D1643*N(INDEX('Menu Pricing'!$F$7:$F$56,$O1643)))</f>
        <v/>
      </c>
      <c r="N1643" s="80">
        <f>IF(AND($B1643="",$C1643="",$D1643=""),"",IF(NOT(ISNUMBER($B1643)),"Enter a valid date",IF($C1643="","Pick a menu item",IF($O1643="","Item not on Menu Pricing",IF(N($D1643)&lt;=0,"Qty must be above 0",IF($H1643="","No price on menu","OK"))))))</f>
        <v/>
      </c>
      <c r="O1643" s="13">
        <f>IF($C1643="","",IFERROR(MATCH($C1643,'Menu Pricing'!$B$7:$B$56,0),""))</f>
        <v/>
      </c>
    </row>
    <row r="1644" ht="17" customHeight="1">
      <c r="B1644" s="66" t="n"/>
      <c r="C1644" s="60" t="n"/>
      <c r="D1644" s="86" t="n"/>
      <c r="E1644" s="63" t="n"/>
      <c r="F1644" s="60" t="n"/>
      <c r="G1644" s="60" t="n"/>
      <c r="H1644" s="71">
        <f>IF(OR($C1644="",$D1644=""),"",IF(ISNUMBER($E1644),$E1644,IF($O1644="","",IF(N(INDEX('Menu Pricing'!$O$7:$O$56,$O1644))&gt;0,INDEX('Menu Pricing'!$O$7:$O$56,$O1644),""))))</f>
        <v/>
      </c>
      <c r="I1644" s="71">
        <f>IF($N1644&lt;&gt;"OK","",$D1644*$H1644)</f>
        <v/>
      </c>
      <c r="J1644" s="71">
        <f>IF($N1644&lt;&gt;"OK","",N(INDEX('Menu Pricing'!$F$7:$F$56,$O1644))+N(INDEX('Menu Pricing'!$G$7:$G$56,$O1644))+N(INDEX('Menu Pricing'!$J$7:$J$56,$O1644)))</f>
        <v/>
      </c>
      <c r="K1644" s="71">
        <f>IF($N1644&lt;&gt;"OK","",$D1644*$J1644)</f>
        <v/>
      </c>
      <c r="L1644" s="71">
        <f>IF($N1644&lt;&gt;"OK","",$I1644-$K1644)</f>
        <v/>
      </c>
      <c r="M1644" s="71">
        <f>IF($N1644&lt;&gt;"OK","",$D1644*N(INDEX('Menu Pricing'!$F$7:$F$56,$O1644)))</f>
        <v/>
      </c>
      <c r="N1644" s="80">
        <f>IF(AND($B1644="",$C1644="",$D1644=""),"",IF(NOT(ISNUMBER($B1644)),"Enter a valid date",IF($C1644="","Pick a menu item",IF($O1644="","Item not on Menu Pricing",IF(N($D1644)&lt;=0,"Qty must be above 0",IF($H1644="","No price on menu","OK"))))))</f>
        <v/>
      </c>
      <c r="O1644" s="13">
        <f>IF($C1644="","",IFERROR(MATCH($C1644,'Menu Pricing'!$B$7:$B$56,0),""))</f>
        <v/>
      </c>
    </row>
    <row r="1645" ht="17" customHeight="1">
      <c r="B1645" s="66" t="n"/>
      <c r="C1645" s="60" t="n"/>
      <c r="D1645" s="86" t="n"/>
      <c r="E1645" s="63" t="n"/>
      <c r="F1645" s="60" t="n"/>
      <c r="G1645" s="60" t="n"/>
      <c r="H1645" s="71">
        <f>IF(OR($C1645="",$D1645=""),"",IF(ISNUMBER($E1645),$E1645,IF($O1645="","",IF(N(INDEX('Menu Pricing'!$O$7:$O$56,$O1645))&gt;0,INDEX('Menu Pricing'!$O$7:$O$56,$O1645),""))))</f>
        <v/>
      </c>
      <c r="I1645" s="71">
        <f>IF($N1645&lt;&gt;"OK","",$D1645*$H1645)</f>
        <v/>
      </c>
      <c r="J1645" s="71">
        <f>IF($N1645&lt;&gt;"OK","",N(INDEX('Menu Pricing'!$F$7:$F$56,$O1645))+N(INDEX('Menu Pricing'!$G$7:$G$56,$O1645))+N(INDEX('Menu Pricing'!$J$7:$J$56,$O1645)))</f>
        <v/>
      </c>
      <c r="K1645" s="71">
        <f>IF($N1645&lt;&gt;"OK","",$D1645*$J1645)</f>
        <v/>
      </c>
      <c r="L1645" s="71">
        <f>IF($N1645&lt;&gt;"OK","",$I1645-$K1645)</f>
        <v/>
      </c>
      <c r="M1645" s="71">
        <f>IF($N1645&lt;&gt;"OK","",$D1645*N(INDEX('Menu Pricing'!$F$7:$F$56,$O1645)))</f>
        <v/>
      </c>
      <c r="N1645" s="80">
        <f>IF(AND($B1645="",$C1645="",$D1645=""),"",IF(NOT(ISNUMBER($B1645)),"Enter a valid date",IF($C1645="","Pick a menu item",IF($O1645="","Item not on Menu Pricing",IF(N($D1645)&lt;=0,"Qty must be above 0",IF($H1645="","No price on menu","OK"))))))</f>
        <v/>
      </c>
      <c r="O1645" s="13">
        <f>IF($C1645="","",IFERROR(MATCH($C1645,'Menu Pricing'!$B$7:$B$56,0),""))</f>
        <v/>
      </c>
    </row>
    <row r="1646" ht="17" customHeight="1">
      <c r="B1646" s="66" t="n"/>
      <c r="C1646" s="60" t="n"/>
      <c r="D1646" s="86" t="n"/>
      <c r="E1646" s="63" t="n"/>
      <c r="F1646" s="60" t="n"/>
      <c r="G1646" s="60" t="n"/>
      <c r="H1646" s="71">
        <f>IF(OR($C1646="",$D1646=""),"",IF(ISNUMBER($E1646),$E1646,IF($O1646="","",IF(N(INDEX('Menu Pricing'!$O$7:$O$56,$O1646))&gt;0,INDEX('Menu Pricing'!$O$7:$O$56,$O1646),""))))</f>
        <v/>
      </c>
      <c r="I1646" s="71">
        <f>IF($N1646&lt;&gt;"OK","",$D1646*$H1646)</f>
        <v/>
      </c>
      <c r="J1646" s="71">
        <f>IF($N1646&lt;&gt;"OK","",N(INDEX('Menu Pricing'!$F$7:$F$56,$O1646))+N(INDEX('Menu Pricing'!$G$7:$G$56,$O1646))+N(INDEX('Menu Pricing'!$J$7:$J$56,$O1646)))</f>
        <v/>
      </c>
      <c r="K1646" s="71">
        <f>IF($N1646&lt;&gt;"OK","",$D1646*$J1646)</f>
        <v/>
      </c>
      <c r="L1646" s="71">
        <f>IF($N1646&lt;&gt;"OK","",$I1646-$K1646)</f>
        <v/>
      </c>
      <c r="M1646" s="71">
        <f>IF($N1646&lt;&gt;"OK","",$D1646*N(INDEX('Menu Pricing'!$F$7:$F$56,$O1646)))</f>
        <v/>
      </c>
      <c r="N1646" s="80">
        <f>IF(AND($B1646="",$C1646="",$D1646=""),"",IF(NOT(ISNUMBER($B1646)),"Enter a valid date",IF($C1646="","Pick a menu item",IF($O1646="","Item not on Menu Pricing",IF(N($D1646)&lt;=0,"Qty must be above 0",IF($H1646="","No price on menu","OK"))))))</f>
        <v/>
      </c>
      <c r="O1646" s="13">
        <f>IF($C1646="","",IFERROR(MATCH($C1646,'Menu Pricing'!$B$7:$B$56,0),""))</f>
        <v/>
      </c>
    </row>
    <row r="1647" ht="17" customHeight="1">
      <c r="B1647" s="66" t="n"/>
      <c r="C1647" s="60" t="n"/>
      <c r="D1647" s="86" t="n"/>
      <c r="E1647" s="63" t="n"/>
      <c r="F1647" s="60" t="n"/>
      <c r="G1647" s="60" t="n"/>
      <c r="H1647" s="71">
        <f>IF(OR($C1647="",$D1647=""),"",IF(ISNUMBER($E1647),$E1647,IF($O1647="","",IF(N(INDEX('Menu Pricing'!$O$7:$O$56,$O1647))&gt;0,INDEX('Menu Pricing'!$O$7:$O$56,$O1647),""))))</f>
        <v/>
      </c>
      <c r="I1647" s="71">
        <f>IF($N1647&lt;&gt;"OK","",$D1647*$H1647)</f>
        <v/>
      </c>
      <c r="J1647" s="71">
        <f>IF($N1647&lt;&gt;"OK","",N(INDEX('Menu Pricing'!$F$7:$F$56,$O1647))+N(INDEX('Menu Pricing'!$G$7:$G$56,$O1647))+N(INDEX('Menu Pricing'!$J$7:$J$56,$O1647)))</f>
        <v/>
      </c>
      <c r="K1647" s="71">
        <f>IF($N1647&lt;&gt;"OK","",$D1647*$J1647)</f>
        <v/>
      </c>
      <c r="L1647" s="71">
        <f>IF($N1647&lt;&gt;"OK","",$I1647-$K1647)</f>
        <v/>
      </c>
      <c r="M1647" s="71">
        <f>IF($N1647&lt;&gt;"OK","",$D1647*N(INDEX('Menu Pricing'!$F$7:$F$56,$O1647)))</f>
        <v/>
      </c>
      <c r="N1647" s="80">
        <f>IF(AND($B1647="",$C1647="",$D1647=""),"",IF(NOT(ISNUMBER($B1647)),"Enter a valid date",IF($C1647="","Pick a menu item",IF($O1647="","Item not on Menu Pricing",IF(N($D1647)&lt;=0,"Qty must be above 0",IF($H1647="","No price on menu","OK"))))))</f>
        <v/>
      </c>
      <c r="O1647" s="13">
        <f>IF($C1647="","",IFERROR(MATCH($C1647,'Menu Pricing'!$B$7:$B$56,0),""))</f>
        <v/>
      </c>
    </row>
    <row r="1648" ht="17" customHeight="1">
      <c r="B1648" s="66" t="n"/>
      <c r="C1648" s="60" t="n"/>
      <c r="D1648" s="86" t="n"/>
      <c r="E1648" s="63" t="n"/>
      <c r="F1648" s="60" t="n"/>
      <c r="G1648" s="60" t="n"/>
      <c r="H1648" s="71">
        <f>IF(OR($C1648="",$D1648=""),"",IF(ISNUMBER($E1648),$E1648,IF($O1648="","",IF(N(INDEX('Menu Pricing'!$O$7:$O$56,$O1648))&gt;0,INDEX('Menu Pricing'!$O$7:$O$56,$O1648),""))))</f>
        <v/>
      </c>
      <c r="I1648" s="71">
        <f>IF($N1648&lt;&gt;"OK","",$D1648*$H1648)</f>
        <v/>
      </c>
      <c r="J1648" s="71">
        <f>IF($N1648&lt;&gt;"OK","",N(INDEX('Menu Pricing'!$F$7:$F$56,$O1648))+N(INDEX('Menu Pricing'!$G$7:$G$56,$O1648))+N(INDEX('Menu Pricing'!$J$7:$J$56,$O1648)))</f>
        <v/>
      </c>
      <c r="K1648" s="71">
        <f>IF($N1648&lt;&gt;"OK","",$D1648*$J1648)</f>
        <v/>
      </c>
      <c r="L1648" s="71">
        <f>IF($N1648&lt;&gt;"OK","",$I1648-$K1648)</f>
        <v/>
      </c>
      <c r="M1648" s="71">
        <f>IF($N1648&lt;&gt;"OK","",$D1648*N(INDEX('Menu Pricing'!$F$7:$F$56,$O1648)))</f>
        <v/>
      </c>
      <c r="N1648" s="80">
        <f>IF(AND($B1648="",$C1648="",$D1648=""),"",IF(NOT(ISNUMBER($B1648)),"Enter a valid date",IF($C1648="","Pick a menu item",IF($O1648="","Item not on Menu Pricing",IF(N($D1648)&lt;=0,"Qty must be above 0",IF($H1648="","No price on menu","OK"))))))</f>
        <v/>
      </c>
      <c r="O1648" s="13">
        <f>IF($C1648="","",IFERROR(MATCH($C1648,'Menu Pricing'!$B$7:$B$56,0),""))</f>
        <v/>
      </c>
    </row>
    <row r="1649" ht="17" customHeight="1">
      <c r="B1649" s="66" t="n"/>
      <c r="C1649" s="60" t="n"/>
      <c r="D1649" s="86" t="n"/>
      <c r="E1649" s="63" t="n"/>
      <c r="F1649" s="60" t="n"/>
      <c r="G1649" s="60" t="n"/>
      <c r="H1649" s="71">
        <f>IF(OR($C1649="",$D1649=""),"",IF(ISNUMBER($E1649),$E1649,IF($O1649="","",IF(N(INDEX('Menu Pricing'!$O$7:$O$56,$O1649))&gt;0,INDEX('Menu Pricing'!$O$7:$O$56,$O1649),""))))</f>
        <v/>
      </c>
      <c r="I1649" s="71">
        <f>IF($N1649&lt;&gt;"OK","",$D1649*$H1649)</f>
        <v/>
      </c>
      <c r="J1649" s="71">
        <f>IF($N1649&lt;&gt;"OK","",N(INDEX('Menu Pricing'!$F$7:$F$56,$O1649))+N(INDEX('Menu Pricing'!$G$7:$G$56,$O1649))+N(INDEX('Menu Pricing'!$J$7:$J$56,$O1649)))</f>
        <v/>
      </c>
      <c r="K1649" s="71">
        <f>IF($N1649&lt;&gt;"OK","",$D1649*$J1649)</f>
        <v/>
      </c>
      <c r="L1649" s="71">
        <f>IF($N1649&lt;&gt;"OK","",$I1649-$K1649)</f>
        <v/>
      </c>
      <c r="M1649" s="71">
        <f>IF($N1649&lt;&gt;"OK","",$D1649*N(INDEX('Menu Pricing'!$F$7:$F$56,$O1649)))</f>
        <v/>
      </c>
      <c r="N1649" s="80">
        <f>IF(AND($B1649="",$C1649="",$D1649=""),"",IF(NOT(ISNUMBER($B1649)),"Enter a valid date",IF($C1649="","Pick a menu item",IF($O1649="","Item not on Menu Pricing",IF(N($D1649)&lt;=0,"Qty must be above 0",IF($H1649="","No price on menu","OK"))))))</f>
        <v/>
      </c>
      <c r="O1649" s="13">
        <f>IF($C1649="","",IFERROR(MATCH($C1649,'Menu Pricing'!$B$7:$B$56,0),""))</f>
        <v/>
      </c>
    </row>
    <row r="1650" ht="17" customHeight="1">
      <c r="B1650" s="66" t="n"/>
      <c r="C1650" s="60" t="n"/>
      <c r="D1650" s="86" t="n"/>
      <c r="E1650" s="63" t="n"/>
      <c r="F1650" s="60" t="n"/>
      <c r="G1650" s="60" t="n"/>
      <c r="H1650" s="71">
        <f>IF(OR($C1650="",$D1650=""),"",IF(ISNUMBER($E1650),$E1650,IF($O1650="","",IF(N(INDEX('Menu Pricing'!$O$7:$O$56,$O1650))&gt;0,INDEX('Menu Pricing'!$O$7:$O$56,$O1650),""))))</f>
        <v/>
      </c>
      <c r="I1650" s="71">
        <f>IF($N1650&lt;&gt;"OK","",$D1650*$H1650)</f>
        <v/>
      </c>
      <c r="J1650" s="71">
        <f>IF($N1650&lt;&gt;"OK","",N(INDEX('Menu Pricing'!$F$7:$F$56,$O1650))+N(INDEX('Menu Pricing'!$G$7:$G$56,$O1650))+N(INDEX('Menu Pricing'!$J$7:$J$56,$O1650)))</f>
        <v/>
      </c>
      <c r="K1650" s="71">
        <f>IF($N1650&lt;&gt;"OK","",$D1650*$J1650)</f>
        <v/>
      </c>
      <c r="L1650" s="71">
        <f>IF($N1650&lt;&gt;"OK","",$I1650-$K1650)</f>
        <v/>
      </c>
      <c r="M1650" s="71">
        <f>IF($N1650&lt;&gt;"OK","",$D1650*N(INDEX('Menu Pricing'!$F$7:$F$56,$O1650)))</f>
        <v/>
      </c>
      <c r="N1650" s="80">
        <f>IF(AND($B1650="",$C1650="",$D1650=""),"",IF(NOT(ISNUMBER($B1650)),"Enter a valid date",IF($C1650="","Pick a menu item",IF($O1650="","Item not on Menu Pricing",IF(N($D1650)&lt;=0,"Qty must be above 0",IF($H1650="","No price on menu","OK"))))))</f>
        <v/>
      </c>
      <c r="O1650" s="13">
        <f>IF($C1650="","",IFERROR(MATCH($C1650,'Menu Pricing'!$B$7:$B$56,0),""))</f>
        <v/>
      </c>
    </row>
    <row r="1651" ht="17" customHeight="1">
      <c r="B1651" s="66" t="n"/>
      <c r="C1651" s="60" t="n"/>
      <c r="D1651" s="86" t="n"/>
      <c r="E1651" s="63" t="n"/>
      <c r="F1651" s="60" t="n"/>
      <c r="G1651" s="60" t="n"/>
      <c r="H1651" s="71">
        <f>IF(OR($C1651="",$D1651=""),"",IF(ISNUMBER($E1651),$E1651,IF($O1651="","",IF(N(INDEX('Menu Pricing'!$O$7:$O$56,$O1651))&gt;0,INDEX('Menu Pricing'!$O$7:$O$56,$O1651),""))))</f>
        <v/>
      </c>
      <c r="I1651" s="71">
        <f>IF($N1651&lt;&gt;"OK","",$D1651*$H1651)</f>
        <v/>
      </c>
      <c r="J1651" s="71">
        <f>IF($N1651&lt;&gt;"OK","",N(INDEX('Menu Pricing'!$F$7:$F$56,$O1651))+N(INDEX('Menu Pricing'!$G$7:$G$56,$O1651))+N(INDEX('Menu Pricing'!$J$7:$J$56,$O1651)))</f>
        <v/>
      </c>
      <c r="K1651" s="71">
        <f>IF($N1651&lt;&gt;"OK","",$D1651*$J1651)</f>
        <v/>
      </c>
      <c r="L1651" s="71">
        <f>IF($N1651&lt;&gt;"OK","",$I1651-$K1651)</f>
        <v/>
      </c>
      <c r="M1651" s="71">
        <f>IF($N1651&lt;&gt;"OK","",$D1651*N(INDEX('Menu Pricing'!$F$7:$F$56,$O1651)))</f>
        <v/>
      </c>
      <c r="N1651" s="80">
        <f>IF(AND($B1651="",$C1651="",$D1651=""),"",IF(NOT(ISNUMBER($B1651)),"Enter a valid date",IF($C1651="","Pick a menu item",IF($O1651="","Item not on Menu Pricing",IF(N($D1651)&lt;=0,"Qty must be above 0",IF($H1651="","No price on menu","OK"))))))</f>
        <v/>
      </c>
      <c r="O1651" s="13">
        <f>IF($C1651="","",IFERROR(MATCH($C1651,'Menu Pricing'!$B$7:$B$56,0),""))</f>
        <v/>
      </c>
    </row>
    <row r="1652" ht="17" customHeight="1">
      <c r="B1652" s="66" t="n"/>
      <c r="C1652" s="60" t="n"/>
      <c r="D1652" s="86" t="n"/>
      <c r="E1652" s="63" t="n"/>
      <c r="F1652" s="60" t="n"/>
      <c r="G1652" s="60" t="n"/>
      <c r="H1652" s="71">
        <f>IF(OR($C1652="",$D1652=""),"",IF(ISNUMBER($E1652),$E1652,IF($O1652="","",IF(N(INDEX('Menu Pricing'!$O$7:$O$56,$O1652))&gt;0,INDEX('Menu Pricing'!$O$7:$O$56,$O1652),""))))</f>
        <v/>
      </c>
      <c r="I1652" s="71">
        <f>IF($N1652&lt;&gt;"OK","",$D1652*$H1652)</f>
        <v/>
      </c>
      <c r="J1652" s="71">
        <f>IF($N1652&lt;&gt;"OK","",N(INDEX('Menu Pricing'!$F$7:$F$56,$O1652))+N(INDEX('Menu Pricing'!$G$7:$G$56,$O1652))+N(INDEX('Menu Pricing'!$J$7:$J$56,$O1652)))</f>
        <v/>
      </c>
      <c r="K1652" s="71">
        <f>IF($N1652&lt;&gt;"OK","",$D1652*$J1652)</f>
        <v/>
      </c>
      <c r="L1652" s="71">
        <f>IF($N1652&lt;&gt;"OK","",$I1652-$K1652)</f>
        <v/>
      </c>
      <c r="M1652" s="71">
        <f>IF($N1652&lt;&gt;"OK","",$D1652*N(INDEX('Menu Pricing'!$F$7:$F$56,$O1652)))</f>
        <v/>
      </c>
      <c r="N1652" s="80">
        <f>IF(AND($B1652="",$C1652="",$D1652=""),"",IF(NOT(ISNUMBER($B1652)),"Enter a valid date",IF($C1652="","Pick a menu item",IF($O1652="","Item not on Menu Pricing",IF(N($D1652)&lt;=0,"Qty must be above 0",IF($H1652="","No price on menu","OK"))))))</f>
        <v/>
      </c>
      <c r="O1652" s="13">
        <f>IF($C1652="","",IFERROR(MATCH($C1652,'Menu Pricing'!$B$7:$B$56,0),""))</f>
        <v/>
      </c>
    </row>
    <row r="1653" ht="17" customHeight="1">
      <c r="B1653" s="66" t="n"/>
      <c r="C1653" s="60" t="n"/>
      <c r="D1653" s="86" t="n"/>
      <c r="E1653" s="63" t="n"/>
      <c r="F1653" s="60" t="n"/>
      <c r="G1653" s="60" t="n"/>
      <c r="H1653" s="71">
        <f>IF(OR($C1653="",$D1653=""),"",IF(ISNUMBER($E1653),$E1653,IF($O1653="","",IF(N(INDEX('Menu Pricing'!$O$7:$O$56,$O1653))&gt;0,INDEX('Menu Pricing'!$O$7:$O$56,$O1653),""))))</f>
        <v/>
      </c>
      <c r="I1653" s="71">
        <f>IF($N1653&lt;&gt;"OK","",$D1653*$H1653)</f>
        <v/>
      </c>
      <c r="J1653" s="71">
        <f>IF($N1653&lt;&gt;"OK","",N(INDEX('Menu Pricing'!$F$7:$F$56,$O1653))+N(INDEX('Menu Pricing'!$G$7:$G$56,$O1653))+N(INDEX('Menu Pricing'!$J$7:$J$56,$O1653)))</f>
        <v/>
      </c>
      <c r="K1653" s="71">
        <f>IF($N1653&lt;&gt;"OK","",$D1653*$J1653)</f>
        <v/>
      </c>
      <c r="L1653" s="71">
        <f>IF($N1653&lt;&gt;"OK","",$I1653-$K1653)</f>
        <v/>
      </c>
      <c r="M1653" s="71">
        <f>IF($N1653&lt;&gt;"OK","",$D1653*N(INDEX('Menu Pricing'!$F$7:$F$56,$O1653)))</f>
        <v/>
      </c>
      <c r="N1653" s="80">
        <f>IF(AND($B1653="",$C1653="",$D1653=""),"",IF(NOT(ISNUMBER($B1653)),"Enter a valid date",IF($C1653="","Pick a menu item",IF($O1653="","Item not on Menu Pricing",IF(N($D1653)&lt;=0,"Qty must be above 0",IF($H1653="","No price on menu","OK"))))))</f>
        <v/>
      </c>
      <c r="O1653" s="13">
        <f>IF($C1653="","",IFERROR(MATCH($C1653,'Menu Pricing'!$B$7:$B$56,0),""))</f>
        <v/>
      </c>
    </row>
    <row r="1654" ht="17" customHeight="1">
      <c r="B1654" s="66" t="n"/>
      <c r="C1654" s="60" t="n"/>
      <c r="D1654" s="86" t="n"/>
      <c r="E1654" s="63" t="n"/>
      <c r="F1654" s="60" t="n"/>
      <c r="G1654" s="60" t="n"/>
      <c r="H1654" s="71">
        <f>IF(OR($C1654="",$D1654=""),"",IF(ISNUMBER($E1654),$E1654,IF($O1654="","",IF(N(INDEX('Menu Pricing'!$O$7:$O$56,$O1654))&gt;0,INDEX('Menu Pricing'!$O$7:$O$56,$O1654),""))))</f>
        <v/>
      </c>
      <c r="I1654" s="71">
        <f>IF($N1654&lt;&gt;"OK","",$D1654*$H1654)</f>
        <v/>
      </c>
      <c r="J1654" s="71">
        <f>IF($N1654&lt;&gt;"OK","",N(INDEX('Menu Pricing'!$F$7:$F$56,$O1654))+N(INDEX('Menu Pricing'!$G$7:$G$56,$O1654))+N(INDEX('Menu Pricing'!$J$7:$J$56,$O1654)))</f>
        <v/>
      </c>
      <c r="K1654" s="71">
        <f>IF($N1654&lt;&gt;"OK","",$D1654*$J1654)</f>
        <v/>
      </c>
      <c r="L1654" s="71">
        <f>IF($N1654&lt;&gt;"OK","",$I1654-$K1654)</f>
        <v/>
      </c>
      <c r="M1654" s="71">
        <f>IF($N1654&lt;&gt;"OK","",$D1654*N(INDEX('Menu Pricing'!$F$7:$F$56,$O1654)))</f>
        <v/>
      </c>
      <c r="N1654" s="80">
        <f>IF(AND($B1654="",$C1654="",$D1654=""),"",IF(NOT(ISNUMBER($B1654)),"Enter a valid date",IF($C1654="","Pick a menu item",IF($O1654="","Item not on Menu Pricing",IF(N($D1654)&lt;=0,"Qty must be above 0",IF($H1654="","No price on menu","OK"))))))</f>
        <v/>
      </c>
      <c r="O1654" s="13">
        <f>IF($C1654="","",IFERROR(MATCH($C1654,'Menu Pricing'!$B$7:$B$56,0),""))</f>
        <v/>
      </c>
    </row>
    <row r="1655" ht="17" customHeight="1">
      <c r="B1655" s="66" t="n"/>
      <c r="C1655" s="60" t="n"/>
      <c r="D1655" s="86" t="n"/>
      <c r="E1655" s="63" t="n"/>
      <c r="F1655" s="60" t="n"/>
      <c r="G1655" s="60" t="n"/>
      <c r="H1655" s="71">
        <f>IF(OR($C1655="",$D1655=""),"",IF(ISNUMBER($E1655),$E1655,IF($O1655="","",IF(N(INDEX('Menu Pricing'!$O$7:$O$56,$O1655))&gt;0,INDEX('Menu Pricing'!$O$7:$O$56,$O1655),""))))</f>
        <v/>
      </c>
      <c r="I1655" s="71">
        <f>IF($N1655&lt;&gt;"OK","",$D1655*$H1655)</f>
        <v/>
      </c>
      <c r="J1655" s="71">
        <f>IF($N1655&lt;&gt;"OK","",N(INDEX('Menu Pricing'!$F$7:$F$56,$O1655))+N(INDEX('Menu Pricing'!$G$7:$G$56,$O1655))+N(INDEX('Menu Pricing'!$J$7:$J$56,$O1655)))</f>
        <v/>
      </c>
      <c r="K1655" s="71">
        <f>IF($N1655&lt;&gt;"OK","",$D1655*$J1655)</f>
        <v/>
      </c>
      <c r="L1655" s="71">
        <f>IF($N1655&lt;&gt;"OK","",$I1655-$K1655)</f>
        <v/>
      </c>
      <c r="M1655" s="71">
        <f>IF($N1655&lt;&gt;"OK","",$D1655*N(INDEX('Menu Pricing'!$F$7:$F$56,$O1655)))</f>
        <v/>
      </c>
      <c r="N1655" s="80">
        <f>IF(AND($B1655="",$C1655="",$D1655=""),"",IF(NOT(ISNUMBER($B1655)),"Enter a valid date",IF($C1655="","Pick a menu item",IF($O1655="","Item not on Menu Pricing",IF(N($D1655)&lt;=0,"Qty must be above 0",IF($H1655="","No price on menu","OK"))))))</f>
        <v/>
      </c>
      <c r="O1655" s="13">
        <f>IF($C1655="","",IFERROR(MATCH($C1655,'Menu Pricing'!$B$7:$B$56,0),""))</f>
        <v/>
      </c>
    </row>
    <row r="1656" ht="17" customHeight="1">
      <c r="B1656" s="66" t="n"/>
      <c r="C1656" s="60" t="n"/>
      <c r="D1656" s="86" t="n"/>
      <c r="E1656" s="63" t="n"/>
      <c r="F1656" s="60" t="n"/>
      <c r="G1656" s="60" t="n"/>
      <c r="H1656" s="71">
        <f>IF(OR($C1656="",$D1656=""),"",IF(ISNUMBER($E1656),$E1656,IF($O1656="","",IF(N(INDEX('Menu Pricing'!$O$7:$O$56,$O1656))&gt;0,INDEX('Menu Pricing'!$O$7:$O$56,$O1656),""))))</f>
        <v/>
      </c>
      <c r="I1656" s="71">
        <f>IF($N1656&lt;&gt;"OK","",$D1656*$H1656)</f>
        <v/>
      </c>
      <c r="J1656" s="71">
        <f>IF($N1656&lt;&gt;"OK","",N(INDEX('Menu Pricing'!$F$7:$F$56,$O1656))+N(INDEX('Menu Pricing'!$G$7:$G$56,$O1656))+N(INDEX('Menu Pricing'!$J$7:$J$56,$O1656)))</f>
        <v/>
      </c>
      <c r="K1656" s="71">
        <f>IF($N1656&lt;&gt;"OK","",$D1656*$J1656)</f>
        <v/>
      </c>
      <c r="L1656" s="71">
        <f>IF($N1656&lt;&gt;"OK","",$I1656-$K1656)</f>
        <v/>
      </c>
      <c r="M1656" s="71">
        <f>IF($N1656&lt;&gt;"OK","",$D1656*N(INDEX('Menu Pricing'!$F$7:$F$56,$O1656)))</f>
        <v/>
      </c>
      <c r="N1656" s="80">
        <f>IF(AND($B1656="",$C1656="",$D1656=""),"",IF(NOT(ISNUMBER($B1656)),"Enter a valid date",IF($C1656="","Pick a menu item",IF($O1656="","Item not on Menu Pricing",IF(N($D1656)&lt;=0,"Qty must be above 0",IF($H1656="","No price on menu","OK"))))))</f>
        <v/>
      </c>
      <c r="O1656" s="13">
        <f>IF($C1656="","",IFERROR(MATCH($C1656,'Menu Pricing'!$B$7:$B$56,0),""))</f>
        <v/>
      </c>
    </row>
    <row r="1657" ht="17" customHeight="1">
      <c r="B1657" s="66" t="n"/>
      <c r="C1657" s="60" t="n"/>
      <c r="D1657" s="86" t="n"/>
      <c r="E1657" s="63" t="n"/>
      <c r="F1657" s="60" t="n"/>
      <c r="G1657" s="60" t="n"/>
      <c r="H1657" s="71">
        <f>IF(OR($C1657="",$D1657=""),"",IF(ISNUMBER($E1657),$E1657,IF($O1657="","",IF(N(INDEX('Menu Pricing'!$O$7:$O$56,$O1657))&gt;0,INDEX('Menu Pricing'!$O$7:$O$56,$O1657),""))))</f>
        <v/>
      </c>
      <c r="I1657" s="71">
        <f>IF($N1657&lt;&gt;"OK","",$D1657*$H1657)</f>
        <v/>
      </c>
      <c r="J1657" s="71">
        <f>IF($N1657&lt;&gt;"OK","",N(INDEX('Menu Pricing'!$F$7:$F$56,$O1657))+N(INDEX('Menu Pricing'!$G$7:$G$56,$O1657))+N(INDEX('Menu Pricing'!$J$7:$J$56,$O1657)))</f>
        <v/>
      </c>
      <c r="K1657" s="71">
        <f>IF($N1657&lt;&gt;"OK","",$D1657*$J1657)</f>
        <v/>
      </c>
      <c r="L1657" s="71">
        <f>IF($N1657&lt;&gt;"OK","",$I1657-$K1657)</f>
        <v/>
      </c>
      <c r="M1657" s="71">
        <f>IF($N1657&lt;&gt;"OK","",$D1657*N(INDEX('Menu Pricing'!$F$7:$F$56,$O1657)))</f>
        <v/>
      </c>
      <c r="N1657" s="80">
        <f>IF(AND($B1657="",$C1657="",$D1657=""),"",IF(NOT(ISNUMBER($B1657)),"Enter a valid date",IF($C1657="","Pick a menu item",IF($O1657="","Item not on Menu Pricing",IF(N($D1657)&lt;=0,"Qty must be above 0",IF($H1657="","No price on menu","OK"))))))</f>
        <v/>
      </c>
      <c r="O1657" s="13">
        <f>IF($C1657="","",IFERROR(MATCH($C1657,'Menu Pricing'!$B$7:$B$56,0),""))</f>
        <v/>
      </c>
    </row>
    <row r="1658" ht="17" customHeight="1">
      <c r="B1658" s="66" t="n"/>
      <c r="C1658" s="60" t="n"/>
      <c r="D1658" s="86" t="n"/>
      <c r="E1658" s="63" t="n"/>
      <c r="F1658" s="60" t="n"/>
      <c r="G1658" s="60" t="n"/>
      <c r="H1658" s="71">
        <f>IF(OR($C1658="",$D1658=""),"",IF(ISNUMBER($E1658),$E1658,IF($O1658="","",IF(N(INDEX('Menu Pricing'!$O$7:$O$56,$O1658))&gt;0,INDEX('Menu Pricing'!$O$7:$O$56,$O1658),""))))</f>
        <v/>
      </c>
      <c r="I1658" s="71">
        <f>IF($N1658&lt;&gt;"OK","",$D1658*$H1658)</f>
        <v/>
      </c>
      <c r="J1658" s="71">
        <f>IF($N1658&lt;&gt;"OK","",N(INDEX('Menu Pricing'!$F$7:$F$56,$O1658))+N(INDEX('Menu Pricing'!$G$7:$G$56,$O1658))+N(INDEX('Menu Pricing'!$J$7:$J$56,$O1658)))</f>
        <v/>
      </c>
      <c r="K1658" s="71">
        <f>IF($N1658&lt;&gt;"OK","",$D1658*$J1658)</f>
        <v/>
      </c>
      <c r="L1658" s="71">
        <f>IF($N1658&lt;&gt;"OK","",$I1658-$K1658)</f>
        <v/>
      </c>
      <c r="M1658" s="71">
        <f>IF($N1658&lt;&gt;"OK","",$D1658*N(INDEX('Menu Pricing'!$F$7:$F$56,$O1658)))</f>
        <v/>
      </c>
      <c r="N1658" s="80">
        <f>IF(AND($B1658="",$C1658="",$D1658=""),"",IF(NOT(ISNUMBER($B1658)),"Enter a valid date",IF($C1658="","Pick a menu item",IF($O1658="","Item not on Menu Pricing",IF(N($D1658)&lt;=0,"Qty must be above 0",IF($H1658="","No price on menu","OK"))))))</f>
        <v/>
      </c>
      <c r="O1658" s="13">
        <f>IF($C1658="","",IFERROR(MATCH($C1658,'Menu Pricing'!$B$7:$B$56,0),""))</f>
        <v/>
      </c>
    </row>
    <row r="1659" ht="17" customHeight="1">
      <c r="B1659" s="66" t="n"/>
      <c r="C1659" s="60" t="n"/>
      <c r="D1659" s="86" t="n"/>
      <c r="E1659" s="63" t="n"/>
      <c r="F1659" s="60" t="n"/>
      <c r="G1659" s="60" t="n"/>
      <c r="H1659" s="71">
        <f>IF(OR($C1659="",$D1659=""),"",IF(ISNUMBER($E1659),$E1659,IF($O1659="","",IF(N(INDEX('Menu Pricing'!$O$7:$O$56,$O1659))&gt;0,INDEX('Menu Pricing'!$O$7:$O$56,$O1659),""))))</f>
        <v/>
      </c>
      <c r="I1659" s="71">
        <f>IF($N1659&lt;&gt;"OK","",$D1659*$H1659)</f>
        <v/>
      </c>
      <c r="J1659" s="71">
        <f>IF($N1659&lt;&gt;"OK","",N(INDEX('Menu Pricing'!$F$7:$F$56,$O1659))+N(INDEX('Menu Pricing'!$G$7:$G$56,$O1659))+N(INDEX('Menu Pricing'!$J$7:$J$56,$O1659)))</f>
        <v/>
      </c>
      <c r="K1659" s="71">
        <f>IF($N1659&lt;&gt;"OK","",$D1659*$J1659)</f>
        <v/>
      </c>
      <c r="L1659" s="71">
        <f>IF($N1659&lt;&gt;"OK","",$I1659-$K1659)</f>
        <v/>
      </c>
      <c r="M1659" s="71">
        <f>IF($N1659&lt;&gt;"OK","",$D1659*N(INDEX('Menu Pricing'!$F$7:$F$56,$O1659)))</f>
        <v/>
      </c>
      <c r="N1659" s="80">
        <f>IF(AND($B1659="",$C1659="",$D1659=""),"",IF(NOT(ISNUMBER($B1659)),"Enter a valid date",IF($C1659="","Pick a menu item",IF($O1659="","Item not on Menu Pricing",IF(N($D1659)&lt;=0,"Qty must be above 0",IF($H1659="","No price on menu","OK"))))))</f>
        <v/>
      </c>
      <c r="O1659" s="13">
        <f>IF($C1659="","",IFERROR(MATCH($C1659,'Menu Pricing'!$B$7:$B$56,0),""))</f>
        <v/>
      </c>
    </row>
    <row r="1660" ht="17" customHeight="1">
      <c r="B1660" s="66" t="n"/>
      <c r="C1660" s="60" t="n"/>
      <c r="D1660" s="86" t="n"/>
      <c r="E1660" s="63" t="n"/>
      <c r="F1660" s="60" t="n"/>
      <c r="G1660" s="60" t="n"/>
      <c r="H1660" s="71">
        <f>IF(OR($C1660="",$D1660=""),"",IF(ISNUMBER($E1660),$E1660,IF($O1660="","",IF(N(INDEX('Menu Pricing'!$O$7:$O$56,$O1660))&gt;0,INDEX('Menu Pricing'!$O$7:$O$56,$O1660),""))))</f>
        <v/>
      </c>
      <c r="I1660" s="71">
        <f>IF($N1660&lt;&gt;"OK","",$D1660*$H1660)</f>
        <v/>
      </c>
      <c r="J1660" s="71">
        <f>IF($N1660&lt;&gt;"OK","",N(INDEX('Menu Pricing'!$F$7:$F$56,$O1660))+N(INDEX('Menu Pricing'!$G$7:$G$56,$O1660))+N(INDEX('Menu Pricing'!$J$7:$J$56,$O1660)))</f>
        <v/>
      </c>
      <c r="K1660" s="71">
        <f>IF($N1660&lt;&gt;"OK","",$D1660*$J1660)</f>
        <v/>
      </c>
      <c r="L1660" s="71">
        <f>IF($N1660&lt;&gt;"OK","",$I1660-$K1660)</f>
        <v/>
      </c>
      <c r="M1660" s="71">
        <f>IF($N1660&lt;&gt;"OK","",$D1660*N(INDEX('Menu Pricing'!$F$7:$F$56,$O1660)))</f>
        <v/>
      </c>
      <c r="N1660" s="80">
        <f>IF(AND($B1660="",$C1660="",$D1660=""),"",IF(NOT(ISNUMBER($B1660)),"Enter a valid date",IF($C1660="","Pick a menu item",IF($O1660="","Item not on Menu Pricing",IF(N($D1660)&lt;=0,"Qty must be above 0",IF($H1660="","No price on menu","OK"))))))</f>
        <v/>
      </c>
      <c r="O1660" s="13">
        <f>IF($C1660="","",IFERROR(MATCH($C1660,'Menu Pricing'!$B$7:$B$56,0),""))</f>
        <v/>
      </c>
    </row>
    <row r="1661" ht="17" customHeight="1">
      <c r="B1661" s="66" t="n"/>
      <c r="C1661" s="60" t="n"/>
      <c r="D1661" s="86" t="n"/>
      <c r="E1661" s="63" t="n"/>
      <c r="F1661" s="60" t="n"/>
      <c r="G1661" s="60" t="n"/>
      <c r="H1661" s="71">
        <f>IF(OR($C1661="",$D1661=""),"",IF(ISNUMBER($E1661),$E1661,IF($O1661="","",IF(N(INDEX('Menu Pricing'!$O$7:$O$56,$O1661))&gt;0,INDEX('Menu Pricing'!$O$7:$O$56,$O1661),""))))</f>
        <v/>
      </c>
      <c r="I1661" s="71">
        <f>IF($N1661&lt;&gt;"OK","",$D1661*$H1661)</f>
        <v/>
      </c>
      <c r="J1661" s="71">
        <f>IF($N1661&lt;&gt;"OK","",N(INDEX('Menu Pricing'!$F$7:$F$56,$O1661))+N(INDEX('Menu Pricing'!$G$7:$G$56,$O1661))+N(INDEX('Menu Pricing'!$J$7:$J$56,$O1661)))</f>
        <v/>
      </c>
      <c r="K1661" s="71">
        <f>IF($N1661&lt;&gt;"OK","",$D1661*$J1661)</f>
        <v/>
      </c>
      <c r="L1661" s="71">
        <f>IF($N1661&lt;&gt;"OK","",$I1661-$K1661)</f>
        <v/>
      </c>
      <c r="M1661" s="71">
        <f>IF($N1661&lt;&gt;"OK","",$D1661*N(INDEX('Menu Pricing'!$F$7:$F$56,$O1661)))</f>
        <v/>
      </c>
      <c r="N1661" s="80">
        <f>IF(AND($B1661="",$C1661="",$D1661=""),"",IF(NOT(ISNUMBER($B1661)),"Enter a valid date",IF($C1661="","Pick a menu item",IF($O1661="","Item not on Menu Pricing",IF(N($D1661)&lt;=0,"Qty must be above 0",IF($H1661="","No price on menu","OK"))))))</f>
        <v/>
      </c>
      <c r="O1661" s="13">
        <f>IF($C1661="","",IFERROR(MATCH($C1661,'Menu Pricing'!$B$7:$B$56,0),""))</f>
        <v/>
      </c>
    </row>
    <row r="1662" ht="17" customHeight="1">
      <c r="B1662" s="66" t="n"/>
      <c r="C1662" s="60" t="n"/>
      <c r="D1662" s="86" t="n"/>
      <c r="E1662" s="63" t="n"/>
      <c r="F1662" s="60" t="n"/>
      <c r="G1662" s="60" t="n"/>
      <c r="H1662" s="71">
        <f>IF(OR($C1662="",$D1662=""),"",IF(ISNUMBER($E1662),$E1662,IF($O1662="","",IF(N(INDEX('Menu Pricing'!$O$7:$O$56,$O1662))&gt;0,INDEX('Menu Pricing'!$O$7:$O$56,$O1662),""))))</f>
        <v/>
      </c>
      <c r="I1662" s="71">
        <f>IF($N1662&lt;&gt;"OK","",$D1662*$H1662)</f>
        <v/>
      </c>
      <c r="J1662" s="71">
        <f>IF($N1662&lt;&gt;"OK","",N(INDEX('Menu Pricing'!$F$7:$F$56,$O1662))+N(INDEX('Menu Pricing'!$G$7:$G$56,$O1662))+N(INDEX('Menu Pricing'!$J$7:$J$56,$O1662)))</f>
        <v/>
      </c>
      <c r="K1662" s="71">
        <f>IF($N1662&lt;&gt;"OK","",$D1662*$J1662)</f>
        <v/>
      </c>
      <c r="L1662" s="71">
        <f>IF($N1662&lt;&gt;"OK","",$I1662-$K1662)</f>
        <v/>
      </c>
      <c r="M1662" s="71">
        <f>IF($N1662&lt;&gt;"OK","",$D1662*N(INDEX('Menu Pricing'!$F$7:$F$56,$O1662)))</f>
        <v/>
      </c>
      <c r="N1662" s="80">
        <f>IF(AND($B1662="",$C1662="",$D1662=""),"",IF(NOT(ISNUMBER($B1662)),"Enter a valid date",IF($C1662="","Pick a menu item",IF($O1662="","Item not on Menu Pricing",IF(N($D1662)&lt;=0,"Qty must be above 0",IF($H1662="","No price on menu","OK"))))))</f>
        <v/>
      </c>
      <c r="O1662" s="13">
        <f>IF($C1662="","",IFERROR(MATCH($C1662,'Menu Pricing'!$B$7:$B$56,0),""))</f>
        <v/>
      </c>
    </row>
    <row r="1663" ht="17" customHeight="1">
      <c r="B1663" s="66" t="n"/>
      <c r="C1663" s="60" t="n"/>
      <c r="D1663" s="86" t="n"/>
      <c r="E1663" s="63" t="n"/>
      <c r="F1663" s="60" t="n"/>
      <c r="G1663" s="60" t="n"/>
      <c r="H1663" s="71">
        <f>IF(OR($C1663="",$D1663=""),"",IF(ISNUMBER($E1663),$E1663,IF($O1663="","",IF(N(INDEX('Menu Pricing'!$O$7:$O$56,$O1663))&gt;0,INDEX('Menu Pricing'!$O$7:$O$56,$O1663),""))))</f>
        <v/>
      </c>
      <c r="I1663" s="71">
        <f>IF($N1663&lt;&gt;"OK","",$D1663*$H1663)</f>
        <v/>
      </c>
      <c r="J1663" s="71">
        <f>IF($N1663&lt;&gt;"OK","",N(INDEX('Menu Pricing'!$F$7:$F$56,$O1663))+N(INDEX('Menu Pricing'!$G$7:$G$56,$O1663))+N(INDEX('Menu Pricing'!$J$7:$J$56,$O1663)))</f>
        <v/>
      </c>
      <c r="K1663" s="71">
        <f>IF($N1663&lt;&gt;"OK","",$D1663*$J1663)</f>
        <v/>
      </c>
      <c r="L1663" s="71">
        <f>IF($N1663&lt;&gt;"OK","",$I1663-$K1663)</f>
        <v/>
      </c>
      <c r="M1663" s="71">
        <f>IF($N1663&lt;&gt;"OK","",$D1663*N(INDEX('Menu Pricing'!$F$7:$F$56,$O1663)))</f>
        <v/>
      </c>
      <c r="N1663" s="80">
        <f>IF(AND($B1663="",$C1663="",$D1663=""),"",IF(NOT(ISNUMBER($B1663)),"Enter a valid date",IF($C1663="","Pick a menu item",IF($O1663="","Item not on Menu Pricing",IF(N($D1663)&lt;=0,"Qty must be above 0",IF($H1663="","No price on menu","OK"))))))</f>
        <v/>
      </c>
      <c r="O1663" s="13">
        <f>IF($C1663="","",IFERROR(MATCH($C1663,'Menu Pricing'!$B$7:$B$56,0),""))</f>
        <v/>
      </c>
    </row>
    <row r="1664" ht="17" customHeight="1">
      <c r="B1664" s="66" t="n"/>
      <c r="C1664" s="60" t="n"/>
      <c r="D1664" s="86" t="n"/>
      <c r="E1664" s="63" t="n"/>
      <c r="F1664" s="60" t="n"/>
      <c r="G1664" s="60" t="n"/>
      <c r="H1664" s="71">
        <f>IF(OR($C1664="",$D1664=""),"",IF(ISNUMBER($E1664),$E1664,IF($O1664="","",IF(N(INDEX('Menu Pricing'!$O$7:$O$56,$O1664))&gt;0,INDEX('Menu Pricing'!$O$7:$O$56,$O1664),""))))</f>
        <v/>
      </c>
      <c r="I1664" s="71">
        <f>IF($N1664&lt;&gt;"OK","",$D1664*$H1664)</f>
        <v/>
      </c>
      <c r="J1664" s="71">
        <f>IF($N1664&lt;&gt;"OK","",N(INDEX('Menu Pricing'!$F$7:$F$56,$O1664))+N(INDEX('Menu Pricing'!$G$7:$G$56,$O1664))+N(INDEX('Menu Pricing'!$J$7:$J$56,$O1664)))</f>
        <v/>
      </c>
      <c r="K1664" s="71">
        <f>IF($N1664&lt;&gt;"OK","",$D1664*$J1664)</f>
        <v/>
      </c>
      <c r="L1664" s="71">
        <f>IF($N1664&lt;&gt;"OK","",$I1664-$K1664)</f>
        <v/>
      </c>
      <c r="M1664" s="71">
        <f>IF($N1664&lt;&gt;"OK","",$D1664*N(INDEX('Menu Pricing'!$F$7:$F$56,$O1664)))</f>
        <v/>
      </c>
      <c r="N1664" s="80">
        <f>IF(AND($B1664="",$C1664="",$D1664=""),"",IF(NOT(ISNUMBER($B1664)),"Enter a valid date",IF($C1664="","Pick a menu item",IF($O1664="","Item not on Menu Pricing",IF(N($D1664)&lt;=0,"Qty must be above 0",IF($H1664="","No price on menu","OK"))))))</f>
        <v/>
      </c>
      <c r="O1664" s="13">
        <f>IF($C1664="","",IFERROR(MATCH($C1664,'Menu Pricing'!$B$7:$B$56,0),""))</f>
        <v/>
      </c>
    </row>
    <row r="1665" ht="17" customHeight="1">
      <c r="B1665" s="66" t="n"/>
      <c r="C1665" s="60" t="n"/>
      <c r="D1665" s="86" t="n"/>
      <c r="E1665" s="63" t="n"/>
      <c r="F1665" s="60" t="n"/>
      <c r="G1665" s="60" t="n"/>
      <c r="H1665" s="71">
        <f>IF(OR($C1665="",$D1665=""),"",IF(ISNUMBER($E1665),$E1665,IF($O1665="","",IF(N(INDEX('Menu Pricing'!$O$7:$O$56,$O1665))&gt;0,INDEX('Menu Pricing'!$O$7:$O$56,$O1665),""))))</f>
        <v/>
      </c>
      <c r="I1665" s="71">
        <f>IF($N1665&lt;&gt;"OK","",$D1665*$H1665)</f>
        <v/>
      </c>
      <c r="J1665" s="71">
        <f>IF($N1665&lt;&gt;"OK","",N(INDEX('Menu Pricing'!$F$7:$F$56,$O1665))+N(INDEX('Menu Pricing'!$G$7:$G$56,$O1665))+N(INDEX('Menu Pricing'!$J$7:$J$56,$O1665)))</f>
        <v/>
      </c>
      <c r="K1665" s="71">
        <f>IF($N1665&lt;&gt;"OK","",$D1665*$J1665)</f>
        <v/>
      </c>
      <c r="L1665" s="71">
        <f>IF($N1665&lt;&gt;"OK","",$I1665-$K1665)</f>
        <v/>
      </c>
      <c r="M1665" s="71">
        <f>IF($N1665&lt;&gt;"OK","",$D1665*N(INDEX('Menu Pricing'!$F$7:$F$56,$O1665)))</f>
        <v/>
      </c>
      <c r="N1665" s="80">
        <f>IF(AND($B1665="",$C1665="",$D1665=""),"",IF(NOT(ISNUMBER($B1665)),"Enter a valid date",IF($C1665="","Pick a menu item",IF($O1665="","Item not on Menu Pricing",IF(N($D1665)&lt;=0,"Qty must be above 0",IF($H1665="","No price on menu","OK"))))))</f>
        <v/>
      </c>
      <c r="O1665" s="13">
        <f>IF($C1665="","",IFERROR(MATCH($C1665,'Menu Pricing'!$B$7:$B$56,0),""))</f>
        <v/>
      </c>
    </row>
    <row r="1666" ht="17" customHeight="1">
      <c r="B1666" s="66" t="n"/>
      <c r="C1666" s="60" t="n"/>
      <c r="D1666" s="86" t="n"/>
      <c r="E1666" s="63" t="n"/>
      <c r="F1666" s="60" t="n"/>
      <c r="G1666" s="60" t="n"/>
      <c r="H1666" s="71">
        <f>IF(OR($C1666="",$D1666=""),"",IF(ISNUMBER($E1666),$E1666,IF($O1666="","",IF(N(INDEX('Menu Pricing'!$O$7:$O$56,$O1666))&gt;0,INDEX('Menu Pricing'!$O$7:$O$56,$O1666),""))))</f>
        <v/>
      </c>
      <c r="I1666" s="71">
        <f>IF($N1666&lt;&gt;"OK","",$D1666*$H1666)</f>
        <v/>
      </c>
      <c r="J1666" s="71">
        <f>IF($N1666&lt;&gt;"OK","",N(INDEX('Menu Pricing'!$F$7:$F$56,$O1666))+N(INDEX('Menu Pricing'!$G$7:$G$56,$O1666))+N(INDEX('Menu Pricing'!$J$7:$J$56,$O1666)))</f>
        <v/>
      </c>
      <c r="K1666" s="71">
        <f>IF($N1666&lt;&gt;"OK","",$D1666*$J1666)</f>
        <v/>
      </c>
      <c r="L1666" s="71">
        <f>IF($N1666&lt;&gt;"OK","",$I1666-$K1666)</f>
        <v/>
      </c>
      <c r="M1666" s="71">
        <f>IF($N1666&lt;&gt;"OK","",$D1666*N(INDEX('Menu Pricing'!$F$7:$F$56,$O1666)))</f>
        <v/>
      </c>
      <c r="N1666" s="80">
        <f>IF(AND($B1666="",$C1666="",$D1666=""),"",IF(NOT(ISNUMBER($B1666)),"Enter a valid date",IF($C1666="","Pick a menu item",IF($O1666="","Item not on Menu Pricing",IF(N($D1666)&lt;=0,"Qty must be above 0",IF($H1666="","No price on menu","OK"))))))</f>
        <v/>
      </c>
      <c r="O1666" s="13">
        <f>IF($C1666="","",IFERROR(MATCH($C1666,'Menu Pricing'!$B$7:$B$56,0),""))</f>
        <v/>
      </c>
    </row>
    <row r="1667" ht="17" customHeight="1">
      <c r="B1667" s="66" t="n"/>
      <c r="C1667" s="60" t="n"/>
      <c r="D1667" s="86" t="n"/>
      <c r="E1667" s="63" t="n"/>
      <c r="F1667" s="60" t="n"/>
      <c r="G1667" s="60" t="n"/>
      <c r="H1667" s="71">
        <f>IF(OR($C1667="",$D1667=""),"",IF(ISNUMBER($E1667),$E1667,IF($O1667="","",IF(N(INDEX('Menu Pricing'!$O$7:$O$56,$O1667))&gt;0,INDEX('Menu Pricing'!$O$7:$O$56,$O1667),""))))</f>
        <v/>
      </c>
      <c r="I1667" s="71">
        <f>IF($N1667&lt;&gt;"OK","",$D1667*$H1667)</f>
        <v/>
      </c>
      <c r="J1667" s="71">
        <f>IF($N1667&lt;&gt;"OK","",N(INDEX('Menu Pricing'!$F$7:$F$56,$O1667))+N(INDEX('Menu Pricing'!$G$7:$G$56,$O1667))+N(INDEX('Menu Pricing'!$J$7:$J$56,$O1667)))</f>
        <v/>
      </c>
      <c r="K1667" s="71">
        <f>IF($N1667&lt;&gt;"OK","",$D1667*$J1667)</f>
        <v/>
      </c>
      <c r="L1667" s="71">
        <f>IF($N1667&lt;&gt;"OK","",$I1667-$K1667)</f>
        <v/>
      </c>
      <c r="M1667" s="71">
        <f>IF($N1667&lt;&gt;"OK","",$D1667*N(INDEX('Menu Pricing'!$F$7:$F$56,$O1667)))</f>
        <v/>
      </c>
      <c r="N1667" s="80">
        <f>IF(AND($B1667="",$C1667="",$D1667=""),"",IF(NOT(ISNUMBER($B1667)),"Enter a valid date",IF($C1667="","Pick a menu item",IF($O1667="","Item not on Menu Pricing",IF(N($D1667)&lt;=0,"Qty must be above 0",IF($H1667="","No price on menu","OK"))))))</f>
        <v/>
      </c>
      <c r="O1667" s="13">
        <f>IF($C1667="","",IFERROR(MATCH($C1667,'Menu Pricing'!$B$7:$B$56,0),""))</f>
        <v/>
      </c>
    </row>
    <row r="1668" ht="17" customHeight="1">
      <c r="B1668" s="66" t="n"/>
      <c r="C1668" s="60" t="n"/>
      <c r="D1668" s="86" t="n"/>
      <c r="E1668" s="63" t="n"/>
      <c r="F1668" s="60" t="n"/>
      <c r="G1668" s="60" t="n"/>
      <c r="H1668" s="71">
        <f>IF(OR($C1668="",$D1668=""),"",IF(ISNUMBER($E1668),$E1668,IF($O1668="","",IF(N(INDEX('Menu Pricing'!$O$7:$O$56,$O1668))&gt;0,INDEX('Menu Pricing'!$O$7:$O$56,$O1668),""))))</f>
        <v/>
      </c>
      <c r="I1668" s="71">
        <f>IF($N1668&lt;&gt;"OK","",$D1668*$H1668)</f>
        <v/>
      </c>
      <c r="J1668" s="71">
        <f>IF($N1668&lt;&gt;"OK","",N(INDEX('Menu Pricing'!$F$7:$F$56,$O1668))+N(INDEX('Menu Pricing'!$G$7:$G$56,$O1668))+N(INDEX('Menu Pricing'!$J$7:$J$56,$O1668)))</f>
        <v/>
      </c>
      <c r="K1668" s="71">
        <f>IF($N1668&lt;&gt;"OK","",$D1668*$J1668)</f>
        <v/>
      </c>
      <c r="L1668" s="71">
        <f>IF($N1668&lt;&gt;"OK","",$I1668-$K1668)</f>
        <v/>
      </c>
      <c r="M1668" s="71">
        <f>IF($N1668&lt;&gt;"OK","",$D1668*N(INDEX('Menu Pricing'!$F$7:$F$56,$O1668)))</f>
        <v/>
      </c>
      <c r="N1668" s="80">
        <f>IF(AND($B1668="",$C1668="",$D1668=""),"",IF(NOT(ISNUMBER($B1668)),"Enter a valid date",IF($C1668="","Pick a menu item",IF($O1668="","Item not on Menu Pricing",IF(N($D1668)&lt;=0,"Qty must be above 0",IF($H1668="","No price on menu","OK"))))))</f>
        <v/>
      </c>
      <c r="O1668" s="13">
        <f>IF($C1668="","",IFERROR(MATCH($C1668,'Menu Pricing'!$B$7:$B$56,0),""))</f>
        <v/>
      </c>
    </row>
    <row r="1669" ht="17" customHeight="1">
      <c r="B1669" s="66" t="n"/>
      <c r="C1669" s="60" t="n"/>
      <c r="D1669" s="86" t="n"/>
      <c r="E1669" s="63" t="n"/>
      <c r="F1669" s="60" t="n"/>
      <c r="G1669" s="60" t="n"/>
      <c r="H1669" s="71">
        <f>IF(OR($C1669="",$D1669=""),"",IF(ISNUMBER($E1669),$E1669,IF($O1669="","",IF(N(INDEX('Menu Pricing'!$O$7:$O$56,$O1669))&gt;0,INDEX('Menu Pricing'!$O$7:$O$56,$O1669),""))))</f>
        <v/>
      </c>
      <c r="I1669" s="71">
        <f>IF($N1669&lt;&gt;"OK","",$D1669*$H1669)</f>
        <v/>
      </c>
      <c r="J1669" s="71">
        <f>IF($N1669&lt;&gt;"OK","",N(INDEX('Menu Pricing'!$F$7:$F$56,$O1669))+N(INDEX('Menu Pricing'!$G$7:$G$56,$O1669))+N(INDEX('Menu Pricing'!$J$7:$J$56,$O1669)))</f>
        <v/>
      </c>
      <c r="K1669" s="71">
        <f>IF($N1669&lt;&gt;"OK","",$D1669*$J1669)</f>
        <v/>
      </c>
      <c r="L1669" s="71">
        <f>IF($N1669&lt;&gt;"OK","",$I1669-$K1669)</f>
        <v/>
      </c>
      <c r="M1669" s="71">
        <f>IF($N1669&lt;&gt;"OK","",$D1669*N(INDEX('Menu Pricing'!$F$7:$F$56,$O1669)))</f>
        <v/>
      </c>
      <c r="N1669" s="80">
        <f>IF(AND($B1669="",$C1669="",$D1669=""),"",IF(NOT(ISNUMBER($B1669)),"Enter a valid date",IF($C1669="","Pick a menu item",IF($O1669="","Item not on Menu Pricing",IF(N($D1669)&lt;=0,"Qty must be above 0",IF($H1669="","No price on menu","OK"))))))</f>
        <v/>
      </c>
      <c r="O1669" s="13">
        <f>IF($C1669="","",IFERROR(MATCH($C1669,'Menu Pricing'!$B$7:$B$56,0),""))</f>
        <v/>
      </c>
    </row>
    <row r="1670" ht="17" customHeight="1">
      <c r="B1670" s="66" t="n"/>
      <c r="C1670" s="60" t="n"/>
      <c r="D1670" s="86" t="n"/>
      <c r="E1670" s="63" t="n"/>
      <c r="F1670" s="60" t="n"/>
      <c r="G1670" s="60" t="n"/>
      <c r="H1670" s="71">
        <f>IF(OR($C1670="",$D1670=""),"",IF(ISNUMBER($E1670),$E1670,IF($O1670="","",IF(N(INDEX('Menu Pricing'!$O$7:$O$56,$O1670))&gt;0,INDEX('Menu Pricing'!$O$7:$O$56,$O1670),""))))</f>
        <v/>
      </c>
      <c r="I1670" s="71">
        <f>IF($N1670&lt;&gt;"OK","",$D1670*$H1670)</f>
        <v/>
      </c>
      <c r="J1670" s="71">
        <f>IF($N1670&lt;&gt;"OK","",N(INDEX('Menu Pricing'!$F$7:$F$56,$O1670))+N(INDEX('Menu Pricing'!$G$7:$G$56,$O1670))+N(INDEX('Menu Pricing'!$J$7:$J$56,$O1670)))</f>
        <v/>
      </c>
      <c r="K1670" s="71">
        <f>IF($N1670&lt;&gt;"OK","",$D1670*$J1670)</f>
        <v/>
      </c>
      <c r="L1670" s="71">
        <f>IF($N1670&lt;&gt;"OK","",$I1670-$K1670)</f>
        <v/>
      </c>
      <c r="M1670" s="71">
        <f>IF($N1670&lt;&gt;"OK","",$D1670*N(INDEX('Menu Pricing'!$F$7:$F$56,$O1670)))</f>
        <v/>
      </c>
      <c r="N1670" s="80">
        <f>IF(AND($B1670="",$C1670="",$D1670=""),"",IF(NOT(ISNUMBER($B1670)),"Enter a valid date",IF($C1670="","Pick a menu item",IF($O1670="","Item not on Menu Pricing",IF(N($D1670)&lt;=0,"Qty must be above 0",IF($H1670="","No price on menu","OK"))))))</f>
        <v/>
      </c>
      <c r="O1670" s="13">
        <f>IF($C1670="","",IFERROR(MATCH($C1670,'Menu Pricing'!$B$7:$B$56,0),""))</f>
        <v/>
      </c>
    </row>
    <row r="1671" ht="17" customHeight="1">
      <c r="B1671" s="66" t="n"/>
      <c r="C1671" s="60" t="n"/>
      <c r="D1671" s="86" t="n"/>
      <c r="E1671" s="63" t="n"/>
      <c r="F1671" s="60" t="n"/>
      <c r="G1671" s="60" t="n"/>
      <c r="H1671" s="71">
        <f>IF(OR($C1671="",$D1671=""),"",IF(ISNUMBER($E1671),$E1671,IF($O1671="","",IF(N(INDEX('Menu Pricing'!$O$7:$O$56,$O1671))&gt;0,INDEX('Menu Pricing'!$O$7:$O$56,$O1671),""))))</f>
        <v/>
      </c>
      <c r="I1671" s="71">
        <f>IF($N1671&lt;&gt;"OK","",$D1671*$H1671)</f>
        <v/>
      </c>
      <c r="J1671" s="71">
        <f>IF($N1671&lt;&gt;"OK","",N(INDEX('Menu Pricing'!$F$7:$F$56,$O1671))+N(INDEX('Menu Pricing'!$G$7:$G$56,$O1671))+N(INDEX('Menu Pricing'!$J$7:$J$56,$O1671)))</f>
        <v/>
      </c>
      <c r="K1671" s="71">
        <f>IF($N1671&lt;&gt;"OK","",$D1671*$J1671)</f>
        <v/>
      </c>
      <c r="L1671" s="71">
        <f>IF($N1671&lt;&gt;"OK","",$I1671-$K1671)</f>
        <v/>
      </c>
      <c r="M1671" s="71">
        <f>IF($N1671&lt;&gt;"OK","",$D1671*N(INDEX('Menu Pricing'!$F$7:$F$56,$O1671)))</f>
        <v/>
      </c>
      <c r="N1671" s="80">
        <f>IF(AND($B1671="",$C1671="",$D1671=""),"",IF(NOT(ISNUMBER($B1671)),"Enter a valid date",IF($C1671="","Pick a menu item",IF($O1671="","Item not on Menu Pricing",IF(N($D1671)&lt;=0,"Qty must be above 0",IF($H1671="","No price on menu","OK"))))))</f>
        <v/>
      </c>
      <c r="O1671" s="13">
        <f>IF($C1671="","",IFERROR(MATCH($C1671,'Menu Pricing'!$B$7:$B$56,0),""))</f>
        <v/>
      </c>
    </row>
    <row r="1672" ht="17" customHeight="1">
      <c r="B1672" s="66" t="n"/>
      <c r="C1672" s="60" t="n"/>
      <c r="D1672" s="86" t="n"/>
      <c r="E1672" s="63" t="n"/>
      <c r="F1672" s="60" t="n"/>
      <c r="G1672" s="60" t="n"/>
      <c r="H1672" s="71">
        <f>IF(OR($C1672="",$D1672=""),"",IF(ISNUMBER($E1672),$E1672,IF($O1672="","",IF(N(INDEX('Menu Pricing'!$O$7:$O$56,$O1672))&gt;0,INDEX('Menu Pricing'!$O$7:$O$56,$O1672),""))))</f>
        <v/>
      </c>
      <c r="I1672" s="71">
        <f>IF($N1672&lt;&gt;"OK","",$D1672*$H1672)</f>
        <v/>
      </c>
      <c r="J1672" s="71">
        <f>IF($N1672&lt;&gt;"OK","",N(INDEX('Menu Pricing'!$F$7:$F$56,$O1672))+N(INDEX('Menu Pricing'!$G$7:$G$56,$O1672))+N(INDEX('Menu Pricing'!$J$7:$J$56,$O1672)))</f>
        <v/>
      </c>
      <c r="K1672" s="71">
        <f>IF($N1672&lt;&gt;"OK","",$D1672*$J1672)</f>
        <v/>
      </c>
      <c r="L1672" s="71">
        <f>IF($N1672&lt;&gt;"OK","",$I1672-$K1672)</f>
        <v/>
      </c>
      <c r="M1672" s="71">
        <f>IF($N1672&lt;&gt;"OK","",$D1672*N(INDEX('Menu Pricing'!$F$7:$F$56,$O1672)))</f>
        <v/>
      </c>
      <c r="N1672" s="80">
        <f>IF(AND($B1672="",$C1672="",$D1672=""),"",IF(NOT(ISNUMBER($B1672)),"Enter a valid date",IF($C1672="","Pick a menu item",IF($O1672="","Item not on Menu Pricing",IF(N($D1672)&lt;=0,"Qty must be above 0",IF($H1672="","No price on menu","OK"))))))</f>
        <v/>
      </c>
      <c r="O1672" s="13">
        <f>IF($C1672="","",IFERROR(MATCH($C1672,'Menu Pricing'!$B$7:$B$56,0),""))</f>
        <v/>
      </c>
    </row>
    <row r="1673" ht="17" customHeight="1">
      <c r="B1673" s="66" t="n"/>
      <c r="C1673" s="60" t="n"/>
      <c r="D1673" s="86" t="n"/>
      <c r="E1673" s="63" t="n"/>
      <c r="F1673" s="60" t="n"/>
      <c r="G1673" s="60" t="n"/>
      <c r="H1673" s="71">
        <f>IF(OR($C1673="",$D1673=""),"",IF(ISNUMBER($E1673),$E1673,IF($O1673="","",IF(N(INDEX('Menu Pricing'!$O$7:$O$56,$O1673))&gt;0,INDEX('Menu Pricing'!$O$7:$O$56,$O1673),""))))</f>
        <v/>
      </c>
      <c r="I1673" s="71">
        <f>IF($N1673&lt;&gt;"OK","",$D1673*$H1673)</f>
        <v/>
      </c>
      <c r="J1673" s="71">
        <f>IF($N1673&lt;&gt;"OK","",N(INDEX('Menu Pricing'!$F$7:$F$56,$O1673))+N(INDEX('Menu Pricing'!$G$7:$G$56,$O1673))+N(INDEX('Menu Pricing'!$J$7:$J$56,$O1673)))</f>
        <v/>
      </c>
      <c r="K1673" s="71">
        <f>IF($N1673&lt;&gt;"OK","",$D1673*$J1673)</f>
        <v/>
      </c>
      <c r="L1673" s="71">
        <f>IF($N1673&lt;&gt;"OK","",$I1673-$K1673)</f>
        <v/>
      </c>
      <c r="M1673" s="71">
        <f>IF($N1673&lt;&gt;"OK","",$D1673*N(INDEX('Menu Pricing'!$F$7:$F$56,$O1673)))</f>
        <v/>
      </c>
      <c r="N1673" s="80">
        <f>IF(AND($B1673="",$C1673="",$D1673=""),"",IF(NOT(ISNUMBER($B1673)),"Enter a valid date",IF($C1673="","Pick a menu item",IF($O1673="","Item not on Menu Pricing",IF(N($D1673)&lt;=0,"Qty must be above 0",IF($H1673="","No price on menu","OK"))))))</f>
        <v/>
      </c>
      <c r="O1673" s="13">
        <f>IF($C1673="","",IFERROR(MATCH($C1673,'Menu Pricing'!$B$7:$B$56,0),""))</f>
        <v/>
      </c>
    </row>
    <row r="1674" ht="17" customHeight="1">
      <c r="B1674" s="66" t="n"/>
      <c r="C1674" s="60" t="n"/>
      <c r="D1674" s="86" t="n"/>
      <c r="E1674" s="63" t="n"/>
      <c r="F1674" s="60" t="n"/>
      <c r="G1674" s="60" t="n"/>
      <c r="H1674" s="71">
        <f>IF(OR($C1674="",$D1674=""),"",IF(ISNUMBER($E1674),$E1674,IF($O1674="","",IF(N(INDEX('Menu Pricing'!$O$7:$O$56,$O1674))&gt;0,INDEX('Menu Pricing'!$O$7:$O$56,$O1674),""))))</f>
        <v/>
      </c>
      <c r="I1674" s="71">
        <f>IF($N1674&lt;&gt;"OK","",$D1674*$H1674)</f>
        <v/>
      </c>
      <c r="J1674" s="71">
        <f>IF($N1674&lt;&gt;"OK","",N(INDEX('Menu Pricing'!$F$7:$F$56,$O1674))+N(INDEX('Menu Pricing'!$G$7:$G$56,$O1674))+N(INDEX('Menu Pricing'!$J$7:$J$56,$O1674)))</f>
        <v/>
      </c>
      <c r="K1674" s="71">
        <f>IF($N1674&lt;&gt;"OK","",$D1674*$J1674)</f>
        <v/>
      </c>
      <c r="L1674" s="71">
        <f>IF($N1674&lt;&gt;"OK","",$I1674-$K1674)</f>
        <v/>
      </c>
      <c r="M1674" s="71">
        <f>IF($N1674&lt;&gt;"OK","",$D1674*N(INDEX('Menu Pricing'!$F$7:$F$56,$O1674)))</f>
        <v/>
      </c>
      <c r="N1674" s="80">
        <f>IF(AND($B1674="",$C1674="",$D1674=""),"",IF(NOT(ISNUMBER($B1674)),"Enter a valid date",IF($C1674="","Pick a menu item",IF($O1674="","Item not on Menu Pricing",IF(N($D1674)&lt;=0,"Qty must be above 0",IF($H1674="","No price on menu","OK"))))))</f>
        <v/>
      </c>
      <c r="O1674" s="13">
        <f>IF($C1674="","",IFERROR(MATCH($C1674,'Menu Pricing'!$B$7:$B$56,0),""))</f>
        <v/>
      </c>
    </row>
    <row r="1675" ht="17" customHeight="1">
      <c r="B1675" s="66" t="n"/>
      <c r="C1675" s="60" t="n"/>
      <c r="D1675" s="86" t="n"/>
      <c r="E1675" s="63" t="n"/>
      <c r="F1675" s="60" t="n"/>
      <c r="G1675" s="60" t="n"/>
      <c r="H1675" s="71">
        <f>IF(OR($C1675="",$D1675=""),"",IF(ISNUMBER($E1675),$E1675,IF($O1675="","",IF(N(INDEX('Menu Pricing'!$O$7:$O$56,$O1675))&gt;0,INDEX('Menu Pricing'!$O$7:$O$56,$O1675),""))))</f>
        <v/>
      </c>
      <c r="I1675" s="71">
        <f>IF($N1675&lt;&gt;"OK","",$D1675*$H1675)</f>
        <v/>
      </c>
      <c r="J1675" s="71">
        <f>IF($N1675&lt;&gt;"OK","",N(INDEX('Menu Pricing'!$F$7:$F$56,$O1675))+N(INDEX('Menu Pricing'!$G$7:$G$56,$O1675))+N(INDEX('Menu Pricing'!$J$7:$J$56,$O1675)))</f>
        <v/>
      </c>
      <c r="K1675" s="71">
        <f>IF($N1675&lt;&gt;"OK","",$D1675*$J1675)</f>
        <v/>
      </c>
      <c r="L1675" s="71">
        <f>IF($N1675&lt;&gt;"OK","",$I1675-$K1675)</f>
        <v/>
      </c>
      <c r="M1675" s="71">
        <f>IF($N1675&lt;&gt;"OK","",$D1675*N(INDEX('Menu Pricing'!$F$7:$F$56,$O1675)))</f>
        <v/>
      </c>
      <c r="N1675" s="80">
        <f>IF(AND($B1675="",$C1675="",$D1675=""),"",IF(NOT(ISNUMBER($B1675)),"Enter a valid date",IF($C1675="","Pick a menu item",IF($O1675="","Item not on Menu Pricing",IF(N($D1675)&lt;=0,"Qty must be above 0",IF($H1675="","No price on menu","OK"))))))</f>
        <v/>
      </c>
      <c r="O1675" s="13">
        <f>IF($C1675="","",IFERROR(MATCH($C1675,'Menu Pricing'!$B$7:$B$56,0),""))</f>
        <v/>
      </c>
    </row>
    <row r="1676" ht="17" customHeight="1">
      <c r="B1676" s="66" t="n"/>
      <c r="C1676" s="60" t="n"/>
      <c r="D1676" s="86" t="n"/>
      <c r="E1676" s="63" t="n"/>
      <c r="F1676" s="60" t="n"/>
      <c r="G1676" s="60" t="n"/>
      <c r="H1676" s="71">
        <f>IF(OR($C1676="",$D1676=""),"",IF(ISNUMBER($E1676),$E1676,IF($O1676="","",IF(N(INDEX('Menu Pricing'!$O$7:$O$56,$O1676))&gt;0,INDEX('Menu Pricing'!$O$7:$O$56,$O1676),""))))</f>
        <v/>
      </c>
      <c r="I1676" s="71">
        <f>IF($N1676&lt;&gt;"OK","",$D1676*$H1676)</f>
        <v/>
      </c>
      <c r="J1676" s="71">
        <f>IF($N1676&lt;&gt;"OK","",N(INDEX('Menu Pricing'!$F$7:$F$56,$O1676))+N(INDEX('Menu Pricing'!$G$7:$G$56,$O1676))+N(INDEX('Menu Pricing'!$J$7:$J$56,$O1676)))</f>
        <v/>
      </c>
      <c r="K1676" s="71">
        <f>IF($N1676&lt;&gt;"OK","",$D1676*$J1676)</f>
        <v/>
      </c>
      <c r="L1676" s="71">
        <f>IF($N1676&lt;&gt;"OK","",$I1676-$K1676)</f>
        <v/>
      </c>
      <c r="M1676" s="71">
        <f>IF($N1676&lt;&gt;"OK","",$D1676*N(INDEX('Menu Pricing'!$F$7:$F$56,$O1676)))</f>
        <v/>
      </c>
      <c r="N1676" s="80">
        <f>IF(AND($B1676="",$C1676="",$D1676=""),"",IF(NOT(ISNUMBER($B1676)),"Enter a valid date",IF($C1676="","Pick a menu item",IF($O1676="","Item not on Menu Pricing",IF(N($D1676)&lt;=0,"Qty must be above 0",IF($H1676="","No price on menu","OK"))))))</f>
        <v/>
      </c>
      <c r="O1676" s="13">
        <f>IF($C1676="","",IFERROR(MATCH($C1676,'Menu Pricing'!$B$7:$B$56,0),""))</f>
        <v/>
      </c>
    </row>
    <row r="1677" ht="17" customHeight="1">
      <c r="B1677" s="66" t="n"/>
      <c r="C1677" s="60" t="n"/>
      <c r="D1677" s="86" t="n"/>
      <c r="E1677" s="63" t="n"/>
      <c r="F1677" s="60" t="n"/>
      <c r="G1677" s="60" t="n"/>
      <c r="H1677" s="71">
        <f>IF(OR($C1677="",$D1677=""),"",IF(ISNUMBER($E1677),$E1677,IF($O1677="","",IF(N(INDEX('Menu Pricing'!$O$7:$O$56,$O1677))&gt;0,INDEX('Menu Pricing'!$O$7:$O$56,$O1677),""))))</f>
        <v/>
      </c>
      <c r="I1677" s="71">
        <f>IF($N1677&lt;&gt;"OK","",$D1677*$H1677)</f>
        <v/>
      </c>
      <c r="J1677" s="71">
        <f>IF($N1677&lt;&gt;"OK","",N(INDEX('Menu Pricing'!$F$7:$F$56,$O1677))+N(INDEX('Menu Pricing'!$G$7:$G$56,$O1677))+N(INDEX('Menu Pricing'!$J$7:$J$56,$O1677)))</f>
        <v/>
      </c>
      <c r="K1677" s="71">
        <f>IF($N1677&lt;&gt;"OK","",$D1677*$J1677)</f>
        <v/>
      </c>
      <c r="L1677" s="71">
        <f>IF($N1677&lt;&gt;"OK","",$I1677-$K1677)</f>
        <v/>
      </c>
      <c r="M1677" s="71">
        <f>IF($N1677&lt;&gt;"OK","",$D1677*N(INDEX('Menu Pricing'!$F$7:$F$56,$O1677)))</f>
        <v/>
      </c>
      <c r="N1677" s="80">
        <f>IF(AND($B1677="",$C1677="",$D1677=""),"",IF(NOT(ISNUMBER($B1677)),"Enter a valid date",IF($C1677="","Pick a menu item",IF($O1677="","Item not on Menu Pricing",IF(N($D1677)&lt;=0,"Qty must be above 0",IF($H1677="","No price on menu","OK"))))))</f>
        <v/>
      </c>
      <c r="O1677" s="13">
        <f>IF($C1677="","",IFERROR(MATCH($C1677,'Menu Pricing'!$B$7:$B$56,0),""))</f>
        <v/>
      </c>
    </row>
    <row r="1678" ht="17" customHeight="1">
      <c r="B1678" s="66" t="n"/>
      <c r="C1678" s="60" t="n"/>
      <c r="D1678" s="86" t="n"/>
      <c r="E1678" s="63" t="n"/>
      <c r="F1678" s="60" t="n"/>
      <c r="G1678" s="60" t="n"/>
      <c r="H1678" s="71">
        <f>IF(OR($C1678="",$D1678=""),"",IF(ISNUMBER($E1678),$E1678,IF($O1678="","",IF(N(INDEX('Menu Pricing'!$O$7:$O$56,$O1678))&gt;0,INDEX('Menu Pricing'!$O$7:$O$56,$O1678),""))))</f>
        <v/>
      </c>
      <c r="I1678" s="71">
        <f>IF($N1678&lt;&gt;"OK","",$D1678*$H1678)</f>
        <v/>
      </c>
      <c r="J1678" s="71">
        <f>IF($N1678&lt;&gt;"OK","",N(INDEX('Menu Pricing'!$F$7:$F$56,$O1678))+N(INDEX('Menu Pricing'!$G$7:$G$56,$O1678))+N(INDEX('Menu Pricing'!$J$7:$J$56,$O1678)))</f>
        <v/>
      </c>
      <c r="K1678" s="71">
        <f>IF($N1678&lt;&gt;"OK","",$D1678*$J1678)</f>
        <v/>
      </c>
      <c r="L1678" s="71">
        <f>IF($N1678&lt;&gt;"OK","",$I1678-$K1678)</f>
        <v/>
      </c>
      <c r="M1678" s="71">
        <f>IF($N1678&lt;&gt;"OK","",$D1678*N(INDEX('Menu Pricing'!$F$7:$F$56,$O1678)))</f>
        <v/>
      </c>
      <c r="N1678" s="80">
        <f>IF(AND($B1678="",$C1678="",$D1678=""),"",IF(NOT(ISNUMBER($B1678)),"Enter a valid date",IF($C1678="","Pick a menu item",IF($O1678="","Item not on Menu Pricing",IF(N($D1678)&lt;=0,"Qty must be above 0",IF($H1678="","No price on menu","OK"))))))</f>
        <v/>
      </c>
      <c r="O1678" s="13">
        <f>IF($C1678="","",IFERROR(MATCH($C1678,'Menu Pricing'!$B$7:$B$56,0),""))</f>
        <v/>
      </c>
    </row>
    <row r="1679" ht="17" customHeight="1">
      <c r="B1679" s="66" t="n"/>
      <c r="C1679" s="60" t="n"/>
      <c r="D1679" s="86" t="n"/>
      <c r="E1679" s="63" t="n"/>
      <c r="F1679" s="60" t="n"/>
      <c r="G1679" s="60" t="n"/>
      <c r="H1679" s="71">
        <f>IF(OR($C1679="",$D1679=""),"",IF(ISNUMBER($E1679),$E1679,IF($O1679="","",IF(N(INDEX('Menu Pricing'!$O$7:$O$56,$O1679))&gt;0,INDEX('Menu Pricing'!$O$7:$O$56,$O1679),""))))</f>
        <v/>
      </c>
      <c r="I1679" s="71">
        <f>IF($N1679&lt;&gt;"OK","",$D1679*$H1679)</f>
        <v/>
      </c>
      <c r="J1679" s="71">
        <f>IF($N1679&lt;&gt;"OK","",N(INDEX('Menu Pricing'!$F$7:$F$56,$O1679))+N(INDEX('Menu Pricing'!$G$7:$G$56,$O1679))+N(INDEX('Menu Pricing'!$J$7:$J$56,$O1679)))</f>
        <v/>
      </c>
      <c r="K1679" s="71">
        <f>IF($N1679&lt;&gt;"OK","",$D1679*$J1679)</f>
        <v/>
      </c>
      <c r="L1679" s="71">
        <f>IF($N1679&lt;&gt;"OK","",$I1679-$K1679)</f>
        <v/>
      </c>
      <c r="M1679" s="71">
        <f>IF($N1679&lt;&gt;"OK","",$D1679*N(INDEX('Menu Pricing'!$F$7:$F$56,$O1679)))</f>
        <v/>
      </c>
      <c r="N1679" s="80">
        <f>IF(AND($B1679="",$C1679="",$D1679=""),"",IF(NOT(ISNUMBER($B1679)),"Enter a valid date",IF($C1679="","Pick a menu item",IF($O1679="","Item not on Menu Pricing",IF(N($D1679)&lt;=0,"Qty must be above 0",IF($H1679="","No price on menu","OK"))))))</f>
        <v/>
      </c>
      <c r="O1679" s="13">
        <f>IF($C1679="","",IFERROR(MATCH($C1679,'Menu Pricing'!$B$7:$B$56,0),""))</f>
        <v/>
      </c>
    </row>
    <row r="1680" ht="17" customHeight="1">
      <c r="B1680" s="66" t="n"/>
      <c r="C1680" s="60" t="n"/>
      <c r="D1680" s="86" t="n"/>
      <c r="E1680" s="63" t="n"/>
      <c r="F1680" s="60" t="n"/>
      <c r="G1680" s="60" t="n"/>
      <c r="H1680" s="71">
        <f>IF(OR($C1680="",$D1680=""),"",IF(ISNUMBER($E1680),$E1680,IF($O1680="","",IF(N(INDEX('Menu Pricing'!$O$7:$O$56,$O1680))&gt;0,INDEX('Menu Pricing'!$O$7:$O$56,$O1680),""))))</f>
        <v/>
      </c>
      <c r="I1680" s="71">
        <f>IF($N1680&lt;&gt;"OK","",$D1680*$H1680)</f>
        <v/>
      </c>
      <c r="J1680" s="71">
        <f>IF($N1680&lt;&gt;"OK","",N(INDEX('Menu Pricing'!$F$7:$F$56,$O1680))+N(INDEX('Menu Pricing'!$G$7:$G$56,$O1680))+N(INDEX('Menu Pricing'!$J$7:$J$56,$O1680)))</f>
        <v/>
      </c>
      <c r="K1680" s="71">
        <f>IF($N1680&lt;&gt;"OK","",$D1680*$J1680)</f>
        <v/>
      </c>
      <c r="L1680" s="71">
        <f>IF($N1680&lt;&gt;"OK","",$I1680-$K1680)</f>
        <v/>
      </c>
      <c r="M1680" s="71">
        <f>IF($N1680&lt;&gt;"OK","",$D1680*N(INDEX('Menu Pricing'!$F$7:$F$56,$O1680)))</f>
        <v/>
      </c>
      <c r="N1680" s="80">
        <f>IF(AND($B1680="",$C1680="",$D1680=""),"",IF(NOT(ISNUMBER($B1680)),"Enter a valid date",IF($C1680="","Pick a menu item",IF($O1680="","Item not on Menu Pricing",IF(N($D1680)&lt;=0,"Qty must be above 0",IF($H1680="","No price on menu","OK"))))))</f>
        <v/>
      </c>
      <c r="O1680" s="13">
        <f>IF($C1680="","",IFERROR(MATCH($C1680,'Menu Pricing'!$B$7:$B$56,0),""))</f>
        <v/>
      </c>
    </row>
    <row r="1681" ht="17" customHeight="1">
      <c r="B1681" s="66" t="n"/>
      <c r="C1681" s="60" t="n"/>
      <c r="D1681" s="86" t="n"/>
      <c r="E1681" s="63" t="n"/>
      <c r="F1681" s="60" t="n"/>
      <c r="G1681" s="60" t="n"/>
      <c r="H1681" s="71">
        <f>IF(OR($C1681="",$D1681=""),"",IF(ISNUMBER($E1681),$E1681,IF($O1681="","",IF(N(INDEX('Menu Pricing'!$O$7:$O$56,$O1681))&gt;0,INDEX('Menu Pricing'!$O$7:$O$56,$O1681),""))))</f>
        <v/>
      </c>
      <c r="I1681" s="71">
        <f>IF($N1681&lt;&gt;"OK","",$D1681*$H1681)</f>
        <v/>
      </c>
      <c r="J1681" s="71">
        <f>IF($N1681&lt;&gt;"OK","",N(INDEX('Menu Pricing'!$F$7:$F$56,$O1681))+N(INDEX('Menu Pricing'!$G$7:$G$56,$O1681))+N(INDEX('Menu Pricing'!$J$7:$J$56,$O1681)))</f>
        <v/>
      </c>
      <c r="K1681" s="71">
        <f>IF($N1681&lt;&gt;"OK","",$D1681*$J1681)</f>
        <v/>
      </c>
      <c r="L1681" s="71">
        <f>IF($N1681&lt;&gt;"OK","",$I1681-$K1681)</f>
        <v/>
      </c>
      <c r="M1681" s="71">
        <f>IF($N1681&lt;&gt;"OK","",$D1681*N(INDEX('Menu Pricing'!$F$7:$F$56,$O1681)))</f>
        <v/>
      </c>
      <c r="N1681" s="80">
        <f>IF(AND($B1681="",$C1681="",$D1681=""),"",IF(NOT(ISNUMBER($B1681)),"Enter a valid date",IF($C1681="","Pick a menu item",IF($O1681="","Item not on Menu Pricing",IF(N($D1681)&lt;=0,"Qty must be above 0",IF($H1681="","No price on menu","OK"))))))</f>
        <v/>
      </c>
      <c r="O1681" s="13">
        <f>IF($C1681="","",IFERROR(MATCH($C1681,'Menu Pricing'!$B$7:$B$56,0),""))</f>
        <v/>
      </c>
    </row>
    <row r="1682" ht="17" customHeight="1">
      <c r="B1682" s="66" t="n"/>
      <c r="C1682" s="60" t="n"/>
      <c r="D1682" s="86" t="n"/>
      <c r="E1682" s="63" t="n"/>
      <c r="F1682" s="60" t="n"/>
      <c r="G1682" s="60" t="n"/>
      <c r="H1682" s="71">
        <f>IF(OR($C1682="",$D1682=""),"",IF(ISNUMBER($E1682),$E1682,IF($O1682="","",IF(N(INDEX('Menu Pricing'!$O$7:$O$56,$O1682))&gt;0,INDEX('Menu Pricing'!$O$7:$O$56,$O1682),""))))</f>
        <v/>
      </c>
      <c r="I1682" s="71">
        <f>IF($N1682&lt;&gt;"OK","",$D1682*$H1682)</f>
        <v/>
      </c>
      <c r="J1682" s="71">
        <f>IF($N1682&lt;&gt;"OK","",N(INDEX('Menu Pricing'!$F$7:$F$56,$O1682))+N(INDEX('Menu Pricing'!$G$7:$G$56,$O1682))+N(INDEX('Menu Pricing'!$J$7:$J$56,$O1682)))</f>
        <v/>
      </c>
      <c r="K1682" s="71">
        <f>IF($N1682&lt;&gt;"OK","",$D1682*$J1682)</f>
        <v/>
      </c>
      <c r="L1682" s="71">
        <f>IF($N1682&lt;&gt;"OK","",$I1682-$K1682)</f>
        <v/>
      </c>
      <c r="M1682" s="71">
        <f>IF($N1682&lt;&gt;"OK","",$D1682*N(INDEX('Menu Pricing'!$F$7:$F$56,$O1682)))</f>
        <v/>
      </c>
      <c r="N1682" s="80">
        <f>IF(AND($B1682="",$C1682="",$D1682=""),"",IF(NOT(ISNUMBER($B1682)),"Enter a valid date",IF($C1682="","Pick a menu item",IF($O1682="","Item not on Menu Pricing",IF(N($D1682)&lt;=0,"Qty must be above 0",IF($H1682="","No price on menu","OK"))))))</f>
        <v/>
      </c>
      <c r="O1682" s="13">
        <f>IF($C1682="","",IFERROR(MATCH($C1682,'Menu Pricing'!$B$7:$B$56,0),""))</f>
        <v/>
      </c>
    </row>
    <row r="1683" ht="17" customHeight="1">
      <c r="B1683" s="66" t="n"/>
      <c r="C1683" s="60" t="n"/>
      <c r="D1683" s="86" t="n"/>
      <c r="E1683" s="63" t="n"/>
      <c r="F1683" s="60" t="n"/>
      <c r="G1683" s="60" t="n"/>
      <c r="H1683" s="71">
        <f>IF(OR($C1683="",$D1683=""),"",IF(ISNUMBER($E1683),$E1683,IF($O1683="","",IF(N(INDEX('Menu Pricing'!$O$7:$O$56,$O1683))&gt;0,INDEX('Menu Pricing'!$O$7:$O$56,$O1683),""))))</f>
        <v/>
      </c>
      <c r="I1683" s="71">
        <f>IF($N1683&lt;&gt;"OK","",$D1683*$H1683)</f>
        <v/>
      </c>
      <c r="J1683" s="71">
        <f>IF($N1683&lt;&gt;"OK","",N(INDEX('Menu Pricing'!$F$7:$F$56,$O1683))+N(INDEX('Menu Pricing'!$G$7:$G$56,$O1683))+N(INDEX('Menu Pricing'!$J$7:$J$56,$O1683)))</f>
        <v/>
      </c>
      <c r="K1683" s="71">
        <f>IF($N1683&lt;&gt;"OK","",$D1683*$J1683)</f>
        <v/>
      </c>
      <c r="L1683" s="71">
        <f>IF($N1683&lt;&gt;"OK","",$I1683-$K1683)</f>
        <v/>
      </c>
      <c r="M1683" s="71">
        <f>IF($N1683&lt;&gt;"OK","",$D1683*N(INDEX('Menu Pricing'!$F$7:$F$56,$O1683)))</f>
        <v/>
      </c>
      <c r="N1683" s="80">
        <f>IF(AND($B1683="",$C1683="",$D1683=""),"",IF(NOT(ISNUMBER($B1683)),"Enter a valid date",IF($C1683="","Pick a menu item",IF($O1683="","Item not on Menu Pricing",IF(N($D1683)&lt;=0,"Qty must be above 0",IF($H1683="","No price on menu","OK"))))))</f>
        <v/>
      </c>
      <c r="O1683" s="13">
        <f>IF($C1683="","",IFERROR(MATCH($C1683,'Menu Pricing'!$B$7:$B$56,0),""))</f>
        <v/>
      </c>
    </row>
    <row r="1684" ht="17" customHeight="1">
      <c r="B1684" s="66" t="n"/>
      <c r="C1684" s="60" t="n"/>
      <c r="D1684" s="86" t="n"/>
      <c r="E1684" s="63" t="n"/>
      <c r="F1684" s="60" t="n"/>
      <c r="G1684" s="60" t="n"/>
      <c r="H1684" s="71">
        <f>IF(OR($C1684="",$D1684=""),"",IF(ISNUMBER($E1684),$E1684,IF($O1684="","",IF(N(INDEX('Menu Pricing'!$O$7:$O$56,$O1684))&gt;0,INDEX('Menu Pricing'!$O$7:$O$56,$O1684),""))))</f>
        <v/>
      </c>
      <c r="I1684" s="71">
        <f>IF($N1684&lt;&gt;"OK","",$D1684*$H1684)</f>
        <v/>
      </c>
      <c r="J1684" s="71">
        <f>IF($N1684&lt;&gt;"OK","",N(INDEX('Menu Pricing'!$F$7:$F$56,$O1684))+N(INDEX('Menu Pricing'!$G$7:$G$56,$O1684))+N(INDEX('Menu Pricing'!$J$7:$J$56,$O1684)))</f>
        <v/>
      </c>
      <c r="K1684" s="71">
        <f>IF($N1684&lt;&gt;"OK","",$D1684*$J1684)</f>
        <v/>
      </c>
      <c r="L1684" s="71">
        <f>IF($N1684&lt;&gt;"OK","",$I1684-$K1684)</f>
        <v/>
      </c>
      <c r="M1684" s="71">
        <f>IF($N1684&lt;&gt;"OK","",$D1684*N(INDEX('Menu Pricing'!$F$7:$F$56,$O1684)))</f>
        <v/>
      </c>
      <c r="N1684" s="80">
        <f>IF(AND($B1684="",$C1684="",$D1684=""),"",IF(NOT(ISNUMBER($B1684)),"Enter a valid date",IF($C1684="","Pick a menu item",IF($O1684="","Item not on Menu Pricing",IF(N($D1684)&lt;=0,"Qty must be above 0",IF($H1684="","No price on menu","OK"))))))</f>
        <v/>
      </c>
      <c r="O1684" s="13">
        <f>IF($C1684="","",IFERROR(MATCH($C1684,'Menu Pricing'!$B$7:$B$56,0),""))</f>
        <v/>
      </c>
    </row>
    <row r="1685" ht="17" customHeight="1">
      <c r="B1685" s="66" t="n"/>
      <c r="C1685" s="60" t="n"/>
      <c r="D1685" s="86" t="n"/>
      <c r="E1685" s="63" t="n"/>
      <c r="F1685" s="60" t="n"/>
      <c r="G1685" s="60" t="n"/>
      <c r="H1685" s="71">
        <f>IF(OR($C1685="",$D1685=""),"",IF(ISNUMBER($E1685),$E1685,IF($O1685="","",IF(N(INDEX('Menu Pricing'!$O$7:$O$56,$O1685))&gt;0,INDEX('Menu Pricing'!$O$7:$O$56,$O1685),""))))</f>
        <v/>
      </c>
      <c r="I1685" s="71">
        <f>IF($N1685&lt;&gt;"OK","",$D1685*$H1685)</f>
        <v/>
      </c>
      <c r="J1685" s="71">
        <f>IF($N1685&lt;&gt;"OK","",N(INDEX('Menu Pricing'!$F$7:$F$56,$O1685))+N(INDEX('Menu Pricing'!$G$7:$G$56,$O1685))+N(INDEX('Menu Pricing'!$J$7:$J$56,$O1685)))</f>
        <v/>
      </c>
      <c r="K1685" s="71">
        <f>IF($N1685&lt;&gt;"OK","",$D1685*$J1685)</f>
        <v/>
      </c>
      <c r="L1685" s="71">
        <f>IF($N1685&lt;&gt;"OK","",$I1685-$K1685)</f>
        <v/>
      </c>
      <c r="M1685" s="71">
        <f>IF($N1685&lt;&gt;"OK","",$D1685*N(INDEX('Menu Pricing'!$F$7:$F$56,$O1685)))</f>
        <v/>
      </c>
      <c r="N1685" s="80">
        <f>IF(AND($B1685="",$C1685="",$D1685=""),"",IF(NOT(ISNUMBER($B1685)),"Enter a valid date",IF($C1685="","Pick a menu item",IF($O1685="","Item not on Menu Pricing",IF(N($D1685)&lt;=0,"Qty must be above 0",IF($H1685="","No price on menu","OK"))))))</f>
        <v/>
      </c>
      <c r="O1685" s="13">
        <f>IF($C1685="","",IFERROR(MATCH($C1685,'Menu Pricing'!$B$7:$B$56,0),""))</f>
        <v/>
      </c>
    </row>
    <row r="1686" ht="17" customHeight="1">
      <c r="B1686" s="66" t="n"/>
      <c r="C1686" s="60" t="n"/>
      <c r="D1686" s="86" t="n"/>
      <c r="E1686" s="63" t="n"/>
      <c r="F1686" s="60" t="n"/>
      <c r="G1686" s="60" t="n"/>
      <c r="H1686" s="71">
        <f>IF(OR($C1686="",$D1686=""),"",IF(ISNUMBER($E1686),$E1686,IF($O1686="","",IF(N(INDEX('Menu Pricing'!$O$7:$O$56,$O1686))&gt;0,INDEX('Menu Pricing'!$O$7:$O$56,$O1686),""))))</f>
        <v/>
      </c>
      <c r="I1686" s="71">
        <f>IF($N1686&lt;&gt;"OK","",$D1686*$H1686)</f>
        <v/>
      </c>
      <c r="J1686" s="71">
        <f>IF($N1686&lt;&gt;"OK","",N(INDEX('Menu Pricing'!$F$7:$F$56,$O1686))+N(INDEX('Menu Pricing'!$G$7:$G$56,$O1686))+N(INDEX('Menu Pricing'!$J$7:$J$56,$O1686)))</f>
        <v/>
      </c>
      <c r="K1686" s="71">
        <f>IF($N1686&lt;&gt;"OK","",$D1686*$J1686)</f>
        <v/>
      </c>
      <c r="L1686" s="71">
        <f>IF($N1686&lt;&gt;"OK","",$I1686-$K1686)</f>
        <v/>
      </c>
      <c r="M1686" s="71">
        <f>IF($N1686&lt;&gt;"OK","",$D1686*N(INDEX('Menu Pricing'!$F$7:$F$56,$O1686)))</f>
        <v/>
      </c>
      <c r="N1686" s="80">
        <f>IF(AND($B1686="",$C1686="",$D1686=""),"",IF(NOT(ISNUMBER($B1686)),"Enter a valid date",IF($C1686="","Pick a menu item",IF($O1686="","Item not on Menu Pricing",IF(N($D1686)&lt;=0,"Qty must be above 0",IF($H1686="","No price on menu","OK"))))))</f>
        <v/>
      </c>
      <c r="O1686" s="13">
        <f>IF($C1686="","",IFERROR(MATCH($C1686,'Menu Pricing'!$B$7:$B$56,0),""))</f>
        <v/>
      </c>
    </row>
    <row r="1687" ht="17" customHeight="1">
      <c r="B1687" s="66" t="n"/>
      <c r="C1687" s="60" t="n"/>
      <c r="D1687" s="86" t="n"/>
      <c r="E1687" s="63" t="n"/>
      <c r="F1687" s="60" t="n"/>
      <c r="G1687" s="60" t="n"/>
      <c r="H1687" s="71">
        <f>IF(OR($C1687="",$D1687=""),"",IF(ISNUMBER($E1687),$E1687,IF($O1687="","",IF(N(INDEX('Menu Pricing'!$O$7:$O$56,$O1687))&gt;0,INDEX('Menu Pricing'!$O$7:$O$56,$O1687),""))))</f>
        <v/>
      </c>
      <c r="I1687" s="71">
        <f>IF($N1687&lt;&gt;"OK","",$D1687*$H1687)</f>
        <v/>
      </c>
      <c r="J1687" s="71">
        <f>IF($N1687&lt;&gt;"OK","",N(INDEX('Menu Pricing'!$F$7:$F$56,$O1687))+N(INDEX('Menu Pricing'!$G$7:$G$56,$O1687))+N(INDEX('Menu Pricing'!$J$7:$J$56,$O1687)))</f>
        <v/>
      </c>
      <c r="K1687" s="71">
        <f>IF($N1687&lt;&gt;"OK","",$D1687*$J1687)</f>
        <v/>
      </c>
      <c r="L1687" s="71">
        <f>IF($N1687&lt;&gt;"OK","",$I1687-$K1687)</f>
        <v/>
      </c>
      <c r="M1687" s="71">
        <f>IF($N1687&lt;&gt;"OK","",$D1687*N(INDEX('Menu Pricing'!$F$7:$F$56,$O1687)))</f>
        <v/>
      </c>
      <c r="N1687" s="80">
        <f>IF(AND($B1687="",$C1687="",$D1687=""),"",IF(NOT(ISNUMBER($B1687)),"Enter a valid date",IF($C1687="","Pick a menu item",IF($O1687="","Item not on Menu Pricing",IF(N($D1687)&lt;=0,"Qty must be above 0",IF($H1687="","No price on menu","OK"))))))</f>
        <v/>
      </c>
      <c r="O1687" s="13">
        <f>IF($C1687="","",IFERROR(MATCH($C1687,'Menu Pricing'!$B$7:$B$56,0),""))</f>
        <v/>
      </c>
    </row>
    <row r="1688" ht="17" customHeight="1">
      <c r="B1688" s="66" t="n"/>
      <c r="C1688" s="60" t="n"/>
      <c r="D1688" s="86" t="n"/>
      <c r="E1688" s="63" t="n"/>
      <c r="F1688" s="60" t="n"/>
      <c r="G1688" s="60" t="n"/>
      <c r="H1688" s="71">
        <f>IF(OR($C1688="",$D1688=""),"",IF(ISNUMBER($E1688),$E1688,IF($O1688="","",IF(N(INDEX('Menu Pricing'!$O$7:$O$56,$O1688))&gt;0,INDEX('Menu Pricing'!$O$7:$O$56,$O1688),""))))</f>
        <v/>
      </c>
      <c r="I1688" s="71">
        <f>IF($N1688&lt;&gt;"OK","",$D1688*$H1688)</f>
        <v/>
      </c>
      <c r="J1688" s="71">
        <f>IF($N1688&lt;&gt;"OK","",N(INDEX('Menu Pricing'!$F$7:$F$56,$O1688))+N(INDEX('Menu Pricing'!$G$7:$G$56,$O1688))+N(INDEX('Menu Pricing'!$J$7:$J$56,$O1688)))</f>
        <v/>
      </c>
      <c r="K1688" s="71">
        <f>IF($N1688&lt;&gt;"OK","",$D1688*$J1688)</f>
        <v/>
      </c>
      <c r="L1688" s="71">
        <f>IF($N1688&lt;&gt;"OK","",$I1688-$K1688)</f>
        <v/>
      </c>
      <c r="M1688" s="71">
        <f>IF($N1688&lt;&gt;"OK","",$D1688*N(INDEX('Menu Pricing'!$F$7:$F$56,$O1688)))</f>
        <v/>
      </c>
      <c r="N1688" s="80">
        <f>IF(AND($B1688="",$C1688="",$D1688=""),"",IF(NOT(ISNUMBER($B1688)),"Enter a valid date",IF($C1688="","Pick a menu item",IF($O1688="","Item not on Menu Pricing",IF(N($D1688)&lt;=0,"Qty must be above 0",IF($H1688="","No price on menu","OK"))))))</f>
        <v/>
      </c>
      <c r="O1688" s="13">
        <f>IF($C1688="","",IFERROR(MATCH($C1688,'Menu Pricing'!$B$7:$B$56,0),""))</f>
        <v/>
      </c>
    </row>
    <row r="1689" ht="17" customHeight="1">
      <c r="B1689" s="66" t="n"/>
      <c r="C1689" s="60" t="n"/>
      <c r="D1689" s="86" t="n"/>
      <c r="E1689" s="63" t="n"/>
      <c r="F1689" s="60" t="n"/>
      <c r="G1689" s="60" t="n"/>
      <c r="H1689" s="71">
        <f>IF(OR($C1689="",$D1689=""),"",IF(ISNUMBER($E1689),$E1689,IF($O1689="","",IF(N(INDEX('Menu Pricing'!$O$7:$O$56,$O1689))&gt;0,INDEX('Menu Pricing'!$O$7:$O$56,$O1689),""))))</f>
        <v/>
      </c>
      <c r="I1689" s="71">
        <f>IF($N1689&lt;&gt;"OK","",$D1689*$H1689)</f>
        <v/>
      </c>
      <c r="J1689" s="71">
        <f>IF($N1689&lt;&gt;"OK","",N(INDEX('Menu Pricing'!$F$7:$F$56,$O1689))+N(INDEX('Menu Pricing'!$G$7:$G$56,$O1689))+N(INDEX('Menu Pricing'!$J$7:$J$56,$O1689)))</f>
        <v/>
      </c>
      <c r="K1689" s="71">
        <f>IF($N1689&lt;&gt;"OK","",$D1689*$J1689)</f>
        <v/>
      </c>
      <c r="L1689" s="71">
        <f>IF($N1689&lt;&gt;"OK","",$I1689-$K1689)</f>
        <v/>
      </c>
      <c r="M1689" s="71">
        <f>IF($N1689&lt;&gt;"OK","",$D1689*N(INDEX('Menu Pricing'!$F$7:$F$56,$O1689)))</f>
        <v/>
      </c>
      <c r="N1689" s="80">
        <f>IF(AND($B1689="",$C1689="",$D1689=""),"",IF(NOT(ISNUMBER($B1689)),"Enter a valid date",IF($C1689="","Pick a menu item",IF($O1689="","Item not on Menu Pricing",IF(N($D1689)&lt;=0,"Qty must be above 0",IF($H1689="","No price on menu","OK"))))))</f>
        <v/>
      </c>
      <c r="O1689" s="13">
        <f>IF($C1689="","",IFERROR(MATCH($C1689,'Menu Pricing'!$B$7:$B$56,0),""))</f>
        <v/>
      </c>
    </row>
    <row r="1690" ht="17" customHeight="1">
      <c r="B1690" s="66" t="n"/>
      <c r="C1690" s="60" t="n"/>
      <c r="D1690" s="86" t="n"/>
      <c r="E1690" s="63" t="n"/>
      <c r="F1690" s="60" t="n"/>
      <c r="G1690" s="60" t="n"/>
      <c r="H1690" s="71">
        <f>IF(OR($C1690="",$D1690=""),"",IF(ISNUMBER($E1690),$E1690,IF($O1690="","",IF(N(INDEX('Menu Pricing'!$O$7:$O$56,$O1690))&gt;0,INDEX('Menu Pricing'!$O$7:$O$56,$O1690),""))))</f>
        <v/>
      </c>
      <c r="I1690" s="71">
        <f>IF($N1690&lt;&gt;"OK","",$D1690*$H1690)</f>
        <v/>
      </c>
      <c r="J1690" s="71">
        <f>IF($N1690&lt;&gt;"OK","",N(INDEX('Menu Pricing'!$F$7:$F$56,$O1690))+N(INDEX('Menu Pricing'!$G$7:$G$56,$O1690))+N(INDEX('Menu Pricing'!$J$7:$J$56,$O1690)))</f>
        <v/>
      </c>
      <c r="K1690" s="71">
        <f>IF($N1690&lt;&gt;"OK","",$D1690*$J1690)</f>
        <v/>
      </c>
      <c r="L1690" s="71">
        <f>IF($N1690&lt;&gt;"OK","",$I1690-$K1690)</f>
        <v/>
      </c>
      <c r="M1690" s="71">
        <f>IF($N1690&lt;&gt;"OK","",$D1690*N(INDEX('Menu Pricing'!$F$7:$F$56,$O1690)))</f>
        <v/>
      </c>
      <c r="N1690" s="80">
        <f>IF(AND($B1690="",$C1690="",$D1690=""),"",IF(NOT(ISNUMBER($B1690)),"Enter a valid date",IF($C1690="","Pick a menu item",IF($O1690="","Item not on Menu Pricing",IF(N($D1690)&lt;=0,"Qty must be above 0",IF($H1690="","No price on menu","OK"))))))</f>
        <v/>
      </c>
      <c r="O1690" s="13">
        <f>IF($C1690="","",IFERROR(MATCH($C1690,'Menu Pricing'!$B$7:$B$56,0),""))</f>
        <v/>
      </c>
    </row>
    <row r="1691" ht="17" customHeight="1">
      <c r="B1691" s="66" t="n"/>
      <c r="C1691" s="60" t="n"/>
      <c r="D1691" s="86" t="n"/>
      <c r="E1691" s="63" t="n"/>
      <c r="F1691" s="60" t="n"/>
      <c r="G1691" s="60" t="n"/>
      <c r="H1691" s="71">
        <f>IF(OR($C1691="",$D1691=""),"",IF(ISNUMBER($E1691),$E1691,IF($O1691="","",IF(N(INDEX('Menu Pricing'!$O$7:$O$56,$O1691))&gt;0,INDEX('Menu Pricing'!$O$7:$O$56,$O1691),""))))</f>
        <v/>
      </c>
      <c r="I1691" s="71">
        <f>IF($N1691&lt;&gt;"OK","",$D1691*$H1691)</f>
        <v/>
      </c>
      <c r="J1691" s="71">
        <f>IF($N1691&lt;&gt;"OK","",N(INDEX('Menu Pricing'!$F$7:$F$56,$O1691))+N(INDEX('Menu Pricing'!$G$7:$G$56,$O1691))+N(INDEX('Menu Pricing'!$J$7:$J$56,$O1691)))</f>
        <v/>
      </c>
      <c r="K1691" s="71">
        <f>IF($N1691&lt;&gt;"OK","",$D1691*$J1691)</f>
        <v/>
      </c>
      <c r="L1691" s="71">
        <f>IF($N1691&lt;&gt;"OK","",$I1691-$K1691)</f>
        <v/>
      </c>
      <c r="M1691" s="71">
        <f>IF($N1691&lt;&gt;"OK","",$D1691*N(INDEX('Menu Pricing'!$F$7:$F$56,$O1691)))</f>
        <v/>
      </c>
      <c r="N1691" s="80">
        <f>IF(AND($B1691="",$C1691="",$D1691=""),"",IF(NOT(ISNUMBER($B1691)),"Enter a valid date",IF($C1691="","Pick a menu item",IF($O1691="","Item not on Menu Pricing",IF(N($D1691)&lt;=0,"Qty must be above 0",IF($H1691="","No price on menu","OK"))))))</f>
        <v/>
      </c>
      <c r="O1691" s="13">
        <f>IF($C1691="","",IFERROR(MATCH($C1691,'Menu Pricing'!$B$7:$B$56,0),""))</f>
        <v/>
      </c>
    </row>
    <row r="1692" ht="17" customHeight="1">
      <c r="B1692" s="66" t="n"/>
      <c r="C1692" s="60" t="n"/>
      <c r="D1692" s="86" t="n"/>
      <c r="E1692" s="63" t="n"/>
      <c r="F1692" s="60" t="n"/>
      <c r="G1692" s="60" t="n"/>
      <c r="H1692" s="71">
        <f>IF(OR($C1692="",$D1692=""),"",IF(ISNUMBER($E1692),$E1692,IF($O1692="","",IF(N(INDEX('Menu Pricing'!$O$7:$O$56,$O1692))&gt;0,INDEX('Menu Pricing'!$O$7:$O$56,$O1692),""))))</f>
        <v/>
      </c>
      <c r="I1692" s="71">
        <f>IF($N1692&lt;&gt;"OK","",$D1692*$H1692)</f>
        <v/>
      </c>
      <c r="J1692" s="71">
        <f>IF($N1692&lt;&gt;"OK","",N(INDEX('Menu Pricing'!$F$7:$F$56,$O1692))+N(INDEX('Menu Pricing'!$G$7:$G$56,$O1692))+N(INDEX('Menu Pricing'!$J$7:$J$56,$O1692)))</f>
        <v/>
      </c>
      <c r="K1692" s="71">
        <f>IF($N1692&lt;&gt;"OK","",$D1692*$J1692)</f>
        <v/>
      </c>
      <c r="L1692" s="71">
        <f>IF($N1692&lt;&gt;"OK","",$I1692-$K1692)</f>
        <v/>
      </c>
      <c r="M1692" s="71">
        <f>IF($N1692&lt;&gt;"OK","",$D1692*N(INDEX('Menu Pricing'!$F$7:$F$56,$O1692)))</f>
        <v/>
      </c>
      <c r="N1692" s="80">
        <f>IF(AND($B1692="",$C1692="",$D1692=""),"",IF(NOT(ISNUMBER($B1692)),"Enter a valid date",IF($C1692="","Pick a menu item",IF($O1692="","Item not on Menu Pricing",IF(N($D1692)&lt;=0,"Qty must be above 0",IF($H1692="","No price on menu","OK"))))))</f>
        <v/>
      </c>
      <c r="O1692" s="13">
        <f>IF($C1692="","",IFERROR(MATCH($C1692,'Menu Pricing'!$B$7:$B$56,0),""))</f>
        <v/>
      </c>
    </row>
    <row r="1693" ht="17" customHeight="1">
      <c r="B1693" s="66" t="n"/>
      <c r="C1693" s="60" t="n"/>
      <c r="D1693" s="86" t="n"/>
      <c r="E1693" s="63" t="n"/>
      <c r="F1693" s="60" t="n"/>
      <c r="G1693" s="60" t="n"/>
      <c r="H1693" s="71">
        <f>IF(OR($C1693="",$D1693=""),"",IF(ISNUMBER($E1693),$E1693,IF($O1693="","",IF(N(INDEX('Menu Pricing'!$O$7:$O$56,$O1693))&gt;0,INDEX('Menu Pricing'!$O$7:$O$56,$O1693),""))))</f>
        <v/>
      </c>
      <c r="I1693" s="71">
        <f>IF($N1693&lt;&gt;"OK","",$D1693*$H1693)</f>
        <v/>
      </c>
      <c r="J1693" s="71">
        <f>IF($N1693&lt;&gt;"OK","",N(INDEX('Menu Pricing'!$F$7:$F$56,$O1693))+N(INDEX('Menu Pricing'!$G$7:$G$56,$O1693))+N(INDEX('Menu Pricing'!$J$7:$J$56,$O1693)))</f>
        <v/>
      </c>
      <c r="K1693" s="71">
        <f>IF($N1693&lt;&gt;"OK","",$D1693*$J1693)</f>
        <v/>
      </c>
      <c r="L1693" s="71">
        <f>IF($N1693&lt;&gt;"OK","",$I1693-$K1693)</f>
        <v/>
      </c>
      <c r="M1693" s="71">
        <f>IF($N1693&lt;&gt;"OK","",$D1693*N(INDEX('Menu Pricing'!$F$7:$F$56,$O1693)))</f>
        <v/>
      </c>
      <c r="N1693" s="80">
        <f>IF(AND($B1693="",$C1693="",$D1693=""),"",IF(NOT(ISNUMBER($B1693)),"Enter a valid date",IF($C1693="","Pick a menu item",IF($O1693="","Item not on Menu Pricing",IF(N($D1693)&lt;=0,"Qty must be above 0",IF($H1693="","No price on menu","OK"))))))</f>
        <v/>
      </c>
      <c r="O1693" s="13">
        <f>IF($C1693="","",IFERROR(MATCH($C1693,'Menu Pricing'!$B$7:$B$56,0),""))</f>
        <v/>
      </c>
    </row>
    <row r="1694" ht="17" customHeight="1">
      <c r="B1694" s="66" t="n"/>
      <c r="C1694" s="60" t="n"/>
      <c r="D1694" s="86" t="n"/>
      <c r="E1694" s="63" t="n"/>
      <c r="F1694" s="60" t="n"/>
      <c r="G1694" s="60" t="n"/>
      <c r="H1694" s="71">
        <f>IF(OR($C1694="",$D1694=""),"",IF(ISNUMBER($E1694),$E1694,IF($O1694="","",IF(N(INDEX('Menu Pricing'!$O$7:$O$56,$O1694))&gt;0,INDEX('Menu Pricing'!$O$7:$O$56,$O1694),""))))</f>
        <v/>
      </c>
      <c r="I1694" s="71">
        <f>IF($N1694&lt;&gt;"OK","",$D1694*$H1694)</f>
        <v/>
      </c>
      <c r="J1694" s="71">
        <f>IF($N1694&lt;&gt;"OK","",N(INDEX('Menu Pricing'!$F$7:$F$56,$O1694))+N(INDEX('Menu Pricing'!$G$7:$G$56,$O1694))+N(INDEX('Menu Pricing'!$J$7:$J$56,$O1694)))</f>
        <v/>
      </c>
      <c r="K1694" s="71">
        <f>IF($N1694&lt;&gt;"OK","",$D1694*$J1694)</f>
        <v/>
      </c>
      <c r="L1694" s="71">
        <f>IF($N1694&lt;&gt;"OK","",$I1694-$K1694)</f>
        <v/>
      </c>
      <c r="M1694" s="71">
        <f>IF($N1694&lt;&gt;"OK","",$D1694*N(INDEX('Menu Pricing'!$F$7:$F$56,$O1694)))</f>
        <v/>
      </c>
      <c r="N1694" s="80">
        <f>IF(AND($B1694="",$C1694="",$D1694=""),"",IF(NOT(ISNUMBER($B1694)),"Enter a valid date",IF($C1694="","Pick a menu item",IF($O1694="","Item not on Menu Pricing",IF(N($D1694)&lt;=0,"Qty must be above 0",IF($H1694="","No price on menu","OK"))))))</f>
        <v/>
      </c>
      <c r="O1694" s="13">
        <f>IF($C1694="","",IFERROR(MATCH($C1694,'Menu Pricing'!$B$7:$B$56,0),""))</f>
        <v/>
      </c>
    </row>
    <row r="1695" ht="17" customHeight="1">
      <c r="B1695" s="66" t="n"/>
      <c r="C1695" s="60" t="n"/>
      <c r="D1695" s="86" t="n"/>
      <c r="E1695" s="63" t="n"/>
      <c r="F1695" s="60" t="n"/>
      <c r="G1695" s="60" t="n"/>
      <c r="H1695" s="71">
        <f>IF(OR($C1695="",$D1695=""),"",IF(ISNUMBER($E1695),$E1695,IF($O1695="","",IF(N(INDEX('Menu Pricing'!$O$7:$O$56,$O1695))&gt;0,INDEX('Menu Pricing'!$O$7:$O$56,$O1695),""))))</f>
        <v/>
      </c>
      <c r="I1695" s="71">
        <f>IF($N1695&lt;&gt;"OK","",$D1695*$H1695)</f>
        <v/>
      </c>
      <c r="J1695" s="71">
        <f>IF($N1695&lt;&gt;"OK","",N(INDEX('Menu Pricing'!$F$7:$F$56,$O1695))+N(INDEX('Menu Pricing'!$G$7:$G$56,$O1695))+N(INDEX('Menu Pricing'!$J$7:$J$56,$O1695)))</f>
        <v/>
      </c>
      <c r="K1695" s="71">
        <f>IF($N1695&lt;&gt;"OK","",$D1695*$J1695)</f>
        <v/>
      </c>
      <c r="L1695" s="71">
        <f>IF($N1695&lt;&gt;"OK","",$I1695-$K1695)</f>
        <v/>
      </c>
      <c r="M1695" s="71">
        <f>IF($N1695&lt;&gt;"OK","",$D1695*N(INDEX('Menu Pricing'!$F$7:$F$56,$O1695)))</f>
        <v/>
      </c>
      <c r="N1695" s="80">
        <f>IF(AND($B1695="",$C1695="",$D1695=""),"",IF(NOT(ISNUMBER($B1695)),"Enter a valid date",IF($C1695="","Pick a menu item",IF($O1695="","Item not on Menu Pricing",IF(N($D1695)&lt;=0,"Qty must be above 0",IF($H1695="","No price on menu","OK"))))))</f>
        <v/>
      </c>
      <c r="O1695" s="13">
        <f>IF($C1695="","",IFERROR(MATCH($C1695,'Menu Pricing'!$B$7:$B$56,0),""))</f>
        <v/>
      </c>
    </row>
    <row r="1696" ht="17" customHeight="1">
      <c r="B1696" s="66" t="n"/>
      <c r="C1696" s="60" t="n"/>
      <c r="D1696" s="86" t="n"/>
      <c r="E1696" s="63" t="n"/>
      <c r="F1696" s="60" t="n"/>
      <c r="G1696" s="60" t="n"/>
      <c r="H1696" s="71">
        <f>IF(OR($C1696="",$D1696=""),"",IF(ISNUMBER($E1696),$E1696,IF($O1696="","",IF(N(INDEX('Menu Pricing'!$O$7:$O$56,$O1696))&gt;0,INDEX('Menu Pricing'!$O$7:$O$56,$O1696),""))))</f>
        <v/>
      </c>
      <c r="I1696" s="71">
        <f>IF($N1696&lt;&gt;"OK","",$D1696*$H1696)</f>
        <v/>
      </c>
      <c r="J1696" s="71">
        <f>IF($N1696&lt;&gt;"OK","",N(INDEX('Menu Pricing'!$F$7:$F$56,$O1696))+N(INDEX('Menu Pricing'!$G$7:$G$56,$O1696))+N(INDEX('Menu Pricing'!$J$7:$J$56,$O1696)))</f>
        <v/>
      </c>
      <c r="K1696" s="71">
        <f>IF($N1696&lt;&gt;"OK","",$D1696*$J1696)</f>
        <v/>
      </c>
      <c r="L1696" s="71">
        <f>IF($N1696&lt;&gt;"OK","",$I1696-$K1696)</f>
        <v/>
      </c>
      <c r="M1696" s="71">
        <f>IF($N1696&lt;&gt;"OK","",$D1696*N(INDEX('Menu Pricing'!$F$7:$F$56,$O1696)))</f>
        <v/>
      </c>
      <c r="N1696" s="80">
        <f>IF(AND($B1696="",$C1696="",$D1696=""),"",IF(NOT(ISNUMBER($B1696)),"Enter a valid date",IF($C1696="","Pick a menu item",IF($O1696="","Item not on Menu Pricing",IF(N($D1696)&lt;=0,"Qty must be above 0",IF($H1696="","No price on menu","OK"))))))</f>
        <v/>
      </c>
      <c r="O1696" s="13">
        <f>IF($C1696="","",IFERROR(MATCH($C1696,'Menu Pricing'!$B$7:$B$56,0),""))</f>
        <v/>
      </c>
    </row>
    <row r="1697" ht="17" customHeight="1">
      <c r="B1697" s="66" t="n"/>
      <c r="C1697" s="60" t="n"/>
      <c r="D1697" s="86" t="n"/>
      <c r="E1697" s="63" t="n"/>
      <c r="F1697" s="60" t="n"/>
      <c r="G1697" s="60" t="n"/>
      <c r="H1697" s="71">
        <f>IF(OR($C1697="",$D1697=""),"",IF(ISNUMBER($E1697),$E1697,IF($O1697="","",IF(N(INDEX('Menu Pricing'!$O$7:$O$56,$O1697))&gt;0,INDEX('Menu Pricing'!$O$7:$O$56,$O1697),""))))</f>
        <v/>
      </c>
      <c r="I1697" s="71">
        <f>IF($N1697&lt;&gt;"OK","",$D1697*$H1697)</f>
        <v/>
      </c>
      <c r="J1697" s="71">
        <f>IF($N1697&lt;&gt;"OK","",N(INDEX('Menu Pricing'!$F$7:$F$56,$O1697))+N(INDEX('Menu Pricing'!$G$7:$G$56,$O1697))+N(INDEX('Menu Pricing'!$J$7:$J$56,$O1697)))</f>
        <v/>
      </c>
      <c r="K1697" s="71">
        <f>IF($N1697&lt;&gt;"OK","",$D1697*$J1697)</f>
        <v/>
      </c>
      <c r="L1697" s="71">
        <f>IF($N1697&lt;&gt;"OK","",$I1697-$K1697)</f>
        <v/>
      </c>
      <c r="M1697" s="71">
        <f>IF($N1697&lt;&gt;"OK","",$D1697*N(INDEX('Menu Pricing'!$F$7:$F$56,$O1697)))</f>
        <v/>
      </c>
      <c r="N1697" s="80">
        <f>IF(AND($B1697="",$C1697="",$D1697=""),"",IF(NOT(ISNUMBER($B1697)),"Enter a valid date",IF($C1697="","Pick a menu item",IF($O1697="","Item not on Menu Pricing",IF(N($D1697)&lt;=0,"Qty must be above 0",IF($H1697="","No price on menu","OK"))))))</f>
        <v/>
      </c>
      <c r="O1697" s="13">
        <f>IF($C1697="","",IFERROR(MATCH($C1697,'Menu Pricing'!$B$7:$B$56,0),""))</f>
        <v/>
      </c>
    </row>
    <row r="1698" ht="17" customHeight="1">
      <c r="B1698" s="66" t="n"/>
      <c r="C1698" s="60" t="n"/>
      <c r="D1698" s="86" t="n"/>
      <c r="E1698" s="63" t="n"/>
      <c r="F1698" s="60" t="n"/>
      <c r="G1698" s="60" t="n"/>
      <c r="H1698" s="71">
        <f>IF(OR($C1698="",$D1698=""),"",IF(ISNUMBER($E1698),$E1698,IF($O1698="","",IF(N(INDEX('Menu Pricing'!$O$7:$O$56,$O1698))&gt;0,INDEX('Menu Pricing'!$O$7:$O$56,$O1698),""))))</f>
        <v/>
      </c>
      <c r="I1698" s="71">
        <f>IF($N1698&lt;&gt;"OK","",$D1698*$H1698)</f>
        <v/>
      </c>
      <c r="J1698" s="71">
        <f>IF($N1698&lt;&gt;"OK","",N(INDEX('Menu Pricing'!$F$7:$F$56,$O1698))+N(INDEX('Menu Pricing'!$G$7:$G$56,$O1698))+N(INDEX('Menu Pricing'!$J$7:$J$56,$O1698)))</f>
        <v/>
      </c>
      <c r="K1698" s="71">
        <f>IF($N1698&lt;&gt;"OK","",$D1698*$J1698)</f>
        <v/>
      </c>
      <c r="L1698" s="71">
        <f>IF($N1698&lt;&gt;"OK","",$I1698-$K1698)</f>
        <v/>
      </c>
      <c r="M1698" s="71">
        <f>IF($N1698&lt;&gt;"OK","",$D1698*N(INDEX('Menu Pricing'!$F$7:$F$56,$O1698)))</f>
        <v/>
      </c>
      <c r="N1698" s="80">
        <f>IF(AND($B1698="",$C1698="",$D1698=""),"",IF(NOT(ISNUMBER($B1698)),"Enter a valid date",IF($C1698="","Pick a menu item",IF($O1698="","Item not on Menu Pricing",IF(N($D1698)&lt;=0,"Qty must be above 0",IF($H1698="","No price on menu","OK"))))))</f>
        <v/>
      </c>
      <c r="O1698" s="13">
        <f>IF($C1698="","",IFERROR(MATCH($C1698,'Menu Pricing'!$B$7:$B$56,0),""))</f>
        <v/>
      </c>
    </row>
    <row r="1699" ht="17" customHeight="1">
      <c r="B1699" s="66" t="n"/>
      <c r="C1699" s="60" t="n"/>
      <c r="D1699" s="86" t="n"/>
      <c r="E1699" s="63" t="n"/>
      <c r="F1699" s="60" t="n"/>
      <c r="G1699" s="60" t="n"/>
      <c r="H1699" s="71">
        <f>IF(OR($C1699="",$D1699=""),"",IF(ISNUMBER($E1699),$E1699,IF($O1699="","",IF(N(INDEX('Menu Pricing'!$O$7:$O$56,$O1699))&gt;0,INDEX('Menu Pricing'!$O$7:$O$56,$O1699),""))))</f>
        <v/>
      </c>
      <c r="I1699" s="71">
        <f>IF($N1699&lt;&gt;"OK","",$D1699*$H1699)</f>
        <v/>
      </c>
      <c r="J1699" s="71">
        <f>IF($N1699&lt;&gt;"OK","",N(INDEX('Menu Pricing'!$F$7:$F$56,$O1699))+N(INDEX('Menu Pricing'!$G$7:$G$56,$O1699))+N(INDEX('Menu Pricing'!$J$7:$J$56,$O1699)))</f>
        <v/>
      </c>
      <c r="K1699" s="71">
        <f>IF($N1699&lt;&gt;"OK","",$D1699*$J1699)</f>
        <v/>
      </c>
      <c r="L1699" s="71">
        <f>IF($N1699&lt;&gt;"OK","",$I1699-$K1699)</f>
        <v/>
      </c>
      <c r="M1699" s="71">
        <f>IF($N1699&lt;&gt;"OK","",$D1699*N(INDEX('Menu Pricing'!$F$7:$F$56,$O1699)))</f>
        <v/>
      </c>
      <c r="N1699" s="80">
        <f>IF(AND($B1699="",$C1699="",$D1699=""),"",IF(NOT(ISNUMBER($B1699)),"Enter a valid date",IF($C1699="","Pick a menu item",IF($O1699="","Item not on Menu Pricing",IF(N($D1699)&lt;=0,"Qty must be above 0",IF($H1699="","No price on menu","OK"))))))</f>
        <v/>
      </c>
      <c r="O1699" s="13">
        <f>IF($C1699="","",IFERROR(MATCH($C1699,'Menu Pricing'!$B$7:$B$56,0),""))</f>
        <v/>
      </c>
    </row>
    <row r="1700" ht="17" customHeight="1">
      <c r="B1700" s="66" t="n"/>
      <c r="C1700" s="60" t="n"/>
      <c r="D1700" s="86" t="n"/>
      <c r="E1700" s="63" t="n"/>
      <c r="F1700" s="60" t="n"/>
      <c r="G1700" s="60" t="n"/>
      <c r="H1700" s="71">
        <f>IF(OR($C1700="",$D1700=""),"",IF(ISNUMBER($E1700),$E1700,IF($O1700="","",IF(N(INDEX('Menu Pricing'!$O$7:$O$56,$O1700))&gt;0,INDEX('Menu Pricing'!$O$7:$O$56,$O1700),""))))</f>
        <v/>
      </c>
      <c r="I1700" s="71">
        <f>IF($N1700&lt;&gt;"OK","",$D1700*$H1700)</f>
        <v/>
      </c>
      <c r="J1700" s="71">
        <f>IF($N1700&lt;&gt;"OK","",N(INDEX('Menu Pricing'!$F$7:$F$56,$O1700))+N(INDEX('Menu Pricing'!$G$7:$G$56,$O1700))+N(INDEX('Menu Pricing'!$J$7:$J$56,$O1700)))</f>
        <v/>
      </c>
      <c r="K1700" s="71">
        <f>IF($N1700&lt;&gt;"OK","",$D1700*$J1700)</f>
        <v/>
      </c>
      <c r="L1700" s="71">
        <f>IF($N1700&lt;&gt;"OK","",$I1700-$K1700)</f>
        <v/>
      </c>
      <c r="M1700" s="71">
        <f>IF($N1700&lt;&gt;"OK","",$D1700*N(INDEX('Menu Pricing'!$F$7:$F$56,$O1700)))</f>
        <v/>
      </c>
      <c r="N1700" s="80">
        <f>IF(AND($B1700="",$C1700="",$D1700=""),"",IF(NOT(ISNUMBER($B1700)),"Enter a valid date",IF($C1700="","Pick a menu item",IF($O1700="","Item not on Menu Pricing",IF(N($D1700)&lt;=0,"Qty must be above 0",IF($H1700="","No price on menu","OK"))))))</f>
        <v/>
      </c>
      <c r="O1700" s="13">
        <f>IF($C1700="","",IFERROR(MATCH($C1700,'Menu Pricing'!$B$7:$B$56,0),""))</f>
        <v/>
      </c>
    </row>
    <row r="1701" ht="17" customHeight="1">
      <c r="B1701" s="66" t="n"/>
      <c r="C1701" s="60" t="n"/>
      <c r="D1701" s="86" t="n"/>
      <c r="E1701" s="63" t="n"/>
      <c r="F1701" s="60" t="n"/>
      <c r="G1701" s="60" t="n"/>
      <c r="H1701" s="71">
        <f>IF(OR($C1701="",$D1701=""),"",IF(ISNUMBER($E1701),$E1701,IF($O1701="","",IF(N(INDEX('Menu Pricing'!$O$7:$O$56,$O1701))&gt;0,INDEX('Menu Pricing'!$O$7:$O$56,$O1701),""))))</f>
        <v/>
      </c>
      <c r="I1701" s="71">
        <f>IF($N1701&lt;&gt;"OK","",$D1701*$H1701)</f>
        <v/>
      </c>
      <c r="J1701" s="71">
        <f>IF($N1701&lt;&gt;"OK","",N(INDEX('Menu Pricing'!$F$7:$F$56,$O1701))+N(INDEX('Menu Pricing'!$G$7:$G$56,$O1701))+N(INDEX('Menu Pricing'!$J$7:$J$56,$O1701)))</f>
        <v/>
      </c>
      <c r="K1701" s="71">
        <f>IF($N1701&lt;&gt;"OK","",$D1701*$J1701)</f>
        <v/>
      </c>
      <c r="L1701" s="71">
        <f>IF($N1701&lt;&gt;"OK","",$I1701-$K1701)</f>
        <v/>
      </c>
      <c r="M1701" s="71">
        <f>IF($N1701&lt;&gt;"OK","",$D1701*N(INDEX('Menu Pricing'!$F$7:$F$56,$O1701)))</f>
        <v/>
      </c>
      <c r="N1701" s="80">
        <f>IF(AND($B1701="",$C1701="",$D1701=""),"",IF(NOT(ISNUMBER($B1701)),"Enter a valid date",IF($C1701="","Pick a menu item",IF($O1701="","Item not on Menu Pricing",IF(N($D1701)&lt;=0,"Qty must be above 0",IF($H1701="","No price on menu","OK"))))))</f>
        <v/>
      </c>
      <c r="O1701" s="13">
        <f>IF($C1701="","",IFERROR(MATCH($C1701,'Menu Pricing'!$B$7:$B$56,0),""))</f>
        <v/>
      </c>
    </row>
    <row r="1702" ht="17" customHeight="1">
      <c r="B1702" s="66" t="n"/>
      <c r="C1702" s="60" t="n"/>
      <c r="D1702" s="86" t="n"/>
      <c r="E1702" s="63" t="n"/>
      <c r="F1702" s="60" t="n"/>
      <c r="G1702" s="60" t="n"/>
      <c r="H1702" s="71">
        <f>IF(OR($C1702="",$D1702=""),"",IF(ISNUMBER($E1702),$E1702,IF($O1702="","",IF(N(INDEX('Menu Pricing'!$O$7:$O$56,$O1702))&gt;0,INDEX('Menu Pricing'!$O$7:$O$56,$O1702),""))))</f>
        <v/>
      </c>
      <c r="I1702" s="71">
        <f>IF($N1702&lt;&gt;"OK","",$D1702*$H1702)</f>
        <v/>
      </c>
      <c r="J1702" s="71">
        <f>IF($N1702&lt;&gt;"OK","",N(INDEX('Menu Pricing'!$F$7:$F$56,$O1702))+N(INDEX('Menu Pricing'!$G$7:$G$56,$O1702))+N(INDEX('Menu Pricing'!$J$7:$J$56,$O1702)))</f>
        <v/>
      </c>
      <c r="K1702" s="71">
        <f>IF($N1702&lt;&gt;"OK","",$D1702*$J1702)</f>
        <v/>
      </c>
      <c r="L1702" s="71">
        <f>IF($N1702&lt;&gt;"OK","",$I1702-$K1702)</f>
        <v/>
      </c>
      <c r="M1702" s="71">
        <f>IF($N1702&lt;&gt;"OK","",$D1702*N(INDEX('Menu Pricing'!$F$7:$F$56,$O1702)))</f>
        <v/>
      </c>
      <c r="N1702" s="80">
        <f>IF(AND($B1702="",$C1702="",$D1702=""),"",IF(NOT(ISNUMBER($B1702)),"Enter a valid date",IF($C1702="","Pick a menu item",IF($O1702="","Item not on Menu Pricing",IF(N($D1702)&lt;=0,"Qty must be above 0",IF($H1702="","No price on menu","OK"))))))</f>
        <v/>
      </c>
      <c r="O1702" s="13">
        <f>IF($C1702="","",IFERROR(MATCH($C1702,'Menu Pricing'!$B$7:$B$56,0),""))</f>
        <v/>
      </c>
    </row>
    <row r="1703" ht="17" customHeight="1">
      <c r="B1703" s="66" t="n"/>
      <c r="C1703" s="60" t="n"/>
      <c r="D1703" s="86" t="n"/>
      <c r="E1703" s="63" t="n"/>
      <c r="F1703" s="60" t="n"/>
      <c r="G1703" s="60" t="n"/>
      <c r="H1703" s="71">
        <f>IF(OR($C1703="",$D1703=""),"",IF(ISNUMBER($E1703),$E1703,IF($O1703="","",IF(N(INDEX('Menu Pricing'!$O$7:$O$56,$O1703))&gt;0,INDEX('Menu Pricing'!$O$7:$O$56,$O1703),""))))</f>
        <v/>
      </c>
      <c r="I1703" s="71">
        <f>IF($N1703&lt;&gt;"OK","",$D1703*$H1703)</f>
        <v/>
      </c>
      <c r="J1703" s="71">
        <f>IF($N1703&lt;&gt;"OK","",N(INDEX('Menu Pricing'!$F$7:$F$56,$O1703))+N(INDEX('Menu Pricing'!$G$7:$G$56,$O1703))+N(INDEX('Menu Pricing'!$J$7:$J$56,$O1703)))</f>
        <v/>
      </c>
      <c r="K1703" s="71">
        <f>IF($N1703&lt;&gt;"OK","",$D1703*$J1703)</f>
        <v/>
      </c>
      <c r="L1703" s="71">
        <f>IF($N1703&lt;&gt;"OK","",$I1703-$K1703)</f>
        <v/>
      </c>
      <c r="M1703" s="71">
        <f>IF($N1703&lt;&gt;"OK","",$D1703*N(INDEX('Menu Pricing'!$F$7:$F$56,$O1703)))</f>
        <v/>
      </c>
      <c r="N1703" s="80">
        <f>IF(AND($B1703="",$C1703="",$D1703=""),"",IF(NOT(ISNUMBER($B1703)),"Enter a valid date",IF($C1703="","Pick a menu item",IF($O1703="","Item not on Menu Pricing",IF(N($D1703)&lt;=0,"Qty must be above 0",IF($H1703="","No price on menu","OK"))))))</f>
        <v/>
      </c>
      <c r="O1703" s="13">
        <f>IF($C1703="","",IFERROR(MATCH($C1703,'Menu Pricing'!$B$7:$B$56,0),""))</f>
        <v/>
      </c>
    </row>
    <row r="1704" ht="17" customHeight="1">
      <c r="B1704" s="66" t="n"/>
      <c r="C1704" s="60" t="n"/>
      <c r="D1704" s="86" t="n"/>
      <c r="E1704" s="63" t="n"/>
      <c r="F1704" s="60" t="n"/>
      <c r="G1704" s="60" t="n"/>
      <c r="H1704" s="71">
        <f>IF(OR($C1704="",$D1704=""),"",IF(ISNUMBER($E1704),$E1704,IF($O1704="","",IF(N(INDEX('Menu Pricing'!$O$7:$O$56,$O1704))&gt;0,INDEX('Menu Pricing'!$O$7:$O$56,$O1704),""))))</f>
        <v/>
      </c>
      <c r="I1704" s="71">
        <f>IF($N1704&lt;&gt;"OK","",$D1704*$H1704)</f>
        <v/>
      </c>
      <c r="J1704" s="71">
        <f>IF($N1704&lt;&gt;"OK","",N(INDEX('Menu Pricing'!$F$7:$F$56,$O1704))+N(INDEX('Menu Pricing'!$G$7:$G$56,$O1704))+N(INDEX('Menu Pricing'!$J$7:$J$56,$O1704)))</f>
        <v/>
      </c>
      <c r="K1704" s="71">
        <f>IF($N1704&lt;&gt;"OK","",$D1704*$J1704)</f>
        <v/>
      </c>
      <c r="L1704" s="71">
        <f>IF($N1704&lt;&gt;"OK","",$I1704-$K1704)</f>
        <v/>
      </c>
      <c r="M1704" s="71">
        <f>IF($N1704&lt;&gt;"OK","",$D1704*N(INDEX('Menu Pricing'!$F$7:$F$56,$O1704)))</f>
        <v/>
      </c>
      <c r="N1704" s="80">
        <f>IF(AND($B1704="",$C1704="",$D1704=""),"",IF(NOT(ISNUMBER($B1704)),"Enter a valid date",IF($C1704="","Pick a menu item",IF($O1704="","Item not on Menu Pricing",IF(N($D1704)&lt;=0,"Qty must be above 0",IF($H1704="","No price on menu","OK"))))))</f>
        <v/>
      </c>
      <c r="O1704" s="13">
        <f>IF($C1704="","",IFERROR(MATCH($C1704,'Menu Pricing'!$B$7:$B$56,0),""))</f>
        <v/>
      </c>
    </row>
    <row r="1705" ht="17" customHeight="1">
      <c r="B1705" s="66" t="n"/>
      <c r="C1705" s="60" t="n"/>
      <c r="D1705" s="86" t="n"/>
      <c r="E1705" s="63" t="n"/>
      <c r="F1705" s="60" t="n"/>
      <c r="G1705" s="60" t="n"/>
      <c r="H1705" s="71">
        <f>IF(OR($C1705="",$D1705=""),"",IF(ISNUMBER($E1705),$E1705,IF($O1705="","",IF(N(INDEX('Menu Pricing'!$O$7:$O$56,$O1705))&gt;0,INDEX('Menu Pricing'!$O$7:$O$56,$O1705),""))))</f>
        <v/>
      </c>
      <c r="I1705" s="71">
        <f>IF($N1705&lt;&gt;"OK","",$D1705*$H1705)</f>
        <v/>
      </c>
      <c r="J1705" s="71">
        <f>IF($N1705&lt;&gt;"OK","",N(INDEX('Menu Pricing'!$F$7:$F$56,$O1705))+N(INDEX('Menu Pricing'!$G$7:$G$56,$O1705))+N(INDEX('Menu Pricing'!$J$7:$J$56,$O1705)))</f>
        <v/>
      </c>
      <c r="K1705" s="71">
        <f>IF($N1705&lt;&gt;"OK","",$D1705*$J1705)</f>
        <v/>
      </c>
      <c r="L1705" s="71">
        <f>IF($N1705&lt;&gt;"OK","",$I1705-$K1705)</f>
        <v/>
      </c>
      <c r="M1705" s="71">
        <f>IF($N1705&lt;&gt;"OK","",$D1705*N(INDEX('Menu Pricing'!$F$7:$F$56,$O1705)))</f>
        <v/>
      </c>
      <c r="N1705" s="80">
        <f>IF(AND($B1705="",$C1705="",$D1705=""),"",IF(NOT(ISNUMBER($B1705)),"Enter a valid date",IF($C1705="","Pick a menu item",IF($O1705="","Item not on Menu Pricing",IF(N($D1705)&lt;=0,"Qty must be above 0",IF($H1705="","No price on menu","OK"))))))</f>
        <v/>
      </c>
      <c r="O1705" s="13">
        <f>IF($C1705="","",IFERROR(MATCH($C1705,'Menu Pricing'!$B$7:$B$56,0),""))</f>
        <v/>
      </c>
    </row>
    <row r="1706" ht="17" customHeight="1">
      <c r="B1706" s="66" t="n"/>
      <c r="C1706" s="60" t="n"/>
      <c r="D1706" s="86" t="n"/>
      <c r="E1706" s="63" t="n"/>
      <c r="F1706" s="60" t="n"/>
      <c r="G1706" s="60" t="n"/>
      <c r="H1706" s="71">
        <f>IF(OR($C1706="",$D1706=""),"",IF(ISNUMBER($E1706),$E1706,IF($O1706="","",IF(N(INDEX('Menu Pricing'!$O$7:$O$56,$O1706))&gt;0,INDEX('Menu Pricing'!$O$7:$O$56,$O1706),""))))</f>
        <v/>
      </c>
      <c r="I1706" s="71">
        <f>IF($N1706&lt;&gt;"OK","",$D1706*$H1706)</f>
        <v/>
      </c>
      <c r="J1706" s="71">
        <f>IF($N1706&lt;&gt;"OK","",N(INDEX('Menu Pricing'!$F$7:$F$56,$O1706))+N(INDEX('Menu Pricing'!$G$7:$G$56,$O1706))+N(INDEX('Menu Pricing'!$J$7:$J$56,$O1706)))</f>
        <v/>
      </c>
      <c r="K1706" s="71">
        <f>IF($N1706&lt;&gt;"OK","",$D1706*$J1706)</f>
        <v/>
      </c>
      <c r="L1706" s="71">
        <f>IF($N1706&lt;&gt;"OK","",$I1706-$K1706)</f>
        <v/>
      </c>
      <c r="M1706" s="71">
        <f>IF($N1706&lt;&gt;"OK","",$D1706*N(INDEX('Menu Pricing'!$F$7:$F$56,$O1706)))</f>
        <v/>
      </c>
      <c r="N1706" s="80">
        <f>IF(AND($B1706="",$C1706="",$D1706=""),"",IF(NOT(ISNUMBER($B1706)),"Enter a valid date",IF($C1706="","Pick a menu item",IF($O1706="","Item not on Menu Pricing",IF(N($D1706)&lt;=0,"Qty must be above 0",IF($H1706="","No price on menu","OK"))))))</f>
        <v/>
      </c>
      <c r="O1706" s="13">
        <f>IF($C1706="","",IFERROR(MATCH($C1706,'Menu Pricing'!$B$7:$B$56,0),""))</f>
        <v/>
      </c>
    </row>
    <row r="1707" ht="17" customHeight="1">
      <c r="B1707" s="66" t="n"/>
      <c r="C1707" s="60" t="n"/>
      <c r="D1707" s="86" t="n"/>
      <c r="E1707" s="63" t="n"/>
      <c r="F1707" s="60" t="n"/>
      <c r="G1707" s="60" t="n"/>
      <c r="H1707" s="71">
        <f>IF(OR($C1707="",$D1707=""),"",IF(ISNUMBER($E1707),$E1707,IF($O1707="","",IF(N(INDEX('Menu Pricing'!$O$7:$O$56,$O1707))&gt;0,INDEX('Menu Pricing'!$O$7:$O$56,$O1707),""))))</f>
        <v/>
      </c>
      <c r="I1707" s="71">
        <f>IF($N1707&lt;&gt;"OK","",$D1707*$H1707)</f>
        <v/>
      </c>
      <c r="J1707" s="71">
        <f>IF($N1707&lt;&gt;"OK","",N(INDEX('Menu Pricing'!$F$7:$F$56,$O1707))+N(INDEX('Menu Pricing'!$G$7:$G$56,$O1707))+N(INDEX('Menu Pricing'!$J$7:$J$56,$O1707)))</f>
        <v/>
      </c>
      <c r="K1707" s="71">
        <f>IF($N1707&lt;&gt;"OK","",$D1707*$J1707)</f>
        <v/>
      </c>
      <c r="L1707" s="71">
        <f>IF($N1707&lt;&gt;"OK","",$I1707-$K1707)</f>
        <v/>
      </c>
      <c r="M1707" s="71">
        <f>IF($N1707&lt;&gt;"OK","",$D1707*N(INDEX('Menu Pricing'!$F$7:$F$56,$O1707)))</f>
        <v/>
      </c>
      <c r="N1707" s="80">
        <f>IF(AND($B1707="",$C1707="",$D1707=""),"",IF(NOT(ISNUMBER($B1707)),"Enter a valid date",IF($C1707="","Pick a menu item",IF($O1707="","Item not on Menu Pricing",IF(N($D1707)&lt;=0,"Qty must be above 0",IF($H1707="","No price on menu","OK"))))))</f>
        <v/>
      </c>
      <c r="O1707" s="13">
        <f>IF($C1707="","",IFERROR(MATCH($C1707,'Menu Pricing'!$B$7:$B$56,0),""))</f>
        <v/>
      </c>
    </row>
    <row r="1708" ht="17" customHeight="1">
      <c r="B1708" s="66" t="n"/>
      <c r="C1708" s="60" t="n"/>
      <c r="D1708" s="86" t="n"/>
      <c r="E1708" s="63" t="n"/>
      <c r="F1708" s="60" t="n"/>
      <c r="G1708" s="60" t="n"/>
      <c r="H1708" s="71">
        <f>IF(OR($C1708="",$D1708=""),"",IF(ISNUMBER($E1708),$E1708,IF($O1708="","",IF(N(INDEX('Menu Pricing'!$O$7:$O$56,$O1708))&gt;0,INDEX('Menu Pricing'!$O$7:$O$56,$O1708),""))))</f>
        <v/>
      </c>
      <c r="I1708" s="71">
        <f>IF($N1708&lt;&gt;"OK","",$D1708*$H1708)</f>
        <v/>
      </c>
      <c r="J1708" s="71">
        <f>IF($N1708&lt;&gt;"OK","",N(INDEX('Menu Pricing'!$F$7:$F$56,$O1708))+N(INDEX('Menu Pricing'!$G$7:$G$56,$O1708))+N(INDEX('Menu Pricing'!$J$7:$J$56,$O1708)))</f>
        <v/>
      </c>
      <c r="K1708" s="71">
        <f>IF($N1708&lt;&gt;"OK","",$D1708*$J1708)</f>
        <v/>
      </c>
      <c r="L1708" s="71">
        <f>IF($N1708&lt;&gt;"OK","",$I1708-$K1708)</f>
        <v/>
      </c>
      <c r="M1708" s="71">
        <f>IF($N1708&lt;&gt;"OK","",$D1708*N(INDEX('Menu Pricing'!$F$7:$F$56,$O1708)))</f>
        <v/>
      </c>
      <c r="N1708" s="80">
        <f>IF(AND($B1708="",$C1708="",$D1708=""),"",IF(NOT(ISNUMBER($B1708)),"Enter a valid date",IF($C1708="","Pick a menu item",IF($O1708="","Item not on Menu Pricing",IF(N($D1708)&lt;=0,"Qty must be above 0",IF($H1708="","No price on menu","OK"))))))</f>
        <v/>
      </c>
      <c r="O1708" s="13">
        <f>IF($C1708="","",IFERROR(MATCH($C1708,'Menu Pricing'!$B$7:$B$56,0),""))</f>
        <v/>
      </c>
    </row>
    <row r="1709" ht="17" customHeight="1">
      <c r="B1709" s="66" t="n"/>
      <c r="C1709" s="60" t="n"/>
      <c r="D1709" s="86" t="n"/>
      <c r="E1709" s="63" t="n"/>
      <c r="F1709" s="60" t="n"/>
      <c r="G1709" s="60" t="n"/>
      <c r="H1709" s="71">
        <f>IF(OR($C1709="",$D1709=""),"",IF(ISNUMBER($E1709),$E1709,IF($O1709="","",IF(N(INDEX('Menu Pricing'!$O$7:$O$56,$O1709))&gt;0,INDEX('Menu Pricing'!$O$7:$O$56,$O1709),""))))</f>
        <v/>
      </c>
      <c r="I1709" s="71">
        <f>IF($N1709&lt;&gt;"OK","",$D1709*$H1709)</f>
        <v/>
      </c>
      <c r="J1709" s="71">
        <f>IF($N1709&lt;&gt;"OK","",N(INDEX('Menu Pricing'!$F$7:$F$56,$O1709))+N(INDEX('Menu Pricing'!$G$7:$G$56,$O1709))+N(INDEX('Menu Pricing'!$J$7:$J$56,$O1709)))</f>
        <v/>
      </c>
      <c r="K1709" s="71">
        <f>IF($N1709&lt;&gt;"OK","",$D1709*$J1709)</f>
        <v/>
      </c>
      <c r="L1709" s="71">
        <f>IF($N1709&lt;&gt;"OK","",$I1709-$K1709)</f>
        <v/>
      </c>
      <c r="M1709" s="71">
        <f>IF($N1709&lt;&gt;"OK","",$D1709*N(INDEX('Menu Pricing'!$F$7:$F$56,$O1709)))</f>
        <v/>
      </c>
      <c r="N1709" s="80">
        <f>IF(AND($B1709="",$C1709="",$D1709=""),"",IF(NOT(ISNUMBER($B1709)),"Enter a valid date",IF($C1709="","Pick a menu item",IF($O1709="","Item not on Menu Pricing",IF(N($D1709)&lt;=0,"Qty must be above 0",IF($H1709="","No price on menu","OK"))))))</f>
        <v/>
      </c>
      <c r="O1709" s="13">
        <f>IF($C1709="","",IFERROR(MATCH($C1709,'Menu Pricing'!$B$7:$B$56,0),""))</f>
        <v/>
      </c>
    </row>
    <row r="1710" ht="17" customHeight="1">
      <c r="B1710" s="66" t="n"/>
      <c r="C1710" s="60" t="n"/>
      <c r="D1710" s="86" t="n"/>
      <c r="E1710" s="63" t="n"/>
      <c r="F1710" s="60" t="n"/>
      <c r="G1710" s="60" t="n"/>
      <c r="H1710" s="71">
        <f>IF(OR($C1710="",$D1710=""),"",IF(ISNUMBER($E1710),$E1710,IF($O1710="","",IF(N(INDEX('Menu Pricing'!$O$7:$O$56,$O1710))&gt;0,INDEX('Menu Pricing'!$O$7:$O$56,$O1710),""))))</f>
        <v/>
      </c>
      <c r="I1710" s="71">
        <f>IF($N1710&lt;&gt;"OK","",$D1710*$H1710)</f>
        <v/>
      </c>
      <c r="J1710" s="71">
        <f>IF($N1710&lt;&gt;"OK","",N(INDEX('Menu Pricing'!$F$7:$F$56,$O1710))+N(INDEX('Menu Pricing'!$G$7:$G$56,$O1710))+N(INDEX('Menu Pricing'!$J$7:$J$56,$O1710)))</f>
        <v/>
      </c>
      <c r="K1710" s="71">
        <f>IF($N1710&lt;&gt;"OK","",$D1710*$J1710)</f>
        <v/>
      </c>
      <c r="L1710" s="71">
        <f>IF($N1710&lt;&gt;"OK","",$I1710-$K1710)</f>
        <v/>
      </c>
      <c r="M1710" s="71">
        <f>IF($N1710&lt;&gt;"OK","",$D1710*N(INDEX('Menu Pricing'!$F$7:$F$56,$O1710)))</f>
        <v/>
      </c>
      <c r="N1710" s="80">
        <f>IF(AND($B1710="",$C1710="",$D1710=""),"",IF(NOT(ISNUMBER($B1710)),"Enter a valid date",IF($C1710="","Pick a menu item",IF($O1710="","Item not on Menu Pricing",IF(N($D1710)&lt;=0,"Qty must be above 0",IF($H1710="","No price on menu","OK"))))))</f>
        <v/>
      </c>
      <c r="O1710" s="13">
        <f>IF($C1710="","",IFERROR(MATCH($C1710,'Menu Pricing'!$B$7:$B$56,0),""))</f>
        <v/>
      </c>
    </row>
    <row r="1711" ht="17" customHeight="1">
      <c r="B1711" s="66" t="n"/>
      <c r="C1711" s="60" t="n"/>
      <c r="D1711" s="86" t="n"/>
      <c r="E1711" s="63" t="n"/>
      <c r="F1711" s="60" t="n"/>
      <c r="G1711" s="60" t="n"/>
      <c r="H1711" s="71">
        <f>IF(OR($C1711="",$D1711=""),"",IF(ISNUMBER($E1711),$E1711,IF($O1711="","",IF(N(INDEX('Menu Pricing'!$O$7:$O$56,$O1711))&gt;0,INDEX('Menu Pricing'!$O$7:$O$56,$O1711),""))))</f>
        <v/>
      </c>
      <c r="I1711" s="71">
        <f>IF($N1711&lt;&gt;"OK","",$D1711*$H1711)</f>
        <v/>
      </c>
      <c r="J1711" s="71">
        <f>IF($N1711&lt;&gt;"OK","",N(INDEX('Menu Pricing'!$F$7:$F$56,$O1711))+N(INDEX('Menu Pricing'!$G$7:$G$56,$O1711))+N(INDEX('Menu Pricing'!$J$7:$J$56,$O1711)))</f>
        <v/>
      </c>
      <c r="K1711" s="71">
        <f>IF($N1711&lt;&gt;"OK","",$D1711*$J1711)</f>
        <v/>
      </c>
      <c r="L1711" s="71">
        <f>IF($N1711&lt;&gt;"OK","",$I1711-$K1711)</f>
        <v/>
      </c>
      <c r="M1711" s="71">
        <f>IF($N1711&lt;&gt;"OK","",$D1711*N(INDEX('Menu Pricing'!$F$7:$F$56,$O1711)))</f>
        <v/>
      </c>
      <c r="N1711" s="80">
        <f>IF(AND($B1711="",$C1711="",$D1711=""),"",IF(NOT(ISNUMBER($B1711)),"Enter a valid date",IF($C1711="","Pick a menu item",IF($O1711="","Item not on Menu Pricing",IF(N($D1711)&lt;=0,"Qty must be above 0",IF($H1711="","No price on menu","OK"))))))</f>
        <v/>
      </c>
      <c r="O1711" s="13">
        <f>IF($C1711="","",IFERROR(MATCH($C1711,'Menu Pricing'!$B$7:$B$56,0),""))</f>
        <v/>
      </c>
    </row>
    <row r="1712" ht="17" customHeight="1">
      <c r="B1712" s="66" t="n"/>
      <c r="C1712" s="60" t="n"/>
      <c r="D1712" s="86" t="n"/>
      <c r="E1712" s="63" t="n"/>
      <c r="F1712" s="60" t="n"/>
      <c r="G1712" s="60" t="n"/>
      <c r="H1712" s="71">
        <f>IF(OR($C1712="",$D1712=""),"",IF(ISNUMBER($E1712),$E1712,IF($O1712="","",IF(N(INDEX('Menu Pricing'!$O$7:$O$56,$O1712))&gt;0,INDEX('Menu Pricing'!$O$7:$O$56,$O1712),""))))</f>
        <v/>
      </c>
      <c r="I1712" s="71">
        <f>IF($N1712&lt;&gt;"OK","",$D1712*$H1712)</f>
        <v/>
      </c>
      <c r="J1712" s="71">
        <f>IF($N1712&lt;&gt;"OK","",N(INDEX('Menu Pricing'!$F$7:$F$56,$O1712))+N(INDEX('Menu Pricing'!$G$7:$G$56,$O1712))+N(INDEX('Menu Pricing'!$J$7:$J$56,$O1712)))</f>
        <v/>
      </c>
      <c r="K1712" s="71">
        <f>IF($N1712&lt;&gt;"OK","",$D1712*$J1712)</f>
        <v/>
      </c>
      <c r="L1712" s="71">
        <f>IF($N1712&lt;&gt;"OK","",$I1712-$K1712)</f>
        <v/>
      </c>
      <c r="M1712" s="71">
        <f>IF($N1712&lt;&gt;"OK","",$D1712*N(INDEX('Menu Pricing'!$F$7:$F$56,$O1712)))</f>
        <v/>
      </c>
      <c r="N1712" s="80">
        <f>IF(AND($B1712="",$C1712="",$D1712=""),"",IF(NOT(ISNUMBER($B1712)),"Enter a valid date",IF($C1712="","Pick a menu item",IF($O1712="","Item not on Menu Pricing",IF(N($D1712)&lt;=0,"Qty must be above 0",IF($H1712="","No price on menu","OK"))))))</f>
        <v/>
      </c>
      <c r="O1712" s="13">
        <f>IF($C1712="","",IFERROR(MATCH($C1712,'Menu Pricing'!$B$7:$B$56,0),""))</f>
        <v/>
      </c>
    </row>
    <row r="1713" ht="17" customHeight="1">
      <c r="B1713" s="66" t="n"/>
      <c r="C1713" s="60" t="n"/>
      <c r="D1713" s="86" t="n"/>
      <c r="E1713" s="63" t="n"/>
      <c r="F1713" s="60" t="n"/>
      <c r="G1713" s="60" t="n"/>
      <c r="H1713" s="71">
        <f>IF(OR($C1713="",$D1713=""),"",IF(ISNUMBER($E1713),$E1713,IF($O1713="","",IF(N(INDEX('Menu Pricing'!$O$7:$O$56,$O1713))&gt;0,INDEX('Menu Pricing'!$O$7:$O$56,$O1713),""))))</f>
        <v/>
      </c>
      <c r="I1713" s="71">
        <f>IF($N1713&lt;&gt;"OK","",$D1713*$H1713)</f>
        <v/>
      </c>
      <c r="J1713" s="71">
        <f>IF($N1713&lt;&gt;"OK","",N(INDEX('Menu Pricing'!$F$7:$F$56,$O1713))+N(INDEX('Menu Pricing'!$G$7:$G$56,$O1713))+N(INDEX('Menu Pricing'!$J$7:$J$56,$O1713)))</f>
        <v/>
      </c>
      <c r="K1713" s="71">
        <f>IF($N1713&lt;&gt;"OK","",$D1713*$J1713)</f>
        <v/>
      </c>
      <c r="L1713" s="71">
        <f>IF($N1713&lt;&gt;"OK","",$I1713-$K1713)</f>
        <v/>
      </c>
      <c r="M1713" s="71">
        <f>IF($N1713&lt;&gt;"OK","",$D1713*N(INDEX('Menu Pricing'!$F$7:$F$56,$O1713)))</f>
        <v/>
      </c>
      <c r="N1713" s="80">
        <f>IF(AND($B1713="",$C1713="",$D1713=""),"",IF(NOT(ISNUMBER($B1713)),"Enter a valid date",IF($C1713="","Pick a menu item",IF($O1713="","Item not on Menu Pricing",IF(N($D1713)&lt;=0,"Qty must be above 0",IF($H1713="","No price on menu","OK"))))))</f>
        <v/>
      </c>
      <c r="O1713" s="13">
        <f>IF($C1713="","",IFERROR(MATCH($C1713,'Menu Pricing'!$B$7:$B$56,0),""))</f>
        <v/>
      </c>
    </row>
    <row r="1714" ht="17" customHeight="1">
      <c r="B1714" s="66" t="n"/>
      <c r="C1714" s="60" t="n"/>
      <c r="D1714" s="86" t="n"/>
      <c r="E1714" s="63" t="n"/>
      <c r="F1714" s="60" t="n"/>
      <c r="G1714" s="60" t="n"/>
      <c r="H1714" s="71">
        <f>IF(OR($C1714="",$D1714=""),"",IF(ISNUMBER($E1714),$E1714,IF($O1714="","",IF(N(INDEX('Menu Pricing'!$O$7:$O$56,$O1714))&gt;0,INDEX('Menu Pricing'!$O$7:$O$56,$O1714),""))))</f>
        <v/>
      </c>
      <c r="I1714" s="71">
        <f>IF($N1714&lt;&gt;"OK","",$D1714*$H1714)</f>
        <v/>
      </c>
      <c r="J1714" s="71">
        <f>IF($N1714&lt;&gt;"OK","",N(INDEX('Menu Pricing'!$F$7:$F$56,$O1714))+N(INDEX('Menu Pricing'!$G$7:$G$56,$O1714))+N(INDEX('Menu Pricing'!$J$7:$J$56,$O1714)))</f>
        <v/>
      </c>
      <c r="K1714" s="71">
        <f>IF($N1714&lt;&gt;"OK","",$D1714*$J1714)</f>
        <v/>
      </c>
      <c r="L1714" s="71">
        <f>IF($N1714&lt;&gt;"OK","",$I1714-$K1714)</f>
        <v/>
      </c>
      <c r="M1714" s="71">
        <f>IF($N1714&lt;&gt;"OK","",$D1714*N(INDEX('Menu Pricing'!$F$7:$F$56,$O1714)))</f>
        <v/>
      </c>
      <c r="N1714" s="80">
        <f>IF(AND($B1714="",$C1714="",$D1714=""),"",IF(NOT(ISNUMBER($B1714)),"Enter a valid date",IF($C1714="","Pick a menu item",IF($O1714="","Item not on Menu Pricing",IF(N($D1714)&lt;=0,"Qty must be above 0",IF($H1714="","No price on menu","OK"))))))</f>
        <v/>
      </c>
      <c r="O1714" s="13">
        <f>IF($C1714="","",IFERROR(MATCH($C1714,'Menu Pricing'!$B$7:$B$56,0),""))</f>
        <v/>
      </c>
    </row>
    <row r="1715" ht="17" customHeight="1">
      <c r="B1715" s="66" t="n"/>
      <c r="C1715" s="60" t="n"/>
      <c r="D1715" s="86" t="n"/>
      <c r="E1715" s="63" t="n"/>
      <c r="F1715" s="60" t="n"/>
      <c r="G1715" s="60" t="n"/>
      <c r="H1715" s="71">
        <f>IF(OR($C1715="",$D1715=""),"",IF(ISNUMBER($E1715),$E1715,IF($O1715="","",IF(N(INDEX('Menu Pricing'!$O$7:$O$56,$O1715))&gt;0,INDEX('Menu Pricing'!$O$7:$O$56,$O1715),""))))</f>
        <v/>
      </c>
      <c r="I1715" s="71">
        <f>IF($N1715&lt;&gt;"OK","",$D1715*$H1715)</f>
        <v/>
      </c>
      <c r="J1715" s="71">
        <f>IF($N1715&lt;&gt;"OK","",N(INDEX('Menu Pricing'!$F$7:$F$56,$O1715))+N(INDEX('Menu Pricing'!$G$7:$G$56,$O1715))+N(INDEX('Menu Pricing'!$J$7:$J$56,$O1715)))</f>
        <v/>
      </c>
      <c r="K1715" s="71">
        <f>IF($N1715&lt;&gt;"OK","",$D1715*$J1715)</f>
        <v/>
      </c>
      <c r="L1715" s="71">
        <f>IF($N1715&lt;&gt;"OK","",$I1715-$K1715)</f>
        <v/>
      </c>
      <c r="M1715" s="71">
        <f>IF($N1715&lt;&gt;"OK","",$D1715*N(INDEX('Menu Pricing'!$F$7:$F$56,$O1715)))</f>
        <v/>
      </c>
      <c r="N1715" s="80">
        <f>IF(AND($B1715="",$C1715="",$D1715=""),"",IF(NOT(ISNUMBER($B1715)),"Enter a valid date",IF($C1715="","Pick a menu item",IF($O1715="","Item not on Menu Pricing",IF(N($D1715)&lt;=0,"Qty must be above 0",IF($H1715="","No price on menu","OK"))))))</f>
        <v/>
      </c>
      <c r="O1715" s="13">
        <f>IF($C1715="","",IFERROR(MATCH($C1715,'Menu Pricing'!$B$7:$B$56,0),""))</f>
        <v/>
      </c>
    </row>
    <row r="1716" ht="17" customHeight="1">
      <c r="B1716" s="66" t="n"/>
      <c r="C1716" s="60" t="n"/>
      <c r="D1716" s="86" t="n"/>
      <c r="E1716" s="63" t="n"/>
      <c r="F1716" s="60" t="n"/>
      <c r="G1716" s="60" t="n"/>
      <c r="H1716" s="71">
        <f>IF(OR($C1716="",$D1716=""),"",IF(ISNUMBER($E1716),$E1716,IF($O1716="","",IF(N(INDEX('Menu Pricing'!$O$7:$O$56,$O1716))&gt;0,INDEX('Menu Pricing'!$O$7:$O$56,$O1716),""))))</f>
        <v/>
      </c>
      <c r="I1716" s="71">
        <f>IF($N1716&lt;&gt;"OK","",$D1716*$H1716)</f>
        <v/>
      </c>
      <c r="J1716" s="71">
        <f>IF($N1716&lt;&gt;"OK","",N(INDEX('Menu Pricing'!$F$7:$F$56,$O1716))+N(INDEX('Menu Pricing'!$G$7:$G$56,$O1716))+N(INDEX('Menu Pricing'!$J$7:$J$56,$O1716)))</f>
        <v/>
      </c>
      <c r="K1716" s="71">
        <f>IF($N1716&lt;&gt;"OK","",$D1716*$J1716)</f>
        <v/>
      </c>
      <c r="L1716" s="71">
        <f>IF($N1716&lt;&gt;"OK","",$I1716-$K1716)</f>
        <v/>
      </c>
      <c r="M1716" s="71">
        <f>IF($N1716&lt;&gt;"OK","",$D1716*N(INDEX('Menu Pricing'!$F$7:$F$56,$O1716)))</f>
        <v/>
      </c>
      <c r="N1716" s="80">
        <f>IF(AND($B1716="",$C1716="",$D1716=""),"",IF(NOT(ISNUMBER($B1716)),"Enter a valid date",IF($C1716="","Pick a menu item",IF($O1716="","Item not on Menu Pricing",IF(N($D1716)&lt;=0,"Qty must be above 0",IF($H1716="","No price on menu","OK"))))))</f>
        <v/>
      </c>
      <c r="O1716" s="13">
        <f>IF($C1716="","",IFERROR(MATCH($C1716,'Menu Pricing'!$B$7:$B$56,0),""))</f>
        <v/>
      </c>
    </row>
    <row r="1717" ht="17" customHeight="1">
      <c r="B1717" s="66" t="n"/>
      <c r="C1717" s="60" t="n"/>
      <c r="D1717" s="86" t="n"/>
      <c r="E1717" s="63" t="n"/>
      <c r="F1717" s="60" t="n"/>
      <c r="G1717" s="60" t="n"/>
      <c r="H1717" s="71">
        <f>IF(OR($C1717="",$D1717=""),"",IF(ISNUMBER($E1717),$E1717,IF($O1717="","",IF(N(INDEX('Menu Pricing'!$O$7:$O$56,$O1717))&gt;0,INDEX('Menu Pricing'!$O$7:$O$56,$O1717),""))))</f>
        <v/>
      </c>
      <c r="I1717" s="71">
        <f>IF($N1717&lt;&gt;"OK","",$D1717*$H1717)</f>
        <v/>
      </c>
      <c r="J1717" s="71">
        <f>IF($N1717&lt;&gt;"OK","",N(INDEX('Menu Pricing'!$F$7:$F$56,$O1717))+N(INDEX('Menu Pricing'!$G$7:$G$56,$O1717))+N(INDEX('Menu Pricing'!$J$7:$J$56,$O1717)))</f>
        <v/>
      </c>
      <c r="K1717" s="71">
        <f>IF($N1717&lt;&gt;"OK","",$D1717*$J1717)</f>
        <v/>
      </c>
      <c r="L1717" s="71">
        <f>IF($N1717&lt;&gt;"OK","",$I1717-$K1717)</f>
        <v/>
      </c>
      <c r="M1717" s="71">
        <f>IF($N1717&lt;&gt;"OK","",$D1717*N(INDEX('Menu Pricing'!$F$7:$F$56,$O1717)))</f>
        <v/>
      </c>
      <c r="N1717" s="80">
        <f>IF(AND($B1717="",$C1717="",$D1717=""),"",IF(NOT(ISNUMBER($B1717)),"Enter a valid date",IF($C1717="","Pick a menu item",IF($O1717="","Item not on Menu Pricing",IF(N($D1717)&lt;=0,"Qty must be above 0",IF($H1717="","No price on menu","OK"))))))</f>
        <v/>
      </c>
      <c r="O1717" s="13">
        <f>IF($C1717="","",IFERROR(MATCH($C1717,'Menu Pricing'!$B$7:$B$56,0),""))</f>
        <v/>
      </c>
    </row>
    <row r="1718" ht="17" customHeight="1">
      <c r="B1718" s="66" t="n"/>
      <c r="C1718" s="60" t="n"/>
      <c r="D1718" s="86" t="n"/>
      <c r="E1718" s="63" t="n"/>
      <c r="F1718" s="60" t="n"/>
      <c r="G1718" s="60" t="n"/>
      <c r="H1718" s="71">
        <f>IF(OR($C1718="",$D1718=""),"",IF(ISNUMBER($E1718),$E1718,IF($O1718="","",IF(N(INDEX('Menu Pricing'!$O$7:$O$56,$O1718))&gt;0,INDEX('Menu Pricing'!$O$7:$O$56,$O1718),""))))</f>
        <v/>
      </c>
      <c r="I1718" s="71">
        <f>IF($N1718&lt;&gt;"OK","",$D1718*$H1718)</f>
        <v/>
      </c>
      <c r="J1718" s="71">
        <f>IF($N1718&lt;&gt;"OK","",N(INDEX('Menu Pricing'!$F$7:$F$56,$O1718))+N(INDEX('Menu Pricing'!$G$7:$G$56,$O1718))+N(INDEX('Menu Pricing'!$J$7:$J$56,$O1718)))</f>
        <v/>
      </c>
      <c r="K1718" s="71">
        <f>IF($N1718&lt;&gt;"OK","",$D1718*$J1718)</f>
        <v/>
      </c>
      <c r="L1718" s="71">
        <f>IF($N1718&lt;&gt;"OK","",$I1718-$K1718)</f>
        <v/>
      </c>
      <c r="M1718" s="71">
        <f>IF($N1718&lt;&gt;"OK","",$D1718*N(INDEX('Menu Pricing'!$F$7:$F$56,$O1718)))</f>
        <v/>
      </c>
      <c r="N1718" s="80">
        <f>IF(AND($B1718="",$C1718="",$D1718=""),"",IF(NOT(ISNUMBER($B1718)),"Enter a valid date",IF($C1718="","Pick a menu item",IF($O1718="","Item not on Menu Pricing",IF(N($D1718)&lt;=0,"Qty must be above 0",IF($H1718="","No price on menu","OK"))))))</f>
        <v/>
      </c>
      <c r="O1718" s="13">
        <f>IF($C1718="","",IFERROR(MATCH($C1718,'Menu Pricing'!$B$7:$B$56,0),""))</f>
        <v/>
      </c>
    </row>
    <row r="1719" ht="17" customHeight="1">
      <c r="B1719" s="66" t="n"/>
      <c r="C1719" s="60" t="n"/>
      <c r="D1719" s="86" t="n"/>
      <c r="E1719" s="63" t="n"/>
      <c r="F1719" s="60" t="n"/>
      <c r="G1719" s="60" t="n"/>
      <c r="H1719" s="71">
        <f>IF(OR($C1719="",$D1719=""),"",IF(ISNUMBER($E1719),$E1719,IF($O1719="","",IF(N(INDEX('Menu Pricing'!$O$7:$O$56,$O1719))&gt;0,INDEX('Menu Pricing'!$O$7:$O$56,$O1719),""))))</f>
        <v/>
      </c>
      <c r="I1719" s="71">
        <f>IF($N1719&lt;&gt;"OK","",$D1719*$H1719)</f>
        <v/>
      </c>
      <c r="J1719" s="71">
        <f>IF($N1719&lt;&gt;"OK","",N(INDEX('Menu Pricing'!$F$7:$F$56,$O1719))+N(INDEX('Menu Pricing'!$G$7:$G$56,$O1719))+N(INDEX('Menu Pricing'!$J$7:$J$56,$O1719)))</f>
        <v/>
      </c>
      <c r="K1719" s="71">
        <f>IF($N1719&lt;&gt;"OK","",$D1719*$J1719)</f>
        <v/>
      </c>
      <c r="L1719" s="71">
        <f>IF($N1719&lt;&gt;"OK","",$I1719-$K1719)</f>
        <v/>
      </c>
      <c r="M1719" s="71">
        <f>IF($N1719&lt;&gt;"OK","",$D1719*N(INDEX('Menu Pricing'!$F$7:$F$56,$O1719)))</f>
        <v/>
      </c>
      <c r="N1719" s="80">
        <f>IF(AND($B1719="",$C1719="",$D1719=""),"",IF(NOT(ISNUMBER($B1719)),"Enter a valid date",IF($C1719="","Pick a menu item",IF($O1719="","Item not on Menu Pricing",IF(N($D1719)&lt;=0,"Qty must be above 0",IF($H1719="","No price on menu","OK"))))))</f>
        <v/>
      </c>
      <c r="O1719" s="13">
        <f>IF($C1719="","",IFERROR(MATCH($C1719,'Menu Pricing'!$B$7:$B$56,0),""))</f>
        <v/>
      </c>
    </row>
    <row r="1720" ht="17" customHeight="1">
      <c r="B1720" s="66" t="n"/>
      <c r="C1720" s="60" t="n"/>
      <c r="D1720" s="86" t="n"/>
      <c r="E1720" s="63" t="n"/>
      <c r="F1720" s="60" t="n"/>
      <c r="G1720" s="60" t="n"/>
      <c r="H1720" s="71">
        <f>IF(OR($C1720="",$D1720=""),"",IF(ISNUMBER($E1720),$E1720,IF($O1720="","",IF(N(INDEX('Menu Pricing'!$O$7:$O$56,$O1720))&gt;0,INDEX('Menu Pricing'!$O$7:$O$56,$O1720),""))))</f>
        <v/>
      </c>
      <c r="I1720" s="71">
        <f>IF($N1720&lt;&gt;"OK","",$D1720*$H1720)</f>
        <v/>
      </c>
      <c r="J1720" s="71">
        <f>IF($N1720&lt;&gt;"OK","",N(INDEX('Menu Pricing'!$F$7:$F$56,$O1720))+N(INDEX('Menu Pricing'!$G$7:$G$56,$O1720))+N(INDEX('Menu Pricing'!$J$7:$J$56,$O1720)))</f>
        <v/>
      </c>
      <c r="K1720" s="71">
        <f>IF($N1720&lt;&gt;"OK","",$D1720*$J1720)</f>
        <v/>
      </c>
      <c r="L1720" s="71">
        <f>IF($N1720&lt;&gt;"OK","",$I1720-$K1720)</f>
        <v/>
      </c>
      <c r="M1720" s="71">
        <f>IF($N1720&lt;&gt;"OK","",$D1720*N(INDEX('Menu Pricing'!$F$7:$F$56,$O1720)))</f>
        <v/>
      </c>
      <c r="N1720" s="80">
        <f>IF(AND($B1720="",$C1720="",$D1720=""),"",IF(NOT(ISNUMBER($B1720)),"Enter a valid date",IF($C1720="","Pick a menu item",IF($O1720="","Item not on Menu Pricing",IF(N($D1720)&lt;=0,"Qty must be above 0",IF($H1720="","No price on menu","OK"))))))</f>
        <v/>
      </c>
      <c r="O1720" s="13">
        <f>IF($C1720="","",IFERROR(MATCH($C1720,'Menu Pricing'!$B$7:$B$56,0),""))</f>
        <v/>
      </c>
    </row>
    <row r="1721" ht="17" customHeight="1">
      <c r="B1721" s="66" t="n"/>
      <c r="C1721" s="60" t="n"/>
      <c r="D1721" s="86" t="n"/>
      <c r="E1721" s="63" t="n"/>
      <c r="F1721" s="60" t="n"/>
      <c r="G1721" s="60" t="n"/>
      <c r="H1721" s="71">
        <f>IF(OR($C1721="",$D1721=""),"",IF(ISNUMBER($E1721),$E1721,IF($O1721="","",IF(N(INDEX('Menu Pricing'!$O$7:$O$56,$O1721))&gt;0,INDEX('Menu Pricing'!$O$7:$O$56,$O1721),""))))</f>
        <v/>
      </c>
      <c r="I1721" s="71">
        <f>IF($N1721&lt;&gt;"OK","",$D1721*$H1721)</f>
        <v/>
      </c>
      <c r="J1721" s="71">
        <f>IF($N1721&lt;&gt;"OK","",N(INDEX('Menu Pricing'!$F$7:$F$56,$O1721))+N(INDEX('Menu Pricing'!$G$7:$G$56,$O1721))+N(INDEX('Menu Pricing'!$J$7:$J$56,$O1721)))</f>
        <v/>
      </c>
      <c r="K1721" s="71">
        <f>IF($N1721&lt;&gt;"OK","",$D1721*$J1721)</f>
        <v/>
      </c>
      <c r="L1721" s="71">
        <f>IF($N1721&lt;&gt;"OK","",$I1721-$K1721)</f>
        <v/>
      </c>
      <c r="M1721" s="71">
        <f>IF($N1721&lt;&gt;"OK","",$D1721*N(INDEX('Menu Pricing'!$F$7:$F$56,$O1721)))</f>
        <v/>
      </c>
      <c r="N1721" s="80">
        <f>IF(AND($B1721="",$C1721="",$D1721=""),"",IF(NOT(ISNUMBER($B1721)),"Enter a valid date",IF($C1721="","Pick a menu item",IF($O1721="","Item not on Menu Pricing",IF(N($D1721)&lt;=0,"Qty must be above 0",IF($H1721="","No price on menu","OK"))))))</f>
        <v/>
      </c>
      <c r="O1721" s="13">
        <f>IF($C1721="","",IFERROR(MATCH($C1721,'Menu Pricing'!$B$7:$B$56,0),""))</f>
        <v/>
      </c>
    </row>
    <row r="1722" ht="17" customHeight="1">
      <c r="B1722" s="66" t="n"/>
      <c r="C1722" s="60" t="n"/>
      <c r="D1722" s="86" t="n"/>
      <c r="E1722" s="63" t="n"/>
      <c r="F1722" s="60" t="n"/>
      <c r="G1722" s="60" t="n"/>
      <c r="H1722" s="71">
        <f>IF(OR($C1722="",$D1722=""),"",IF(ISNUMBER($E1722),$E1722,IF($O1722="","",IF(N(INDEX('Menu Pricing'!$O$7:$O$56,$O1722))&gt;0,INDEX('Menu Pricing'!$O$7:$O$56,$O1722),""))))</f>
        <v/>
      </c>
      <c r="I1722" s="71">
        <f>IF($N1722&lt;&gt;"OK","",$D1722*$H1722)</f>
        <v/>
      </c>
      <c r="J1722" s="71">
        <f>IF($N1722&lt;&gt;"OK","",N(INDEX('Menu Pricing'!$F$7:$F$56,$O1722))+N(INDEX('Menu Pricing'!$G$7:$G$56,$O1722))+N(INDEX('Menu Pricing'!$J$7:$J$56,$O1722)))</f>
        <v/>
      </c>
      <c r="K1722" s="71">
        <f>IF($N1722&lt;&gt;"OK","",$D1722*$J1722)</f>
        <v/>
      </c>
      <c r="L1722" s="71">
        <f>IF($N1722&lt;&gt;"OK","",$I1722-$K1722)</f>
        <v/>
      </c>
      <c r="M1722" s="71">
        <f>IF($N1722&lt;&gt;"OK","",$D1722*N(INDEX('Menu Pricing'!$F$7:$F$56,$O1722)))</f>
        <v/>
      </c>
      <c r="N1722" s="80">
        <f>IF(AND($B1722="",$C1722="",$D1722=""),"",IF(NOT(ISNUMBER($B1722)),"Enter a valid date",IF($C1722="","Pick a menu item",IF($O1722="","Item not on Menu Pricing",IF(N($D1722)&lt;=0,"Qty must be above 0",IF($H1722="","No price on menu","OK"))))))</f>
        <v/>
      </c>
      <c r="O1722" s="13">
        <f>IF($C1722="","",IFERROR(MATCH($C1722,'Menu Pricing'!$B$7:$B$56,0),""))</f>
        <v/>
      </c>
    </row>
    <row r="1723" ht="17" customHeight="1">
      <c r="B1723" s="66" t="n"/>
      <c r="C1723" s="60" t="n"/>
      <c r="D1723" s="86" t="n"/>
      <c r="E1723" s="63" t="n"/>
      <c r="F1723" s="60" t="n"/>
      <c r="G1723" s="60" t="n"/>
      <c r="H1723" s="71">
        <f>IF(OR($C1723="",$D1723=""),"",IF(ISNUMBER($E1723),$E1723,IF($O1723="","",IF(N(INDEX('Menu Pricing'!$O$7:$O$56,$O1723))&gt;0,INDEX('Menu Pricing'!$O$7:$O$56,$O1723),""))))</f>
        <v/>
      </c>
      <c r="I1723" s="71">
        <f>IF($N1723&lt;&gt;"OK","",$D1723*$H1723)</f>
        <v/>
      </c>
      <c r="J1723" s="71">
        <f>IF($N1723&lt;&gt;"OK","",N(INDEX('Menu Pricing'!$F$7:$F$56,$O1723))+N(INDEX('Menu Pricing'!$G$7:$G$56,$O1723))+N(INDEX('Menu Pricing'!$J$7:$J$56,$O1723)))</f>
        <v/>
      </c>
      <c r="K1723" s="71">
        <f>IF($N1723&lt;&gt;"OK","",$D1723*$J1723)</f>
        <v/>
      </c>
      <c r="L1723" s="71">
        <f>IF($N1723&lt;&gt;"OK","",$I1723-$K1723)</f>
        <v/>
      </c>
      <c r="M1723" s="71">
        <f>IF($N1723&lt;&gt;"OK","",$D1723*N(INDEX('Menu Pricing'!$F$7:$F$56,$O1723)))</f>
        <v/>
      </c>
      <c r="N1723" s="80">
        <f>IF(AND($B1723="",$C1723="",$D1723=""),"",IF(NOT(ISNUMBER($B1723)),"Enter a valid date",IF($C1723="","Pick a menu item",IF($O1723="","Item not on Menu Pricing",IF(N($D1723)&lt;=0,"Qty must be above 0",IF($H1723="","No price on menu","OK"))))))</f>
        <v/>
      </c>
      <c r="O1723" s="13">
        <f>IF($C1723="","",IFERROR(MATCH($C1723,'Menu Pricing'!$B$7:$B$56,0),""))</f>
        <v/>
      </c>
    </row>
    <row r="1724" ht="17" customHeight="1">
      <c r="B1724" s="66" t="n"/>
      <c r="C1724" s="60" t="n"/>
      <c r="D1724" s="86" t="n"/>
      <c r="E1724" s="63" t="n"/>
      <c r="F1724" s="60" t="n"/>
      <c r="G1724" s="60" t="n"/>
      <c r="H1724" s="71">
        <f>IF(OR($C1724="",$D1724=""),"",IF(ISNUMBER($E1724),$E1724,IF($O1724="","",IF(N(INDEX('Menu Pricing'!$O$7:$O$56,$O1724))&gt;0,INDEX('Menu Pricing'!$O$7:$O$56,$O1724),""))))</f>
        <v/>
      </c>
      <c r="I1724" s="71">
        <f>IF($N1724&lt;&gt;"OK","",$D1724*$H1724)</f>
        <v/>
      </c>
      <c r="J1724" s="71">
        <f>IF($N1724&lt;&gt;"OK","",N(INDEX('Menu Pricing'!$F$7:$F$56,$O1724))+N(INDEX('Menu Pricing'!$G$7:$G$56,$O1724))+N(INDEX('Menu Pricing'!$J$7:$J$56,$O1724)))</f>
        <v/>
      </c>
      <c r="K1724" s="71">
        <f>IF($N1724&lt;&gt;"OK","",$D1724*$J1724)</f>
        <v/>
      </c>
      <c r="L1724" s="71">
        <f>IF($N1724&lt;&gt;"OK","",$I1724-$K1724)</f>
        <v/>
      </c>
      <c r="M1724" s="71">
        <f>IF($N1724&lt;&gt;"OK","",$D1724*N(INDEX('Menu Pricing'!$F$7:$F$56,$O1724)))</f>
        <v/>
      </c>
      <c r="N1724" s="80">
        <f>IF(AND($B1724="",$C1724="",$D1724=""),"",IF(NOT(ISNUMBER($B1724)),"Enter a valid date",IF($C1724="","Pick a menu item",IF($O1724="","Item not on Menu Pricing",IF(N($D1724)&lt;=0,"Qty must be above 0",IF($H1724="","No price on menu","OK"))))))</f>
        <v/>
      </c>
      <c r="O1724" s="13">
        <f>IF($C1724="","",IFERROR(MATCH($C1724,'Menu Pricing'!$B$7:$B$56,0),""))</f>
        <v/>
      </c>
    </row>
    <row r="1725" ht="17" customHeight="1">
      <c r="B1725" s="66" t="n"/>
      <c r="C1725" s="60" t="n"/>
      <c r="D1725" s="86" t="n"/>
      <c r="E1725" s="63" t="n"/>
      <c r="F1725" s="60" t="n"/>
      <c r="G1725" s="60" t="n"/>
      <c r="H1725" s="71">
        <f>IF(OR($C1725="",$D1725=""),"",IF(ISNUMBER($E1725),$E1725,IF($O1725="","",IF(N(INDEX('Menu Pricing'!$O$7:$O$56,$O1725))&gt;0,INDEX('Menu Pricing'!$O$7:$O$56,$O1725),""))))</f>
        <v/>
      </c>
      <c r="I1725" s="71">
        <f>IF($N1725&lt;&gt;"OK","",$D1725*$H1725)</f>
        <v/>
      </c>
      <c r="J1725" s="71">
        <f>IF($N1725&lt;&gt;"OK","",N(INDEX('Menu Pricing'!$F$7:$F$56,$O1725))+N(INDEX('Menu Pricing'!$G$7:$G$56,$O1725))+N(INDEX('Menu Pricing'!$J$7:$J$56,$O1725)))</f>
        <v/>
      </c>
      <c r="K1725" s="71">
        <f>IF($N1725&lt;&gt;"OK","",$D1725*$J1725)</f>
        <v/>
      </c>
      <c r="L1725" s="71">
        <f>IF($N1725&lt;&gt;"OK","",$I1725-$K1725)</f>
        <v/>
      </c>
      <c r="M1725" s="71">
        <f>IF($N1725&lt;&gt;"OK","",$D1725*N(INDEX('Menu Pricing'!$F$7:$F$56,$O1725)))</f>
        <v/>
      </c>
      <c r="N1725" s="80">
        <f>IF(AND($B1725="",$C1725="",$D1725=""),"",IF(NOT(ISNUMBER($B1725)),"Enter a valid date",IF($C1725="","Pick a menu item",IF($O1725="","Item not on Menu Pricing",IF(N($D1725)&lt;=0,"Qty must be above 0",IF($H1725="","No price on menu","OK"))))))</f>
        <v/>
      </c>
      <c r="O1725" s="13">
        <f>IF($C1725="","",IFERROR(MATCH($C1725,'Menu Pricing'!$B$7:$B$56,0),""))</f>
        <v/>
      </c>
    </row>
    <row r="1726" ht="17" customHeight="1">
      <c r="B1726" s="66" t="n"/>
      <c r="C1726" s="60" t="n"/>
      <c r="D1726" s="86" t="n"/>
      <c r="E1726" s="63" t="n"/>
      <c r="F1726" s="60" t="n"/>
      <c r="G1726" s="60" t="n"/>
      <c r="H1726" s="71">
        <f>IF(OR($C1726="",$D1726=""),"",IF(ISNUMBER($E1726),$E1726,IF($O1726="","",IF(N(INDEX('Menu Pricing'!$O$7:$O$56,$O1726))&gt;0,INDEX('Menu Pricing'!$O$7:$O$56,$O1726),""))))</f>
        <v/>
      </c>
      <c r="I1726" s="71">
        <f>IF($N1726&lt;&gt;"OK","",$D1726*$H1726)</f>
        <v/>
      </c>
      <c r="J1726" s="71">
        <f>IF($N1726&lt;&gt;"OK","",N(INDEX('Menu Pricing'!$F$7:$F$56,$O1726))+N(INDEX('Menu Pricing'!$G$7:$G$56,$O1726))+N(INDEX('Menu Pricing'!$J$7:$J$56,$O1726)))</f>
        <v/>
      </c>
      <c r="K1726" s="71">
        <f>IF($N1726&lt;&gt;"OK","",$D1726*$J1726)</f>
        <v/>
      </c>
      <c r="L1726" s="71">
        <f>IF($N1726&lt;&gt;"OK","",$I1726-$K1726)</f>
        <v/>
      </c>
      <c r="M1726" s="71">
        <f>IF($N1726&lt;&gt;"OK","",$D1726*N(INDEX('Menu Pricing'!$F$7:$F$56,$O1726)))</f>
        <v/>
      </c>
      <c r="N1726" s="80">
        <f>IF(AND($B1726="",$C1726="",$D1726=""),"",IF(NOT(ISNUMBER($B1726)),"Enter a valid date",IF($C1726="","Pick a menu item",IF($O1726="","Item not on Menu Pricing",IF(N($D1726)&lt;=0,"Qty must be above 0",IF($H1726="","No price on menu","OK"))))))</f>
        <v/>
      </c>
      <c r="O1726" s="13">
        <f>IF($C1726="","",IFERROR(MATCH($C1726,'Menu Pricing'!$B$7:$B$56,0),""))</f>
        <v/>
      </c>
    </row>
    <row r="1727" ht="17" customHeight="1">
      <c r="B1727" s="66" t="n"/>
      <c r="C1727" s="60" t="n"/>
      <c r="D1727" s="86" t="n"/>
      <c r="E1727" s="63" t="n"/>
      <c r="F1727" s="60" t="n"/>
      <c r="G1727" s="60" t="n"/>
      <c r="H1727" s="71">
        <f>IF(OR($C1727="",$D1727=""),"",IF(ISNUMBER($E1727),$E1727,IF($O1727="","",IF(N(INDEX('Menu Pricing'!$O$7:$O$56,$O1727))&gt;0,INDEX('Menu Pricing'!$O$7:$O$56,$O1727),""))))</f>
        <v/>
      </c>
      <c r="I1727" s="71">
        <f>IF($N1727&lt;&gt;"OK","",$D1727*$H1727)</f>
        <v/>
      </c>
      <c r="J1727" s="71">
        <f>IF($N1727&lt;&gt;"OK","",N(INDEX('Menu Pricing'!$F$7:$F$56,$O1727))+N(INDEX('Menu Pricing'!$G$7:$G$56,$O1727))+N(INDEX('Menu Pricing'!$J$7:$J$56,$O1727)))</f>
        <v/>
      </c>
      <c r="K1727" s="71">
        <f>IF($N1727&lt;&gt;"OK","",$D1727*$J1727)</f>
        <v/>
      </c>
      <c r="L1727" s="71">
        <f>IF($N1727&lt;&gt;"OK","",$I1727-$K1727)</f>
        <v/>
      </c>
      <c r="M1727" s="71">
        <f>IF($N1727&lt;&gt;"OK","",$D1727*N(INDEX('Menu Pricing'!$F$7:$F$56,$O1727)))</f>
        <v/>
      </c>
      <c r="N1727" s="80">
        <f>IF(AND($B1727="",$C1727="",$D1727=""),"",IF(NOT(ISNUMBER($B1727)),"Enter a valid date",IF($C1727="","Pick a menu item",IF($O1727="","Item not on Menu Pricing",IF(N($D1727)&lt;=0,"Qty must be above 0",IF($H1727="","No price on menu","OK"))))))</f>
        <v/>
      </c>
      <c r="O1727" s="13">
        <f>IF($C1727="","",IFERROR(MATCH($C1727,'Menu Pricing'!$B$7:$B$56,0),""))</f>
        <v/>
      </c>
    </row>
    <row r="1728" ht="17" customHeight="1">
      <c r="B1728" s="66" t="n"/>
      <c r="C1728" s="60" t="n"/>
      <c r="D1728" s="86" t="n"/>
      <c r="E1728" s="63" t="n"/>
      <c r="F1728" s="60" t="n"/>
      <c r="G1728" s="60" t="n"/>
      <c r="H1728" s="71">
        <f>IF(OR($C1728="",$D1728=""),"",IF(ISNUMBER($E1728),$E1728,IF($O1728="","",IF(N(INDEX('Menu Pricing'!$O$7:$O$56,$O1728))&gt;0,INDEX('Menu Pricing'!$O$7:$O$56,$O1728),""))))</f>
        <v/>
      </c>
      <c r="I1728" s="71">
        <f>IF($N1728&lt;&gt;"OK","",$D1728*$H1728)</f>
        <v/>
      </c>
      <c r="J1728" s="71">
        <f>IF($N1728&lt;&gt;"OK","",N(INDEX('Menu Pricing'!$F$7:$F$56,$O1728))+N(INDEX('Menu Pricing'!$G$7:$G$56,$O1728))+N(INDEX('Menu Pricing'!$J$7:$J$56,$O1728)))</f>
        <v/>
      </c>
      <c r="K1728" s="71">
        <f>IF($N1728&lt;&gt;"OK","",$D1728*$J1728)</f>
        <v/>
      </c>
      <c r="L1728" s="71">
        <f>IF($N1728&lt;&gt;"OK","",$I1728-$K1728)</f>
        <v/>
      </c>
      <c r="M1728" s="71">
        <f>IF($N1728&lt;&gt;"OK","",$D1728*N(INDEX('Menu Pricing'!$F$7:$F$56,$O1728)))</f>
        <v/>
      </c>
      <c r="N1728" s="80">
        <f>IF(AND($B1728="",$C1728="",$D1728=""),"",IF(NOT(ISNUMBER($B1728)),"Enter a valid date",IF($C1728="","Pick a menu item",IF($O1728="","Item not on Menu Pricing",IF(N($D1728)&lt;=0,"Qty must be above 0",IF($H1728="","No price on menu","OK"))))))</f>
        <v/>
      </c>
      <c r="O1728" s="13">
        <f>IF($C1728="","",IFERROR(MATCH($C1728,'Menu Pricing'!$B$7:$B$56,0),""))</f>
        <v/>
      </c>
    </row>
    <row r="1729" ht="17" customHeight="1">
      <c r="B1729" s="66" t="n"/>
      <c r="C1729" s="60" t="n"/>
      <c r="D1729" s="86" t="n"/>
      <c r="E1729" s="63" t="n"/>
      <c r="F1729" s="60" t="n"/>
      <c r="G1729" s="60" t="n"/>
      <c r="H1729" s="71">
        <f>IF(OR($C1729="",$D1729=""),"",IF(ISNUMBER($E1729),$E1729,IF($O1729="","",IF(N(INDEX('Menu Pricing'!$O$7:$O$56,$O1729))&gt;0,INDEX('Menu Pricing'!$O$7:$O$56,$O1729),""))))</f>
        <v/>
      </c>
      <c r="I1729" s="71">
        <f>IF($N1729&lt;&gt;"OK","",$D1729*$H1729)</f>
        <v/>
      </c>
      <c r="J1729" s="71">
        <f>IF($N1729&lt;&gt;"OK","",N(INDEX('Menu Pricing'!$F$7:$F$56,$O1729))+N(INDEX('Menu Pricing'!$G$7:$G$56,$O1729))+N(INDEX('Menu Pricing'!$J$7:$J$56,$O1729)))</f>
        <v/>
      </c>
      <c r="K1729" s="71">
        <f>IF($N1729&lt;&gt;"OK","",$D1729*$J1729)</f>
        <v/>
      </c>
      <c r="L1729" s="71">
        <f>IF($N1729&lt;&gt;"OK","",$I1729-$K1729)</f>
        <v/>
      </c>
      <c r="M1729" s="71">
        <f>IF($N1729&lt;&gt;"OK","",$D1729*N(INDEX('Menu Pricing'!$F$7:$F$56,$O1729)))</f>
        <v/>
      </c>
      <c r="N1729" s="80">
        <f>IF(AND($B1729="",$C1729="",$D1729=""),"",IF(NOT(ISNUMBER($B1729)),"Enter a valid date",IF($C1729="","Pick a menu item",IF($O1729="","Item not on Menu Pricing",IF(N($D1729)&lt;=0,"Qty must be above 0",IF($H1729="","No price on menu","OK"))))))</f>
        <v/>
      </c>
      <c r="O1729" s="13">
        <f>IF($C1729="","",IFERROR(MATCH($C1729,'Menu Pricing'!$B$7:$B$56,0),""))</f>
        <v/>
      </c>
    </row>
    <row r="1730" ht="17" customHeight="1">
      <c r="B1730" s="66" t="n"/>
      <c r="C1730" s="60" t="n"/>
      <c r="D1730" s="86" t="n"/>
      <c r="E1730" s="63" t="n"/>
      <c r="F1730" s="60" t="n"/>
      <c r="G1730" s="60" t="n"/>
      <c r="H1730" s="71">
        <f>IF(OR($C1730="",$D1730=""),"",IF(ISNUMBER($E1730),$E1730,IF($O1730="","",IF(N(INDEX('Menu Pricing'!$O$7:$O$56,$O1730))&gt;0,INDEX('Menu Pricing'!$O$7:$O$56,$O1730),""))))</f>
        <v/>
      </c>
      <c r="I1730" s="71">
        <f>IF($N1730&lt;&gt;"OK","",$D1730*$H1730)</f>
        <v/>
      </c>
      <c r="J1730" s="71">
        <f>IF($N1730&lt;&gt;"OK","",N(INDEX('Menu Pricing'!$F$7:$F$56,$O1730))+N(INDEX('Menu Pricing'!$G$7:$G$56,$O1730))+N(INDEX('Menu Pricing'!$J$7:$J$56,$O1730)))</f>
        <v/>
      </c>
      <c r="K1730" s="71">
        <f>IF($N1730&lt;&gt;"OK","",$D1730*$J1730)</f>
        <v/>
      </c>
      <c r="L1730" s="71">
        <f>IF($N1730&lt;&gt;"OK","",$I1730-$K1730)</f>
        <v/>
      </c>
      <c r="M1730" s="71">
        <f>IF($N1730&lt;&gt;"OK","",$D1730*N(INDEX('Menu Pricing'!$F$7:$F$56,$O1730)))</f>
        <v/>
      </c>
      <c r="N1730" s="80">
        <f>IF(AND($B1730="",$C1730="",$D1730=""),"",IF(NOT(ISNUMBER($B1730)),"Enter a valid date",IF($C1730="","Pick a menu item",IF($O1730="","Item not on Menu Pricing",IF(N($D1730)&lt;=0,"Qty must be above 0",IF($H1730="","No price on menu","OK"))))))</f>
        <v/>
      </c>
      <c r="O1730" s="13">
        <f>IF($C1730="","",IFERROR(MATCH($C1730,'Menu Pricing'!$B$7:$B$56,0),""))</f>
        <v/>
      </c>
    </row>
    <row r="1731" ht="17" customHeight="1">
      <c r="B1731" s="66" t="n"/>
      <c r="C1731" s="60" t="n"/>
      <c r="D1731" s="86" t="n"/>
      <c r="E1731" s="63" t="n"/>
      <c r="F1731" s="60" t="n"/>
      <c r="G1731" s="60" t="n"/>
      <c r="H1731" s="71">
        <f>IF(OR($C1731="",$D1731=""),"",IF(ISNUMBER($E1731),$E1731,IF($O1731="","",IF(N(INDEX('Menu Pricing'!$O$7:$O$56,$O1731))&gt;0,INDEX('Menu Pricing'!$O$7:$O$56,$O1731),""))))</f>
        <v/>
      </c>
      <c r="I1731" s="71">
        <f>IF($N1731&lt;&gt;"OK","",$D1731*$H1731)</f>
        <v/>
      </c>
      <c r="J1731" s="71">
        <f>IF($N1731&lt;&gt;"OK","",N(INDEX('Menu Pricing'!$F$7:$F$56,$O1731))+N(INDEX('Menu Pricing'!$G$7:$G$56,$O1731))+N(INDEX('Menu Pricing'!$J$7:$J$56,$O1731)))</f>
        <v/>
      </c>
      <c r="K1731" s="71">
        <f>IF($N1731&lt;&gt;"OK","",$D1731*$J1731)</f>
        <v/>
      </c>
      <c r="L1731" s="71">
        <f>IF($N1731&lt;&gt;"OK","",$I1731-$K1731)</f>
        <v/>
      </c>
      <c r="M1731" s="71">
        <f>IF($N1731&lt;&gt;"OK","",$D1731*N(INDEX('Menu Pricing'!$F$7:$F$56,$O1731)))</f>
        <v/>
      </c>
      <c r="N1731" s="80">
        <f>IF(AND($B1731="",$C1731="",$D1731=""),"",IF(NOT(ISNUMBER($B1731)),"Enter a valid date",IF($C1731="","Pick a menu item",IF($O1731="","Item not on Menu Pricing",IF(N($D1731)&lt;=0,"Qty must be above 0",IF($H1731="","No price on menu","OK"))))))</f>
        <v/>
      </c>
      <c r="O1731" s="13">
        <f>IF($C1731="","",IFERROR(MATCH($C1731,'Menu Pricing'!$B$7:$B$56,0),""))</f>
        <v/>
      </c>
    </row>
    <row r="1732" ht="17" customHeight="1">
      <c r="B1732" s="66" t="n"/>
      <c r="C1732" s="60" t="n"/>
      <c r="D1732" s="86" t="n"/>
      <c r="E1732" s="63" t="n"/>
      <c r="F1732" s="60" t="n"/>
      <c r="G1732" s="60" t="n"/>
      <c r="H1732" s="71">
        <f>IF(OR($C1732="",$D1732=""),"",IF(ISNUMBER($E1732),$E1732,IF($O1732="","",IF(N(INDEX('Menu Pricing'!$O$7:$O$56,$O1732))&gt;0,INDEX('Menu Pricing'!$O$7:$O$56,$O1732),""))))</f>
        <v/>
      </c>
      <c r="I1732" s="71">
        <f>IF($N1732&lt;&gt;"OK","",$D1732*$H1732)</f>
        <v/>
      </c>
      <c r="J1732" s="71">
        <f>IF($N1732&lt;&gt;"OK","",N(INDEX('Menu Pricing'!$F$7:$F$56,$O1732))+N(INDEX('Menu Pricing'!$G$7:$G$56,$O1732))+N(INDEX('Menu Pricing'!$J$7:$J$56,$O1732)))</f>
        <v/>
      </c>
      <c r="K1732" s="71">
        <f>IF($N1732&lt;&gt;"OK","",$D1732*$J1732)</f>
        <v/>
      </c>
      <c r="L1732" s="71">
        <f>IF($N1732&lt;&gt;"OK","",$I1732-$K1732)</f>
        <v/>
      </c>
      <c r="M1732" s="71">
        <f>IF($N1732&lt;&gt;"OK","",$D1732*N(INDEX('Menu Pricing'!$F$7:$F$56,$O1732)))</f>
        <v/>
      </c>
      <c r="N1732" s="80">
        <f>IF(AND($B1732="",$C1732="",$D1732=""),"",IF(NOT(ISNUMBER($B1732)),"Enter a valid date",IF($C1732="","Pick a menu item",IF($O1732="","Item not on Menu Pricing",IF(N($D1732)&lt;=0,"Qty must be above 0",IF($H1732="","No price on menu","OK"))))))</f>
        <v/>
      </c>
      <c r="O1732" s="13">
        <f>IF($C1732="","",IFERROR(MATCH($C1732,'Menu Pricing'!$B$7:$B$56,0),""))</f>
        <v/>
      </c>
    </row>
    <row r="1733" ht="17" customHeight="1">
      <c r="B1733" s="66" t="n"/>
      <c r="C1733" s="60" t="n"/>
      <c r="D1733" s="86" t="n"/>
      <c r="E1733" s="63" t="n"/>
      <c r="F1733" s="60" t="n"/>
      <c r="G1733" s="60" t="n"/>
      <c r="H1733" s="71">
        <f>IF(OR($C1733="",$D1733=""),"",IF(ISNUMBER($E1733),$E1733,IF($O1733="","",IF(N(INDEX('Menu Pricing'!$O$7:$O$56,$O1733))&gt;0,INDEX('Menu Pricing'!$O$7:$O$56,$O1733),""))))</f>
        <v/>
      </c>
      <c r="I1733" s="71">
        <f>IF($N1733&lt;&gt;"OK","",$D1733*$H1733)</f>
        <v/>
      </c>
      <c r="J1733" s="71">
        <f>IF($N1733&lt;&gt;"OK","",N(INDEX('Menu Pricing'!$F$7:$F$56,$O1733))+N(INDEX('Menu Pricing'!$G$7:$G$56,$O1733))+N(INDEX('Menu Pricing'!$J$7:$J$56,$O1733)))</f>
        <v/>
      </c>
      <c r="K1733" s="71">
        <f>IF($N1733&lt;&gt;"OK","",$D1733*$J1733)</f>
        <v/>
      </c>
      <c r="L1733" s="71">
        <f>IF($N1733&lt;&gt;"OK","",$I1733-$K1733)</f>
        <v/>
      </c>
      <c r="M1733" s="71">
        <f>IF($N1733&lt;&gt;"OK","",$D1733*N(INDEX('Menu Pricing'!$F$7:$F$56,$O1733)))</f>
        <v/>
      </c>
      <c r="N1733" s="80">
        <f>IF(AND($B1733="",$C1733="",$D1733=""),"",IF(NOT(ISNUMBER($B1733)),"Enter a valid date",IF($C1733="","Pick a menu item",IF($O1733="","Item not on Menu Pricing",IF(N($D1733)&lt;=0,"Qty must be above 0",IF($H1733="","No price on menu","OK"))))))</f>
        <v/>
      </c>
      <c r="O1733" s="13">
        <f>IF($C1733="","",IFERROR(MATCH($C1733,'Menu Pricing'!$B$7:$B$56,0),""))</f>
        <v/>
      </c>
    </row>
    <row r="1734" ht="17" customHeight="1">
      <c r="B1734" s="66" t="n"/>
      <c r="C1734" s="60" t="n"/>
      <c r="D1734" s="86" t="n"/>
      <c r="E1734" s="63" t="n"/>
      <c r="F1734" s="60" t="n"/>
      <c r="G1734" s="60" t="n"/>
      <c r="H1734" s="71">
        <f>IF(OR($C1734="",$D1734=""),"",IF(ISNUMBER($E1734),$E1734,IF($O1734="","",IF(N(INDEX('Menu Pricing'!$O$7:$O$56,$O1734))&gt;0,INDEX('Menu Pricing'!$O$7:$O$56,$O1734),""))))</f>
        <v/>
      </c>
      <c r="I1734" s="71">
        <f>IF($N1734&lt;&gt;"OK","",$D1734*$H1734)</f>
        <v/>
      </c>
      <c r="J1734" s="71">
        <f>IF($N1734&lt;&gt;"OK","",N(INDEX('Menu Pricing'!$F$7:$F$56,$O1734))+N(INDEX('Menu Pricing'!$G$7:$G$56,$O1734))+N(INDEX('Menu Pricing'!$J$7:$J$56,$O1734)))</f>
        <v/>
      </c>
      <c r="K1734" s="71">
        <f>IF($N1734&lt;&gt;"OK","",$D1734*$J1734)</f>
        <v/>
      </c>
      <c r="L1734" s="71">
        <f>IF($N1734&lt;&gt;"OK","",$I1734-$K1734)</f>
        <v/>
      </c>
      <c r="M1734" s="71">
        <f>IF($N1734&lt;&gt;"OK","",$D1734*N(INDEX('Menu Pricing'!$F$7:$F$56,$O1734)))</f>
        <v/>
      </c>
      <c r="N1734" s="80">
        <f>IF(AND($B1734="",$C1734="",$D1734=""),"",IF(NOT(ISNUMBER($B1734)),"Enter a valid date",IF($C1734="","Pick a menu item",IF($O1734="","Item not on Menu Pricing",IF(N($D1734)&lt;=0,"Qty must be above 0",IF($H1734="","No price on menu","OK"))))))</f>
        <v/>
      </c>
      <c r="O1734" s="13">
        <f>IF($C1734="","",IFERROR(MATCH($C1734,'Menu Pricing'!$B$7:$B$56,0),""))</f>
        <v/>
      </c>
    </row>
    <row r="1735" ht="17" customHeight="1">
      <c r="B1735" s="66" t="n"/>
      <c r="C1735" s="60" t="n"/>
      <c r="D1735" s="86" t="n"/>
      <c r="E1735" s="63" t="n"/>
      <c r="F1735" s="60" t="n"/>
      <c r="G1735" s="60" t="n"/>
      <c r="H1735" s="71">
        <f>IF(OR($C1735="",$D1735=""),"",IF(ISNUMBER($E1735),$E1735,IF($O1735="","",IF(N(INDEX('Menu Pricing'!$O$7:$O$56,$O1735))&gt;0,INDEX('Menu Pricing'!$O$7:$O$56,$O1735),""))))</f>
        <v/>
      </c>
      <c r="I1735" s="71">
        <f>IF($N1735&lt;&gt;"OK","",$D1735*$H1735)</f>
        <v/>
      </c>
      <c r="J1735" s="71">
        <f>IF($N1735&lt;&gt;"OK","",N(INDEX('Menu Pricing'!$F$7:$F$56,$O1735))+N(INDEX('Menu Pricing'!$G$7:$G$56,$O1735))+N(INDEX('Menu Pricing'!$J$7:$J$56,$O1735)))</f>
        <v/>
      </c>
      <c r="K1735" s="71">
        <f>IF($N1735&lt;&gt;"OK","",$D1735*$J1735)</f>
        <v/>
      </c>
      <c r="L1735" s="71">
        <f>IF($N1735&lt;&gt;"OK","",$I1735-$K1735)</f>
        <v/>
      </c>
      <c r="M1735" s="71">
        <f>IF($N1735&lt;&gt;"OK","",$D1735*N(INDEX('Menu Pricing'!$F$7:$F$56,$O1735)))</f>
        <v/>
      </c>
      <c r="N1735" s="80">
        <f>IF(AND($B1735="",$C1735="",$D1735=""),"",IF(NOT(ISNUMBER($B1735)),"Enter a valid date",IF($C1735="","Pick a menu item",IF($O1735="","Item not on Menu Pricing",IF(N($D1735)&lt;=0,"Qty must be above 0",IF($H1735="","No price on menu","OK"))))))</f>
        <v/>
      </c>
      <c r="O1735" s="13">
        <f>IF($C1735="","",IFERROR(MATCH($C1735,'Menu Pricing'!$B$7:$B$56,0),""))</f>
        <v/>
      </c>
    </row>
    <row r="1736" ht="17" customHeight="1">
      <c r="B1736" s="66" t="n"/>
      <c r="C1736" s="60" t="n"/>
      <c r="D1736" s="86" t="n"/>
      <c r="E1736" s="63" t="n"/>
      <c r="F1736" s="60" t="n"/>
      <c r="G1736" s="60" t="n"/>
      <c r="H1736" s="71">
        <f>IF(OR($C1736="",$D1736=""),"",IF(ISNUMBER($E1736),$E1736,IF($O1736="","",IF(N(INDEX('Menu Pricing'!$O$7:$O$56,$O1736))&gt;0,INDEX('Menu Pricing'!$O$7:$O$56,$O1736),""))))</f>
        <v/>
      </c>
      <c r="I1736" s="71">
        <f>IF($N1736&lt;&gt;"OK","",$D1736*$H1736)</f>
        <v/>
      </c>
      <c r="J1736" s="71">
        <f>IF($N1736&lt;&gt;"OK","",N(INDEX('Menu Pricing'!$F$7:$F$56,$O1736))+N(INDEX('Menu Pricing'!$G$7:$G$56,$O1736))+N(INDEX('Menu Pricing'!$J$7:$J$56,$O1736)))</f>
        <v/>
      </c>
      <c r="K1736" s="71">
        <f>IF($N1736&lt;&gt;"OK","",$D1736*$J1736)</f>
        <v/>
      </c>
      <c r="L1736" s="71">
        <f>IF($N1736&lt;&gt;"OK","",$I1736-$K1736)</f>
        <v/>
      </c>
      <c r="M1736" s="71">
        <f>IF($N1736&lt;&gt;"OK","",$D1736*N(INDEX('Menu Pricing'!$F$7:$F$56,$O1736)))</f>
        <v/>
      </c>
      <c r="N1736" s="80">
        <f>IF(AND($B1736="",$C1736="",$D1736=""),"",IF(NOT(ISNUMBER($B1736)),"Enter a valid date",IF($C1736="","Pick a menu item",IF($O1736="","Item not on Menu Pricing",IF(N($D1736)&lt;=0,"Qty must be above 0",IF($H1736="","No price on menu","OK"))))))</f>
        <v/>
      </c>
      <c r="O1736" s="13">
        <f>IF($C1736="","",IFERROR(MATCH($C1736,'Menu Pricing'!$B$7:$B$56,0),""))</f>
        <v/>
      </c>
    </row>
    <row r="1737" ht="17" customHeight="1">
      <c r="B1737" s="66" t="n"/>
      <c r="C1737" s="60" t="n"/>
      <c r="D1737" s="86" t="n"/>
      <c r="E1737" s="63" t="n"/>
      <c r="F1737" s="60" t="n"/>
      <c r="G1737" s="60" t="n"/>
      <c r="H1737" s="71">
        <f>IF(OR($C1737="",$D1737=""),"",IF(ISNUMBER($E1737),$E1737,IF($O1737="","",IF(N(INDEX('Menu Pricing'!$O$7:$O$56,$O1737))&gt;0,INDEX('Menu Pricing'!$O$7:$O$56,$O1737),""))))</f>
        <v/>
      </c>
      <c r="I1737" s="71">
        <f>IF($N1737&lt;&gt;"OK","",$D1737*$H1737)</f>
        <v/>
      </c>
      <c r="J1737" s="71">
        <f>IF($N1737&lt;&gt;"OK","",N(INDEX('Menu Pricing'!$F$7:$F$56,$O1737))+N(INDEX('Menu Pricing'!$G$7:$G$56,$O1737))+N(INDEX('Menu Pricing'!$J$7:$J$56,$O1737)))</f>
        <v/>
      </c>
      <c r="K1737" s="71">
        <f>IF($N1737&lt;&gt;"OK","",$D1737*$J1737)</f>
        <v/>
      </c>
      <c r="L1737" s="71">
        <f>IF($N1737&lt;&gt;"OK","",$I1737-$K1737)</f>
        <v/>
      </c>
      <c r="M1737" s="71">
        <f>IF($N1737&lt;&gt;"OK","",$D1737*N(INDEX('Menu Pricing'!$F$7:$F$56,$O1737)))</f>
        <v/>
      </c>
      <c r="N1737" s="80">
        <f>IF(AND($B1737="",$C1737="",$D1737=""),"",IF(NOT(ISNUMBER($B1737)),"Enter a valid date",IF($C1737="","Pick a menu item",IF($O1737="","Item not on Menu Pricing",IF(N($D1737)&lt;=0,"Qty must be above 0",IF($H1737="","No price on menu","OK"))))))</f>
        <v/>
      </c>
      <c r="O1737" s="13">
        <f>IF($C1737="","",IFERROR(MATCH($C1737,'Menu Pricing'!$B$7:$B$56,0),""))</f>
        <v/>
      </c>
    </row>
    <row r="1738" ht="17" customHeight="1">
      <c r="B1738" s="66" t="n"/>
      <c r="C1738" s="60" t="n"/>
      <c r="D1738" s="86" t="n"/>
      <c r="E1738" s="63" t="n"/>
      <c r="F1738" s="60" t="n"/>
      <c r="G1738" s="60" t="n"/>
      <c r="H1738" s="71">
        <f>IF(OR($C1738="",$D1738=""),"",IF(ISNUMBER($E1738),$E1738,IF($O1738="","",IF(N(INDEX('Menu Pricing'!$O$7:$O$56,$O1738))&gt;0,INDEX('Menu Pricing'!$O$7:$O$56,$O1738),""))))</f>
        <v/>
      </c>
      <c r="I1738" s="71">
        <f>IF($N1738&lt;&gt;"OK","",$D1738*$H1738)</f>
        <v/>
      </c>
      <c r="J1738" s="71">
        <f>IF($N1738&lt;&gt;"OK","",N(INDEX('Menu Pricing'!$F$7:$F$56,$O1738))+N(INDEX('Menu Pricing'!$G$7:$G$56,$O1738))+N(INDEX('Menu Pricing'!$J$7:$J$56,$O1738)))</f>
        <v/>
      </c>
      <c r="K1738" s="71">
        <f>IF($N1738&lt;&gt;"OK","",$D1738*$J1738)</f>
        <v/>
      </c>
      <c r="L1738" s="71">
        <f>IF($N1738&lt;&gt;"OK","",$I1738-$K1738)</f>
        <v/>
      </c>
      <c r="M1738" s="71">
        <f>IF($N1738&lt;&gt;"OK","",$D1738*N(INDEX('Menu Pricing'!$F$7:$F$56,$O1738)))</f>
        <v/>
      </c>
      <c r="N1738" s="80">
        <f>IF(AND($B1738="",$C1738="",$D1738=""),"",IF(NOT(ISNUMBER($B1738)),"Enter a valid date",IF($C1738="","Pick a menu item",IF($O1738="","Item not on Menu Pricing",IF(N($D1738)&lt;=0,"Qty must be above 0",IF($H1738="","No price on menu","OK"))))))</f>
        <v/>
      </c>
      <c r="O1738" s="13">
        <f>IF($C1738="","",IFERROR(MATCH($C1738,'Menu Pricing'!$B$7:$B$56,0),""))</f>
        <v/>
      </c>
    </row>
    <row r="1739" ht="17" customHeight="1">
      <c r="B1739" s="66" t="n"/>
      <c r="C1739" s="60" t="n"/>
      <c r="D1739" s="86" t="n"/>
      <c r="E1739" s="63" t="n"/>
      <c r="F1739" s="60" t="n"/>
      <c r="G1739" s="60" t="n"/>
      <c r="H1739" s="71">
        <f>IF(OR($C1739="",$D1739=""),"",IF(ISNUMBER($E1739),$E1739,IF($O1739="","",IF(N(INDEX('Menu Pricing'!$O$7:$O$56,$O1739))&gt;0,INDEX('Menu Pricing'!$O$7:$O$56,$O1739),""))))</f>
        <v/>
      </c>
      <c r="I1739" s="71">
        <f>IF($N1739&lt;&gt;"OK","",$D1739*$H1739)</f>
        <v/>
      </c>
      <c r="J1739" s="71">
        <f>IF($N1739&lt;&gt;"OK","",N(INDEX('Menu Pricing'!$F$7:$F$56,$O1739))+N(INDEX('Menu Pricing'!$G$7:$G$56,$O1739))+N(INDEX('Menu Pricing'!$J$7:$J$56,$O1739)))</f>
        <v/>
      </c>
      <c r="K1739" s="71">
        <f>IF($N1739&lt;&gt;"OK","",$D1739*$J1739)</f>
        <v/>
      </c>
      <c r="L1739" s="71">
        <f>IF($N1739&lt;&gt;"OK","",$I1739-$K1739)</f>
        <v/>
      </c>
      <c r="M1739" s="71">
        <f>IF($N1739&lt;&gt;"OK","",$D1739*N(INDEX('Menu Pricing'!$F$7:$F$56,$O1739)))</f>
        <v/>
      </c>
      <c r="N1739" s="80">
        <f>IF(AND($B1739="",$C1739="",$D1739=""),"",IF(NOT(ISNUMBER($B1739)),"Enter a valid date",IF($C1739="","Pick a menu item",IF($O1739="","Item not on Menu Pricing",IF(N($D1739)&lt;=0,"Qty must be above 0",IF($H1739="","No price on menu","OK"))))))</f>
        <v/>
      </c>
      <c r="O1739" s="13">
        <f>IF($C1739="","",IFERROR(MATCH($C1739,'Menu Pricing'!$B$7:$B$56,0),""))</f>
        <v/>
      </c>
    </row>
    <row r="1740" ht="17" customHeight="1">
      <c r="B1740" s="66" t="n"/>
      <c r="C1740" s="60" t="n"/>
      <c r="D1740" s="86" t="n"/>
      <c r="E1740" s="63" t="n"/>
      <c r="F1740" s="60" t="n"/>
      <c r="G1740" s="60" t="n"/>
      <c r="H1740" s="71">
        <f>IF(OR($C1740="",$D1740=""),"",IF(ISNUMBER($E1740),$E1740,IF($O1740="","",IF(N(INDEX('Menu Pricing'!$O$7:$O$56,$O1740))&gt;0,INDEX('Menu Pricing'!$O$7:$O$56,$O1740),""))))</f>
        <v/>
      </c>
      <c r="I1740" s="71">
        <f>IF($N1740&lt;&gt;"OK","",$D1740*$H1740)</f>
        <v/>
      </c>
      <c r="J1740" s="71">
        <f>IF($N1740&lt;&gt;"OK","",N(INDEX('Menu Pricing'!$F$7:$F$56,$O1740))+N(INDEX('Menu Pricing'!$G$7:$G$56,$O1740))+N(INDEX('Menu Pricing'!$J$7:$J$56,$O1740)))</f>
        <v/>
      </c>
      <c r="K1740" s="71">
        <f>IF($N1740&lt;&gt;"OK","",$D1740*$J1740)</f>
        <v/>
      </c>
      <c r="L1740" s="71">
        <f>IF($N1740&lt;&gt;"OK","",$I1740-$K1740)</f>
        <v/>
      </c>
      <c r="M1740" s="71">
        <f>IF($N1740&lt;&gt;"OK","",$D1740*N(INDEX('Menu Pricing'!$F$7:$F$56,$O1740)))</f>
        <v/>
      </c>
      <c r="N1740" s="80">
        <f>IF(AND($B1740="",$C1740="",$D1740=""),"",IF(NOT(ISNUMBER($B1740)),"Enter a valid date",IF($C1740="","Pick a menu item",IF($O1740="","Item not on Menu Pricing",IF(N($D1740)&lt;=0,"Qty must be above 0",IF($H1740="","No price on menu","OK"))))))</f>
        <v/>
      </c>
      <c r="O1740" s="13">
        <f>IF($C1740="","",IFERROR(MATCH($C1740,'Menu Pricing'!$B$7:$B$56,0),""))</f>
        <v/>
      </c>
    </row>
    <row r="1741" ht="17" customHeight="1">
      <c r="B1741" s="66" t="n"/>
      <c r="C1741" s="60" t="n"/>
      <c r="D1741" s="86" t="n"/>
      <c r="E1741" s="63" t="n"/>
      <c r="F1741" s="60" t="n"/>
      <c r="G1741" s="60" t="n"/>
      <c r="H1741" s="71">
        <f>IF(OR($C1741="",$D1741=""),"",IF(ISNUMBER($E1741),$E1741,IF($O1741="","",IF(N(INDEX('Menu Pricing'!$O$7:$O$56,$O1741))&gt;0,INDEX('Menu Pricing'!$O$7:$O$56,$O1741),""))))</f>
        <v/>
      </c>
      <c r="I1741" s="71">
        <f>IF($N1741&lt;&gt;"OK","",$D1741*$H1741)</f>
        <v/>
      </c>
      <c r="J1741" s="71">
        <f>IF($N1741&lt;&gt;"OK","",N(INDEX('Menu Pricing'!$F$7:$F$56,$O1741))+N(INDEX('Menu Pricing'!$G$7:$G$56,$O1741))+N(INDEX('Menu Pricing'!$J$7:$J$56,$O1741)))</f>
        <v/>
      </c>
      <c r="K1741" s="71">
        <f>IF($N1741&lt;&gt;"OK","",$D1741*$J1741)</f>
        <v/>
      </c>
      <c r="L1741" s="71">
        <f>IF($N1741&lt;&gt;"OK","",$I1741-$K1741)</f>
        <v/>
      </c>
      <c r="M1741" s="71">
        <f>IF($N1741&lt;&gt;"OK","",$D1741*N(INDEX('Menu Pricing'!$F$7:$F$56,$O1741)))</f>
        <v/>
      </c>
      <c r="N1741" s="80">
        <f>IF(AND($B1741="",$C1741="",$D1741=""),"",IF(NOT(ISNUMBER($B1741)),"Enter a valid date",IF($C1741="","Pick a menu item",IF($O1741="","Item not on Menu Pricing",IF(N($D1741)&lt;=0,"Qty must be above 0",IF($H1741="","No price on menu","OK"))))))</f>
        <v/>
      </c>
      <c r="O1741" s="13">
        <f>IF($C1741="","",IFERROR(MATCH($C1741,'Menu Pricing'!$B$7:$B$56,0),""))</f>
        <v/>
      </c>
    </row>
    <row r="1742" ht="17" customHeight="1">
      <c r="B1742" s="66" t="n"/>
      <c r="C1742" s="60" t="n"/>
      <c r="D1742" s="86" t="n"/>
      <c r="E1742" s="63" t="n"/>
      <c r="F1742" s="60" t="n"/>
      <c r="G1742" s="60" t="n"/>
      <c r="H1742" s="71">
        <f>IF(OR($C1742="",$D1742=""),"",IF(ISNUMBER($E1742),$E1742,IF($O1742="","",IF(N(INDEX('Menu Pricing'!$O$7:$O$56,$O1742))&gt;0,INDEX('Menu Pricing'!$O$7:$O$56,$O1742),""))))</f>
        <v/>
      </c>
      <c r="I1742" s="71">
        <f>IF($N1742&lt;&gt;"OK","",$D1742*$H1742)</f>
        <v/>
      </c>
      <c r="J1742" s="71">
        <f>IF($N1742&lt;&gt;"OK","",N(INDEX('Menu Pricing'!$F$7:$F$56,$O1742))+N(INDEX('Menu Pricing'!$G$7:$G$56,$O1742))+N(INDEX('Menu Pricing'!$J$7:$J$56,$O1742)))</f>
        <v/>
      </c>
      <c r="K1742" s="71">
        <f>IF($N1742&lt;&gt;"OK","",$D1742*$J1742)</f>
        <v/>
      </c>
      <c r="L1742" s="71">
        <f>IF($N1742&lt;&gt;"OK","",$I1742-$K1742)</f>
        <v/>
      </c>
      <c r="M1742" s="71">
        <f>IF($N1742&lt;&gt;"OK","",$D1742*N(INDEX('Menu Pricing'!$F$7:$F$56,$O1742)))</f>
        <v/>
      </c>
      <c r="N1742" s="80">
        <f>IF(AND($B1742="",$C1742="",$D1742=""),"",IF(NOT(ISNUMBER($B1742)),"Enter a valid date",IF($C1742="","Pick a menu item",IF($O1742="","Item not on Menu Pricing",IF(N($D1742)&lt;=0,"Qty must be above 0",IF($H1742="","No price on menu","OK"))))))</f>
        <v/>
      </c>
      <c r="O1742" s="13">
        <f>IF($C1742="","",IFERROR(MATCH($C1742,'Menu Pricing'!$B$7:$B$56,0),""))</f>
        <v/>
      </c>
    </row>
    <row r="1743" ht="17" customHeight="1">
      <c r="B1743" s="66" t="n"/>
      <c r="C1743" s="60" t="n"/>
      <c r="D1743" s="86" t="n"/>
      <c r="E1743" s="63" t="n"/>
      <c r="F1743" s="60" t="n"/>
      <c r="G1743" s="60" t="n"/>
      <c r="H1743" s="71">
        <f>IF(OR($C1743="",$D1743=""),"",IF(ISNUMBER($E1743),$E1743,IF($O1743="","",IF(N(INDEX('Menu Pricing'!$O$7:$O$56,$O1743))&gt;0,INDEX('Menu Pricing'!$O$7:$O$56,$O1743),""))))</f>
        <v/>
      </c>
      <c r="I1743" s="71">
        <f>IF($N1743&lt;&gt;"OK","",$D1743*$H1743)</f>
        <v/>
      </c>
      <c r="J1743" s="71">
        <f>IF($N1743&lt;&gt;"OK","",N(INDEX('Menu Pricing'!$F$7:$F$56,$O1743))+N(INDEX('Menu Pricing'!$G$7:$G$56,$O1743))+N(INDEX('Menu Pricing'!$J$7:$J$56,$O1743)))</f>
        <v/>
      </c>
      <c r="K1743" s="71">
        <f>IF($N1743&lt;&gt;"OK","",$D1743*$J1743)</f>
        <v/>
      </c>
      <c r="L1743" s="71">
        <f>IF($N1743&lt;&gt;"OK","",$I1743-$K1743)</f>
        <v/>
      </c>
      <c r="M1743" s="71">
        <f>IF($N1743&lt;&gt;"OK","",$D1743*N(INDEX('Menu Pricing'!$F$7:$F$56,$O1743)))</f>
        <v/>
      </c>
      <c r="N1743" s="80">
        <f>IF(AND($B1743="",$C1743="",$D1743=""),"",IF(NOT(ISNUMBER($B1743)),"Enter a valid date",IF($C1743="","Pick a menu item",IF($O1743="","Item not on Menu Pricing",IF(N($D1743)&lt;=0,"Qty must be above 0",IF($H1743="","No price on menu","OK"))))))</f>
        <v/>
      </c>
      <c r="O1743" s="13">
        <f>IF($C1743="","",IFERROR(MATCH($C1743,'Menu Pricing'!$B$7:$B$56,0),""))</f>
        <v/>
      </c>
    </row>
    <row r="1744" ht="17" customHeight="1">
      <c r="B1744" s="66" t="n"/>
      <c r="C1744" s="60" t="n"/>
      <c r="D1744" s="86" t="n"/>
      <c r="E1744" s="63" t="n"/>
      <c r="F1744" s="60" t="n"/>
      <c r="G1744" s="60" t="n"/>
      <c r="H1744" s="71">
        <f>IF(OR($C1744="",$D1744=""),"",IF(ISNUMBER($E1744),$E1744,IF($O1744="","",IF(N(INDEX('Menu Pricing'!$O$7:$O$56,$O1744))&gt;0,INDEX('Menu Pricing'!$O$7:$O$56,$O1744),""))))</f>
        <v/>
      </c>
      <c r="I1744" s="71">
        <f>IF($N1744&lt;&gt;"OK","",$D1744*$H1744)</f>
        <v/>
      </c>
      <c r="J1744" s="71">
        <f>IF($N1744&lt;&gt;"OK","",N(INDEX('Menu Pricing'!$F$7:$F$56,$O1744))+N(INDEX('Menu Pricing'!$G$7:$G$56,$O1744))+N(INDEX('Menu Pricing'!$J$7:$J$56,$O1744)))</f>
        <v/>
      </c>
      <c r="K1744" s="71">
        <f>IF($N1744&lt;&gt;"OK","",$D1744*$J1744)</f>
        <v/>
      </c>
      <c r="L1744" s="71">
        <f>IF($N1744&lt;&gt;"OK","",$I1744-$K1744)</f>
        <v/>
      </c>
      <c r="M1744" s="71">
        <f>IF($N1744&lt;&gt;"OK","",$D1744*N(INDEX('Menu Pricing'!$F$7:$F$56,$O1744)))</f>
        <v/>
      </c>
      <c r="N1744" s="80">
        <f>IF(AND($B1744="",$C1744="",$D1744=""),"",IF(NOT(ISNUMBER($B1744)),"Enter a valid date",IF($C1744="","Pick a menu item",IF($O1744="","Item not on Menu Pricing",IF(N($D1744)&lt;=0,"Qty must be above 0",IF($H1744="","No price on menu","OK"))))))</f>
        <v/>
      </c>
      <c r="O1744" s="13">
        <f>IF($C1744="","",IFERROR(MATCH($C1744,'Menu Pricing'!$B$7:$B$56,0),""))</f>
        <v/>
      </c>
    </row>
    <row r="1745" ht="17" customHeight="1">
      <c r="B1745" s="66" t="n"/>
      <c r="C1745" s="60" t="n"/>
      <c r="D1745" s="86" t="n"/>
      <c r="E1745" s="63" t="n"/>
      <c r="F1745" s="60" t="n"/>
      <c r="G1745" s="60" t="n"/>
      <c r="H1745" s="71">
        <f>IF(OR($C1745="",$D1745=""),"",IF(ISNUMBER($E1745),$E1745,IF($O1745="","",IF(N(INDEX('Menu Pricing'!$O$7:$O$56,$O1745))&gt;0,INDEX('Menu Pricing'!$O$7:$O$56,$O1745),""))))</f>
        <v/>
      </c>
      <c r="I1745" s="71">
        <f>IF($N1745&lt;&gt;"OK","",$D1745*$H1745)</f>
        <v/>
      </c>
      <c r="J1745" s="71">
        <f>IF($N1745&lt;&gt;"OK","",N(INDEX('Menu Pricing'!$F$7:$F$56,$O1745))+N(INDEX('Menu Pricing'!$G$7:$G$56,$O1745))+N(INDEX('Menu Pricing'!$J$7:$J$56,$O1745)))</f>
        <v/>
      </c>
      <c r="K1745" s="71">
        <f>IF($N1745&lt;&gt;"OK","",$D1745*$J1745)</f>
        <v/>
      </c>
      <c r="L1745" s="71">
        <f>IF($N1745&lt;&gt;"OK","",$I1745-$K1745)</f>
        <v/>
      </c>
      <c r="M1745" s="71">
        <f>IF($N1745&lt;&gt;"OK","",$D1745*N(INDEX('Menu Pricing'!$F$7:$F$56,$O1745)))</f>
        <v/>
      </c>
      <c r="N1745" s="80">
        <f>IF(AND($B1745="",$C1745="",$D1745=""),"",IF(NOT(ISNUMBER($B1745)),"Enter a valid date",IF($C1745="","Pick a menu item",IF($O1745="","Item not on Menu Pricing",IF(N($D1745)&lt;=0,"Qty must be above 0",IF($H1745="","No price on menu","OK"))))))</f>
        <v/>
      </c>
      <c r="O1745" s="13">
        <f>IF($C1745="","",IFERROR(MATCH($C1745,'Menu Pricing'!$B$7:$B$56,0),""))</f>
        <v/>
      </c>
    </row>
    <row r="1746" ht="17" customHeight="1">
      <c r="B1746" s="66" t="n"/>
      <c r="C1746" s="60" t="n"/>
      <c r="D1746" s="86" t="n"/>
      <c r="E1746" s="63" t="n"/>
      <c r="F1746" s="60" t="n"/>
      <c r="G1746" s="60" t="n"/>
      <c r="H1746" s="71">
        <f>IF(OR($C1746="",$D1746=""),"",IF(ISNUMBER($E1746),$E1746,IF($O1746="","",IF(N(INDEX('Menu Pricing'!$O$7:$O$56,$O1746))&gt;0,INDEX('Menu Pricing'!$O$7:$O$56,$O1746),""))))</f>
        <v/>
      </c>
      <c r="I1746" s="71">
        <f>IF($N1746&lt;&gt;"OK","",$D1746*$H1746)</f>
        <v/>
      </c>
      <c r="J1746" s="71">
        <f>IF($N1746&lt;&gt;"OK","",N(INDEX('Menu Pricing'!$F$7:$F$56,$O1746))+N(INDEX('Menu Pricing'!$G$7:$G$56,$O1746))+N(INDEX('Menu Pricing'!$J$7:$J$56,$O1746)))</f>
        <v/>
      </c>
      <c r="K1746" s="71">
        <f>IF($N1746&lt;&gt;"OK","",$D1746*$J1746)</f>
        <v/>
      </c>
      <c r="L1746" s="71">
        <f>IF($N1746&lt;&gt;"OK","",$I1746-$K1746)</f>
        <v/>
      </c>
      <c r="M1746" s="71">
        <f>IF($N1746&lt;&gt;"OK","",$D1746*N(INDEX('Menu Pricing'!$F$7:$F$56,$O1746)))</f>
        <v/>
      </c>
      <c r="N1746" s="80">
        <f>IF(AND($B1746="",$C1746="",$D1746=""),"",IF(NOT(ISNUMBER($B1746)),"Enter a valid date",IF($C1746="","Pick a menu item",IF($O1746="","Item not on Menu Pricing",IF(N($D1746)&lt;=0,"Qty must be above 0",IF($H1746="","No price on menu","OK"))))))</f>
        <v/>
      </c>
      <c r="O1746" s="13">
        <f>IF($C1746="","",IFERROR(MATCH($C1746,'Menu Pricing'!$B$7:$B$56,0),""))</f>
        <v/>
      </c>
    </row>
    <row r="1747" ht="17" customHeight="1">
      <c r="B1747" s="66" t="n"/>
      <c r="C1747" s="60" t="n"/>
      <c r="D1747" s="86" t="n"/>
      <c r="E1747" s="63" t="n"/>
      <c r="F1747" s="60" t="n"/>
      <c r="G1747" s="60" t="n"/>
      <c r="H1747" s="71">
        <f>IF(OR($C1747="",$D1747=""),"",IF(ISNUMBER($E1747),$E1747,IF($O1747="","",IF(N(INDEX('Menu Pricing'!$O$7:$O$56,$O1747))&gt;0,INDEX('Menu Pricing'!$O$7:$O$56,$O1747),""))))</f>
        <v/>
      </c>
      <c r="I1747" s="71">
        <f>IF($N1747&lt;&gt;"OK","",$D1747*$H1747)</f>
        <v/>
      </c>
      <c r="J1747" s="71">
        <f>IF($N1747&lt;&gt;"OK","",N(INDEX('Menu Pricing'!$F$7:$F$56,$O1747))+N(INDEX('Menu Pricing'!$G$7:$G$56,$O1747))+N(INDEX('Menu Pricing'!$J$7:$J$56,$O1747)))</f>
        <v/>
      </c>
      <c r="K1747" s="71">
        <f>IF($N1747&lt;&gt;"OK","",$D1747*$J1747)</f>
        <v/>
      </c>
      <c r="L1747" s="71">
        <f>IF($N1747&lt;&gt;"OK","",$I1747-$K1747)</f>
        <v/>
      </c>
      <c r="M1747" s="71">
        <f>IF($N1747&lt;&gt;"OK","",$D1747*N(INDEX('Menu Pricing'!$F$7:$F$56,$O1747)))</f>
        <v/>
      </c>
      <c r="N1747" s="80">
        <f>IF(AND($B1747="",$C1747="",$D1747=""),"",IF(NOT(ISNUMBER($B1747)),"Enter a valid date",IF($C1747="","Pick a menu item",IF($O1747="","Item not on Menu Pricing",IF(N($D1747)&lt;=0,"Qty must be above 0",IF($H1747="","No price on menu","OK"))))))</f>
        <v/>
      </c>
      <c r="O1747" s="13">
        <f>IF($C1747="","",IFERROR(MATCH($C1747,'Menu Pricing'!$B$7:$B$56,0),""))</f>
        <v/>
      </c>
    </row>
    <row r="1748" ht="17" customHeight="1">
      <c r="B1748" s="66" t="n"/>
      <c r="C1748" s="60" t="n"/>
      <c r="D1748" s="86" t="n"/>
      <c r="E1748" s="63" t="n"/>
      <c r="F1748" s="60" t="n"/>
      <c r="G1748" s="60" t="n"/>
      <c r="H1748" s="71">
        <f>IF(OR($C1748="",$D1748=""),"",IF(ISNUMBER($E1748),$E1748,IF($O1748="","",IF(N(INDEX('Menu Pricing'!$O$7:$O$56,$O1748))&gt;0,INDEX('Menu Pricing'!$O$7:$O$56,$O1748),""))))</f>
        <v/>
      </c>
      <c r="I1748" s="71">
        <f>IF($N1748&lt;&gt;"OK","",$D1748*$H1748)</f>
        <v/>
      </c>
      <c r="J1748" s="71">
        <f>IF($N1748&lt;&gt;"OK","",N(INDEX('Menu Pricing'!$F$7:$F$56,$O1748))+N(INDEX('Menu Pricing'!$G$7:$G$56,$O1748))+N(INDEX('Menu Pricing'!$J$7:$J$56,$O1748)))</f>
        <v/>
      </c>
      <c r="K1748" s="71">
        <f>IF($N1748&lt;&gt;"OK","",$D1748*$J1748)</f>
        <v/>
      </c>
      <c r="L1748" s="71">
        <f>IF($N1748&lt;&gt;"OK","",$I1748-$K1748)</f>
        <v/>
      </c>
      <c r="M1748" s="71">
        <f>IF($N1748&lt;&gt;"OK","",$D1748*N(INDEX('Menu Pricing'!$F$7:$F$56,$O1748)))</f>
        <v/>
      </c>
      <c r="N1748" s="80">
        <f>IF(AND($B1748="",$C1748="",$D1748=""),"",IF(NOT(ISNUMBER($B1748)),"Enter a valid date",IF($C1748="","Pick a menu item",IF($O1748="","Item not on Menu Pricing",IF(N($D1748)&lt;=0,"Qty must be above 0",IF($H1748="","No price on menu","OK"))))))</f>
        <v/>
      </c>
      <c r="O1748" s="13">
        <f>IF($C1748="","",IFERROR(MATCH($C1748,'Menu Pricing'!$B$7:$B$56,0),""))</f>
        <v/>
      </c>
    </row>
    <row r="1749" ht="17" customHeight="1">
      <c r="B1749" s="66" t="n"/>
      <c r="C1749" s="60" t="n"/>
      <c r="D1749" s="86" t="n"/>
      <c r="E1749" s="63" t="n"/>
      <c r="F1749" s="60" t="n"/>
      <c r="G1749" s="60" t="n"/>
      <c r="H1749" s="71">
        <f>IF(OR($C1749="",$D1749=""),"",IF(ISNUMBER($E1749),$E1749,IF($O1749="","",IF(N(INDEX('Menu Pricing'!$O$7:$O$56,$O1749))&gt;0,INDEX('Menu Pricing'!$O$7:$O$56,$O1749),""))))</f>
        <v/>
      </c>
      <c r="I1749" s="71">
        <f>IF($N1749&lt;&gt;"OK","",$D1749*$H1749)</f>
        <v/>
      </c>
      <c r="J1749" s="71">
        <f>IF($N1749&lt;&gt;"OK","",N(INDEX('Menu Pricing'!$F$7:$F$56,$O1749))+N(INDEX('Menu Pricing'!$G$7:$G$56,$O1749))+N(INDEX('Menu Pricing'!$J$7:$J$56,$O1749)))</f>
        <v/>
      </c>
      <c r="K1749" s="71">
        <f>IF($N1749&lt;&gt;"OK","",$D1749*$J1749)</f>
        <v/>
      </c>
      <c r="L1749" s="71">
        <f>IF($N1749&lt;&gt;"OK","",$I1749-$K1749)</f>
        <v/>
      </c>
      <c r="M1749" s="71">
        <f>IF($N1749&lt;&gt;"OK","",$D1749*N(INDEX('Menu Pricing'!$F$7:$F$56,$O1749)))</f>
        <v/>
      </c>
      <c r="N1749" s="80">
        <f>IF(AND($B1749="",$C1749="",$D1749=""),"",IF(NOT(ISNUMBER($B1749)),"Enter a valid date",IF($C1749="","Pick a menu item",IF($O1749="","Item not on Menu Pricing",IF(N($D1749)&lt;=0,"Qty must be above 0",IF($H1749="","No price on menu","OK"))))))</f>
        <v/>
      </c>
      <c r="O1749" s="13">
        <f>IF($C1749="","",IFERROR(MATCH($C1749,'Menu Pricing'!$B$7:$B$56,0),""))</f>
        <v/>
      </c>
    </row>
    <row r="1750" ht="17" customHeight="1">
      <c r="B1750" s="66" t="n"/>
      <c r="C1750" s="60" t="n"/>
      <c r="D1750" s="86" t="n"/>
      <c r="E1750" s="63" t="n"/>
      <c r="F1750" s="60" t="n"/>
      <c r="G1750" s="60" t="n"/>
      <c r="H1750" s="71">
        <f>IF(OR($C1750="",$D1750=""),"",IF(ISNUMBER($E1750),$E1750,IF($O1750="","",IF(N(INDEX('Menu Pricing'!$O$7:$O$56,$O1750))&gt;0,INDEX('Menu Pricing'!$O$7:$O$56,$O1750),""))))</f>
        <v/>
      </c>
      <c r="I1750" s="71">
        <f>IF($N1750&lt;&gt;"OK","",$D1750*$H1750)</f>
        <v/>
      </c>
      <c r="J1750" s="71">
        <f>IF($N1750&lt;&gt;"OK","",N(INDEX('Menu Pricing'!$F$7:$F$56,$O1750))+N(INDEX('Menu Pricing'!$G$7:$G$56,$O1750))+N(INDEX('Menu Pricing'!$J$7:$J$56,$O1750)))</f>
        <v/>
      </c>
      <c r="K1750" s="71">
        <f>IF($N1750&lt;&gt;"OK","",$D1750*$J1750)</f>
        <v/>
      </c>
      <c r="L1750" s="71">
        <f>IF($N1750&lt;&gt;"OK","",$I1750-$K1750)</f>
        <v/>
      </c>
      <c r="M1750" s="71">
        <f>IF($N1750&lt;&gt;"OK","",$D1750*N(INDEX('Menu Pricing'!$F$7:$F$56,$O1750)))</f>
        <v/>
      </c>
      <c r="N1750" s="80">
        <f>IF(AND($B1750="",$C1750="",$D1750=""),"",IF(NOT(ISNUMBER($B1750)),"Enter a valid date",IF($C1750="","Pick a menu item",IF($O1750="","Item not on Menu Pricing",IF(N($D1750)&lt;=0,"Qty must be above 0",IF($H1750="","No price on menu","OK"))))))</f>
        <v/>
      </c>
      <c r="O1750" s="13">
        <f>IF($C1750="","",IFERROR(MATCH($C1750,'Menu Pricing'!$B$7:$B$56,0),""))</f>
        <v/>
      </c>
    </row>
    <row r="1751" ht="17" customHeight="1">
      <c r="B1751" s="66" t="n"/>
      <c r="C1751" s="60" t="n"/>
      <c r="D1751" s="86" t="n"/>
      <c r="E1751" s="63" t="n"/>
      <c r="F1751" s="60" t="n"/>
      <c r="G1751" s="60" t="n"/>
      <c r="H1751" s="71">
        <f>IF(OR($C1751="",$D1751=""),"",IF(ISNUMBER($E1751),$E1751,IF($O1751="","",IF(N(INDEX('Menu Pricing'!$O$7:$O$56,$O1751))&gt;0,INDEX('Menu Pricing'!$O$7:$O$56,$O1751),""))))</f>
        <v/>
      </c>
      <c r="I1751" s="71">
        <f>IF($N1751&lt;&gt;"OK","",$D1751*$H1751)</f>
        <v/>
      </c>
      <c r="J1751" s="71">
        <f>IF($N1751&lt;&gt;"OK","",N(INDEX('Menu Pricing'!$F$7:$F$56,$O1751))+N(INDEX('Menu Pricing'!$G$7:$G$56,$O1751))+N(INDEX('Menu Pricing'!$J$7:$J$56,$O1751)))</f>
        <v/>
      </c>
      <c r="K1751" s="71">
        <f>IF($N1751&lt;&gt;"OK","",$D1751*$J1751)</f>
        <v/>
      </c>
      <c r="L1751" s="71">
        <f>IF($N1751&lt;&gt;"OK","",$I1751-$K1751)</f>
        <v/>
      </c>
      <c r="M1751" s="71">
        <f>IF($N1751&lt;&gt;"OK","",$D1751*N(INDEX('Menu Pricing'!$F$7:$F$56,$O1751)))</f>
        <v/>
      </c>
      <c r="N1751" s="80">
        <f>IF(AND($B1751="",$C1751="",$D1751=""),"",IF(NOT(ISNUMBER($B1751)),"Enter a valid date",IF($C1751="","Pick a menu item",IF($O1751="","Item not on Menu Pricing",IF(N($D1751)&lt;=0,"Qty must be above 0",IF($H1751="","No price on menu","OK"))))))</f>
        <v/>
      </c>
      <c r="O1751" s="13">
        <f>IF($C1751="","",IFERROR(MATCH($C1751,'Menu Pricing'!$B$7:$B$56,0),""))</f>
        <v/>
      </c>
    </row>
    <row r="1752" ht="17" customHeight="1">
      <c r="B1752" s="66" t="n"/>
      <c r="C1752" s="60" t="n"/>
      <c r="D1752" s="86" t="n"/>
      <c r="E1752" s="63" t="n"/>
      <c r="F1752" s="60" t="n"/>
      <c r="G1752" s="60" t="n"/>
      <c r="H1752" s="71">
        <f>IF(OR($C1752="",$D1752=""),"",IF(ISNUMBER($E1752),$E1752,IF($O1752="","",IF(N(INDEX('Menu Pricing'!$O$7:$O$56,$O1752))&gt;0,INDEX('Menu Pricing'!$O$7:$O$56,$O1752),""))))</f>
        <v/>
      </c>
      <c r="I1752" s="71">
        <f>IF($N1752&lt;&gt;"OK","",$D1752*$H1752)</f>
        <v/>
      </c>
      <c r="J1752" s="71">
        <f>IF($N1752&lt;&gt;"OK","",N(INDEX('Menu Pricing'!$F$7:$F$56,$O1752))+N(INDEX('Menu Pricing'!$G$7:$G$56,$O1752))+N(INDEX('Menu Pricing'!$J$7:$J$56,$O1752)))</f>
        <v/>
      </c>
      <c r="K1752" s="71">
        <f>IF($N1752&lt;&gt;"OK","",$D1752*$J1752)</f>
        <v/>
      </c>
      <c r="L1752" s="71">
        <f>IF($N1752&lt;&gt;"OK","",$I1752-$K1752)</f>
        <v/>
      </c>
      <c r="M1752" s="71">
        <f>IF($N1752&lt;&gt;"OK","",$D1752*N(INDEX('Menu Pricing'!$F$7:$F$56,$O1752)))</f>
        <v/>
      </c>
      <c r="N1752" s="80">
        <f>IF(AND($B1752="",$C1752="",$D1752=""),"",IF(NOT(ISNUMBER($B1752)),"Enter a valid date",IF($C1752="","Pick a menu item",IF($O1752="","Item not on Menu Pricing",IF(N($D1752)&lt;=0,"Qty must be above 0",IF($H1752="","No price on menu","OK"))))))</f>
        <v/>
      </c>
      <c r="O1752" s="13">
        <f>IF($C1752="","",IFERROR(MATCH($C1752,'Menu Pricing'!$B$7:$B$56,0),""))</f>
        <v/>
      </c>
    </row>
    <row r="1753" ht="17" customHeight="1">
      <c r="B1753" s="66" t="n"/>
      <c r="C1753" s="60" t="n"/>
      <c r="D1753" s="86" t="n"/>
      <c r="E1753" s="63" t="n"/>
      <c r="F1753" s="60" t="n"/>
      <c r="G1753" s="60" t="n"/>
      <c r="H1753" s="71">
        <f>IF(OR($C1753="",$D1753=""),"",IF(ISNUMBER($E1753),$E1753,IF($O1753="","",IF(N(INDEX('Menu Pricing'!$O$7:$O$56,$O1753))&gt;0,INDEX('Menu Pricing'!$O$7:$O$56,$O1753),""))))</f>
        <v/>
      </c>
      <c r="I1753" s="71">
        <f>IF($N1753&lt;&gt;"OK","",$D1753*$H1753)</f>
        <v/>
      </c>
      <c r="J1753" s="71">
        <f>IF($N1753&lt;&gt;"OK","",N(INDEX('Menu Pricing'!$F$7:$F$56,$O1753))+N(INDEX('Menu Pricing'!$G$7:$G$56,$O1753))+N(INDEX('Menu Pricing'!$J$7:$J$56,$O1753)))</f>
        <v/>
      </c>
      <c r="K1753" s="71">
        <f>IF($N1753&lt;&gt;"OK","",$D1753*$J1753)</f>
        <v/>
      </c>
      <c r="L1753" s="71">
        <f>IF($N1753&lt;&gt;"OK","",$I1753-$K1753)</f>
        <v/>
      </c>
      <c r="M1753" s="71">
        <f>IF($N1753&lt;&gt;"OK","",$D1753*N(INDEX('Menu Pricing'!$F$7:$F$56,$O1753)))</f>
        <v/>
      </c>
      <c r="N1753" s="80">
        <f>IF(AND($B1753="",$C1753="",$D1753=""),"",IF(NOT(ISNUMBER($B1753)),"Enter a valid date",IF($C1753="","Pick a menu item",IF($O1753="","Item not on Menu Pricing",IF(N($D1753)&lt;=0,"Qty must be above 0",IF($H1753="","No price on menu","OK"))))))</f>
        <v/>
      </c>
      <c r="O1753" s="13">
        <f>IF($C1753="","",IFERROR(MATCH($C1753,'Menu Pricing'!$B$7:$B$56,0),""))</f>
        <v/>
      </c>
    </row>
    <row r="1754" ht="17" customHeight="1">
      <c r="B1754" s="66" t="n"/>
      <c r="C1754" s="60" t="n"/>
      <c r="D1754" s="86" t="n"/>
      <c r="E1754" s="63" t="n"/>
      <c r="F1754" s="60" t="n"/>
      <c r="G1754" s="60" t="n"/>
      <c r="H1754" s="71">
        <f>IF(OR($C1754="",$D1754=""),"",IF(ISNUMBER($E1754),$E1754,IF($O1754="","",IF(N(INDEX('Menu Pricing'!$O$7:$O$56,$O1754))&gt;0,INDEX('Menu Pricing'!$O$7:$O$56,$O1754),""))))</f>
        <v/>
      </c>
      <c r="I1754" s="71">
        <f>IF($N1754&lt;&gt;"OK","",$D1754*$H1754)</f>
        <v/>
      </c>
      <c r="J1754" s="71">
        <f>IF($N1754&lt;&gt;"OK","",N(INDEX('Menu Pricing'!$F$7:$F$56,$O1754))+N(INDEX('Menu Pricing'!$G$7:$G$56,$O1754))+N(INDEX('Menu Pricing'!$J$7:$J$56,$O1754)))</f>
        <v/>
      </c>
      <c r="K1754" s="71">
        <f>IF($N1754&lt;&gt;"OK","",$D1754*$J1754)</f>
        <v/>
      </c>
      <c r="L1754" s="71">
        <f>IF($N1754&lt;&gt;"OK","",$I1754-$K1754)</f>
        <v/>
      </c>
      <c r="M1754" s="71">
        <f>IF($N1754&lt;&gt;"OK","",$D1754*N(INDEX('Menu Pricing'!$F$7:$F$56,$O1754)))</f>
        <v/>
      </c>
      <c r="N1754" s="80">
        <f>IF(AND($B1754="",$C1754="",$D1754=""),"",IF(NOT(ISNUMBER($B1754)),"Enter a valid date",IF($C1754="","Pick a menu item",IF($O1754="","Item not on Menu Pricing",IF(N($D1754)&lt;=0,"Qty must be above 0",IF($H1754="","No price on menu","OK"))))))</f>
        <v/>
      </c>
      <c r="O1754" s="13">
        <f>IF($C1754="","",IFERROR(MATCH($C1754,'Menu Pricing'!$B$7:$B$56,0),""))</f>
        <v/>
      </c>
    </row>
    <row r="1755" ht="17" customHeight="1">
      <c r="B1755" s="66" t="n"/>
      <c r="C1755" s="60" t="n"/>
      <c r="D1755" s="86" t="n"/>
      <c r="E1755" s="63" t="n"/>
      <c r="F1755" s="60" t="n"/>
      <c r="G1755" s="60" t="n"/>
      <c r="H1755" s="71">
        <f>IF(OR($C1755="",$D1755=""),"",IF(ISNUMBER($E1755),$E1755,IF($O1755="","",IF(N(INDEX('Menu Pricing'!$O$7:$O$56,$O1755))&gt;0,INDEX('Menu Pricing'!$O$7:$O$56,$O1755),""))))</f>
        <v/>
      </c>
      <c r="I1755" s="71">
        <f>IF($N1755&lt;&gt;"OK","",$D1755*$H1755)</f>
        <v/>
      </c>
      <c r="J1755" s="71">
        <f>IF($N1755&lt;&gt;"OK","",N(INDEX('Menu Pricing'!$F$7:$F$56,$O1755))+N(INDEX('Menu Pricing'!$G$7:$G$56,$O1755))+N(INDEX('Menu Pricing'!$J$7:$J$56,$O1755)))</f>
        <v/>
      </c>
      <c r="K1755" s="71">
        <f>IF($N1755&lt;&gt;"OK","",$D1755*$J1755)</f>
        <v/>
      </c>
      <c r="L1755" s="71">
        <f>IF($N1755&lt;&gt;"OK","",$I1755-$K1755)</f>
        <v/>
      </c>
      <c r="M1755" s="71">
        <f>IF($N1755&lt;&gt;"OK","",$D1755*N(INDEX('Menu Pricing'!$F$7:$F$56,$O1755)))</f>
        <v/>
      </c>
      <c r="N1755" s="80">
        <f>IF(AND($B1755="",$C1755="",$D1755=""),"",IF(NOT(ISNUMBER($B1755)),"Enter a valid date",IF($C1755="","Pick a menu item",IF($O1755="","Item not on Menu Pricing",IF(N($D1755)&lt;=0,"Qty must be above 0",IF($H1755="","No price on menu","OK"))))))</f>
        <v/>
      </c>
      <c r="O1755" s="13">
        <f>IF($C1755="","",IFERROR(MATCH($C1755,'Menu Pricing'!$B$7:$B$56,0),""))</f>
        <v/>
      </c>
    </row>
    <row r="1756" ht="17" customHeight="1">
      <c r="B1756" s="66" t="n"/>
      <c r="C1756" s="60" t="n"/>
      <c r="D1756" s="86" t="n"/>
      <c r="E1756" s="63" t="n"/>
      <c r="F1756" s="60" t="n"/>
      <c r="G1756" s="60" t="n"/>
      <c r="H1756" s="71">
        <f>IF(OR($C1756="",$D1756=""),"",IF(ISNUMBER($E1756),$E1756,IF($O1756="","",IF(N(INDEX('Menu Pricing'!$O$7:$O$56,$O1756))&gt;0,INDEX('Menu Pricing'!$O$7:$O$56,$O1756),""))))</f>
        <v/>
      </c>
      <c r="I1756" s="71">
        <f>IF($N1756&lt;&gt;"OK","",$D1756*$H1756)</f>
        <v/>
      </c>
      <c r="J1756" s="71">
        <f>IF($N1756&lt;&gt;"OK","",N(INDEX('Menu Pricing'!$F$7:$F$56,$O1756))+N(INDEX('Menu Pricing'!$G$7:$G$56,$O1756))+N(INDEX('Menu Pricing'!$J$7:$J$56,$O1756)))</f>
        <v/>
      </c>
      <c r="K1756" s="71">
        <f>IF($N1756&lt;&gt;"OK","",$D1756*$J1756)</f>
        <v/>
      </c>
      <c r="L1756" s="71">
        <f>IF($N1756&lt;&gt;"OK","",$I1756-$K1756)</f>
        <v/>
      </c>
      <c r="M1756" s="71">
        <f>IF($N1756&lt;&gt;"OK","",$D1756*N(INDEX('Menu Pricing'!$F$7:$F$56,$O1756)))</f>
        <v/>
      </c>
      <c r="N1756" s="80">
        <f>IF(AND($B1756="",$C1756="",$D1756=""),"",IF(NOT(ISNUMBER($B1756)),"Enter a valid date",IF($C1756="","Pick a menu item",IF($O1756="","Item not on Menu Pricing",IF(N($D1756)&lt;=0,"Qty must be above 0",IF($H1756="","No price on menu","OK"))))))</f>
        <v/>
      </c>
      <c r="O1756" s="13">
        <f>IF($C1756="","",IFERROR(MATCH($C1756,'Menu Pricing'!$B$7:$B$56,0),""))</f>
        <v/>
      </c>
    </row>
    <row r="1757" ht="17" customHeight="1">
      <c r="B1757" s="66" t="n"/>
      <c r="C1757" s="60" t="n"/>
      <c r="D1757" s="86" t="n"/>
      <c r="E1757" s="63" t="n"/>
      <c r="F1757" s="60" t="n"/>
      <c r="G1757" s="60" t="n"/>
      <c r="H1757" s="71">
        <f>IF(OR($C1757="",$D1757=""),"",IF(ISNUMBER($E1757),$E1757,IF($O1757="","",IF(N(INDEX('Menu Pricing'!$O$7:$O$56,$O1757))&gt;0,INDEX('Menu Pricing'!$O$7:$O$56,$O1757),""))))</f>
        <v/>
      </c>
      <c r="I1757" s="71">
        <f>IF($N1757&lt;&gt;"OK","",$D1757*$H1757)</f>
        <v/>
      </c>
      <c r="J1757" s="71">
        <f>IF($N1757&lt;&gt;"OK","",N(INDEX('Menu Pricing'!$F$7:$F$56,$O1757))+N(INDEX('Menu Pricing'!$G$7:$G$56,$O1757))+N(INDEX('Menu Pricing'!$J$7:$J$56,$O1757)))</f>
        <v/>
      </c>
      <c r="K1757" s="71">
        <f>IF($N1757&lt;&gt;"OK","",$D1757*$J1757)</f>
        <v/>
      </c>
      <c r="L1757" s="71">
        <f>IF($N1757&lt;&gt;"OK","",$I1757-$K1757)</f>
        <v/>
      </c>
      <c r="M1757" s="71">
        <f>IF($N1757&lt;&gt;"OK","",$D1757*N(INDEX('Menu Pricing'!$F$7:$F$56,$O1757)))</f>
        <v/>
      </c>
      <c r="N1757" s="80">
        <f>IF(AND($B1757="",$C1757="",$D1757=""),"",IF(NOT(ISNUMBER($B1757)),"Enter a valid date",IF($C1757="","Pick a menu item",IF($O1757="","Item not on Menu Pricing",IF(N($D1757)&lt;=0,"Qty must be above 0",IF($H1757="","No price on menu","OK"))))))</f>
        <v/>
      </c>
      <c r="O1757" s="13">
        <f>IF($C1757="","",IFERROR(MATCH($C1757,'Menu Pricing'!$B$7:$B$56,0),""))</f>
        <v/>
      </c>
    </row>
    <row r="1758" ht="17" customHeight="1">
      <c r="B1758" s="66" t="n"/>
      <c r="C1758" s="60" t="n"/>
      <c r="D1758" s="86" t="n"/>
      <c r="E1758" s="63" t="n"/>
      <c r="F1758" s="60" t="n"/>
      <c r="G1758" s="60" t="n"/>
      <c r="H1758" s="71">
        <f>IF(OR($C1758="",$D1758=""),"",IF(ISNUMBER($E1758),$E1758,IF($O1758="","",IF(N(INDEX('Menu Pricing'!$O$7:$O$56,$O1758))&gt;0,INDEX('Menu Pricing'!$O$7:$O$56,$O1758),""))))</f>
        <v/>
      </c>
      <c r="I1758" s="71">
        <f>IF($N1758&lt;&gt;"OK","",$D1758*$H1758)</f>
        <v/>
      </c>
      <c r="J1758" s="71">
        <f>IF($N1758&lt;&gt;"OK","",N(INDEX('Menu Pricing'!$F$7:$F$56,$O1758))+N(INDEX('Menu Pricing'!$G$7:$G$56,$O1758))+N(INDEX('Menu Pricing'!$J$7:$J$56,$O1758)))</f>
        <v/>
      </c>
      <c r="K1758" s="71">
        <f>IF($N1758&lt;&gt;"OK","",$D1758*$J1758)</f>
        <v/>
      </c>
      <c r="L1758" s="71">
        <f>IF($N1758&lt;&gt;"OK","",$I1758-$K1758)</f>
        <v/>
      </c>
      <c r="M1758" s="71">
        <f>IF($N1758&lt;&gt;"OK","",$D1758*N(INDEX('Menu Pricing'!$F$7:$F$56,$O1758)))</f>
        <v/>
      </c>
      <c r="N1758" s="80">
        <f>IF(AND($B1758="",$C1758="",$D1758=""),"",IF(NOT(ISNUMBER($B1758)),"Enter a valid date",IF($C1758="","Pick a menu item",IF($O1758="","Item not on Menu Pricing",IF(N($D1758)&lt;=0,"Qty must be above 0",IF($H1758="","No price on menu","OK"))))))</f>
        <v/>
      </c>
      <c r="O1758" s="13">
        <f>IF($C1758="","",IFERROR(MATCH($C1758,'Menu Pricing'!$B$7:$B$56,0),""))</f>
        <v/>
      </c>
    </row>
    <row r="1759" ht="17" customHeight="1">
      <c r="B1759" s="66" t="n"/>
      <c r="C1759" s="60" t="n"/>
      <c r="D1759" s="86" t="n"/>
      <c r="E1759" s="63" t="n"/>
      <c r="F1759" s="60" t="n"/>
      <c r="G1759" s="60" t="n"/>
      <c r="H1759" s="71">
        <f>IF(OR($C1759="",$D1759=""),"",IF(ISNUMBER($E1759),$E1759,IF($O1759="","",IF(N(INDEX('Menu Pricing'!$O$7:$O$56,$O1759))&gt;0,INDEX('Menu Pricing'!$O$7:$O$56,$O1759),""))))</f>
        <v/>
      </c>
      <c r="I1759" s="71">
        <f>IF($N1759&lt;&gt;"OK","",$D1759*$H1759)</f>
        <v/>
      </c>
      <c r="J1759" s="71">
        <f>IF($N1759&lt;&gt;"OK","",N(INDEX('Menu Pricing'!$F$7:$F$56,$O1759))+N(INDEX('Menu Pricing'!$G$7:$G$56,$O1759))+N(INDEX('Menu Pricing'!$J$7:$J$56,$O1759)))</f>
        <v/>
      </c>
      <c r="K1759" s="71">
        <f>IF($N1759&lt;&gt;"OK","",$D1759*$J1759)</f>
        <v/>
      </c>
      <c r="L1759" s="71">
        <f>IF($N1759&lt;&gt;"OK","",$I1759-$K1759)</f>
        <v/>
      </c>
      <c r="M1759" s="71">
        <f>IF($N1759&lt;&gt;"OK","",$D1759*N(INDEX('Menu Pricing'!$F$7:$F$56,$O1759)))</f>
        <v/>
      </c>
      <c r="N1759" s="80">
        <f>IF(AND($B1759="",$C1759="",$D1759=""),"",IF(NOT(ISNUMBER($B1759)),"Enter a valid date",IF($C1759="","Pick a menu item",IF($O1759="","Item not on Menu Pricing",IF(N($D1759)&lt;=0,"Qty must be above 0",IF($H1759="","No price on menu","OK"))))))</f>
        <v/>
      </c>
      <c r="O1759" s="13">
        <f>IF($C1759="","",IFERROR(MATCH($C1759,'Menu Pricing'!$B$7:$B$56,0),""))</f>
        <v/>
      </c>
    </row>
    <row r="1760" ht="17" customHeight="1">
      <c r="B1760" s="66" t="n"/>
      <c r="C1760" s="60" t="n"/>
      <c r="D1760" s="86" t="n"/>
      <c r="E1760" s="63" t="n"/>
      <c r="F1760" s="60" t="n"/>
      <c r="G1760" s="60" t="n"/>
      <c r="H1760" s="71">
        <f>IF(OR($C1760="",$D1760=""),"",IF(ISNUMBER($E1760),$E1760,IF($O1760="","",IF(N(INDEX('Menu Pricing'!$O$7:$O$56,$O1760))&gt;0,INDEX('Menu Pricing'!$O$7:$O$56,$O1760),""))))</f>
        <v/>
      </c>
      <c r="I1760" s="71">
        <f>IF($N1760&lt;&gt;"OK","",$D1760*$H1760)</f>
        <v/>
      </c>
      <c r="J1760" s="71">
        <f>IF($N1760&lt;&gt;"OK","",N(INDEX('Menu Pricing'!$F$7:$F$56,$O1760))+N(INDEX('Menu Pricing'!$G$7:$G$56,$O1760))+N(INDEX('Menu Pricing'!$J$7:$J$56,$O1760)))</f>
        <v/>
      </c>
      <c r="K1760" s="71">
        <f>IF($N1760&lt;&gt;"OK","",$D1760*$J1760)</f>
        <v/>
      </c>
      <c r="L1760" s="71">
        <f>IF($N1760&lt;&gt;"OK","",$I1760-$K1760)</f>
        <v/>
      </c>
      <c r="M1760" s="71">
        <f>IF($N1760&lt;&gt;"OK","",$D1760*N(INDEX('Menu Pricing'!$F$7:$F$56,$O1760)))</f>
        <v/>
      </c>
      <c r="N1760" s="80">
        <f>IF(AND($B1760="",$C1760="",$D1760=""),"",IF(NOT(ISNUMBER($B1760)),"Enter a valid date",IF($C1760="","Pick a menu item",IF($O1760="","Item not on Menu Pricing",IF(N($D1760)&lt;=0,"Qty must be above 0",IF($H1760="","No price on menu","OK"))))))</f>
        <v/>
      </c>
      <c r="O1760" s="13">
        <f>IF($C1760="","",IFERROR(MATCH($C1760,'Menu Pricing'!$B$7:$B$56,0),""))</f>
        <v/>
      </c>
    </row>
    <row r="1761" ht="17" customHeight="1">
      <c r="B1761" s="66" t="n"/>
      <c r="C1761" s="60" t="n"/>
      <c r="D1761" s="86" t="n"/>
      <c r="E1761" s="63" t="n"/>
      <c r="F1761" s="60" t="n"/>
      <c r="G1761" s="60" t="n"/>
      <c r="H1761" s="71">
        <f>IF(OR($C1761="",$D1761=""),"",IF(ISNUMBER($E1761),$E1761,IF($O1761="","",IF(N(INDEX('Menu Pricing'!$O$7:$O$56,$O1761))&gt;0,INDEX('Menu Pricing'!$O$7:$O$56,$O1761),""))))</f>
        <v/>
      </c>
      <c r="I1761" s="71">
        <f>IF($N1761&lt;&gt;"OK","",$D1761*$H1761)</f>
        <v/>
      </c>
      <c r="J1761" s="71">
        <f>IF($N1761&lt;&gt;"OK","",N(INDEX('Menu Pricing'!$F$7:$F$56,$O1761))+N(INDEX('Menu Pricing'!$G$7:$G$56,$O1761))+N(INDEX('Menu Pricing'!$J$7:$J$56,$O1761)))</f>
        <v/>
      </c>
      <c r="K1761" s="71">
        <f>IF($N1761&lt;&gt;"OK","",$D1761*$J1761)</f>
        <v/>
      </c>
      <c r="L1761" s="71">
        <f>IF($N1761&lt;&gt;"OK","",$I1761-$K1761)</f>
        <v/>
      </c>
      <c r="M1761" s="71">
        <f>IF($N1761&lt;&gt;"OK","",$D1761*N(INDEX('Menu Pricing'!$F$7:$F$56,$O1761)))</f>
        <v/>
      </c>
      <c r="N1761" s="80">
        <f>IF(AND($B1761="",$C1761="",$D1761=""),"",IF(NOT(ISNUMBER($B1761)),"Enter a valid date",IF($C1761="","Pick a menu item",IF($O1761="","Item not on Menu Pricing",IF(N($D1761)&lt;=0,"Qty must be above 0",IF($H1761="","No price on menu","OK"))))))</f>
        <v/>
      </c>
      <c r="O1761" s="13">
        <f>IF($C1761="","",IFERROR(MATCH($C1761,'Menu Pricing'!$B$7:$B$56,0),""))</f>
        <v/>
      </c>
    </row>
    <row r="1762" ht="17" customHeight="1">
      <c r="B1762" s="66" t="n"/>
      <c r="C1762" s="60" t="n"/>
      <c r="D1762" s="86" t="n"/>
      <c r="E1762" s="63" t="n"/>
      <c r="F1762" s="60" t="n"/>
      <c r="G1762" s="60" t="n"/>
      <c r="H1762" s="71">
        <f>IF(OR($C1762="",$D1762=""),"",IF(ISNUMBER($E1762),$E1762,IF($O1762="","",IF(N(INDEX('Menu Pricing'!$O$7:$O$56,$O1762))&gt;0,INDEX('Menu Pricing'!$O$7:$O$56,$O1762),""))))</f>
        <v/>
      </c>
      <c r="I1762" s="71">
        <f>IF($N1762&lt;&gt;"OK","",$D1762*$H1762)</f>
        <v/>
      </c>
      <c r="J1762" s="71">
        <f>IF($N1762&lt;&gt;"OK","",N(INDEX('Menu Pricing'!$F$7:$F$56,$O1762))+N(INDEX('Menu Pricing'!$G$7:$G$56,$O1762))+N(INDEX('Menu Pricing'!$J$7:$J$56,$O1762)))</f>
        <v/>
      </c>
      <c r="K1762" s="71">
        <f>IF($N1762&lt;&gt;"OK","",$D1762*$J1762)</f>
        <v/>
      </c>
      <c r="L1762" s="71">
        <f>IF($N1762&lt;&gt;"OK","",$I1762-$K1762)</f>
        <v/>
      </c>
      <c r="M1762" s="71">
        <f>IF($N1762&lt;&gt;"OK","",$D1762*N(INDEX('Menu Pricing'!$F$7:$F$56,$O1762)))</f>
        <v/>
      </c>
      <c r="N1762" s="80">
        <f>IF(AND($B1762="",$C1762="",$D1762=""),"",IF(NOT(ISNUMBER($B1762)),"Enter a valid date",IF($C1762="","Pick a menu item",IF($O1762="","Item not on Menu Pricing",IF(N($D1762)&lt;=0,"Qty must be above 0",IF($H1762="","No price on menu","OK"))))))</f>
        <v/>
      </c>
      <c r="O1762" s="13">
        <f>IF($C1762="","",IFERROR(MATCH($C1762,'Menu Pricing'!$B$7:$B$56,0),""))</f>
        <v/>
      </c>
    </row>
    <row r="1763" ht="17" customHeight="1">
      <c r="B1763" s="66" t="n"/>
      <c r="C1763" s="60" t="n"/>
      <c r="D1763" s="86" t="n"/>
      <c r="E1763" s="63" t="n"/>
      <c r="F1763" s="60" t="n"/>
      <c r="G1763" s="60" t="n"/>
      <c r="H1763" s="71">
        <f>IF(OR($C1763="",$D1763=""),"",IF(ISNUMBER($E1763),$E1763,IF($O1763="","",IF(N(INDEX('Menu Pricing'!$O$7:$O$56,$O1763))&gt;0,INDEX('Menu Pricing'!$O$7:$O$56,$O1763),""))))</f>
        <v/>
      </c>
      <c r="I1763" s="71">
        <f>IF($N1763&lt;&gt;"OK","",$D1763*$H1763)</f>
        <v/>
      </c>
      <c r="J1763" s="71">
        <f>IF($N1763&lt;&gt;"OK","",N(INDEX('Menu Pricing'!$F$7:$F$56,$O1763))+N(INDEX('Menu Pricing'!$G$7:$G$56,$O1763))+N(INDEX('Menu Pricing'!$J$7:$J$56,$O1763)))</f>
        <v/>
      </c>
      <c r="K1763" s="71">
        <f>IF($N1763&lt;&gt;"OK","",$D1763*$J1763)</f>
        <v/>
      </c>
      <c r="L1763" s="71">
        <f>IF($N1763&lt;&gt;"OK","",$I1763-$K1763)</f>
        <v/>
      </c>
      <c r="M1763" s="71">
        <f>IF($N1763&lt;&gt;"OK","",$D1763*N(INDEX('Menu Pricing'!$F$7:$F$56,$O1763)))</f>
        <v/>
      </c>
      <c r="N1763" s="80">
        <f>IF(AND($B1763="",$C1763="",$D1763=""),"",IF(NOT(ISNUMBER($B1763)),"Enter a valid date",IF($C1763="","Pick a menu item",IF($O1763="","Item not on Menu Pricing",IF(N($D1763)&lt;=0,"Qty must be above 0",IF($H1763="","No price on menu","OK"))))))</f>
        <v/>
      </c>
      <c r="O1763" s="13">
        <f>IF($C1763="","",IFERROR(MATCH($C1763,'Menu Pricing'!$B$7:$B$56,0),""))</f>
        <v/>
      </c>
    </row>
    <row r="1764" ht="17" customHeight="1">
      <c r="B1764" s="66" t="n"/>
      <c r="C1764" s="60" t="n"/>
      <c r="D1764" s="86" t="n"/>
      <c r="E1764" s="63" t="n"/>
      <c r="F1764" s="60" t="n"/>
      <c r="G1764" s="60" t="n"/>
      <c r="H1764" s="71">
        <f>IF(OR($C1764="",$D1764=""),"",IF(ISNUMBER($E1764),$E1764,IF($O1764="","",IF(N(INDEX('Menu Pricing'!$O$7:$O$56,$O1764))&gt;0,INDEX('Menu Pricing'!$O$7:$O$56,$O1764),""))))</f>
        <v/>
      </c>
      <c r="I1764" s="71">
        <f>IF($N1764&lt;&gt;"OK","",$D1764*$H1764)</f>
        <v/>
      </c>
      <c r="J1764" s="71">
        <f>IF($N1764&lt;&gt;"OK","",N(INDEX('Menu Pricing'!$F$7:$F$56,$O1764))+N(INDEX('Menu Pricing'!$G$7:$G$56,$O1764))+N(INDEX('Menu Pricing'!$J$7:$J$56,$O1764)))</f>
        <v/>
      </c>
      <c r="K1764" s="71">
        <f>IF($N1764&lt;&gt;"OK","",$D1764*$J1764)</f>
        <v/>
      </c>
      <c r="L1764" s="71">
        <f>IF($N1764&lt;&gt;"OK","",$I1764-$K1764)</f>
        <v/>
      </c>
      <c r="M1764" s="71">
        <f>IF($N1764&lt;&gt;"OK","",$D1764*N(INDEX('Menu Pricing'!$F$7:$F$56,$O1764)))</f>
        <v/>
      </c>
      <c r="N1764" s="80">
        <f>IF(AND($B1764="",$C1764="",$D1764=""),"",IF(NOT(ISNUMBER($B1764)),"Enter a valid date",IF($C1764="","Pick a menu item",IF($O1764="","Item not on Menu Pricing",IF(N($D1764)&lt;=0,"Qty must be above 0",IF($H1764="","No price on menu","OK"))))))</f>
        <v/>
      </c>
      <c r="O1764" s="13">
        <f>IF($C1764="","",IFERROR(MATCH($C1764,'Menu Pricing'!$B$7:$B$56,0),""))</f>
        <v/>
      </c>
    </row>
    <row r="1765" ht="17" customHeight="1">
      <c r="B1765" s="66" t="n"/>
      <c r="C1765" s="60" t="n"/>
      <c r="D1765" s="86" t="n"/>
      <c r="E1765" s="63" t="n"/>
      <c r="F1765" s="60" t="n"/>
      <c r="G1765" s="60" t="n"/>
      <c r="H1765" s="71">
        <f>IF(OR($C1765="",$D1765=""),"",IF(ISNUMBER($E1765),$E1765,IF($O1765="","",IF(N(INDEX('Menu Pricing'!$O$7:$O$56,$O1765))&gt;0,INDEX('Menu Pricing'!$O$7:$O$56,$O1765),""))))</f>
        <v/>
      </c>
      <c r="I1765" s="71">
        <f>IF($N1765&lt;&gt;"OK","",$D1765*$H1765)</f>
        <v/>
      </c>
      <c r="J1765" s="71">
        <f>IF($N1765&lt;&gt;"OK","",N(INDEX('Menu Pricing'!$F$7:$F$56,$O1765))+N(INDEX('Menu Pricing'!$G$7:$G$56,$O1765))+N(INDEX('Menu Pricing'!$J$7:$J$56,$O1765)))</f>
        <v/>
      </c>
      <c r="K1765" s="71">
        <f>IF($N1765&lt;&gt;"OK","",$D1765*$J1765)</f>
        <v/>
      </c>
      <c r="L1765" s="71">
        <f>IF($N1765&lt;&gt;"OK","",$I1765-$K1765)</f>
        <v/>
      </c>
      <c r="M1765" s="71">
        <f>IF($N1765&lt;&gt;"OK","",$D1765*N(INDEX('Menu Pricing'!$F$7:$F$56,$O1765)))</f>
        <v/>
      </c>
      <c r="N1765" s="80">
        <f>IF(AND($B1765="",$C1765="",$D1765=""),"",IF(NOT(ISNUMBER($B1765)),"Enter a valid date",IF($C1765="","Pick a menu item",IF($O1765="","Item not on Menu Pricing",IF(N($D1765)&lt;=0,"Qty must be above 0",IF($H1765="","No price on menu","OK"))))))</f>
        <v/>
      </c>
      <c r="O1765" s="13">
        <f>IF($C1765="","",IFERROR(MATCH($C1765,'Menu Pricing'!$B$7:$B$56,0),""))</f>
        <v/>
      </c>
    </row>
    <row r="1766" ht="17" customHeight="1">
      <c r="B1766" s="66" t="n"/>
      <c r="C1766" s="60" t="n"/>
      <c r="D1766" s="86" t="n"/>
      <c r="E1766" s="63" t="n"/>
      <c r="F1766" s="60" t="n"/>
      <c r="G1766" s="60" t="n"/>
      <c r="H1766" s="71">
        <f>IF(OR($C1766="",$D1766=""),"",IF(ISNUMBER($E1766),$E1766,IF($O1766="","",IF(N(INDEX('Menu Pricing'!$O$7:$O$56,$O1766))&gt;0,INDEX('Menu Pricing'!$O$7:$O$56,$O1766),""))))</f>
        <v/>
      </c>
      <c r="I1766" s="71">
        <f>IF($N1766&lt;&gt;"OK","",$D1766*$H1766)</f>
        <v/>
      </c>
      <c r="J1766" s="71">
        <f>IF($N1766&lt;&gt;"OK","",N(INDEX('Menu Pricing'!$F$7:$F$56,$O1766))+N(INDEX('Menu Pricing'!$G$7:$G$56,$O1766))+N(INDEX('Menu Pricing'!$J$7:$J$56,$O1766)))</f>
        <v/>
      </c>
      <c r="K1766" s="71">
        <f>IF($N1766&lt;&gt;"OK","",$D1766*$J1766)</f>
        <v/>
      </c>
      <c r="L1766" s="71">
        <f>IF($N1766&lt;&gt;"OK","",$I1766-$K1766)</f>
        <v/>
      </c>
      <c r="M1766" s="71">
        <f>IF($N1766&lt;&gt;"OK","",$D1766*N(INDEX('Menu Pricing'!$F$7:$F$56,$O1766)))</f>
        <v/>
      </c>
      <c r="N1766" s="80">
        <f>IF(AND($B1766="",$C1766="",$D1766=""),"",IF(NOT(ISNUMBER($B1766)),"Enter a valid date",IF($C1766="","Pick a menu item",IF($O1766="","Item not on Menu Pricing",IF(N($D1766)&lt;=0,"Qty must be above 0",IF($H1766="","No price on menu","OK"))))))</f>
        <v/>
      </c>
      <c r="O1766" s="13">
        <f>IF($C1766="","",IFERROR(MATCH($C1766,'Menu Pricing'!$B$7:$B$56,0),""))</f>
        <v/>
      </c>
    </row>
    <row r="1767" ht="17" customHeight="1">
      <c r="B1767" s="66" t="n"/>
      <c r="C1767" s="60" t="n"/>
      <c r="D1767" s="86" t="n"/>
      <c r="E1767" s="63" t="n"/>
      <c r="F1767" s="60" t="n"/>
      <c r="G1767" s="60" t="n"/>
      <c r="H1767" s="71">
        <f>IF(OR($C1767="",$D1767=""),"",IF(ISNUMBER($E1767),$E1767,IF($O1767="","",IF(N(INDEX('Menu Pricing'!$O$7:$O$56,$O1767))&gt;0,INDEX('Menu Pricing'!$O$7:$O$56,$O1767),""))))</f>
        <v/>
      </c>
      <c r="I1767" s="71">
        <f>IF($N1767&lt;&gt;"OK","",$D1767*$H1767)</f>
        <v/>
      </c>
      <c r="J1767" s="71">
        <f>IF($N1767&lt;&gt;"OK","",N(INDEX('Menu Pricing'!$F$7:$F$56,$O1767))+N(INDEX('Menu Pricing'!$G$7:$G$56,$O1767))+N(INDEX('Menu Pricing'!$J$7:$J$56,$O1767)))</f>
        <v/>
      </c>
      <c r="K1767" s="71">
        <f>IF($N1767&lt;&gt;"OK","",$D1767*$J1767)</f>
        <v/>
      </c>
      <c r="L1767" s="71">
        <f>IF($N1767&lt;&gt;"OK","",$I1767-$K1767)</f>
        <v/>
      </c>
      <c r="M1767" s="71">
        <f>IF($N1767&lt;&gt;"OK","",$D1767*N(INDEX('Menu Pricing'!$F$7:$F$56,$O1767)))</f>
        <v/>
      </c>
      <c r="N1767" s="80">
        <f>IF(AND($B1767="",$C1767="",$D1767=""),"",IF(NOT(ISNUMBER($B1767)),"Enter a valid date",IF($C1767="","Pick a menu item",IF($O1767="","Item not on Menu Pricing",IF(N($D1767)&lt;=0,"Qty must be above 0",IF($H1767="","No price on menu","OK"))))))</f>
        <v/>
      </c>
      <c r="O1767" s="13">
        <f>IF($C1767="","",IFERROR(MATCH($C1767,'Menu Pricing'!$B$7:$B$56,0),""))</f>
        <v/>
      </c>
    </row>
    <row r="1768" ht="17" customHeight="1">
      <c r="B1768" s="66" t="n"/>
      <c r="C1768" s="60" t="n"/>
      <c r="D1768" s="86" t="n"/>
      <c r="E1768" s="63" t="n"/>
      <c r="F1768" s="60" t="n"/>
      <c r="G1768" s="60" t="n"/>
      <c r="H1768" s="71">
        <f>IF(OR($C1768="",$D1768=""),"",IF(ISNUMBER($E1768),$E1768,IF($O1768="","",IF(N(INDEX('Menu Pricing'!$O$7:$O$56,$O1768))&gt;0,INDEX('Menu Pricing'!$O$7:$O$56,$O1768),""))))</f>
        <v/>
      </c>
      <c r="I1768" s="71">
        <f>IF($N1768&lt;&gt;"OK","",$D1768*$H1768)</f>
        <v/>
      </c>
      <c r="J1768" s="71">
        <f>IF($N1768&lt;&gt;"OK","",N(INDEX('Menu Pricing'!$F$7:$F$56,$O1768))+N(INDEX('Menu Pricing'!$G$7:$G$56,$O1768))+N(INDEX('Menu Pricing'!$J$7:$J$56,$O1768)))</f>
        <v/>
      </c>
      <c r="K1768" s="71">
        <f>IF($N1768&lt;&gt;"OK","",$D1768*$J1768)</f>
        <v/>
      </c>
      <c r="L1768" s="71">
        <f>IF($N1768&lt;&gt;"OK","",$I1768-$K1768)</f>
        <v/>
      </c>
      <c r="M1768" s="71">
        <f>IF($N1768&lt;&gt;"OK","",$D1768*N(INDEX('Menu Pricing'!$F$7:$F$56,$O1768)))</f>
        <v/>
      </c>
      <c r="N1768" s="80">
        <f>IF(AND($B1768="",$C1768="",$D1768=""),"",IF(NOT(ISNUMBER($B1768)),"Enter a valid date",IF($C1768="","Pick a menu item",IF($O1768="","Item not on Menu Pricing",IF(N($D1768)&lt;=0,"Qty must be above 0",IF($H1768="","No price on menu","OK"))))))</f>
        <v/>
      </c>
      <c r="O1768" s="13">
        <f>IF($C1768="","",IFERROR(MATCH($C1768,'Menu Pricing'!$B$7:$B$56,0),""))</f>
        <v/>
      </c>
    </row>
    <row r="1769" ht="17" customHeight="1">
      <c r="B1769" s="66" t="n"/>
      <c r="C1769" s="60" t="n"/>
      <c r="D1769" s="86" t="n"/>
      <c r="E1769" s="63" t="n"/>
      <c r="F1769" s="60" t="n"/>
      <c r="G1769" s="60" t="n"/>
      <c r="H1769" s="71">
        <f>IF(OR($C1769="",$D1769=""),"",IF(ISNUMBER($E1769),$E1769,IF($O1769="","",IF(N(INDEX('Menu Pricing'!$O$7:$O$56,$O1769))&gt;0,INDEX('Menu Pricing'!$O$7:$O$56,$O1769),""))))</f>
        <v/>
      </c>
      <c r="I1769" s="71">
        <f>IF($N1769&lt;&gt;"OK","",$D1769*$H1769)</f>
        <v/>
      </c>
      <c r="J1769" s="71">
        <f>IF($N1769&lt;&gt;"OK","",N(INDEX('Menu Pricing'!$F$7:$F$56,$O1769))+N(INDEX('Menu Pricing'!$G$7:$G$56,$O1769))+N(INDEX('Menu Pricing'!$J$7:$J$56,$O1769)))</f>
        <v/>
      </c>
      <c r="K1769" s="71">
        <f>IF($N1769&lt;&gt;"OK","",$D1769*$J1769)</f>
        <v/>
      </c>
      <c r="L1769" s="71">
        <f>IF($N1769&lt;&gt;"OK","",$I1769-$K1769)</f>
        <v/>
      </c>
      <c r="M1769" s="71">
        <f>IF($N1769&lt;&gt;"OK","",$D1769*N(INDEX('Menu Pricing'!$F$7:$F$56,$O1769)))</f>
        <v/>
      </c>
      <c r="N1769" s="80">
        <f>IF(AND($B1769="",$C1769="",$D1769=""),"",IF(NOT(ISNUMBER($B1769)),"Enter a valid date",IF($C1769="","Pick a menu item",IF($O1769="","Item not on Menu Pricing",IF(N($D1769)&lt;=0,"Qty must be above 0",IF($H1769="","No price on menu","OK"))))))</f>
        <v/>
      </c>
      <c r="O1769" s="13">
        <f>IF($C1769="","",IFERROR(MATCH($C1769,'Menu Pricing'!$B$7:$B$56,0),""))</f>
        <v/>
      </c>
    </row>
    <row r="1770" ht="17" customHeight="1">
      <c r="B1770" s="66" t="n"/>
      <c r="C1770" s="60" t="n"/>
      <c r="D1770" s="86" t="n"/>
      <c r="E1770" s="63" t="n"/>
      <c r="F1770" s="60" t="n"/>
      <c r="G1770" s="60" t="n"/>
      <c r="H1770" s="71">
        <f>IF(OR($C1770="",$D1770=""),"",IF(ISNUMBER($E1770),$E1770,IF($O1770="","",IF(N(INDEX('Menu Pricing'!$O$7:$O$56,$O1770))&gt;0,INDEX('Menu Pricing'!$O$7:$O$56,$O1770),""))))</f>
        <v/>
      </c>
      <c r="I1770" s="71">
        <f>IF($N1770&lt;&gt;"OK","",$D1770*$H1770)</f>
        <v/>
      </c>
      <c r="J1770" s="71">
        <f>IF($N1770&lt;&gt;"OK","",N(INDEX('Menu Pricing'!$F$7:$F$56,$O1770))+N(INDEX('Menu Pricing'!$G$7:$G$56,$O1770))+N(INDEX('Menu Pricing'!$J$7:$J$56,$O1770)))</f>
        <v/>
      </c>
      <c r="K1770" s="71">
        <f>IF($N1770&lt;&gt;"OK","",$D1770*$J1770)</f>
        <v/>
      </c>
      <c r="L1770" s="71">
        <f>IF($N1770&lt;&gt;"OK","",$I1770-$K1770)</f>
        <v/>
      </c>
      <c r="M1770" s="71">
        <f>IF($N1770&lt;&gt;"OK","",$D1770*N(INDEX('Menu Pricing'!$F$7:$F$56,$O1770)))</f>
        <v/>
      </c>
      <c r="N1770" s="80">
        <f>IF(AND($B1770="",$C1770="",$D1770=""),"",IF(NOT(ISNUMBER($B1770)),"Enter a valid date",IF($C1770="","Pick a menu item",IF($O1770="","Item not on Menu Pricing",IF(N($D1770)&lt;=0,"Qty must be above 0",IF($H1770="","No price on menu","OK"))))))</f>
        <v/>
      </c>
      <c r="O1770" s="13">
        <f>IF($C1770="","",IFERROR(MATCH($C1770,'Menu Pricing'!$B$7:$B$56,0),""))</f>
        <v/>
      </c>
    </row>
    <row r="1771" ht="17" customHeight="1">
      <c r="B1771" s="66" t="n"/>
      <c r="C1771" s="60" t="n"/>
      <c r="D1771" s="86" t="n"/>
      <c r="E1771" s="63" t="n"/>
      <c r="F1771" s="60" t="n"/>
      <c r="G1771" s="60" t="n"/>
      <c r="H1771" s="71">
        <f>IF(OR($C1771="",$D1771=""),"",IF(ISNUMBER($E1771),$E1771,IF($O1771="","",IF(N(INDEX('Menu Pricing'!$O$7:$O$56,$O1771))&gt;0,INDEX('Menu Pricing'!$O$7:$O$56,$O1771),""))))</f>
        <v/>
      </c>
      <c r="I1771" s="71">
        <f>IF($N1771&lt;&gt;"OK","",$D1771*$H1771)</f>
        <v/>
      </c>
      <c r="J1771" s="71">
        <f>IF($N1771&lt;&gt;"OK","",N(INDEX('Menu Pricing'!$F$7:$F$56,$O1771))+N(INDEX('Menu Pricing'!$G$7:$G$56,$O1771))+N(INDEX('Menu Pricing'!$J$7:$J$56,$O1771)))</f>
        <v/>
      </c>
      <c r="K1771" s="71">
        <f>IF($N1771&lt;&gt;"OK","",$D1771*$J1771)</f>
        <v/>
      </c>
      <c r="L1771" s="71">
        <f>IF($N1771&lt;&gt;"OK","",$I1771-$K1771)</f>
        <v/>
      </c>
      <c r="M1771" s="71">
        <f>IF($N1771&lt;&gt;"OK","",$D1771*N(INDEX('Menu Pricing'!$F$7:$F$56,$O1771)))</f>
        <v/>
      </c>
      <c r="N1771" s="80">
        <f>IF(AND($B1771="",$C1771="",$D1771=""),"",IF(NOT(ISNUMBER($B1771)),"Enter a valid date",IF($C1771="","Pick a menu item",IF($O1771="","Item not on Menu Pricing",IF(N($D1771)&lt;=0,"Qty must be above 0",IF($H1771="","No price on menu","OK"))))))</f>
        <v/>
      </c>
      <c r="O1771" s="13">
        <f>IF($C1771="","",IFERROR(MATCH($C1771,'Menu Pricing'!$B$7:$B$56,0),""))</f>
        <v/>
      </c>
    </row>
    <row r="1772" ht="17" customHeight="1">
      <c r="B1772" s="66" t="n"/>
      <c r="C1772" s="60" t="n"/>
      <c r="D1772" s="86" t="n"/>
      <c r="E1772" s="63" t="n"/>
      <c r="F1772" s="60" t="n"/>
      <c r="G1772" s="60" t="n"/>
      <c r="H1772" s="71">
        <f>IF(OR($C1772="",$D1772=""),"",IF(ISNUMBER($E1772),$E1772,IF($O1772="","",IF(N(INDEX('Menu Pricing'!$O$7:$O$56,$O1772))&gt;0,INDEX('Menu Pricing'!$O$7:$O$56,$O1772),""))))</f>
        <v/>
      </c>
      <c r="I1772" s="71">
        <f>IF($N1772&lt;&gt;"OK","",$D1772*$H1772)</f>
        <v/>
      </c>
      <c r="J1772" s="71">
        <f>IF($N1772&lt;&gt;"OK","",N(INDEX('Menu Pricing'!$F$7:$F$56,$O1772))+N(INDEX('Menu Pricing'!$G$7:$G$56,$O1772))+N(INDEX('Menu Pricing'!$J$7:$J$56,$O1772)))</f>
        <v/>
      </c>
      <c r="K1772" s="71">
        <f>IF($N1772&lt;&gt;"OK","",$D1772*$J1772)</f>
        <v/>
      </c>
      <c r="L1772" s="71">
        <f>IF($N1772&lt;&gt;"OK","",$I1772-$K1772)</f>
        <v/>
      </c>
      <c r="M1772" s="71">
        <f>IF($N1772&lt;&gt;"OK","",$D1772*N(INDEX('Menu Pricing'!$F$7:$F$56,$O1772)))</f>
        <v/>
      </c>
      <c r="N1772" s="80">
        <f>IF(AND($B1772="",$C1772="",$D1772=""),"",IF(NOT(ISNUMBER($B1772)),"Enter a valid date",IF($C1772="","Pick a menu item",IF($O1772="","Item not on Menu Pricing",IF(N($D1772)&lt;=0,"Qty must be above 0",IF($H1772="","No price on menu","OK"))))))</f>
        <v/>
      </c>
      <c r="O1772" s="13">
        <f>IF($C1772="","",IFERROR(MATCH($C1772,'Menu Pricing'!$B$7:$B$56,0),""))</f>
        <v/>
      </c>
    </row>
    <row r="1773" ht="17" customHeight="1">
      <c r="B1773" s="66" t="n"/>
      <c r="C1773" s="60" t="n"/>
      <c r="D1773" s="86" t="n"/>
      <c r="E1773" s="63" t="n"/>
      <c r="F1773" s="60" t="n"/>
      <c r="G1773" s="60" t="n"/>
      <c r="H1773" s="71">
        <f>IF(OR($C1773="",$D1773=""),"",IF(ISNUMBER($E1773),$E1773,IF($O1773="","",IF(N(INDEX('Menu Pricing'!$O$7:$O$56,$O1773))&gt;0,INDEX('Menu Pricing'!$O$7:$O$56,$O1773),""))))</f>
        <v/>
      </c>
      <c r="I1773" s="71">
        <f>IF($N1773&lt;&gt;"OK","",$D1773*$H1773)</f>
        <v/>
      </c>
      <c r="J1773" s="71">
        <f>IF($N1773&lt;&gt;"OK","",N(INDEX('Menu Pricing'!$F$7:$F$56,$O1773))+N(INDEX('Menu Pricing'!$G$7:$G$56,$O1773))+N(INDEX('Menu Pricing'!$J$7:$J$56,$O1773)))</f>
        <v/>
      </c>
      <c r="K1773" s="71">
        <f>IF($N1773&lt;&gt;"OK","",$D1773*$J1773)</f>
        <v/>
      </c>
      <c r="L1773" s="71">
        <f>IF($N1773&lt;&gt;"OK","",$I1773-$K1773)</f>
        <v/>
      </c>
      <c r="M1773" s="71">
        <f>IF($N1773&lt;&gt;"OK","",$D1773*N(INDEX('Menu Pricing'!$F$7:$F$56,$O1773)))</f>
        <v/>
      </c>
      <c r="N1773" s="80">
        <f>IF(AND($B1773="",$C1773="",$D1773=""),"",IF(NOT(ISNUMBER($B1773)),"Enter a valid date",IF($C1773="","Pick a menu item",IF($O1773="","Item not on Menu Pricing",IF(N($D1773)&lt;=0,"Qty must be above 0",IF($H1773="","No price on menu","OK"))))))</f>
        <v/>
      </c>
      <c r="O1773" s="13">
        <f>IF($C1773="","",IFERROR(MATCH($C1773,'Menu Pricing'!$B$7:$B$56,0),""))</f>
        <v/>
      </c>
    </row>
    <row r="1774" ht="17" customHeight="1">
      <c r="B1774" s="66" t="n"/>
      <c r="C1774" s="60" t="n"/>
      <c r="D1774" s="86" t="n"/>
      <c r="E1774" s="63" t="n"/>
      <c r="F1774" s="60" t="n"/>
      <c r="G1774" s="60" t="n"/>
      <c r="H1774" s="71">
        <f>IF(OR($C1774="",$D1774=""),"",IF(ISNUMBER($E1774),$E1774,IF($O1774="","",IF(N(INDEX('Menu Pricing'!$O$7:$O$56,$O1774))&gt;0,INDEX('Menu Pricing'!$O$7:$O$56,$O1774),""))))</f>
        <v/>
      </c>
      <c r="I1774" s="71">
        <f>IF($N1774&lt;&gt;"OK","",$D1774*$H1774)</f>
        <v/>
      </c>
      <c r="J1774" s="71">
        <f>IF($N1774&lt;&gt;"OK","",N(INDEX('Menu Pricing'!$F$7:$F$56,$O1774))+N(INDEX('Menu Pricing'!$G$7:$G$56,$O1774))+N(INDEX('Menu Pricing'!$J$7:$J$56,$O1774)))</f>
        <v/>
      </c>
      <c r="K1774" s="71">
        <f>IF($N1774&lt;&gt;"OK","",$D1774*$J1774)</f>
        <v/>
      </c>
      <c r="L1774" s="71">
        <f>IF($N1774&lt;&gt;"OK","",$I1774-$K1774)</f>
        <v/>
      </c>
      <c r="M1774" s="71">
        <f>IF($N1774&lt;&gt;"OK","",$D1774*N(INDEX('Menu Pricing'!$F$7:$F$56,$O1774)))</f>
        <v/>
      </c>
      <c r="N1774" s="80">
        <f>IF(AND($B1774="",$C1774="",$D1774=""),"",IF(NOT(ISNUMBER($B1774)),"Enter a valid date",IF($C1774="","Pick a menu item",IF($O1774="","Item not on Menu Pricing",IF(N($D1774)&lt;=0,"Qty must be above 0",IF($H1774="","No price on menu","OK"))))))</f>
        <v/>
      </c>
      <c r="O1774" s="13">
        <f>IF($C1774="","",IFERROR(MATCH($C1774,'Menu Pricing'!$B$7:$B$56,0),""))</f>
        <v/>
      </c>
    </row>
    <row r="1775" ht="17" customHeight="1">
      <c r="B1775" s="66" t="n"/>
      <c r="C1775" s="60" t="n"/>
      <c r="D1775" s="86" t="n"/>
      <c r="E1775" s="63" t="n"/>
      <c r="F1775" s="60" t="n"/>
      <c r="G1775" s="60" t="n"/>
      <c r="H1775" s="71">
        <f>IF(OR($C1775="",$D1775=""),"",IF(ISNUMBER($E1775),$E1775,IF($O1775="","",IF(N(INDEX('Menu Pricing'!$O$7:$O$56,$O1775))&gt;0,INDEX('Menu Pricing'!$O$7:$O$56,$O1775),""))))</f>
        <v/>
      </c>
      <c r="I1775" s="71">
        <f>IF($N1775&lt;&gt;"OK","",$D1775*$H1775)</f>
        <v/>
      </c>
      <c r="J1775" s="71">
        <f>IF($N1775&lt;&gt;"OK","",N(INDEX('Menu Pricing'!$F$7:$F$56,$O1775))+N(INDEX('Menu Pricing'!$G$7:$G$56,$O1775))+N(INDEX('Menu Pricing'!$J$7:$J$56,$O1775)))</f>
        <v/>
      </c>
      <c r="K1775" s="71">
        <f>IF($N1775&lt;&gt;"OK","",$D1775*$J1775)</f>
        <v/>
      </c>
      <c r="L1775" s="71">
        <f>IF($N1775&lt;&gt;"OK","",$I1775-$K1775)</f>
        <v/>
      </c>
      <c r="M1775" s="71">
        <f>IF($N1775&lt;&gt;"OK","",$D1775*N(INDEX('Menu Pricing'!$F$7:$F$56,$O1775)))</f>
        <v/>
      </c>
      <c r="N1775" s="80">
        <f>IF(AND($B1775="",$C1775="",$D1775=""),"",IF(NOT(ISNUMBER($B1775)),"Enter a valid date",IF($C1775="","Pick a menu item",IF($O1775="","Item not on Menu Pricing",IF(N($D1775)&lt;=0,"Qty must be above 0",IF($H1775="","No price on menu","OK"))))))</f>
        <v/>
      </c>
      <c r="O1775" s="13">
        <f>IF($C1775="","",IFERROR(MATCH($C1775,'Menu Pricing'!$B$7:$B$56,0),""))</f>
        <v/>
      </c>
    </row>
    <row r="1776" ht="17" customHeight="1">
      <c r="B1776" s="66" t="n"/>
      <c r="C1776" s="60" t="n"/>
      <c r="D1776" s="86" t="n"/>
      <c r="E1776" s="63" t="n"/>
      <c r="F1776" s="60" t="n"/>
      <c r="G1776" s="60" t="n"/>
      <c r="H1776" s="71">
        <f>IF(OR($C1776="",$D1776=""),"",IF(ISNUMBER($E1776),$E1776,IF($O1776="","",IF(N(INDEX('Menu Pricing'!$O$7:$O$56,$O1776))&gt;0,INDEX('Menu Pricing'!$O$7:$O$56,$O1776),""))))</f>
        <v/>
      </c>
      <c r="I1776" s="71">
        <f>IF($N1776&lt;&gt;"OK","",$D1776*$H1776)</f>
        <v/>
      </c>
      <c r="J1776" s="71">
        <f>IF($N1776&lt;&gt;"OK","",N(INDEX('Menu Pricing'!$F$7:$F$56,$O1776))+N(INDEX('Menu Pricing'!$G$7:$G$56,$O1776))+N(INDEX('Menu Pricing'!$J$7:$J$56,$O1776)))</f>
        <v/>
      </c>
      <c r="K1776" s="71">
        <f>IF($N1776&lt;&gt;"OK","",$D1776*$J1776)</f>
        <v/>
      </c>
      <c r="L1776" s="71">
        <f>IF($N1776&lt;&gt;"OK","",$I1776-$K1776)</f>
        <v/>
      </c>
      <c r="M1776" s="71">
        <f>IF($N1776&lt;&gt;"OK","",$D1776*N(INDEX('Menu Pricing'!$F$7:$F$56,$O1776)))</f>
        <v/>
      </c>
      <c r="N1776" s="80">
        <f>IF(AND($B1776="",$C1776="",$D1776=""),"",IF(NOT(ISNUMBER($B1776)),"Enter a valid date",IF($C1776="","Pick a menu item",IF($O1776="","Item not on Menu Pricing",IF(N($D1776)&lt;=0,"Qty must be above 0",IF($H1776="","No price on menu","OK"))))))</f>
        <v/>
      </c>
      <c r="O1776" s="13">
        <f>IF($C1776="","",IFERROR(MATCH($C1776,'Menu Pricing'!$B$7:$B$56,0),""))</f>
        <v/>
      </c>
    </row>
    <row r="1777" ht="17" customHeight="1">
      <c r="B1777" s="66" t="n"/>
      <c r="C1777" s="60" t="n"/>
      <c r="D1777" s="86" t="n"/>
      <c r="E1777" s="63" t="n"/>
      <c r="F1777" s="60" t="n"/>
      <c r="G1777" s="60" t="n"/>
      <c r="H1777" s="71">
        <f>IF(OR($C1777="",$D1777=""),"",IF(ISNUMBER($E1777),$E1777,IF($O1777="","",IF(N(INDEX('Menu Pricing'!$O$7:$O$56,$O1777))&gt;0,INDEX('Menu Pricing'!$O$7:$O$56,$O1777),""))))</f>
        <v/>
      </c>
      <c r="I1777" s="71">
        <f>IF($N1777&lt;&gt;"OK","",$D1777*$H1777)</f>
        <v/>
      </c>
      <c r="J1777" s="71">
        <f>IF($N1777&lt;&gt;"OK","",N(INDEX('Menu Pricing'!$F$7:$F$56,$O1777))+N(INDEX('Menu Pricing'!$G$7:$G$56,$O1777))+N(INDEX('Menu Pricing'!$J$7:$J$56,$O1777)))</f>
        <v/>
      </c>
      <c r="K1777" s="71">
        <f>IF($N1777&lt;&gt;"OK","",$D1777*$J1777)</f>
        <v/>
      </c>
      <c r="L1777" s="71">
        <f>IF($N1777&lt;&gt;"OK","",$I1777-$K1777)</f>
        <v/>
      </c>
      <c r="M1777" s="71">
        <f>IF($N1777&lt;&gt;"OK","",$D1777*N(INDEX('Menu Pricing'!$F$7:$F$56,$O1777)))</f>
        <v/>
      </c>
      <c r="N1777" s="80">
        <f>IF(AND($B1777="",$C1777="",$D1777=""),"",IF(NOT(ISNUMBER($B1777)),"Enter a valid date",IF($C1777="","Pick a menu item",IF($O1777="","Item not on Menu Pricing",IF(N($D1777)&lt;=0,"Qty must be above 0",IF($H1777="","No price on menu","OK"))))))</f>
        <v/>
      </c>
      <c r="O1777" s="13">
        <f>IF($C1777="","",IFERROR(MATCH($C1777,'Menu Pricing'!$B$7:$B$56,0),""))</f>
        <v/>
      </c>
    </row>
    <row r="1778" ht="17" customHeight="1">
      <c r="B1778" s="66" t="n"/>
      <c r="C1778" s="60" t="n"/>
      <c r="D1778" s="86" t="n"/>
      <c r="E1778" s="63" t="n"/>
      <c r="F1778" s="60" t="n"/>
      <c r="G1778" s="60" t="n"/>
      <c r="H1778" s="71">
        <f>IF(OR($C1778="",$D1778=""),"",IF(ISNUMBER($E1778),$E1778,IF($O1778="","",IF(N(INDEX('Menu Pricing'!$O$7:$O$56,$O1778))&gt;0,INDEX('Menu Pricing'!$O$7:$O$56,$O1778),""))))</f>
        <v/>
      </c>
      <c r="I1778" s="71">
        <f>IF($N1778&lt;&gt;"OK","",$D1778*$H1778)</f>
        <v/>
      </c>
      <c r="J1778" s="71">
        <f>IF($N1778&lt;&gt;"OK","",N(INDEX('Menu Pricing'!$F$7:$F$56,$O1778))+N(INDEX('Menu Pricing'!$G$7:$G$56,$O1778))+N(INDEX('Menu Pricing'!$J$7:$J$56,$O1778)))</f>
        <v/>
      </c>
      <c r="K1778" s="71">
        <f>IF($N1778&lt;&gt;"OK","",$D1778*$J1778)</f>
        <v/>
      </c>
      <c r="L1778" s="71">
        <f>IF($N1778&lt;&gt;"OK","",$I1778-$K1778)</f>
        <v/>
      </c>
      <c r="M1778" s="71">
        <f>IF($N1778&lt;&gt;"OK","",$D1778*N(INDEX('Menu Pricing'!$F$7:$F$56,$O1778)))</f>
        <v/>
      </c>
      <c r="N1778" s="80">
        <f>IF(AND($B1778="",$C1778="",$D1778=""),"",IF(NOT(ISNUMBER($B1778)),"Enter a valid date",IF($C1778="","Pick a menu item",IF($O1778="","Item not on Menu Pricing",IF(N($D1778)&lt;=0,"Qty must be above 0",IF($H1778="","No price on menu","OK"))))))</f>
        <v/>
      </c>
      <c r="O1778" s="13">
        <f>IF($C1778="","",IFERROR(MATCH($C1778,'Menu Pricing'!$B$7:$B$56,0),""))</f>
        <v/>
      </c>
    </row>
    <row r="1779" ht="17" customHeight="1">
      <c r="B1779" s="66" t="n"/>
      <c r="C1779" s="60" t="n"/>
      <c r="D1779" s="86" t="n"/>
      <c r="E1779" s="63" t="n"/>
      <c r="F1779" s="60" t="n"/>
      <c r="G1779" s="60" t="n"/>
      <c r="H1779" s="71">
        <f>IF(OR($C1779="",$D1779=""),"",IF(ISNUMBER($E1779),$E1779,IF($O1779="","",IF(N(INDEX('Menu Pricing'!$O$7:$O$56,$O1779))&gt;0,INDEX('Menu Pricing'!$O$7:$O$56,$O1779),""))))</f>
        <v/>
      </c>
      <c r="I1779" s="71">
        <f>IF($N1779&lt;&gt;"OK","",$D1779*$H1779)</f>
        <v/>
      </c>
      <c r="J1779" s="71">
        <f>IF($N1779&lt;&gt;"OK","",N(INDEX('Menu Pricing'!$F$7:$F$56,$O1779))+N(INDEX('Menu Pricing'!$G$7:$G$56,$O1779))+N(INDEX('Menu Pricing'!$J$7:$J$56,$O1779)))</f>
        <v/>
      </c>
      <c r="K1779" s="71">
        <f>IF($N1779&lt;&gt;"OK","",$D1779*$J1779)</f>
        <v/>
      </c>
      <c r="L1779" s="71">
        <f>IF($N1779&lt;&gt;"OK","",$I1779-$K1779)</f>
        <v/>
      </c>
      <c r="M1779" s="71">
        <f>IF($N1779&lt;&gt;"OK","",$D1779*N(INDEX('Menu Pricing'!$F$7:$F$56,$O1779)))</f>
        <v/>
      </c>
      <c r="N1779" s="80">
        <f>IF(AND($B1779="",$C1779="",$D1779=""),"",IF(NOT(ISNUMBER($B1779)),"Enter a valid date",IF($C1779="","Pick a menu item",IF($O1779="","Item not on Menu Pricing",IF(N($D1779)&lt;=0,"Qty must be above 0",IF($H1779="","No price on menu","OK"))))))</f>
        <v/>
      </c>
      <c r="O1779" s="13">
        <f>IF($C1779="","",IFERROR(MATCH($C1779,'Menu Pricing'!$B$7:$B$56,0),""))</f>
        <v/>
      </c>
    </row>
    <row r="1780" ht="17" customHeight="1">
      <c r="B1780" s="66" t="n"/>
      <c r="C1780" s="60" t="n"/>
      <c r="D1780" s="86" t="n"/>
      <c r="E1780" s="63" t="n"/>
      <c r="F1780" s="60" t="n"/>
      <c r="G1780" s="60" t="n"/>
      <c r="H1780" s="71">
        <f>IF(OR($C1780="",$D1780=""),"",IF(ISNUMBER($E1780),$E1780,IF($O1780="","",IF(N(INDEX('Menu Pricing'!$O$7:$O$56,$O1780))&gt;0,INDEX('Menu Pricing'!$O$7:$O$56,$O1780),""))))</f>
        <v/>
      </c>
      <c r="I1780" s="71">
        <f>IF($N1780&lt;&gt;"OK","",$D1780*$H1780)</f>
        <v/>
      </c>
      <c r="J1780" s="71">
        <f>IF($N1780&lt;&gt;"OK","",N(INDEX('Menu Pricing'!$F$7:$F$56,$O1780))+N(INDEX('Menu Pricing'!$G$7:$G$56,$O1780))+N(INDEX('Menu Pricing'!$J$7:$J$56,$O1780)))</f>
        <v/>
      </c>
      <c r="K1780" s="71">
        <f>IF($N1780&lt;&gt;"OK","",$D1780*$J1780)</f>
        <v/>
      </c>
      <c r="L1780" s="71">
        <f>IF($N1780&lt;&gt;"OK","",$I1780-$K1780)</f>
        <v/>
      </c>
      <c r="M1780" s="71">
        <f>IF($N1780&lt;&gt;"OK","",$D1780*N(INDEX('Menu Pricing'!$F$7:$F$56,$O1780)))</f>
        <v/>
      </c>
      <c r="N1780" s="80">
        <f>IF(AND($B1780="",$C1780="",$D1780=""),"",IF(NOT(ISNUMBER($B1780)),"Enter a valid date",IF($C1780="","Pick a menu item",IF($O1780="","Item not on Menu Pricing",IF(N($D1780)&lt;=0,"Qty must be above 0",IF($H1780="","No price on menu","OK"))))))</f>
        <v/>
      </c>
      <c r="O1780" s="13">
        <f>IF($C1780="","",IFERROR(MATCH($C1780,'Menu Pricing'!$B$7:$B$56,0),""))</f>
        <v/>
      </c>
    </row>
    <row r="1781" ht="17" customHeight="1">
      <c r="B1781" s="66" t="n"/>
      <c r="C1781" s="60" t="n"/>
      <c r="D1781" s="86" t="n"/>
      <c r="E1781" s="63" t="n"/>
      <c r="F1781" s="60" t="n"/>
      <c r="G1781" s="60" t="n"/>
      <c r="H1781" s="71">
        <f>IF(OR($C1781="",$D1781=""),"",IF(ISNUMBER($E1781),$E1781,IF($O1781="","",IF(N(INDEX('Menu Pricing'!$O$7:$O$56,$O1781))&gt;0,INDEX('Menu Pricing'!$O$7:$O$56,$O1781),""))))</f>
        <v/>
      </c>
      <c r="I1781" s="71">
        <f>IF($N1781&lt;&gt;"OK","",$D1781*$H1781)</f>
        <v/>
      </c>
      <c r="J1781" s="71">
        <f>IF($N1781&lt;&gt;"OK","",N(INDEX('Menu Pricing'!$F$7:$F$56,$O1781))+N(INDEX('Menu Pricing'!$G$7:$G$56,$O1781))+N(INDEX('Menu Pricing'!$J$7:$J$56,$O1781)))</f>
        <v/>
      </c>
      <c r="K1781" s="71">
        <f>IF($N1781&lt;&gt;"OK","",$D1781*$J1781)</f>
        <v/>
      </c>
      <c r="L1781" s="71">
        <f>IF($N1781&lt;&gt;"OK","",$I1781-$K1781)</f>
        <v/>
      </c>
      <c r="M1781" s="71">
        <f>IF($N1781&lt;&gt;"OK","",$D1781*N(INDEX('Menu Pricing'!$F$7:$F$56,$O1781)))</f>
        <v/>
      </c>
      <c r="N1781" s="80">
        <f>IF(AND($B1781="",$C1781="",$D1781=""),"",IF(NOT(ISNUMBER($B1781)),"Enter a valid date",IF($C1781="","Pick a menu item",IF($O1781="","Item not on Menu Pricing",IF(N($D1781)&lt;=0,"Qty must be above 0",IF($H1781="","No price on menu","OK"))))))</f>
        <v/>
      </c>
      <c r="O1781" s="13">
        <f>IF($C1781="","",IFERROR(MATCH($C1781,'Menu Pricing'!$B$7:$B$56,0),""))</f>
        <v/>
      </c>
    </row>
    <row r="1782" ht="17" customHeight="1">
      <c r="B1782" s="66" t="n"/>
      <c r="C1782" s="60" t="n"/>
      <c r="D1782" s="86" t="n"/>
      <c r="E1782" s="63" t="n"/>
      <c r="F1782" s="60" t="n"/>
      <c r="G1782" s="60" t="n"/>
      <c r="H1782" s="71">
        <f>IF(OR($C1782="",$D1782=""),"",IF(ISNUMBER($E1782),$E1782,IF($O1782="","",IF(N(INDEX('Menu Pricing'!$O$7:$O$56,$O1782))&gt;0,INDEX('Menu Pricing'!$O$7:$O$56,$O1782),""))))</f>
        <v/>
      </c>
      <c r="I1782" s="71">
        <f>IF($N1782&lt;&gt;"OK","",$D1782*$H1782)</f>
        <v/>
      </c>
      <c r="J1782" s="71">
        <f>IF($N1782&lt;&gt;"OK","",N(INDEX('Menu Pricing'!$F$7:$F$56,$O1782))+N(INDEX('Menu Pricing'!$G$7:$G$56,$O1782))+N(INDEX('Menu Pricing'!$J$7:$J$56,$O1782)))</f>
        <v/>
      </c>
      <c r="K1782" s="71">
        <f>IF($N1782&lt;&gt;"OK","",$D1782*$J1782)</f>
        <v/>
      </c>
      <c r="L1782" s="71">
        <f>IF($N1782&lt;&gt;"OK","",$I1782-$K1782)</f>
        <v/>
      </c>
      <c r="M1782" s="71">
        <f>IF($N1782&lt;&gt;"OK","",$D1782*N(INDEX('Menu Pricing'!$F$7:$F$56,$O1782)))</f>
        <v/>
      </c>
      <c r="N1782" s="80">
        <f>IF(AND($B1782="",$C1782="",$D1782=""),"",IF(NOT(ISNUMBER($B1782)),"Enter a valid date",IF($C1782="","Pick a menu item",IF($O1782="","Item not on Menu Pricing",IF(N($D1782)&lt;=0,"Qty must be above 0",IF($H1782="","No price on menu","OK"))))))</f>
        <v/>
      </c>
      <c r="O1782" s="13">
        <f>IF($C1782="","",IFERROR(MATCH($C1782,'Menu Pricing'!$B$7:$B$56,0),""))</f>
        <v/>
      </c>
    </row>
    <row r="1783" ht="17" customHeight="1">
      <c r="B1783" s="66" t="n"/>
      <c r="C1783" s="60" t="n"/>
      <c r="D1783" s="86" t="n"/>
      <c r="E1783" s="63" t="n"/>
      <c r="F1783" s="60" t="n"/>
      <c r="G1783" s="60" t="n"/>
      <c r="H1783" s="71">
        <f>IF(OR($C1783="",$D1783=""),"",IF(ISNUMBER($E1783),$E1783,IF($O1783="","",IF(N(INDEX('Menu Pricing'!$O$7:$O$56,$O1783))&gt;0,INDEX('Menu Pricing'!$O$7:$O$56,$O1783),""))))</f>
        <v/>
      </c>
      <c r="I1783" s="71">
        <f>IF($N1783&lt;&gt;"OK","",$D1783*$H1783)</f>
        <v/>
      </c>
      <c r="J1783" s="71">
        <f>IF($N1783&lt;&gt;"OK","",N(INDEX('Menu Pricing'!$F$7:$F$56,$O1783))+N(INDEX('Menu Pricing'!$G$7:$G$56,$O1783))+N(INDEX('Menu Pricing'!$J$7:$J$56,$O1783)))</f>
        <v/>
      </c>
      <c r="K1783" s="71">
        <f>IF($N1783&lt;&gt;"OK","",$D1783*$J1783)</f>
        <v/>
      </c>
      <c r="L1783" s="71">
        <f>IF($N1783&lt;&gt;"OK","",$I1783-$K1783)</f>
        <v/>
      </c>
      <c r="M1783" s="71">
        <f>IF($N1783&lt;&gt;"OK","",$D1783*N(INDEX('Menu Pricing'!$F$7:$F$56,$O1783)))</f>
        <v/>
      </c>
      <c r="N1783" s="80">
        <f>IF(AND($B1783="",$C1783="",$D1783=""),"",IF(NOT(ISNUMBER($B1783)),"Enter a valid date",IF($C1783="","Pick a menu item",IF($O1783="","Item not on Menu Pricing",IF(N($D1783)&lt;=0,"Qty must be above 0",IF($H1783="","No price on menu","OK"))))))</f>
        <v/>
      </c>
      <c r="O1783" s="13">
        <f>IF($C1783="","",IFERROR(MATCH($C1783,'Menu Pricing'!$B$7:$B$56,0),""))</f>
        <v/>
      </c>
    </row>
    <row r="1784" ht="17" customHeight="1">
      <c r="B1784" s="66" t="n"/>
      <c r="C1784" s="60" t="n"/>
      <c r="D1784" s="86" t="n"/>
      <c r="E1784" s="63" t="n"/>
      <c r="F1784" s="60" t="n"/>
      <c r="G1784" s="60" t="n"/>
      <c r="H1784" s="71">
        <f>IF(OR($C1784="",$D1784=""),"",IF(ISNUMBER($E1784),$E1784,IF($O1784="","",IF(N(INDEX('Menu Pricing'!$O$7:$O$56,$O1784))&gt;0,INDEX('Menu Pricing'!$O$7:$O$56,$O1784),""))))</f>
        <v/>
      </c>
      <c r="I1784" s="71">
        <f>IF($N1784&lt;&gt;"OK","",$D1784*$H1784)</f>
        <v/>
      </c>
      <c r="J1784" s="71">
        <f>IF($N1784&lt;&gt;"OK","",N(INDEX('Menu Pricing'!$F$7:$F$56,$O1784))+N(INDEX('Menu Pricing'!$G$7:$G$56,$O1784))+N(INDEX('Menu Pricing'!$J$7:$J$56,$O1784)))</f>
        <v/>
      </c>
      <c r="K1784" s="71">
        <f>IF($N1784&lt;&gt;"OK","",$D1784*$J1784)</f>
        <v/>
      </c>
      <c r="L1784" s="71">
        <f>IF($N1784&lt;&gt;"OK","",$I1784-$K1784)</f>
        <v/>
      </c>
      <c r="M1784" s="71">
        <f>IF($N1784&lt;&gt;"OK","",$D1784*N(INDEX('Menu Pricing'!$F$7:$F$56,$O1784)))</f>
        <v/>
      </c>
      <c r="N1784" s="80">
        <f>IF(AND($B1784="",$C1784="",$D1784=""),"",IF(NOT(ISNUMBER($B1784)),"Enter a valid date",IF($C1784="","Pick a menu item",IF($O1784="","Item not on Menu Pricing",IF(N($D1784)&lt;=0,"Qty must be above 0",IF($H1784="","No price on menu","OK"))))))</f>
        <v/>
      </c>
      <c r="O1784" s="13">
        <f>IF($C1784="","",IFERROR(MATCH($C1784,'Menu Pricing'!$B$7:$B$56,0),""))</f>
        <v/>
      </c>
    </row>
    <row r="1785" ht="17" customHeight="1">
      <c r="B1785" s="66" t="n"/>
      <c r="C1785" s="60" t="n"/>
      <c r="D1785" s="86" t="n"/>
      <c r="E1785" s="63" t="n"/>
      <c r="F1785" s="60" t="n"/>
      <c r="G1785" s="60" t="n"/>
      <c r="H1785" s="71">
        <f>IF(OR($C1785="",$D1785=""),"",IF(ISNUMBER($E1785),$E1785,IF($O1785="","",IF(N(INDEX('Menu Pricing'!$O$7:$O$56,$O1785))&gt;0,INDEX('Menu Pricing'!$O$7:$O$56,$O1785),""))))</f>
        <v/>
      </c>
      <c r="I1785" s="71">
        <f>IF($N1785&lt;&gt;"OK","",$D1785*$H1785)</f>
        <v/>
      </c>
      <c r="J1785" s="71">
        <f>IF($N1785&lt;&gt;"OK","",N(INDEX('Menu Pricing'!$F$7:$F$56,$O1785))+N(INDEX('Menu Pricing'!$G$7:$G$56,$O1785))+N(INDEX('Menu Pricing'!$J$7:$J$56,$O1785)))</f>
        <v/>
      </c>
      <c r="K1785" s="71">
        <f>IF($N1785&lt;&gt;"OK","",$D1785*$J1785)</f>
        <v/>
      </c>
      <c r="L1785" s="71">
        <f>IF($N1785&lt;&gt;"OK","",$I1785-$K1785)</f>
        <v/>
      </c>
      <c r="M1785" s="71">
        <f>IF($N1785&lt;&gt;"OK","",$D1785*N(INDEX('Menu Pricing'!$F$7:$F$56,$O1785)))</f>
        <v/>
      </c>
      <c r="N1785" s="80">
        <f>IF(AND($B1785="",$C1785="",$D1785=""),"",IF(NOT(ISNUMBER($B1785)),"Enter a valid date",IF($C1785="","Pick a menu item",IF($O1785="","Item not on Menu Pricing",IF(N($D1785)&lt;=0,"Qty must be above 0",IF($H1785="","No price on menu","OK"))))))</f>
        <v/>
      </c>
      <c r="O1785" s="13">
        <f>IF($C1785="","",IFERROR(MATCH($C1785,'Menu Pricing'!$B$7:$B$56,0),""))</f>
        <v/>
      </c>
    </row>
    <row r="1786" ht="17" customHeight="1">
      <c r="B1786" s="66" t="n"/>
      <c r="C1786" s="60" t="n"/>
      <c r="D1786" s="86" t="n"/>
      <c r="E1786" s="63" t="n"/>
      <c r="F1786" s="60" t="n"/>
      <c r="G1786" s="60" t="n"/>
      <c r="H1786" s="71">
        <f>IF(OR($C1786="",$D1786=""),"",IF(ISNUMBER($E1786),$E1786,IF($O1786="","",IF(N(INDEX('Menu Pricing'!$O$7:$O$56,$O1786))&gt;0,INDEX('Menu Pricing'!$O$7:$O$56,$O1786),""))))</f>
        <v/>
      </c>
      <c r="I1786" s="71">
        <f>IF($N1786&lt;&gt;"OK","",$D1786*$H1786)</f>
        <v/>
      </c>
      <c r="J1786" s="71">
        <f>IF($N1786&lt;&gt;"OK","",N(INDEX('Menu Pricing'!$F$7:$F$56,$O1786))+N(INDEX('Menu Pricing'!$G$7:$G$56,$O1786))+N(INDEX('Menu Pricing'!$J$7:$J$56,$O1786)))</f>
        <v/>
      </c>
      <c r="K1786" s="71">
        <f>IF($N1786&lt;&gt;"OK","",$D1786*$J1786)</f>
        <v/>
      </c>
      <c r="L1786" s="71">
        <f>IF($N1786&lt;&gt;"OK","",$I1786-$K1786)</f>
        <v/>
      </c>
      <c r="M1786" s="71">
        <f>IF($N1786&lt;&gt;"OK","",$D1786*N(INDEX('Menu Pricing'!$F$7:$F$56,$O1786)))</f>
        <v/>
      </c>
      <c r="N1786" s="80">
        <f>IF(AND($B1786="",$C1786="",$D1786=""),"",IF(NOT(ISNUMBER($B1786)),"Enter a valid date",IF($C1786="","Pick a menu item",IF($O1786="","Item not on Menu Pricing",IF(N($D1786)&lt;=0,"Qty must be above 0",IF($H1786="","No price on menu","OK"))))))</f>
        <v/>
      </c>
      <c r="O1786" s="13">
        <f>IF($C1786="","",IFERROR(MATCH($C1786,'Menu Pricing'!$B$7:$B$56,0),""))</f>
        <v/>
      </c>
    </row>
    <row r="1787" ht="17" customHeight="1">
      <c r="B1787" s="66" t="n"/>
      <c r="C1787" s="60" t="n"/>
      <c r="D1787" s="86" t="n"/>
      <c r="E1787" s="63" t="n"/>
      <c r="F1787" s="60" t="n"/>
      <c r="G1787" s="60" t="n"/>
      <c r="H1787" s="71">
        <f>IF(OR($C1787="",$D1787=""),"",IF(ISNUMBER($E1787),$E1787,IF($O1787="","",IF(N(INDEX('Menu Pricing'!$O$7:$O$56,$O1787))&gt;0,INDEX('Menu Pricing'!$O$7:$O$56,$O1787),""))))</f>
        <v/>
      </c>
      <c r="I1787" s="71">
        <f>IF($N1787&lt;&gt;"OK","",$D1787*$H1787)</f>
        <v/>
      </c>
      <c r="J1787" s="71">
        <f>IF($N1787&lt;&gt;"OK","",N(INDEX('Menu Pricing'!$F$7:$F$56,$O1787))+N(INDEX('Menu Pricing'!$G$7:$G$56,$O1787))+N(INDEX('Menu Pricing'!$J$7:$J$56,$O1787)))</f>
        <v/>
      </c>
      <c r="K1787" s="71">
        <f>IF($N1787&lt;&gt;"OK","",$D1787*$J1787)</f>
        <v/>
      </c>
      <c r="L1787" s="71">
        <f>IF($N1787&lt;&gt;"OK","",$I1787-$K1787)</f>
        <v/>
      </c>
      <c r="M1787" s="71">
        <f>IF($N1787&lt;&gt;"OK","",$D1787*N(INDEX('Menu Pricing'!$F$7:$F$56,$O1787)))</f>
        <v/>
      </c>
      <c r="N1787" s="80">
        <f>IF(AND($B1787="",$C1787="",$D1787=""),"",IF(NOT(ISNUMBER($B1787)),"Enter a valid date",IF($C1787="","Pick a menu item",IF($O1787="","Item not on Menu Pricing",IF(N($D1787)&lt;=0,"Qty must be above 0",IF($H1787="","No price on menu","OK"))))))</f>
        <v/>
      </c>
      <c r="O1787" s="13">
        <f>IF($C1787="","",IFERROR(MATCH($C1787,'Menu Pricing'!$B$7:$B$56,0),""))</f>
        <v/>
      </c>
    </row>
    <row r="1788" ht="17" customHeight="1">
      <c r="B1788" s="66" t="n"/>
      <c r="C1788" s="60" t="n"/>
      <c r="D1788" s="86" t="n"/>
      <c r="E1788" s="63" t="n"/>
      <c r="F1788" s="60" t="n"/>
      <c r="G1788" s="60" t="n"/>
      <c r="H1788" s="71">
        <f>IF(OR($C1788="",$D1788=""),"",IF(ISNUMBER($E1788),$E1788,IF($O1788="","",IF(N(INDEX('Menu Pricing'!$O$7:$O$56,$O1788))&gt;0,INDEX('Menu Pricing'!$O$7:$O$56,$O1788),""))))</f>
        <v/>
      </c>
      <c r="I1788" s="71">
        <f>IF($N1788&lt;&gt;"OK","",$D1788*$H1788)</f>
        <v/>
      </c>
      <c r="J1788" s="71">
        <f>IF($N1788&lt;&gt;"OK","",N(INDEX('Menu Pricing'!$F$7:$F$56,$O1788))+N(INDEX('Menu Pricing'!$G$7:$G$56,$O1788))+N(INDEX('Menu Pricing'!$J$7:$J$56,$O1788)))</f>
        <v/>
      </c>
      <c r="K1788" s="71">
        <f>IF($N1788&lt;&gt;"OK","",$D1788*$J1788)</f>
        <v/>
      </c>
      <c r="L1788" s="71">
        <f>IF($N1788&lt;&gt;"OK","",$I1788-$K1788)</f>
        <v/>
      </c>
      <c r="M1788" s="71">
        <f>IF($N1788&lt;&gt;"OK","",$D1788*N(INDEX('Menu Pricing'!$F$7:$F$56,$O1788)))</f>
        <v/>
      </c>
      <c r="N1788" s="80">
        <f>IF(AND($B1788="",$C1788="",$D1788=""),"",IF(NOT(ISNUMBER($B1788)),"Enter a valid date",IF($C1788="","Pick a menu item",IF($O1788="","Item not on Menu Pricing",IF(N($D1788)&lt;=0,"Qty must be above 0",IF($H1788="","No price on menu","OK"))))))</f>
        <v/>
      </c>
      <c r="O1788" s="13">
        <f>IF($C1788="","",IFERROR(MATCH($C1788,'Menu Pricing'!$B$7:$B$56,0),""))</f>
        <v/>
      </c>
    </row>
    <row r="1789" ht="17" customHeight="1">
      <c r="B1789" s="66" t="n"/>
      <c r="C1789" s="60" t="n"/>
      <c r="D1789" s="86" t="n"/>
      <c r="E1789" s="63" t="n"/>
      <c r="F1789" s="60" t="n"/>
      <c r="G1789" s="60" t="n"/>
      <c r="H1789" s="71">
        <f>IF(OR($C1789="",$D1789=""),"",IF(ISNUMBER($E1789),$E1789,IF($O1789="","",IF(N(INDEX('Menu Pricing'!$O$7:$O$56,$O1789))&gt;0,INDEX('Menu Pricing'!$O$7:$O$56,$O1789),""))))</f>
        <v/>
      </c>
      <c r="I1789" s="71">
        <f>IF($N1789&lt;&gt;"OK","",$D1789*$H1789)</f>
        <v/>
      </c>
      <c r="J1789" s="71">
        <f>IF($N1789&lt;&gt;"OK","",N(INDEX('Menu Pricing'!$F$7:$F$56,$O1789))+N(INDEX('Menu Pricing'!$G$7:$G$56,$O1789))+N(INDEX('Menu Pricing'!$J$7:$J$56,$O1789)))</f>
        <v/>
      </c>
      <c r="K1789" s="71">
        <f>IF($N1789&lt;&gt;"OK","",$D1789*$J1789)</f>
        <v/>
      </c>
      <c r="L1789" s="71">
        <f>IF($N1789&lt;&gt;"OK","",$I1789-$K1789)</f>
        <v/>
      </c>
      <c r="M1789" s="71">
        <f>IF($N1789&lt;&gt;"OK","",$D1789*N(INDEX('Menu Pricing'!$F$7:$F$56,$O1789)))</f>
        <v/>
      </c>
      <c r="N1789" s="80">
        <f>IF(AND($B1789="",$C1789="",$D1789=""),"",IF(NOT(ISNUMBER($B1789)),"Enter a valid date",IF($C1789="","Pick a menu item",IF($O1789="","Item not on Menu Pricing",IF(N($D1789)&lt;=0,"Qty must be above 0",IF($H1789="","No price on menu","OK"))))))</f>
        <v/>
      </c>
      <c r="O1789" s="13">
        <f>IF($C1789="","",IFERROR(MATCH($C1789,'Menu Pricing'!$B$7:$B$56,0),""))</f>
        <v/>
      </c>
    </row>
    <row r="1790" ht="17" customHeight="1">
      <c r="B1790" s="66" t="n"/>
      <c r="C1790" s="60" t="n"/>
      <c r="D1790" s="86" t="n"/>
      <c r="E1790" s="63" t="n"/>
      <c r="F1790" s="60" t="n"/>
      <c r="G1790" s="60" t="n"/>
      <c r="H1790" s="71">
        <f>IF(OR($C1790="",$D1790=""),"",IF(ISNUMBER($E1790),$E1790,IF($O1790="","",IF(N(INDEX('Menu Pricing'!$O$7:$O$56,$O1790))&gt;0,INDEX('Menu Pricing'!$O$7:$O$56,$O1790),""))))</f>
        <v/>
      </c>
      <c r="I1790" s="71">
        <f>IF($N1790&lt;&gt;"OK","",$D1790*$H1790)</f>
        <v/>
      </c>
      <c r="J1790" s="71">
        <f>IF($N1790&lt;&gt;"OK","",N(INDEX('Menu Pricing'!$F$7:$F$56,$O1790))+N(INDEX('Menu Pricing'!$G$7:$G$56,$O1790))+N(INDEX('Menu Pricing'!$J$7:$J$56,$O1790)))</f>
        <v/>
      </c>
      <c r="K1790" s="71">
        <f>IF($N1790&lt;&gt;"OK","",$D1790*$J1790)</f>
        <v/>
      </c>
      <c r="L1790" s="71">
        <f>IF($N1790&lt;&gt;"OK","",$I1790-$K1790)</f>
        <v/>
      </c>
      <c r="M1790" s="71">
        <f>IF($N1790&lt;&gt;"OK","",$D1790*N(INDEX('Menu Pricing'!$F$7:$F$56,$O1790)))</f>
        <v/>
      </c>
      <c r="N1790" s="80">
        <f>IF(AND($B1790="",$C1790="",$D1790=""),"",IF(NOT(ISNUMBER($B1790)),"Enter a valid date",IF($C1790="","Pick a menu item",IF($O1790="","Item not on Menu Pricing",IF(N($D1790)&lt;=0,"Qty must be above 0",IF($H1790="","No price on menu","OK"))))))</f>
        <v/>
      </c>
      <c r="O1790" s="13">
        <f>IF($C1790="","",IFERROR(MATCH($C1790,'Menu Pricing'!$B$7:$B$56,0),""))</f>
        <v/>
      </c>
    </row>
    <row r="1791" ht="17" customHeight="1">
      <c r="B1791" s="66" t="n"/>
      <c r="C1791" s="60" t="n"/>
      <c r="D1791" s="86" t="n"/>
      <c r="E1791" s="63" t="n"/>
      <c r="F1791" s="60" t="n"/>
      <c r="G1791" s="60" t="n"/>
      <c r="H1791" s="71">
        <f>IF(OR($C1791="",$D1791=""),"",IF(ISNUMBER($E1791),$E1791,IF($O1791="","",IF(N(INDEX('Menu Pricing'!$O$7:$O$56,$O1791))&gt;0,INDEX('Menu Pricing'!$O$7:$O$56,$O1791),""))))</f>
        <v/>
      </c>
      <c r="I1791" s="71">
        <f>IF($N1791&lt;&gt;"OK","",$D1791*$H1791)</f>
        <v/>
      </c>
      <c r="J1791" s="71">
        <f>IF($N1791&lt;&gt;"OK","",N(INDEX('Menu Pricing'!$F$7:$F$56,$O1791))+N(INDEX('Menu Pricing'!$G$7:$G$56,$O1791))+N(INDEX('Menu Pricing'!$J$7:$J$56,$O1791)))</f>
        <v/>
      </c>
      <c r="K1791" s="71">
        <f>IF($N1791&lt;&gt;"OK","",$D1791*$J1791)</f>
        <v/>
      </c>
      <c r="L1791" s="71">
        <f>IF($N1791&lt;&gt;"OK","",$I1791-$K1791)</f>
        <v/>
      </c>
      <c r="M1791" s="71">
        <f>IF($N1791&lt;&gt;"OK","",$D1791*N(INDEX('Menu Pricing'!$F$7:$F$56,$O1791)))</f>
        <v/>
      </c>
      <c r="N1791" s="80">
        <f>IF(AND($B1791="",$C1791="",$D1791=""),"",IF(NOT(ISNUMBER($B1791)),"Enter a valid date",IF($C1791="","Pick a menu item",IF($O1791="","Item not on Menu Pricing",IF(N($D1791)&lt;=0,"Qty must be above 0",IF($H1791="","No price on menu","OK"))))))</f>
        <v/>
      </c>
      <c r="O1791" s="13">
        <f>IF($C1791="","",IFERROR(MATCH($C1791,'Menu Pricing'!$B$7:$B$56,0),""))</f>
        <v/>
      </c>
    </row>
    <row r="1792" ht="17" customHeight="1">
      <c r="B1792" s="66" t="n"/>
      <c r="C1792" s="60" t="n"/>
      <c r="D1792" s="86" t="n"/>
      <c r="E1792" s="63" t="n"/>
      <c r="F1792" s="60" t="n"/>
      <c r="G1792" s="60" t="n"/>
      <c r="H1792" s="71">
        <f>IF(OR($C1792="",$D1792=""),"",IF(ISNUMBER($E1792),$E1792,IF($O1792="","",IF(N(INDEX('Menu Pricing'!$O$7:$O$56,$O1792))&gt;0,INDEX('Menu Pricing'!$O$7:$O$56,$O1792),""))))</f>
        <v/>
      </c>
      <c r="I1792" s="71">
        <f>IF($N1792&lt;&gt;"OK","",$D1792*$H1792)</f>
        <v/>
      </c>
      <c r="J1792" s="71">
        <f>IF($N1792&lt;&gt;"OK","",N(INDEX('Menu Pricing'!$F$7:$F$56,$O1792))+N(INDEX('Menu Pricing'!$G$7:$G$56,$O1792))+N(INDEX('Menu Pricing'!$J$7:$J$56,$O1792)))</f>
        <v/>
      </c>
      <c r="K1792" s="71">
        <f>IF($N1792&lt;&gt;"OK","",$D1792*$J1792)</f>
        <v/>
      </c>
      <c r="L1792" s="71">
        <f>IF($N1792&lt;&gt;"OK","",$I1792-$K1792)</f>
        <v/>
      </c>
      <c r="M1792" s="71">
        <f>IF($N1792&lt;&gt;"OK","",$D1792*N(INDEX('Menu Pricing'!$F$7:$F$56,$O1792)))</f>
        <v/>
      </c>
      <c r="N1792" s="80">
        <f>IF(AND($B1792="",$C1792="",$D1792=""),"",IF(NOT(ISNUMBER($B1792)),"Enter a valid date",IF($C1792="","Pick a menu item",IF($O1792="","Item not on Menu Pricing",IF(N($D1792)&lt;=0,"Qty must be above 0",IF($H1792="","No price on menu","OK"))))))</f>
        <v/>
      </c>
      <c r="O1792" s="13">
        <f>IF($C1792="","",IFERROR(MATCH($C1792,'Menu Pricing'!$B$7:$B$56,0),""))</f>
        <v/>
      </c>
    </row>
    <row r="1793" ht="17" customHeight="1">
      <c r="B1793" s="66" t="n"/>
      <c r="C1793" s="60" t="n"/>
      <c r="D1793" s="86" t="n"/>
      <c r="E1793" s="63" t="n"/>
      <c r="F1793" s="60" t="n"/>
      <c r="G1793" s="60" t="n"/>
      <c r="H1793" s="71">
        <f>IF(OR($C1793="",$D1793=""),"",IF(ISNUMBER($E1793),$E1793,IF($O1793="","",IF(N(INDEX('Menu Pricing'!$O$7:$O$56,$O1793))&gt;0,INDEX('Menu Pricing'!$O$7:$O$56,$O1793),""))))</f>
        <v/>
      </c>
      <c r="I1793" s="71">
        <f>IF($N1793&lt;&gt;"OK","",$D1793*$H1793)</f>
        <v/>
      </c>
      <c r="J1793" s="71">
        <f>IF($N1793&lt;&gt;"OK","",N(INDEX('Menu Pricing'!$F$7:$F$56,$O1793))+N(INDEX('Menu Pricing'!$G$7:$G$56,$O1793))+N(INDEX('Menu Pricing'!$J$7:$J$56,$O1793)))</f>
        <v/>
      </c>
      <c r="K1793" s="71">
        <f>IF($N1793&lt;&gt;"OK","",$D1793*$J1793)</f>
        <v/>
      </c>
      <c r="L1793" s="71">
        <f>IF($N1793&lt;&gt;"OK","",$I1793-$K1793)</f>
        <v/>
      </c>
      <c r="M1793" s="71">
        <f>IF($N1793&lt;&gt;"OK","",$D1793*N(INDEX('Menu Pricing'!$F$7:$F$56,$O1793)))</f>
        <v/>
      </c>
      <c r="N1793" s="80">
        <f>IF(AND($B1793="",$C1793="",$D1793=""),"",IF(NOT(ISNUMBER($B1793)),"Enter a valid date",IF($C1793="","Pick a menu item",IF($O1793="","Item not on Menu Pricing",IF(N($D1793)&lt;=0,"Qty must be above 0",IF($H1793="","No price on menu","OK"))))))</f>
        <v/>
      </c>
      <c r="O1793" s="13">
        <f>IF($C1793="","",IFERROR(MATCH($C1793,'Menu Pricing'!$B$7:$B$56,0),""))</f>
        <v/>
      </c>
    </row>
    <row r="1794" ht="17" customHeight="1">
      <c r="B1794" s="66" t="n"/>
      <c r="C1794" s="60" t="n"/>
      <c r="D1794" s="86" t="n"/>
      <c r="E1794" s="63" t="n"/>
      <c r="F1794" s="60" t="n"/>
      <c r="G1794" s="60" t="n"/>
      <c r="H1794" s="71">
        <f>IF(OR($C1794="",$D1794=""),"",IF(ISNUMBER($E1794),$E1794,IF($O1794="","",IF(N(INDEX('Menu Pricing'!$O$7:$O$56,$O1794))&gt;0,INDEX('Menu Pricing'!$O$7:$O$56,$O1794),""))))</f>
        <v/>
      </c>
      <c r="I1794" s="71">
        <f>IF($N1794&lt;&gt;"OK","",$D1794*$H1794)</f>
        <v/>
      </c>
      <c r="J1794" s="71">
        <f>IF($N1794&lt;&gt;"OK","",N(INDEX('Menu Pricing'!$F$7:$F$56,$O1794))+N(INDEX('Menu Pricing'!$G$7:$G$56,$O1794))+N(INDEX('Menu Pricing'!$J$7:$J$56,$O1794)))</f>
        <v/>
      </c>
      <c r="K1794" s="71">
        <f>IF($N1794&lt;&gt;"OK","",$D1794*$J1794)</f>
        <v/>
      </c>
      <c r="L1794" s="71">
        <f>IF($N1794&lt;&gt;"OK","",$I1794-$K1794)</f>
        <v/>
      </c>
      <c r="M1794" s="71">
        <f>IF($N1794&lt;&gt;"OK","",$D1794*N(INDEX('Menu Pricing'!$F$7:$F$56,$O1794)))</f>
        <v/>
      </c>
      <c r="N1794" s="80">
        <f>IF(AND($B1794="",$C1794="",$D1794=""),"",IF(NOT(ISNUMBER($B1794)),"Enter a valid date",IF($C1794="","Pick a menu item",IF($O1794="","Item not on Menu Pricing",IF(N($D1794)&lt;=0,"Qty must be above 0",IF($H1794="","No price on menu","OK"))))))</f>
        <v/>
      </c>
      <c r="O1794" s="13">
        <f>IF($C1794="","",IFERROR(MATCH($C1794,'Menu Pricing'!$B$7:$B$56,0),""))</f>
        <v/>
      </c>
    </row>
    <row r="1795" ht="17" customHeight="1">
      <c r="B1795" s="66" t="n"/>
      <c r="C1795" s="60" t="n"/>
      <c r="D1795" s="86" t="n"/>
      <c r="E1795" s="63" t="n"/>
      <c r="F1795" s="60" t="n"/>
      <c r="G1795" s="60" t="n"/>
      <c r="H1795" s="71">
        <f>IF(OR($C1795="",$D1795=""),"",IF(ISNUMBER($E1795),$E1795,IF($O1795="","",IF(N(INDEX('Menu Pricing'!$O$7:$O$56,$O1795))&gt;0,INDEX('Menu Pricing'!$O$7:$O$56,$O1795),""))))</f>
        <v/>
      </c>
      <c r="I1795" s="71">
        <f>IF($N1795&lt;&gt;"OK","",$D1795*$H1795)</f>
        <v/>
      </c>
      <c r="J1795" s="71">
        <f>IF($N1795&lt;&gt;"OK","",N(INDEX('Menu Pricing'!$F$7:$F$56,$O1795))+N(INDEX('Menu Pricing'!$G$7:$G$56,$O1795))+N(INDEX('Menu Pricing'!$J$7:$J$56,$O1795)))</f>
        <v/>
      </c>
      <c r="K1795" s="71">
        <f>IF($N1795&lt;&gt;"OK","",$D1795*$J1795)</f>
        <v/>
      </c>
      <c r="L1795" s="71">
        <f>IF($N1795&lt;&gt;"OK","",$I1795-$K1795)</f>
        <v/>
      </c>
      <c r="M1795" s="71">
        <f>IF($N1795&lt;&gt;"OK","",$D1795*N(INDEX('Menu Pricing'!$F$7:$F$56,$O1795)))</f>
        <v/>
      </c>
      <c r="N1795" s="80">
        <f>IF(AND($B1795="",$C1795="",$D1795=""),"",IF(NOT(ISNUMBER($B1795)),"Enter a valid date",IF($C1795="","Pick a menu item",IF($O1795="","Item not on Menu Pricing",IF(N($D1795)&lt;=0,"Qty must be above 0",IF($H1795="","No price on menu","OK"))))))</f>
        <v/>
      </c>
      <c r="O1795" s="13">
        <f>IF($C1795="","",IFERROR(MATCH($C1795,'Menu Pricing'!$B$7:$B$56,0),""))</f>
        <v/>
      </c>
    </row>
    <row r="1796" ht="17" customHeight="1">
      <c r="B1796" s="66" t="n"/>
      <c r="C1796" s="60" t="n"/>
      <c r="D1796" s="86" t="n"/>
      <c r="E1796" s="63" t="n"/>
      <c r="F1796" s="60" t="n"/>
      <c r="G1796" s="60" t="n"/>
      <c r="H1796" s="71">
        <f>IF(OR($C1796="",$D1796=""),"",IF(ISNUMBER($E1796),$E1796,IF($O1796="","",IF(N(INDEX('Menu Pricing'!$O$7:$O$56,$O1796))&gt;0,INDEX('Menu Pricing'!$O$7:$O$56,$O1796),""))))</f>
        <v/>
      </c>
      <c r="I1796" s="71">
        <f>IF($N1796&lt;&gt;"OK","",$D1796*$H1796)</f>
        <v/>
      </c>
      <c r="J1796" s="71">
        <f>IF($N1796&lt;&gt;"OK","",N(INDEX('Menu Pricing'!$F$7:$F$56,$O1796))+N(INDEX('Menu Pricing'!$G$7:$G$56,$O1796))+N(INDEX('Menu Pricing'!$J$7:$J$56,$O1796)))</f>
        <v/>
      </c>
      <c r="K1796" s="71">
        <f>IF($N1796&lt;&gt;"OK","",$D1796*$J1796)</f>
        <v/>
      </c>
      <c r="L1796" s="71">
        <f>IF($N1796&lt;&gt;"OK","",$I1796-$K1796)</f>
        <v/>
      </c>
      <c r="M1796" s="71">
        <f>IF($N1796&lt;&gt;"OK","",$D1796*N(INDEX('Menu Pricing'!$F$7:$F$56,$O1796)))</f>
        <v/>
      </c>
      <c r="N1796" s="80">
        <f>IF(AND($B1796="",$C1796="",$D1796=""),"",IF(NOT(ISNUMBER($B1796)),"Enter a valid date",IF($C1796="","Pick a menu item",IF($O1796="","Item not on Menu Pricing",IF(N($D1796)&lt;=0,"Qty must be above 0",IF($H1796="","No price on menu","OK"))))))</f>
        <v/>
      </c>
      <c r="O1796" s="13">
        <f>IF($C1796="","",IFERROR(MATCH($C1796,'Menu Pricing'!$B$7:$B$56,0),""))</f>
        <v/>
      </c>
    </row>
    <row r="1797" ht="17" customHeight="1">
      <c r="B1797" s="66" t="n"/>
      <c r="C1797" s="60" t="n"/>
      <c r="D1797" s="86" t="n"/>
      <c r="E1797" s="63" t="n"/>
      <c r="F1797" s="60" t="n"/>
      <c r="G1797" s="60" t="n"/>
      <c r="H1797" s="71">
        <f>IF(OR($C1797="",$D1797=""),"",IF(ISNUMBER($E1797),$E1797,IF($O1797="","",IF(N(INDEX('Menu Pricing'!$O$7:$O$56,$O1797))&gt;0,INDEX('Menu Pricing'!$O$7:$O$56,$O1797),""))))</f>
        <v/>
      </c>
      <c r="I1797" s="71">
        <f>IF($N1797&lt;&gt;"OK","",$D1797*$H1797)</f>
        <v/>
      </c>
      <c r="J1797" s="71">
        <f>IF($N1797&lt;&gt;"OK","",N(INDEX('Menu Pricing'!$F$7:$F$56,$O1797))+N(INDEX('Menu Pricing'!$G$7:$G$56,$O1797))+N(INDEX('Menu Pricing'!$J$7:$J$56,$O1797)))</f>
        <v/>
      </c>
      <c r="K1797" s="71">
        <f>IF($N1797&lt;&gt;"OK","",$D1797*$J1797)</f>
        <v/>
      </c>
      <c r="L1797" s="71">
        <f>IF($N1797&lt;&gt;"OK","",$I1797-$K1797)</f>
        <v/>
      </c>
      <c r="M1797" s="71">
        <f>IF($N1797&lt;&gt;"OK","",$D1797*N(INDEX('Menu Pricing'!$F$7:$F$56,$O1797)))</f>
        <v/>
      </c>
      <c r="N1797" s="80">
        <f>IF(AND($B1797="",$C1797="",$D1797=""),"",IF(NOT(ISNUMBER($B1797)),"Enter a valid date",IF($C1797="","Pick a menu item",IF($O1797="","Item not on Menu Pricing",IF(N($D1797)&lt;=0,"Qty must be above 0",IF($H1797="","No price on menu","OK"))))))</f>
        <v/>
      </c>
      <c r="O1797" s="13">
        <f>IF($C1797="","",IFERROR(MATCH($C1797,'Menu Pricing'!$B$7:$B$56,0),""))</f>
        <v/>
      </c>
    </row>
    <row r="1798" ht="17" customHeight="1">
      <c r="B1798" s="66" t="n"/>
      <c r="C1798" s="60" t="n"/>
      <c r="D1798" s="86" t="n"/>
      <c r="E1798" s="63" t="n"/>
      <c r="F1798" s="60" t="n"/>
      <c r="G1798" s="60" t="n"/>
      <c r="H1798" s="71">
        <f>IF(OR($C1798="",$D1798=""),"",IF(ISNUMBER($E1798),$E1798,IF($O1798="","",IF(N(INDEX('Menu Pricing'!$O$7:$O$56,$O1798))&gt;0,INDEX('Menu Pricing'!$O$7:$O$56,$O1798),""))))</f>
        <v/>
      </c>
      <c r="I1798" s="71">
        <f>IF($N1798&lt;&gt;"OK","",$D1798*$H1798)</f>
        <v/>
      </c>
      <c r="J1798" s="71">
        <f>IF($N1798&lt;&gt;"OK","",N(INDEX('Menu Pricing'!$F$7:$F$56,$O1798))+N(INDEX('Menu Pricing'!$G$7:$G$56,$O1798))+N(INDEX('Menu Pricing'!$J$7:$J$56,$O1798)))</f>
        <v/>
      </c>
      <c r="K1798" s="71">
        <f>IF($N1798&lt;&gt;"OK","",$D1798*$J1798)</f>
        <v/>
      </c>
      <c r="L1798" s="71">
        <f>IF($N1798&lt;&gt;"OK","",$I1798-$K1798)</f>
        <v/>
      </c>
      <c r="M1798" s="71">
        <f>IF($N1798&lt;&gt;"OK","",$D1798*N(INDEX('Menu Pricing'!$F$7:$F$56,$O1798)))</f>
        <v/>
      </c>
      <c r="N1798" s="80">
        <f>IF(AND($B1798="",$C1798="",$D1798=""),"",IF(NOT(ISNUMBER($B1798)),"Enter a valid date",IF($C1798="","Pick a menu item",IF($O1798="","Item not on Menu Pricing",IF(N($D1798)&lt;=0,"Qty must be above 0",IF($H1798="","No price on menu","OK"))))))</f>
        <v/>
      </c>
      <c r="O1798" s="13">
        <f>IF($C1798="","",IFERROR(MATCH($C1798,'Menu Pricing'!$B$7:$B$56,0),""))</f>
        <v/>
      </c>
    </row>
    <row r="1799" ht="17" customHeight="1">
      <c r="B1799" s="66" t="n"/>
      <c r="C1799" s="60" t="n"/>
      <c r="D1799" s="86" t="n"/>
      <c r="E1799" s="63" t="n"/>
      <c r="F1799" s="60" t="n"/>
      <c r="G1799" s="60" t="n"/>
      <c r="H1799" s="71">
        <f>IF(OR($C1799="",$D1799=""),"",IF(ISNUMBER($E1799),$E1799,IF($O1799="","",IF(N(INDEX('Menu Pricing'!$O$7:$O$56,$O1799))&gt;0,INDEX('Menu Pricing'!$O$7:$O$56,$O1799),""))))</f>
        <v/>
      </c>
      <c r="I1799" s="71">
        <f>IF($N1799&lt;&gt;"OK","",$D1799*$H1799)</f>
        <v/>
      </c>
      <c r="J1799" s="71">
        <f>IF($N1799&lt;&gt;"OK","",N(INDEX('Menu Pricing'!$F$7:$F$56,$O1799))+N(INDEX('Menu Pricing'!$G$7:$G$56,$O1799))+N(INDEX('Menu Pricing'!$J$7:$J$56,$O1799)))</f>
        <v/>
      </c>
      <c r="K1799" s="71">
        <f>IF($N1799&lt;&gt;"OK","",$D1799*$J1799)</f>
        <v/>
      </c>
      <c r="L1799" s="71">
        <f>IF($N1799&lt;&gt;"OK","",$I1799-$K1799)</f>
        <v/>
      </c>
      <c r="M1799" s="71">
        <f>IF($N1799&lt;&gt;"OK","",$D1799*N(INDEX('Menu Pricing'!$F$7:$F$56,$O1799)))</f>
        <v/>
      </c>
      <c r="N1799" s="80">
        <f>IF(AND($B1799="",$C1799="",$D1799=""),"",IF(NOT(ISNUMBER($B1799)),"Enter a valid date",IF($C1799="","Pick a menu item",IF($O1799="","Item not on Menu Pricing",IF(N($D1799)&lt;=0,"Qty must be above 0",IF($H1799="","No price on menu","OK"))))))</f>
        <v/>
      </c>
      <c r="O1799" s="13">
        <f>IF($C1799="","",IFERROR(MATCH($C1799,'Menu Pricing'!$B$7:$B$56,0),""))</f>
        <v/>
      </c>
    </row>
    <row r="1800" ht="17" customHeight="1">
      <c r="B1800" s="66" t="n"/>
      <c r="C1800" s="60" t="n"/>
      <c r="D1800" s="86" t="n"/>
      <c r="E1800" s="63" t="n"/>
      <c r="F1800" s="60" t="n"/>
      <c r="G1800" s="60" t="n"/>
      <c r="H1800" s="71">
        <f>IF(OR($C1800="",$D1800=""),"",IF(ISNUMBER($E1800),$E1800,IF($O1800="","",IF(N(INDEX('Menu Pricing'!$O$7:$O$56,$O1800))&gt;0,INDEX('Menu Pricing'!$O$7:$O$56,$O1800),""))))</f>
        <v/>
      </c>
      <c r="I1800" s="71">
        <f>IF($N1800&lt;&gt;"OK","",$D1800*$H1800)</f>
        <v/>
      </c>
      <c r="J1800" s="71">
        <f>IF($N1800&lt;&gt;"OK","",N(INDEX('Menu Pricing'!$F$7:$F$56,$O1800))+N(INDEX('Menu Pricing'!$G$7:$G$56,$O1800))+N(INDEX('Menu Pricing'!$J$7:$J$56,$O1800)))</f>
        <v/>
      </c>
      <c r="K1800" s="71">
        <f>IF($N1800&lt;&gt;"OK","",$D1800*$J1800)</f>
        <v/>
      </c>
      <c r="L1800" s="71">
        <f>IF($N1800&lt;&gt;"OK","",$I1800-$K1800)</f>
        <v/>
      </c>
      <c r="M1800" s="71">
        <f>IF($N1800&lt;&gt;"OK","",$D1800*N(INDEX('Menu Pricing'!$F$7:$F$56,$O1800)))</f>
        <v/>
      </c>
      <c r="N1800" s="80">
        <f>IF(AND($B1800="",$C1800="",$D1800=""),"",IF(NOT(ISNUMBER($B1800)),"Enter a valid date",IF($C1800="","Pick a menu item",IF($O1800="","Item not on Menu Pricing",IF(N($D1800)&lt;=0,"Qty must be above 0",IF($H1800="","No price on menu","OK"))))))</f>
        <v/>
      </c>
      <c r="O1800" s="13">
        <f>IF($C1800="","",IFERROR(MATCH($C1800,'Menu Pricing'!$B$7:$B$56,0),""))</f>
        <v/>
      </c>
    </row>
    <row r="1801" ht="17" customHeight="1">
      <c r="B1801" s="66" t="n"/>
      <c r="C1801" s="60" t="n"/>
      <c r="D1801" s="86" t="n"/>
      <c r="E1801" s="63" t="n"/>
      <c r="F1801" s="60" t="n"/>
      <c r="G1801" s="60" t="n"/>
      <c r="H1801" s="71">
        <f>IF(OR($C1801="",$D1801=""),"",IF(ISNUMBER($E1801),$E1801,IF($O1801="","",IF(N(INDEX('Menu Pricing'!$O$7:$O$56,$O1801))&gt;0,INDEX('Menu Pricing'!$O$7:$O$56,$O1801),""))))</f>
        <v/>
      </c>
      <c r="I1801" s="71">
        <f>IF($N1801&lt;&gt;"OK","",$D1801*$H1801)</f>
        <v/>
      </c>
      <c r="J1801" s="71">
        <f>IF($N1801&lt;&gt;"OK","",N(INDEX('Menu Pricing'!$F$7:$F$56,$O1801))+N(INDEX('Menu Pricing'!$G$7:$G$56,$O1801))+N(INDEX('Menu Pricing'!$J$7:$J$56,$O1801)))</f>
        <v/>
      </c>
      <c r="K1801" s="71">
        <f>IF($N1801&lt;&gt;"OK","",$D1801*$J1801)</f>
        <v/>
      </c>
      <c r="L1801" s="71">
        <f>IF($N1801&lt;&gt;"OK","",$I1801-$K1801)</f>
        <v/>
      </c>
      <c r="M1801" s="71">
        <f>IF($N1801&lt;&gt;"OK","",$D1801*N(INDEX('Menu Pricing'!$F$7:$F$56,$O1801)))</f>
        <v/>
      </c>
      <c r="N1801" s="80">
        <f>IF(AND($B1801="",$C1801="",$D1801=""),"",IF(NOT(ISNUMBER($B1801)),"Enter a valid date",IF($C1801="","Pick a menu item",IF($O1801="","Item not on Menu Pricing",IF(N($D1801)&lt;=0,"Qty must be above 0",IF($H1801="","No price on menu","OK"))))))</f>
        <v/>
      </c>
      <c r="O1801" s="13">
        <f>IF($C1801="","",IFERROR(MATCH($C1801,'Menu Pricing'!$B$7:$B$56,0),""))</f>
        <v/>
      </c>
    </row>
    <row r="1802" ht="17" customHeight="1">
      <c r="B1802" s="66" t="n"/>
      <c r="C1802" s="60" t="n"/>
      <c r="D1802" s="86" t="n"/>
      <c r="E1802" s="63" t="n"/>
      <c r="F1802" s="60" t="n"/>
      <c r="G1802" s="60" t="n"/>
      <c r="H1802" s="71">
        <f>IF(OR($C1802="",$D1802=""),"",IF(ISNUMBER($E1802),$E1802,IF($O1802="","",IF(N(INDEX('Menu Pricing'!$O$7:$O$56,$O1802))&gt;0,INDEX('Menu Pricing'!$O$7:$O$56,$O1802),""))))</f>
        <v/>
      </c>
      <c r="I1802" s="71">
        <f>IF($N1802&lt;&gt;"OK","",$D1802*$H1802)</f>
        <v/>
      </c>
      <c r="J1802" s="71">
        <f>IF($N1802&lt;&gt;"OK","",N(INDEX('Menu Pricing'!$F$7:$F$56,$O1802))+N(INDEX('Menu Pricing'!$G$7:$G$56,$O1802))+N(INDEX('Menu Pricing'!$J$7:$J$56,$O1802)))</f>
        <v/>
      </c>
      <c r="K1802" s="71">
        <f>IF($N1802&lt;&gt;"OK","",$D1802*$J1802)</f>
        <v/>
      </c>
      <c r="L1802" s="71">
        <f>IF($N1802&lt;&gt;"OK","",$I1802-$K1802)</f>
        <v/>
      </c>
      <c r="M1802" s="71">
        <f>IF($N1802&lt;&gt;"OK","",$D1802*N(INDEX('Menu Pricing'!$F$7:$F$56,$O1802)))</f>
        <v/>
      </c>
      <c r="N1802" s="80">
        <f>IF(AND($B1802="",$C1802="",$D1802=""),"",IF(NOT(ISNUMBER($B1802)),"Enter a valid date",IF($C1802="","Pick a menu item",IF($O1802="","Item not on Menu Pricing",IF(N($D1802)&lt;=0,"Qty must be above 0",IF($H1802="","No price on menu","OK"))))))</f>
        <v/>
      </c>
      <c r="O1802" s="13">
        <f>IF($C1802="","",IFERROR(MATCH($C1802,'Menu Pricing'!$B$7:$B$56,0),""))</f>
        <v/>
      </c>
    </row>
    <row r="1803" ht="17" customHeight="1">
      <c r="B1803" s="66" t="n"/>
      <c r="C1803" s="60" t="n"/>
      <c r="D1803" s="86" t="n"/>
      <c r="E1803" s="63" t="n"/>
      <c r="F1803" s="60" t="n"/>
      <c r="G1803" s="60" t="n"/>
      <c r="H1803" s="71">
        <f>IF(OR($C1803="",$D1803=""),"",IF(ISNUMBER($E1803),$E1803,IF($O1803="","",IF(N(INDEX('Menu Pricing'!$O$7:$O$56,$O1803))&gt;0,INDEX('Menu Pricing'!$O$7:$O$56,$O1803),""))))</f>
        <v/>
      </c>
      <c r="I1803" s="71">
        <f>IF($N1803&lt;&gt;"OK","",$D1803*$H1803)</f>
        <v/>
      </c>
      <c r="J1803" s="71">
        <f>IF($N1803&lt;&gt;"OK","",N(INDEX('Menu Pricing'!$F$7:$F$56,$O1803))+N(INDEX('Menu Pricing'!$G$7:$G$56,$O1803))+N(INDEX('Menu Pricing'!$J$7:$J$56,$O1803)))</f>
        <v/>
      </c>
      <c r="K1803" s="71">
        <f>IF($N1803&lt;&gt;"OK","",$D1803*$J1803)</f>
        <v/>
      </c>
      <c r="L1803" s="71">
        <f>IF($N1803&lt;&gt;"OK","",$I1803-$K1803)</f>
        <v/>
      </c>
      <c r="M1803" s="71">
        <f>IF($N1803&lt;&gt;"OK","",$D1803*N(INDEX('Menu Pricing'!$F$7:$F$56,$O1803)))</f>
        <v/>
      </c>
      <c r="N1803" s="80">
        <f>IF(AND($B1803="",$C1803="",$D1803=""),"",IF(NOT(ISNUMBER($B1803)),"Enter a valid date",IF($C1803="","Pick a menu item",IF($O1803="","Item not on Menu Pricing",IF(N($D1803)&lt;=0,"Qty must be above 0",IF($H1803="","No price on menu","OK"))))))</f>
        <v/>
      </c>
      <c r="O1803" s="13">
        <f>IF($C1803="","",IFERROR(MATCH($C1803,'Menu Pricing'!$B$7:$B$56,0),""))</f>
        <v/>
      </c>
    </row>
    <row r="1804" ht="17" customHeight="1">
      <c r="B1804" s="66" t="n"/>
      <c r="C1804" s="60" t="n"/>
      <c r="D1804" s="86" t="n"/>
      <c r="E1804" s="63" t="n"/>
      <c r="F1804" s="60" t="n"/>
      <c r="G1804" s="60" t="n"/>
      <c r="H1804" s="71">
        <f>IF(OR($C1804="",$D1804=""),"",IF(ISNUMBER($E1804),$E1804,IF($O1804="","",IF(N(INDEX('Menu Pricing'!$O$7:$O$56,$O1804))&gt;0,INDEX('Menu Pricing'!$O$7:$O$56,$O1804),""))))</f>
        <v/>
      </c>
      <c r="I1804" s="71">
        <f>IF($N1804&lt;&gt;"OK","",$D1804*$H1804)</f>
        <v/>
      </c>
      <c r="J1804" s="71">
        <f>IF($N1804&lt;&gt;"OK","",N(INDEX('Menu Pricing'!$F$7:$F$56,$O1804))+N(INDEX('Menu Pricing'!$G$7:$G$56,$O1804))+N(INDEX('Menu Pricing'!$J$7:$J$56,$O1804)))</f>
        <v/>
      </c>
      <c r="K1804" s="71">
        <f>IF($N1804&lt;&gt;"OK","",$D1804*$J1804)</f>
        <v/>
      </c>
      <c r="L1804" s="71">
        <f>IF($N1804&lt;&gt;"OK","",$I1804-$K1804)</f>
        <v/>
      </c>
      <c r="M1804" s="71">
        <f>IF($N1804&lt;&gt;"OK","",$D1804*N(INDEX('Menu Pricing'!$F$7:$F$56,$O1804)))</f>
        <v/>
      </c>
      <c r="N1804" s="80">
        <f>IF(AND($B1804="",$C1804="",$D1804=""),"",IF(NOT(ISNUMBER($B1804)),"Enter a valid date",IF($C1804="","Pick a menu item",IF($O1804="","Item not on Menu Pricing",IF(N($D1804)&lt;=0,"Qty must be above 0",IF($H1804="","No price on menu","OK"))))))</f>
        <v/>
      </c>
      <c r="O1804" s="13">
        <f>IF($C1804="","",IFERROR(MATCH($C1804,'Menu Pricing'!$B$7:$B$56,0),""))</f>
        <v/>
      </c>
    </row>
    <row r="1805" ht="17" customHeight="1">
      <c r="B1805" s="66" t="n"/>
      <c r="C1805" s="60" t="n"/>
      <c r="D1805" s="86" t="n"/>
      <c r="E1805" s="63" t="n"/>
      <c r="F1805" s="60" t="n"/>
      <c r="G1805" s="60" t="n"/>
      <c r="H1805" s="71">
        <f>IF(OR($C1805="",$D1805=""),"",IF(ISNUMBER($E1805),$E1805,IF($O1805="","",IF(N(INDEX('Menu Pricing'!$O$7:$O$56,$O1805))&gt;0,INDEX('Menu Pricing'!$O$7:$O$56,$O1805),""))))</f>
        <v/>
      </c>
      <c r="I1805" s="71">
        <f>IF($N1805&lt;&gt;"OK","",$D1805*$H1805)</f>
        <v/>
      </c>
      <c r="J1805" s="71">
        <f>IF($N1805&lt;&gt;"OK","",N(INDEX('Menu Pricing'!$F$7:$F$56,$O1805))+N(INDEX('Menu Pricing'!$G$7:$G$56,$O1805))+N(INDEX('Menu Pricing'!$J$7:$J$56,$O1805)))</f>
        <v/>
      </c>
      <c r="K1805" s="71">
        <f>IF($N1805&lt;&gt;"OK","",$D1805*$J1805)</f>
        <v/>
      </c>
      <c r="L1805" s="71">
        <f>IF($N1805&lt;&gt;"OK","",$I1805-$K1805)</f>
        <v/>
      </c>
      <c r="M1805" s="71">
        <f>IF($N1805&lt;&gt;"OK","",$D1805*N(INDEX('Menu Pricing'!$F$7:$F$56,$O1805)))</f>
        <v/>
      </c>
      <c r="N1805" s="80">
        <f>IF(AND($B1805="",$C1805="",$D1805=""),"",IF(NOT(ISNUMBER($B1805)),"Enter a valid date",IF($C1805="","Pick a menu item",IF($O1805="","Item not on Menu Pricing",IF(N($D1805)&lt;=0,"Qty must be above 0",IF($H1805="","No price on menu","OK"))))))</f>
        <v/>
      </c>
      <c r="O1805" s="13">
        <f>IF($C1805="","",IFERROR(MATCH($C1805,'Menu Pricing'!$B$7:$B$56,0),""))</f>
        <v/>
      </c>
    </row>
    <row r="1806" ht="17" customHeight="1">
      <c r="B1806" s="66" t="n"/>
      <c r="C1806" s="60" t="n"/>
      <c r="D1806" s="86" t="n"/>
      <c r="E1806" s="63" t="n"/>
      <c r="F1806" s="60" t="n"/>
      <c r="G1806" s="60" t="n"/>
      <c r="H1806" s="71">
        <f>IF(OR($C1806="",$D1806=""),"",IF(ISNUMBER($E1806),$E1806,IF($O1806="","",IF(N(INDEX('Menu Pricing'!$O$7:$O$56,$O1806))&gt;0,INDEX('Menu Pricing'!$O$7:$O$56,$O1806),""))))</f>
        <v/>
      </c>
      <c r="I1806" s="71">
        <f>IF($N1806&lt;&gt;"OK","",$D1806*$H1806)</f>
        <v/>
      </c>
      <c r="J1806" s="71">
        <f>IF($N1806&lt;&gt;"OK","",N(INDEX('Menu Pricing'!$F$7:$F$56,$O1806))+N(INDEX('Menu Pricing'!$G$7:$G$56,$O1806))+N(INDEX('Menu Pricing'!$J$7:$J$56,$O1806)))</f>
        <v/>
      </c>
      <c r="K1806" s="71">
        <f>IF($N1806&lt;&gt;"OK","",$D1806*$J1806)</f>
        <v/>
      </c>
      <c r="L1806" s="71">
        <f>IF($N1806&lt;&gt;"OK","",$I1806-$K1806)</f>
        <v/>
      </c>
      <c r="M1806" s="71">
        <f>IF($N1806&lt;&gt;"OK","",$D1806*N(INDEX('Menu Pricing'!$F$7:$F$56,$O1806)))</f>
        <v/>
      </c>
      <c r="N1806" s="80">
        <f>IF(AND($B1806="",$C1806="",$D1806=""),"",IF(NOT(ISNUMBER($B1806)),"Enter a valid date",IF($C1806="","Pick a menu item",IF($O1806="","Item not on Menu Pricing",IF(N($D1806)&lt;=0,"Qty must be above 0",IF($H1806="","No price on menu","OK"))))))</f>
        <v/>
      </c>
      <c r="O1806" s="13">
        <f>IF($C1806="","",IFERROR(MATCH($C1806,'Menu Pricing'!$B$7:$B$56,0),""))</f>
        <v/>
      </c>
    </row>
    <row r="1807" ht="17" customHeight="1">
      <c r="B1807" s="66" t="n"/>
      <c r="C1807" s="60" t="n"/>
      <c r="D1807" s="86" t="n"/>
      <c r="E1807" s="63" t="n"/>
      <c r="F1807" s="60" t="n"/>
      <c r="G1807" s="60" t="n"/>
      <c r="H1807" s="71">
        <f>IF(OR($C1807="",$D1807=""),"",IF(ISNUMBER($E1807),$E1807,IF($O1807="","",IF(N(INDEX('Menu Pricing'!$O$7:$O$56,$O1807))&gt;0,INDEX('Menu Pricing'!$O$7:$O$56,$O1807),""))))</f>
        <v/>
      </c>
      <c r="I1807" s="71">
        <f>IF($N1807&lt;&gt;"OK","",$D1807*$H1807)</f>
        <v/>
      </c>
      <c r="J1807" s="71">
        <f>IF($N1807&lt;&gt;"OK","",N(INDEX('Menu Pricing'!$F$7:$F$56,$O1807))+N(INDEX('Menu Pricing'!$G$7:$G$56,$O1807))+N(INDEX('Menu Pricing'!$J$7:$J$56,$O1807)))</f>
        <v/>
      </c>
      <c r="K1807" s="71">
        <f>IF($N1807&lt;&gt;"OK","",$D1807*$J1807)</f>
        <v/>
      </c>
      <c r="L1807" s="71">
        <f>IF($N1807&lt;&gt;"OK","",$I1807-$K1807)</f>
        <v/>
      </c>
      <c r="M1807" s="71">
        <f>IF($N1807&lt;&gt;"OK","",$D1807*N(INDEX('Menu Pricing'!$F$7:$F$56,$O1807)))</f>
        <v/>
      </c>
      <c r="N1807" s="80">
        <f>IF(AND($B1807="",$C1807="",$D1807=""),"",IF(NOT(ISNUMBER($B1807)),"Enter a valid date",IF($C1807="","Pick a menu item",IF($O1807="","Item not on Menu Pricing",IF(N($D1807)&lt;=0,"Qty must be above 0",IF($H1807="","No price on menu","OK"))))))</f>
        <v/>
      </c>
      <c r="O1807" s="13">
        <f>IF($C1807="","",IFERROR(MATCH($C1807,'Menu Pricing'!$B$7:$B$56,0),""))</f>
        <v/>
      </c>
    </row>
    <row r="1808" ht="17" customHeight="1">
      <c r="B1808" s="66" t="n"/>
      <c r="C1808" s="60" t="n"/>
      <c r="D1808" s="86" t="n"/>
      <c r="E1808" s="63" t="n"/>
      <c r="F1808" s="60" t="n"/>
      <c r="G1808" s="60" t="n"/>
      <c r="H1808" s="71">
        <f>IF(OR($C1808="",$D1808=""),"",IF(ISNUMBER($E1808),$E1808,IF($O1808="","",IF(N(INDEX('Menu Pricing'!$O$7:$O$56,$O1808))&gt;0,INDEX('Menu Pricing'!$O$7:$O$56,$O1808),""))))</f>
        <v/>
      </c>
      <c r="I1808" s="71">
        <f>IF($N1808&lt;&gt;"OK","",$D1808*$H1808)</f>
        <v/>
      </c>
      <c r="J1808" s="71">
        <f>IF($N1808&lt;&gt;"OK","",N(INDEX('Menu Pricing'!$F$7:$F$56,$O1808))+N(INDEX('Menu Pricing'!$G$7:$G$56,$O1808))+N(INDEX('Menu Pricing'!$J$7:$J$56,$O1808)))</f>
        <v/>
      </c>
      <c r="K1808" s="71">
        <f>IF($N1808&lt;&gt;"OK","",$D1808*$J1808)</f>
        <v/>
      </c>
      <c r="L1808" s="71">
        <f>IF($N1808&lt;&gt;"OK","",$I1808-$K1808)</f>
        <v/>
      </c>
      <c r="M1808" s="71">
        <f>IF($N1808&lt;&gt;"OK","",$D1808*N(INDEX('Menu Pricing'!$F$7:$F$56,$O1808)))</f>
        <v/>
      </c>
      <c r="N1808" s="80">
        <f>IF(AND($B1808="",$C1808="",$D1808=""),"",IF(NOT(ISNUMBER($B1808)),"Enter a valid date",IF($C1808="","Pick a menu item",IF($O1808="","Item not on Menu Pricing",IF(N($D1808)&lt;=0,"Qty must be above 0",IF($H1808="","No price on menu","OK"))))))</f>
        <v/>
      </c>
      <c r="O1808" s="13">
        <f>IF($C1808="","",IFERROR(MATCH($C1808,'Menu Pricing'!$B$7:$B$56,0),""))</f>
        <v/>
      </c>
    </row>
    <row r="1809" ht="17" customHeight="1">
      <c r="B1809" s="66" t="n"/>
      <c r="C1809" s="60" t="n"/>
      <c r="D1809" s="86" t="n"/>
      <c r="E1809" s="63" t="n"/>
      <c r="F1809" s="60" t="n"/>
      <c r="G1809" s="60" t="n"/>
      <c r="H1809" s="71">
        <f>IF(OR($C1809="",$D1809=""),"",IF(ISNUMBER($E1809),$E1809,IF($O1809="","",IF(N(INDEX('Menu Pricing'!$O$7:$O$56,$O1809))&gt;0,INDEX('Menu Pricing'!$O$7:$O$56,$O1809),""))))</f>
        <v/>
      </c>
      <c r="I1809" s="71">
        <f>IF($N1809&lt;&gt;"OK","",$D1809*$H1809)</f>
        <v/>
      </c>
      <c r="J1809" s="71">
        <f>IF($N1809&lt;&gt;"OK","",N(INDEX('Menu Pricing'!$F$7:$F$56,$O1809))+N(INDEX('Menu Pricing'!$G$7:$G$56,$O1809))+N(INDEX('Menu Pricing'!$J$7:$J$56,$O1809)))</f>
        <v/>
      </c>
      <c r="K1809" s="71">
        <f>IF($N1809&lt;&gt;"OK","",$D1809*$J1809)</f>
        <v/>
      </c>
      <c r="L1809" s="71">
        <f>IF($N1809&lt;&gt;"OK","",$I1809-$K1809)</f>
        <v/>
      </c>
      <c r="M1809" s="71">
        <f>IF($N1809&lt;&gt;"OK","",$D1809*N(INDEX('Menu Pricing'!$F$7:$F$56,$O1809)))</f>
        <v/>
      </c>
      <c r="N1809" s="80">
        <f>IF(AND($B1809="",$C1809="",$D1809=""),"",IF(NOT(ISNUMBER($B1809)),"Enter a valid date",IF($C1809="","Pick a menu item",IF($O1809="","Item not on Menu Pricing",IF(N($D1809)&lt;=0,"Qty must be above 0",IF($H1809="","No price on menu","OK"))))))</f>
        <v/>
      </c>
      <c r="O1809" s="13">
        <f>IF($C1809="","",IFERROR(MATCH($C1809,'Menu Pricing'!$B$7:$B$56,0),""))</f>
        <v/>
      </c>
    </row>
    <row r="1810" ht="17" customHeight="1">
      <c r="B1810" s="66" t="n"/>
      <c r="C1810" s="60" t="n"/>
      <c r="D1810" s="86" t="n"/>
      <c r="E1810" s="63" t="n"/>
      <c r="F1810" s="60" t="n"/>
      <c r="G1810" s="60" t="n"/>
      <c r="H1810" s="71">
        <f>IF(OR($C1810="",$D1810=""),"",IF(ISNUMBER($E1810),$E1810,IF($O1810="","",IF(N(INDEX('Menu Pricing'!$O$7:$O$56,$O1810))&gt;0,INDEX('Menu Pricing'!$O$7:$O$56,$O1810),""))))</f>
        <v/>
      </c>
      <c r="I1810" s="71">
        <f>IF($N1810&lt;&gt;"OK","",$D1810*$H1810)</f>
        <v/>
      </c>
      <c r="J1810" s="71">
        <f>IF($N1810&lt;&gt;"OK","",N(INDEX('Menu Pricing'!$F$7:$F$56,$O1810))+N(INDEX('Menu Pricing'!$G$7:$G$56,$O1810))+N(INDEX('Menu Pricing'!$J$7:$J$56,$O1810)))</f>
        <v/>
      </c>
      <c r="K1810" s="71">
        <f>IF($N1810&lt;&gt;"OK","",$D1810*$J1810)</f>
        <v/>
      </c>
      <c r="L1810" s="71">
        <f>IF($N1810&lt;&gt;"OK","",$I1810-$K1810)</f>
        <v/>
      </c>
      <c r="M1810" s="71">
        <f>IF($N1810&lt;&gt;"OK","",$D1810*N(INDEX('Menu Pricing'!$F$7:$F$56,$O1810)))</f>
        <v/>
      </c>
      <c r="N1810" s="80">
        <f>IF(AND($B1810="",$C1810="",$D1810=""),"",IF(NOT(ISNUMBER($B1810)),"Enter a valid date",IF($C1810="","Pick a menu item",IF($O1810="","Item not on Menu Pricing",IF(N($D1810)&lt;=0,"Qty must be above 0",IF($H1810="","No price on menu","OK"))))))</f>
        <v/>
      </c>
      <c r="O1810" s="13">
        <f>IF($C1810="","",IFERROR(MATCH($C1810,'Menu Pricing'!$B$7:$B$56,0),""))</f>
        <v/>
      </c>
    </row>
    <row r="1811" ht="17" customHeight="1">
      <c r="B1811" s="66" t="n"/>
      <c r="C1811" s="60" t="n"/>
      <c r="D1811" s="86" t="n"/>
      <c r="E1811" s="63" t="n"/>
      <c r="F1811" s="60" t="n"/>
      <c r="G1811" s="60" t="n"/>
      <c r="H1811" s="71">
        <f>IF(OR($C1811="",$D1811=""),"",IF(ISNUMBER($E1811),$E1811,IF($O1811="","",IF(N(INDEX('Menu Pricing'!$O$7:$O$56,$O1811))&gt;0,INDEX('Menu Pricing'!$O$7:$O$56,$O1811),""))))</f>
        <v/>
      </c>
      <c r="I1811" s="71">
        <f>IF($N1811&lt;&gt;"OK","",$D1811*$H1811)</f>
        <v/>
      </c>
      <c r="J1811" s="71">
        <f>IF($N1811&lt;&gt;"OK","",N(INDEX('Menu Pricing'!$F$7:$F$56,$O1811))+N(INDEX('Menu Pricing'!$G$7:$G$56,$O1811))+N(INDEX('Menu Pricing'!$J$7:$J$56,$O1811)))</f>
        <v/>
      </c>
      <c r="K1811" s="71">
        <f>IF($N1811&lt;&gt;"OK","",$D1811*$J1811)</f>
        <v/>
      </c>
      <c r="L1811" s="71">
        <f>IF($N1811&lt;&gt;"OK","",$I1811-$K1811)</f>
        <v/>
      </c>
      <c r="M1811" s="71">
        <f>IF($N1811&lt;&gt;"OK","",$D1811*N(INDEX('Menu Pricing'!$F$7:$F$56,$O1811)))</f>
        <v/>
      </c>
      <c r="N1811" s="80">
        <f>IF(AND($B1811="",$C1811="",$D1811=""),"",IF(NOT(ISNUMBER($B1811)),"Enter a valid date",IF($C1811="","Pick a menu item",IF($O1811="","Item not on Menu Pricing",IF(N($D1811)&lt;=0,"Qty must be above 0",IF($H1811="","No price on menu","OK"))))))</f>
        <v/>
      </c>
      <c r="O1811" s="13">
        <f>IF($C1811="","",IFERROR(MATCH($C1811,'Menu Pricing'!$B$7:$B$56,0),""))</f>
        <v/>
      </c>
    </row>
    <row r="1812" ht="17" customHeight="1">
      <c r="B1812" s="66" t="n"/>
      <c r="C1812" s="60" t="n"/>
      <c r="D1812" s="86" t="n"/>
      <c r="E1812" s="63" t="n"/>
      <c r="F1812" s="60" t="n"/>
      <c r="G1812" s="60" t="n"/>
      <c r="H1812" s="71">
        <f>IF(OR($C1812="",$D1812=""),"",IF(ISNUMBER($E1812),$E1812,IF($O1812="","",IF(N(INDEX('Menu Pricing'!$O$7:$O$56,$O1812))&gt;0,INDEX('Menu Pricing'!$O$7:$O$56,$O1812),""))))</f>
        <v/>
      </c>
      <c r="I1812" s="71">
        <f>IF($N1812&lt;&gt;"OK","",$D1812*$H1812)</f>
        <v/>
      </c>
      <c r="J1812" s="71">
        <f>IF($N1812&lt;&gt;"OK","",N(INDEX('Menu Pricing'!$F$7:$F$56,$O1812))+N(INDEX('Menu Pricing'!$G$7:$G$56,$O1812))+N(INDEX('Menu Pricing'!$J$7:$J$56,$O1812)))</f>
        <v/>
      </c>
      <c r="K1812" s="71">
        <f>IF($N1812&lt;&gt;"OK","",$D1812*$J1812)</f>
        <v/>
      </c>
      <c r="L1812" s="71">
        <f>IF($N1812&lt;&gt;"OK","",$I1812-$K1812)</f>
        <v/>
      </c>
      <c r="M1812" s="71">
        <f>IF($N1812&lt;&gt;"OK","",$D1812*N(INDEX('Menu Pricing'!$F$7:$F$56,$O1812)))</f>
        <v/>
      </c>
      <c r="N1812" s="80">
        <f>IF(AND($B1812="",$C1812="",$D1812=""),"",IF(NOT(ISNUMBER($B1812)),"Enter a valid date",IF($C1812="","Pick a menu item",IF($O1812="","Item not on Menu Pricing",IF(N($D1812)&lt;=0,"Qty must be above 0",IF($H1812="","No price on menu","OK"))))))</f>
        <v/>
      </c>
      <c r="O1812" s="13">
        <f>IF($C1812="","",IFERROR(MATCH($C1812,'Menu Pricing'!$B$7:$B$56,0),""))</f>
        <v/>
      </c>
    </row>
    <row r="1813" ht="17" customHeight="1">
      <c r="B1813" s="66" t="n"/>
      <c r="C1813" s="60" t="n"/>
      <c r="D1813" s="86" t="n"/>
      <c r="E1813" s="63" t="n"/>
      <c r="F1813" s="60" t="n"/>
      <c r="G1813" s="60" t="n"/>
      <c r="H1813" s="71">
        <f>IF(OR($C1813="",$D1813=""),"",IF(ISNUMBER($E1813),$E1813,IF($O1813="","",IF(N(INDEX('Menu Pricing'!$O$7:$O$56,$O1813))&gt;0,INDEX('Menu Pricing'!$O$7:$O$56,$O1813),""))))</f>
        <v/>
      </c>
      <c r="I1813" s="71">
        <f>IF($N1813&lt;&gt;"OK","",$D1813*$H1813)</f>
        <v/>
      </c>
      <c r="J1813" s="71">
        <f>IF($N1813&lt;&gt;"OK","",N(INDEX('Menu Pricing'!$F$7:$F$56,$O1813))+N(INDEX('Menu Pricing'!$G$7:$G$56,$O1813))+N(INDEX('Menu Pricing'!$J$7:$J$56,$O1813)))</f>
        <v/>
      </c>
      <c r="K1813" s="71">
        <f>IF($N1813&lt;&gt;"OK","",$D1813*$J1813)</f>
        <v/>
      </c>
      <c r="L1813" s="71">
        <f>IF($N1813&lt;&gt;"OK","",$I1813-$K1813)</f>
        <v/>
      </c>
      <c r="M1813" s="71">
        <f>IF($N1813&lt;&gt;"OK","",$D1813*N(INDEX('Menu Pricing'!$F$7:$F$56,$O1813)))</f>
        <v/>
      </c>
      <c r="N1813" s="80">
        <f>IF(AND($B1813="",$C1813="",$D1813=""),"",IF(NOT(ISNUMBER($B1813)),"Enter a valid date",IF($C1813="","Pick a menu item",IF($O1813="","Item not on Menu Pricing",IF(N($D1813)&lt;=0,"Qty must be above 0",IF($H1813="","No price on menu","OK"))))))</f>
        <v/>
      </c>
      <c r="O1813" s="13">
        <f>IF($C1813="","",IFERROR(MATCH($C1813,'Menu Pricing'!$B$7:$B$56,0),""))</f>
        <v/>
      </c>
    </row>
    <row r="1814" ht="17" customHeight="1">
      <c r="B1814" s="66" t="n"/>
      <c r="C1814" s="60" t="n"/>
      <c r="D1814" s="86" t="n"/>
      <c r="E1814" s="63" t="n"/>
      <c r="F1814" s="60" t="n"/>
      <c r="G1814" s="60" t="n"/>
      <c r="H1814" s="71">
        <f>IF(OR($C1814="",$D1814=""),"",IF(ISNUMBER($E1814),$E1814,IF($O1814="","",IF(N(INDEX('Menu Pricing'!$O$7:$O$56,$O1814))&gt;0,INDEX('Menu Pricing'!$O$7:$O$56,$O1814),""))))</f>
        <v/>
      </c>
      <c r="I1814" s="71">
        <f>IF($N1814&lt;&gt;"OK","",$D1814*$H1814)</f>
        <v/>
      </c>
      <c r="J1814" s="71">
        <f>IF($N1814&lt;&gt;"OK","",N(INDEX('Menu Pricing'!$F$7:$F$56,$O1814))+N(INDEX('Menu Pricing'!$G$7:$G$56,$O1814))+N(INDEX('Menu Pricing'!$J$7:$J$56,$O1814)))</f>
        <v/>
      </c>
      <c r="K1814" s="71">
        <f>IF($N1814&lt;&gt;"OK","",$D1814*$J1814)</f>
        <v/>
      </c>
      <c r="L1814" s="71">
        <f>IF($N1814&lt;&gt;"OK","",$I1814-$K1814)</f>
        <v/>
      </c>
      <c r="M1814" s="71">
        <f>IF($N1814&lt;&gt;"OK","",$D1814*N(INDEX('Menu Pricing'!$F$7:$F$56,$O1814)))</f>
        <v/>
      </c>
      <c r="N1814" s="80">
        <f>IF(AND($B1814="",$C1814="",$D1814=""),"",IF(NOT(ISNUMBER($B1814)),"Enter a valid date",IF($C1814="","Pick a menu item",IF($O1814="","Item not on Menu Pricing",IF(N($D1814)&lt;=0,"Qty must be above 0",IF($H1814="","No price on menu","OK"))))))</f>
        <v/>
      </c>
      <c r="O1814" s="13">
        <f>IF($C1814="","",IFERROR(MATCH($C1814,'Menu Pricing'!$B$7:$B$56,0),""))</f>
        <v/>
      </c>
    </row>
    <row r="1815" ht="17" customHeight="1">
      <c r="B1815" s="66" t="n"/>
      <c r="C1815" s="60" t="n"/>
      <c r="D1815" s="86" t="n"/>
      <c r="E1815" s="63" t="n"/>
      <c r="F1815" s="60" t="n"/>
      <c r="G1815" s="60" t="n"/>
      <c r="H1815" s="71">
        <f>IF(OR($C1815="",$D1815=""),"",IF(ISNUMBER($E1815),$E1815,IF($O1815="","",IF(N(INDEX('Menu Pricing'!$O$7:$O$56,$O1815))&gt;0,INDEX('Menu Pricing'!$O$7:$O$56,$O1815),""))))</f>
        <v/>
      </c>
      <c r="I1815" s="71">
        <f>IF($N1815&lt;&gt;"OK","",$D1815*$H1815)</f>
        <v/>
      </c>
      <c r="J1815" s="71">
        <f>IF($N1815&lt;&gt;"OK","",N(INDEX('Menu Pricing'!$F$7:$F$56,$O1815))+N(INDEX('Menu Pricing'!$G$7:$G$56,$O1815))+N(INDEX('Menu Pricing'!$J$7:$J$56,$O1815)))</f>
        <v/>
      </c>
      <c r="K1815" s="71">
        <f>IF($N1815&lt;&gt;"OK","",$D1815*$J1815)</f>
        <v/>
      </c>
      <c r="L1815" s="71">
        <f>IF($N1815&lt;&gt;"OK","",$I1815-$K1815)</f>
        <v/>
      </c>
      <c r="M1815" s="71">
        <f>IF($N1815&lt;&gt;"OK","",$D1815*N(INDEX('Menu Pricing'!$F$7:$F$56,$O1815)))</f>
        <v/>
      </c>
      <c r="N1815" s="80">
        <f>IF(AND($B1815="",$C1815="",$D1815=""),"",IF(NOT(ISNUMBER($B1815)),"Enter a valid date",IF($C1815="","Pick a menu item",IF($O1815="","Item not on Menu Pricing",IF(N($D1815)&lt;=0,"Qty must be above 0",IF($H1815="","No price on menu","OK"))))))</f>
        <v/>
      </c>
      <c r="O1815" s="13">
        <f>IF($C1815="","",IFERROR(MATCH($C1815,'Menu Pricing'!$B$7:$B$56,0),""))</f>
        <v/>
      </c>
    </row>
    <row r="1816" ht="17" customHeight="1">
      <c r="B1816" s="66" t="n"/>
      <c r="C1816" s="60" t="n"/>
      <c r="D1816" s="86" t="n"/>
      <c r="E1816" s="63" t="n"/>
      <c r="F1816" s="60" t="n"/>
      <c r="G1816" s="60" t="n"/>
      <c r="H1816" s="71">
        <f>IF(OR($C1816="",$D1816=""),"",IF(ISNUMBER($E1816),$E1816,IF($O1816="","",IF(N(INDEX('Menu Pricing'!$O$7:$O$56,$O1816))&gt;0,INDEX('Menu Pricing'!$O$7:$O$56,$O1816),""))))</f>
        <v/>
      </c>
      <c r="I1816" s="71">
        <f>IF($N1816&lt;&gt;"OK","",$D1816*$H1816)</f>
        <v/>
      </c>
      <c r="J1816" s="71">
        <f>IF($N1816&lt;&gt;"OK","",N(INDEX('Menu Pricing'!$F$7:$F$56,$O1816))+N(INDEX('Menu Pricing'!$G$7:$G$56,$O1816))+N(INDEX('Menu Pricing'!$J$7:$J$56,$O1816)))</f>
        <v/>
      </c>
      <c r="K1816" s="71">
        <f>IF($N1816&lt;&gt;"OK","",$D1816*$J1816)</f>
        <v/>
      </c>
      <c r="L1816" s="71">
        <f>IF($N1816&lt;&gt;"OK","",$I1816-$K1816)</f>
        <v/>
      </c>
      <c r="M1816" s="71">
        <f>IF($N1816&lt;&gt;"OK","",$D1816*N(INDEX('Menu Pricing'!$F$7:$F$56,$O1816)))</f>
        <v/>
      </c>
      <c r="N1816" s="80">
        <f>IF(AND($B1816="",$C1816="",$D1816=""),"",IF(NOT(ISNUMBER($B1816)),"Enter a valid date",IF($C1816="","Pick a menu item",IF($O1816="","Item not on Menu Pricing",IF(N($D1816)&lt;=0,"Qty must be above 0",IF($H1816="","No price on menu","OK"))))))</f>
        <v/>
      </c>
      <c r="O1816" s="13">
        <f>IF($C1816="","",IFERROR(MATCH($C1816,'Menu Pricing'!$B$7:$B$56,0),""))</f>
        <v/>
      </c>
    </row>
    <row r="1817" ht="17" customHeight="1">
      <c r="B1817" s="66" t="n"/>
      <c r="C1817" s="60" t="n"/>
      <c r="D1817" s="86" t="n"/>
      <c r="E1817" s="63" t="n"/>
      <c r="F1817" s="60" t="n"/>
      <c r="G1817" s="60" t="n"/>
      <c r="H1817" s="71">
        <f>IF(OR($C1817="",$D1817=""),"",IF(ISNUMBER($E1817),$E1817,IF($O1817="","",IF(N(INDEX('Menu Pricing'!$O$7:$O$56,$O1817))&gt;0,INDEX('Menu Pricing'!$O$7:$O$56,$O1817),""))))</f>
        <v/>
      </c>
      <c r="I1817" s="71">
        <f>IF($N1817&lt;&gt;"OK","",$D1817*$H1817)</f>
        <v/>
      </c>
      <c r="J1817" s="71">
        <f>IF($N1817&lt;&gt;"OK","",N(INDEX('Menu Pricing'!$F$7:$F$56,$O1817))+N(INDEX('Menu Pricing'!$G$7:$G$56,$O1817))+N(INDEX('Menu Pricing'!$J$7:$J$56,$O1817)))</f>
        <v/>
      </c>
      <c r="K1817" s="71">
        <f>IF($N1817&lt;&gt;"OK","",$D1817*$J1817)</f>
        <v/>
      </c>
      <c r="L1817" s="71">
        <f>IF($N1817&lt;&gt;"OK","",$I1817-$K1817)</f>
        <v/>
      </c>
      <c r="M1817" s="71">
        <f>IF($N1817&lt;&gt;"OK","",$D1817*N(INDEX('Menu Pricing'!$F$7:$F$56,$O1817)))</f>
        <v/>
      </c>
      <c r="N1817" s="80">
        <f>IF(AND($B1817="",$C1817="",$D1817=""),"",IF(NOT(ISNUMBER($B1817)),"Enter a valid date",IF($C1817="","Pick a menu item",IF($O1817="","Item not on Menu Pricing",IF(N($D1817)&lt;=0,"Qty must be above 0",IF($H1817="","No price on menu","OK"))))))</f>
        <v/>
      </c>
      <c r="O1817" s="13">
        <f>IF($C1817="","",IFERROR(MATCH($C1817,'Menu Pricing'!$B$7:$B$56,0),""))</f>
        <v/>
      </c>
    </row>
    <row r="1818" ht="17" customHeight="1">
      <c r="B1818" s="66" t="n"/>
      <c r="C1818" s="60" t="n"/>
      <c r="D1818" s="86" t="n"/>
      <c r="E1818" s="63" t="n"/>
      <c r="F1818" s="60" t="n"/>
      <c r="G1818" s="60" t="n"/>
      <c r="H1818" s="71">
        <f>IF(OR($C1818="",$D1818=""),"",IF(ISNUMBER($E1818),$E1818,IF($O1818="","",IF(N(INDEX('Menu Pricing'!$O$7:$O$56,$O1818))&gt;0,INDEX('Menu Pricing'!$O$7:$O$56,$O1818),""))))</f>
        <v/>
      </c>
      <c r="I1818" s="71">
        <f>IF($N1818&lt;&gt;"OK","",$D1818*$H1818)</f>
        <v/>
      </c>
      <c r="J1818" s="71">
        <f>IF($N1818&lt;&gt;"OK","",N(INDEX('Menu Pricing'!$F$7:$F$56,$O1818))+N(INDEX('Menu Pricing'!$G$7:$G$56,$O1818))+N(INDEX('Menu Pricing'!$J$7:$J$56,$O1818)))</f>
        <v/>
      </c>
      <c r="K1818" s="71">
        <f>IF($N1818&lt;&gt;"OK","",$D1818*$J1818)</f>
        <v/>
      </c>
      <c r="L1818" s="71">
        <f>IF($N1818&lt;&gt;"OK","",$I1818-$K1818)</f>
        <v/>
      </c>
      <c r="M1818" s="71">
        <f>IF($N1818&lt;&gt;"OK","",$D1818*N(INDEX('Menu Pricing'!$F$7:$F$56,$O1818)))</f>
        <v/>
      </c>
      <c r="N1818" s="80">
        <f>IF(AND($B1818="",$C1818="",$D1818=""),"",IF(NOT(ISNUMBER($B1818)),"Enter a valid date",IF($C1818="","Pick a menu item",IF($O1818="","Item not on Menu Pricing",IF(N($D1818)&lt;=0,"Qty must be above 0",IF($H1818="","No price on menu","OK"))))))</f>
        <v/>
      </c>
      <c r="O1818" s="13">
        <f>IF($C1818="","",IFERROR(MATCH($C1818,'Menu Pricing'!$B$7:$B$56,0),""))</f>
        <v/>
      </c>
    </row>
    <row r="1819" ht="17" customHeight="1">
      <c r="B1819" s="66" t="n"/>
      <c r="C1819" s="60" t="n"/>
      <c r="D1819" s="86" t="n"/>
      <c r="E1819" s="63" t="n"/>
      <c r="F1819" s="60" t="n"/>
      <c r="G1819" s="60" t="n"/>
      <c r="H1819" s="71">
        <f>IF(OR($C1819="",$D1819=""),"",IF(ISNUMBER($E1819),$E1819,IF($O1819="","",IF(N(INDEX('Menu Pricing'!$O$7:$O$56,$O1819))&gt;0,INDEX('Menu Pricing'!$O$7:$O$56,$O1819),""))))</f>
        <v/>
      </c>
      <c r="I1819" s="71">
        <f>IF($N1819&lt;&gt;"OK","",$D1819*$H1819)</f>
        <v/>
      </c>
      <c r="J1819" s="71">
        <f>IF($N1819&lt;&gt;"OK","",N(INDEX('Menu Pricing'!$F$7:$F$56,$O1819))+N(INDEX('Menu Pricing'!$G$7:$G$56,$O1819))+N(INDEX('Menu Pricing'!$J$7:$J$56,$O1819)))</f>
        <v/>
      </c>
      <c r="K1819" s="71">
        <f>IF($N1819&lt;&gt;"OK","",$D1819*$J1819)</f>
        <v/>
      </c>
      <c r="L1819" s="71">
        <f>IF($N1819&lt;&gt;"OK","",$I1819-$K1819)</f>
        <v/>
      </c>
      <c r="M1819" s="71">
        <f>IF($N1819&lt;&gt;"OK","",$D1819*N(INDEX('Menu Pricing'!$F$7:$F$56,$O1819)))</f>
        <v/>
      </c>
      <c r="N1819" s="80">
        <f>IF(AND($B1819="",$C1819="",$D1819=""),"",IF(NOT(ISNUMBER($B1819)),"Enter a valid date",IF($C1819="","Pick a menu item",IF($O1819="","Item not on Menu Pricing",IF(N($D1819)&lt;=0,"Qty must be above 0",IF($H1819="","No price on menu","OK"))))))</f>
        <v/>
      </c>
      <c r="O1819" s="13">
        <f>IF($C1819="","",IFERROR(MATCH($C1819,'Menu Pricing'!$B$7:$B$56,0),""))</f>
        <v/>
      </c>
    </row>
    <row r="1820" ht="17" customHeight="1">
      <c r="B1820" s="66" t="n"/>
      <c r="C1820" s="60" t="n"/>
      <c r="D1820" s="86" t="n"/>
      <c r="E1820" s="63" t="n"/>
      <c r="F1820" s="60" t="n"/>
      <c r="G1820" s="60" t="n"/>
      <c r="H1820" s="71">
        <f>IF(OR($C1820="",$D1820=""),"",IF(ISNUMBER($E1820),$E1820,IF($O1820="","",IF(N(INDEX('Menu Pricing'!$O$7:$O$56,$O1820))&gt;0,INDEX('Menu Pricing'!$O$7:$O$56,$O1820),""))))</f>
        <v/>
      </c>
      <c r="I1820" s="71">
        <f>IF($N1820&lt;&gt;"OK","",$D1820*$H1820)</f>
        <v/>
      </c>
      <c r="J1820" s="71">
        <f>IF($N1820&lt;&gt;"OK","",N(INDEX('Menu Pricing'!$F$7:$F$56,$O1820))+N(INDEX('Menu Pricing'!$G$7:$G$56,$O1820))+N(INDEX('Menu Pricing'!$J$7:$J$56,$O1820)))</f>
        <v/>
      </c>
      <c r="K1820" s="71">
        <f>IF($N1820&lt;&gt;"OK","",$D1820*$J1820)</f>
        <v/>
      </c>
      <c r="L1820" s="71">
        <f>IF($N1820&lt;&gt;"OK","",$I1820-$K1820)</f>
        <v/>
      </c>
      <c r="M1820" s="71">
        <f>IF($N1820&lt;&gt;"OK","",$D1820*N(INDEX('Menu Pricing'!$F$7:$F$56,$O1820)))</f>
        <v/>
      </c>
      <c r="N1820" s="80">
        <f>IF(AND($B1820="",$C1820="",$D1820=""),"",IF(NOT(ISNUMBER($B1820)),"Enter a valid date",IF($C1820="","Pick a menu item",IF($O1820="","Item not on Menu Pricing",IF(N($D1820)&lt;=0,"Qty must be above 0",IF($H1820="","No price on menu","OK"))))))</f>
        <v/>
      </c>
      <c r="O1820" s="13">
        <f>IF($C1820="","",IFERROR(MATCH($C1820,'Menu Pricing'!$B$7:$B$56,0),""))</f>
        <v/>
      </c>
    </row>
    <row r="1821" ht="17" customHeight="1">
      <c r="B1821" s="66" t="n"/>
      <c r="C1821" s="60" t="n"/>
      <c r="D1821" s="86" t="n"/>
      <c r="E1821" s="63" t="n"/>
      <c r="F1821" s="60" t="n"/>
      <c r="G1821" s="60" t="n"/>
      <c r="H1821" s="71">
        <f>IF(OR($C1821="",$D1821=""),"",IF(ISNUMBER($E1821),$E1821,IF($O1821="","",IF(N(INDEX('Menu Pricing'!$O$7:$O$56,$O1821))&gt;0,INDEX('Menu Pricing'!$O$7:$O$56,$O1821),""))))</f>
        <v/>
      </c>
      <c r="I1821" s="71">
        <f>IF($N1821&lt;&gt;"OK","",$D1821*$H1821)</f>
        <v/>
      </c>
      <c r="J1821" s="71">
        <f>IF($N1821&lt;&gt;"OK","",N(INDEX('Menu Pricing'!$F$7:$F$56,$O1821))+N(INDEX('Menu Pricing'!$G$7:$G$56,$O1821))+N(INDEX('Menu Pricing'!$J$7:$J$56,$O1821)))</f>
        <v/>
      </c>
      <c r="K1821" s="71">
        <f>IF($N1821&lt;&gt;"OK","",$D1821*$J1821)</f>
        <v/>
      </c>
      <c r="L1821" s="71">
        <f>IF($N1821&lt;&gt;"OK","",$I1821-$K1821)</f>
        <v/>
      </c>
      <c r="M1821" s="71">
        <f>IF($N1821&lt;&gt;"OK","",$D1821*N(INDEX('Menu Pricing'!$F$7:$F$56,$O1821)))</f>
        <v/>
      </c>
      <c r="N1821" s="80">
        <f>IF(AND($B1821="",$C1821="",$D1821=""),"",IF(NOT(ISNUMBER($B1821)),"Enter a valid date",IF($C1821="","Pick a menu item",IF($O1821="","Item not on Menu Pricing",IF(N($D1821)&lt;=0,"Qty must be above 0",IF($H1821="","No price on menu","OK"))))))</f>
        <v/>
      </c>
      <c r="O1821" s="13">
        <f>IF($C1821="","",IFERROR(MATCH($C1821,'Menu Pricing'!$B$7:$B$56,0),""))</f>
        <v/>
      </c>
    </row>
    <row r="1822" ht="17" customHeight="1">
      <c r="B1822" s="66" t="n"/>
      <c r="C1822" s="60" t="n"/>
      <c r="D1822" s="86" t="n"/>
      <c r="E1822" s="63" t="n"/>
      <c r="F1822" s="60" t="n"/>
      <c r="G1822" s="60" t="n"/>
      <c r="H1822" s="71">
        <f>IF(OR($C1822="",$D1822=""),"",IF(ISNUMBER($E1822),$E1822,IF($O1822="","",IF(N(INDEX('Menu Pricing'!$O$7:$O$56,$O1822))&gt;0,INDEX('Menu Pricing'!$O$7:$O$56,$O1822),""))))</f>
        <v/>
      </c>
      <c r="I1822" s="71">
        <f>IF($N1822&lt;&gt;"OK","",$D1822*$H1822)</f>
        <v/>
      </c>
      <c r="J1822" s="71">
        <f>IF($N1822&lt;&gt;"OK","",N(INDEX('Menu Pricing'!$F$7:$F$56,$O1822))+N(INDEX('Menu Pricing'!$G$7:$G$56,$O1822))+N(INDEX('Menu Pricing'!$J$7:$J$56,$O1822)))</f>
        <v/>
      </c>
      <c r="K1822" s="71">
        <f>IF($N1822&lt;&gt;"OK","",$D1822*$J1822)</f>
        <v/>
      </c>
      <c r="L1822" s="71">
        <f>IF($N1822&lt;&gt;"OK","",$I1822-$K1822)</f>
        <v/>
      </c>
      <c r="M1822" s="71">
        <f>IF($N1822&lt;&gt;"OK","",$D1822*N(INDEX('Menu Pricing'!$F$7:$F$56,$O1822)))</f>
        <v/>
      </c>
      <c r="N1822" s="80">
        <f>IF(AND($B1822="",$C1822="",$D1822=""),"",IF(NOT(ISNUMBER($B1822)),"Enter a valid date",IF($C1822="","Pick a menu item",IF($O1822="","Item not on Menu Pricing",IF(N($D1822)&lt;=0,"Qty must be above 0",IF($H1822="","No price on menu","OK"))))))</f>
        <v/>
      </c>
      <c r="O1822" s="13">
        <f>IF($C1822="","",IFERROR(MATCH($C1822,'Menu Pricing'!$B$7:$B$56,0),""))</f>
        <v/>
      </c>
    </row>
    <row r="1823" ht="17" customHeight="1">
      <c r="B1823" s="66" t="n"/>
      <c r="C1823" s="60" t="n"/>
      <c r="D1823" s="86" t="n"/>
      <c r="E1823" s="63" t="n"/>
      <c r="F1823" s="60" t="n"/>
      <c r="G1823" s="60" t="n"/>
      <c r="H1823" s="71">
        <f>IF(OR($C1823="",$D1823=""),"",IF(ISNUMBER($E1823),$E1823,IF($O1823="","",IF(N(INDEX('Menu Pricing'!$O$7:$O$56,$O1823))&gt;0,INDEX('Menu Pricing'!$O$7:$O$56,$O1823),""))))</f>
        <v/>
      </c>
      <c r="I1823" s="71">
        <f>IF($N1823&lt;&gt;"OK","",$D1823*$H1823)</f>
        <v/>
      </c>
      <c r="J1823" s="71">
        <f>IF($N1823&lt;&gt;"OK","",N(INDEX('Menu Pricing'!$F$7:$F$56,$O1823))+N(INDEX('Menu Pricing'!$G$7:$G$56,$O1823))+N(INDEX('Menu Pricing'!$J$7:$J$56,$O1823)))</f>
        <v/>
      </c>
      <c r="K1823" s="71">
        <f>IF($N1823&lt;&gt;"OK","",$D1823*$J1823)</f>
        <v/>
      </c>
      <c r="L1823" s="71">
        <f>IF($N1823&lt;&gt;"OK","",$I1823-$K1823)</f>
        <v/>
      </c>
      <c r="M1823" s="71">
        <f>IF($N1823&lt;&gt;"OK","",$D1823*N(INDEX('Menu Pricing'!$F$7:$F$56,$O1823)))</f>
        <v/>
      </c>
      <c r="N1823" s="80">
        <f>IF(AND($B1823="",$C1823="",$D1823=""),"",IF(NOT(ISNUMBER($B1823)),"Enter a valid date",IF($C1823="","Pick a menu item",IF($O1823="","Item not on Menu Pricing",IF(N($D1823)&lt;=0,"Qty must be above 0",IF($H1823="","No price on menu","OK"))))))</f>
        <v/>
      </c>
      <c r="O1823" s="13">
        <f>IF($C1823="","",IFERROR(MATCH($C1823,'Menu Pricing'!$B$7:$B$56,0),""))</f>
        <v/>
      </c>
    </row>
    <row r="1824" ht="17" customHeight="1">
      <c r="B1824" s="66" t="n"/>
      <c r="C1824" s="60" t="n"/>
      <c r="D1824" s="86" t="n"/>
      <c r="E1824" s="63" t="n"/>
      <c r="F1824" s="60" t="n"/>
      <c r="G1824" s="60" t="n"/>
      <c r="H1824" s="71">
        <f>IF(OR($C1824="",$D1824=""),"",IF(ISNUMBER($E1824),$E1824,IF($O1824="","",IF(N(INDEX('Menu Pricing'!$O$7:$O$56,$O1824))&gt;0,INDEX('Menu Pricing'!$O$7:$O$56,$O1824),""))))</f>
        <v/>
      </c>
      <c r="I1824" s="71">
        <f>IF($N1824&lt;&gt;"OK","",$D1824*$H1824)</f>
        <v/>
      </c>
      <c r="J1824" s="71">
        <f>IF($N1824&lt;&gt;"OK","",N(INDEX('Menu Pricing'!$F$7:$F$56,$O1824))+N(INDEX('Menu Pricing'!$G$7:$G$56,$O1824))+N(INDEX('Menu Pricing'!$J$7:$J$56,$O1824)))</f>
        <v/>
      </c>
      <c r="K1824" s="71">
        <f>IF($N1824&lt;&gt;"OK","",$D1824*$J1824)</f>
        <v/>
      </c>
      <c r="L1824" s="71">
        <f>IF($N1824&lt;&gt;"OK","",$I1824-$K1824)</f>
        <v/>
      </c>
      <c r="M1824" s="71">
        <f>IF($N1824&lt;&gt;"OK","",$D1824*N(INDEX('Menu Pricing'!$F$7:$F$56,$O1824)))</f>
        <v/>
      </c>
      <c r="N1824" s="80">
        <f>IF(AND($B1824="",$C1824="",$D1824=""),"",IF(NOT(ISNUMBER($B1824)),"Enter a valid date",IF($C1824="","Pick a menu item",IF($O1824="","Item not on Menu Pricing",IF(N($D1824)&lt;=0,"Qty must be above 0",IF($H1824="","No price on menu","OK"))))))</f>
        <v/>
      </c>
      <c r="O1824" s="13">
        <f>IF($C1824="","",IFERROR(MATCH($C1824,'Menu Pricing'!$B$7:$B$56,0),""))</f>
        <v/>
      </c>
    </row>
    <row r="1825" ht="17" customHeight="1">
      <c r="B1825" s="66" t="n"/>
      <c r="C1825" s="60" t="n"/>
      <c r="D1825" s="86" t="n"/>
      <c r="E1825" s="63" t="n"/>
      <c r="F1825" s="60" t="n"/>
      <c r="G1825" s="60" t="n"/>
      <c r="H1825" s="71">
        <f>IF(OR($C1825="",$D1825=""),"",IF(ISNUMBER($E1825),$E1825,IF($O1825="","",IF(N(INDEX('Menu Pricing'!$O$7:$O$56,$O1825))&gt;0,INDEX('Menu Pricing'!$O$7:$O$56,$O1825),""))))</f>
        <v/>
      </c>
      <c r="I1825" s="71">
        <f>IF($N1825&lt;&gt;"OK","",$D1825*$H1825)</f>
        <v/>
      </c>
      <c r="J1825" s="71">
        <f>IF($N1825&lt;&gt;"OK","",N(INDEX('Menu Pricing'!$F$7:$F$56,$O1825))+N(INDEX('Menu Pricing'!$G$7:$G$56,$O1825))+N(INDEX('Menu Pricing'!$J$7:$J$56,$O1825)))</f>
        <v/>
      </c>
      <c r="K1825" s="71">
        <f>IF($N1825&lt;&gt;"OK","",$D1825*$J1825)</f>
        <v/>
      </c>
      <c r="L1825" s="71">
        <f>IF($N1825&lt;&gt;"OK","",$I1825-$K1825)</f>
        <v/>
      </c>
      <c r="M1825" s="71">
        <f>IF($N1825&lt;&gt;"OK","",$D1825*N(INDEX('Menu Pricing'!$F$7:$F$56,$O1825)))</f>
        <v/>
      </c>
      <c r="N1825" s="80">
        <f>IF(AND($B1825="",$C1825="",$D1825=""),"",IF(NOT(ISNUMBER($B1825)),"Enter a valid date",IF($C1825="","Pick a menu item",IF($O1825="","Item not on Menu Pricing",IF(N($D1825)&lt;=0,"Qty must be above 0",IF($H1825="","No price on menu","OK"))))))</f>
        <v/>
      </c>
      <c r="O1825" s="13">
        <f>IF($C1825="","",IFERROR(MATCH($C1825,'Menu Pricing'!$B$7:$B$56,0),""))</f>
        <v/>
      </c>
    </row>
    <row r="1826" ht="17" customHeight="1">
      <c r="B1826" s="66" t="n"/>
      <c r="C1826" s="60" t="n"/>
      <c r="D1826" s="86" t="n"/>
      <c r="E1826" s="63" t="n"/>
      <c r="F1826" s="60" t="n"/>
      <c r="G1826" s="60" t="n"/>
      <c r="H1826" s="71">
        <f>IF(OR($C1826="",$D1826=""),"",IF(ISNUMBER($E1826),$E1826,IF($O1826="","",IF(N(INDEX('Menu Pricing'!$O$7:$O$56,$O1826))&gt;0,INDEX('Menu Pricing'!$O$7:$O$56,$O1826),""))))</f>
        <v/>
      </c>
      <c r="I1826" s="71">
        <f>IF($N1826&lt;&gt;"OK","",$D1826*$H1826)</f>
        <v/>
      </c>
      <c r="J1826" s="71">
        <f>IF($N1826&lt;&gt;"OK","",N(INDEX('Menu Pricing'!$F$7:$F$56,$O1826))+N(INDEX('Menu Pricing'!$G$7:$G$56,$O1826))+N(INDEX('Menu Pricing'!$J$7:$J$56,$O1826)))</f>
        <v/>
      </c>
      <c r="K1826" s="71">
        <f>IF($N1826&lt;&gt;"OK","",$D1826*$J1826)</f>
        <v/>
      </c>
      <c r="L1826" s="71">
        <f>IF($N1826&lt;&gt;"OK","",$I1826-$K1826)</f>
        <v/>
      </c>
      <c r="M1826" s="71">
        <f>IF($N1826&lt;&gt;"OK","",$D1826*N(INDEX('Menu Pricing'!$F$7:$F$56,$O1826)))</f>
        <v/>
      </c>
      <c r="N1826" s="80">
        <f>IF(AND($B1826="",$C1826="",$D1826=""),"",IF(NOT(ISNUMBER($B1826)),"Enter a valid date",IF($C1826="","Pick a menu item",IF($O1826="","Item not on Menu Pricing",IF(N($D1826)&lt;=0,"Qty must be above 0",IF($H1826="","No price on menu","OK"))))))</f>
        <v/>
      </c>
      <c r="O1826" s="13">
        <f>IF($C1826="","",IFERROR(MATCH($C1826,'Menu Pricing'!$B$7:$B$56,0),""))</f>
        <v/>
      </c>
    </row>
    <row r="1827" ht="17" customHeight="1">
      <c r="B1827" s="66" t="n"/>
      <c r="C1827" s="60" t="n"/>
      <c r="D1827" s="86" t="n"/>
      <c r="E1827" s="63" t="n"/>
      <c r="F1827" s="60" t="n"/>
      <c r="G1827" s="60" t="n"/>
      <c r="H1827" s="71">
        <f>IF(OR($C1827="",$D1827=""),"",IF(ISNUMBER($E1827),$E1827,IF($O1827="","",IF(N(INDEX('Menu Pricing'!$O$7:$O$56,$O1827))&gt;0,INDEX('Menu Pricing'!$O$7:$O$56,$O1827),""))))</f>
        <v/>
      </c>
      <c r="I1827" s="71">
        <f>IF($N1827&lt;&gt;"OK","",$D1827*$H1827)</f>
        <v/>
      </c>
      <c r="J1827" s="71">
        <f>IF($N1827&lt;&gt;"OK","",N(INDEX('Menu Pricing'!$F$7:$F$56,$O1827))+N(INDEX('Menu Pricing'!$G$7:$G$56,$O1827))+N(INDEX('Menu Pricing'!$J$7:$J$56,$O1827)))</f>
        <v/>
      </c>
      <c r="K1827" s="71">
        <f>IF($N1827&lt;&gt;"OK","",$D1827*$J1827)</f>
        <v/>
      </c>
      <c r="L1827" s="71">
        <f>IF($N1827&lt;&gt;"OK","",$I1827-$K1827)</f>
        <v/>
      </c>
      <c r="M1827" s="71">
        <f>IF($N1827&lt;&gt;"OK","",$D1827*N(INDEX('Menu Pricing'!$F$7:$F$56,$O1827)))</f>
        <v/>
      </c>
      <c r="N1827" s="80">
        <f>IF(AND($B1827="",$C1827="",$D1827=""),"",IF(NOT(ISNUMBER($B1827)),"Enter a valid date",IF($C1827="","Pick a menu item",IF($O1827="","Item not on Menu Pricing",IF(N($D1827)&lt;=0,"Qty must be above 0",IF($H1827="","No price on menu","OK"))))))</f>
        <v/>
      </c>
      <c r="O1827" s="13">
        <f>IF($C1827="","",IFERROR(MATCH($C1827,'Menu Pricing'!$B$7:$B$56,0),""))</f>
        <v/>
      </c>
    </row>
    <row r="1828" ht="17" customHeight="1">
      <c r="B1828" s="66" t="n"/>
      <c r="C1828" s="60" t="n"/>
      <c r="D1828" s="86" t="n"/>
      <c r="E1828" s="63" t="n"/>
      <c r="F1828" s="60" t="n"/>
      <c r="G1828" s="60" t="n"/>
      <c r="H1828" s="71">
        <f>IF(OR($C1828="",$D1828=""),"",IF(ISNUMBER($E1828),$E1828,IF($O1828="","",IF(N(INDEX('Menu Pricing'!$O$7:$O$56,$O1828))&gt;0,INDEX('Menu Pricing'!$O$7:$O$56,$O1828),""))))</f>
        <v/>
      </c>
      <c r="I1828" s="71">
        <f>IF($N1828&lt;&gt;"OK","",$D1828*$H1828)</f>
        <v/>
      </c>
      <c r="J1828" s="71">
        <f>IF($N1828&lt;&gt;"OK","",N(INDEX('Menu Pricing'!$F$7:$F$56,$O1828))+N(INDEX('Menu Pricing'!$G$7:$G$56,$O1828))+N(INDEX('Menu Pricing'!$J$7:$J$56,$O1828)))</f>
        <v/>
      </c>
      <c r="K1828" s="71">
        <f>IF($N1828&lt;&gt;"OK","",$D1828*$J1828)</f>
        <v/>
      </c>
      <c r="L1828" s="71">
        <f>IF($N1828&lt;&gt;"OK","",$I1828-$K1828)</f>
        <v/>
      </c>
      <c r="M1828" s="71">
        <f>IF($N1828&lt;&gt;"OK","",$D1828*N(INDEX('Menu Pricing'!$F$7:$F$56,$O1828)))</f>
        <v/>
      </c>
      <c r="N1828" s="80">
        <f>IF(AND($B1828="",$C1828="",$D1828=""),"",IF(NOT(ISNUMBER($B1828)),"Enter a valid date",IF($C1828="","Pick a menu item",IF($O1828="","Item not on Menu Pricing",IF(N($D1828)&lt;=0,"Qty must be above 0",IF($H1828="","No price on menu","OK"))))))</f>
        <v/>
      </c>
      <c r="O1828" s="13">
        <f>IF($C1828="","",IFERROR(MATCH($C1828,'Menu Pricing'!$B$7:$B$56,0),""))</f>
        <v/>
      </c>
    </row>
    <row r="1829" ht="17" customHeight="1">
      <c r="B1829" s="66" t="n"/>
      <c r="C1829" s="60" t="n"/>
      <c r="D1829" s="86" t="n"/>
      <c r="E1829" s="63" t="n"/>
      <c r="F1829" s="60" t="n"/>
      <c r="G1829" s="60" t="n"/>
      <c r="H1829" s="71">
        <f>IF(OR($C1829="",$D1829=""),"",IF(ISNUMBER($E1829),$E1829,IF($O1829="","",IF(N(INDEX('Menu Pricing'!$O$7:$O$56,$O1829))&gt;0,INDEX('Menu Pricing'!$O$7:$O$56,$O1829),""))))</f>
        <v/>
      </c>
      <c r="I1829" s="71">
        <f>IF($N1829&lt;&gt;"OK","",$D1829*$H1829)</f>
        <v/>
      </c>
      <c r="J1829" s="71">
        <f>IF($N1829&lt;&gt;"OK","",N(INDEX('Menu Pricing'!$F$7:$F$56,$O1829))+N(INDEX('Menu Pricing'!$G$7:$G$56,$O1829))+N(INDEX('Menu Pricing'!$J$7:$J$56,$O1829)))</f>
        <v/>
      </c>
      <c r="K1829" s="71">
        <f>IF($N1829&lt;&gt;"OK","",$D1829*$J1829)</f>
        <v/>
      </c>
      <c r="L1829" s="71">
        <f>IF($N1829&lt;&gt;"OK","",$I1829-$K1829)</f>
        <v/>
      </c>
      <c r="M1829" s="71">
        <f>IF($N1829&lt;&gt;"OK","",$D1829*N(INDEX('Menu Pricing'!$F$7:$F$56,$O1829)))</f>
        <v/>
      </c>
      <c r="N1829" s="80">
        <f>IF(AND($B1829="",$C1829="",$D1829=""),"",IF(NOT(ISNUMBER($B1829)),"Enter a valid date",IF($C1829="","Pick a menu item",IF($O1829="","Item not on Menu Pricing",IF(N($D1829)&lt;=0,"Qty must be above 0",IF($H1829="","No price on menu","OK"))))))</f>
        <v/>
      </c>
      <c r="O1829" s="13">
        <f>IF($C1829="","",IFERROR(MATCH($C1829,'Menu Pricing'!$B$7:$B$56,0),""))</f>
        <v/>
      </c>
    </row>
    <row r="1830" ht="17" customHeight="1">
      <c r="B1830" s="66" t="n"/>
      <c r="C1830" s="60" t="n"/>
      <c r="D1830" s="86" t="n"/>
      <c r="E1830" s="63" t="n"/>
      <c r="F1830" s="60" t="n"/>
      <c r="G1830" s="60" t="n"/>
      <c r="H1830" s="71">
        <f>IF(OR($C1830="",$D1830=""),"",IF(ISNUMBER($E1830),$E1830,IF($O1830="","",IF(N(INDEX('Menu Pricing'!$O$7:$O$56,$O1830))&gt;0,INDEX('Menu Pricing'!$O$7:$O$56,$O1830),""))))</f>
        <v/>
      </c>
      <c r="I1830" s="71">
        <f>IF($N1830&lt;&gt;"OK","",$D1830*$H1830)</f>
        <v/>
      </c>
      <c r="J1830" s="71">
        <f>IF($N1830&lt;&gt;"OK","",N(INDEX('Menu Pricing'!$F$7:$F$56,$O1830))+N(INDEX('Menu Pricing'!$G$7:$G$56,$O1830))+N(INDEX('Menu Pricing'!$J$7:$J$56,$O1830)))</f>
        <v/>
      </c>
      <c r="K1830" s="71">
        <f>IF($N1830&lt;&gt;"OK","",$D1830*$J1830)</f>
        <v/>
      </c>
      <c r="L1830" s="71">
        <f>IF($N1830&lt;&gt;"OK","",$I1830-$K1830)</f>
        <v/>
      </c>
      <c r="M1830" s="71">
        <f>IF($N1830&lt;&gt;"OK","",$D1830*N(INDEX('Menu Pricing'!$F$7:$F$56,$O1830)))</f>
        <v/>
      </c>
      <c r="N1830" s="80">
        <f>IF(AND($B1830="",$C1830="",$D1830=""),"",IF(NOT(ISNUMBER($B1830)),"Enter a valid date",IF($C1830="","Pick a menu item",IF($O1830="","Item not on Menu Pricing",IF(N($D1830)&lt;=0,"Qty must be above 0",IF($H1830="","No price on menu","OK"))))))</f>
        <v/>
      </c>
      <c r="O1830" s="13">
        <f>IF($C1830="","",IFERROR(MATCH($C1830,'Menu Pricing'!$B$7:$B$56,0),""))</f>
        <v/>
      </c>
    </row>
    <row r="1831" ht="17" customHeight="1">
      <c r="B1831" s="66" t="n"/>
      <c r="C1831" s="60" t="n"/>
      <c r="D1831" s="86" t="n"/>
      <c r="E1831" s="63" t="n"/>
      <c r="F1831" s="60" t="n"/>
      <c r="G1831" s="60" t="n"/>
      <c r="H1831" s="71">
        <f>IF(OR($C1831="",$D1831=""),"",IF(ISNUMBER($E1831),$E1831,IF($O1831="","",IF(N(INDEX('Menu Pricing'!$O$7:$O$56,$O1831))&gt;0,INDEX('Menu Pricing'!$O$7:$O$56,$O1831),""))))</f>
        <v/>
      </c>
      <c r="I1831" s="71">
        <f>IF($N1831&lt;&gt;"OK","",$D1831*$H1831)</f>
        <v/>
      </c>
      <c r="J1831" s="71">
        <f>IF($N1831&lt;&gt;"OK","",N(INDEX('Menu Pricing'!$F$7:$F$56,$O1831))+N(INDEX('Menu Pricing'!$G$7:$G$56,$O1831))+N(INDEX('Menu Pricing'!$J$7:$J$56,$O1831)))</f>
        <v/>
      </c>
      <c r="K1831" s="71">
        <f>IF($N1831&lt;&gt;"OK","",$D1831*$J1831)</f>
        <v/>
      </c>
      <c r="L1831" s="71">
        <f>IF($N1831&lt;&gt;"OK","",$I1831-$K1831)</f>
        <v/>
      </c>
      <c r="M1831" s="71">
        <f>IF($N1831&lt;&gt;"OK","",$D1831*N(INDEX('Menu Pricing'!$F$7:$F$56,$O1831)))</f>
        <v/>
      </c>
      <c r="N1831" s="80">
        <f>IF(AND($B1831="",$C1831="",$D1831=""),"",IF(NOT(ISNUMBER($B1831)),"Enter a valid date",IF($C1831="","Pick a menu item",IF($O1831="","Item not on Menu Pricing",IF(N($D1831)&lt;=0,"Qty must be above 0",IF($H1831="","No price on menu","OK"))))))</f>
        <v/>
      </c>
      <c r="O1831" s="13">
        <f>IF($C1831="","",IFERROR(MATCH($C1831,'Menu Pricing'!$B$7:$B$56,0),""))</f>
        <v/>
      </c>
    </row>
    <row r="1832" ht="17" customHeight="1">
      <c r="B1832" s="66" t="n"/>
      <c r="C1832" s="60" t="n"/>
      <c r="D1832" s="86" t="n"/>
      <c r="E1832" s="63" t="n"/>
      <c r="F1832" s="60" t="n"/>
      <c r="G1832" s="60" t="n"/>
      <c r="H1832" s="71">
        <f>IF(OR($C1832="",$D1832=""),"",IF(ISNUMBER($E1832),$E1832,IF($O1832="","",IF(N(INDEX('Menu Pricing'!$O$7:$O$56,$O1832))&gt;0,INDEX('Menu Pricing'!$O$7:$O$56,$O1832),""))))</f>
        <v/>
      </c>
      <c r="I1832" s="71">
        <f>IF($N1832&lt;&gt;"OK","",$D1832*$H1832)</f>
        <v/>
      </c>
      <c r="J1832" s="71">
        <f>IF($N1832&lt;&gt;"OK","",N(INDEX('Menu Pricing'!$F$7:$F$56,$O1832))+N(INDEX('Menu Pricing'!$G$7:$G$56,$O1832))+N(INDEX('Menu Pricing'!$J$7:$J$56,$O1832)))</f>
        <v/>
      </c>
      <c r="K1832" s="71">
        <f>IF($N1832&lt;&gt;"OK","",$D1832*$J1832)</f>
        <v/>
      </c>
      <c r="L1832" s="71">
        <f>IF($N1832&lt;&gt;"OK","",$I1832-$K1832)</f>
        <v/>
      </c>
      <c r="M1832" s="71">
        <f>IF($N1832&lt;&gt;"OK","",$D1832*N(INDEX('Menu Pricing'!$F$7:$F$56,$O1832)))</f>
        <v/>
      </c>
      <c r="N1832" s="80">
        <f>IF(AND($B1832="",$C1832="",$D1832=""),"",IF(NOT(ISNUMBER($B1832)),"Enter a valid date",IF($C1832="","Pick a menu item",IF($O1832="","Item not on Menu Pricing",IF(N($D1832)&lt;=0,"Qty must be above 0",IF($H1832="","No price on menu","OK"))))))</f>
        <v/>
      </c>
      <c r="O1832" s="13">
        <f>IF($C1832="","",IFERROR(MATCH($C1832,'Menu Pricing'!$B$7:$B$56,0),""))</f>
        <v/>
      </c>
    </row>
    <row r="1833" ht="17" customHeight="1">
      <c r="B1833" s="66" t="n"/>
      <c r="C1833" s="60" t="n"/>
      <c r="D1833" s="86" t="n"/>
      <c r="E1833" s="63" t="n"/>
      <c r="F1833" s="60" t="n"/>
      <c r="G1833" s="60" t="n"/>
      <c r="H1833" s="71">
        <f>IF(OR($C1833="",$D1833=""),"",IF(ISNUMBER($E1833),$E1833,IF($O1833="","",IF(N(INDEX('Menu Pricing'!$O$7:$O$56,$O1833))&gt;0,INDEX('Menu Pricing'!$O$7:$O$56,$O1833),""))))</f>
        <v/>
      </c>
      <c r="I1833" s="71">
        <f>IF($N1833&lt;&gt;"OK","",$D1833*$H1833)</f>
        <v/>
      </c>
      <c r="J1833" s="71">
        <f>IF($N1833&lt;&gt;"OK","",N(INDEX('Menu Pricing'!$F$7:$F$56,$O1833))+N(INDEX('Menu Pricing'!$G$7:$G$56,$O1833))+N(INDEX('Menu Pricing'!$J$7:$J$56,$O1833)))</f>
        <v/>
      </c>
      <c r="K1833" s="71">
        <f>IF($N1833&lt;&gt;"OK","",$D1833*$J1833)</f>
        <v/>
      </c>
      <c r="L1833" s="71">
        <f>IF($N1833&lt;&gt;"OK","",$I1833-$K1833)</f>
        <v/>
      </c>
      <c r="M1833" s="71">
        <f>IF($N1833&lt;&gt;"OK","",$D1833*N(INDEX('Menu Pricing'!$F$7:$F$56,$O1833)))</f>
        <v/>
      </c>
      <c r="N1833" s="80">
        <f>IF(AND($B1833="",$C1833="",$D1833=""),"",IF(NOT(ISNUMBER($B1833)),"Enter a valid date",IF($C1833="","Pick a menu item",IF($O1833="","Item not on Menu Pricing",IF(N($D1833)&lt;=0,"Qty must be above 0",IF($H1833="","No price on menu","OK"))))))</f>
        <v/>
      </c>
      <c r="O1833" s="13">
        <f>IF($C1833="","",IFERROR(MATCH($C1833,'Menu Pricing'!$B$7:$B$56,0),""))</f>
        <v/>
      </c>
    </row>
    <row r="1834" ht="17" customHeight="1">
      <c r="B1834" s="66" t="n"/>
      <c r="C1834" s="60" t="n"/>
      <c r="D1834" s="86" t="n"/>
      <c r="E1834" s="63" t="n"/>
      <c r="F1834" s="60" t="n"/>
      <c r="G1834" s="60" t="n"/>
      <c r="H1834" s="71">
        <f>IF(OR($C1834="",$D1834=""),"",IF(ISNUMBER($E1834),$E1834,IF($O1834="","",IF(N(INDEX('Menu Pricing'!$O$7:$O$56,$O1834))&gt;0,INDEX('Menu Pricing'!$O$7:$O$56,$O1834),""))))</f>
        <v/>
      </c>
      <c r="I1834" s="71">
        <f>IF($N1834&lt;&gt;"OK","",$D1834*$H1834)</f>
        <v/>
      </c>
      <c r="J1834" s="71">
        <f>IF($N1834&lt;&gt;"OK","",N(INDEX('Menu Pricing'!$F$7:$F$56,$O1834))+N(INDEX('Menu Pricing'!$G$7:$G$56,$O1834))+N(INDEX('Menu Pricing'!$J$7:$J$56,$O1834)))</f>
        <v/>
      </c>
      <c r="K1834" s="71">
        <f>IF($N1834&lt;&gt;"OK","",$D1834*$J1834)</f>
        <v/>
      </c>
      <c r="L1834" s="71">
        <f>IF($N1834&lt;&gt;"OK","",$I1834-$K1834)</f>
        <v/>
      </c>
      <c r="M1834" s="71">
        <f>IF($N1834&lt;&gt;"OK","",$D1834*N(INDEX('Menu Pricing'!$F$7:$F$56,$O1834)))</f>
        <v/>
      </c>
      <c r="N1834" s="80">
        <f>IF(AND($B1834="",$C1834="",$D1834=""),"",IF(NOT(ISNUMBER($B1834)),"Enter a valid date",IF($C1834="","Pick a menu item",IF($O1834="","Item not on Menu Pricing",IF(N($D1834)&lt;=0,"Qty must be above 0",IF($H1834="","No price on menu","OK"))))))</f>
        <v/>
      </c>
      <c r="O1834" s="13">
        <f>IF($C1834="","",IFERROR(MATCH($C1834,'Menu Pricing'!$B$7:$B$56,0),""))</f>
        <v/>
      </c>
    </row>
    <row r="1835" ht="17" customHeight="1">
      <c r="B1835" s="66" t="n"/>
      <c r="C1835" s="60" t="n"/>
      <c r="D1835" s="86" t="n"/>
      <c r="E1835" s="63" t="n"/>
      <c r="F1835" s="60" t="n"/>
      <c r="G1835" s="60" t="n"/>
      <c r="H1835" s="71">
        <f>IF(OR($C1835="",$D1835=""),"",IF(ISNUMBER($E1835),$E1835,IF($O1835="","",IF(N(INDEX('Menu Pricing'!$O$7:$O$56,$O1835))&gt;0,INDEX('Menu Pricing'!$O$7:$O$56,$O1835),""))))</f>
        <v/>
      </c>
      <c r="I1835" s="71">
        <f>IF($N1835&lt;&gt;"OK","",$D1835*$H1835)</f>
        <v/>
      </c>
      <c r="J1835" s="71">
        <f>IF($N1835&lt;&gt;"OK","",N(INDEX('Menu Pricing'!$F$7:$F$56,$O1835))+N(INDEX('Menu Pricing'!$G$7:$G$56,$O1835))+N(INDEX('Menu Pricing'!$J$7:$J$56,$O1835)))</f>
        <v/>
      </c>
      <c r="K1835" s="71">
        <f>IF($N1835&lt;&gt;"OK","",$D1835*$J1835)</f>
        <v/>
      </c>
      <c r="L1835" s="71">
        <f>IF($N1835&lt;&gt;"OK","",$I1835-$K1835)</f>
        <v/>
      </c>
      <c r="M1835" s="71">
        <f>IF($N1835&lt;&gt;"OK","",$D1835*N(INDEX('Menu Pricing'!$F$7:$F$56,$O1835)))</f>
        <v/>
      </c>
      <c r="N1835" s="80">
        <f>IF(AND($B1835="",$C1835="",$D1835=""),"",IF(NOT(ISNUMBER($B1835)),"Enter a valid date",IF($C1835="","Pick a menu item",IF($O1835="","Item not on Menu Pricing",IF(N($D1835)&lt;=0,"Qty must be above 0",IF($H1835="","No price on menu","OK"))))))</f>
        <v/>
      </c>
      <c r="O1835" s="13">
        <f>IF($C1835="","",IFERROR(MATCH($C1835,'Menu Pricing'!$B$7:$B$56,0),""))</f>
        <v/>
      </c>
    </row>
    <row r="1836" ht="17" customHeight="1">
      <c r="B1836" s="66" t="n"/>
      <c r="C1836" s="60" t="n"/>
      <c r="D1836" s="86" t="n"/>
      <c r="E1836" s="63" t="n"/>
      <c r="F1836" s="60" t="n"/>
      <c r="G1836" s="60" t="n"/>
      <c r="H1836" s="71">
        <f>IF(OR($C1836="",$D1836=""),"",IF(ISNUMBER($E1836),$E1836,IF($O1836="","",IF(N(INDEX('Menu Pricing'!$O$7:$O$56,$O1836))&gt;0,INDEX('Menu Pricing'!$O$7:$O$56,$O1836),""))))</f>
        <v/>
      </c>
      <c r="I1836" s="71">
        <f>IF($N1836&lt;&gt;"OK","",$D1836*$H1836)</f>
        <v/>
      </c>
      <c r="J1836" s="71">
        <f>IF($N1836&lt;&gt;"OK","",N(INDEX('Menu Pricing'!$F$7:$F$56,$O1836))+N(INDEX('Menu Pricing'!$G$7:$G$56,$O1836))+N(INDEX('Menu Pricing'!$J$7:$J$56,$O1836)))</f>
        <v/>
      </c>
      <c r="K1836" s="71">
        <f>IF($N1836&lt;&gt;"OK","",$D1836*$J1836)</f>
        <v/>
      </c>
      <c r="L1836" s="71">
        <f>IF($N1836&lt;&gt;"OK","",$I1836-$K1836)</f>
        <v/>
      </c>
      <c r="M1836" s="71">
        <f>IF($N1836&lt;&gt;"OK","",$D1836*N(INDEX('Menu Pricing'!$F$7:$F$56,$O1836)))</f>
        <v/>
      </c>
      <c r="N1836" s="80">
        <f>IF(AND($B1836="",$C1836="",$D1836=""),"",IF(NOT(ISNUMBER($B1836)),"Enter a valid date",IF($C1836="","Pick a menu item",IF($O1836="","Item not on Menu Pricing",IF(N($D1836)&lt;=0,"Qty must be above 0",IF($H1836="","No price on menu","OK"))))))</f>
        <v/>
      </c>
      <c r="O1836" s="13">
        <f>IF($C1836="","",IFERROR(MATCH($C1836,'Menu Pricing'!$B$7:$B$56,0),""))</f>
        <v/>
      </c>
    </row>
    <row r="1837" ht="17" customHeight="1">
      <c r="B1837" s="66" t="n"/>
      <c r="C1837" s="60" t="n"/>
      <c r="D1837" s="86" t="n"/>
      <c r="E1837" s="63" t="n"/>
      <c r="F1837" s="60" t="n"/>
      <c r="G1837" s="60" t="n"/>
      <c r="H1837" s="71">
        <f>IF(OR($C1837="",$D1837=""),"",IF(ISNUMBER($E1837),$E1837,IF($O1837="","",IF(N(INDEX('Menu Pricing'!$O$7:$O$56,$O1837))&gt;0,INDEX('Menu Pricing'!$O$7:$O$56,$O1837),""))))</f>
        <v/>
      </c>
      <c r="I1837" s="71">
        <f>IF($N1837&lt;&gt;"OK","",$D1837*$H1837)</f>
        <v/>
      </c>
      <c r="J1837" s="71">
        <f>IF($N1837&lt;&gt;"OK","",N(INDEX('Menu Pricing'!$F$7:$F$56,$O1837))+N(INDEX('Menu Pricing'!$G$7:$G$56,$O1837))+N(INDEX('Menu Pricing'!$J$7:$J$56,$O1837)))</f>
        <v/>
      </c>
      <c r="K1837" s="71">
        <f>IF($N1837&lt;&gt;"OK","",$D1837*$J1837)</f>
        <v/>
      </c>
      <c r="L1837" s="71">
        <f>IF($N1837&lt;&gt;"OK","",$I1837-$K1837)</f>
        <v/>
      </c>
      <c r="M1837" s="71">
        <f>IF($N1837&lt;&gt;"OK","",$D1837*N(INDEX('Menu Pricing'!$F$7:$F$56,$O1837)))</f>
        <v/>
      </c>
      <c r="N1837" s="80">
        <f>IF(AND($B1837="",$C1837="",$D1837=""),"",IF(NOT(ISNUMBER($B1837)),"Enter a valid date",IF($C1837="","Pick a menu item",IF($O1837="","Item not on Menu Pricing",IF(N($D1837)&lt;=0,"Qty must be above 0",IF($H1837="","No price on menu","OK"))))))</f>
        <v/>
      </c>
      <c r="O1837" s="13">
        <f>IF($C1837="","",IFERROR(MATCH($C1837,'Menu Pricing'!$B$7:$B$56,0),""))</f>
        <v/>
      </c>
    </row>
    <row r="1838" ht="17" customHeight="1">
      <c r="B1838" s="66" t="n"/>
      <c r="C1838" s="60" t="n"/>
      <c r="D1838" s="86" t="n"/>
      <c r="E1838" s="63" t="n"/>
      <c r="F1838" s="60" t="n"/>
      <c r="G1838" s="60" t="n"/>
      <c r="H1838" s="71">
        <f>IF(OR($C1838="",$D1838=""),"",IF(ISNUMBER($E1838),$E1838,IF($O1838="","",IF(N(INDEX('Menu Pricing'!$O$7:$O$56,$O1838))&gt;0,INDEX('Menu Pricing'!$O$7:$O$56,$O1838),""))))</f>
        <v/>
      </c>
      <c r="I1838" s="71">
        <f>IF($N1838&lt;&gt;"OK","",$D1838*$H1838)</f>
        <v/>
      </c>
      <c r="J1838" s="71">
        <f>IF($N1838&lt;&gt;"OK","",N(INDEX('Menu Pricing'!$F$7:$F$56,$O1838))+N(INDEX('Menu Pricing'!$G$7:$G$56,$O1838))+N(INDEX('Menu Pricing'!$J$7:$J$56,$O1838)))</f>
        <v/>
      </c>
      <c r="K1838" s="71">
        <f>IF($N1838&lt;&gt;"OK","",$D1838*$J1838)</f>
        <v/>
      </c>
      <c r="L1838" s="71">
        <f>IF($N1838&lt;&gt;"OK","",$I1838-$K1838)</f>
        <v/>
      </c>
      <c r="M1838" s="71">
        <f>IF($N1838&lt;&gt;"OK","",$D1838*N(INDEX('Menu Pricing'!$F$7:$F$56,$O1838)))</f>
        <v/>
      </c>
      <c r="N1838" s="80">
        <f>IF(AND($B1838="",$C1838="",$D1838=""),"",IF(NOT(ISNUMBER($B1838)),"Enter a valid date",IF($C1838="","Pick a menu item",IF($O1838="","Item not on Menu Pricing",IF(N($D1838)&lt;=0,"Qty must be above 0",IF($H1838="","No price on menu","OK"))))))</f>
        <v/>
      </c>
      <c r="O1838" s="13">
        <f>IF($C1838="","",IFERROR(MATCH($C1838,'Menu Pricing'!$B$7:$B$56,0),""))</f>
        <v/>
      </c>
    </row>
    <row r="1839" ht="17" customHeight="1">
      <c r="B1839" s="66" t="n"/>
      <c r="C1839" s="60" t="n"/>
      <c r="D1839" s="86" t="n"/>
      <c r="E1839" s="63" t="n"/>
      <c r="F1839" s="60" t="n"/>
      <c r="G1839" s="60" t="n"/>
      <c r="H1839" s="71">
        <f>IF(OR($C1839="",$D1839=""),"",IF(ISNUMBER($E1839),$E1839,IF($O1839="","",IF(N(INDEX('Menu Pricing'!$O$7:$O$56,$O1839))&gt;0,INDEX('Menu Pricing'!$O$7:$O$56,$O1839),""))))</f>
        <v/>
      </c>
      <c r="I1839" s="71">
        <f>IF($N1839&lt;&gt;"OK","",$D1839*$H1839)</f>
        <v/>
      </c>
      <c r="J1839" s="71">
        <f>IF($N1839&lt;&gt;"OK","",N(INDEX('Menu Pricing'!$F$7:$F$56,$O1839))+N(INDEX('Menu Pricing'!$G$7:$G$56,$O1839))+N(INDEX('Menu Pricing'!$J$7:$J$56,$O1839)))</f>
        <v/>
      </c>
      <c r="K1839" s="71">
        <f>IF($N1839&lt;&gt;"OK","",$D1839*$J1839)</f>
        <v/>
      </c>
      <c r="L1839" s="71">
        <f>IF($N1839&lt;&gt;"OK","",$I1839-$K1839)</f>
        <v/>
      </c>
      <c r="M1839" s="71">
        <f>IF($N1839&lt;&gt;"OK","",$D1839*N(INDEX('Menu Pricing'!$F$7:$F$56,$O1839)))</f>
        <v/>
      </c>
      <c r="N1839" s="80">
        <f>IF(AND($B1839="",$C1839="",$D1839=""),"",IF(NOT(ISNUMBER($B1839)),"Enter a valid date",IF($C1839="","Pick a menu item",IF($O1839="","Item not on Menu Pricing",IF(N($D1839)&lt;=0,"Qty must be above 0",IF($H1839="","No price on menu","OK"))))))</f>
        <v/>
      </c>
      <c r="O1839" s="13">
        <f>IF($C1839="","",IFERROR(MATCH($C1839,'Menu Pricing'!$B$7:$B$56,0),""))</f>
        <v/>
      </c>
    </row>
    <row r="1840" ht="17" customHeight="1">
      <c r="B1840" s="66" t="n"/>
      <c r="C1840" s="60" t="n"/>
      <c r="D1840" s="86" t="n"/>
      <c r="E1840" s="63" t="n"/>
      <c r="F1840" s="60" t="n"/>
      <c r="G1840" s="60" t="n"/>
      <c r="H1840" s="71">
        <f>IF(OR($C1840="",$D1840=""),"",IF(ISNUMBER($E1840),$E1840,IF($O1840="","",IF(N(INDEX('Menu Pricing'!$O$7:$O$56,$O1840))&gt;0,INDEX('Menu Pricing'!$O$7:$O$56,$O1840),""))))</f>
        <v/>
      </c>
      <c r="I1840" s="71">
        <f>IF($N1840&lt;&gt;"OK","",$D1840*$H1840)</f>
        <v/>
      </c>
      <c r="J1840" s="71">
        <f>IF($N1840&lt;&gt;"OK","",N(INDEX('Menu Pricing'!$F$7:$F$56,$O1840))+N(INDEX('Menu Pricing'!$G$7:$G$56,$O1840))+N(INDEX('Menu Pricing'!$J$7:$J$56,$O1840)))</f>
        <v/>
      </c>
      <c r="K1840" s="71">
        <f>IF($N1840&lt;&gt;"OK","",$D1840*$J1840)</f>
        <v/>
      </c>
      <c r="L1840" s="71">
        <f>IF($N1840&lt;&gt;"OK","",$I1840-$K1840)</f>
        <v/>
      </c>
      <c r="M1840" s="71">
        <f>IF($N1840&lt;&gt;"OK","",$D1840*N(INDEX('Menu Pricing'!$F$7:$F$56,$O1840)))</f>
        <v/>
      </c>
      <c r="N1840" s="80">
        <f>IF(AND($B1840="",$C1840="",$D1840=""),"",IF(NOT(ISNUMBER($B1840)),"Enter a valid date",IF($C1840="","Pick a menu item",IF($O1840="","Item not on Menu Pricing",IF(N($D1840)&lt;=0,"Qty must be above 0",IF($H1840="","No price on menu","OK"))))))</f>
        <v/>
      </c>
      <c r="O1840" s="13">
        <f>IF($C1840="","",IFERROR(MATCH($C1840,'Menu Pricing'!$B$7:$B$56,0),""))</f>
        <v/>
      </c>
    </row>
    <row r="1841" ht="17" customHeight="1">
      <c r="B1841" s="66" t="n"/>
      <c r="C1841" s="60" t="n"/>
      <c r="D1841" s="86" t="n"/>
      <c r="E1841" s="63" t="n"/>
      <c r="F1841" s="60" t="n"/>
      <c r="G1841" s="60" t="n"/>
      <c r="H1841" s="71">
        <f>IF(OR($C1841="",$D1841=""),"",IF(ISNUMBER($E1841),$E1841,IF($O1841="","",IF(N(INDEX('Menu Pricing'!$O$7:$O$56,$O1841))&gt;0,INDEX('Menu Pricing'!$O$7:$O$56,$O1841),""))))</f>
        <v/>
      </c>
      <c r="I1841" s="71">
        <f>IF($N1841&lt;&gt;"OK","",$D1841*$H1841)</f>
        <v/>
      </c>
      <c r="J1841" s="71">
        <f>IF($N1841&lt;&gt;"OK","",N(INDEX('Menu Pricing'!$F$7:$F$56,$O1841))+N(INDEX('Menu Pricing'!$G$7:$G$56,$O1841))+N(INDEX('Menu Pricing'!$J$7:$J$56,$O1841)))</f>
        <v/>
      </c>
      <c r="K1841" s="71">
        <f>IF($N1841&lt;&gt;"OK","",$D1841*$J1841)</f>
        <v/>
      </c>
      <c r="L1841" s="71">
        <f>IF($N1841&lt;&gt;"OK","",$I1841-$K1841)</f>
        <v/>
      </c>
      <c r="M1841" s="71">
        <f>IF($N1841&lt;&gt;"OK","",$D1841*N(INDEX('Menu Pricing'!$F$7:$F$56,$O1841)))</f>
        <v/>
      </c>
      <c r="N1841" s="80">
        <f>IF(AND($B1841="",$C1841="",$D1841=""),"",IF(NOT(ISNUMBER($B1841)),"Enter a valid date",IF($C1841="","Pick a menu item",IF($O1841="","Item not on Menu Pricing",IF(N($D1841)&lt;=0,"Qty must be above 0",IF($H1841="","No price on menu","OK"))))))</f>
        <v/>
      </c>
      <c r="O1841" s="13">
        <f>IF($C1841="","",IFERROR(MATCH($C1841,'Menu Pricing'!$B$7:$B$56,0),""))</f>
        <v/>
      </c>
    </row>
    <row r="1842" ht="17" customHeight="1">
      <c r="B1842" s="66" t="n"/>
      <c r="C1842" s="60" t="n"/>
      <c r="D1842" s="86" t="n"/>
      <c r="E1842" s="63" t="n"/>
      <c r="F1842" s="60" t="n"/>
      <c r="G1842" s="60" t="n"/>
      <c r="H1842" s="71">
        <f>IF(OR($C1842="",$D1842=""),"",IF(ISNUMBER($E1842),$E1842,IF($O1842="","",IF(N(INDEX('Menu Pricing'!$O$7:$O$56,$O1842))&gt;0,INDEX('Menu Pricing'!$O$7:$O$56,$O1842),""))))</f>
        <v/>
      </c>
      <c r="I1842" s="71">
        <f>IF($N1842&lt;&gt;"OK","",$D1842*$H1842)</f>
        <v/>
      </c>
      <c r="J1842" s="71">
        <f>IF($N1842&lt;&gt;"OK","",N(INDEX('Menu Pricing'!$F$7:$F$56,$O1842))+N(INDEX('Menu Pricing'!$G$7:$G$56,$O1842))+N(INDEX('Menu Pricing'!$J$7:$J$56,$O1842)))</f>
        <v/>
      </c>
      <c r="K1842" s="71">
        <f>IF($N1842&lt;&gt;"OK","",$D1842*$J1842)</f>
        <v/>
      </c>
      <c r="L1842" s="71">
        <f>IF($N1842&lt;&gt;"OK","",$I1842-$K1842)</f>
        <v/>
      </c>
      <c r="M1842" s="71">
        <f>IF($N1842&lt;&gt;"OK","",$D1842*N(INDEX('Menu Pricing'!$F$7:$F$56,$O1842)))</f>
        <v/>
      </c>
      <c r="N1842" s="80">
        <f>IF(AND($B1842="",$C1842="",$D1842=""),"",IF(NOT(ISNUMBER($B1842)),"Enter a valid date",IF($C1842="","Pick a menu item",IF($O1842="","Item not on Menu Pricing",IF(N($D1842)&lt;=0,"Qty must be above 0",IF($H1842="","No price on menu","OK"))))))</f>
        <v/>
      </c>
      <c r="O1842" s="13">
        <f>IF($C1842="","",IFERROR(MATCH($C1842,'Menu Pricing'!$B$7:$B$56,0),""))</f>
        <v/>
      </c>
    </row>
    <row r="1843" ht="17" customHeight="1">
      <c r="B1843" s="66" t="n"/>
      <c r="C1843" s="60" t="n"/>
      <c r="D1843" s="86" t="n"/>
      <c r="E1843" s="63" t="n"/>
      <c r="F1843" s="60" t="n"/>
      <c r="G1843" s="60" t="n"/>
      <c r="H1843" s="71">
        <f>IF(OR($C1843="",$D1843=""),"",IF(ISNUMBER($E1843),$E1843,IF($O1843="","",IF(N(INDEX('Menu Pricing'!$O$7:$O$56,$O1843))&gt;0,INDEX('Menu Pricing'!$O$7:$O$56,$O1843),""))))</f>
        <v/>
      </c>
      <c r="I1843" s="71">
        <f>IF($N1843&lt;&gt;"OK","",$D1843*$H1843)</f>
        <v/>
      </c>
      <c r="J1843" s="71">
        <f>IF($N1843&lt;&gt;"OK","",N(INDEX('Menu Pricing'!$F$7:$F$56,$O1843))+N(INDEX('Menu Pricing'!$G$7:$G$56,$O1843))+N(INDEX('Menu Pricing'!$J$7:$J$56,$O1843)))</f>
        <v/>
      </c>
      <c r="K1843" s="71">
        <f>IF($N1843&lt;&gt;"OK","",$D1843*$J1843)</f>
        <v/>
      </c>
      <c r="L1843" s="71">
        <f>IF($N1843&lt;&gt;"OK","",$I1843-$K1843)</f>
        <v/>
      </c>
      <c r="M1843" s="71">
        <f>IF($N1843&lt;&gt;"OK","",$D1843*N(INDEX('Menu Pricing'!$F$7:$F$56,$O1843)))</f>
        <v/>
      </c>
      <c r="N1843" s="80">
        <f>IF(AND($B1843="",$C1843="",$D1843=""),"",IF(NOT(ISNUMBER($B1843)),"Enter a valid date",IF($C1843="","Pick a menu item",IF($O1843="","Item not on Menu Pricing",IF(N($D1843)&lt;=0,"Qty must be above 0",IF($H1843="","No price on menu","OK"))))))</f>
        <v/>
      </c>
      <c r="O1843" s="13">
        <f>IF($C1843="","",IFERROR(MATCH($C1843,'Menu Pricing'!$B$7:$B$56,0),""))</f>
        <v/>
      </c>
    </row>
    <row r="1844" ht="17" customHeight="1">
      <c r="B1844" s="66" t="n"/>
      <c r="C1844" s="60" t="n"/>
      <c r="D1844" s="86" t="n"/>
      <c r="E1844" s="63" t="n"/>
      <c r="F1844" s="60" t="n"/>
      <c r="G1844" s="60" t="n"/>
      <c r="H1844" s="71">
        <f>IF(OR($C1844="",$D1844=""),"",IF(ISNUMBER($E1844),$E1844,IF($O1844="","",IF(N(INDEX('Menu Pricing'!$O$7:$O$56,$O1844))&gt;0,INDEX('Menu Pricing'!$O$7:$O$56,$O1844),""))))</f>
        <v/>
      </c>
      <c r="I1844" s="71">
        <f>IF($N1844&lt;&gt;"OK","",$D1844*$H1844)</f>
        <v/>
      </c>
      <c r="J1844" s="71">
        <f>IF($N1844&lt;&gt;"OK","",N(INDEX('Menu Pricing'!$F$7:$F$56,$O1844))+N(INDEX('Menu Pricing'!$G$7:$G$56,$O1844))+N(INDEX('Menu Pricing'!$J$7:$J$56,$O1844)))</f>
        <v/>
      </c>
      <c r="K1844" s="71">
        <f>IF($N1844&lt;&gt;"OK","",$D1844*$J1844)</f>
        <v/>
      </c>
      <c r="L1844" s="71">
        <f>IF($N1844&lt;&gt;"OK","",$I1844-$K1844)</f>
        <v/>
      </c>
      <c r="M1844" s="71">
        <f>IF($N1844&lt;&gt;"OK","",$D1844*N(INDEX('Menu Pricing'!$F$7:$F$56,$O1844)))</f>
        <v/>
      </c>
      <c r="N1844" s="80">
        <f>IF(AND($B1844="",$C1844="",$D1844=""),"",IF(NOT(ISNUMBER($B1844)),"Enter a valid date",IF($C1844="","Pick a menu item",IF($O1844="","Item not on Menu Pricing",IF(N($D1844)&lt;=0,"Qty must be above 0",IF($H1844="","No price on menu","OK"))))))</f>
        <v/>
      </c>
      <c r="O1844" s="13">
        <f>IF($C1844="","",IFERROR(MATCH($C1844,'Menu Pricing'!$B$7:$B$56,0),""))</f>
        <v/>
      </c>
    </row>
    <row r="1845" ht="17" customHeight="1">
      <c r="B1845" s="66" t="n"/>
      <c r="C1845" s="60" t="n"/>
      <c r="D1845" s="86" t="n"/>
      <c r="E1845" s="63" t="n"/>
      <c r="F1845" s="60" t="n"/>
      <c r="G1845" s="60" t="n"/>
      <c r="H1845" s="71">
        <f>IF(OR($C1845="",$D1845=""),"",IF(ISNUMBER($E1845),$E1845,IF($O1845="","",IF(N(INDEX('Menu Pricing'!$O$7:$O$56,$O1845))&gt;0,INDEX('Menu Pricing'!$O$7:$O$56,$O1845),""))))</f>
        <v/>
      </c>
      <c r="I1845" s="71">
        <f>IF($N1845&lt;&gt;"OK","",$D1845*$H1845)</f>
        <v/>
      </c>
      <c r="J1845" s="71">
        <f>IF($N1845&lt;&gt;"OK","",N(INDEX('Menu Pricing'!$F$7:$F$56,$O1845))+N(INDEX('Menu Pricing'!$G$7:$G$56,$O1845))+N(INDEX('Menu Pricing'!$J$7:$J$56,$O1845)))</f>
        <v/>
      </c>
      <c r="K1845" s="71">
        <f>IF($N1845&lt;&gt;"OK","",$D1845*$J1845)</f>
        <v/>
      </c>
      <c r="L1845" s="71">
        <f>IF($N1845&lt;&gt;"OK","",$I1845-$K1845)</f>
        <v/>
      </c>
      <c r="M1845" s="71">
        <f>IF($N1845&lt;&gt;"OK","",$D1845*N(INDEX('Menu Pricing'!$F$7:$F$56,$O1845)))</f>
        <v/>
      </c>
      <c r="N1845" s="80">
        <f>IF(AND($B1845="",$C1845="",$D1845=""),"",IF(NOT(ISNUMBER($B1845)),"Enter a valid date",IF($C1845="","Pick a menu item",IF($O1845="","Item not on Menu Pricing",IF(N($D1845)&lt;=0,"Qty must be above 0",IF($H1845="","No price on menu","OK"))))))</f>
        <v/>
      </c>
      <c r="O1845" s="13">
        <f>IF($C1845="","",IFERROR(MATCH($C1845,'Menu Pricing'!$B$7:$B$56,0),""))</f>
        <v/>
      </c>
    </row>
    <row r="1846" ht="17" customHeight="1">
      <c r="B1846" s="66" t="n"/>
      <c r="C1846" s="60" t="n"/>
      <c r="D1846" s="86" t="n"/>
      <c r="E1846" s="63" t="n"/>
      <c r="F1846" s="60" t="n"/>
      <c r="G1846" s="60" t="n"/>
      <c r="H1846" s="71">
        <f>IF(OR($C1846="",$D1846=""),"",IF(ISNUMBER($E1846),$E1846,IF($O1846="","",IF(N(INDEX('Menu Pricing'!$O$7:$O$56,$O1846))&gt;0,INDEX('Menu Pricing'!$O$7:$O$56,$O1846),""))))</f>
        <v/>
      </c>
      <c r="I1846" s="71">
        <f>IF($N1846&lt;&gt;"OK","",$D1846*$H1846)</f>
        <v/>
      </c>
      <c r="J1846" s="71">
        <f>IF($N1846&lt;&gt;"OK","",N(INDEX('Menu Pricing'!$F$7:$F$56,$O1846))+N(INDEX('Menu Pricing'!$G$7:$G$56,$O1846))+N(INDEX('Menu Pricing'!$J$7:$J$56,$O1846)))</f>
        <v/>
      </c>
      <c r="K1846" s="71">
        <f>IF($N1846&lt;&gt;"OK","",$D1846*$J1846)</f>
        <v/>
      </c>
      <c r="L1846" s="71">
        <f>IF($N1846&lt;&gt;"OK","",$I1846-$K1846)</f>
        <v/>
      </c>
      <c r="M1846" s="71">
        <f>IF($N1846&lt;&gt;"OK","",$D1846*N(INDEX('Menu Pricing'!$F$7:$F$56,$O1846)))</f>
        <v/>
      </c>
      <c r="N1846" s="80">
        <f>IF(AND($B1846="",$C1846="",$D1846=""),"",IF(NOT(ISNUMBER($B1846)),"Enter a valid date",IF($C1846="","Pick a menu item",IF($O1846="","Item not on Menu Pricing",IF(N($D1846)&lt;=0,"Qty must be above 0",IF($H1846="","No price on menu","OK"))))))</f>
        <v/>
      </c>
      <c r="O1846" s="13">
        <f>IF($C1846="","",IFERROR(MATCH($C1846,'Menu Pricing'!$B$7:$B$56,0),""))</f>
        <v/>
      </c>
    </row>
    <row r="1847" ht="17" customHeight="1">
      <c r="B1847" s="66" t="n"/>
      <c r="C1847" s="60" t="n"/>
      <c r="D1847" s="86" t="n"/>
      <c r="E1847" s="63" t="n"/>
      <c r="F1847" s="60" t="n"/>
      <c r="G1847" s="60" t="n"/>
      <c r="H1847" s="71">
        <f>IF(OR($C1847="",$D1847=""),"",IF(ISNUMBER($E1847),$E1847,IF($O1847="","",IF(N(INDEX('Menu Pricing'!$O$7:$O$56,$O1847))&gt;0,INDEX('Menu Pricing'!$O$7:$O$56,$O1847),""))))</f>
        <v/>
      </c>
      <c r="I1847" s="71">
        <f>IF($N1847&lt;&gt;"OK","",$D1847*$H1847)</f>
        <v/>
      </c>
      <c r="J1847" s="71">
        <f>IF($N1847&lt;&gt;"OK","",N(INDEX('Menu Pricing'!$F$7:$F$56,$O1847))+N(INDEX('Menu Pricing'!$G$7:$G$56,$O1847))+N(INDEX('Menu Pricing'!$J$7:$J$56,$O1847)))</f>
        <v/>
      </c>
      <c r="K1847" s="71">
        <f>IF($N1847&lt;&gt;"OK","",$D1847*$J1847)</f>
        <v/>
      </c>
      <c r="L1847" s="71">
        <f>IF($N1847&lt;&gt;"OK","",$I1847-$K1847)</f>
        <v/>
      </c>
      <c r="M1847" s="71">
        <f>IF($N1847&lt;&gt;"OK","",$D1847*N(INDEX('Menu Pricing'!$F$7:$F$56,$O1847)))</f>
        <v/>
      </c>
      <c r="N1847" s="80">
        <f>IF(AND($B1847="",$C1847="",$D1847=""),"",IF(NOT(ISNUMBER($B1847)),"Enter a valid date",IF($C1847="","Pick a menu item",IF($O1847="","Item not on Menu Pricing",IF(N($D1847)&lt;=0,"Qty must be above 0",IF($H1847="","No price on menu","OK"))))))</f>
        <v/>
      </c>
      <c r="O1847" s="13">
        <f>IF($C1847="","",IFERROR(MATCH($C1847,'Menu Pricing'!$B$7:$B$56,0),""))</f>
        <v/>
      </c>
    </row>
    <row r="1848" ht="17" customHeight="1">
      <c r="B1848" s="66" t="n"/>
      <c r="C1848" s="60" t="n"/>
      <c r="D1848" s="86" t="n"/>
      <c r="E1848" s="63" t="n"/>
      <c r="F1848" s="60" t="n"/>
      <c r="G1848" s="60" t="n"/>
      <c r="H1848" s="71">
        <f>IF(OR($C1848="",$D1848=""),"",IF(ISNUMBER($E1848),$E1848,IF($O1848="","",IF(N(INDEX('Menu Pricing'!$O$7:$O$56,$O1848))&gt;0,INDEX('Menu Pricing'!$O$7:$O$56,$O1848),""))))</f>
        <v/>
      </c>
      <c r="I1848" s="71">
        <f>IF($N1848&lt;&gt;"OK","",$D1848*$H1848)</f>
        <v/>
      </c>
      <c r="J1848" s="71">
        <f>IF($N1848&lt;&gt;"OK","",N(INDEX('Menu Pricing'!$F$7:$F$56,$O1848))+N(INDEX('Menu Pricing'!$G$7:$G$56,$O1848))+N(INDEX('Menu Pricing'!$J$7:$J$56,$O1848)))</f>
        <v/>
      </c>
      <c r="K1848" s="71">
        <f>IF($N1848&lt;&gt;"OK","",$D1848*$J1848)</f>
        <v/>
      </c>
      <c r="L1848" s="71">
        <f>IF($N1848&lt;&gt;"OK","",$I1848-$K1848)</f>
        <v/>
      </c>
      <c r="M1848" s="71">
        <f>IF($N1848&lt;&gt;"OK","",$D1848*N(INDEX('Menu Pricing'!$F$7:$F$56,$O1848)))</f>
        <v/>
      </c>
      <c r="N1848" s="80">
        <f>IF(AND($B1848="",$C1848="",$D1848=""),"",IF(NOT(ISNUMBER($B1848)),"Enter a valid date",IF($C1848="","Pick a menu item",IF($O1848="","Item not on Menu Pricing",IF(N($D1848)&lt;=0,"Qty must be above 0",IF($H1848="","No price on menu","OK"))))))</f>
        <v/>
      </c>
      <c r="O1848" s="13">
        <f>IF($C1848="","",IFERROR(MATCH($C1848,'Menu Pricing'!$B$7:$B$56,0),""))</f>
        <v/>
      </c>
    </row>
    <row r="1849" ht="17" customHeight="1">
      <c r="B1849" s="66" t="n"/>
      <c r="C1849" s="60" t="n"/>
      <c r="D1849" s="86" t="n"/>
      <c r="E1849" s="63" t="n"/>
      <c r="F1849" s="60" t="n"/>
      <c r="G1849" s="60" t="n"/>
      <c r="H1849" s="71">
        <f>IF(OR($C1849="",$D1849=""),"",IF(ISNUMBER($E1849),$E1849,IF($O1849="","",IF(N(INDEX('Menu Pricing'!$O$7:$O$56,$O1849))&gt;0,INDEX('Menu Pricing'!$O$7:$O$56,$O1849),""))))</f>
        <v/>
      </c>
      <c r="I1849" s="71">
        <f>IF($N1849&lt;&gt;"OK","",$D1849*$H1849)</f>
        <v/>
      </c>
      <c r="J1849" s="71">
        <f>IF($N1849&lt;&gt;"OK","",N(INDEX('Menu Pricing'!$F$7:$F$56,$O1849))+N(INDEX('Menu Pricing'!$G$7:$G$56,$O1849))+N(INDEX('Menu Pricing'!$J$7:$J$56,$O1849)))</f>
        <v/>
      </c>
      <c r="K1849" s="71">
        <f>IF($N1849&lt;&gt;"OK","",$D1849*$J1849)</f>
        <v/>
      </c>
      <c r="L1849" s="71">
        <f>IF($N1849&lt;&gt;"OK","",$I1849-$K1849)</f>
        <v/>
      </c>
      <c r="M1849" s="71">
        <f>IF($N1849&lt;&gt;"OK","",$D1849*N(INDEX('Menu Pricing'!$F$7:$F$56,$O1849)))</f>
        <v/>
      </c>
      <c r="N1849" s="80">
        <f>IF(AND($B1849="",$C1849="",$D1849=""),"",IF(NOT(ISNUMBER($B1849)),"Enter a valid date",IF($C1849="","Pick a menu item",IF($O1849="","Item not on Menu Pricing",IF(N($D1849)&lt;=0,"Qty must be above 0",IF($H1849="","No price on menu","OK"))))))</f>
        <v/>
      </c>
      <c r="O1849" s="13">
        <f>IF($C1849="","",IFERROR(MATCH($C1849,'Menu Pricing'!$B$7:$B$56,0),""))</f>
        <v/>
      </c>
    </row>
    <row r="1850" ht="17" customHeight="1">
      <c r="B1850" s="66" t="n"/>
      <c r="C1850" s="60" t="n"/>
      <c r="D1850" s="86" t="n"/>
      <c r="E1850" s="63" t="n"/>
      <c r="F1850" s="60" t="n"/>
      <c r="G1850" s="60" t="n"/>
      <c r="H1850" s="71">
        <f>IF(OR($C1850="",$D1850=""),"",IF(ISNUMBER($E1850),$E1850,IF($O1850="","",IF(N(INDEX('Menu Pricing'!$O$7:$O$56,$O1850))&gt;0,INDEX('Menu Pricing'!$O$7:$O$56,$O1850),""))))</f>
        <v/>
      </c>
      <c r="I1850" s="71">
        <f>IF($N1850&lt;&gt;"OK","",$D1850*$H1850)</f>
        <v/>
      </c>
      <c r="J1850" s="71">
        <f>IF($N1850&lt;&gt;"OK","",N(INDEX('Menu Pricing'!$F$7:$F$56,$O1850))+N(INDEX('Menu Pricing'!$G$7:$G$56,$O1850))+N(INDEX('Menu Pricing'!$J$7:$J$56,$O1850)))</f>
        <v/>
      </c>
      <c r="K1850" s="71">
        <f>IF($N1850&lt;&gt;"OK","",$D1850*$J1850)</f>
        <v/>
      </c>
      <c r="L1850" s="71">
        <f>IF($N1850&lt;&gt;"OK","",$I1850-$K1850)</f>
        <v/>
      </c>
      <c r="M1850" s="71">
        <f>IF($N1850&lt;&gt;"OK","",$D1850*N(INDEX('Menu Pricing'!$F$7:$F$56,$O1850)))</f>
        <v/>
      </c>
      <c r="N1850" s="80">
        <f>IF(AND($B1850="",$C1850="",$D1850=""),"",IF(NOT(ISNUMBER($B1850)),"Enter a valid date",IF($C1850="","Pick a menu item",IF($O1850="","Item not on Menu Pricing",IF(N($D1850)&lt;=0,"Qty must be above 0",IF($H1850="","No price on menu","OK"))))))</f>
        <v/>
      </c>
      <c r="O1850" s="13">
        <f>IF($C1850="","",IFERROR(MATCH($C1850,'Menu Pricing'!$B$7:$B$56,0),""))</f>
        <v/>
      </c>
    </row>
    <row r="1851" ht="17" customHeight="1">
      <c r="B1851" s="66" t="n"/>
      <c r="C1851" s="60" t="n"/>
      <c r="D1851" s="86" t="n"/>
      <c r="E1851" s="63" t="n"/>
      <c r="F1851" s="60" t="n"/>
      <c r="G1851" s="60" t="n"/>
      <c r="H1851" s="71">
        <f>IF(OR($C1851="",$D1851=""),"",IF(ISNUMBER($E1851),$E1851,IF($O1851="","",IF(N(INDEX('Menu Pricing'!$O$7:$O$56,$O1851))&gt;0,INDEX('Menu Pricing'!$O$7:$O$56,$O1851),""))))</f>
        <v/>
      </c>
      <c r="I1851" s="71">
        <f>IF($N1851&lt;&gt;"OK","",$D1851*$H1851)</f>
        <v/>
      </c>
      <c r="J1851" s="71">
        <f>IF($N1851&lt;&gt;"OK","",N(INDEX('Menu Pricing'!$F$7:$F$56,$O1851))+N(INDEX('Menu Pricing'!$G$7:$G$56,$O1851))+N(INDEX('Menu Pricing'!$J$7:$J$56,$O1851)))</f>
        <v/>
      </c>
      <c r="K1851" s="71">
        <f>IF($N1851&lt;&gt;"OK","",$D1851*$J1851)</f>
        <v/>
      </c>
      <c r="L1851" s="71">
        <f>IF($N1851&lt;&gt;"OK","",$I1851-$K1851)</f>
        <v/>
      </c>
      <c r="M1851" s="71">
        <f>IF($N1851&lt;&gt;"OK","",$D1851*N(INDEX('Menu Pricing'!$F$7:$F$56,$O1851)))</f>
        <v/>
      </c>
      <c r="N1851" s="80">
        <f>IF(AND($B1851="",$C1851="",$D1851=""),"",IF(NOT(ISNUMBER($B1851)),"Enter a valid date",IF($C1851="","Pick a menu item",IF($O1851="","Item not on Menu Pricing",IF(N($D1851)&lt;=0,"Qty must be above 0",IF($H1851="","No price on menu","OK"))))))</f>
        <v/>
      </c>
      <c r="O1851" s="13">
        <f>IF($C1851="","",IFERROR(MATCH($C1851,'Menu Pricing'!$B$7:$B$56,0),""))</f>
        <v/>
      </c>
    </row>
    <row r="1852" ht="17" customHeight="1">
      <c r="B1852" s="66" t="n"/>
      <c r="C1852" s="60" t="n"/>
      <c r="D1852" s="86" t="n"/>
      <c r="E1852" s="63" t="n"/>
      <c r="F1852" s="60" t="n"/>
      <c r="G1852" s="60" t="n"/>
      <c r="H1852" s="71">
        <f>IF(OR($C1852="",$D1852=""),"",IF(ISNUMBER($E1852),$E1852,IF($O1852="","",IF(N(INDEX('Menu Pricing'!$O$7:$O$56,$O1852))&gt;0,INDEX('Menu Pricing'!$O$7:$O$56,$O1852),""))))</f>
        <v/>
      </c>
      <c r="I1852" s="71">
        <f>IF($N1852&lt;&gt;"OK","",$D1852*$H1852)</f>
        <v/>
      </c>
      <c r="J1852" s="71">
        <f>IF($N1852&lt;&gt;"OK","",N(INDEX('Menu Pricing'!$F$7:$F$56,$O1852))+N(INDEX('Menu Pricing'!$G$7:$G$56,$O1852))+N(INDEX('Menu Pricing'!$J$7:$J$56,$O1852)))</f>
        <v/>
      </c>
      <c r="K1852" s="71">
        <f>IF($N1852&lt;&gt;"OK","",$D1852*$J1852)</f>
        <v/>
      </c>
      <c r="L1852" s="71">
        <f>IF($N1852&lt;&gt;"OK","",$I1852-$K1852)</f>
        <v/>
      </c>
      <c r="M1852" s="71">
        <f>IF($N1852&lt;&gt;"OK","",$D1852*N(INDEX('Menu Pricing'!$F$7:$F$56,$O1852)))</f>
        <v/>
      </c>
      <c r="N1852" s="80">
        <f>IF(AND($B1852="",$C1852="",$D1852=""),"",IF(NOT(ISNUMBER($B1852)),"Enter a valid date",IF($C1852="","Pick a menu item",IF($O1852="","Item not on Menu Pricing",IF(N($D1852)&lt;=0,"Qty must be above 0",IF($H1852="","No price on menu","OK"))))))</f>
        <v/>
      </c>
      <c r="O1852" s="13">
        <f>IF($C1852="","",IFERROR(MATCH($C1852,'Menu Pricing'!$B$7:$B$56,0),""))</f>
        <v/>
      </c>
    </row>
    <row r="1853" ht="17" customHeight="1">
      <c r="B1853" s="66" t="n"/>
      <c r="C1853" s="60" t="n"/>
      <c r="D1853" s="86" t="n"/>
      <c r="E1853" s="63" t="n"/>
      <c r="F1853" s="60" t="n"/>
      <c r="G1853" s="60" t="n"/>
      <c r="H1853" s="71">
        <f>IF(OR($C1853="",$D1853=""),"",IF(ISNUMBER($E1853),$E1853,IF($O1853="","",IF(N(INDEX('Menu Pricing'!$O$7:$O$56,$O1853))&gt;0,INDEX('Menu Pricing'!$O$7:$O$56,$O1853),""))))</f>
        <v/>
      </c>
      <c r="I1853" s="71">
        <f>IF($N1853&lt;&gt;"OK","",$D1853*$H1853)</f>
        <v/>
      </c>
      <c r="J1853" s="71">
        <f>IF($N1853&lt;&gt;"OK","",N(INDEX('Menu Pricing'!$F$7:$F$56,$O1853))+N(INDEX('Menu Pricing'!$G$7:$G$56,$O1853))+N(INDEX('Menu Pricing'!$J$7:$J$56,$O1853)))</f>
        <v/>
      </c>
      <c r="K1853" s="71">
        <f>IF($N1853&lt;&gt;"OK","",$D1853*$J1853)</f>
        <v/>
      </c>
      <c r="L1853" s="71">
        <f>IF($N1853&lt;&gt;"OK","",$I1853-$K1853)</f>
        <v/>
      </c>
      <c r="M1853" s="71">
        <f>IF($N1853&lt;&gt;"OK","",$D1853*N(INDEX('Menu Pricing'!$F$7:$F$56,$O1853)))</f>
        <v/>
      </c>
      <c r="N1853" s="80">
        <f>IF(AND($B1853="",$C1853="",$D1853=""),"",IF(NOT(ISNUMBER($B1853)),"Enter a valid date",IF($C1853="","Pick a menu item",IF($O1853="","Item not on Menu Pricing",IF(N($D1853)&lt;=0,"Qty must be above 0",IF($H1853="","No price on menu","OK"))))))</f>
        <v/>
      </c>
      <c r="O1853" s="13">
        <f>IF($C1853="","",IFERROR(MATCH($C1853,'Menu Pricing'!$B$7:$B$56,0),""))</f>
        <v/>
      </c>
    </row>
    <row r="1854" ht="17" customHeight="1">
      <c r="B1854" s="66" t="n"/>
      <c r="C1854" s="60" t="n"/>
      <c r="D1854" s="86" t="n"/>
      <c r="E1854" s="63" t="n"/>
      <c r="F1854" s="60" t="n"/>
      <c r="G1854" s="60" t="n"/>
      <c r="H1854" s="71">
        <f>IF(OR($C1854="",$D1854=""),"",IF(ISNUMBER($E1854),$E1854,IF($O1854="","",IF(N(INDEX('Menu Pricing'!$O$7:$O$56,$O1854))&gt;0,INDEX('Menu Pricing'!$O$7:$O$56,$O1854),""))))</f>
        <v/>
      </c>
      <c r="I1854" s="71">
        <f>IF($N1854&lt;&gt;"OK","",$D1854*$H1854)</f>
        <v/>
      </c>
      <c r="J1854" s="71">
        <f>IF($N1854&lt;&gt;"OK","",N(INDEX('Menu Pricing'!$F$7:$F$56,$O1854))+N(INDEX('Menu Pricing'!$G$7:$G$56,$O1854))+N(INDEX('Menu Pricing'!$J$7:$J$56,$O1854)))</f>
        <v/>
      </c>
      <c r="K1854" s="71">
        <f>IF($N1854&lt;&gt;"OK","",$D1854*$J1854)</f>
        <v/>
      </c>
      <c r="L1854" s="71">
        <f>IF($N1854&lt;&gt;"OK","",$I1854-$K1854)</f>
        <v/>
      </c>
      <c r="M1854" s="71">
        <f>IF($N1854&lt;&gt;"OK","",$D1854*N(INDEX('Menu Pricing'!$F$7:$F$56,$O1854)))</f>
        <v/>
      </c>
      <c r="N1854" s="80">
        <f>IF(AND($B1854="",$C1854="",$D1854=""),"",IF(NOT(ISNUMBER($B1854)),"Enter a valid date",IF($C1854="","Pick a menu item",IF($O1854="","Item not on Menu Pricing",IF(N($D1854)&lt;=0,"Qty must be above 0",IF($H1854="","No price on menu","OK"))))))</f>
        <v/>
      </c>
      <c r="O1854" s="13">
        <f>IF($C1854="","",IFERROR(MATCH($C1854,'Menu Pricing'!$B$7:$B$56,0),""))</f>
        <v/>
      </c>
    </row>
    <row r="1855" ht="17" customHeight="1">
      <c r="B1855" s="66" t="n"/>
      <c r="C1855" s="60" t="n"/>
      <c r="D1855" s="86" t="n"/>
      <c r="E1855" s="63" t="n"/>
      <c r="F1855" s="60" t="n"/>
      <c r="G1855" s="60" t="n"/>
      <c r="H1855" s="71">
        <f>IF(OR($C1855="",$D1855=""),"",IF(ISNUMBER($E1855),$E1855,IF($O1855="","",IF(N(INDEX('Menu Pricing'!$O$7:$O$56,$O1855))&gt;0,INDEX('Menu Pricing'!$O$7:$O$56,$O1855),""))))</f>
        <v/>
      </c>
      <c r="I1855" s="71">
        <f>IF($N1855&lt;&gt;"OK","",$D1855*$H1855)</f>
        <v/>
      </c>
      <c r="J1855" s="71">
        <f>IF($N1855&lt;&gt;"OK","",N(INDEX('Menu Pricing'!$F$7:$F$56,$O1855))+N(INDEX('Menu Pricing'!$G$7:$G$56,$O1855))+N(INDEX('Menu Pricing'!$J$7:$J$56,$O1855)))</f>
        <v/>
      </c>
      <c r="K1855" s="71">
        <f>IF($N1855&lt;&gt;"OK","",$D1855*$J1855)</f>
        <v/>
      </c>
      <c r="L1855" s="71">
        <f>IF($N1855&lt;&gt;"OK","",$I1855-$K1855)</f>
        <v/>
      </c>
      <c r="M1855" s="71">
        <f>IF($N1855&lt;&gt;"OK","",$D1855*N(INDEX('Menu Pricing'!$F$7:$F$56,$O1855)))</f>
        <v/>
      </c>
      <c r="N1855" s="80">
        <f>IF(AND($B1855="",$C1855="",$D1855=""),"",IF(NOT(ISNUMBER($B1855)),"Enter a valid date",IF($C1855="","Pick a menu item",IF($O1855="","Item not on Menu Pricing",IF(N($D1855)&lt;=0,"Qty must be above 0",IF($H1855="","No price on menu","OK"))))))</f>
        <v/>
      </c>
      <c r="O1855" s="13">
        <f>IF($C1855="","",IFERROR(MATCH($C1855,'Menu Pricing'!$B$7:$B$56,0),""))</f>
        <v/>
      </c>
    </row>
    <row r="1856" ht="17" customHeight="1">
      <c r="B1856" s="66" t="n"/>
      <c r="C1856" s="60" t="n"/>
      <c r="D1856" s="86" t="n"/>
      <c r="E1856" s="63" t="n"/>
      <c r="F1856" s="60" t="n"/>
      <c r="G1856" s="60" t="n"/>
      <c r="H1856" s="71">
        <f>IF(OR($C1856="",$D1856=""),"",IF(ISNUMBER($E1856),$E1856,IF($O1856="","",IF(N(INDEX('Menu Pricing'!$O$7:$O$56,$O1856))&gt;0,INDEX('Menu Pricing'!$O$7:$O$56,$O1856),""))))</f>
        <v/>
      </c>
      <c r="I1856" s="71">
        <f>IF($N1856&lt;&gt;"OK","",$D1856*$H1856)</f>
        <v/>
      </c>
      <c r="J1856" s="71">
        <f>IF($N1856&lt;&gt;"OK","",N(INDEX('Menu Pricing'!$F$7:$F$56,$O1856))+N(INDEX('Menu Pricing'!$G$7:$G$56,$O1856))+N(INDEX('Menu Pricing'!$J$7:$J$56,$O1856)))</f>
        <v/>
      </c>
      <c r="K1856" s="71">
        <f>IF($N1856&lt;&gt;"OK","",$D1856*$J1856)</f>
        <v/>
      </c>
      <c r="L1856" s="71">
        <f>IF($N1856&lt;&gt;"OK","",$I1856-$K1856)</f>
        <v/>
      </c>
      <c r="M1856" s="71">
        <f>IF($N1856&lt;&gt;"OK","",$D1856*N(INDEX('Menu Pricing'!$F$7:$F$56,$O1856)))</f>
        <v/>
      </c>
      <c r="N1856" s="80">
        <f>IF(AND($B1856="",$C1856="",$D1856=""),"",IF(NOT(ISNUMBER($B1856)),"Enter a valid date",IF($C1856="","Pick a menu item",IF($O1856="","Item not on Menu Pricing",IF(N($D1856)&lt;=0,"Qty must be above 0",IF($H1856="","No price on menu","OK"))))))</f>
        <v/>
      </c>
      <c r="O1856" s="13">
        <f>IF($C1856="","",IFERROR(MATCH($C1856,'Menu Pricing'!$B$7:$B$56,0),""))</f>
        <v/>
      </c>
    </row>
    <row r="1857" ht="17" customHeight="1">
      <c r="B1857" s="66" t="n"/>
      <c r="C1857" s="60" t="n"/>
      <c r="D1857" s="86" t="n"/>
      <c r="E1857" s="63" t="n"/>
      <c r="F1857" s="60" t="n"/>
      <c r="G1857" s="60" t="n"/>
      <c r="H1857" s="71">
        <f>IF(OR($C1857="",$D1857=""),"",IF(ISNUMBER($E1857),$E1857,IF($O1857="","",IF(N(INDEX('Menu Pricing'!$O$7:$O$56,$O1857))&gt;0,INDEX('Menu Pricing'!$O$7:$O$56,$O1857),""))))</f>
        <v/>
      </c>
      <c r="I1857" s="71">
        <f>IF($N1857&lt;&gt;"OK","",$D1857*$H1857)</f>
        <v/>
      </c>
      <c r="J1857" s="71">
        <f>IF($N1857&lt;&gt;"OK","",N(INDEX('Menu Pricing'!$F$7:$F$56,$O1857))+N(INDEX('Menu Pricing'!$G$7:$G$56,$O1857))+N(INDEX('Menu Pricing'!$J$7:$J$56,$O1857)))</f>
        <v/>
      </c>
      <c r="K1857" s="71">
        <f>IF($N1857&lt;&gt;"OK","",$D1857*$J1857)</f>
        <v/>
      </c>
      <c r="L1857" s="71">
        <f>IF($N1857&lt;&gt;"OK","",$I1857-$K1857)</f>
        <v/>
      </c>
      <c r="M1857" s="71">
        <f>IF($N1857&lt;&gt;"OK","",$D1857*N(INDEX('Menu Pricing'!$F$7:$F$56,$O1857)))</f>
        <v/>
      </c>
      <c r="N1857" s="80">
        <f>IF(AND($B1857="",$C1857="",$D1857=""),"",IF(NOT(ISNUMBER($B1857)),"Enter a valid date",IF($C1857="","Pick a menu item",IF($O1857="","Item not on Menu Pricing",IF(N($D1857)&lt;=0,"Qty must be above 0",IF($H1857="","No price on menu","OK"))))))</f>
        <v/>
      </c>
      <c r="O1857" s="13">
        <f>IF($C1857="","",IFERROR(MATCH($C1857,'Menu Pricing'!$B$7:$B$56,0),""))</f>
        <v/>
      </c>
    </row>
    <row r="1858" ht="17" customHeight="1">
      <c r="B1858" s="66" t="n"/>
      <c r="C1858" s="60" t="n"/>
      <c r="D1858" s="86" t="n"/>
      <c r="E1858" s="63" t="n"/>
      <c r="F1858" s="60" t="n"/>
      <c r="G1858" s="60" t="n"/>
      <c r="H1858" s="71">
        <f>IF(OR($C1858="",$D1858=""),"",IF(ISNUMBER($E1858),$E1858,IF($O1858="","",IF(N(INDEX('Menu Pricing'!$O$7:$O$56,$O1858))&gt;0,INDEX('Menu Pricing'!$O$7:$O$56,$O1858),""))))</f>
        <v/>
      </c>
      <c r="I1858" s="71">
        <f>IF($N1858&lt;&gt;"OK","",$D1858*$H1858)</f>
        <v/>
      </c>
      <c r="J1858" s="71">
        <f>IF($N1858&lt;&gt;"OK","",N(INDEX('Menu Pricing'!$F$7:$F$56,$O1858))+N(INDEX('Menu Pricing'!$G$7:$G$56,$O1858))+N(INDEX('Menu Pricing'!$J$7:$J$56,$O1858)))</f>
        <v/>
      </c>
      <c r="K1858" s="71">
        <f>IF($N1858&lt;&gt;"OK","",$D1858*$J1858)</f>
        <v/>
      </c>
      <c r="L1858" s="71">
        <f>IF($N1858&lt;&gt;"OK","",$I1858-$K1858)</f>
        <v/>
      </c>
      <c r="M1858" s="71">
        <f>IF($N1858&lt;&gt;"OK","",$D1858*N(INDEX('Menu Pricing'!$F$7:$F$56,$O1858)))</f>
        <v/>
      </c>
      <c r="N1858" s="80">
        <f>IF(AND($B1858="",$C1858="",$D1858=""),"",IF(NOT(ISNUMBER($B1858)),"Enter a valid date",IF($C1858="","Pick a menu item",IF($O1858="","Item not on Menu Pricing",IF(N($D1858)&lt;=0,"Qty must be above 0",IF($H1858="","No price on menu","OK"))))))</f>
        <v/>
      </c>
      <c r="O1858" s="13">
        <f>IF($C1858="","",IFERROR(MATCH($C1858,'Menu Pricing'!$B$7:$B$56,0),""))</f>
        <v/>
      </c>
    </row>
    <row r="1859" ht="17" customHeight="1">
      <c r="B1859" s="66" t="n"/>
      <c r="C1859" s="60" t="n"/>
      <c r="D1859" s="86" t="n"/>
      <c r="E1859" s="63" t="n"/>
      <c r="F1859" s="60" t="n"/>
      <c r="G1859" s="60" t="n"/>
      <c r="H1859" s="71">
        <f>IF(OR($C1859="",$D1859=""),"",IF(ISNUMBER($E1859),$E1859,IF($O1859="","",IF(N(INDEX('Menu Pricing'!$O$7:$O$56,$O1859))&gt;0,INDEX('Menu Pricing'!$O$7:$O$56,$O1859),""))))</f>
        <v/>
      </c>
      <c r="I1859" s="71">
        <f>IF($N1859&lt;&gt;"OK","",$D1859*$H1859)</f>
        <v/>
      </c>
      <c r="J1859" s="71">
        <f>IF($N1859&lt;&gt;"OK","",N(INDEX('Menu Pricing'!$F$7:$F$56,$O1859))+N(INDEX('Menu Pricing'!$G$7:$G$56,$O1859))+N(INDEX('Menu Pricing'!$J$7:$J$56,$O1859)))</f>
        <v/>
      </c>
      <c r="K1859" s="71">
        <f>IF($N1859&lt;&gt;"OK","",$D1859*$J1859)</f>
        <v/>
      </c>
      <c r="L1859" s="71">
        <f>IF($N1859&lt;&gt;"OK","",$I1859-$K1859)</f>
        <v/>
      </c>
      <c r="M1859" s="71">
        <f>IF($N1859&lt;&gt;"OK","",$D1859*N(INDEX('Menu Pricing'!$F$7:$F$56,$O1859)))</f>
        <v/>
      </c>
      <c r="N1859" s="80">
        <f>IF(AND($B1859="",$C1859="",$D1859=""),"",IF(NOT(ISNUMBER($B1859)),"Enter a valid date",IF($C1859="","Pick a menu item",IF($O1859="","Item not on Menu Pricing",IF(N($D1859)&lt;=0,"Qty must be above 0",IF($H1859="","No price on menu","OK"))))))</f>
        <v/>
      </c>
      <c r="O1859" s="13">
        <f>IF($C1859="","",IFERROR(MATCH($C1859,'Menu Pricing'!$B$7:$B$56,0),""))</f>
        <v/>
      </c>
    </row>
    <row r="1860" ht="17" customHeight="1">
      <c r="B1860" s="66" t="n"/>
      <c r="C1860" s="60" t="n"/>
      <c r="D1860" s="86" t="n"/>
      <c r="E1860" s="63" t="n"/>
      <c r="F1860" s="60" t="n"/>
      <c r="G1860" s="60" t="n"/>
      <c r="H1860" s="71">
        <f>IF(OR($C1860="",$D1860=""),"",IF(ISNUMBER($E1860),$E1860,IF($O1860="","",IF(N(INDEX('Menu Pricing'!$O$7:$O$56,$O1860))&gt;0,INDEX('Menu Pricing'!$O$7:$O$56,$O1860),""))))</f>
        <v/>
      </c>
      <c r="I1860" s="71">
        <f>IF($N1860&lt;&gt;"OK","",$D1860*$H1860)</f>
        <v/>
      </c>
      <c r="J1860" s="71">
        <f>IF($N1860&lt;&gt;"OK","",N(INDEX('Menu Pricing'!$F$7:$F$56,$O1860))+N(INDEX('Menu Pricing'!$G$7:$G$56,$O1860))+N(INDEX('Menu Pricing'!$J$7:$J$56,$O1860)))</f>
        <v/>
      </c>
      <c r="K1860" s="71">
        <f>IF($N1860&lt;&gt;"OK","",$D1860*$J1860)</f>
        <v/>
      </c>
      <c r="L1860" s="71">
        <f>IF($N1860&lt;&gt;"OK","",$I1860-$K1860)</f>
        <v/>
      </c>
      <c r="M1860" s="71">
        <f>IF($N1860&lt;&gt;"OK","",$D1860*N(INDEX('Menu Pricing'!$F$7:$F$56,$O1860)))</f>
        <v/>
      </c>
      <c r="N1860" s="80">
        <f>IF(AND($B1860="",$C1860="",$D1860=""),"",IF(NOT(ISNUMBER($B1860)),"Enter a valid date",IF($C1860="","Pick a menu item",IF($O1860="","Item not on Menu Pricing",IF(N($D1860)&lt;=0,"Qty must be above 0",IF($H1860="","No price on menu","OK"))))))</f>
        <v/>
      </c>
      <c r="O1860" s="13">
        <f>IF($C1860="","",IFERROR(MATCH($C1860,'Menu Pricing'!$B$7:$B$56,0),""))</f>
        <v/>
      </c>
    </row>
    <row r="1861" ht="17" customHeight="1">
      <c r="B1861" s="66" t="n"/>
      <c r="C1861" s="60" t="n"/>
      <c r="D1861" s="86" t="n"/>
      <c r="E1861" s="63" t="n"/>
      <c r="F1861" s="60" t="n"/>
      <c r="G1861" s="60" t="n"/>
      <c r="H1861" s="71">
        <f>IF(OR($C1861="",$D1861=""),"",IF(ISNUMBER($E1861),$E1861,IF($O1861="","",IF(N(INDEX('Menu Pricing'!$O$7:$O$56,$O1861))&gt;0,INDEX('Menu Pricing'!$O$7:$O$56,$O1861),""))))</f>
        <v/>
      </c>
      <c r="I1861" s="71">
        <f>IF($N1861&lt;&gt;"OK","",$D1861*$H1861)</f>
        <v/>
      </c>
      <c r="J1861" s="71">
        <f>IF($N1861&lt;&gt;"OK","",N(INDEX('Menu Pricing'!$F$7:$F$56,$O1861))+N(INDEX('Menu Pricing'!$G$7:$G$56,$O1861))+N(INDEX('Menu Pricing'!$J$7:$J$56,$O1861)))</f>
        <v/>
      </c>
      <c r="K1861" s="71">
        <f>IF($N1861&lt;&gt;"OK","",$D1861*$J1861)</f>
        <v/>
      </c>
      <c r="L1861" s="71">
        <f>IF($N1861&lt;&gt;"OK","",$I1861-$K1861)</f>
        <v/>
      </c>
      <c r="M1861" s="71">
        <f>IF($N1861&lt;&gt;"OK","",$D1861*N(INDEX('Menu Pricing'!$F$7:$F$56,$O1861)))</f>
        <v/>
      </c>
      <c r="N1861" s="80">
        <f>IF(AND($B1861="",$C1861="",$D1861=""),"",IF(NOT(ISNUMBER($B1861)),"Enter a valid date",IF($C1861="","Pick a menu item",IF($O1861="","Item not on Menu Pricing",IF(N($D1861)&lt;=0,"Qty must be above 0",IF($H1861="","No price on menu","OK"))))))</f>
        <v/>
      </c>
      <c r="O1861" s="13">
        <f>IF($C1861="","",IFERROR(MATCH($C1861,'Menu Pricing'!$B$7:$B$56,0),""))</f>
        <v/>
      </c>
    </row>
    <row r="1862" ht="17" customHeight="1">
      <c r="B1862" s="66" t="n"/>
      <c r="C1862" s="60" t="n"/>
      <c r="D1862" s="86" t="n"/>
      <c r="E1862" s="63" t="n"/>
      <c r="F1862" s="60" t="n"/>
      <c r="G1862" s="60" t="n"/>
      <c r="H1862" s="71">
        <f>IF(OR($C1862="",$D1862=""),"",IF(ISNUMBER($E1862),$E1862,IF($O1862="","",IF(N(INDEX('Menu Pricing'!$O$7:$O$56,$O1862))&gt;0,INDEX('Menu Pricing'!$O$7:$O$56,$O1862),""))))</f>
        <v/>
      </c>
      <c r="I1862" s="71">
        <f>IF($N1862&lt;&gt;"OK","",$D1862*$H1862)</f>
        <v/>
      </c>
      <c r="J1862" s="71">
        <f>IF($N1862&lt;&gt;"OK","",N(INDEX('Menu Pricing'!$F$7:$F$56,$O1862))+N(INDEX('Menu Pricing'!$G$7:$G$56,$O1862))+N(INDEX('Menu Pricing'!$J$7:$J$56,$O1862)))</f>
        <v/>
      </c>
      <c r="K1862" s="71">
        <f>IF($N1862&lt;&gt;"OK","",$D1862*$J1862)</f>
        <v/>
      </c>
      <c r="L1862" s="71">
        <f>IF($N1862&lt;&gt;"OK","",$I1862-$K1862)</f>
        <v/>
      </c>
      <c r="M1862" s="71">
        <f>IF($N1862&lt;&gt;"OK","",$D1862*N(INDEX('Menu Pricing'!$F$7:$F$56,$O1862)))</f>
        <v/>
      </c>
      <c r="N1862" s="80">
        <f>IF(AND($B1862="",$C1862="",$D1862=""),"",IF(NOT(ISNUMBER($B1862)),"Enter a valid date",IF($C1862="","Pick a menu item",IF($O1862="","Item not on Menu Pricing",IF(N($D1862)&lt;=0,"Qty must be above 0",IF($H1862="","No price on menu","OK"))))))</f>
        <v/>
      </c>
      <c r="O1862" s="13">
        <f>IF($C1862="","",IFERROR(MATCH($C1862,'Menu Pricing'!$B$7:$B$56,0),""))</f>
        <v/>
      </c>
    </row>
    <row r="1863" ht="17" customHeight="1">
      <c r="B1863" s="66" t="n"/>
      <c r="C1863" s="60" t="n"/>
      <c r="D1863" s="86" t="n"/>
      <c r="E1863" s="63" t="n"/>
      <c r="F1863" s="60" t="n"/>
      <c r="G1863" s="60" t="n"/>
      <c r="H1863" s="71">
        <f>IF(OR($C1863="",$D1863=""),"",IF(ISNUMBER($E1863),$E1863,IF($O1863="","",IF(N(INDEX('Menu Pricing'!$O$7:$O$56,$O1863))&gt;0,INDEX('Menu Pricing'!$O$7:$O$56,$O1863),""))))</f>
        <v/>
      </c>
      <c r="I1863" s="71">
        <f>IF($N1863&lt;&gt;"OK","",$D1863*$H1863)</f>
        <v/>
      </c>
      <c r="J1863" s="71">
        <f>IF($N1863&lt;&gt;"OK","",N(INDEX('Menu Pricing'!$F$7:$F$56,$O1863))+N(INDEX('Menu Pricing'!$G$7:$G$56,$O1863))+N(INDEX('Menu Pricing'!$J$7:$J$56,$O1863)))</f>
        <v/>
      </c>
      <c r="K1863" s="71">
        <f>IF($N1863&lt;&gt;"OK","",$D1863*$J1863)</f>
        <v/>
      </c>
      <c r="L1863" s="71">
        <f>IF($N1863&lt;&gt;"OK","",$I1863-$K1863)</f>
        <v/>
      </c>
      <c r="M1863" s="71">
        <f>IF($N1863&lt;&gt;"OK","",$D1863*N(INDEX('Menu Pricing'!$F$7:$F$56,$O1863)))</f>
        <v/>
      </c>
      <c r="N1863" s="80">
        <f>IF(AND($B1863="",$C1863="",$D1863=""),"",IF(NOT(ISNUMBER($B1863)),"Enter a valid date",IF($C1863="","Pick a menu item",IF($O1863="","Item not on Menu Pricing",IF(N($D1863)&lt;=0,"Qty must be above 0",IF($H1863="","No price on menu","OK"))))))</f>
        <v/>
      </c>
      <c r="O1863" s="13">
        <f>IF($C1863="","",IFERROR(MATCH($C1863,'Menu Pricing'!$B$7:$B$56,0),""))</f>
        <v/>
      </c>
    </row>
    <row r="1864" ht="17" customHeight="1">
      <c r="B1864" s="66" t="n"/>
      <c r="C1864" s="60" t="n"/>
      <c r="D1864" s="86" t="n"/>
      <c r="E1864" s="63" t="n"/>
      <c r="F1864" s="60" t="n"/>
      <c r="G1864" s="60" t="n"/>
      <c r="H1864" s="71">
        <f>IF(OR($C1864="",$D1864=""),"",IF(ISNUMBER($E1864),$E1864,IF($O1864="","",IF(N(INDEX('Menu Pricing'!$O$7:$O$56,$O1864))&gt;0,INDEX('Menu Pricing'!$O$7:$O$56,$O1864),""))))</f>
        <v/>
      </c>
      <c r="I1864" s="71">
        <f>IF($N1864&lt;&gt;"OK","",$D1864*$H1864)</f>
        <v/>
      </c>
      <c r="J1864" s="71">
        <f>IF($N1864&lt;&gt;"OK","",N(INDEX('Menu Pricing'!$F$7:$F$56,$O1864))+N(INDEX('Menu Pricing'!$G$7:$G$56,$O1864))+N(INDEX('Menu Pricing'!$J$7:$J$56,$O1864)))</f>
        <v/>
      </c>
      <c r="K1864" s="71">
        <f>IF($N1864&lt;&gt;"OK","",$D1864*$J1864)</f>
        <v/>
      </c>
      <c r="L1864" s="71">
        <f>IF($N1864&lt;&gt;"OK","",$I1864-$K1864)</f>
        <v/>
      </c>
      <c r="M1864" s="71">
        <f>IF($N1864&lt;&gt;"OK","",$D1864*N(INDEX('Menu Pricing'!$F$7:$F$56,$O1864)))</f>
        <v/>
      </c>
      <c r="N1864" s="80">
        <f>IF(AND($B1864="",$C1864="",$D1864=""),"",IF(NOT(ISNUMBER($B1864)),"Enter a valid date",IF($C1864="","Pick a menu item",IF($O1864="","Item not on Menu Pricing",IF(N($D1864)&lt;=0,"Qty must be above 0",IF($H1864="","No price on menu","OK"))))))</f>
        <v/>
      </c>
      <c r="O1864" s="13">
        <f>IF($C1864="","",IFERROR(MATCH($C1864,'Menu Pricing'!$B$7:$B$56,0),""))</f>
        <v/>
      </c>
    </row>
    <row r="1865" ht="17" customHeight="1">
      <c r="B1865" s="66" t="n"/>
      <c r="C1865" s="60" t="n"/>
      <c r="D1865" s="86" t="n"/>
      <c r="E1865" s="63" t="n"/>
      <c r="F1865" s="60" t="n"/>
      <c r="G1865" s="60" t="n"/>
      <c r="H1865" s="71">
        <f>IF(OR($C1865="",$D1865=""),"",IF(ISNUMBER($E1865),$E1865,IF($O1865="","",IF(N(INDEX('Menu Pricing'!$O$7:$O$56,$O1865))&gt;0,INDEX('Menu Pricing'!$O$7:$O$56,$O1865),""))))</f>
        <v/>
      </c>
      <c r="I1865" s="71">
        <f>IF($N1865&lt;&gt;"OK","",$D1865*$H1865)</f>
        <v/>
      </c>
      <c r="J1865" s="71">
        <f>IF($N1865&lt;&gt;"OK","",N(INDEX('Menu Pricing'!$F$7:$F$56,$O1865))+N(INDEX('Menu Pricing'!$G$7:$G$56,$O1865))+N(INDEX('Menu Pricing'!$J$7:$J$56,$O1865)))</f>
        <v/>
      </c>
      <c r="K1865" s="71">
        <f>IF($N1865&lt;&gt;"OK","",$D1865*$J1865)</f>
        <v/>
      </c>
      <c r="L1865" s="71">
        <f>IF($N1865&lt;&gt;"OK","",$I1865-$K1865)</f>
        <v/>
      </c>
      <c r="M1865" s="71">
        <f>IF($N1865&lt;&gt;"OK","",$D1865*N(INDEX('Menu Pricing'!$F$7:$F$56,$O1865)))</f>
        <v/>
      </c>
      <c r="N1865" s="80">
        <f>IF(AND($B1865="",$C1865="",$D1865=""),"",IF(NOT(ISNUMBER($B1865)),"Enter a valid date",IF($C1865="","Pick a menu item",IF($O1865="","Item not on Menu Pricing",IF(N($D1865)&lt;=0,"Qty must be above 0",IF($H1865="","No price on menu","OK"))))))</f>
        <v/>
      </c>
      <c r="O1865" s="13">
        <f>IF($C1865="","",IFERROR(MATCH($C1865,'Menu Pricing'!$B$7:$B$56,0),""))</f>
        <v/>
      </c>
    </row>
    <row r="1866" ht="17" customHeight="1">
      <c r="B1866" s="66" t="n"/>
      <c r="C1866" s="60" t="n"/>
      <c r="D1866" s="86" t="n"/>
      <c r="E1866" s="63" t="n"/>
      <c r="F1866" s="60" t="n"/>
      <c r="G1866" s="60" t="n"/>
      <c r="H1866" s="71">
        <f>IF(OR($C1866="",$D1866=""),"",IF(ISNUMBER($E1866),$E1866,IF($O1866="","",IF(N(INDEX('Menu Pricing'!$O$7:$O$56,$O1866))&gt;0,INDEX('Menu Pricing'!$O$7:$O$56,$O1866),""))))</f>
        <v/>
      </c>
      <c r="I1866" s="71">
        <f>IF($N1866&lt;&gt;"OK","",$D1866*$H1866)</f>
        <v/>
      </c>
      <c r="J1866" s="71">
        <f>IF($N1866&lt;&gt;"OK","",N(INDEX('Menu Pricing'!$F$7:$F$56,$O1866))+N(INDEX('Menu Pricing'!$G$7:$G$56,$O1866))+N(INDEX('Menu Pricing'!$J$7:$J$56,$O1866)))</f>
        <v/>
      </c>
      <c r="K1866" s="71">
        <f>IF($N1866&lt;&gt;"OK","",$D1866*$J1866)</f>
        <v/>
      </c>
      <c r="L1866" s="71">
        <f>IF($N1866&lt;&gt;"OK","",$I1866-$K1866)</f>
        <v/>
      </c>
      <c r="M1866" s="71">
        <f>IF($N1866&lt;&gt;"OK","",$D1866*N(INDEX('Menu Pricing'!$F$7:$F$56,$O1866)))</f>
        <v/>
      </c>
      <c r="N1866" s="80">
        <f>IF(AND($B1866="",$C1866="",$D1866=""),"",IF(NOT(ISNUMBER($B1866)),"Enter a valid date",IF($C1866="","Pick a menu item",IF($O1866="","Item not on Menu Pricing",IF(N($D1866)&lt;=0,"Qty must be above 0",IF($H1866="","No price on menu","OK"))))))</f>
        <v/>
      </c>
      <c r="O1866" s="13">
        <f>IF($C1866="","",IFERROR(MATCH($C1866,'Menu Pricing'!$B$7:$B$56,0),""))</f>
        <v/>
      </c>
    </row>
    <row r="1867" ht="17" customHeight="1">
      <c r="B1867" s="66" t="n"/>
      <c r="C1867" s="60" t="n"/>
      <c r="D1867" s="86" t="n"/>
      <c r="E1867" s="63" t="n"/>
      <c r="F1867" s="60" t="n"/>
      <c r="G1867" s="60" t="n"/>
      <c r="H1867" s="71">
        <f>IF(OR($C1867="",$D1867=""),"",IF(ISNUMBER($E1867),$E1867,IF($O1867="","",IF(N(INDEX('Menu Pricing'!$O$7:$O$56,$O1867))&gt;0,INDEX('Menu Pricing'!$O$7:$O$56,$O1867),""))))</f>
        <v/>
      </c>
      <c r="I1867" s="71">
        <f>IF($N1867&lt;&gt;"OK","",$D1867*$H1867)</f>
        <v/>
      </c>
      <c r="J1867" s="71">
        <f>IF($N1867&lt;&gt;"OK","",N(INDEX('Menu Pricing'!$F$7:$F$56,$O1867))+N(INDEX('Menu Pricing'!$G$7:$G$56,$O1867))+N(INDEX('Menu Pricing'!$J$7:$J$56,$O1867)))</f>
        <v/>
      </c>
      <c r="K1867" s="71">
        <f>IF($N1867&lt;&gt;"OK","",$D1867*$J1867)</f>
        <v/>
      </c>
      <c r="L1867" s="71">
        <f>IF($N1867&lt;&gt;"OK","",$I1867-$K1867)</f>
        <v/>
      </c>
      <c r="M1867" s="71">
        <f>IF($N1867&lt;&gt;"OK","",$D1867*N(INDEX('Menu Pricing'!$F$7:$F$56,$O1867)))</f>
        <v/>
      </c>
      <c r="N1867" s="80">
        <f>IF(AND($B1867="",$C1867="",$D1867=""),"",IF(NOT(ISNUMBER($B1867)),"Enter a valid date",IF($C1867="","Pick a menu item",IF($O1867="","Item not on Menu Pricing",IF(N($D1867)&lt;=0,"Qty must be above 0",IF($H1867="","No price on menu","OK"))))))</f>
        <v/>
      </c>
      <c r="O1867" s="13">
        <f>IF($C1867="","",IFERROR(MATCH($C1867,'Menu Pricing'!$B$7:$B$56,0),""))</f>
        <v/>
      </c>
    </row>
    <row r="1868" ht="17" customHeight="1">
      <c r="B1868" s="66" t="n"/>
      <c r="C1868" s="60" t="n"/>
      <c r="D1868" s="86" t="n"/>
      <c r="E1868" s="63" t="n"/>
      <c r="F1868" s="60" t="n"/>
      <c r="G1868" s="60" t="n"/>
      <c r="H1868" s="71">
        <f>IF(OR($C1868="",$D1868=""),"",IF(ISNUMBER($E1868),$E1868,IF($O1868="","",IF(N(INDEX('Menu Pricing'!$O$7:$O$56,$O1868))&gt;0,INDEX('Menu Pricing'!$O$7:$O$56,$O1868),""))))</f>
        <v/>
      </c>
      <c r="I1868" s="71">
        <f>IF($N1868&lt;&gt;"OK","",$D1868*$H1868)</f>
        <v/>
      </c>
      <c r="J1868" s="71">
        <f>IF($N1868&lt;&gt;"OK","",N(INDEX('Menu Pricing'!$F$7:$F$56,$O1868))+N(INDEX('Menu Pricing'!$G$7:$G$56,$O1868))+N(INDEX('Menu Pricing'!$J$7:$J$56,$O1868)))</f>
        <v/>
      </c>
      <c r="K1868" s="71">
        <f>IF($N1868&lt;&gt;"OK","",$D1868*$J1868)</f>
        <v/>
      </c>
      <c r="L1868" s="71">
        <f>IF($N1868&lt;&gt;"OK","",$I1868-$K1868)</f>
        <v/>
      </c>
      <c r="M1868" s="71">
        <f>IF($N1868&lt;&gt;"OK","",$D1868*N(INDEX('Menu Pricing'!$F$7:$F$56,$O1868)))</f>
        <v/>
      </c>
      <c r="N1868" s="80">
        <f>IF(AND($B1868="",$C1868="",$D1868=""),"",IF(NOT(ISNUMBER($B1868)),"Enter a valid date",IF($C1868="","Pick a menu item",IF($O1868="","Item not on Menu Pricing",IF(N($D1868)&lt;=0,"Qty must be above 0",IF($H1868="","No price on menu","OK"))))))</f>
        <v/>
      </c>
      <c r="O1868" s="13">
        <f>IF($C1868="","",IFERROR(MATCH($C1868,'Menu Pricing'!$B$7:$B$56,0),""))</f>
        <v/>
      </c>
    </row>
    <row r="1869" ht="17" customHeight="1">
      <c r="B1869" s="66" t="n"/>
      <c r="C1869" s="60" t="n"/>
      <c r="D1869" s="86" t="n"/>
      <c r="E1869" s="63" t="n"/>
      <c r="F1869" s="60" t="n"/>
      <c r="G1869" s="60" t="n"/>
      <c r="H1869" s="71">
        <f>IF(OR($C1869="",$D1869=""),"",IF(ISNUMBER($E1869),$E1869,IF($O1869="","",IF(N(INDEX('Menu Pricing'!$O$7:$O$56,$O1869))&gt;0,INDEX('Menu Pricing'!$O$7:$O$56,$O1869),""))))</f>
        <v/>
      </c>
      <c r="I1869" s="71">
        <f>IF($N1869&lt;&gt;"OK","",$D1869*$H1869)</f>
        <v/>
      </c>
      <c r="J1869" s="71">
        <f>IF($N1869&lt;&gt;"OK","",N(INDEX('Menu Pricing'!$F$7:$F$56,$O1869))+N(INDEX('Menu Pricing'!$G$7:$G$56,$O1869))+N(INDEX('Menu Pricing'!$J$7:$J$56,$O1869)))</f>
        <v/>
      </c>
      <c r="K1869" s="71">
        <f>IF($N1869&lt;&gt;"OK","",$D1869*$J1869)</f>
        <v/>
      </c>
      <c r="L1869" s="71">
        <f>IF($N1869&lt;&gt;"OK","",$I1869-$K1869)</f>
        <v/>
      </c>
      <c r="M1869" s="71">
        <f>IF($N1869&lt;&gt;"OK","",$D1869*N(INDEX('Menu Pricing'!$F$7:$F$56,$O1869)))</f>
        <v/>
      </c>
      <c r="N1869" s="80">
        <f>IF(AND($B1869="",$C1869="",$D1869=""),"",IF(NOT(ISNUMBER($B1869)),"Enter a valid date",IF($C1869="","Pick a menu item",IF($O1869="","Item not on Menu Pricing",IF(N($D1869)&lt;=0,"Qty must be above 0",IF($H1869="","No price on menu","OK"))))))</f>
        <v/>
      </c>
      <c r="O1869" s="13">
        <f>IF($C1869="","",IFERROR(MATCH($C1869,'Menu Pricing'!$B$7:$B$56,0),""))</f>
        <v/>
      </c>
    </row>
    <row r="1870" ht="17" customHeight="1">
      <c r="B1870" s="66" t="n"/>
      <c r="C1870" s="60" t="n"/>
      <c r="D1870" s="86" t="n"/>
      <c r="E1870" s="63" t="n"/>
      <c r="F1870" s="60" t="n"/>
      <c r="G1870" s="60" t="n"/>
      <c r="H1870" s="71">
        <f>IF(OR($C1870="",$D1870=""),"",IF(ISNUMBER($E1870),$E1870,IF($O1870="","",IF(N(INDEX('Menu Pricing'!$O$7:$O$56,$O1870))&gt;0,INDEX('Menu Pricing'!$O$7:$O$56,$O1870),""))))</f>
        <v/>
      </c>
      <c r="I1870" s="71">
        <f>IF($N1870&lt;&gt;"OK","",$D1870*$H1870)</f>
        <v/>
      </c>
      <c r="J1870" s="71">
        <f>IF($N1870&lt;&gt;"OK","",N(INDEX('Menu Pricing'!$F$7:$F$56,$O1870))+N(INDEX('Menu Pricing'!$G$7:$G$56,$O1870))+N(INDEX('Menu Pricing'!$J$7:$J$56,$O1870)))</f>
        <v/>
      </c>
      <c r="K1870" s="71">
        <f>IF($N1870&lt;&gt;"OK","",$D1870*$J1870)</f>
        <v/>
      </c>
      <c r="L1870" s="71">
        <f>IF($N1870&lt;&gt;"OK","",$I1870-$K1870)</f>
        <v/>
      </c>
      <c r="M1870" s="71">
        <f>IF($N1870&lt;&gt;"OK","",$D1870*N(INDEX('Menu Pricing'!$F$7:$F$56,$O1870)))</f>
        <v/>
      </c>
      <c r="N1870" s="80">
        <f>IF(AND($B1870="",$C1870="",$D1870=""),"",IF(NOT(ISNUMBER($B1870)),"Enter a valid date",IF($C1870="","Pick a menu item",IF($O1870="","Item not on Menu Pricing",IF(N($D1870)&lt;=0,"Qty must be above 0",IF($H1870="","No price on menu","OK"))))))</f>
        <v/>
      </c>
      <c r="O1870" s="13">
        <f>IF($C1870="","",IFERROR(MATCH($C1870,'Menu Pricing'!$B$7:$B$56,0),""))</f>
        <v/>
      </c>
    </row>
    <row r="1871" ht="17" customHeight="1">
      <c r="B1871" s="66" t="n"/>
      <c r="C1871" s="60" t="n"/>
      <c r="D1871" s="86" t="n"/>
      <c r="E1871" s="63" t="n"/>
      <c r="F1871" s="60" t="n"/>
      <c r="G1871" s="60" t="n"/>
      <c r="H1871" s="71">
        <f>IF(OR($C1871="",$D1871=""),"",IF(ISNUMBER($E1871),$E1871,IF($O1871="","",IF(N(INDEX('Menu Pricing'!$O$7:$O$56,$O1871))&gt;0,INDEX('Menu Pricing'!$O$7:$O$56,$O1871),""))))</f>
        <v/>
      </c>
      <c r="I1871" s="71">
        <f>IF($N1871&lt;&gt;"OK","",$D1871*$H1871)</f>
        <v/>
      </c>
      <c r="J1871" s="71">
        <f>IF($N1871&lt;&gt;"OK","",N(INDEX('Menu Pricing'!$F$7:$F$56,$O1871))+N(INDEX('Menu Pricing'!$G$7:$G$56,$O1871))+N(INDEX('Menu Pricing'!$J$7:$J$56,$O1871)))</f>
        <v/>
      </c>
      <c r="K1871" s="71">
        <f>IF($N1871&lt;&gt;"OK","",$D1871*$J1871)</f>
        <v/>
      </c>
      <c r="L1871" s="71">
        <f>IF($N1871&lt;&gt;"OK","",$I1871-$K1871)</f>
        <v/>
      </c>
      <c r="M1871" s="71">
        <f>IF($N1871&lt;&gt;"OK","",$D1871*N(INDEX('Menu Pricing'!$F$7:$F$56,$O1871)))</f>
        <v/>
      </c>
      <c r="N1871" s="80">
        <f>IF(AND($B1871="",$C1871="",$D1871=""),"",IF(NOT(ISNUMBER($B1871)),"Enter a valid date",IF($C1871="","Pick a menu item",IF($O1871="","Item not on Menu Pricing",IF(N($D1871)&lt;=0,"Qty must be above 0",IF($H1871="","No price on menu","OK"))))))</f>
        <v/>
      </c>
      <c r="O1871" s="13">
        <f>IF($C1871="","",IFERROR(MATCH($C1871,'Menu Pricing'!$B$7:$B$56,0),""))</f>
        <v/>
      </c>
    </row>
    <row r="1872" ht="17" customHeight="1">
      <c r="B1872" s="66" t="n"/>
      <c r="C1872" s="60" t="n"/>
      <c r="D1872" s="86" t="n"/>
      <c r="E1872" s="63" t="n"/>
      <c r="F1872" s="60" t="n"/>
      <c r="G1872" s="60" t="n"/>
      <c r="H1872" s="71">
        <f>IF(OR($C1872="",$D1872=""),"",IF(ISNUMBER($E1872),$E1872,IF($O1872="","",IF(N(INDEX('Menu Pricing'!$O$7:$O$56,$O1872))&gt;0,INDEX('Menu Pricing'!$O$7:$O$56,$O1872),""))))</f>
        <v/>
      </c>
      <c r="I1872" s="71">
        <f>IF($N1872&lt;&gt;"OK","",$D1872*$H1872)</f>
        <v/>
      </c>
      <c r="J1872" s="71">
        <f>IF($N1872&lt;&gt;"OK","",N(INDEX('Menu Pricing'!$F$7:$F$56,$O1872))+N(INDEX('Menu Pricing'!$G$7:$G$56,$O1872))+N(INDEX('Menu Pricing'!$J$7:$J$56,$O1872)))</f>
        <v/>
      </c>
      <c r="K1872" s="71">
        <f>IF($N1872&lt;&gt;"OK","",$D1872*$J1872)</f>
        <v/>
      </c>
      <c r="L1872" s="71">
        <f>IF($N1872&lt;&gt;"OK","",$I1872-$K1872)</f>
        <v/>
      </c>
      <c r="M1872" s="71">
        <f>IF($N1872&lt;&gt;"OK","",$D1872*N(INDEX('Menu Pricing'!$F$7:$F$56,$O1872)))</f>
        <v/>
      </c>
      <c r="N1872" s="80">
        <f>IF(AND($B1872="",$C1872="",$D1872=""),"",IF(NOT(ISNUMBER($B1872)),"Enter a valid date",IF($C1872="","Pick a menu item",IF($O1872="","Item not on Menu Pricing",IF(N($D1872)&lt;=0,"Qty must be above 0",IF($H1872="","No price on menu","OK"))))))</f>
        <v/>
      </c>
      <c r="O1872" s="13">
        <f>IF($C1872="","",IFERROR(MATCH($C1872,'Menu Pricing'!$B$7:$B$56,0),""))</f>
        <v/>
      </c>
    </row>
    <row r="1873" ht="17" customHeight="1">
      <c r="B1873" s="66" t="n"/>
      <c r="C1873" s="60" t="n"/>
      <c r="D1873" s="86" t="n"/>
      <c r="E1873" s="63" t="n"/>
      <c r="F1873" s="60" t="n"/>
      <c r="G1873" s="60" t="n"/>
      <c r="H1873" s="71">
        <f>IF(OR($C1873="",$D1873=""),"",IF(ISNUMBER($E1873),$E1873,IF($O1873="","",IF(N(INDEX('Menu Pricing'!$O$7:$O$56,$O1873))&gt;0,INDEX('Menu Pricing'!$O$7:$O$56,$O1873),""))))</f>
        <v/>
      </c>
      <c r="I1873" s="71">
        <f>IF($N1873&lt;&gt;"OK","",$D1873*$H1873)</f>
        <v/>
      </c>
      <c r="J1873" s="71">
        <f>IF($N1873&lt;&gt;"OK","",N(INDEX('Menu Pricing'!$F$7:$F$56,$O1873))+N(INDEX('Menu Pricing'!$G$7:$G$56,$O1873))+N(INDEX('Menu Pricing'!$J$7:$J$56,$O1873)))</f>
        <v/>
      </c>
      <c r="K1873" s="71">
        <f>IF($N1873&lt;&gt;"OK","",$D1873*$J1873)</f>
        <v/>
      </c>
      <c r="L1873" s="71">
        <f>IF($N1873&lt;&gt;"OK","",$I1873-$K1873)</f>
        <v/>
      </c>
      <c r="M1873" s="71">
        <f>IF($N1873&lt;&gt;"OK","",$D1873*N(INDEX('Menu Pricing'!$F$7:$F$56,$O1873)))</f>
        <v/>
      </c>
      <c r="N1873" s="80">
        <f>IF(AND($B1873="",$C1873="",$D1873=""),"",IF(NOT(ISNUMBER($B1873)),"Enter a valid date",IF($C1873="","Pick a menu item",IF($O1873="","Item not on Menu Pricing",IF(N($D1873)&lt;=0,"Qty must be above 0",IF($H1873="","No price on menu","OK"))))))</f>
        <v/>
      </c>
      <c r="O1873" s="13">
        <f>IF($C1873="","",IFERROR(MATCH($C1873,'Menu Pricing'!$B$7:$B$56,0),""))</f>
        <v/>
      </c>
    </row>
    <row r="1874" ht="17" customHeight="1">
      <c r="B1874" s="66" t="n"/>
      <c r="C1874" s="60" t="n"/>
      <c r="D1874" s="86" t="n"/>
      <c r="E1874" s="63" t="n"/>
      <c r="F1874" s="60" t="n"/>
      <c r="G1874" s="60" t="n"/>
      <c r="H1874" s="71">
        <f>IF(OR($C1874="",$D1874=""),"",IF(ISNUMBER($E1874),$E1874,IF($O1874="","",IF(N(INDEX('Menu Pricing'!$O$7:$O$56,$O1874))&gt;0,INDEX('Menu Pricing'!$O$7:$O$56,$O1874),""))))</f>
        <v/>
      </c>
      <c r="I1874" s="71">
        <f>IF($N1874&lt;&gt;"OK","",$D1874*$H1874)</f>
        <v/>
      </c>
      <c r="J1874" s="71">
        <f>IF($N1874&lt;&gt;"OK","",N(INDEX('Menu Pricing'!$F$7:$F$56,$O1874))+N(INDEX('Menu Pricing'!$G$7:$G$56,$O1874))+N(INDEX('Menu Pricing'!$J$7:$J$56,$O1874)))</f>
        <v/>
      </c>
      <c r="K1874" s="71">
        <f>IF($N1874&lt;&gt;"OK","",$D1874*$J1874)</f>
        <v/>
      </c>
      <c r="L1874" s="71">
        <f>IF($N1874&lt;&gt;"OK","",$I1874-$K1874)</f>
        <v/>
      </c>
      <c r="M1874" s="71">
        <f>IF($N1874&lt;&gt;"OK","",$D1874*N(INDEX('Menu Pricing'!$F$7:$F$56,$O1874)))</f>
        <v/>
      </c>
      <c r="N1874" s="80">
        <f>IF(AND($B1874="",$C1874="",$D1874=""),"",IF(NOT(ISNUMBER($B1874)),"Enter a valid date",IF($C1874="","Pick a menu item",IF($O1874="","Item not on Menu Pricing",IF(N($D1874)&lt;=0,"Qty must be above 0",IF($H1874="","No price on menu","OK"))))))</f>
        <v/>
      </c>
      <c r="O1874" s="13">
        <f>IF($C1874="","",IFERROR(MATCH($C1874,'Menu Pricing'!$B$7:$B$56,0),""))</f>
        <v/>
      </c>
    </row>
    <row r="1875" ht="17" customHeight="1">
      <c r="B1875" s="66" t="n"/>
      <c r="C1875" s="60" t="n"/>
      <c r="D1875" s="86" t="n"/>
      <c r="E1875" s="63" t="n"/>
      <c r="F1875" s="60" t="n"/>
      <c r="G1875" s="60" t="n"/>
      <c r="H1875" s="71">
        <f>IF(OR($C1875="",$D1875=""),"",IF(ISNUMBER($E1875),$E1875,IF($O1875="","",IF(N(INDEX('Menu Pricing'!$O$7:$O$56,$O1875))&gt;0,INDEX('Menu Pricing'!$O$7:$O$56,$O1875),""))))</f>
        <v/>
      </c>
      <c r="I1875" s="71">
        <f>IF($N1875&lt;&gt;"OK","",$D1875*$H1875)</f>
        <v/>
      </c>
      <c r="J1875" s="71">
        <f>IF($N1875&lt;&gt;"OK","",N(INDEX('Menu Pricing'!$F$7:$F$56,$O1875))+N(INDEX('Menu Pricing'!$G$7:$G$56,$O1875))+N(INDEX('Menu Pricing'!$J$7:$J$56,$O1875)))</f>
        <v/>
      </c>
      <c r="K1875" s="71">
        <f>IF($N1875&lt;&gt;"OK","",$D1875*$J1875)</f>
        <v/>
      </c>
      <c r="L1875" s="71">
        <f>IF($N1875&lt;&gt;"OK","",$I1875-$K1875)</f>
        <v/>
      </c>
      <c r="M1875" s="71">
        <f>IF($N1875&lt;&gt;"OK","",$D1875*N(INDEX('Menu Pricing'!$F$7:$F$56,$O1875)))</f>
        <v/>
      </c>
      <c r="N1875" s="80">
        <f>IF(AND($B1875="",$C1875="",$D1875=""),"",IF(NOT(ISNUMBER($B1875)),"Enter a valid date",IF($C1875="","Pick a menu item",IF($O1875="","Item not on Menu Pricing",IF(N($D1875)&lt;=0,"Qty must be above 0",IF($H1875="","No price on menu","OK"))))))</f>
        <v/>
      </c>
      <c r="O1875" s="13">
        <f>IF($C1875="","",IFERROR(MATCH($C1875,'Menu Pricing'!$B$7:$B$56,0),""))</f>
        <v/>
      </c>
    </row>
    <row r="1876" ht="17" customHeight="1">
      <c r="B1876" s="66" t="n"/>
      <c r="C1876" s="60" t="n"/>
      <c r="D1876" s="86" t="n"/>
      <c r="E1876" s="63" t="n"/>
      <c r="F1876" s="60" t="n"/>
      <c r="G1876" s="60" t="n"/>
      <c r="H1876" s="71">
        <f>IF(OR($C1876="",$D1876=""),"",IF(ISNUMBER($E1876),$E1876,IF($O1876="","",IF(N(INDEX('Menu Pricing'!$O$7:$O$56,$O1876))&gt;0,INDEX('Menu Pricing'!$O$7:$O$56,$O1876),""))))</f>
        <v/>
      </c>
      <c r="I1876" s="71">
        <f>IF($N1876&lt;&gt;"OK","",$D1876*$H1876)</f>
        <v/>
      </c>
      <c r="J1876" s="71">
        <f>IF($N1876&lt;&gt;"OK","",N(INDEX('Menu Pricing'!$F$7:$F$56,$O1876))+N(INDEX('Menu Pricing'!$G$7:$G$56,$O1876))+N(INDEX('Menu Pricing'!$J$7:$J$56,$O1876)))</f>
        <v/>
      </c>
      <c r="K1876" s="71">
        <f>IF($N1876&lt;&gt;"OK","",$D1876*$J1876)</f>
        <v/>
      </c>
      <c r="L1876" s="71">
        <f>IF($N1876&lt;&gt;"OK","",$I1876-$K1876)</f>
        <v/>
      </c>
      <c r="M1876" s="71">
        <f>IF($N1876&lt;&gt;"OK","",$D1876*N(INDEX('Menu Pricing'!$F$7:$F$56,$O1876)))</f>
        <v/>
      </c>
      <c r="N1876" s="80">
        <f>IF(AND($B1876="",$C1876="",$D1876=""),"",IF(NOT(ISNUMBER($B1876)),"Enter a valid date",IF($C1876="","Pick a menu item",IF($O1876="","Item not on Menu Pricing",IF(N($D1876)&lt;=0,"Qty must be above 0",IF($H1876="","No price on menu","OK"))))))</f>
        <v/>
      </c>
      <c r="O1876" s="13">
        <f>IF($C1876="","",IFERROR(MATCH($C1876,'Menu Pricing'!$B$7:$B$56,0),""))</f>
        <v/>
      </c>
    </row>
    <row r="1877" ht="17" customHeight="1">
      <c r="B1877" s="66" t="n"/>
      <c r="C1877" s="60" t="n"/>
      <c r="D1877" s="86" t="n"/>
      <c r="E1877" s="63" t="n"/>
      <c r="F1877" s="60" t="n"/>
      <c r="G1877" s="60" t="n"/>
      <c r="H1877" s="71">
        <f>IF(OR($C1877="",$D1877=""),"",IF(ISNUMBER($E1877),$E1877,IF($O1877="","",IF(N(INDEX('Menu Pricing'!$O$7:$O$56,$O1877))&gt;0,INDEX('Menu Pricing'!$O$7:$O$56,$O1877),""))))</f>
        <v/>
      </c>
      <c r="I1877" s="71">
        <f>IF($N1877&lt;&gt;"OK","",$D1877*$H1877)</f>
        <v/>
      </c>
      <c r="J1877" s="71">
        <f>IF($N1877&lt;&gt;"OK","",N(INDEX('Menu Pricing'!$F$7:$F$56,$O1877))+N(INDEX('Menu Pricing'!$G$7:$G$56,$O1877))+N(INDEX('Menu Pricing'!$J$7:$J$56,$O1877)))</f>
        <v/>
      </c>
      <c r="K1877" s="71">
        <f>IF($N1877&lt;&gt;"OK","",$D1877*$J1877)</f>
        <v/>
      </c>
      <c r="L1877" s="71">
        <f>IF($N1877&lt;&gt;"OK","",$I1877-$K1877)</f>
        <v/>
      </c>
      <c r="M1877" s="71">
        <f>IF($N1877&lt;&gt;"OK","",$D1877*N(INDEX('Menu Pricing'!$F$7:$F$56,$O1877)))</f>
        <v/>
      </c>
      <c r="N1877" s="80">
        <f>IF(AND($B1877="",$C1877="",$D1877=""),"",IF(NOT(ISNUMBER($B1877)),"Enter a valid date",IF($C1877="","Pick a menu item",IF($O1877="","Item not on Menu Pricing",IF(N($D1877)&lt;=0,"Qty must be above 0",IF($H1877="","No price on menu","OK"))))))</f>
        <v/>
      </c>
      <c r="O1877" s="13">
        <f>IF($C1877="","",IFERROR(MATCH($C1877,'Menu Pricing'!$B$7:$B$56,0),""))</f>
        <v/>
      </c>
    </row>
    <row r="1878" ht="17" customHeight="1">
      <c r="B1878" s="66" t="n"/>
      <c r="C1878" s="60" t="n"/>
      <c r="D1878" s="86" t="n"/>
      <c r="E1878" s="63" t="n"/>
      <c r="F1878" s="60" t="n"/>
      <c r="G1878" s="60" t="n"/>
      <c r="H1878" s="71">
        <f>IF(OR($C1878="",$D1878=""),"",IF(ISNUMBER($E1878),$E1878,IF($O1878="","",IF(N(INDEX('Menu Pricing'!$O$7:$O$56,$O1878))&gt;0,INDEX('Menu Pricing'!$O$7:$O$56,$O1878),""))))</f>
        <v/>
      </c>
      <c r="I1878" s="71">
        <f>IF($N1878&lt;&gt;"OK","",$D1878*$H1878)</f>
        <v/>
      </c>
      <c r="J1878" s="71">
        <f>IF($N1878&lt;&gt;"OK","",N(INDEX('Menu Pricing'!$F$7:$F$56,$O1878))+N(INDEX('Menu Pricing'!$G$7:$G$56,$O1878))+N(INDEX('Menu Pricing'!$J$7:$J$56,$O1878)))</f>
        <v/>
      </c>
      <c r="K1878" s="71">
        <f>IF($N1878&lt;&gt;"OK","",$D1878*$J1878)</f>
        <v/>
      </c>
      <c r="L1878" s="71">
        <f>IF($N1878&lt;&gt;"OK","",$I1878-$K1878)</f>
        <v/>
      </c>
      <c r="M1878" s="71">
        <f>IF($N1878&lt;&gt;"OK","",$D1878*N(INDEX('Menu Pricing'!$F$7:$F$56,$O1878)))</f>
        <v/>
      </c>
      <c r="N1878" s="80">
        <f>IF(AND($B1878="",$C1878="",$D1878=""),"",IF(NOT(ISNUMBER($B1878)),"Enter a valid date",IF($C1878="","Pick a menu item",IF($O1878="","Item not on Menu Pricing",IF(N($D1878)&lt;=0,"Qty must be above 0",IF($H1878="","No price on menu","OK"))))))</f>
        <v/>
      </c>
      <c r="O1878" s="13">
        <f>IF($C1878="","",IFERROR(MATCH($C1878,'Menu Pricing'!$B$7:$B$56,0),""))</f>
        <v/>
      </c>
    </row>
    <row r="1879" ht="17" customHeight="1">
      <c r="B1879" s="66" t="n"/>
      <c r="C1879" s="60" t="n"/>
      <c r="D1879" s="86" t="n"/>
      <c r="E1879" s="63" t="n"/>
      <c r="F1879" s="60" t="n"/>
      <c r="G1879" s="60" t="n"/>
      <c r="H1879" s="71">
        <f>IF(OR($C1879="",$D1879=""),"",IF(ISNUMBER($E1879),$E1879,IF($O1879="","",IF(N(INDEX('Menu Pricing'!$O$7:$O$56,$O1879))&gt;0,INDEX('Menu Pricing'!$O$7:$O$56,$O1879),""))))</f>
        <v/>
      </c>
      <c r="I1879" s="71">
        <f>IF($N1879&lt;&gt;"OK","",$D1879*$H1879)</f>
        <v/>
      </c>
      <c r="J1879" s="71">
        <f>IF($N1879&lt;&gt;"OK","",N(INDEX('Menu Pricing'!$F$7:$F$56,$O1879))+N(INDEX('Menu Pricing'!$G$7:$G$56,$O1879))+N(INDEX('Menu Pricing'!$J$7:$J$56,$O1879)))</f>
        <v/>
      </c>
      <c r="K1879" s="71">
        <f>IF($N1879&lt;&gt;"OK","",$D1879*$J1879)</f>
        <v/>
      </c>
      <c r="L1879" s="71">
        <f>IF($N1879&lt;&gt;"OK","",$I1879-$K1879)</f>
        <v/>
      </c>
      <c r="M1879" s="71">
        <f>IF($N1879&lt;&gt;"OK","",$D1879*N(INDEX('Menu Pricing'!$F$7:$F$56,$O1879)))</f>
        <v/>
      </c>
      <c r="N1879" s="80">
        <f>IF(AND($B1879="",$C1879="",$D1879=""),"",IF(NOT(ISNUMBER($B1879)),"Enter a valid date",IF($C1879="","Pick a menu item",IF($O1879="","Item not on Menu Pricing",IF(N($D1879)&lt;=0,"Qty must be above 0",IF($H1879="","No price on menu","OK"))))))</f>
        <v/>
      </c>
      <c r="O1879" s="13">
        <f>IF($C1879="","",IFERROR(MATCH($C1879,'Menu Pricing'!$B$7:$B$56,0),""))</f>
        <v/>
      </c>
    </row>
    <row r="1880" ht="17" customHeight="1">
      <c r="B1880" s="66" t="n"/>
      <c r="C1880" s="60" t="n"/>
      <c r="D1880" s="86" t="n"/>
      <c r="E1880" s="63" t="n"/>
      <c r="F1880" s="60" t="n"/>
      <c r="G1880" s="60" t="n"/>
      <c r="H1880" s="71">
        <f>IF(OR($C1880="",$D1880=""),"",IF(ISNUMBER($E1880),$E1880,IF($O1880="","",IF(N(INDEX('Menu Pricing'!$O$7:$O$56,$O1880))&gt;0,INDEX('Menu Pricing'!$O$7:$O$56,$O1880),""))))</f>
        <v/>
      </c>
      <c r="I1880" s="71">
        <f>IF($N1880&lt;&gt;"OK","",$D1880*$H1880)</f>
        <v/>
      </c>
      <c r="J1880" s="71">
        <f>IF($N1880&lt;&gt;"OK","",N(INDEX('Menu Pricing'!$F$7:$F$56,$O1880))+N(INDEX('Menu Pricing'!$G$7:$G$56,$O1880))+N(INDEX('Menu Pricing'!$J$7:$J$56,$O1880)))</f>
        <v/>
      </c>
      <c r="K1880" s="71">
        <f>IF($N1880&lt;&gt;"OK","",$D1880*$J1880)</f>
        <v/>
      </c>
      <c r="L1880" s="71">
        <f>IF($N1880&lt;&gt;"OK","",$I1880-$K1880)</f>
        <v/>
      </c>
      <c r="M1880" s="71">
        <f>IF($N1880&lt;&gt;"OK","",$D1880*N(INDEX('Menu Pricing'!$F$7:$F$56,$O1880)))</f>
        <v/>
      </c>
      <c r="N1880" s="80">
        <f>IF(AND($B1880="",$C1880="",$D1880=""),"",IF(NOT(ISNUMBER($B1880)),"Enter a valid date",IF($C1880="","Pick a menu item",IF($O1880="","Item not on Menu Pricing",IF(N($D1880)&lt;=0,"Qty must be above 0",IF($H1880="","No price on menu","OK"))))))</f>
        <v/>
      </c>
      <c r="O1880" s="13">
        <f>IF($C1880="","",IFERROR(MATCH($C1880,'Menu Pricing'!$B$7:$B$56,0),""))</f>
        <v/>
      </c>
    </row>
    <row r="1881" ht="17" customHeight="1">
      <c r="B1881" s="66" t="n"/>
      <c r="C1881" s="60" t="n"/>
      <c r="D1881" s="86" t="n"/>
      <c r="E1881" s="63" t="n"/>
      <c r="F1881" s="60" t="n"/>
      <c r="G1881" s="60" t="n"/>
      <c r="H1881" s="71">
        <f>IF(OR($C1881="",$D1881=""),"",IF(ISNUMBER($E1881),$E1881,IF($O1881="","",IF(N(INDEX('Menu Pricing'!$O$7:$O$56,$O1881))&gt;0,INDEX('Menu Pricing'!$O$7:$O$56,$O1881),""))))</f>
        <v/>
      </c>
      <c r="I1881" s="71">
        <f>IF($N1881&lt;&gt;"OK","",$D1881*$H1881)</f>
        <v/>
      </c>
      <c r="J1881" s="71">
        <f>IF($N1881&lt;&gt;"OK","",N(INDEX('Menu Pricing'!$F$7:$F$56,$O1881))+N(INDEX('Menu Pricing'!$G$7:$G$56,$O1881))+N(INDEX('Menu Pricing'!$J$7:$J$56,$O1881)))</f>
        <v/>
      </c>
      <c r="K1881" s="71">
        <f>IF($N1881&lt;&gt;"OK","",$D1881*$J1881)</f>
        <v/>
      </c>
      <c r="L1881" s="71">
        <f>IF($N1881&lt;&gt;"OK","",$I1881-$K1881)</f>
        <v/>
      </c>
      <c r="M1881" s="71">
        <f>IF($N1881&lt;&gt;"OK","",$D1881*N(INDEX('Menu Pricing'!$F$7:$F$56,$O1881)))</f>
        <v/>
      </c>
      <c r="N1881" s="80">
        <f>IF(AND($B1881="",$C1881="",$D1881=""),"",IF(NOT(ISNUMBER($B1881)),"Enter a valid date",IF($C1881="","Pick a menu item",IF($O1881="","Item not on Menu Pricing",IF(N($D1881)&lt;=0,"Qty must be above 0",IF($H1881="","No price on menu","OK"))))))</f>
        <v/>
      </c>
      <c r="O1881" s="13">
        <f>IF($C1881="","",IFERROR(MATCH($C1881,'Menu Pricing'!$B$7:$B$56,0),""))</f>
        <v/>
      </c>
    </row>
    <row r="1882" ht="17" customHeight="1">
      <c r="B1882" s="66" t="n"/>
      <c r="C1882" s="60" t="n"/>
      <c r="D1882" s="86" t="n"/>
      <c r="E1882" s="63" t="n"/>
      <c r="F1882" s="60" t="n"/>
      <c r="G1882" s="60" t="n"/>
      <c r="H1882" s="71">
        <f>IF(OR($C1882="",$D1882=""),"",IF(ISNUMBER($E1882),$E1882,IF($O1882="","",IF(N(INDEX('Menu Pricing'!$O$7:$O$56,$O1882))&gt;0,INDEX('Menu Pricing'!$O$7:$O$56,$O1882),""))))</f>
        <v/>
      </c>
      <c r="I1882" s="71">
        <f>IF($N1882&lt;&gt;"OK","",$D1882*$H1882)</f>
        <v/>
      </c>
      <c r="J1882" s="71">
        <f>IF($N1882&lt;&gt;"OK","",N(INDEX('Menu Pricing'!$F$7:$F$56,$O1882))+N(INDEX('Menu Pricing'!$G$7:$G$56,$O1882))+N(INDEX('Menu Pricing'!$J$7:$J$56,$O1882)))</f>
        <v/>
      </c>
      <c r="K1882" s="71">
        <f>IF($N1882&lt;&gt;"OK","",$D1882*$J1882)</f>
        <v/>
      </c>
      <c r="L1882" s="71">
        <f>IF($N1882&lt;&gt;"OK","",$I1882-$K1882)</f>
        <v/>
      </c>
      <c r="M1882" s="71">
        <f>IF($N1882&lt;&gt;"OK","",$D1882*N(INDEX('Menu Pricing'!$F$7:$F$56,$O1882)))</f>
        <v/>
      </c>
      <c r="N1882" s="80">
        <f>IF(AND($B1882="",$C1882="",$D1882=""),"",IF(NOT(ISNUMBER($B1882)),"Enter a valid date",IF($C1882="","Pick a menu item",IF($O1882="","Item not on Menu Pricing",IF(N($D1882)&lt;=0,"Qty must be above 0",IF($H1882="","No price on menu","OK"))))))</f>
        <v/>
      </c>
      <c r="O1882" s="13">
        <f>IF($C1882="","",IFERROR(MATCH($C1882,'Menu Pricing'!$B$7:$B$56,0),""))</f>
        <v/>
      </c>
    </row>
    <row r="1883" ht="17" customHeight="1">
      <c r="B1883" s="66" t="n"/>
      <c r="C1883" s="60" t="n"/>
      <c r="D1883" s="86" t="n"/>
      <c r="E1883" s="63" t="n"/>
      <c r="F1883" s="60" t="n"/>
      <c r="G1883" s="60" t="n"/>
      <c r="H1883" s="71">
        <f>IF(OR($C1883="",$D1883=""),"",IF(ISNUMBER($E1883),$E1883,IF($O1883="","",IF(N(INDEX('Menu Pricing'!$O$7:$O$56,$O1883))&gt;0,INDEX('Menu Pricing'!$O$7:$O$56,$O1883),""))))</f>
        <v/>
      </c>
      <c r="I1883" s="71">
        <f>IF($N1883&lt;&gt;"OK","",$D1883*$H1883)</f>
        <v/>
      </c>
      <c r="J1883" s="71">
        <f>IF($N1883&lt;&gt;"OK","",N(INDEX('Menu Pricing'!$F$7:$F$56,$O1883))+N(INDEX('Menu Pricing'!$G$7:$G$56,$O1883))+N(INDEX('Menu Pricing'!$J$7:$J$56,$O1883)))</f>
        <v/>
      </c>
      <c r="K1883" s="71">
        <f>IF($N1883&lt;&gt;"OK","",$D1883*$J1883)</f>
        <v/>
      </c>
      <c r="L1883" s="71">
        <f>IF($N1883&lt;&gt;"OK","",$I1883-$K1883)</f>
        <v/>
      </c>
      <c r="M1883" s="71">
        <f>IF($N1883&lt;&gt;"OK","",$D1883*N(INDEX('Menu Pricing'!$F$7:$F$56,$O1883)))</f>
        <v/>
      </c>
      <c r="N1883" s="80">
        <f>IF(AND($B1883="",$C1883="",$D1883=""),"",IF(NOT(ISNUMBER($B1883)),"Enter a valid date",IF($C1883="","Pick a menu item",IF($O1883="","Item not on Menu Pricing",IF(N($D1883)&lt;=0,"Qty must be above 0",IF($H1883="","No price on menu","OK"))))))</f>
        <v/>
      </c>
      <c r="O1883" s="13">
        <f>IF($C1883="","",IFERROR(MATCH($C1883,'Menu Pricing'!$B$7:$B$56,0),""))</f>
        <v/>
      </c>
    </row>
    <row r="1884" ht="17" customHeight="1">
      <c r="B1884" s="66" t="n"/>
      <c r="C1884" s="60" t="n"/>
      <c r="D1884" s="86" t="n"/>
      <c r="E1884" s="63" t="n"/>
      <c r="F1884" s="60" t="n"/>
      <c r="G1884" s="60" t="n"/>
      <c r="H1884" s="71">
        <f>IF(OR($C1884="",$D1884=""),"",IF(ISNUMBER($E1884),$E1884,IF($O1884="","",IF(N(INDEX('Menu Pricing'!$O$7:$O$56,$O1884))&gt;0,INDEX('Menu Pricing'!$O$7:$O$56,$O1884),""))))</f>
        <v/>
      </c>
      <c r="I1884" s="71">
        <f>IF($N1884&lt;&gt;"OK","",$D1884*$H1884)</f>
        <v/>
      </c>
      <c r="J1884" s="71">
        <f>IF($N1884&lt;&gt;"OK","",N(INDEX('Menu Pricing'!$F$7:$F$56,$O1884))+N(INDEX('Menu Pricing'!$G$7:$G$56,$O1884))+N(INDEX('Menu Pricing'!$J$7:$J$56,$O1884)))</f>
        <v/>
      </c>
      <c r="K1884" s="71">
        <f>IF($N1884&lt;&gt;"OK","",$D1884*$J1884)</f>
        <v/>
      </c>
      <c r="L1884" s="71">
        <f>IF($N1884&lt;&gt;"OK","",$I1884-$K1884)</f>
        <v/>
      </c>
      <c r="M1884" s="71">
        <f>IF($N1884&lt;&gt;"OK","",$D1884*N(INDEX('Menu Pricing'!$F$7:$F$56,$O1884)))</f>
        <v/>
      </c>
      <c r="N1884" s="80">
        <f>IF(AND($B1884="",$C1884="",$D1884=""),"",IF(NOT(ISNUMBER($B1884)),"Enter a valid date",IF($C1884="","Pick a menu item",IF($O1884="","Item not on Menu Pricing",IF(N($D1884)&lt;=0,"Qty must be above 0",IF($H1884="","No price on menu","OK"))))))</f>
        <v/>
      </c>
      <c r="O1884" s="13">
        <f>IF($C1884="","",IFERROR(MATCH($C1884,'Menu Pricing'!$B$7:$B$56,0),""))</f>
        <v/>
      </c>
    </row>
    <row r="1885" ht="17" customHeight="1">
      <c r="B1885" s="66" t="n"/>
      <c r="C1885" s="60" t="n"/>
      <c r="D1885" s="86" t="n"/>
      <c r="E1885" s="63" t="n"/>
      <c r="F1885" s="60" t="n"/>
      <c r="G1885" s="60" t="n"/>
      <c r="H1885" s="71">
        <f>IF(OR($C1885="",$D1885=""),"",IF(ISNUMBER($E1885),$E1885,IF($O1885="","",IF(N(INDEX('Menu Pricing'!$O$7:$O$56,$O1885))&gt;0,INDEX('Menu Pricing'!$O$7:$O$56,$O1885),""))))</f>
        <v/>
      </c>
      <c r="I1885" s="71">
        <f>IF($N1885&lt;&gt;"OK","",$D1885*$H1885)</f>
        <v/>
      </c>
      <c r="J1885" s="71">
        <f>IF($N1885&lt;&gt;"OK","",N(INDEX('Menu Pricing'!$F$7:$F$56,$O1885))+N(INDEX('Menu Pricing'!$G$7:$G$56,$O1885))+N(INDEX('Menu Pricing'!$J$7:$J$56,$O1885)))</f>
        <v/>
      </c>
      <c r="K1885" s="71">
        <f>IF($N1885&lt;&gt;"OK","",$D1885*$J1885)</f>
        <v/>
      </c>
      <c r="L1885" s="71">
        <f>IF($N1885&lt;&gt;"OK","",$I1885-$K1885)</f>
        <v/>
      </c>
      <c r="M1885" s="71">
        <f>IF($N1885&lt;&gt;"OK","",$D1885*N(INDEX('Menu Pricing'!$F$7:$F$56,$O1885)))</f>
        <v/>
      </c>
      <c r="N1885" s="80">
        <f>IF(AND($B1885="",$C1885="",$D1885=""),"",IF(NOT(ISNUMBER($B1885)),"Enter a valid date",IF($C1885="","Pick a menu item",IF($O1885="","Item not on Menu Pricing",IF(N($D1885)&lt;=0,"Qty must be above 0",IF($H1885="","No price on menu","OK"))))))</f>
        <v/>
      </c>
      <c r="O1885" s="13">
        <f>IF($C1885="","",IFERROR(MATCH($C1885,'Menu Pricing'!$B$7:$B$56,0),""))</f>
        <v/>
      </c>
    </row>
    <row r="1886" ht="17" customHeight="1">
      <c r="B1886" s="66" t="n"/>
      <c r="C1886" s="60" t="n"/>
      <c r="D1886" s="86" t="n"/>
      <c r="E1886" s="63" t="n"/>
      <c r="F1886" s="60" t="n"/>
      <c r="G1886" s="60" t="n"/>
      <c r="H1886" s="71">
        <f>IF(OR($C1886="",$D1886=""),"",IF(ISNUMBER($E1886),$E1886,IF($O1886="","",IF(N(INDEX('Menu Pricing'!$O$7:$O$56,$O1886))&gt;0,INDEX('Menu Pricing'!$O$7:$O$56,$O1886),""))))</f>
        <v/>
      </c>
      <c r="I1886" s="71">
        <f>IF($N1886&lt;&gt;"OK","",$D1886*$H1886)</f>
        <v/>
      </c>
      <c r="J1886" s="71">
        <f>IF($N1886&lt;&gt;"OK","",N(INDEX('Menu Pricing'!$F$7:$F$56,$O1886))+N(INDEX('Menu Pricing'!$G$7:$G$56,$O1886))+N(INDEX('Menu Pricing'!$J$7:$J$56,$O1886)))</f>
        <v/>
      </c>
      <c r="K1886" s="71">
        <f>IF($N1886&lt;&gt;"OK","",$D1886*$J1886)</f>
        <v/>
      </c>
      <c r="L1886" s="71">
        <f>IF($N1886&lt;&gt;"OK","",$I1886-$K1886)</f>
        <v/>
      </c>
      <c r="M1886" s="71">
        <f>IF($N1886&lt;&gt;"OK","",$D1886*N(INDEX('Menu Pricing'!$F$7:$F$56,$O1886)))</f>
        <v/>
      </c>
      <c r="N1886" s="80">
        <f>IF(AND($B1886="",$C1886="",$D1886=""),"",IF(NOT(ISNUMBER($B1886)),"Enter a valid date",IF($C1886="","Pick a menu item",IF($O1886="","Item not on Menu Pricing",IF(N($D1886)&lt;=0,"Qty must be above 0",IF($H1886="","No price on menu","OK"))))))</f>
        <v/>
      </c>
      <c r="O1886" s="13">
        <f>IF($C1886="","",IFERROR(MATCH($C1886,'Menu Pricing'!$B$7:$B$56,0),""))</f>
        <v/>
      </c>
    </row>
    <row r="1887" ht="17" customHeight="1">
      <c r="B1887" s="66" t="n"/>
      <c r="C1887" s="60" t="n"/>
      <c r="D1887" s="86" t="n"/>
      <c r="E1887" s="63" t="n"/>
      <c r="F1887" s="60" t="n"/>
      <c r="G1887" s="60" t="n"/>
      <c r="H1887" s="71">
        <f>IF(OR($C1887="",$D1887=""),"",IF(ISNUMBER($E1887),$E1887,IF($O1887="","",IF(N(INDEX('Menu Pricing'!$O$7:$O$56,$O1887))&gt;0,INDEX('Menu Pricing'!$O$7:$O$56,$O1887),""))))</f>
        <v/>
      </c>
      <c r="I1887" s="71">
        <f>IF($N1887&lt;&gt;"OK","",$D1887*$H1887)</f>
        <v/>
      </c>
      <c r="J1887" s="71">
        <f>IF($N1887&lt;&gt;"OK","",N(INDEX('Menu Pricing'!$F$7:$F$56,$O1887))+N(INDEX('Menu Pricing'!$G$7:$G$56,$O1887))+N(INDEX('Menu Pricing'!$J$7:$J$56,$O1887)))</f>
        <v/>
      </c>
      <c r="K1887" s="71">
        <f>IF($N1887&lt;&gt;"OK","",$D1887*$J1887)</f>
        <v/>
      </c>
      <c r="L1887" s="71">
        <f>IF($N1887&lt;&gt;"OK","",$I1887-$K1887)</f>
        <v/>
      </c>
      <c r="M1887" s="71">
        <f>IF($N1887&lt;&gt;"OK","",$D1887*N(INDEX('Menu Pricing'!$F$7:$F$56,$O1887)))</f>
        <v/>
      </c>
      <c r="N1887" s="80">
        <f>IF(AND($B1887="",$C1887="",$D1887=""),"",IF(NOT(ISNUMBER($B1887)),"Enter a valid date",IF($C1887="","Pick a menu item",IF($O1887="","Item not on Menu Pricing",IF(N($D1887)&lt;=0,"Qty must be above 0",IF($H1887="","No price on menu","OK"))))))</f>
        <v/>
      </c>
      <c r="O1887" s="13">
        <f>IF($C1887="","",IFERROR(MATCH($C1887,'Menu Pricing'!$B$7:$B$56,0),""))</f>
        <v/>
      </c>
    </row>
    <row r="1888" ht="17" customHeight="1">
      <c r="B1888" s="66" t="n"/>
      <c r="C1888" s="60" t="n"/>
      <c r="D1888" s="86" t="n"/>
      <c r="E1888" s="63" t="n"/>
      <c r="F1888" s="60" t="n"/>
      <c r="G1888" s="60" t="n"/>
      <c r="H1888" s="71">
        <f>IF(OR($C1888="",$D1888=""),"",IF(ISNUMBER($E1888),$E1888,IF($O1888="","",IF(N(INDEX('Menu Pricing'!$O$7:$O$56,$O1888))&gt;0,INDEX('Menu Pricing'!$O$7:$O$56,$O1888),""))))</f>
        <v/>
      </c>
      <c r="I1888" s="71">
        <f>IF($N1888&lt;&gt;"OK","",$D1888*$H1888)</f>
        <v/>
      </c>
      <c r="J1888" s="71">
        <f>IF($N1888&lt;&gt;"OK","",N(INDEX('Menu Pricing'!$F$7:$F$56,$O1888))+N(INDEX('Menu Pricing'!$G$7:$G$56,$O1888))+N(INDEX('Menu Pricing'!$J$7:$J$56,$O1888)))</f>
        <v/>
      </c>
      <c r="K1888" s="71">
        <f>IF($N1888&lt;&gt;"OK","",$D1888*$J1888)</f>
        <v/>
      </c>
      <c r="L1888" s="71">
        <f>IF($N1888&lt;&gt;"OK","",$I1888-$K1888)</f>
        <v/>
      </c>
      <c r="M1888" s="71">
        <f>IF($N1888&lt;&gt;"OK","",$D1888*N(INDEX('Menu Pricing'!$F$7:$F$56,$O1888)))</f>
        <v/>
      </c>
      <c r="N1888" s="80">
        <f>IF(AND($B1888="",$C1888="",$D1888=""),"",IF(NOT(ISNUMBER($B1888)),"Enter a valid date",IF($C1888="","Pick a menu item",IF($O1888="","Item not on Menu Pricing",IF(N($D1888)&lt;=0,"Qty must be above 0",IF($H1888="","No price on menu","OK"))))))</f>
        <v/>
      </c>
      <c r="O1888" s="13">
        <f>IF($C1888="","",IFERROR(MATCH($C1888,'Menu Pricing'!$B$7:$B$56,0),""))</f>
        <v/>
      </c>
    </row>
    <row r="1889" ht="17" customHeight="1">
      <c r="B1889" s="66" t="n"/>
      <c r="C1889" s="60" t="n"/>
      <c r="D1889" s="86" t="n"/>
      <c r="E1889" s="63" t="n"/>
      <c r="F1889" s="60" t="n"/>
      <c r="G1889" s="60" t="n"/>
      <c r="H1889" s="71">
        <f>IF(OR($C1889="",$D1889=""),"",IF(ISNUMBER($E1889),$E1889,IF($O1889="","",IF(N(INDEX('Menu Pricing'!$O$7:$O$56,$O1889))&gt;0,INDEX('Menu Pricing'!$O$7:$O$56,$O1889),""))))</f>
        <v/>
      </c>
      <c r="I1889" s="71">
        <f>IF($N1889&lt;&gt;"OK","",$D1889*$H1889)</f>
        <v/>
      </c>
      <c r="J1889" s="71">
        <f>IF($N1889&lt;&gt;"OK","",N(INDEX('Menu Pricing'!$F$7:$F$56,$O1889))+N(INDEX('Menu Pricing'!$G$7:$G$56,$O1889))+N(INDEX('Menu Pricing'!$J$7:$J$56,$O1889)))</f>
        <v/>
      </c>
      <c r="K1889" s="71">
        <f>IF($N1889&lt;&gt;"OK","",$D1889*$J1889)</f>
        <v/>
      </c>
      <c r="L1889" s="71">
        <f>IF($N1889&lt;&gt;"OK","",$I1889-$K1889)</f>
        <v/>
      </c>
      <c r="M1889" s="71">
        <f>IF($N1889&lt;&gt;"OK","",$D1889*N(INDEX('Menu Pricing'!$F$7:$F$56,$O1889)))</f>
        <v/>
      </c>
      <c r="N1889" s="80">
        <f>IF(AND($B1889="",$C1889="",$D1889=""),"",IF(NOT(ISNUMBER($B1889)),"Enter a valid date",IF($C1889="","Pick a menu item",IF($O1889="","Item not on Menu Pricing",IF(N($D1889)&lt;=0,"Qty must be above 0",IF($H1889="","No price on menu","OK"))))))</f>
        <v/>
      </c>
      <c r="O1889" s="13">
        <f>IF($C1889="","",IFERROR(MATCH($C1889,'Menu Pricing'!$B$7:$B$56,0),""))</f>
        <v/>
      </c>
    </row>
    <row r="1890" ht="17" customHeight="1">
      <c r="B1890" s="66" t="n"/>
      <c r="C1890" s="60" t="n"/>
      <c r="D1890" s="86" t="n"/>
      <c r="E1890" s="63" t="n"/>
      <c r="F1890" s="60" t="n"/>
      <c r="G1890" s="60" t="n"/>
      <c r="H1890" s="71">
        <f>IF(OR($C1890="",$D1890=""),"",IF(ISNUMBER($E1890),$E1890,IF($O1890="","",IF(N(INDEX('Menu Pricing'!$O$7:$O$56,$O1890))&gt;0,INDEX('Menu Pricing'!$O$7:$O$56,$O1890),""))))</f>
        <v/>
      </c>
      <c r="I1890" s="71">
        <f>IF($N1890&lt;&gt;"OK","",$D1890*$H1890)</f>
        <v/>
      </c>
      <c r="J1890" s="71">
        <f>IF($N1890&lt;&gt;"OK","",N(INDEX('Menu Pricing'!$F$7:$F$56,$O1890))+N(INDEX('Menu Pricing'!$G$7:$G$56,$O1890))+N(INDEX('Menu Pricing'!$J$7:$J$56,$O1890)))</f>
        <v/>
      </c>
      <c r="K1890" s="71">
        <f>IF($N1890&lt;&gt;"OK","",$D1890*$J1890)</f>
        <v/>
      </c>
      <c r="L1890" s="71">
        <f>IF($N1890&lt;&gt;"OK","",$I1890-$K1890)</f>
        <v/>
      </c>
      <c r="M1890" s="71">
        <f>IF($N1890&lt;&gt;"OK","",$D1890*N(INDEX('Menu Pricing'!$F$7:$F$56,$O1890)))</f>
        <v/>
      </c>
      <c r="N1890" s="80">
        <f>IF(AND($B1890="",$C1890="",$D1890=""),"",IF(NOT(ISNUMBER($B1890)),"Enter a valid date",IF($C1890="","Pick a menu item",IF($O1890="","Item not on Menu Pricing",IF(N($D1890)&lt;=0,"Qty must be above 0",IF($H1890="","No price on menu","OK"))))))</f>
        <v/>
      </c>
      <c r="O1890" s="13">
        <f>IF($C1890="","",IFERROR(MATCH($C1890,'Menu Pricing'!$B$7:$B$56,0),""))</f>
        <v/>
      </c>
    </row>
    <row r="1891" ht="17" customHeight="1">
      <c r="B1891" s="66" t="n"/>
      <c r="C1891" s="60" t="n"/>
      <c r="D1891" s="86" t="n"/>
      <c r="E1891" s="63" t="n"/>
      <c r="F1891" s="60" t="n"/>
      <c r="G1891" s="60" t="n"/>
      <c r="H1891" s="71">
        <f>IF(OR($C1891="",$D1891=""),"",IF(ISNUMBER($E1891),$E1891,IF($O1891="","",IF(N(INDEX('Menu Pricing'!$O$7:$O$56,$O1891))&gt;0,INDEX('Menu Pricing'!$O$7:$O$56,$O1891),""))))</f>
        <v/>
      </c>
      <c r="I1891" s="71">
        <f>IF($N1891&lt;&gt;"OK","",$D1891*$H1891)</f>
        <v/>
      </c>
      <c r="J1891" s="71">
        <f>IF($N1891&lt;&gt;"OK","",N(INDEX('Menu Pricing'!$F$7:$F$56,$O1891))+N(INDEX('Menu Pricing'!$G$7:$G$56,$O1891))+N(INDEX('Menu Pricing'!$J$7:$J$56,$O1891)))</f>
        <v/>
      </c>
      <c r="K1891" s="71">
        <f>IF($N1891&lt;&gt;"OK","",$D1891*$J1891)</f>
        <v/>
      </c>
      <c r="L1891" s="71">
        <f>IF($N1891&lt;&gt;"OK","",$I1891-$K1891)</f>
        <v/>
      </c>
      <c r="M1891" s="71">
        <f>IF($N1891&lt;&gt;"OK","",$D1891*N(INDEX('Menu Pricing'!$F$7:$F$56,$O1891)))</f>
        <v/>
      </c>
      <c r="N1891" s="80">
        <f>IF(AND($B1891="",$C1891="",$D1891=""),"",IF(NOT(ISNUMBER($B1891)),"Enter a valid date",IF($C1891="","Pick a menu item",IF($O1891="","Item not on Menu Pricing",IF(N($D1891)&lt;=0,"Qty must be above 0",IF($H1891="","No price on menu","OK"))))))</f>
        <v/>
      </c>
      <c r="O1891" s="13">
        <f>IF($C1891="","",IFERROR(MATCH($C1891,'Menu Pricing'!$B$7:$B$56,0),""))</f>
        <v/>
      </c>
    </row>
    <row r="1892" ht="17" customHeight="1">
      <c r="B1892" s="66" t="n"/>
      <c r="C1892" s="60" t="n"/>
      <c r="D1892" s="86" t="n"/>
      <c r="E1892" s="63" t="n"/>
      <c r="F1892" s="60" t="n"/>
      <c r="G1892" s="60" t="n"/>
      <c r="H1892" s="71">
        <f>IF(OR($C1892="",$D1892=""),"",IF(ISNUMBER($E1892),$E1892,IF($O1892="","",IF(N(INDEX('Menu Pricing'!$O$7:$O$56,$O1892))&gt;0,INDEX('Menu Pricing'!$O$7:$O$56,$O1892),""))))</f>
        <v/>
      </c>
      <c r="I1892" s="71">
        <f>IF($N1892&lt;&gt;"OK","",$D1892*$H1892)</f>
        <v/>
      </c>
      <c r="J1892" s="71">
        <f>IF($N1892&lt;&gt;"OK","",N(INDEX('Menu Pricing'!$F$7:$F$56,$O1892))+N(INDEX('Menu Pricing'!$G$7:$G$56,$O1892))+N(INDEX('Menu Pricing'!$J$7:$J$56,$O1892)))</f>
        <v/>
      </c>
      <c r="K1892" s="71">
        <f>IF($N1892&lt;&gt;"OK","",$D1892*$J1892)</f>
        <v/>
      </c>
      <c r="L1892" s="71">
        <f>IF($N1892&lt;&gt;"OK","",$I1892-$K1892)</f>
        <v/>
      </c>
      <c r="M1892" s="71">
        <f>IF($N1892&lt;&gt;"OK","",$D1892*N(INDEX('Menu Pricing'!$F$7:$F$56,$O1892)))</f>
        <v/>
      </c>
      <c r="N1892" s="80">
        <f>IF(AND($B1892="",$C1892="",$D1892=""),"",IF(NOT(ISNUMBER($B1892)),"Enter a valid date",IF($C1892="","Pick a menu item",IF($O1892="","Item not on Menu Pricing",IF(N($D1892)&lt;=0,"Qty must be above 0",IF($H1892="","No price on menu","OK"))))))</f>
        <v/>
      </c>
      <c r="O1892" s="13">
        <f>IF($C1892="","",IFERROR(MATCH($C1892,'Menu Pricing'!$B$7:$B$56,0),""))</f>
        <v/>
      </c>
    </row>
    <row r="1893" ht="17" customHeight="1">
      <c r="B1893" s="66" t="n"/>
      <c r="C1893" s="60" t="n"/>
      <c r="D1893" s="86" t="n"/>
      <c r="E1893" s="63" t="n"/>
      <c r="F1893" s="60" t="n"/>
      <c r="G1893" s="60" t="n"/>
      <c r="H1893" s="71">
        <f>IF(OR($C1893="",$D1893=""),"",IF(ISNUMBER($E1893),$E1893,IF($O1893="","",IF(N(INDEX('Menu Pricing'!$O$7:$O$56,$O1893))&gt;0,INDEX('Menu Pricing'!$O$7:$O$56,$O1893),""))))</f>
        <v/>
      </c>
      <c r="I1893" s="71">
        <f>IF($N1893&lt;&gt;"OK","",$D1893*$H1893)</f>
        <v/>
      </c>
      <c r="J1893" s="71">
        <f>IF($N1893&lt;&gt;"OK","",N(INDEX('Menu Pricing'!$F$7:$F$56,$O1893))+N(INDEX('Menu Pricing'!$G$7:$G$56,$O1893))+N(INDEX('Menu Pricing'!$J$7:$J$56,$O1893)))</f>
        <v/>
      </c>
      <c r="K1893" s="71">
        <f>IF($N1893&lt;&gt;"OK","",$D1893*$J1893)</f>
        <v/>
      </c>
      <c r="L1893" s="71">
        <f>IF($N1893&lt;&gt;"OK","",$I1893-$K1893)</f>
        <v/>
      </c>
      <c r="M1893" s="71">
        <f>IF($N1893&lt;&gt;"OK","",$D1893*N(INDEX('Menu Pricing'!$F$7:$F$56,$O1893)))</f>
        <v/>
      </c>
      <c r="N1893" s="80">
        <f>IF(AND($B1893="",$C1893="",$D1893=""),"",IF(NOT(ISNUMBER($B1893)),"Enter a valid date",IF($C1893="","Pick a menu item",IF($O1893="","Item not on Menu Pricing",IF(N($D1893)&lt;=0,"Qty must be above 0",IF($H1893="","No price on menu","OK"))))))</f>
        <v/>
      </c>
      <c r="O1893" s="13">
        <f>IF($C1893="","",IFERROR(MATCH($C1893,'Menu Pricing'!$B$7:$B$56,0),""))</f>
        <v/>
      </c>
    </row>
    <row r="1894" ht="17" customHeight="1">
      <c r="B1894" s="66" t="n"/>
      <c r="C1894" s="60" t="n"/>
      <c r="D1894" s="86" t="n"/>
      <c r="E1894" s="63" t="n"/>
      <c r="F1894" s="60" t="n"/>
      <c r="G1894" s="60" t="n"/>
      <c r="H1894" s="71">
        <f>IF(OR($C1894="",$D1894=""),"",IF(ISNUMBER($E1894),$E1894,IF($O1894="","",IF(N(INDEX('Menu Pricing'!$O$7:$O$56,$O1894))&gt;0,INDEX('Menu Pricing'!$O$7:$O$56,$O1894),""))))</f>
        <v/>
      </c>
      <c r="I1894" s="71">
        <f>IF($N1894&lt;&gt;"OK","",$D1894*$H1894)</f>
        <v/>
      </c>
      <c r="J1894" s="71">
        <f>IF($N1894&lt;&gt;"OK","",N(INDEX('Menu Pricing'!$F$7:$F$56,$O1894))+N(INDEX('Menu Pricing'!$G$7:$G$56,$O1894))+N(INDEX('Menu Pricing'!$J$7:$J$56,$O1894)))</f>
        <v/>
      </c>
      <c r="K1894" s="71">
        <f>IF($N1894&lt;&gt;"OK","",$D1894*$J1894)</f>
        <v/>
      </c>
      <c r="L1894" s="71">
        <f>IF($N1894&lt;&gt;"OK","",$I1894-$K1894)</f>
        <v/>
      </c>
      <c r="M1894" s="71">
        <f>IF($N1894&lt;&gt;"OK","",$D1894*N(INDEX('Menu Pricing'!$F$7:$F$56,$O1894)))</f>
        <v/>
      </c>
      <c r="N1894" s="80">
        <f>IF(AND($B1894="",$C1894="",$D1894=""),"",IF(NOT(ISNUMBER($B1894)),"Enter a valid date",IF($C1894="","Pick a menu item",IF($O1894="","Item not on Menu Pricing",IF(N($D1894)&lt;=0,"Qty must be above 0",IF($H1894="","No price on menu","OK"))))))</f>
        <v/>
      </c>
      <c r="O1894" s="13">
        <f>IF($C1894="","",IFERROR(MATCH($C1894,'Menu Pricing'!$B$7:$B$56,0),""))</f>
        <v/>
      </c>
    </row>
    <row r="1895" ht="17" customHeight="1">
      <c r="B1895" s="66" t="n"/>
      <c r="C1895" s="60" t="n"/>
      <c r="D1895" s="86" t="n"/>
      <c r="E1895" s="63" t="n"/>
      <c r="F1895" s="60" t="n"/>
      <c r="G1895" s="60" t="n"/>
      <c r="H1895" s="71">
        <f>IF(OR($C1895="",$D1895=""),"",IF(ISNUMBER($E1895),$E1895,IF($O1895="","",IF(N(INDEX('Menu Pricing'!$O$7:$O$56,$O1895))&gt;0,INDEX('Menu Pricing'!$O$7:$O$56,$O1895),""))))</f>
        <v/>
      </c>
      <c r="I1895" s="71">
        <f>IF($N1895&lt;&gt;"OK","",$D1895*$H1895)</f>
        <v/>
      </c>
      <c r="J1895" s="71">
        <f>IF($N1895&lt;&gt;"OK","",N(INDEX('Menu Pricing'!$F$7:$F$56,$O1895))+N(INDEX('Menu Pricing'!$G$7:$G$56,$O1895))+N(INDEX('Menu Pricing'!$J$7:$J$56,$O1895)))</f>
        <v/>
      </c>
      <c r="K1895" s="71">
        <f>IF($N1895&lt;&gt;"OK","",$D1895*$J1895)</f>
        <v/>
      </c>
      <c r="L1895" s="71">
        <f>IF($N1895&lt;&gt;"OK","",$I1895-$K1895)</f>
        <v/>
      </c>
      <c r="M1895" s="71">
        <f>IF($N1895&lt;&gt;"OK","",$D1895*N(INDEX('Menu Pricing'!$F$7:$F$56,$O1895)))</f>
        <v/>
      </c>
      <c r="N1895" s="80">
        <f>IF(AND($B1895="",$C1895="",$D1895=""),"",IF(NOT(ISNUMBER($B1895)),"Enter a valid date",IF($C1895="","Pick a menu item",IF($O1895="","Item not on Menu Pricing",IF(N($D1895)&lt;=0,"Qty must be above 0",IF($H1895="","No price on menu","OK"))))))</f>
        <v/>
      </c>
      <c r="O1895" s="13">
        <f>IF($C1895="","",IFERROR(MATCH($C1895,'Menu Pricing'!$B$7:$B$56,0),""))</f>
        <v/>
      </c>
    </row>
    <row r="1896" ht="17" customHeight="1">
      <c r="B1896" s="66" t="n"/>
      <c r="C1896" s="60" t="n"/>
      <c r="D1896" s="86" t="n"/>
      <c r="E1896" s="63" t="n"/>
      <c r="F1896" s="60" t="n"/>
      <c r="G1896" s="60" t="n"/>
      <c r="H1896" s="71">
        <f>IF(OR($C1896="",$D1896=""),"",IF(ISNUMBER($E1896),$E1896,IF($O1896="","",IF(N(INDEX('Menu Pricing'!$O$7:$O$56,$O1896))&gt;0,INDEX('Menu Pricing'!$O$7:$O$56,$O1896),""))))</f>
        <v/>
      </c>
      <c r="I1896" s="71">
        <f>IF($N1896&lt;&gt;"OK","",$D1896*$H1896)</f>
        <v/>
      </c>
      <c r="J1896" s="71">
        <f>IF($N1896&lt;&gt;"OK","",N(INDEX('Menu Pricing'!$F$7:$F$56,$O1896))+N(INDEX('Menu Pricing'!$G$7:$G$56,$O1896))+N(INDEX('Menu Pricing'!$J$7:$J$56,$O1896)))</f>
        <v/>
      </c>
      <c r="K1896" s="71">
        <f>IF($N1896&lt;&gt;"OK","",$D1896*$J1896)</f>
        <v/>
      </c>
      <c r="L1896" s="71">
        <f>IF($N1896&lt;&gt;"OK","",$I1896-$K1896)</f>
        <v/>
      </c>
      <c r="M1896" s="71">
        <f>IF($N1896&lt;&gt;"OK","",$D1896*N(INDEX('Menu Pricing'!$F$7:$F$56,$O1896)))</f>
        <v/>
      </c>
      <c r="N1896" s="80">
        <f>IF(AND($B1896="",$C1896="",$D1896=""),"",IF(NOT(ISNUMBER($B1896)),"Enter a valid date",IF($C1896="","Pick a menu item",IF($O1896="","Item not on Menu Pricing",IF(N($D1896)&lt;=0,"Qty must be above 0",IF($H1896="","No price on menu","OK"))))))</f>
        <v/>
      </c>
      <c r="O1896" s="13">
        <f>IF($C1896="","",IFERROR(MATCH($C1896,'Menu Pricing'!$B$7:$B$56,0),""))</f>
        <v/>
      </c>
    </row>
    <row r="1897" ht="17" customHeight="1">
      <c r="B1897" s="66" t="n"/>
      <c r="C1897" s="60" t="n"/>
      <c r="D1897" s="86" t="n"/>
      <c r="E1897" s="63" t="n"/>
      <c r="F1897" s="60" t="n"/>
      <c r="G1897" s="60" t="n"/>
      <c r="H1897" s="71">
        <f>IF(OR($C1897="",$D1897=""),"",IF(ISNUMBER($E1897),$E1897,IF($O1897="","",IF(N(INDEX('Menu Pricing'!$O$7:$O$56,$O1897))&gt;0,INDEX('Menu Pricing'!$O$7:$O$56,$O1897),""))))</f>
        <v/>
      </c>
      <c r="I1897" s="71">
        <f>IF($N1897&lt;&gt;"OK","",$D1897*$H1897)</f>
        <v/>
      </c>
      <c r="J1897" s="71">
        <f>IF($N1897&lt;&gt;"OK","",N(INDEX('Menu Pricing'!$F$7:$F$56,$O1897))+N(INDEX('Menu Pricing'!$G$7:$G$56,$O1897))+N(INDEX('Menu Pricing'!$J$7:$J$56,$O1897)))</f>
        <v/>
      </c>
      <c r="K1897" s="71">
        <f>IF($N1897&lt;&gt;"OK","",$D1897*$J1897)</f>
        <v/>
      </c>
      <c r="L1897" s="71">
        <f>IF($N1897&lt;&gt;"OK","",$I1897-$K1897)</f>
        <v/>
      </c>
      <c r="M1897" s="71">
        <f>IF($N1897&lt;&gt;"OK","",$D1897*N(INDEX('Menu Pricing'!$F$7:$F$56,$O1897)))</f>
        <v/>
      </c>
      <c r="N1897" s="80">
        <f>IF(AND($B1897="",$C1897="",$D1897=""),"",IF(NOT(ISNUMBER($B1897)),"Enter a valid date",IF($C1897="","Pick a menu item",IF($O1897="","Item not on Menu Pricing",IF(N($D1897)&lt;=0,"Qty must be above 0",IF($H1897="","No price on menu","OK"))))))</f>
        <v/>
      </c>
      <c r="O1897" s="13">
        <f>IF($C1897="","",IFERROR(MATCH($C1897,'Menu Pricing'!$B$7:$B$56,0),""))</f>
        <v/>
      </c>
    </row>
    <row r="1898" ht="17" customHeight="1">
      <c r="B1898" s="66" t="n"/>
      <c r="C1898" s="60" t="n"/>
      <c r="D1898" s="86" t="n"/>
      <c r="E1898" s="63" t="n"/>
      <c r="F1898" s="60" t="n"/>
      <c r="G1898" s="60" t="n"/>
      <c r="H1898" s="71">
        <f>IF(OR($C1898="",$D1898=""),"",IF(ISNUMBER($E1898),$E1898,IF($O1898="","",IF(N(INDEX('Menu Pricing'!$O$7:$O$56,$O1898))&gt;0,INDEX('Menu Pricing'!$O$7:$O$56,$O1898),""))))</f>
        <v/>
      </c>
      <c r="I1898" s="71">
        <f>IF($N1898&lt;&gt;"OK","",$D1898*$H1898)</f>
        <v/>
      </c>
      <c r="J1898" s="71">
        <f>IF($N1898&lt;&gt;"OK","",N(INDEX('Menu Pricing'!$F$7:$F$56,$O1898))+N(INDEX('Menu Pricing'!$G$7:$G$56,$O1898))+N(INDEX('Menu Pricing'!$J$7:$J$56,$O1898)))</f>
        <v/>
      </c>
      <c r="K1898" s="71">
        <f>IF($N1898&lt;&gt;"OK","",$D1898*$J1898)</f>
        <v/>
      </c>
      <c r="L1898" s="71">
        <f>IF($N1898&lt;&gt;"OK","",$I1898-$K1898)</f>
        <v/>
      </c>
      <c r="M1898" s="71">
        <f>IF($N1898&lt;&gt;"OK","",$D1898*N(INDEX('Menu Pricing'!$F$7:$F$56,$O1898)))</f>
        <v/>
      </c>
      <c r="N1898" s="80">
        <f>IF(AND($B1898="",$C1898="",$D1898=""),"",IF(NOT(ISNUMBER($B1898)),"Enter a valid date",IF($C1898="","Pick a menu item",IF($O1898="","Item not on Menu Pricing",IF(N($D1898)&lt;=0,"Qty must be above 0",IF($H1898="","No price on menu","OK"))))))</f>
        <v/>
      </c>
      <c r="O1898" s="13">
        <f>IF($C1898="","",IFERROR(MATCH($C1898,'Menu Pricing'!$B$7:$B$56,0),""))</f>
        <v/>
      </c>
    </row>
    <row r="1899" ht="17" customHeight="1">
      <c r="B1899" s="66" t="n"/>
      <c r="C1899" s="60" t="n"/>
      <c r="D1899" s="86" t="n"/>
      <c r="E1899" s="63" t="n"/>
      <c r="F1899" s="60" t="n"/>
      <c r="G1899" s="60" t="n"/>
      <c r="H1899" s="71">
        <f>IF(OR($C1899="",$D1899=""),"",IF(ISNUMBER($E1899),$E1899,IF($O1899="","",IF(N(INDEX('Menu Pricing'!$O$7:$O$56,$O1899))&gt;0,INDEX('Menu Pricing'!$O$7:$O$56,$O1899),""))))</f>
        <v/>
      </c>
      <c r="I1899" s="71">
        <f>IF($N1899&lt;&gt;"OK","",$D1899*$H1899)</f>
        <v/>
      </c>
      <c r="J1899" s="71">
        <f>IF($N1899&lt;&gt;"OK","",N(INDEX('Menu Pricing'!$F$7:$F$56,$O1899))+N(INDEX('Menu Pricing'!$G$7:$G$56,$O1899))+N(INDEX('Menu Pricing'!$J$7:$J$56,$O1899)))</f>
        <v/>
      </c>
      <c r="K1899" s="71">
        <f>IF($N1899&lt;&gt;"OK","",$D1899*$J1899)</f>
        <v/>
      </c>
      <c r="L1899" s="71">
        <f>IF($N1899&lt;&gt;"OK","",$I1899-$K1899)</f>
        <v/>
      </c>
      <c r="M1899" s="71">
        <f>IF($N1899&lt;&gt;"OK","",$D1899*N(INDEX('Menu Pricing'!$F$7:$F$56,$O1899)))</f>
        <v/>
      </c>
      <c r="N1899" s="80">
        <f>IF(AND($B1899="",$C1899="",$D1899=""),"",IF(NOT(ISNUMBER($B1899)),"Enter a valid date",IF($C1899="","Pick a menu item",IF($O1899="","Item not on Menu Pricing",IF(N($D1899)&lt;=0,"Qty must be above 0",IF($H1899="","No price on menu","OK"))))))</f>
        <v/>
      </c>
      <c r="O1899" s="13">
        <f>IF($C1899="","",IFERROR(MATCH($C1899,'Menu Pricing'!$B$7:$B$56,0),""))</f>
        <v/>
      </c>
    </row>
    <row r="1900" ht="17" customHeight="1">
      <c r="B1900" s="66" t="n"/>
      <c r="C1900" s="60" t="n"/>
      <c r="D1900" s="86" t="n"/>
      <c r="E1900" s="63" t="n"/>
      <c r="F1900" s="60" t="n"/>
      <c r="G1900" s="60" t="n"/>
      <c r="H1900" s="71">
        <f>IF(OR($C1900="",$D1900=""),"",IF(ISNUMBER($E1900),$E1900,IF($O1900="","",IF(N(INDEX('Menu Pricing'!$O$7:$O$56,$O1900))&gt;0,INDEX('Menu Pricing'!$O$7:$O$56,$O1900),""))))</f>
        <v/>
      </c>
      <c r="I1900" s="71">
        <f>IF($N1900&lt;&gt;"OK","",$D1900*$H1900)</f>
        <v/>
      </c>
      <c r="J1900" s="71">
        <f>IF($N1900&lt;&gt;"OK","",N(INDEX('Menu Pricing'!$F$7:$F$56,$O1900))+N(INDEX('Menu Pricing'!$G$7:$G$56,$O1900))+N(INDEX('Menu Pricing'!$J$7:$J$56,$O1900)))</f>
        <v/>
      </c>
      <c r="K1900" s="71">
        <f>IF($N1900&lt;&gt;"OK","",$D1900*$J1900)</f>
        <v/>
      </c>
      <c r="L1900" s="71">
        <f>IF($N1900&lt;&gt;"OK","",$I1900-$K1900)</f>
        <v/>
      </c>
      <c r="M1900" s="71">
        <f>IF($N1900&lt;&gt;"OK","",$D1900*N(INDEX('Menu Pricing'!$F$7:$F$56,$O1900)))</f>
        <v/>
      </c>
      <c r="N1900" s="80">
        <f>IF(AND($B1900="",$C1900="",$D1900=""),"",IF(NOT(ISNUMBER($B1900)),"Enter a valid date",IF($C1900="","Pick a menu item",IF($O1900="","Item not on Menu Pricing",IF(N($D1900)&lt;=0,"Qty must be above 0",IF($H1900="","No price on menu","OK"))))))</f>
        <v/>
      </c>
      <c r="O1900" s="13">
        <f>IF($C1900="","",IFERROR(MATCH($C1900,'Menu Pricing'!$B$7:$B$56,0),""))</f>
        <v/>
      </c>
    </row>
    <row r="1901" ht="17" customHeight="1">
      <c r="B1901" s="66" t="n"/>
      <c r="C1901" s="60" t="n"/>
      <c r="D1901" s="86" t="n"/>
      <c r="E1901" s="63" t="n"/>
      <c r="F1901" s="60" t="n"/>
      <c r="G1901" s="60" t="n"/>
      <c r="H1901" s="71">
        <f>IF(OR($C1901="",$D1901=""),"",IF(ISNUMBER($E1901),$E1901,IF($O1901="","",IF(N(INDEX('Menu Pricing'!$O$7:$O$56,$O1901))&gt;0,INDEX('Menu Pricing'!$O$7:$O$56,$O1901),""))))</f>
        <v/>
      </c>
      <c r="I1901" s="71">
        <f>IF($N1901&lt;&gt;"OK","",$D1901*$H1901)</f>
        <v/>
      </c>
      <c r="J1901" s="71">
        <f>IF($N1901&lt;&gt;"OK","",N(INDEX('Menu Pricing'!$F$7:$F$56,$O1901))+N(INDEX('Menu Pricing'!$G$7:$G$56,$O1901))+N(INDEX('Menu Pricing'!$J$7:$J$56,$O1901)))</f>
        <v/>
      </c>
      <c r="K1901" s="71">
        <f>IF($N1901&lt;&gt;"OK","",$D1901*$J1901)</f>
        <v/>
      </c>
      <c r="L1901" s="71">
        <f>IF($N1901&lt;&gt;"OK","",$I1901-$K1901)</f>
        <v/>
      </c>
      <c r="M1901" s="71">
        <f>IF($N1901&lt;&gt;"OK","",$D1901*N(INDEX('Menu Pricing'!$F$7:$F$56,$O1901)))</f>
        <v/>
      </c>
      <c r="N1901" s="80">
        <f>IF(AND($B1901="",$C1901="",$D1901=""),"",IF(NOT(ISNUMBER($B1901)),"Enter a valid date",IF($C1901="","Pick a menu item",IF($O1901="","Item not on Menu Pricing",IF(N($D1901)&lt;=0,"Qty must be above 0",IF($H1901="","No price on menu","OK"))))))</f>
        <v/>
      </c>
      <c r="O1901" s="13">
        <f>IF($C1901="","",IFERROR(MATCH($C1901,'Menu Pricing'!$B$7:$B$56,0),""))</f>
        <v/>
      </c>
    </row>
    <row r="1902" ht="17" customHeight="1">
      <c r="B1902" s="66" t="n"/>
      <c r="C1902" s="60" t="n"/>
      <c r="D1902" s="86" t="n"/>
      <c r="E1902" s="63" t="n"/>
      <c r="F1902" s="60" t="n"/>
      <c r="G1902" s="60" t="n"/>
      <c r="H1902" s="71">
        <f>IF(OR($C1902="",$D1902=""),"",IF(ISNUMBER($E1902),$E1902,IF($O1902="","",IF(N(INDEX('Menu Pricing'!$O$7:$O$56,$O1902))&gt;0,INDEX('Menu Pricing'!$O$7:$O$56,$O1902),""))))</f>
        <v/>
      </c>
      <c r="I1902" s="71">
        <f>IF($N1902&lt;&gt;"OK","",$D1902*$H1902)</f>
        <v/>
      </c>
      <c r="J1902" s="71">
        <f>IF($N1902&lt;&gt;"OK","",N(INDEX('Menu Pricing'!$F$7:$F$56,$O1902))+N(INDEX('Menu Pricing'!$G$7:$G$56,$O1902))+N(INDEX('Menu Pricing'!$J$7:$J$56,$O1902)))</f>
        <v/>
      </c>
      <c r="K1902" s="71">
        <f>IF($N1902&lt;&gt;"OK","",$D1902*$J1902)</f>
        <v/>
      </c>
      <c r="L1902" s="71">
        <f>IF($N1902&lt;&gt;"OK","",$I1902-$K1902)</f>
        <v/>
      </c>
      <c r="M1902" s="71">
        <f>IF($N1902&lt;&gt;"OK","",$D1902*N(INDEX('Menu Pricing'!$F$7:$F$56,$O1902)))</f>
        <v/>
      </c>
      <c r="N1902" s="80">
        <f>IF(AND($B1902="",$C1902="",$D1902=""),"",IF(NOT(ISNUMBER($B1902)),"Enter a valid date",IF($C1902="","Pick a menu item",IF($O1902="","Item not on Menu Pricing",IF(N($D1902)&lt;=0,"Qty must be above 0",IF($H1902="","No price on menu","OK"))))))</f>
        <v/>
      </c>
      <c r="O1902" s="13">
        <f>IF($C1902="","",IFERROR(MATCH($C1902,'Menu Pricing'!$B$7:$B$56,0),""))</f>
        <v/>
      </c>
    </row>
    <row r="1903" ht="17" customHeight="1">
      <c r="B1903" s="66" t="n"/>
      <c r="C1903" s="60" t="n"/>
      <c r="D1903" s="86" t="n"/>
      <c r="E1903" s="63" t="n"/>
      <c r="F1903" s="60" t="n"/>
      <c r="G1903" s="60" t="n"/>
      <c r="H1903" s="71">
        <f>IF(OR($C1903="",$D1903=""),"",IF(ISNUMBER($E1903),$E1903,IF($O1903="","",IF(N(INDEX('Menu Pricing'!$O$7:$O$56,$O1903))&gt;0,INDEX('Menu Pricing'!$O$7:$O$56,$O1903),""))))</f>
        <v/>
      </c>
      <c r="I1903" s="71">
        <f>IF($N1903&lt;&gt;"OK","",$D1903*$H1903)</f>
        <v/>
      </c>
      <c r="J1903" s="71">
        <f>IF($N1903&lt;&gt;"OK","",N(INDEX('Menu Pricing'!$F$7:$F$56,$O1903))+N(INDEX('Menu Pricing'!$G$7:$G$56,$O1903))+N(INDEX('Menu Pricing'!$J$7:$J$56,$O1903)))</f>
        <v/>
      </c>
      <c r="K1903" s="71">
        <f>IF($N1903&lt;&gt;"OK","",$D1903*$J1903)</f>
        <v/>
      </c>
      <c r="L1903" s="71">
        <f>IF($N1903&lt;&gt;"OK","",$I1903-$K1903)</f>
        <v/>
      </c>
      <c r="M1903" s="71">
        <f>IF($N1903&lt;&gt;"OK","",$D1903*N(INDEX('Menu Pricing'!$F$7:$F$56,$O1903)))</f>
        <v/>
      </c>
      <c r="N1903" s="80">
        <f>IF(AND($B1903="",$C1903="",$D1903=""),"",IF(NOT(ISNUMBER($B1903)),"Enter a valid date",IF($C1903="","Pick a menu item",IF($O1903="","Item not on Menu Pricing",IF(N($D1903)&lt;=0,"Qty must be above 0",IF($H1903="","No price on menu","OK"))))))</f>
        <v/>
      </c>
      <c r="O1903" s="13">
        <f>IF($C1903="","",IFERROR(MATCH($C1903,'Menu Pricing'!$B$7:$B$56,0),""))</f>
        <v/>
      </c>
    </row>
    <row r="1904" ht="17" customHeight="1">
      <c r="B1904" s="66" t="n"/>
      <c r="C1904" s="60" t="n"/>
      <c r="D1904" s="86" t="n"/>
      <c r="E1904" s="63" t="n"/>
      <c r="F1904" s="60" t="n"/>
      <c r="G1904" s="60" t="n"/>
      <c r="H1904" s="71">
        <f>IF(OR($C1904="",$D1904=""),"",IF(ISNUMBER($E1904),$E1904,IF($O1904="","",IF(N(INDEX('Menu Pricing'!$O$7:$O$56,$O1904))&gt;0,INDEX('Menu Pricing'!$O$7:$O$56,$O1904),""))))</f>
        <v/>
      </c>
      <c r="I1904" s="71">
        <f>IF($N1904&lt;&gt;"OK","",$D1904*$H1904)</f>
        <v/>
      </c>
      <c r="J1904" s="71">
        <f>IF($N1904&lt;&gt;"OK","",N(INDEX('Menu Pricing'!$F$7:$F$56,$O1904))+N(INDEX('Menu Pricing'!$G$7:$G$56,$O1904))+N(INDEX('Menu Pricing'!$J$7:$J$56,$O1904)))</f>
        <v/>
      </c>
      <c r="K1904" s="71">
        <f>IF($N1904&lt;&gt;"OK","",$D1904*$J1904)</f>
        <v/>
      </c>
      <c r="L1904" s="71">
        <f>IF($N1904&lt;&gt;"OK","",$I1904-$K1904)</f>
        <v/>
      </c>
      <c r="M1904" s="71">
        <f>IF($N1904&lt;&gt;"OK","",$D1904*N(INDEX('Menu Pricing'!$F$7:$F$56,$O1904)))</f>
        <v/>
      </c>
      <c r="N1904" s="80">
        <f>IF(AND($B1904="",$C1904="",$D1904=""),"",IF(NOT(ISNUMBER($B1904)),"Enter a valid date",IF($C1904="","Pick a menu item",IF($O1904="","Item not on Menu Pricing",IF(N($D1904)&lt;=0,"Qty must be above 0",IF($H1904="","No price on menu","OK"))))))</f>
        <v/>
      </c>
      <c r="O1904" s="13">
        <f>IF($C1904="","",IFERROR(MATCH($C1904,'Menu Pricing'!$B$7:$B$56,0),""))</f>
        <v/>
      </c>
    </row>
    <row r="1905" ht="17" customHeight="1">
      <c r="B1905" s="66" t="n"/>
      <c r="C1905" s="60" t="n"/>
      <c r="D1905" s="86" t="n"/>
      <c r="E1905" s="63" t="n"/>
      <c r="F1905" s="60" t="n"/>
      <c r="G1905" s="60" t="n"/>
      <c r="H1905" s="71">
        <f>IF(OR($C1905="",$D1905=""),"",IF(ISNUMBER($E1905),$E1905,IF($O1905="","",IF(N(INDEX('Menu Pricing'!$O$7:$O$56,$O1905))&gt;0,INDEX('Menu Pricing'!$O$7:$O$56,$O1905),""))))</f>
        <v/>
      </c>
      <c r="I1905" s="71">
        <f>IF($N1905&lt;&gt;"OK","",$D1905*$H1905)</f>
        <v/>
      </c>
      <c r="J1905" s="71">
        <f>IF($N1905&lt;&gt;"OK","",N(INDEX('Menu Pricing'!$F$7:$F$56,$O1905))+N(INDEX('Menu Pricing'!$G$7:$G$56,$O1905))+N(INDEX('Menu Pricing'!$J$7:$J$56,$O1905)))</f>
        <v/>
      </c>
      <c r="K1905" s="71">
        <f>IF($N1905&lt;&gt;"OK","",$D1905*$J1905)</f>
        <v/>
      </c>
      <c r="L1905" s="71">
        <f>IF($N1905&lt;&gt;"OK","",$I1905-$K1905)</f>
        <v/>
      </c>
      <c r="M1905" s="71">
        <f>IF($N1905&lt;&gt;"OK","",$D1905*N(INDEX('Menu Pricing'!$F$7:$F$56,$O1905)))</f>
        <v/>
      </c>
      <c r="N1905" s="80">
        <f>IF(AND($B1905="",$C1905="",$D1905=""),"",IF(NOT(ISNUMBER($B1905)),"Enter a valid date",IF($C1905="","Pick a menu item",IF($O1905="","Item not on Menu Pricing",IF(N($D1905)&lt;=0,"Qty must be above 0",IF($H1905="","No price on menu","OK"))))))</f>
        <v/>
      </c>
      <c r="O1905" s="13">
        <f>IF($C1905="","",IFERROR(MATCH($C1905,'Menu Pricing'!$B$7:$B$56,0),""))</f>
        <v/>
      </c>
    </row>
    <row r="1906" ht="17" customHeight="1">
      <c r="B1906" s="66" t="n"/>
      <c r="C1906" s="60" t="n"/>
      <c r="D1906" s="86" t="n"/>
      <c r="E1906" s="63" t="n"/>
      <c r="F1906" s="60" t="n"/>
      <c r="G1906" s="60" t="n"/>
      <c r="H1906" s="71">
        <f>IF(OR($C1906="",$D1906=""),"",IF(ISNUMBER($E1906),$E1906,IF($O1906="","",IF(N(INDEX('Menu Pricing'!$O$7:$O$56,$O1906))&gt;0,INDEX('Menu Pricing'!$O$7:$O$56,$O1906),""))))</f>
        <v/>
      </c>
      <c r="I1906" s="71">
        <f>IF($N1906&lt;&gt;"OK","",$D1906*$H1906)</f>
        <v/>
      </c>
      <c r="J1906" s="71">
        <f>IF($N1906&lt;&gt;"OK","",N(INDEX('Menu Pricing'!$F$7:$F$56,$O1906))+N(INDEX('Menu Pricing'!$G$7:$G$56,$O1906))+N(INDEX('Menu Pricing'!$J$7:$J$56,$O1906)))</f>
        <v/>
      </c>
      <c r="K1906" s="71">
        <f>IF($N1906&lt;&gt;"OK","",$D1906*$J1906)</f>
        <v/>
      </c>
      <c r="L1906" s="71">
        <f>IF($N1906&lt;&gt;"OK","",$I1906-$K1906)</f>
        <v/>
      </c>
      <c r="M1906" s="71">
        <f>IF($N1906&lt;&gt;"OK","",$D1906*N(INDEX('Menu Pricing'!$F$7:$F$56,$O1906)))</f>
        <v/>
      </c>
      <c r="N1906" s="80">
        <f>IF(AND($B1906="",$C1906="",$D1906=""),"",IF(NOT(ISNUMBER($B1906)),"Enter a valid date",IF($C1906="","Pick a menu item",IF($O1906="","Item not on Menu Pricing",IF(N($D1906)&lt;=0,"Qty must be above 0",IF($H1906="","No price on menu","OK"))))))</f>
        <v/>
      </c>
      <c r="O1906" s="13">
        <f>IF($C1906="","",IFERROR(MATCH($C1906,'Menu Pricing'!$B$7:$B$56,0),""))</f>
        <v/>
      </c>
    </row>
    <row r="1907" ht="17" customHeight="1">
      <c r="B1907" s="66" t="n"/>
      <c r="C1907" s="60" t="n"/>
      <c r="D1907" s="86" t="n"/>
      <c r="E1907" s="63" t="n"/>
      <c r="F1907" s="60" t="n"/>
      <c r="G1907" s="60" t="n"/>
      <c r="H1907" s="71">
        <f>IF(OR($C1907="",$D1907=""),"",IF(ISNUMBER($E1907),$E1907,IF($O1907="","",IF(N(INDEX('Menu Pricing'!$O$7:$O$56,$O1907))&gt;0,INDEX('Menu Pricing'!$O$7:$O$56,$O1907),""))))</f>
        <v/>
      </c>
      <c r="I1907" s="71">
        <f>IF($N1907&lt;&gt;"OK","",$D1907*$H1907)</f>
        <v/>
      </c>
      <c r="J1907" s="71">
        <f>IF($N1907&lt;&gt;"OK","",N(INDEX('Menu Pricing'!$F$7:$F$56,$O1907))+N(INDEX('Menu Pricing'!$G$7:$G$56,$O1907))+N(INDEX('Menu Pricing'!$J$7:$J$56,$O1907)))</f>
        <v/>
      </c>
      <c r="K1907" s="71">
        <f>IF($N1907&lt;&gt;"OK","",$D1907*$J1907)</f>
        <v/>
      </c>
      <c r="L1907" s="71">
        <f>IF($N1907&lt;&gt;"OK","",$I1907-$K1907)</f>
        <v/>
      </c>
      <c r="M1907" s="71">
        <f>IF($N1907&lt;&gt;"OK","",$D1907*N(INDEX('Menu Pricing'!$F$7:$F$56,$O1907)))</f>
        <v/>
      </c>
      <c r="N1907" s="80">
        <f>IF(AND($B1907="",$C1907="",$D1907=""),"",IF(NOT(ISNUMBER($B1907)),"Enter a valid date",IF($C1907="","Pick a menu item",IF($O1907="","Item not on Menu Pricing",IF(N($D1907)&lt;=0,"Qty must be above 0",IF($H1907="","No price on menu","OK"))))))</f>
        <v/>
      </c>
      <c r="O1907" s="13">
        <f>IF($C1907="","",IFERROR(MATCH($C1907,'Menu Pricing'!$B$7:$B$56,0),""))</f>
        <v/>
      </c>
    </row>
    <row r="1908" ht="17" customHeight="1">
      <c r="B1908" s="66" t="n"/>
      <c r="C1908" s="60" t="n"/>
      <c r="D1908" s="86" t="n"/>
      <c r="E1908" s="63" t="n"/>
      <c r="F1908" s="60" t="n"/>
      <c r="G1908" s="60" t="n"/>
      <c r="H1908" s="71">
        <f>IF(OR($C1908="",$D1908=""),"",IF(ISNUMBER($E1908),$E1908,IF($O1908="","",IF(N(INDEX('Menu Pricing'!$O$7:$O$56,$O1908))&gt;0,INDEX('Menu Pricing'!$O$7:$O$56,$O1908),""))))</f>
        <v/>
      </c>
      <c r="I1908" s="71">
        <f>IF($N1908&lt;&gt;"OK","",$D1908*$H1908)</f>
        <v/>
      </c>
      <c r="J1908" s="71">
        <f>IF($N1908&lt;&gt;"OK","",N(INDEX('Menu Pricing'!$F$7:$F$56,$O1908))+N(INDEX('Menu Pricing'!$G$7:$G$56,$O1908))+N(INDEX('Menu Pricing'!$J$7:$J$56,$O1908)))</f>
        <v/>
      </c>
      <c r="K1908" s="71">
        <f>IF($N1908&lt;&gt;"OK","",$D1908*$J1908)</f>
        <v/>
      </c>
      <c r="L1908" s="71">
        <f>IF($N1908&lt;&gt;"OK","",$I1908-$K1908)</f>
        <v/>
      </c>
      <c r="M1908" s="71">
        <f>IF($N1908&lt;&gt;"OK","",$D1908*N(INDEX('Menu Pricing'!$F$7:$F$56,$O1908)))</f>
        <v/>
      </c>
      <c r="N1908" s="80">
        <f>IF(AND($B1908="",$C1908="",$D1908=""),"",IF(NOT(ISNUMBER($B1908)),"Enter a valid date",IF($C1908="","Pick a menu item",IF($O1908="","Item not on Menu Pricing",IF(N($D1908)&lt;=0,"Qty must be above 0",IF($H1908="","No price on menu","OK"))))))</f>
        <v/>
      </c>
      <c r="O1908" s="13">
        <f>IF($C1908="","",IFERROR(MATCH($C1908,'Menu Pricing'!$B$7:$B$56,0),""))</f>
        <v/>
      </c>
    </row>
    <row r="1909" ht="17" customHeight="1">
      <c r="B1909" s="66" t="n"/>
      <c r="C1909" s="60" t="n"/>
      <c r="D1909" s="86" t="n"/>
      <c r="E1909" s="63" t="n"/>
      <c r="F1909" s="60" t="n"/>
      <c r="G1909" s="60" t="n"/>
      <c r="H1909" s="71">
        <f>IF(OR($C1909="",$D1909=""),"",IF(ISNUMBER($E1909),$E1909,IF($O1909="","",IF(N(INDEX('Menu Pricing'!$O$7:$O$56,$O1909))&gt;0,INDEX('Menu Pricing'!$O$7:$O$56,$O1909),""))))</f>
        <v/>
      </c>
      <c r="I1909" s="71">
        <f>IF($N1909&lt;&gt;"OK","",$D1909*$H1909)</f>
        <v/>
      </c>
      <c r="J1909" s="71">
        <f>IF($N1909&lt;&gt;"OK","",N(INDEX('Menu Pricing'!$F$7:$F$56,$O1909))+N(INDEX('Menu Pricing'!$G$7:$G$56,$O1909))+N(INDEX('Menu Pricing'!$J$7:$J$56,$O1909)))</f>
        <v/>
      </c>
      <c r="K1909" s="71">
        <f>IF($N1909&lt;&gt;"OK","",$D1909*$J1909)</f>
        <v/>
      </c>
      <c r="L1909" s="71">
        <f>IF($N1909&lt;&gt;"OK","",$I1909-$K1909)</f>
        <v/>
      </c>
      <c r="M1909" s="71">
        <f>IF($N1909&lt;&gt;"OK","",$D1909*N(INDEX('Menu Pricing'!$F$7:$F$56,$O1909)))</f>
        <v/>
      </c>
      <c r="N1909" s="80">
        <f>IF(AND($B1909="",$C1909="",$D1909=""),"",IF(NOT(ISNUMBER($B1909)),"Enter a valid date",IF($C1909="","Pick a menu item",IF($O1909="","Item not on Menu Pricing",IF(N($D1909)&lt;=0,"Qty must be above 0",IF($H1909="","No price on menu","OK"))))))</f>
        <v/>
      </c>
      <c r="O1909" s="13">
        <f>IF($C1909="","",IFERROR(MATCH($C1909,'Menu Pricing'!$B$7:$B$56,0),""))</f>
        <v/>
      </c>
    </row>
    <row r="1910" ht="17" customHeight="1">
      <c r="B1910" s="66" t="n"/>
      <c r="C1910" s="60" t="n"/>
      <c r="D1910" s="86" t="n"/>
      <c r="E1910" s="63" t="n"/>
      <c r="F1910" s="60" t="n"/>
      <c r="G1910" s="60" t="n"/>
      <c r="H1910" s="71">
        <f>IF(OR($C1910="",$D1910=""),"",IF(ISNUMBER($E1910),$E1910,IF($O1910="","",IF(N(INDEX('Menu Pricing'!$O$7:$O$56,$O1910))&gt;0,INDEX('Menu Pricing'!$O$7:$O$56,$O1910),""))))</f>
        <v/>
      </c>
      <c r="I1910" s="71">
        <f>IF($N1910&lt;&gt;"OK","",$D1910*$H1910)</f>
        <v/>
      </c>
      <c r="J1910" s="71">
        <f>IF($N1910&lt;&gt;"OK","",N(INDEX('Menu Pricing'!$F$7:$F$56,$O1910))+N(INDEX('Menu Pricing'!$G$7:$G$56,$O1910))+N(INDEX('Menu Pricing'!$J$7:$J$56,$O1910)))</f>
        <v/>
      </c>
      <c r="K1910" s="71">
        <f>IF($N1910&lt;&gt;"OK","",$D1910*$J1910)</f>
        <v/>
      </c>
      <c r="L1910" s="71">
        <f>IF($N1910&lt;&gt;"OK","",$I1910-$K1910)</f>
        <v/>
      </c>
      <c r="M1910" s="71">
        <f>IF($N1910&lt;&gt;"OK","",$D1910*N(INDEX('Menu Pricing'!$F$7:$F$56,$O1910)))</f>
        <v/>
      </c>
      <c r="N1910" s="80">
        <f>IF(AND($B1910="",$C1910="",$D1910=""),"",IF(NOT(ISNUMBER($B1910)),"Enter a valid date",IF($C1910="","Pick a menu item",IF($O1910="","Item not on Menu Pricing",IF(N($D1910)&lt;=0,"Qty must be above 0",IF($H1910="","No price on menu","OK"))))))</f>
        <v/>
      </c>
      <c r="O1910" s="13">
        <f>IF($C1910="","",IFERROR(MATCH($C1910,'Menu Pricing'!$B$7:$B$56,0),""))</f>
        <v/>
      </c>
    </row>
    <row r="1911" ht="17" customHeight="1">
      <c r="B1911" s="66" t="n"/>
      <c r="C1911" s="60" t="n"/>
      <c r="D1911" s="86" t="n"/>
      <c r="E1911" s="63" t="n"/>
      <c r="F1911" s="60" t="n"/>
      <c r="G1911" s="60" t="n"/>
      <c r="H1911" s="71">
        <f>IF(OR($C1911="",$D1911=""),"",IF(ISNUMBER($E1911),$E1911,IF($O1911="","",IF(N(INDEX('Menu Pricing'!$O$7:$O$56,$O1911))&gt;0,INDEX('Menu Pricing'!$O$7:$O$56,$O1911),""))))</f>
        <v/>
      </c>
      <c r="I1911" s="71">
        <f>IF($N1911&lt;&gt;"OK","",$D1911*$H1911)</f>
        <v/>
      </c>
      <c r="J1911" s="71">
        <f>IF($N1911&lt;&gt;"OK","",N(INDEX('Menu Pricing'!$F$7:$F$56,$O1911))+N(INDEX('Menu Pricing'!$G$7:$G$56,$O1911))+N(INDEX('Menu Pricing'!$J$7:$J$56,$O1911)))</f>
        <v/>
      </c>
      <c r="K1911" s="71">
        <f>IF($N1911&lt;&gt;"OK","",$D1911*$J1911)</f>
        <v/>
      </c>
      <c r="L1911" s="71">
        <f>IF($N1911&lt;&gt;"OK","",$I1911-$K1911)</f>
        <v/>
      </c>
      <c r="M1911" s="71">
        <f>IF($N1911&lt;&gt;"OK","",$D1911*N(INDEX('Menu Pricing'!$F$7:$F$56,$O1911)))</f>
        <v/>
      </c>
      <c r="N1911" s="80">
        <f>IF(AND($B1911="",$C1911="",$D1911=""),"",IF(NOT(ISNUMBER($B1911)),"Enter a valid date",IF($C1911="","Pick a menu item",IF($O1911="","Item not on Menu Pricing",IF(N($D1911)&lt;=0,"Qty must be above 0",IF($H1911="","No price on menu","OK"))))))</f>
        <v/>
      </c>
      <c r="O1911" s="13">
        <f>IF($C1911="","",IFERROR(MATCH($C1911,'Menu Pricing'!$B$7:$B$56,0),""))</f>
        <v/>
      </c>
    </row>
    <row r="1912" ht="17" customHeight="1">
      <c r="B1912" s="66" t="n"/>
      <c r="C1912" s="60" t="n"/>
      <c r="D1912" s="86" t="n"/>
      <c r="E1912" s="63" t="n"/>
      <c r="F1912" s="60" t="n"/>
      <c r="G1912" s="60" t="n"/>
      <c r="H1912" s="71">
        <f>IF(OR($C1912="",$D1912=""),"",IF(ISNUMBER($E1912),$E1912,IF($O1912="","",IF(N(INDEX('Menu Pricing'!$O$7:$O$56,$O1912))&gt;0,INDEX('Menu Pricing'!$O$7:$O$56,$O1912),""))))</f>
        <v/>
      </c>
      <c r="I1912" s="71">
        <f>IF($N1912&lt;&gt;"OK","",$D1912*$H1912)</f>
        <v/>
      </c>
      <c r="J1912" s="71">
        <f>IF($N1912&lt;&gt;"OK","",N(INDEX('Menu Pricing'!$F$7:$F$56,$O1912))+N(INDEX('Menu Pricing'!$G$7:$G$56,$O1912))+N(INDEX('Menu Pricing'!$J$7:$J$56,$O1912)))</f>
        <v/>
      </c>
      <c r="K1912" s="71">
        <f>IF($N1912&lt;&gt;"OK","",$D1912*$J1912)</f>
        <v/>
      </c>
      <c r="L1912" s="71">
        <f>IF($N1912&lt;&gt;"OK","",$I1912-$K1912)</f>
        <v/>
      </c>
      <c r="M1912" s="71">
        <f>IF($N1912&lt;&gt;"OK","",$D1912*N(INDEX('Menu Pricing'!$F$7:$F$56,$O1912)))</f>
        <v/>
      </c>
      <c r="N1912" s="80">
        <f>IF(AND($B1912="",$C1912="",$D1912=""),"",IF(NOT(ISNUMBER($B1912)),"Enter a valid date",IF($C1912="","Pick a menu item",IF($O1912="","Item not on Menu Pricing",IF(N($D1912)&lt;=0,"Qty must be above 0",IF($H1912="","No price on menu","OK"))))))</f>
        <v/>
      </c>
      <c r="O1912" s="13">
        <f>IF($C1912="","",IFERROR(MATCH($C1912,'Menu Pricing'!$B$7:$B$56,0),""))</f>
        <v/>
      </c>
    </row>
    <row r="1913" ht="17" customHeight="1">
      <c r="B1913" s="66" t="n"/>
      <c r="C1913" s="60" t="n"/>
      <c r="D1913" s="86" t="n"/>
      <c r="E1913" s="63" t="n"/>
      <c r="F1913" s="60" t="n"/>
      <c r="G1913" s="60" t="n"/>
      <c r="H1913" s="71">
        <f>IF(OR($C1913="",$D1913=""),"",IF(ISNUMBER($E1913),$E1913,IF($O1913="","",IF(N(INDEX('Menu Pricing'!$O$7:$O$56,$O1913))&gt;0,INDEX('Menu Pricing'!$O$7:$O$56,$O1913),""))))</f>
        <v/>
      </c>
      <c r="I1913" s="71">
        <f>IF($N1913&lt;&gt;"OK","",$D1913*$H1913)</f>
        <v/>
      </c>
      <c r="J1913" s="71">
        <f>IF($N1913&lt;&gt;"OK","",N(INDEX('Menu Pricing'!$F$7:$F$56,$O1913))+N(INDEX('Menu Pricing'!$G$7:$G$56,$O1913))+N(INDEX('Menu Pricing'!$J$7:$J$56,$O1913)))</f>
        <v/>
      </c>
      <c r="K1913" s="71">
        <f>IF($N1913&lt;&gt;"OK","",$D1913*$J1913)</f>
        <v/>
      </c>
      <c r="L1913" s="71">
        <f>IF($N1913&lt;&gt;"OK","",$I1913-$K1913)</f>
        <v/>
      </c>
      <c r="M1913" s="71">
        <f>IF($N1913&lt;&gt;"OK","",$D1913*N(INDEX('Menu Pricing'!$F$7:$F$56,$O1913)))</f>
        <v/>
      </c>
      <c r="N1913" s="80">
        <f>IF(AND($B1913="",$C1913="",$D1913=""),"",IF(NOT(ISNUMBER($B1913)),"Enter a valid date",IF($C1913="","Pick a menu item",IF($O1913="","Item not on Menu Pricing",IF(N($D1913)&lt;=0,"Qty must be above 0",IF($H1913="","No price on menu","OK"))))))</f>
        <v/>
      </c>
      <c r="O1913" s="13">
        <f>IF($C1913="","",IFERROR(MATCH($C1913,'Menu Pricing'!$B$7:$B$56,0),""))</f>
        <v/>
      </c>
    </row>
    <row r="1914" ht="17" customHeight="1">
      <c r="B1914" s="66" t="n"/>
      <c r="C1914" s="60" t="n"/>
      <c r="D1914" s="86" t="n"/>
      <c r="E1914" s="63" t="n"/>
      <c r="F1914" s="60" t="n"/>
      <c r="G1914" s="60" t="n"/>
      <c r="H1914" s="71">
        <f>IF(OR($C1914="",$D1914=""),"",IF(ISNUMBER($E1914),$E1914,IF($O1914="","",IF(N(INDEX('Menu Pricing'!$O$7:$O$56,$O1914))&gt;0,INDEX('Menu Pricing'!$O$7:$O$56,$O1914),""))))</f>
        <v/>
      </c>
      <c r="I1914" s="71">
        <f>IF($N1914&lt;&gt;"OK","",$D1914*$H1914)</f>
        <v/>
      </c>
      <c r="J1914" s="71">
        <f>IF($N1914&lt;&gt;"OK","",N(INDEX('Menu Pricing'!$F$7:$F$56,$O1914))+N(INDEX('Menu Pricing'!$G$7:$G$56,$O1914))+N(INDEX('Menu Pricing'!$J$7:$J$56,$O1914)))</f>
        <v/>
      </c>
      <c r="K1914" s="71">
        <f>IF($N1914&lt;&gt;"OK","",$D1914*$J1914)</f>
        <v/>
      </c>
      <c r="L1914" s="71">
        <f>IF($N1914&lt;&gt;"OK","",$I1914-$K1914)</f>
        <v/>
      </c>
      <c r="M1914" s="71">
        <f>IF($N1914&lt;&gt;"OK","",$D1914*N(INDEX('Menu Pricing'!$F$7:$F$56,$O1914)))</f>
        <v/>
      </c>
      <c r="N1914" s="80">
        <f>IF(AND($B1914="",$C1914="",$D1914=""),"",IF(NOT(ISNUMBER($B1914)),"Enter a valid date",IF($C1914="","Pick a menu item",IF($O1914="","Item not on Menu Pricing",IF(N($D1914)&lt;=0,"Qty must be above 0",IF($H1914="","No price on menu","OK"))))))</f>
        <v/>
      </c>
      <c r="O1914" s="13">
        <f>IF($C1914="","",IFERROR(MATCH($C1914,'Menu Pricing'!$B$7:$B$56,0),""))</f>
        <v/>
      </c>
    </row>
    <row r="1915" ht="17" customHeight="1">
      <c r="B1915" s="66" t="n"/>
      <c r="C1915" s="60" t="n"/>
      <c r="D1915" s="86" t="n"/>
      <c r="E1915" s="63" t="n"/>
      <c r="F1915" s="60" t="n"/>
      <c r="G1915" s="60" t="n"/>
      <c r="H1915" s="71">
        <f>IF(OR($C1915="",$D1915=""),"",IF(ISNUMBER($E1915),$E1915,IF($O1915="","",IF(N(INDEX('Menu Pricing'!$O$7:$O$56,$O1915))&gt;0,INDEX('Menu Pricing'!$O$7:$O$56,$O1915),""))))</f>
        <v/>
      </c>
      <c r="I1915" s="71">
        <f>IF($N1915&lt;&gt;"OK","",$D1915*$H1915)</f>
        <v/>
      </c>
      <c r="J1915" s="71">
        <f>IF($N1915&lt;&gt;"OK","",N(INDEX('Menu Pricing'!$F$7:$F$56,$O1915))+N(INDEX('Menu Pricing'!$G$7:$G$56,$O1915))+N(INDEX('Menu Pricing'!$J$7:$J$56,$O1915)))</f>
        <v/>
      </c>
      <c r="K1915" s="71">
        <f>IF($N1915&lt;&gt;"OK","",$D1915*$J1915)</f>
        <v/>
      </c>
      <c r="L1915" s="71">
        <f>IF($N1915&lt;&gt;"OK","",$I1915-$K1915)</f>
        <v/>
      </c>
      <c r="M1915" s="71">
        <f>IF($N1915&lt;&gt;"OK","",$D1915*N(INDEX('Menu Pricing'!$F$7:$F$56,$O1915)))</f>
        <v/>
      </c>
      <c r="N1915" s="80">
        <f>IF(AND($B1915="",$C1915="",$D1915=""),"",IF(NOT(ISNUMBER($B1915)),"Enter a valid date",IF($C1915="","Pick a menu item",IF($O1915="","Item not on Menu Pricing",IF(N($D1915)&lt;=0,"Qty must be above 0",IF($H1915="","No price on menu","OK"))))))</f>
        <v/>
      </c>
      <c r="O1915" s="13">
        <f>IF($C1915="","",IFERROR(MATCH($C1915,'Menu Pricing'!$B$7:$B$56,0),""))</f>
        <v/>
      </c>
    </row>
    <row r="1916" ht="17" customHeight="1">
      <c r="B1916" s="66" t="n"/>
      <c r="C1916" s="60" t="n"/>
      <c r="D1916" s="86" t="n"/>
      <c r="E1916" s="63" t="n"/>
      <c r="F1916" s="60" t="n"/>
      <c r="G1916" s="60" t="n"/>
      <c r="H1916" s="71">
        <f>IF(OR($C1916="",$D1916=""),"",IF(ISNUMBER($E1916),$E1916,IF($O1916="","",IF(N(INDEX('Menu Pricing'!$O$7:$O$56,$O1916))&gt;0,INDEX('Menu Pricing'!$O$7:$O$56,$O1916),""))))</f>
        <v/>
      </c>
      <c r="I1916" s="71">
        <f>IF($N1916&lt;&gt;"OK","",$D1916*$H1916)</f>
        <v/>
      </c>
      <c r="J1916" s="71">
        <f>IF($N1916&lt;&gt;"OK","",N(INDEX('Menu Pricing'!$F$7:$F$56,$O1916))+N(INDEX('Menu Pricing'!$G$7:$G$56,$O1916))+N(INDEX('Menu Pricing'!$J$7:$J$56,$O1916)))</f>
        <v/>
      </c>
      <c r="K1916" s="71">
        <f>IF($N1916&lt;&gt;"OK","",$D1916*$J1916)</f>
        <v/>
      </c>
      <c r="L1916" s="71">
        <f>IF($N1916&lt;&gt;"OK","",$I1916-$K1916)</f>
        <v/>
      </c>
      <c r="M1916" s="71">
        <f>IF($N1916&lt;&gt;"OK","",$D1916*N(INDEX('Menu Pricing'!$F$7:$F$56,$O1916)))</f>
        <v/>
      </c>
      <c r="N1916" s="80">
        <f>IF(AND($B1916="",$C1916="",$D1916=""),"",IF(NOT(ISNUMBER($B1916)),"Enter a valid date",IF($C1916="","Pick a menu item",IF($O1916="","Item not on Menu Pricing",IF(N($D1916)&lt;=0,"Qty must be above 0",IF($H1916="","No price on menu","OK"))))))</f>
        <v/>
      </c>
      <c r="O1916" s="13">
        <f>IF($C1916="","",IFERROR(MATCH($C1916,'Menu Pricing'!$B$7:$B$56,0),""))</f>
        <v/>
      </c>
    </row>
    <row r="1917" ht="17" customHeight="1">
      <c r="B1917" s="66" t="n"/>
      <c r="C1917" s="60" t="n"/>
      <c r="D1917" s="86" t="n"/>
      <c r="E1917" s="63" t="n"/>
      <c r="F1917" s="60" t="n"/>
      <c r="G1917" s="60" t="n"/>
      <c r="H1917" s="71">
        <f>IF(OR($C1917="",$D1917=""),"",IF(ISNUMBER($E1917),$E1917,IF($O1917="","",IF(N(INDEX('Menu Pricing'!$O$7:$O$56,$O1917))&gt;0,INDEX('Menu Pricing'!$O$7:$O$56,$O1917),""))))</f>
        <v/>
      </c>
      <c r="I1917" s="71">
        <f>IF($N1917&lt;&gt;"OK","",$D1917*$H1917)</f>
        <v/>
      </c>
      <c r="J1917" s="71">
        <f>IF($N1917&lt;&gt;"OK","",N(INDEX('Menu Pricing'!$F$7:$F$56,$O1917))+N(INDEX('Menu Pricing'!$G$7:$G$56,$O1917))+N(INDEX('Menu Pricing'!$J$7:$J$56,$O1917)))</f>
        <v/>
      </c>
      <c r="K1917" s="71">
        <f>IF($N1917&lt;&gt;"OK","",$D1917*$J1917)</f>
        <v/>
      </c>
      <c r="L1917" s="71">
        <f>IF($N1917&lt;&gt;"OK","",$I1917-$K1917)</f>
        <v/>
      </c>
      <c r="M1917" s="71">
        <f>IF($N1917&lt;&gt;"OK","",$D1917*N(INDEX('Menu Pricing'!$F$7:$F$56,$O1917)))</f>
        <v/>
      </c>
      <c r="N1917" s="80">
        <f>IF(AND($B1917="",$C1917="",$D1917=""),"",IF(NOT(ISNUMBER($B1917)),"Enter a valid date",IF($C1917="","Pick a menu item",IF($O1917="","Item not on Menu Pricing",IF(N($D1917)&lt;=0,"Qty must be above 0",IF($H1917="","No price on menu","OK"))))))</f>
        <v/>
      </c>
      <c r="O1917" s="13">
        <f>IF($C1917="","",IFERROR(MATCH($C1917,'Menu Pricing'!$B$7:$B$56,0),""))</f>
        <v/>
      </c>
    </row>
    <row r="1918" ht="17" customHeight="1">
      <c r="B1918" s="66" t="n"/>
      <c r="C1918" s="60" t="n"/>
      <c r="D1918" s="86" t="n"/>
      <c r="E1918" s="63" t="n"/>
      <c r="F1918" s="60" t="n"/>
      <c r="G1918" s="60" t="n"/>
      <c r="H1918" s="71">
        <f>IF(OR($C1918="",$D1918=""),"",IF(ISNUMBER($E1918),$E1918,IF($O1918="","",IF(N(INDEX('Menu Pricing'!$O$7:$O$56,$O1918))&gt;0,INDEX('Menu Pricing'!$O$7:$O$56,$O1918),""))))</f>
        <v/>
      </c>
      <c r="I1918" s="71">
        <f>IF($N1918&lt;&gt;"OK","",$D1918*$H1918)</f>
        <v/>
      </c>
      <c r="J1918" s="71">
        <f>IF($N1918&lt;&gt;"OK","",N(INDEX('Menu Pricing'!$F$7:$F$56,$O1918))+N(INDEX('Menu Pricing'!$G$7:$G$56,$O1918))+N(INDEX('Menu Pricing'!$J$7:$J$56,$O1918)))</f>
        <v/>
      </c>
      <c r="K1918" s="71">
        <f>IF($N1918&lt;&gt;"OK","",$D1918*$J1918)</f>
        <v/>
      </c>
      <c r="L1918" s="71">
        <f>IF($N1918&lt;&gt;"OK","",$I1918-$K1918)</f>
        <v/>
      </c>
      <c r="M1918" s="71">
        <f>IF($N1918&lt;&gt;"OK","",$D1918*N(INDEX('Menu Pricing'!$F$7:$F$56,$O1918)))</f>
        <v/>
      </c>
      <c r="N1918" s="80">
        <f>IF(AND($B1918="",$C1918="",$D1918=""),"",IF(NOT(ISNUMBER($B1918)),"Enter a valid date",IF($C1918="","Pick a menu item",IF($O1918="","Item not on Menu Pricing",IF(N($D1918)&lt;=0,"Qty must be above 0",IF($H1918="","No price on menu","OK"))))))</f>
        <v/>
      </c>
      <c r="O1918" s="13">
        <f>IF($C1918="","",IFERROR(MATCH($C1918,'Menu Pricing'!$B$7:$B$56,0),""))</f>
        <v/>
      </c>
    </row>
    <row r="1919" ht="17" customHeight="1">
      <c r="B1919" s="66" t="n"/>
      <c r="C1919" s="60" t="n"/>
      <c r="D1919" s="86" t="n"/>
      <c r="E1919" s="63" t="n"/>
      <c r="F1919" s="60" t="n"/>
      <c r="G1919" s="60" t="n"/>
      <c r="H1919" s="71">
        <f>IF(OR($C1919="",$D1919=""),"",IF(ISNUMBER($E1919),$E1919,IF($O1919="","",IF(N(INDEX('Menu Pricing'!$O$7:$O$56,$O1919))&gt;0,INDEX('Menu Pricing'!$O$7:$O$56,$O1919),""))))</f>
        <v/>
      </c>
      <c r="I1919" s="71">
        <f>IF($N1919&lt;&gt;"OK","",$D1919*$H1919)</f>
        <v/>
      </c>
      <c r="J1919" s="71">
        <f>IF($N1919&lt;&gt;"OK","",N(INDEX('Menu Pricing'!$F$7:$F$56,$O1919))+N(INDEX('Menu Pricing'!$G$7:$G$56,$O1919))+N(INDEX('Menu Pricing'!$J$7:$J$56,$O1919)))</f>
        <v/>
      </c>
      <c r="K1919" s="71">
        <f>IF($N1919&lt;&gt;"OK","",$D1919*$J1919)</f>
        <v/>
      </c>
      <c r="L1919" s="71">
        <f>IF($N1919&lt;&gt;"OK","",$I1919-$K1919)</f>
        <v/>
      </c>
      <c r="M1919" s="71">
        <f>IF($N1919&lt;&gt;"OK","",$D1919*N(INDEX('Menu Pricing'!$F$7:$F$56,$O1919)))</f>
        <v/>
      </c>
      <c r="N1919" s="80">
        <f>IF(AND($B1919="",$C1919="",$D1919=""),"",IF(NOT(ISNUMBER($B1919)),"Enter a valid date",IF($C1919="","Pick a menu item",IF($O1919="","Item not on Menu Pricing",IF(N($D1919)&lt;=0,"Qty must be above 0",IF($H1919="","No price on menu","OK"))))))</f>
        <v/>
      </c>
      <c r="O1919" s="13">
        <f>IF($C1919="","",IFERROR(MATCH($C1919,'Menu Pricing'!$B$7:$B$56,0),""))</f>
        <v/>
      </c>
    </row>
    <row r="1920" ht="17" customHeight="1">
      <c r="B1920" s="66" t="n"/>
      <c r="C1920" s="60" t="n"/>
      <c r="D1920" s="86" t="n"/>
      <c r="E1920" s="63" t="n"/>
      <c r="F1920" s="60" t="n"/>
      <c r="G1920" s="60" t="n"/>
      <c r="H1920" s="71">
        <f>IF(OR($C1920="",$D1920=""),"",IF(ISNUMBER($E1920),$E1920,IF($O1920="","",IF(N(INDEX('Menu Pricing'!$O$7:$O$56,$O1920))&gt;0,INDEX('Menu Pricing'!$O$7:$O$56,$O1920),""))))</f>
        <v/>
      </c>
      <c r="I1920" s="71">
        <f>IF($N1920&lt;&gt;"OK","",$D1920*$H1920)</f>
        <v/>
      </c>
      <c r="J1920" s="71">
        <f>IF($N1920&lt;&gt;"OK","",N(INDEX('Menu Pricing'!$F$7:$F$56,$O1920))+N(INDEX('Menu Pricing'!$G$7:$G$56,$O1920))+N(INDEX('Menu Pricing'!$J$7:$J$56,$O1920)))</f>
        <v/>
      </c>
      <c r="K1920" s="71">
        <f>IF($N1920&lt;&gt;"OK","",$D1920*$J1920)</f>
        <v/>
      </c>
      <c r="L1920" s="71">
        <f>IF($N1920&lt;&gt;"OK","",$I1920-$K1920)</f>
        <v/>
      </c>
      <c r="M1920" s="71">
        <f>IF($N1920&lt;&gt;"OK","",$D1920*N(INDEX('Menu Pricing'!$F$7:$F$56,$O1920)))</f>
        <v/>
      </c>
      <c r="N1920" s="80">
        <f>IF(AND($B1920="",$C1920="",$D1920=""),"",IF(NOT(ISNUMBER($B1920)),"Enter a valid date",IF($C1920="","Pick a menu item",IF($O1920="","Item not on Menu Pricing",IF(N($D1920)&lt;=0,"Qty must be above 0",IF($H1920="","No price on menu","OK"))))))</f>
        <v/>
      </c>
      <c r="O1920" s="13">
        <f>IF($C1920="","",IFERROR(MATCH($C1920,'Menu Pricing'!$B$7:$B$56,0),""))</f>
        <v/>
      </c>
    </row>
    <row r="1921" ht="17" customHeight="1">
      <c r="B1921" s="66" t="n"/>
      <c r="C1921" s="60" t="n"/>
      <c r="D1921" s="86" t="n"/>
      <c r="E1921" s="63" t="n"/>
      <c r="F1921" s="60" t="n"/>
      <c r="G1921" s="60" t="n"/>
      <c r="H1921" s="71">
        <f>IF(OR($C1921="",$D1921=""),"",IF(ISNUMBER($E1921),$E1921,IF($O1921="","",IF(N(INDEX('Menu Pricing'!$O$7:$O$56,$O1921))&gt;0,INDEX('Menu Pricing'!$O$7:$O$56,$O1921),""))))</f>
        <v/>
      </c>
      <c r="I1921" s="71">
        <f>IF($N1921&lt;&gt;"OK","",$D1921*$H1921)</f>
        <v/>
      </c>
      <c r="J1921" s="71">
        <f>IF($N1921&lt;&gt;"OK","",N(INDEX('Menu Pricing'!$F$7:$F$56,$O1921))+N(INDEX('Menu Pricing'!$G$7:$G$56,$O1921))+N(INDEX('Menu Pricing'!$J$7:$J$56,$O1921)))</f>
        <v/>
      </c>
      <c r="K1921" s="71">
        <f>IF($N1921&lt;&gt;"OK","",$D1921*$J1921)</f>
        <v/>
      </c>
      <c r="L1921" s="71">
        <f>IF($N1921&lt;&gt;"OK","",$I1921-$K1921)</f>
        <v/>
      </c>
      <c r="M1921" s="71">
        <f>IF($N1921&lt;&gt;"OK","",$D1921*N(INDEX('Menu Pricing'!$F$7:$F$56,$O1921)))</f>
        <v/>
      </c>
      <c r="N1921" s="80">
        <f>IF(AND($B1921="",$C1921="",$D1921=""),"",IF(NOT(ISNUMBER($B1921)),"Enter a valid date",IF($C1921="","Pick a menu item",IF($O1921="","Item not on Menu Pricing",IF(N($D1921)&lt;=0,"Qty must be above 0",IF($H1921="","No price on menu","OK"))))))</f>
        <v/>
      </c>
      <c r="O1921" s="13">
        <f>IF($C1921="","",IFERROR(MATCH($C1921,'Menu Pricing'!$B$7:$B$56,0),""))</f>
        <v/>
      </c>
    </row>
    <row r="1922" ht="17" customHeight="1">
      <c r="B1922" s="66" t="n"/>
      <c r="C1922" s="60" t="n"/>
      <c r="D1922" s="86" t="n"/>
      <c r="E1922" s="63" t="n"/>
      <c r="F1922" s="60" t="n"/>
      <c r="G1922" s="60" t="n"/>
      <c r="H1922" s="71">
        <f>IF(OR($C1922="",$D1922=""),"",IF(ISNUMBER($E1922),$E1922,IF($O1922="","",IF(N(INDEX('Menu Pricing'!$O$7:$O$56,$O1922))&gt;0,INDEX('Menu Pricing'!$O$7:$O$56,$O1922),""))))</f>
        <v/>
      </c>
      <c r="I1922" s="71">
        <f>IF($N1922&lt;&gt;"OK","",$D1922*$H1922)</f>
        <v/>
      </c>
      <c r="J1922" s="71">
        <f>IF($N1922&lt;&gt;"OK","",N(INDEX('Menu Pricing'!$F$7:$F$56,$O1922))+N(INDEX('Menu Pricing'!$G$7:$G$56,$O1922))+N(INDEX('Menu Pricing'!$J$7:$J$56,$O1922)))</f>
        <v/>
      </c>
      <c r="K1922" s="71">
        <f>IF($N1922&lt;&gt;"OK","",$D1922*$J1922)</f>
        <v/>
      </c>
      <c r="L1922" s="71">
        <f>IF($N1922&lt;&gt;"OK","",$I1922-$K1922)</f>
        <v/>
      </c>
      <c r="M1922" s="71">
        <f>IF($N1922&lt;&gt;"OK","",$D1922*N(INDEX('Menu Pricing'!$F$7:$F$56,$O1922)))</f>
        <v/>
      </c>
      <c r="N1922" s="80">
        <f>IF(AND($B1922="",$C1922="",$D1922=""),"",IF(NOT(ISNUMBER($B1922)),"Enter a valid date",IF($C1922="","Pick a menu item",IF($O1922="","Item not on Menu Pricing",IF(N($D1922)&lt;=0,"Qty must be above 0",IF($H1922="","No price on menu","OK"))))))</f>
        <v/>
      </c>
      <c r="O1922" s="13">
        <f>IF($C1922="","",IFERROR(MATCH($C1922,'Menu Pricing'!$B$7:$B$56,0),""))</f>
        <v/>
      </c>
    </row>
    <row r="1923" ht="17" customHeight="1">
      <c r="B1923" s="66" t="n"/>
      <c r="C1923" s="60" t="n"/>
      <c r="D1923" s="86" t="n"/>
      <c r="E1923" s="63" t="n"/>
      <c r="F1923" s="60" t="n"/>
      <c r="G1923" s="60" t="n"/>
      <c r="H1923" s="71">
        <f>IF(OR($C1923="",$D1923=""),"",IF(ISNUMBER($E1923),$E1923,IF($O1923="","",IF(N(INDEX('Menu Pricing'!$O$7:$O$56,$O1923))&gt;0,INDEX('Menu Pricing'!$O$7:$O$56,$O1923),""))))</f>
        <v/>
      </c>
      <c r="I1923" s="71">
        <f>IF($N1923&lt;&gt;"OK","",$D1923*$H1923)</f>
        <v/>
      </c>
      <c r="J1923" s="71">
        <f>IF($N1923&lt;&gt;"OK","",N(INDEX('Menu Pricing'!$F$7:$F$56,$O1923))+N(INDEX('Menu Pricing'!$G$7:$G$56,$O1923))+N(INDEX('Menu Pricing'!$J$7:$J$56,$O1923)))</f>
        <v/>
      </c>
      <c r="K1923" s="71">
        <f>IF($N1923&lt;&gt;"OK","",$D1923*$J1923)</f>
        <v/>
      </c>
      <c r="L1923" s="71">
        <f>IF($N1923&lt;&gt;"OK","",$I1923-$K1923)</f>
        <v/>
      </c>
      <c r="M1923" s="71">
        <f>IF($N1923&lt;&gt;"OK","",$D1923*N(INDEX('Menu Pricing'!$F$7:$F$56,$O1923)))</f>
        <v/>
      </c>
      <c r="N1923" s="80">
        <f>IF(AND($B1923="",$C1923="",$D1923=""),"",IF(NOT(ISNUMBER($B1923)),"Enter a valid date",IF($C1923="","Pick a menu item",IF($O1923="","Item not on Menu Pricing",IF(N($D1923)&lt;=0,"Qty must be above 0",IF($H1923="","No price on menu","OK"))))))</f>
        <v/>
      </c>
      <c r="O1923" s="13">
        <f>IF($C1923="","",IFERROR(MATCH($C1923,'Menu Pricing'!$B$7:$B$56,0),""))</f>
        <v/>
      </c>
    </row>
    <row r="1924" ht="17" customHeight="1">
      <c r="B1924" s="66" t="n"/>
      <c r="C1924" s="60" t="n"/>
      <c r="D1924" s="86" t="n"/>
      <c r="E1924" s="63" t="n"/>
      <c r="F1924" s="60" t="n"/>
      <c r="G1924" s="60" t="n"/>
      <c r="H1924" s="71">
        <f>IF(OR($C1924="",$D1924=""),"",IF(ISNUMBER($E1924),$E1924,IF($O1924="","",IF(N(INDEX('Menu Pricing'!$O$7:$O$56,$O1924))&gt;0,INDEX('Menu Pricing'!$O$7:$O$56,$O1924),""))))</f>
        <v/>
      </c>
      <c r="I1924" s="71">
        <f>IF($N1924&lt;&gt;"OK","",$D1924*$H1924)</f>
        <v/>
      </c>
      <c r="J1924" s="71">
        <f>IF($N1924&lt;&gt;"OK","",N(INDEX('Menu Pricing'!$F$7:$F$56,$O1924))+N(INDEX('Menu Pricing'!$G$7:$G$56,$O1924))+N(INDEX('Menu Pricing'!$J$7:$J$56,$O1924)))</f>
        <v/>
      </c>
      <c r="K1924" s="71">
        <f>IF($N1924&lt;&gt;"OK","",$D1924*$J1924)</f>
        <v/>
      </c>
      <c r="L1924" s="71">
        <f>IF($N1924&lt;&gt;"OK","",$I1924-$K1924)</f>
        <v/>
      </c>
      <c r="M1924" s="71">
        <f>IF($N1924&lt;&gt;"OK","",$D1924*N(INDEX('Menu Pricing'!$F$7:$F$56,$O1924)))</f>
        <v/>
      </c>
      <c r="N1924" s="80">
        <f>IF(AND($B1924="",$C1924="",$D1924=""),"",IF(NOT(ISNUMBER($B1924)),"Enter a valid date",IF($C1924="","Pick a menu item",IF($O1924="","Item not on Menu Pricing",IF(N($D1924)&lt;=0,"Qty must be above 0",IF($H1924="","No price on menu","OK"))))))</f>
        <v/>
      </c>
      <c r="O1924" s="13">
        <f>IF($C1924="","",IFERROR(MATCH($C1924,'Menu Pricing'!$B$7:$B$56,0),""))</f>
        <v/>
      </c>
    </row>
    <row r="1925" ht="17" customHeight="1">
      <c r="B1925" s="66" t="n"/>
      <c r="C1925" s="60" t="n"/>
      <c r="D1925" s="86" t="n"/>
      <c r="E1925" s="63" t="n"/>
      <c r="F1925" s="60" t="n"/>
      <c r="G1925" s="60" t="n"/>
      <c r="H1925" s="71">
        <f>IF(OR($C1925="",$D1925=""),"",IF(ISNUMBER($E1925),$E1925,IF($O1925="","",IF(N(INDEX('Menu Pricing'!$O$7:$O$56,$O1925))&gt;0,INDEX('Menu Pricing'!$O$7:$O$56,$O1925),""))))</f>
        <v/>
      </c>
      <c r="I1925" s="71">
        <f>IF($N1925&lt;&gt;"OK","",$D1925*$H1925)</f>
        <v/>
      </c>
      <c r="J1925" s="71">
        <f>IF($N1925&lt;&gt;"OK","",N(INDEX('Menu Pricing'!$F$7:$F$56,$O1925))+N(INDEX('Menu Pricing'!$G$7:$G$56,$O1925))+N(INDEX('Menu Pricing'!$J$7:$J$56,$O1925)))</f>
        <v/>
      </c>
      <c r="K1925" s="71">
        <f>IF($N1925&lt;&gt;"OK","",$D1925*$J1925)</f>
        <v/>
      </c>
      <c r="L1925" s="71">
        <f>IF($N1925&lt;&gt;"OK","",$I1925-$K1925)</f>
        <v/>
      </c>
      <c r="M1925" s="71">
        <f>IF($N1925&lt;&gt;"OK","",$D1925*N(INDEX('Menu Pricing'!$F$7:$F$56,$O1925)))</f>
        <v/>
      </c>
      <c r="N1925" s="80">
        <f>IF(AND($B1925="",$C1925="",$D1925=""),"",IF(NOT(ISNUMBER($B1925)),"Enter a valid date",IF($C1925="","Pick a menu item",IF($O1925="","Item not on Menu Pricing",IF(N($D1925)&lt;=0,"Qty must be above 0",IF($H1925="","No price on menu","OK"))))))</f>
        <v/>
      </c>
      <c r="O1925" s="13">
        <f>IF($C1925="","",IFERROR(MATCH($C1925,'Menu Pricing'!$B$7:$B$56,0),""))</f>
        <v/>
      </c>
    </row>
    <row r="1926" ht="17" customHeight="1">
      <c r="B1926" s="66" t="n"/>
      <c r="C1926" s="60" t="n"/>
      <c r="D1926" s="86" t="n"/>
      <c r="E1926" s="63" t="n"/>
      <c r="F1926" s="60" t="n"/>
      <c r="G1926" s="60" t="n"/>
      <c r="H1926" s="71">
        <f>IF(OR($C1926="",$D1926=""),"",IF(ISNUMBER($E1926),$E1926,IF($O1926="","",IF(N(INDEX('Menu Pricing'!$O$7:$O$56,$O1926))&gt;0,INDEX('Menu Pricing'!$O$7:$O$56,$O1926),""))))</f>
        <v/>
      </c>
      <c r="I1926" s="71">
        <f>IF($N1926&lt;&gt;"OK","",$D1926*$H1926)</f>
        <v/>
      </c>
      <c r="J1926" s="71">
        <f>IF($N1926&lt;&gt;"OK","",N(INDEX('Menu Pricing'!$F$7:$F$56,$O1926))+N(INDEX('Menu Pricing'!$G$7:$G$56,$O1926))+N(INDEX('Menu Pricing'!$J$7:$J$56,$O1926)))</f>
        <v/>
      </c>
      <c r="K1926" s="71">
        <f>IF($N1926&lt;&gt;"OK","",$D1926*$J1926)</f>
        <v/>
      </c>
      <c r="L1926" s="71">
        <f>IF($N1926&lt;&gt;"OK","",$I1926-$K1926)</f>
        <v/>
      </c>
      <c r="M1926" s="71">
        <f>IF($N1926&lt;&gt;"OK","",$D1926*N(INDEX('Menu Pricing'!$F$7:$F$56,$O1926)))</f>
        <v/>
      </c>
      <c r="N1926" s="80">
        <f>IF(AND($B1926="",$C1926="",$D1926=""),"",IF(NOT(ISNUMBER($B1926)),"Enter a valid date",IF($C1926="","Pick a menu item",IF($O1926="","Item not on Menu Pricing",IF(N($D1926)&lt;=0,"Qty must be above 0",IF($H1926="","No price on menu","OK"))))))</f>
        <v/>
      </c>
      <c r="O1926" s="13">
        <f>IF($C1926="","",IFERROR(MATCH($C1926,'Menu Pricing'!$B$7:$B$56,0),""))</f>
        <v/>
      </c>
    </row>
    <row r="1927" ht="17" customHeight="1">
      <c r="B1927" s="66" t="n"/>
      <c r="C1927" s="60" t="n"/>
      <c r="D1927" s="86" t="n"/>
      <c r="E1927" s="63" t="n"/>
      <c r="F1927" s="60" t="n"/>
      <c r="G1927" s="60" t="n"/>
      <c r="H1927" s="71">
        <f>IF(OR($C1927="",$D1927=""),"",IF(ISNUMBER($E1927),$E1927,IF($O1927="","",IF(N(INDEX('Menu Pricing'!$O$7:$O$56,$O1927))&gt;0,INDEX('Menu Pricing'!$O$7:$O$56,$O1927),""))))</f>
        <v/>
      </c>
      <c r="I1927" s="71">
        <f>IF($N1927&lt;&gt;"OK","",$D1927*$H1927)</f>
        <v/>
      </c>
      <c r="J1927" s="71">
        <f>IF($N1927&lt;&gt;"OK","",N(INDEX('Menu Pricing'!$F$7:$F$56,$O1927))+N(INDEX('Menu Pricing'!$G$7:$G$56,$O1927))+N(INDEX('Menu Pricing'!$J$7:$J$56,$O1927)))</f>
        <v/>
      </c>
      <c r="K1927" s="71">
        <f>IF($N1927&lt;&gt;"OK","",$D1927*$J1927)</f>
        <v/>
      </c>
      <c r="L1927" s="71">
        <f>IF($N1927&lt;&gt;"OK","",$I1927-$K1927)</f>
        <v/>
      </c>
      <c r="M1927" s="71">
        <f>IF($N1927&lt;&gt;"OK","",$D1927*N(INDEX('Menu Pricing'!$F$7:$F$56,$O1927)))</f>
        <v/>
      </c>
      <c r="N1927" s="80">
        <f>IF(AND($B1927="",$C1927="",$D1927=""),"",IF(NOT(ISNUMBER($B1927)),"Enter a valid date",IF($C1927="","Pick a menu item",IF($O1927="","Item not on Menu Pricing",IF(N($D1927)&lt;=0,"Qty must be above 0",IF($H1927="","No price on menu","OK"))))))</f>
        <v/>
      </c>
      <c r="O1927" s="13">
        <f>IF($C1927="","",IFERROR(MATCH($C1927,'Menu Pricing'!$B$7:$B$56,0),""))</f>
        <v/>
      </c>
    </row>
    <row r="1928" ht="17" customHeight="1">
      <c r="B1928" s="66" t="n"/>
      <c r="C1928" s="60" t="n"/>
      <c r="D1928" s="86" t="n"/>
      <c r="E1928" s="63" t="n"/>
      <c r="F1928" s="60" t="n"/>
      <c r="G1928" s="60" t="n"/>
      <c r="H1928" s="71">
        <f>IF(OR($C1928="",$D1928=""),"",IF(ISNUMBER($E1928),$E1928,IF($O1928="","",IF(N(INDEX('Menu Pricing'!$O$7:$O$56,$O1928))&gt;0,INDEX('Menu Pricing'!$O$7:$O$56,$O1928),""))))</f>
        <v/>
      </c>
      <c r="I1928" s="71">
        <f>IF($N1928&lt;&gt;"OK","",$D1928*$H1928)</f>
        <v/>
      </c>
      <c r="J1928" s="71">
        <f>IF($N1928&lt;&gt;"OK","",N(INDEX('Menu Pricing'!$F$7:$F$56,$O1928))+N(INDEX('Menu Pricing'!$G$7:$G$56,$O1928))+N(INDEX('Menu Pricing'!$J$7:$J$56,$O1928)))</f>
        <v/>
      </c>
      <c r="K1928" s="71">
        <f>IF($N1928&lt;&gt;"OK","",$D1928*$J1928)</f>
        <v/>
      </c>
      <c r="L1928" s="71">
        <f>IF($N1928&lt;&gt;"OK","",$I1928-$K1928)</f>
        <v/>
      </c>
      <c r="M1928" s="71">
        <f>IF($N1928&lt;&gt;"OK","",$D1928*N(INDEX('Menu Pricing'!$F$7:$F$56,$O1928)))</f>
        <v/>
      </c>
      <c r="N1928" s="80">
        <f>IF(AND($B1928="",$C1928="",$D1928=""),"",IF(NOT(ISNUMBER($B1928)),"Enter a valid date",IF($C1928="","Pick a menu item",IF($O1928="","Item not on Menu Pricing",IF(N($D1928)&lt;=0,"Qty must be above 0",IF($H1928="","No price on menu","OK"))))))</f>
        <v/>
      </c>
      <c r="O1928" s="13">
        <f>IF($C1928="","",IFERROR(MATCH($C1928,'Menu Pricing'!$B$7:$B$56,0),""))</f>
        <v/>
      </c>
    </row>
    <row r="1929" ht="17" customHeight="1">
      <c r="B1929" s="66" t="n"/>
      <c r="C1929" s="60" t="n"/>
      <c r="D1929" s="86" t="n"/>
      <c r="E1929" s="63" t="n"/>
      <c r="F1929" s="60" t="n"/>
      <c r="G1929" s="60" t="n"/>
      <c r="H1929" s="71">
        <f>IF(OR($C1929="",$D1929=""),"",IF(ISNUMBER($E1929),$E1929,IF($O1929="","",IF(N(INDEX('Menu Pricing'!$O$7:$O$56,$O1929))&gt;0,INDEX('Menu Pricing'!$O$7:$O$56,$O1929),""))))</f>
        <v/>
      </c>
      <c r="I1929" s="71">
        <f>IF($N1929&lt;&gt;"OK","",$D1929*$H1929)</f>
        <v/>
      </c>
      <c r="J1929" s="71">
        <f>IF($N1929&lt;&gt;"OK","",N(INDEX('Menu Pricing'!$F$7:$F$56,$O1929))+N(INDEX('Menu Pricing'!$G$7:$G$56,$O1929))+N(INDEX('Menu Pricing'!$J$7:$J$56,$O1929)))</f>
        <v/>
      </c>
      <c r="K1929" s="71">
        <f>IF($N1929&lt;&gt;"OK","",$D1929*$J1929)</f>
        <v/>
      </c>
      <c r="L1929" s="71">
        <f>IF($N1929&lt;&gt;"OK","",$I1929-$K1929)</f>
        <v/>
      </c>
      <c r="M1929" s="71">
        <f>IF($N1929&lt;&gt;"OK","",$D1929*N(INDEX('Menu Pricing'!$F$7:$F$56,$O1929)))</f>
        <v/>
      </c>
      <c r="N1929" s="80">
        <f>IF(AND($B1929="",$C1929="",$D1929=""),"",IF(NOT(ISNUMBER($B1929)),"Enter a valid date",IF($C1929="","Pick a menu item",IF($O1929="","Item not on Menu Pricing",IF(N($D1929)&lt;=0,"Qty must be above 0",IF($H1929="","No price on menu","OK"))))))</f>
        <v/>
      </c>
      <c r="O1929" s="13">
        <f>IF($C1929="","",IFERROR(MATCH($C1929,'Menu Pricing'!$B$7:$B$56,0),""))</f>
        <v/>
      </c>
    </row>
    <row r="1930" ht="17" customHeight="1">
      <c r="B1930" s="66" t="n"/>
      <c r="C1930" s="60" t="n"/>
      <c r="D1930" s="86" t="n"/>
      <c r="E1930" s="63" t="n"/>
      <c r="F1930" s="60" t="n"/>
      <c r="G1930" s="60" t="n"/>
      <c r="H1930" s="71">
        <f>IF(OR($C1930="",$D1930=""),"",IF(ISNUMBER($E1930),$E1930,IF($O1930="","",IF(N(INDEX('Menu Pricing'!$O$7:$O$56,$O1930))&gt;0,INDEX('Menu Pricing'!$O$7:$O$56,$O1930),""))))</f>
        <v/>
      </c>
      <c r="I1930" s="71">
        <f>IF($N1930&lt;&gt;"OK","",$D1930*$H1930)</f>
        <v/>
      </c>
      <c r="J1930" s="71">
        <f>IF($N1930&lt;&gt;"OK","",N(INDEX('Menu Pricing'!$F$7:$F$56,$O1930))+N(INDEX('Menu Pricing'!$G$7:$G$56,$O1930))+N(INDEX('Menu Pricing'!$J$7:$J$56,$O1930)))</f>
        <v/>
      </c>
      <c r="K1930" s="71">
        <f>IF($N1930&lt;&gt;"OK","",$D1930*$J1930)</f>
        <v/>
      </c>
      <c r="L1930" s="71">
        <f>IF($N1930&lt;&gt;"OK","",$I1930-$K1930)</f>
        <v/>
      </c>
      <c r="M1930" s="71">
        <f>IF($N1930&lt;&gt;"OK","",$D1930*N(INDEX('Menu Pricing'!$F$7:$F$56,$O1930)))</f>
        <v/>
      </c>
      <c r="N1930" s="80">
        <f>IF(AND($B1930="",$C1930="",$D1930=""),"",IF(NOT(ISNUMBER($B1930)),"Enter a valid date",IF($C1930="","Pick a menu item",IF($O1930="","Item not on Menu Pricing",IF(N($D1930)&lt;=0,"Qty must be above 0",IF($H1930="","No price on menu","OK"))))))</f>
        <v/>
      </c>
      <c r="O1930" s="13">
        <f>IF($C1930="","",IFERROR(MATCH($C1930,'Menu Pricing'!$B$7:$B$56,0),""))</f>
        <v/>
      </c>
    </row>
    <row r="1931" ht="17" customHeight="1">
      <c r="B1931" s="66" t="n"/>
      <c r="C1931" s="60" t="n"/>
      <c r="D1931" s="86" t="n"/>
      <c r="E1931" s="63" t="n"/>
      <c r="F1931" s="60" t="n"/>
      <c r="G1931" s="60" t="n"/>
      <c r="H1931" s="71">
        <f>IF(OR($C1931="",$D1931=""),"",IF(ISNUMBER($E1931),$E1931,IF($O1931="","",IF(N(INDEX('Menu Pricing'!$O$7:$O$56,$O1931))&gt;0,INDEX('Menu Pricing'!$O$7:$O$56,$O1931),""))))</f>
        <v/>
      </c>
      <c r="I1931" s="71">
        <f>IF($N1931&lt;&gt;"OK","",$D1931*$H1931)</f>
        <v/>
      </c>
      <c r="J1931" s="71">
        <f>IF($N1931&lt;&gt;"OK","",N(INDEX('Menu Pricing'!$F$7:$F$56,$O1931))+N(INDEX('Menu Pricing'!$G$7:$G$56,$O1931))+N(INDEX('Menu Pricing'!$J$7:$J$56,$O1931)))</f>
        <v/>
      </c>
      <c r="K1931" s="71">
        <f>IF($N1931&lt;&gt;"OK","",$D1931*$J1931)</f>
        <v/>
      </c>
      <c r="L1931" s="71">
        <f>IF($N1931&lt;&gt;"OK","",$I1931-$K1931)</f>
        <v/>
      </c>
      <c r="M1931" s="71">
        <f>IF($N1931&lt;&gt;"OK","",$D1931*N(INDEX('Menu Pricing'!$F$7:$F$56,$O1931)))</f>
        <v/>
      </c>
      <c r="N1931" s="80">
        <f>IF(AND($B1931="",$C1931="",$D1931=""),"",IF(NOT(ISNUMBER($B1931)),"Enter a valid date",IF($C1931="","Pick a menu item",IF($O1931="","Item not on Menu Pricing",IF(N($D1931)&lt;=0,"Qty must be above 0",IF($H1931="","No price on menu","OK"))))))</f>
        <v/>
      </c>
      <c r="O1931" s="13">
        <f>IF($C1931="","",IFERROR(MATCH($C1931,'Menu Pricing'!$B$7:$B$56,0),""))</f>
        <v/>
      </c>
    </row>
    <row r="1932" ht="17" customHeight="1">
      <c r="B1932" s="66" t="n"/>
      <c r="C1932" s="60" t="n"/>
      <c r="D1932" s="86" t="n"/>
      <c r="E1932" s="63" t="n"/>
      <c r="F1932" s="60" t="n"/>
      <c r="G1932" s="60" t="n"/>
      <c r="H1932" s="71">
        <f>IF(OR($C1932="",$D1932=""),"",IF(ISNUMBER($E1932),$E1932,IF($O1932="","",IF(N(INDEX('Menu Pricing'!$O$7:$O$56,$O1932))&gt;0,INDEX('Menu Pricing'!$O$7:$O$56,$O1932),""))))</f>
        <v/>
      </c>
      <c r="I1932" s="71">
        <f>IF($N1932&lt;&gt;"OK","",$D1932*$H1932)</f>
        <v/>
      </c>
      <c r="J1932" s="71">
        <f>IF($N1932&lt;&gt;"OK","",N(INDEX('Menu Pricing'!$F$7:$F$56,$O1932))+N(INDEX('Menu Pricing'!$G$7:$G$56,$O1932))+N(INDEX('Menu Pricing'!$J$7:$J$56,$O1932)))</f>
        <v/>
      </c>
      <c r="K1932" s="71">
        <f>IF($N1932&lt;&gt;"OK","",$D1932*$J1932)</f>
        <v/>
      </c>
      <c r="L1932" s="71">
        <f>IF($N1932&lt;&gt;"OK","",$I1932-$K1932)</f>
        <v/>
      </c>
      <c r="M1932" s="71">
        <f>IF($N1932&lt;&gt;"OK","",$D1932*N(INDEX('Menu Pricing'!$F$7:$F$56,$O1932)))</f>
        <v/>
      </c>
      <c r="N1932" s="80">
        <f>IF(AND($B1932="",$C1932="",$D1932=""),"",IF(NOT(ISNUMBER($B1932)),"Enter a valid date",IF($C1932="","Pick a menu item",IF($O1932="","Item not on Menu Pricing",IF(N($D1932)&lt;=0,"Qty must be above 0",IF($H1932="","No price on menu","OK"))))))</f>
        <v/>
      </c>
      <c r="O1932" s="13">
        <f>IF($C1932="","",IFERROR(MATCH($C1932,'Menu Pricing'!$B$7:$B$56,0),""))</f>
        <v/>
      </c>
    </row>
    <row r="1933" ht="17" customHeight="1">
      <c r="B1933" s="66" t="n"/>
      <c r="C1933" s="60" t="n"/>
      <c r="D1933" s="86" t="n"/>
      <c r="E1933" s="63" t="n"/>
      <c r="F1933" s="60" t="n"/>
      <c r="G1933" s="60" t="n"/>
      <c r="H1933" s="71">
        <f>IF(OR($C1933="",$D1933=""),"",IF(ISNUMBER($E1933),$E1933,IF($O1933="","",IF(N(INDEX('Menu Pricing'!$O$7:$O$56,$O1933))&gt;0,INDEX('Menu Pricing'!$O$7:$O$56,$O1933),""))))</f>
        <v/>
      </c>
      <c r="I1933" s="71">
        <f>IF($N1933&lt;&gt;"OK","",$D1933*$H1933)</f>
        <v/>
      </c>
      <c r="J1933" s="71">
        <f>IF($N1933&lt;&gt;"OK","",N(INDEX('Menu Pricing'!$F$7:$F$56,$O1933))+N(INDEX('Menu Pricing'!$G$7:$G$56,$O1933))+N(INDEX('Menu Pricing'!$J$7:$J$56,$O1933)))</f>
        <v/>
      </c>
      <c r="K1933" s="71">
        <f>IF($N1933&lt;&gt;"OK","",$D1933*$J1933)</f>
        <v/>
      </c>
      <c r="L1933" s="71">
        <f>IF($N1933&lt;&gt;"OK","",$I1933-$K1933)</f>
        <v/>
      </c>
      <c r="M1933" s="71">
        <f>IF($N1933&lt;&gt;"OK","",$D1933*N(INDEX('Menu Pricing'!$F$7:$F$56,$O1933)))</f>
        <v/>
      </c>
      <c r="N1933" s="80">
        <f>IF(AND($B1933="",$C1933="",$D1933=""),"",IF(NOT(ISNUMBER($B1933)),"Enter a valid date",IF($C1933="","Pick a menu item",IF($O1933="","Item not on Menu Pricing",IF(N($D1933)&lt;=0,"Qty must be above 0",IF($H1933="","No price on menu","OK"))))))</f>
        <v/>
      </c>
      <c r="O1933" s="13">
        <f>IF($C1933="","",IFERROR(MATCH($C1933,'Menu Pricing'!$B$7:$B$56,0),""))</f>
        <v/>
      </c>
    </row>
    <row r="1934" ht="17" customHeight="1">
      <c r="B1934" s="66" t="n"/>
      <c r="C1934" s="60" t="n"/>
      <c r="D1934" s="86" t="n"/>
      <c r="E1934" s="63" t="n"/>
      <c r="F1934" s="60" t="n"/>
      <c r="G1934" s="60" t="n"/>
      <c r="H1934" s="71">
        <f>IF(OR($C1934="",$D1934=""),"",IF(ISNUMBER($E1934),$E1934,IF($O1934="","",IF(N(INDEX('Menu Pricing'!$O$7:$O$56,$O1934))&gt;0,INDEX('Menu Pricing'!$O$7:$O$56,$O1934),""))))</f>
        <v/>
      </c>
      <c r="I1934" s="71">
        <f>IF($N1934&lt;&gt;"OK","",$D1934*$H1934)</f>
        <v/>
      </c>
      <c r="J1934" s="71">
        <f>IF($N1934&lt;&gt;"OK","",N(INDEX('Menu Pricing'!$F$7:$F$56,$O1934))+N(INDEX('Menu Pricing'!$G$7:$G$56,$O1934))+N(INDEX('Menu Pricing'!$J$7:$J$56,$O1934)))</f>
        <v/>
      </c>
      <c r="K1934" s="71">
        <f>IF($N1934&lt;&gt;"OK","",$D1934*$J1934)</f>
        <v/>
      </c>
      <c r="L1934" s="71">
        <f>IF($N1934&lt;&gt;"OK","",$I1934-$K1934)</f>
        <v/>
      </c>
      <c r="M1934" s="71">
        <f>IF($N1934&lt;&gt;"OK","",$D1934*N(INDEX('Menu Pricing'!$F$7:$F$56,$O1934)))</f>
        <v/>
      </c>
      <c r="N1934" s="80">
        <f>IF(AND($B1934="",$C1934="",$D1934=""),"",IF(NOT(ISNUMBER($B1934)),"Enter a valid date",IF($C1934="","Pick a menu item",IF($O1934="","Item not on Menu Pricing",IF(N($D1934)&lt;=0,"Qty must be above 0",IF($H1934="","No price on menu","OK"))))))</f>
        <v/>
      </c>
      <c r="O1934" s="13">
        <f>IF($C1934="","",IFERROR(MATCH($C1934,'Menu Pricing'!$B$7:$B$56,0),""))</f>
        <v/>
      </c>
    </row>
    <row r="1935" ht="17" customHeight="1">
      <c r="B1935" s="66" t="n"/>
      <c r="C1935" s="60" t="n"/>
      <c r="D1935" s="86" t="n"/>
      <c r="E1935" s="63" t="n"/>
      <c r="F1935" s="60" t="n"/>
      <c r="G1935" s="60" t="n"/>
      <c r="H1935" s="71">
        <f>IF(OR($C1935="",$D1935=""),"",IF(ISNUMBER($E1935),$E1935,IF($O1935="","",IF(N(INDEX('Menu Pricing'!$O$7:$O$56,$O1935))&gt;0,INDEX('Menu Pricing'!$O$7:$O$56,$O1935),""))))</f>
        <v/>
      </c>
      <c r="I1935" s="71">
        <f>IF($N1935&lt;&gt;"OK","",$D1935*$H1935)</f>
        <v/>
      </c>
      <c r="J1935" s="71">
        <f>IF($N1935&lt;&gt;"OK","",N(INDEX('Menu Pricing'!$F$7:$F$56,$O1935))+N(INDEX('Menu Pricing'!$G$7:$G$56,$O1935))+N(INDEX('Menu Pricing'!$J$7:$J$56,$O1935)))</f>
        <v/>
      </c>
      <c r="K1935" s="71">
        <f>IF($N1935&lt;&gt;"OK","",$D1935*$J1935)</f>
        <v/>
      </c>
      <c r="L1935" s="71">
        <f>IF($N1935&lt;&gt;"OK","",$I1935-$K1935)</f>
        <v/>
      </c>
      <c r="M1935" s="71">
        <f>IF($N1935&lt;&gt;"OK","",$D1935*N(INDEX('Menu Pricing'!$F$7:$F$56,$O1935)))</f>
        <v/>
      </c>
      <c r="N1935" s="80">
        <f>IF(AND($B1935="",$C1935="",$D1935=""),"",IF(NOT(ISNUMBER($B1935)),"Enter a valid date",IF($C1935="","Pick a menu item",IF($O1935="","Item not on Menu Pricing",IF(N($D1935)&lt;=0,"Qty must be above 0",IF($H1935="","No price on menu","OK"))))))</f>
        <v/>
      </c>
      <c r="O1935" s="13">
        <f>IF($C1935="","",IFERROR(MATCH($C1935,'Menu Pricing'!$B$7:$B$56,0),""))</f>
        <v/>
      </c>
    </row>
    <row r="1936" ht="17" customHeight="1">
      <c r="B1936" s="66" t="n"/>
      <c r="C1936" s="60" t="n"/>
      <c r="D1936" s="86" t="n"/>
      <c r="E1936" s="63" t="n"/>
      <c r="F1936" s="60" t="n"/>
      <c r="G1936" s="60" t="n"/>
      <c r="H1936" s="71">
        <f>IF(OR($C1936="",$D1936=""),"",IF(ISNUMBER($E1936),$E1936,IF($O1936="","",IF(N(INDEX('Menu Pricing'!$O$7:$O$56,$O1936))&gt;0,INDEX('Menu Pricing'!$O$7:$O$56,$O1936),""))))</f>
        <v/>
      </c>
      <c r="I1936" s="71">
        <f>IF($N1936&lt;&gt;"OK","",$D1936*$H1936)</f>
        <v/>
      </c>
      <c r="J1936" s="71">
        <f>IF($N1936&lt;&gt;"OK","",N(INDEX('Menu Pricing'!$F$7:$F$56,$O1936))+N(INDEX('Menu Pricing'!$G$7:$G$56,$O1936))+N(INDEX('Menu Pricing'!$J$7:$J$56,$O1936)))</f>
        <v/>
      </c>
      <c r="K1936" s="71">
        <f>IF($N1936&lt;&gt;"OK","",$D1936*$J1936)</f>
        <v/>
      </c>
      <c r="L1936" s="71">
        <f>IF($N1936&lt;&gt;"OK","",$I1936-$K1936)</f>
        <v/>
      </c>
      <c r="M1936" s="71">
        <f>IF($N1936&lt;&gt;"OK","",$D1936*N(INDEX('Menu Pricing'!$F$7:$F$56,$O1936)))</f>
        <v/>
      </c>
      <c r="N1936" s="80">
        <f>IF(AND($B1936="",$C1936="",$D1936=""),"",IF(NOT(ISNUMBER($B1936)),"Enter a valid date",IF($C1936="","Pick a menu item",IF($O1936="","Item not on Menu Pricing",IF(N($D1936)&lt;=0,"Qty must be above 0",IF($H1936="","No price on menu","OK"))))))</f>
        <v/>
      </c>
      <c r="O1936" s="13">
        <f>IF($C1936="","",IFERROR(MATCH($C1936,'Menu Pricing'!$B$7:$B$56,0),""))</f>
        <v/>
      </c>
    </row>
    <row r="1937" ht="17" customHeight="1">
      <c r="B1937" s="66" t="n"/>
      <c r="C1937" s="60" t="n"/>
      <c r="D1937" s="86" t="n"/>
      <c r="E1937" s="63" t="n"/>
      <c r="F1937" s="60" t="n"/>
      <c r="G1937" s="60" t="n"/>
      <c r="H1937" s="71">
        <f>IF(OR($C1937="",$D1937=""),"",IF(ISNUMBER($E1937),$E1937,IF($O1937="","",IF(N(INDEX('Menu Pricing'!$O$7:$O$56,$O1937))&gt;0,INDEX('Menu Pricing'!$O$7:$O$56,$O1937),""))))</f>
        <v/>
      </c>
      <c r="I1937" s="71">
        <f>IF($N1937&lt;&gt;"OK","",$D1937*$H1937)</f>
        <v/>
      </c>
      <c r="J1937" s="71">
        <f>IF($N1937&lt;&gt;"OK","",N(INDEX('Menu Pricing'!$F$7:$F$56,$O1937))+N(INDEX('Menu Pricing'!$G$7:$G$56,$O1937))+N(INDEX('Menu Pricing'!$J$7:$J$56,$O1937)))</f>
        <v/>
      </c>
      <c r="K1937" s="71">
        <f>IF($N1937&lt;&gt;"OK","",$D1937*$J1937)</f>
        <v/>
      </c>
      <c r="L1937" s="71">
        <f>IF($N1937&lt;&gt;"OK","",$I1937-$K1937)</f>
        <v/>
      </c>
      <c r="M1937" s="71">
        <f>IF($N1937&lt;&gt;"OK","",$D1937*N(INDEX('Menu Pricing'!$F$7:$F$56,$O1937)))</f>
        <v/>
      </c>
      <c r="N1937" s="80">
        <f>IF(AND($B1937="",$C1937="",$D1937=""),"",IF(NOT(ISNUMBER($B1937)),"Enter a valid date",IF($C1937="","Pick a menu item",IF($O1937="","Item not on Menu Pricing",IF(N($D1937)&lt;=0,"Qty must be above 0",IF($H1937="","No price on menu","OK"))))))</f>
        <v/>
      </c>
      <c r="O1937" s="13">
        <f>IF($C1937="","",IFERROR(MATCH($C1937,'Menu Pricing'!$B$7:$B$56,0),""))</f>
        <v/>
      </c>
    </row>
    <row r="1938" ht="17" customHeight="1">
      <c r="B1938" s="66" t="n"/>
      <c r="C1938" s="60" t="n"/>
      <c r="D1938" s="86" t="n"/>
      <c r="E1938" s="63" t="n"/>
      <c r="F1938" s="60" t="n"/>
      <c r="G1938" s="60" t="n"/>
      <c r="H1938" s="71">
        <f>IF(OR($C1938="",$D1938=""),"",IF(ISNUMBER($E1938),$E1938,IF($O1938="","",IF(N(INDEX('Menu Pricing'!$O$7:$O$56,$O1938))&gt;0,INDEX('Menu Pricing'!$O$7:$O$56,$O1938),""))))</f>
        <v/>
      </c>
      <c r="I1938" s="71">
        <f>IF($N1938&lt;&gt;"OK","",$D1938*$H1938)</f>
        <v/>
      </c>
      <c r="J1938" s="71">
        <f>IF($N1938&lt;&gt;"OK","",N(INDEX('Menu Pricing'!$F$7:$F$56,$O1938))+N(INDEX('Menu Pricing'!$G$7:$G$56,$O1938))+N(INDEX('Menu Pricing'!$J$7:$J$56,$O1938)))</f>
        <v/>
      </c>
      <c r="K1938" s="71">
        <f>IF($N1938&lt;&gt;"OK","",$D1938*$J1938)</f>
        <v/>
      </c>
      <c r="L1938" s="71">
        <f>IF($N1938&lt;&gt;"OK","",$I1938-$K1938)</f>
        <v/>
      </c>
      <c r="M1938" s="71">
        <f>IF($N1938&lt;&gt;"OK","",$D1938*N(INDEX('Menu Pricing'!$F$7:$F$56,$O1938)))</f>
        <v/>
      </c>
      <c r="N1938" s="80">
        <f>IF(AND($B1938="",$C1938="",$D1938=""),"",IF(NOT(ISNUMBER($B1938)),"Enter a valid date",IF($C1938="","Pick a menu item",IF($O1938="","Item not on Menu Pricing",IF(N($D1938)&lt;=0,"Qty must be above 0",IF($H1938="","No price on menu","OK"))))))</f>
        <v/>
      </c>
      <c r="O1938" s="13">
        <f>IF($C1938="","",IFERROR(MATCH($C1938,'Menu Pricing'!$B$7:$B$56,0),""))</f>
        <v/>
      </c>
    </row>
    <row r="1939" ht="17" customHeight="1">
      <c r="B1939" s="66" t="n"/>
      <c r="C1939" s="60" t="n"/>
      <c r="D1939" s="86" t="n"/>
      <c r="E1939" s="63" t="n"/>
      <c r="F1939" s="60" t="n"/>
      <c r="G1939" s="60" t="n"/>
      <c r="H1939" s="71">
        <f>IF(OR($C1939="",$D1939=""),"",IF(ISNUMBER($E1939),$E1939,IF($O1939="","",IF(N(INDEX('Menu Pricing'!$O$7:$O$56,$O1939))&gt;0,INDEX('Menu Pricing'!$O$7:$O$56,$O1939),""))))</f>
        <v/>
      </c>
      <c r="I1939" s="71">
        <f>IF($N1939&lt;&gt;"OK","",$D1939*$H1939)</f>
        <v/>
      </c>
      <c r="J1939" s="71">
        <f>IF($N1939&lt;&gt;"OK","",N(INDEX('Menu Pricing'!$F$7:$F$56,$O1939))+N(INDEX('Menu Pricing'!$G$7:$G$56,$O1939))+N(INDEX('Menu Pricing'!$J$7:$J$56,$O1939)))</f>
        <v/>
      </c>
      <c r="K1939" s="71">
        <f>IF($N1939&lt;&gt;"OK","",$D1939*$J1939)</f>
        <v/>
      </c>
      <c r="L1939" s="71">
        <f>IF($N1939&lt;&gt;"OK","",$I1939-$K1939)</f>
        <v/>
      </c>
      <c r="M1939" s="71">
        <f>IF($N1939&lt;&gt;"OK","",$D1939*N(INDEX('Menu Pricing'!$F$7:$F$56,$O1939)))</f>
        <v/>
      </c>
      <c r="N1939" s="80">
        <f>IF(AND($B1939="",$C1939="",$D1939=""),"",IF(NOT(ISNUMBER($B1939)),"Enter a valid date",IF($C1939="","Pick a menu item",IF($O1939="","Item not on Menu Pricing",IF(N($D1939)&lt;=0,"Qty must be above 0",IF($H1939="","No price on menu","OK"))))))</f>
        <v/>
      </c>
      <c r="O1939" s="13">
        <f>IF($C1939="","",IFERROR(MATCH($C1939,'Menu Pricing'!$B$7:$B$56,0),""))</f>
        <v/>
      </c>
    </row>
    <row r="1940" ht="17" customHeight="1">
      <c r="B1940" s="66" t="n"/>
      <c r="C1940" s="60" t="n"/>
      <c r="D1940" s="86" t="n"/>
      <c r="E1940" s="63" t="n"/>
      <c r="F1940" s="60" t="n"/>
      <c r="G1940" s="60" t="n"/>
      <c r="H1940" s="71">
        <f>IF(OR($C1940="",$D1940=""),"",IF(ISNUMBER($E1940),$E1940,IF($O1940="","",IF(N(INDEX('Menu Pricing'!$O$7:$O$56,$O1940))&gt;0,INDEX('Menu Pricing'!$O$7:$O$56,$O1940),""))))</f>
        <v/>
      </c>
      <c r="I1940" s="71">
        <f>IF($N1940&lt;&gt;"OK","",$D1940*$H1940)</f>
        <v/>
      </c>
      <c r="J1940" s="71">
        <f>IF($N1940&lt;&gt;"OK","",N(INDEX('Menu Pricing'!$F$7:$F$56,$O1940))+N(INDEX('Menu Pricing'!$G$7:$G$56,$O1940))+N(INDEX('Menu Pricing'!$J$7:$J$56,$O1940)))</f>
        <v/>
      </c>
      <c r="K1940" s="71">
        <f>IF($N1940&lt;&gt;"OK","",$D1940*$J1940)</f>
        <v/>
      </c>
      <c r="L1940" s="71">
        <f>IF($N1940&lt;&gt;"OK","",$I1940-$K1940)</f>
        <v/>
      </c>
      <c r="M1940" s="71">
        <f>IF($N1940&lt;&gt;"OK","",$D1940*N(INDEX('Menu Pricing'!$F$7:$F$56,$O1940)))</f>
        <v/>
      </c>
      <c r="N1940" s="80">
        <f>IF(AND($B1940="",$C1940="",$D1940=""),"",IF(NOT(ISNUMBER($B1940)),"Enter a valid date",IF($C1940="","Pick a menu item",IF($O1940="","Item not on Menu Pricing",IF(N($D1940)&lt;=0,"Qty must be above 0",IF($H1940="","No price on menu","OK"))))))</f>
        <v/>
      </c>
      <c r="O1940" s="13">
        <f>IF($C1940="","",IFERROR(MATCH($C1940,'Menu Pricing'!$B$7:$B$56,0),""))</f>
        <v/>
      </c>
    </row>
    <row r="1941" ht="17" customHeight="1">
      <c r="B1941" s="66" t="n"/>
      <c r="C1941" s="60" t="n"/>
      <c r="D1941" s="86" t="n"/>
      <c r="E1941" s="63" t="n"/>
      <c r="F1941" s="60" t="n"/>
      <c r="G1941" s="60" t="n"/>
      <c r="H1941" s="71">
        <f>IF(OR($C1941="",$D1941=""),"",IF(ISNUMBER($E1941),$E1941,IF($O1941="","",IF(N(INDEX('Menu Pricing'!$O$7:$O$56,$O1941))&gt;0,INDEX('Menu Pricing'!$O$7:$O$56,$O1941),""))))</f>
        <v/>
      </c>
      <c r="I1941" s="71">
        <f>IF($N1941&lt;&gt;"OK","",$D1941*$H1941)</f>
        <v/>
      </c>
      <c r="J1941" s="71">
        <f>IF($N1941&lt;&gt;"OK","",N(INDEX('Menu Pricing'!$F$7:$F$56,$O1941))+N(INDEX('Menu Pricing'!$G$7:$G$56,$O1941))+N(INDEX('Menu Pricing'!$J$7:$J$56,$O1941)))</f>
        <v/>
      </c>
      <c r="K1941" s="71">
        <f>IF($N1941&lt;&gt;"OK","",$D1941*$J1941)</f>
        <v/>
      </c>
      <c r="L1941" s="71">
        <f>IF($N1941&lt;&gt;"OK","",$I1941-$K1941)</f>
        <v/>
      </c>
      <c r="M1941" s="71">
        <f>IF($N1941&lt;&gt;"OK","",$D1941*N(INDEX('Menu Pricing'!$F$7:$F$56,$O1941)))</f>
        <v/>
      </c>
      <c r="N1941" s="80">
        <f>IF(AND($B1941="",$C1941="",$D1941=""),"",IF(NOT(ISNUMBER($B1941)),"Enter a valid date",IF($C1941="","Pick a menu item",IF($O1941="","Item not on Menu Pricing",IF(N($D1941)&lt;=0,"Qty must be above 0",IF($H1941="","No price on menu","OK"))))))</f>
        <v/>
      </c>
      <c r="O1941" s="13">
        <f>IF($C1941="","",IFERROR(MATCH($C1941,'Menu Pricing'!$B$7:$B$56,0),""))</f>
        <v/>
      </c>
    </row>
    <row r="1942" ht="17" customHeight="1">
      <c r="B1942" s="66" t="n"/>
      <c r="C1942" s="60" t="n"/>
      <c r="D1942" s="86" t="n"/>
      <c r="E1942" s="63" t="n"/>
      <c r="F1942" s="60" t="n"/>
      <c r="G1942" s="60" t="n"/>
      <c r="H1942" s="71">
        <f>IF(OR($C1942="",$D1942=""),"",IF(ISNUMBER($E1942),$E1942,IF($O1942="","",IF(N(INDEX('Menu Pricing'!$O$7:$O$56,$O1942))&gt;0,INDEX('Menu Pricing'!$O$7:$O$56,$O1942),""))))</f>
        <v/>
      </c>
      <c r="I1942" s="71">
        <f>IF($N1942&lt;&gt;"OK","",$D1942*$H1942)</f>
        <v/>
      </c>
      <c r="J1942" s="71">
        <f>IF($N1942&lt;&gt;"OK","",N(INDEX('Menu Pricing'!$F$7:$F$56,$O1942))+N(INDEX('Menu Pricing'!$G$7:$G$56,$O1942))+N(INDEX('Menu Pricing'!$J$7:$J$56,$O1942)))</f>
        <v/>
      </c>
      <c r="K1942" s="71">
        <f>IF($N1942&lt;&gt;"OK","",$D1942*$J1942)</f>
        <v/>
      </c>
      <c r="L1942" s="71">
        <f>IF($N1942&lt;&gt;"OK","",$I1942-$K1942)</f>
        <v/>
      </c>
      <c r="M1942" s="71">
        <f>IF($N1942&lt;&gt;"OK","",$D1942*N(INDEX('Menu Pricing'!$F$7:$F$56,$O1942)))</f>
        <v/>
      </c>
      <c r="N1942" s="80">
        <f>IF(AND($B1942="",$C1942="",$D1942=""),"",IF(NOT(ISNUMBER($B1942)),"Enter a valid date",IF($C1942="","Pick a menu item",IF($O1942="","Item not on Menu Pricing",IF(N($D1942)&lt;=0,"Qty must be above 0",IF($H1942="","No price on menu","OK"))))))</f>
        <v/>
      </c>
      <c r="O1942" s="13">
        <f>IF($C1942="","",IFERROR(MATCH($C1942,'Menu Pricing'!$B$7:$B$56,0),""))</f>
        <v/>
      </c>
    </row>
    <row r="1943" ht="17" customHeight="1">
      <c r="B1943" s="66" t="n"/>
      <c r="C1943" s="60" t="n"/>
      <c r="D1943" s="86" t="n"/>
      <c r="E1943" s="63" t="n"/>
      <c r="F1943" s="60" t="n"/>
      <c r="G1943" s="60" t="n"/>
      <c r="H1943" s="71">
        <f>IF(OR($C1943="",$D1943=""),"",IF(ISNUMBER($E1943),$E1943,IF($O1943="","",IF(N(INDEX('Menu Pricing'!$O$7:$O$56,$O1943))&gt;0,INDEX('Menu Pricing'!$O$7:$O$56,$O1943),""))))</f>
        <v/>
      </c>
      <c r="I1943" s="71">
        <f>IF($N1943&lt;&gt;"OK","",$D1943*$H1943)</f>
        <v/>
      </c>
      <c r="J1943" s="71">
        <f>IF($N1943&lt;&gt;"OK","",N(INDEX('Menu Pricing'!$F$7:$F$56,$O1943))+N(INDEX('Menu Pricing'!$G$7:$G$56,$O1943))+N(INDEX('Menu Pricing'!$J$7:$J$56,$O1943)))</f>
        <v/>
      </c>
      <c r="K1943" s="71">
        <f>IF($N1943&lt;&gt;"OK","",$D1943*$J1943)</f>
        <v/>
      </c>
      <c r="L1943" s="71">
        <f>IF($N1943&lt;&gt;"OK","",$I1943-$K1943)</f>
        <v/>
      </c>
      <c r="M1943" s="71">
        <f>IF($N1943&lt;&gt;"OK","",$D1943*N(INDEX('Menu Pricing'!$F$7:$F$56,$O1943)))</f>
        <v/>
      </c>
      <c r="N1943" s="80">
        <f>IF(AND($B1943="",$C1943="",$D1943=""),"",IF(NOT(ISNUMBER($B1943)),"Enter a valid date",IF($C1943="","Pick a menu item",IF($O1943="","Item not on Menu Pricing",IF(N($D1943)&lt;=0,"Qty must be above 0",IF($H1943="","No price on menu","OK"))))))</f>
        <v/>
      </c>
      <c r="O1943" s="13">
        <f>IF($C1943="","",IFERROR(MATCH($C1943,'Menu Pricing'!$B$7:$B$56,0),""))</f>
        <v/>
      </c>
    </row>
    <row r="1944" ht="17" customHeight="1">
      <c r="B1944" s="66" t="n"/>
      <c r="C1944" s="60" t="n"/>
      <c r="D1944" s="86" t="n"/>
      <c r="E1944" s="63" t="n"/>
      <c r="F1944" s="60" t="n"/>
      <c r="G1944" s="60" t="n"/>
      <c r="H1944" s="71">
        <f>IF(OR($C1944="",$D1944=""),"",IF(ISNUMBER($E1944),$E1944,IF($O1944="","",IF(N(INDEX('Menu Pricing'!$O$7:$O$56,$O1944))&gt;0,INDEX('Menu Pricing'!$O$7:$O$56,$O1944),""))))</f>
        <v/>
      </c>
      <c r="I1944" s="71">
        <f>IF($N1944&lt;&gt;"OK","",$D1944*$H1944)</f>
        <v/>
      </c>
      <c r="J1944" s="71">
        <f>IF($N1944&lt;&gt;"OK","",N(INDEX('Menu Pricing'!$F$7:$F$56,$O1944))+N(INDEX('Menu Pricing'!$G$7:$G$56,$O1944))+N(INDEX('Menu Pricing'!$J$7:$J$56,$O1944)))</f>
        <v/>
      </c>
      <c r="K1944" s="71">
        <f>IF($N1944&lt;&gt;"OK","",$D1944*$J1944)</f>
        <v/>
      </c>
      <c r="L1944" s="71">
        <f>IF($N1944&lt;&gt;"OK","",$I1944-$K1944)</f>
        <v/>
      </c>
      <c r="M1944" s="71">
        <f>IF($N1944&lt;&gt;"OK","",$D1944*N(INDEX('Menu Pricing'!$F$7:$F$56,$O1944)))</f>
        <v/>
      </c>
      <c r="N1944" s="80">
        <f>IF(AND($B1944="",$C1944="",$D1944=""),"",IF(NOT(ISNUMBER($B1944)),"Enter a valid date",IF($C1944="","Pick a menu item",IF($O1944="","Item not on Menu Pricing",IF(N($D1944)&lt;=0,"Qty must be above 0",IF($H1944="","No price on menu","OK"))))))</f>
        <v/>
      </c>
      <c r="O1944" s="13">
        <f>IF($C1944="","",IFERROR(MATCH($C1944,'Menu Pricing'!$B$7:$B$56,0),""))</f>
        <v/>
      </c>
    </row>
    <row r="1945" ht="17" customHeight="1">
      <c r="B1945" s="66" t="n"/>
      <c r="C1945" s="60" t="n"/>
      <c r="D1945" s="86" t="n"/>
      <c r="E1945" s="63" t="n"/>
      <c r="F1945" s="60" t="n"/>
      <c r="G1945" s="60" t="n"/>
      <c r="H1945" s="71">
        <f>IF(OR($C1945="",$D1945=""),"",IF(ISNUMBER($E1945),$E1945,IF($O1945="","",IF(N(INDEX('Menu Pricing'!$O$7:$O$56,$O1945))&gt;0,INDEX('Menu Pricing'!$O$7:$O$56,$O1945),""))))</f>
        <v/>
      </c>
      <c r="I1945" s="71">
        <f>IF($N1945&lt;&gt;"OK","",$D1945*$H1945)</f>
        <v/>
      </c>
      <c r="J1945" s="71">
        <f>IF($N1945&lt;&gt;"OK","",N(INDEX('Menu Pricing'!$F$7:$F$56,$O1945))+N(INDEX('Menu Pricing'!$G$7:$G$56,$O1945))+N(INDEX('Menu Pricing'!$J$7:$J$56,$O1945)))</f>
        <v/>
      </c>
      <c r="K1945" s="71">
        <f>IF($N1945&lt;&gt;"OK","",$D1945*$J1945)</f>
        <v/>
      </c>
      <c r="L1945" s="71">
        <f>IF($N1945&lt;&gt;"OK","",$I1945-$K1945)</f>
        <v/>
      </c>
      <c r="M1945" s="71">
        <f>IF($N1945&lt;&gt;"OK","",$D1945*N(INDEX('Menu Pricing'!$F$7:$F$56,$O1945)))</f>
        <v/>
      </c>
      <c r="N1945" s="80">
        <f>IF(AND($B1945="",$C1945="",$D1945=""),"",IF(NOT(ISNUMBER($B1945)),"Enter a valid date",IF($C1945="","Pick a menu item",IF($O1945="","Item not on Menu Pricing",IF(N($D1945)&lt;=0,"Qty must be above 0",IF($H1945="","No price on menu","OK"))))))</f>
        <v/>
      </c>
      <c r="O1945" s="13">
        <f>IF($C1945="","",IFERROR(MATCH($C1945,'Menu Pricing'!$B$7:$B$56,0),""))</f>
        <v/>
      </c>
    </row>
    <row r="1946" ht="17" customHeight="1">
      <c r="B1946" s="66" t="n"/>
      <c r="C1946" s="60" t="n"/>
      <c r="D1946" s="86" t="n"/>
      <c r="E1946" s="63" t="n"/>
      <c r="F1946" s="60" t="n"/>
      <c r="G1946" s="60" t="n"/>
      <c r="H1946" s="71">
        <f>IF(OR($C1946="",$D1946=""),"",IF(ISNUMBER($E1946),$E1946,IF($O1946="","",IF(N(INDEX('Menu Pricing'!$O$7:$O$56,$O1946))&gt;0,INDEX('Menu Pricing'!$O$7:$O$56,$O1946),""))))</f>
        <v/>
      </c>
      <c r="I1946" s="71">
        <f>IF($N1946&lt;&gt;"OK","",$D1946*$H1946)</f>
        <v/>
      </c>
      <c r="J1946" s="71">
        <f>IF($N1946&lt;&gt;"OK","",N(INDEX('Menu Pricing'!$F$7:$F$56,$O1946))+N(INDEX('Menu Pricing'!$G$7:$G$56,$O1946))+N(INDEX('Menu Pricing'!$J$7:$J$56,$O1946)))</f>
        <v/>
      </c>
      <c r="K1946" s="71">
        <f>IF($N1946&lt;&gt;"OK","",$D1946*$J1946)</f>
        <v/>
      </c>
      <c r="L1946" s="71">
        <f>IF($N1946&lt;&gt;"OK","",$I1946-$K1946)</f>
        <v/>
      </c>
      <c r="M1946" s="71">
        <f>IF($N1946&lt;&gt;"OK","",$D1946*N(INDEX('Menu Pricing'!$F$7:$F$56,$O1946)))</f>
        <v/>
      </c>
      <c r="N1946" s="80">
        <f>IF(AND($B1946="",$C1946="",$D1946=""),"",IF(NOT(ISNUMBER($B1946)),"Enter a valid date",IF($C1946="","Pick a menu item",IF($O1946="","Item not on Menu Pricing",IF(N($D1946)&lt;=0,"Qty must be above 0",IF($H1946="","No price on menu","OK"))))))</f>
        <v/>
      </c>
      <c r="O1946" s="13">
        <f>IF($C1946="","",IFERROR(MATCH($C1946,'Menu Pricing'!$B$7:$B$56,0),""))</f>
        <v/>
      </c>
    </row>
    <row r="1947" ht="17" customHeight="1">
      <c r="B1947" s="66" t="n"/>
      <c r="C1947" s="60" t="n"/>
      <c r="D1947" s="86" t="n"/>
      <c r="E1947" s="63" t="n"/>
      <c r="F1947" s="60" t="n"/>
      <c r="G1947" s="60" t="n"/>
      <c r="H1947" s="71">
        <f>IF(OR($C1947="",$D1947=""),"",IF(ISNUMBER($E1947),$E1947,IF($O1947="","",IF(N(INDEX('Menu Pricing'!$O$7:$O$56,$O1947))&gt;0,INDEX('Menu Pricing'!$O$7:$O$56,$O1947),""))))</f>
        <v/>
      </c>
      <c r="I1947" s="71">
        <f>IF($N1947&lt;&gt;"OK","",$D1947*$H1947)</f>
        <v/>
      </c>
      <c r="J1947" s="71">
        <f>IF($N1947&lt;&gt;"OK","",N(INDEX('Menu Pricing'!$F$7:$F$56,$O1947))+N(INDEX('Menu Pricing'!$G$7:$G$56,$O1947))+N(INDEX('Menu Pricing'!$J$7:$J$56,$O1947)))</f>
        <v/>
      </c>
      <c r="K1947" s="71">
        <f>IF($N1947&lt;&gt;"OK","",$D1947*$J1947)</f>
        <v/>
      </c>
      <c r="L1947" s="71">
        <f>IF($N1947&lt;&gt;"OK","",$I1947-$K1947)</f>
        <v/>
      </c>
      <c r="M1947" s="71">
        <f>IF($N1947&lt;&gt;"OK","",$D1947*N(INDEX('Menu Pricing'!$F$7:$F$56,$O1947)))</f>
        <v/>
      </c>
      <c r="N1947" s="80">
        <f>IF(AND($B1947="",$C1947="",$D1947=""),"",IF(NOT(ISNUMBER($B1947)),"Enter a valid date",IF($C1947="","Pick a menu item",IF($O1947="","Item not on Menu Pricing",IF(N($D1947)&lt;=0,"Qty must be above 0",IF($H1947="","No price on menu","OK"))))))</f>
        <v/>
      </c>
      <c r="O1947" s="13">
        <f>IF($C1947="","",IFERROR(MATCH($C1947,'Menu Pricing'!$B$7:$B$56,0),""))</f>
        <v/>
      </c>
    </row>
    <row r="1948" ht="17" customHeight="1">
      <c r="B1948" s="66" t="n"/>
      <c r="C1948" s="60" t="n"/>
      <c r="D1948" s="86" t="n"/>
      <c r="E1948" s="63" t="n"/>
      <c r="F1948" s="60" t="n"/>
      <c r="G1948" s="60" t="n"/>
      <c r="H1948" s="71">
        <f>IF(OR($C1948="",$D1948=""),"",IF(ISNUMBER($E1948),$E1948,IF($O1948="","",IF(N(INDEX('Menu Pricing'!$O$7:$O$56,$O1948))&gt;0,INDEX('Menu Pricing'!$O$7:$O$56,$O1948),""))))</f>
        <v/>
      </c>
      <c r="I1948" s="71">
        <f>IF($N1948&lt;&gt;"OK","",$D1948*$H1948)</f>
        <v/>
      </c>
      <c r="J1948" s="71">
        <f>IF($N1948&lt;&gt;"OK","",N(INDEX('Menu Pricing'!$F$7:$F$56,$O1948))+N(INDEX('Menu Pricing'!$G$7:$G$56,$O1948))+N(INDEX('Menu Pricing'!$J$7:$J$56,$O1948)))</f>
        <v/>
      </c>
      <c r="K1948" s="71">
        <f>IF($N1948&lt;&gt;"OK","",$D1948*$J1948)</f>
        <v/>
      </c>
      <c r="L1948" s="71">
        <f>IF($N1948&lt;&gt;"OK","",$I1948-$K1948)</f>
        <v/>
      </c>
      <c r="M1948" s="71">
        <f>IF($N1948&lt;&gt;"OK","",$D1948*N(INDEX('Menu Pricing'!$F$7:$F$56,$O1948)))</f>
        <v/>
      </c>
      <c r="N1948" s="80">
        <f>IF(AND($B1948="",$C1948="",$D1948=""),"",IF(NOT(ISNUMBER($B1948)),"Enter a valid date",IF($C1948="","Pick a menu item",IF($O1948="","Item not on Menu Pricing",IF(N($D1948)&lt;=0,"Qty must be above 0",IF($H1948="","No price on menu","OK"))))))</f>
        <v/>
      </c>
      <c r="O1948" s="13">
        <f>IF($C1948="","",IFERROR(MATCH($C1948,'Menu Pricing'!$B$7:$B$56,0),""))</f>
        <v/>
      </c>
    </row>
    <row r="1949" ht="17" customHeight="1">
      <c r="B1949" s="66" t="n"/>
      <c r="C1949" s="60" t="n"/>
      <c r="D1949" s="86" t="n"/>
      <c r="E1949" s="63" t="n"/>
      <c r="F1949" s="60" t="n"/>
      <c r="G1949" s="60" t="n"/>
      <c r="H1949" s="71">
        <f>IF(OR($C1949="",$D1949=""),"",IF(ISNUMBER($E1949),$E1949,IF($O1949="","",IF(N(INDEX('Menu Pricing'!$O$7:$O$56,$O1949))&gt;0,INDEX('Menu Pricing'!$O$7:$O$56,$O1949),""))))</f>
        <v/>
      </c>
      <c r="I1949" s="71">
        <f>IF($N1949&lt;&gt;"OK","",$D1949*$H1949)</f>
        <v/>
      </c>
      <c r="J1949" s="71">
        <f>IF($N1949&lt;&gt;"OK","",N(INDEX('Menu Pricing'!$F$7:$F$56,$O1949))+N(INDEX('Menu Pricing'!$G$7:$G$56,$O1949))+N(INDEX('Menu Pricing'!$J$7:$J$56,$O1949)))</f>
        <v/>
      </c>
      <c r="K1949" s="71">
        <f>IF($N1949&lt;&gt;"OK","",$D1949*$J1949)</f>
        <v/>
      </c>
      <c r="L1949" s="71">
        <f>IF($N1949&lt;&gt;"OK","",$I1949-$K1949)</f>
        <v/>
      </c>
      <c r="M1949" s="71">
        <f>IF($N1949&lt;&gt;"OK","",$D1949*N(INDEX('Menu Pricing'!$F$7:$F$56,$O1949)))</f>
        <v/>
      </c>
      <c r="N1949" s="80">
        <f>IF(AND($B1949="",$C1949="",$D1949=""),"",IF(NOT(ISNUMBER($B1949)),"Enter a valid date",IF($C1949="","Pick a menu item",IF($O1949="","Item not on Menu Pricing",IF(N($D1949)&lt;=0,"Qty must be above 0",IF($H1949="","No price on menu","OK"))))))</f>
        <v/>
      </c>
      <c r="O1949" s="13">
        <f>IF($C1949="","",IFERROR(MATCH($C1949,'Menu Pricing'!$B$7:$B$56,0),""))</f>
        <v/>
      </c>
    </row>
    <row r="1950" ht="17" customHeight="1">
      <c r="B1950" s="66" t="n"/>
      <c r="C1950" s="60" t="n"/>
      <c r="D1950" s="86" t="n"/>
      <c r="E1950" s="63" t="n"/>
      <c r="F1950" s="60" t="n"/>
      <c r="G1950" s="60" t="n"/>
      <c r="H1950" s="71">
        <f>IF(OR($C1950="",$D1950=""),"",IF(ISNUMBER($E1950),$E1950,IF($O1950="","",IF(N(INDEX('Menu Pricing'!$O$7:$O$56,$O1950))&gt;0,INDEX('Menu Pricing'!$O$7:$O$56,$O1950),""))))</f>
        <v/>
      </c>
      <c r="I1950" s="71">
        <f>IF($N1950&lt;&gt;"OK","",$D1950*$H1950)</f>
        <v/>
      </c>
      <c r="J1950" s="71">
        <f>IF($N1950&lt;&gt;"OK","",N(INDEX('Menu Pricing'!$F$7:$F$56,$O1950))+N(INDEX('Menu Pricing'!$G$7:$G$56,$O1950))+N(INDEX('Menu Pricing'!$J$7:$J$56,$O1950)))</f>
        <v/>
      </c>
      <c r="K1950" s="71">
        <f>IF($N1950&lt;&gt;"OK","",$D1950*$J1950)</f>
        <v/>
      </c>
      <c r="L1950" s="71">
        <f>IF($N1950&lt;&gt;"OK","",$I1950-$K1950)</f>
        <v/>
      </c>
      <c r="M1950" s="71">
        <f>IF($N1950&lt;&gt;"OK","",$D1950*N(INDEX('Menu Pricing'!$F$7:$F$56,$O1950)))</f>
        <v/>
      </c>
      <c r="N1950" s="80">
        <f>IF(AND($B1950="",$C1950="",$D1950=""),"",IF(NOT(ISNUMBER($B1950)),"Enter a valid date",IF($C1950="","Pick a menu item",IF($O1950="","Item not on Menu Pricing",IF(N($D1950)&lt;=0,"Qty must be above 0",IF($H1950="","No price on menu","OK"))))))</f>
        <v/>
      </c>
      <c r="O1950" s="13">
        <f>IF($C1950="","",IFERROR(MATCH($C1950,'Menu Pricing'!$B$7:$B$56,0),""))</f>
        <v/>
      </c>
    </row>
    <row r="1951" ht="17" customHeight="1">
      <c r="B1951" s="66" t="n"/>
      <c r="C1951" s="60" t="n"/>
      <c r="D1951" s="86" t="n"/>
      <c r="E1951" s="63" t="n"/>
      <c r="F1951" s="60" t="n"/>
      <c r="G1951" s="60" t="n"/>
      <c r="H1951" s="71">
        <f>IF(OR($C1951="",$D1951=""),"",IF(ISNUMBER($E1951),$E1951,IF($O1951="","",IF(N(INDEX('Menu Pricing'!$O$7:$O$56,$O1951))&gt;0,INDEX('Menu Pricing'!$O$7:$O$56,$O1951),""))))</f>
        <v/>
      </c>
      <c r="I1951" s="71">
        <f>IF($N1951&lt;&gt;"OK","",$D1951*$H1951)</f>
        <v/>
      </c>
      <c r="J1951" s="71">
        <f>IF($N1951&lt;&gt;"OK","",N(INDEX('Menu Pricing'!$F$7:$F$56,$O1951))+N(INDEX('Menu Pricing'!$G$7:$G$56,$O1951))+N(INDEX('Menu Pricing'!$J$7:$J$56,$O1951)))</f>
        <v/>
      </c>
      <c r="K1951" s="71">
        <f>IF($N1951&lt;&gt;"OK","",$D1951*$J1951)</f>
        <v/>
      </c>
      <c r="L1951" s="71">
        <f>IF($N1951&lt;&gt;"OK","",$I1951-$K1951)</f>
        <v/>
      </c>
      <c r="M1951" s="71">
        <f>IF($N1951&lt;&gt;"OK","",$D1951*N(INDEX('Menu Pricing'!$F$7:$F$56,$O1951)))</f>
        <v/>
      </c>
      <c r="N1951" s="80">
        <f>IF(AND($B1951="",$C1951="",$D1951=""),"",IF(NOT(ISNUMBER($B1951)),"Enter a valid date",IF($C1951="","Pick a menu item",IF($O1951="","Item not on Menu Pricing",IF(N($D1951)&lt;=0,"Qty must be above 0",IF($H1951="","No price on menu","OK"))))))</f>
        <v/>
      </c>
      <c r="O1951" s="13">
        <f>IF($C1951="","",IFERROR(MATCH($C1951,'Menu Pricing'!$B$7:$B$56,0),""))</f>
        <v/>
      </c>
    </row>
    <row r="1952" ht="17" customHeight="1">
      <c r="B1952" s="66" t="n"/>
      <c r="C1952" s="60" t="n"/>
      <c r="D1952" s="86" t="n"/>
      <c r="E1952" s="63" t="n"/>
      <c r="F1952" s="60" t="n"/>
      <c r="G1952" s="60" t="n"/>
      <c r="H1952" s="71">
        <f>IF(OR($C1952="",$D1952=""),"",IF(ISNUMBER($E1952),$E1952,IF($O1952="","",IF(N(INDEX('Menu Pricing'!$O$7:$O$56,$O1952))&gt;0,INDEX('Menu Pricing'!$O$7:$O$56,$O1952),""))))</f>
        <v/>
      </c>
      <c r="I1952" s="71">
        <f>IF($N1952&lt;&gt;"OK","",$D1952*$H1952)</f>
        <v/>
      </c>
      <c r="J1952" s="71">
        <f>IF($N1952&lt;&gt;"OK","",N(INDEX('Menu Pricing'!$F$7:$F$56,$O1952))+N(INDEX('Menu Pricing'!$G$7:$G$56,$O1952))+N(INDEX('Menu Pricing'!$J$7:$J$56,$O1952)))</f>
        <v/>
      </c>
      <c r="K1952" s="71">
        <f>IF($N1952&lt;&gt;"OK","",$D1952*$J1952)</f>
        <v/>
      </c>
      <c r="L1952" s="71">
        <f>IF($N1952&lt;&gt;"OK","",$I1952-$K1952)</f>
        <v/>
      </c>
      <c r="M1952" s="71">
        <f>IF($N1952&lt;&gt;"OK","",$D1952*N(INDEX('Menu Pricing'!$F$7:$F$56,$O1952)))</f>
        <v/>
      </c>
      <c r="N1952" s="80">
        <f>IF(AND($B1952="",$C1952="",$D1952=""),"",IF(NOT(ISNUMBER($B1952)),"Enter a valid date",IF($C1952="","Pick a menu item",IF($O1952="","Item not on Menu Pricing",IF(N($D1952)&lt;=0,"Qty must be above 0",IF($H1952="","No price on menu","OK"))))))</f>
        <v/>
      </c>
      <c r="O1952" s="13">
        <f>IF($C1952="","",IFERROR(MATCH($C1952,'Menu Pricing'!$B$7:$B$56,0),""))</f>
        <v/>
      </c>
    </row>
    <row r="1953" ht="17" customHeight="1">
      <c r="B1953" s="66" t="n"/>
      <c r="C1953" s="60" t="n"/>
      <c r="D1953" s="86" t="n"/>
      <c r="E1953" s="63" t="n"/>
      <c r="F1953" s="60" t="n"/>
      <c r="G1953" s="60" t="n"/>
      <c r="H1953" s="71">
        <f>IF(OR($C1953="",$D1953=""),"",IF(ISNUMBER($E1953),$E1953,IF($O1953="","",IF(N(INDEX('Menu Pricing'!$O$7:$O$56,$O1953))&gt;0,INDEX('Menu Pricing'!$O$7:$O$56,$O1953),""))))</f>
        <v/>
      </c>
      <c r="I1953" s="71">
        <f>IF($N1953&lt;&gt;"OK","",$D1953*$H1953)</f>
        <v/>
      </c>
      <c r="J1953" s="71">
        <f>IF($N1953&lt;&gt;"OK","",N(INDEX('Menu Pricing'!$F$7:$F$56,$O1953))+N(INDEX('Menu Pricing'!$G$7:$G$56,$O1953))+N(INDEX('Menu Pricing'!$J$7:$J$56,$O1953)))</f>
        <v/>
      </c>
      <c r="K1953" s="71">
        <f>IF($N1953&lt;&gt;"OK","",$D1953*$J1953)</f>
        <v/>
      </c>
      <c r="L1953" s="71">
        <f>IF($N1953&lt;&gt;"OK","",$I1953-$K1953)</f>
        <v/>
      </c>
      <c r="M1953" s="71">
        <f>IF($N1953&lt;&gt;"OK","",$D1953*N(INDEX('Menu Pricing'!$F$7:$F$56,$O1953)))</f>
        <v/>
      </c>
      <c r="N1953" s="80">
        <f>IF(AND($B1953="",$C1953="",$D1953=""),"",IF(NOT(ISNUMBER($B1953)),"Enter a valid date",IF($C1953="","Pick a menu item",IF($O1953="","Item not on Menu Pricing",IF(N($D1953)&lt;=0,"Qty must be above 0",IF($H1953="","No price on menu","OK"))))))</f>
        <v/>
      </c>
      <c r="O1953" s="13">
        <f>IF($C1953="","",IFERROR(MATCH($C1953,'Menu Pricing'!$B$7:$B$56,0),""))</f>
        <v/>
      </c>
    </row>
    <row r="1954" ht="17" customHeight="1">
      <c r="B1954" s="66" t="n"/>
      <c r="C1954" s="60" t="n"/>
      <c r="D1954" s="86" t="n"/>
      <c r="E1954" s="63" t="n"/>
      <c r="F1954" s="60" t="n"/>
      <c r="G1954" s="60" t="n"/>
      <c r="H1954" s="71">
        <f>IF(OR($C1954="",$D1954=""),"",IF(ISNUMBER($E1954),$E1954,IF($O1954="","",IF(N(INDEX('Menu Pricing'!$O$7:$O$56,$O1954))&gt;0,INDEX('Menu Pricing'!$O$7:$O$56,$O1954),""))))</f>
        <v/>
      </c>
      <c r="I1954" s="71">
        <f>IF($N1954&lt;&gt;"OK","",$D1954*$H1954)</f>
        <v/>
      </c>
      <c r="J1954" s="71">
        <f>IF($N1954&lt;&gt;"OK","",N(INDEX('Menu Pricing'!$F$7:$F$56,$O1954))+N(INDEX('Menu Pricing'!$G$7:$G$56,$O1954))+N(INDEX('Menu Pricing'!$J$7:$J$56,$O1954)))</f>
        <v/>
      </c>
      <c r="K1954" s="71">
        <f>IF($N1954&lt;&gt;"OK","",$D1954*$J1954)</f>
        <v/>
      </c>
      <c r="L1954" s="71">
        <f>IF($N1954&lt;&gt;"OK","",$I1954-$K1954)</f>
        <v/>
      </c>
      <c r="M1954" s="71">
        <f>IF($N1954&lt;&gt;"OK","",$D1954*N(INDEX('Menu Pricing'!$F$7:$F$56,$O1954)))</f>
        <v/>
      </c>
      <c r="N1954" s="80">
        <f>IF(AND($B1954="",$C1954="",$D1954=""),"",IF(NOT(ISNUMBER($B1954)),"Enter a valid date",IF($C1954="","Pick a menu item",IF($O1954="","Item not on Menu Pricing",IF(N($D1954)&lt;=0,"Qty must be above 0",IF($H1954="","No price on menu","OK"))))))</f>
        <v/>
      </c>
      <c r="O1954" s="13">
        <f>IF($C1954="","",IFERROR(MATCH($C1954,'Menu Pricing'!$B$7:$B$56,0),""))</f>
        <v/>
      </c>
    </row>
    <row r="1955" ht="17" customHeight="1">
      <c r="B1955" s="66" t="n"/>
      <c r="C1955" s="60" t="n"/>
      <c r="D1955" s="86" t="n"/>
      <c r="E1955" s="63" t="n"/>
      <c r="F1955" s="60" t="n"/>
      <c r="G1955" s="60" t="n"/>
      <c r="H1955" s="71">
        <f>IF(OR($C1955="",$D1955=""),"",IF(ISNUMBER($E1955),$E1955,IF($O1955="","",IF(N(INDEX('Menu Pricing'!$O$7:$O$56,$O1955))&gt;0,INDEX('Menu Pricing'!$O$7:$O$56,$O1955),""))))</f>
        <v/>
      </c>
      <c r="I1955" s="71">
        <f>IF($N1955&lt;&gt;"OK","",$D1955*$H1955)</f>
        <v/>
      </c>
      <c r="J1955" s="71">
        <f>IF($N1955&lt;&gt;"OK","",N(INDEX('Menu Pricing'!$F$7:$F$56,$O1955))+N(INDEX('Menu Pricing'!$G$7:$G$56,$O1955))+N(INDEX('Menu Pricing'!$J$7:$J$56,$O1955)))</f>
        <v/>
      </c>
      <c r="K1955" s="71">
        <f>IF($N1955&lt;&gt;"OK","",$D1955*$J1955)</f>
        <v/>
      </c>
      <c r="L1955" s="71">
        <f>IF($N1955&lt;&gt;"OK","",$I1955-$K1955)</f>
        <v/>
      </c>
      <c r="M1955" s="71">
        <f>IF($N1955&lt;&gt;"OK","",$D1955*N(INDEX('Menu Pricing'!$F$7:$F$56,$O1955)))</f>
        <v/>
      </c>
      <c r="N1955" s="80">
        <f>IF(AND($B1955="",$C1955="",$D1955=""),"",IF(NOT(ISNUMBER($B1955)),"Enter a valid date",IF($C1955="","Pick a menu item",IF($O1955="","Item not on Menu Pricing",IF(N($D1955)&lt;=0,"Qty must be above 0",IF($H1955="","No price on menu","OK"))))))</f>
        <v/>
      </c>
      <c r="O1955" s="13">
        <f>IF($C1955="","",IFERROR(MATCH($C1955,'Menu Pricing'!$B$7:$B$56,0),""))</f>
        <v/>
      </c>
    </row>
    <row r="1956" ht="17" customHeight="1">
      <c r="B1956" s="66" t="n"/>
      <c r="C1956" s="60" t="n"/>
      <c r="D1956" s="86" t="n"/>
      <c r="E1956" s="63" t="n"/>
      <c r="F1956" s="60" t="n"/>
      <c r="G1956" s="60" t="n"/>
      <c r="H1956" s="71">
        <f>IF(OR($C1956="",$D1956=""),"",IF(ISNUMBER($E1956),$E1956,IF($O1956="","",IF(N(INDEX('Menu Pricing'!$O$7:$O$56,$O1956))&gt;0,INDEX('Menu Pricing'!$O$7:$O$56,$O1956),""))))</f>
        <v/>
      </c>
      <c r="I1956" s="71">
        <f>IF($N1956&lt;&gt;"OK","",$D1956*$H1956)</f>
        <v/>
      </c>
      <c r="J1956" s="71">
        <f>IF($N1956&lt;&gt;"OK","",N(INDEX('Menu Pricing'!$F$7:$F$56,$O1956))+N(INDEX('Menu Pricing'!$G$7:$G$56,$O1956))+N(INDEX('Menu Pricing'!$J$7:$J$56,$O1956)))</f>
        <v/>
      </c>
      <c r="K1956" s="71">
        <f>IF($N1956&lt;&gt;"OK","",$D1956*$J1956)</f>
        <v/>
      </c>
      <c r="L1956" s="71">
        <f>IF($N1956&lt;&gt;"OK","",$I1956-$K1956)</f>
        <v/>
      </c>
      <c r="M1956" s="71">
        <f>IF($N1956&lt;&gt;"OK","",$D1956*N(INDEX('Menu Pricing'!$F$7:$F$56,$O1956)))</f>
        <v/>
      </c>
      <c r="N1956" s="80">
        <f>IF(AND($B1956="",$C1956="",$D1956=""),"",IF(NOT(ISNUMBER($B1956)),"Enter a valid date",IF($C1956="","Pick a menu item",IF($O1956="","Item not on Menu Pricing",IF(N($D1956)&lt;=0,"Qty must be above 0",IF($H1956="","No price on menu","OK"))))))</f>
        <v/>
      </c>
      <c r="O1956" s="13">
        <f>IF($C1956="","",IFERROR(MATCH($C1956,'Menu Pricing'!$B$7:$B$56,0),""))</f>
        <v/>
      </c>
    </row>
    <row r="1957" ht="17" customHeight="1">
      <c r="B1957" s="66" t="n"/>
      <c r="C1957" s="60" t="n"/>
      <c r="D1957" s="86" t="n"/>
      <c r="E1957" s="63" t="n"/>
      <c r="F1957" s="60" t="n"/>
      <c r="G1957" s="60" t="n"/>
      <c r="H1957" s="71">
        <f>IF(OR($C1957="",$D1957=""),"",IF(ISNUMBER($E1957),$E1957,IF($O1957="","",IF(N(INDEX('Menu Pricing'!$O$7:$O$56,$O1957))&gt;0,INDEX('Menu Pricing'!$O$7:$O$56,$O1957),""))))</f>
        <v/>
      </c>
      <c r="I1957" s="71">
        <f>IF($N1957&lt;&gt;"OK","",$D1957*$H1957)</f>
        <v/>
      </c>
      <c r="J1957" s="71">
        <f>IF($N1957&lt;&gt;"OK","",N(INDEX('Menu Pricing'!$F$7:$F$56,$O1957))+N(INDEX('Menu Pricing'!$G$7:$G$56,$O1957))+N(INDEX('Menu Pricing'!$J$7:$J$56,$O1957)))</f>
        <v/>
      </c>
      <c r="K1957" s="71">
        <f>IF($N1957&lt;&gt;"OK","",$D1957*$J1957)</f>
        <v/>
      </c>
      <c r="L1957" s="71">
        <f>IF($N1957&lt;&gt;"OK","",$I1957-$K1957)</f>
        <v/>
      </c>
      <c r="M1957" s="71">
        <f>IF($N1957&lt;&gt;"OK","",$D1957*N(INDEX('Menu Pricing'!$F$7:$F$56,$O1957)))</f>
        <v/>
      </c>
      <c r="N1957" s="80">
        <f>IF(AND($B1957="",$C1957="",$D1957=""),"",IF(NOT(ISNUMBER($B1957)),"Enter a valid date",IF($C1957="","Pick a menu item",IF($O1957="","Item not on Menu Pricing",IF(N($D1957)&lt;=0,"Qty must be above 0",IF($H1957="","No price on menu","OK"))))))</f>
        <v/>
      </c>
      <c r="O1957" s="13">
        <f>IF($C1957="","",IFERROR(MATCH($C1957,'Menu Pricing'!$B$7:$B$56,0),""))</f>
        <v/>
      </c>
    </row>
    <row r="1958" ht="17" customHeight="1">
      <c r="B1958" s="66" t="n"/>
      <c r="C1958" s="60" t="n"/>
      <c r="D1958" s="86" t="n"/>
      <c r="E1958" s="63" t="n"/>
      <c r="F1958" s="60" t="n"/>
      <c r="G1958" s="60" t="n"/>
      <c r="H1958" s="71">
        <f>IF(OR($C1958="",$D1958=""),"",IF(ISNUMBER($E1958),$E1958,IF($O1958="","",IF(N(INDEX('Menu Pricing'!$O$7:$O$56,$O1958))&gt;0,INDEX('Menu Pricing'!$O$7:$O$56,$O1958),""))))</f>
        <v/>
      </c>
      <c r="I1958" s="71">
        <f>IF($N1958&lt;&gt;"OK","",$D1958*$H1958)</f>
        <v/>
      </c>
      <c r="J1958" s="71">
        <f>IF($N1958&lt;&gt;"OK","",N(INDEX('Menu Pricing'!$F$7:$F$56,$O1958))+N(INDEX('Menu Pricing'!$G$7:$G$56,$O1958))+N(INDEX('Menu Pricing'!$J$7:$J$56,$O1958)))</f>
        <v/>
      </c>
      <c r="K1958" s="71">
        <f>IF($N1958&lt;&gt;"OK","",$D1958*$J1958)</f>
        <v/>
      </c>
      <c r="L1958" s="71">
        <f>IF($N1958&lt;&gt;"OK","",$I1958-$K1958)</f>
        <v/>
      </c>
      <c r="M1958" s="71">
        <f>IF($N1958&lt;&gt;"OK","",$D1958*N(INDEX('Menu Pricing'!$F$7:$F$56,$O1958)))</f>
        <v/>
      </c>
      <c r="N1958" s="80">
        <f>IF(AND($B1958="",$C1958="",$D1958=""),"",IF(NOT(ISNUMBER($B1958)),"Enter a valid date",IF($C1958="","Pick a menu item",IF($O1958="","Item not on Menu Pricing",IF(N($D1958)&lt;=0,"Qty must be above 0",IF($H1958="","No price on menu","OK"))))))</f>
        <v/>
      </c>
      <c r="O1958" s="13">
        <f>IF($C1958="","",IFERROR(MATCH($C1958,'Menu Pricing'!$B$7:$B$56,0),""))</f>
        <v/>
      </c>
    </row>
    <row r="1959" ht="17" customHeight="1">
      <c r="B1959" s="66" t="n"/>
      <c r="C1959" s="60" t="n"/>
      <c r="D1959" s="86" t="n"/>
      <c r="E1959" s="63" t="n"/>
      <c r="F1959" s="60" t="n"/>
      <c r="G1959" s="60" t="n"/>
      <c r="H1959" s="71">
        <f>IF(OR($C1959="",$D1959=""),"",IF(ISNUMBER($E1959),$E1959,IF($O1959="","",IF(N(INDEX('Menu Pricing'!$O$7:$O$56,$O1959))&gt;0,INDEX('Menu Pricing'!$O$7:$O$56,$O1959),""))))</f>
        <v/>
      </c>
      <c r="I1959" s="71">
        <f>IF($N1959&lt;&gt;"OK","",$D1959*$H1959)</f>
        <v/>
      </c>
      <c r="J1959" s="71">
        <f>IF($N1959&lt;&gt;"OK","",N(INDEX('Menu Pricing'!$F$7:$F$56,$O1959))+N(INDEX('Menu Pricing'!$G$7:$G$56,$O1959))+N(INDEX('Menu Pricing'!$J$7:$J$56,$O1959)))</f>
        <v/>
      </c>
      <c r="K1959" s="71">
        <f>IF($N1959&lt;&gt;"OK","",$D1959*$J1959)</f>
        <v/>
      </c>
      <c r="L1959" s="71">
        <f>IF($N1959&lt;&gt;"OK","",$I1959-$K1959)</f>
        <v/>
      </c>
      <c r="M1959" s="71">
        <f>IF($N1959&lt;&gt;"OK","",$D1959*N(INDEX('Menu Pricing'!$F$7:$F$56,$O1959)))</f>
        <v/>
      </c>
      <c r="N1959" s="80">
        <f>IF(AND($B1959="",$C1959="",$D1959=""),"",IF(NOT(ISNUMBER($B1959)),"Enter a valid date",IF($C1959="","Pick a menu item",IF($O1959="","Item not on Menu Pricing",IF(N($D1959)&lt;=0,"Qty must be above 0",IF($H1959="","No price on menu","OK"))))))</f>
        <v/>
      </c>
      <c r="O1959" s="13">
        <f>IF($C1959="","",IFERROR(MATCH($C1959,'Menu Pricing'!$B$7:$B$56,0),""))</f>
        <v/>
      </c>
    </row>
    <row r="1960" ht="17" customHeight="1">
      <c r="B1960" s="66" t="n"/>
      <c r="C1960" s="60" t="n"/>
      <c r="D1960" s="86" t="n"/>
      <c r="E1960" s="63" t="n"/>
      <c r="F1960" s="60" t="n"/>
      <c r="G1960" s="60" t="n"/>
      <c r="H1960" s="71">
        <f>IF(OR($C1960="",$D1960=""),"",IF(ISNUMBER($E1960),$E1960,IF($O1960="","",IF(N(INDEX('Menu Pricing'!$O$7:$O$56,$O1960))&gt;0,INDEX('Menu Pricing'!$O$7:$O$56,$O1960),""))))</f>
        <v/>
      </c>
      <c r="I1960" s="71">
        <f>IF($N1960&lt;&gt;"OK","",$D1960*$H1960)</f>
        <v/>
      </c>
      <c r="J1960" s="71">
        <f>IF($N1960&lt;&gt;"OK","",N(INDEX('Menu Pricing'!$F$7:$F$56,$O1960))+N(INDEX('Menu Pricing'!$G$7:$G$56,$O1960))+N(INDEX('Menu Pricing'!$J$7:$J$56,$O1960)))</f>
        <v/>
      </c>
      <c r="K1960" s="71">
        <f>IF($N1960&lt;&gt;"OK","",$D1960*$J1960)</f>
        <v/>
      </c>
      <c r="L1960" s="71">
        <f>IF($N1960&lt;&gt;"OK","",$I1960-$K1960)</f>
        <v/>
      </c>
      <c r="M1960" s="71">
        <f>IF($N1960&lt;&gt;"OK","",$D1960*N(INDEX('Menu Pricing'!$F$7:$F$56,$O1960)))</f>
        <v/>
      </c>
      <c r="N1960" s="80">
        <f>IF(AND($B1960="",$C1960="",$D1960=""),"",IF(NOT(ISNUMBER($B1960)),"Enter a valid date",IF($C1960="","Pick a menu item",IF($O1960="","Item not on Menu Pricing",IF(N($D1960)&lt;=0,"Qty must be above 0",IF($H1960="","No price on menu","OK"))))))</f>
        <v/>
      </c>
      <c r="O1960" s="13">
        <f>IF($C1960="","",IFERROR(MATCH($C1960,'Menu Pricing'!$B$7:$B$56,0),""))</f>
        <v/>
      </c>
    </row>
    <row r="1961" ht="17" customHeight="1">
      <c r="B1961" s="66" t="n"/>
      <c r="C1961" s="60" t="n"/>
      <c r="D1961" s="86" t="n"/>
      <c r="E1961" s="63" t="n"/>
      <c r="F1961" s="60" t="n"/>
      <c r="G1961" s="60" t="n"/>
      <c r="H1961" s="71">
        <f>IF(OR($C1961="",$D1961=""),"",IF(ISNUMBER($E1961),$E1961,IF($O1961="","",IF(N(INDEX('Menu Pricing'!$O$7:$O$56,$O1961))&gt;0,INDEX('Menu Pricing'!$O$7:$O$56,$O1961),""))))</f>
        <v/>
      </c>
      <c r="I1961" s="71">
        <f>IF($N1961&lt;&gt;"OK","",$D1961*$H1961)</f>
        <v/>
      </c>
      <c r="J1961" s="71">
        <f>IF($N1961&lt;&gt;"OK","",N(INDEX('Menu Pricing'!$F$7:$F$56,$O1961))+N(INDEX('Menu Pricing'!$G$7:$G$56,$O1961))+N(INDEX('Menu Pricing'!$J$7:$J$56,$O1961)))</f>
        <v/>
      </c>
      <c r="K1961" s="71">
        <f>IF($N1961&lt;&gt;"OK","",$D1961*$J1961)</f>
        <v/>
      </c>
      <c r="L1961" s="71">
        <f>IF($N1961&lt;&gt;"OK","",$I1961-$K1961)</f>
        <v/>
      </c>
      <c r="M1961" s="71">
        <f>IF($N1961&lt;&gt;"OK","",$D1961*N(INDEX('Menu Pricing'!$F$7:$F$56,$O1961)))</f>
        <v/>
      </c>
      <c r="N1961" s="80">
        <f>IF(AND($B1961="",$C1961="",$D1961=""),"",IF(NOT(ISNUMBER($B1961)),"Enter a valid date",IF($C1961="","Pick a menu item",IF($O1961="","Item not on Menu Pricing",IF(N($D1961)&lt;=0,"Qty must be above 0",IF($H1961="","No price on menu","OK"))))))</f>
        <v/>
      </c>
      <c r="O1961" s="13">
        <f>IF($C1961="","",IFERROR(MATCH($C1961,'Menu Pricing'!$B$7:$B$56,0),""))</f>
        <v/>
      </c>
    </row>
    <row r="1962" ht="17" customHeight="1">
      <c r="B1962" s="66" t="n"/>
      <c r="C1962" s="60" t="n"/>
      <c r="D1962" s="86" t="n"/>
      <c r="E1962" s="63" t="n"/>
      <c r="F1962" s="60" t="n"/>
      <c r="G1962" s="60" t="n"/>
      <c r="H1962" s="71">
        <f>IF(OR($C1962="",$D1962=""),"",IF(ISNUMBER($E1962),$E1962,IF($O1962="","",IF(N(INDEX('Menu Pricing'!$O$7:$O$56,$O1962))&gt;0,INDEX('Menu Pricing'!$O$7:$O$56,$O1962),""))))</f>
        <v/>
      </c>
      <c r="I1962" s="71">
        <f>IF($N1962&lt;&gt;"OK","",$D1962*$H1962)</f>
        <v/>
      </c>
      <c r="J1962" s="71">
        <f>IF($N1962&lt;&gt;"OK","",N(INDEX('Menu Pricing'!$F$7:$F$56,$O1962))+N(INDEX('Menu Pricing'!$G$7:$G$56,$O1962))+N(INDEX('Menu Pricing'!$J$7:$J$56,$O1962)))</f>
        <v/>
      </c>
      <c r="K1962" s="71">
        <f>IF($N1962&lt;&gt;"OK","",$D1962*$J1962)</f>
        <v/>
      </c>
      <c r="L1962" s="71">
        <f>IF($N1962&lt;&gt;"OK","",$I1962-$K1962)</f>
        <v/>
      </c>
      <c r="M1962" s="71">
        <f>IF($N1962&lt;&gt;"OK","",$D1962*N(INDEX('Menu Pricing'!$F$7:$F$56,$O1962)))</f>
        <v/>
      </c>
      <c r="N1962" s="80">
        <f>IF(AND($B1962="",$C1962="",$D1962=""),"",IF(NOT(ISNUMBER($B1962)),"Enter a valid date",IF($C1962="","Pick a menu item",IF($O1962="","Item not on Menu Pricing",IF(N($D1962)&lt;=0,"Qty must be above 0",IF($H1962="","No price on menu","OK"))))))</f>
        <v/>
      </c>
      <c r="O1962" s="13">
        <f>IF($C1962="","",IFERROR(MATCH($C1962,'Menu Pricing'!$B$7:$B$56,0),""))</f>
        <v/>
      </c>
    </row>
    <row r="1963" ht="17" customHeight="1">
      <c r="B1963" s="66" t="n"/>
      <c r="C1963" s="60" t="n"/>
      <c r="D1963" s="86" t="n"/>
      <c r="E1963" s="63" t="n"/>
      <c r="F1963" s="60" t="n"/>
      <c r="G1963" s="60" t="n"/>
      <c r="H1963" s="71">
        <f>IF(OR($C1963="",$D1963=""),"",IF(ISNUMBER($E1963),$E1963,IF($O1963="","",IF(N(INDEX('Menu Pricing'!$O$7:$O$56,$O1963))&gt;0,INDEX('Menu Pricing'!$O$7:$O$56,$O1963),""))))</f>
        <v/>
      </c>
      <c r="I1963" s="71">
        <f>IF($N1963&lt;&gt;"OK","",$D1963*$H1963)</f>
        <v/>
      </c>
      <c r="J1963" s="71">
        <f>IF($N1963&lt;&gt;"OK","",N(INDEX('Menu Pricing'!$F$7:$F$56,$O1963))+N(INDEX('Menu Pricing'!$G$7:$G$56,$O1963))+N(INDEX('Menu Pricing'!$J$7:$J$56,$O1963)))</f>
        <v/>
      </c>
      <c r="K1963" s="71">
        <f>IF($N1963&lt;&gt;"OK","",$D1963*$J1963)</f>
        <v/>
      </c>
      <c r="L1963" s="71">
        <f>IF($N1963&lt;&gt;"OK","",$I1963-$K1963)</f>
        <v/>
      </c>
      <c r="M1963" s="71">
        <f>IF($N1963&lt;&gt;"OK","",$D1963*N(INDEX('Menu Pricing'!$F$7:$F$56,$O1963)))</f>
        <v/>
      </c>
      <c r="N1963" s="80">
        <f>IF(AND($B1963="",$C1963="",$D1963=""),"",IF(NOT(ISNUMBER($B1963)),"Enter a valid date",IF($C1963="","Pick a menu item",IF($O1963="","Item not on Menu Pricing",IF(N($D1963)&lt;=0,"Qty must be above 0",IF($H1963="","No price on menu","OK"))))))</f>
        <v/>
      </c>
      <c r="O1963" s="13">
        <f>IF($C1963="","",IFERROR(MATCH($C1963,'Menu Pricing'!$B$7:$B$56,0),""))</f>
        <v/>
      </c>
    </row>
    <row r="1964" ht="17" customHeight="1">
      <c r="B1964" s="66" t="n"/>
      <c r="C1964" s="60" t="n"/>
      <c r="D1964" s="86" t="n"/>
      <c r="E1964" s="63" t="n"/>
      <c r="F1964" s="60" t="n"/>
      <c r="G1964" s="60" t="n"/>
      <c r="H1964" s="71">
        <f>IF(OR($C1964="",$D1964=""),"",IF(ISNUMBER($E1964),$E1964,IF($O1964="","",IF(N(INDEX('Menu Pricing'!$O$7:$O$56,$O1964))&gt;0,INDEX('Menu Pricing'!$O$7:$O$56,$O1964),""))))</f>
        <v/>
      </c>
      <c r="I1964" s="71">
        <f>IF($N1964&lt;&gt;"OK","",$D1964*$H1964)</f>
        <v/>
      </c>
      <c r="J1964" s="71">
        <f>IF($N1964&lt;&gt;"OK","",N(INDEX('Menu Pricing'!$F$7:$F$56,$O1964))+N(INDEX('Menu Pricing'!$G$7:$G$56,$O1964))+N(INDEX('Menu Pricing'!$J$7:$J$56,$O1964)))</f>
        <v/>
      </c>
      <c r="K1964" s="71">
        <f>IF($N1964&lt;&gt;"OK","",$D1964*$J1964)</f>
        <v/>
      </c>
      <c r="L1964" s="71">
        <f>IF($N1964&lt;&gt;"OK","",$I1964-$K1964)</f>
        <v/>
      </c>
      <c r="M1964" s="71">
        <f>IF($N1964&lt;&gt;"OK","",$D1964*N(INDEX('Menu Pricing'!$F$7:$F$56,$O1964)))</f>
        <v/>
      </c>
      <c r="N1964" s="80">
        <f>IF(AND($B1964="",$C1964="",$D1964=""),"",IF(NOT(ISNUMBER($B1964)),"Enter a valid date",IF($C1964="","Pick a menu item",IF($O1964="","Item not on Menu Pricing",IF(N($D1964)&lt;=0,"Qty must be above 0",IF($H1964="","No price on menu","OK"))))))</f>
        <v/>
      </c>
      <c r="O1964" s="13">
        <f>IF($C1964="","",IFERROR(MATCH($C1964,'Menu Pricing'!$B$7:$B$56,0),""))</f>
        <v/>
      </c>
    </row>
    <row r="1965" ht="17" customHeight="1">
      <c r="B1965" s="66" t="n"/>
      <c r="C1965" s="60" t="n"/>
      <c r="D1965" s="86" t="n"/>
      <c r="E1965" s="63" t="n"/>
      <c r="F1965" s="60" t="n"/>
      <c r="G1965" s="60" t="n"/>
      <c r="H1965" s="71">
        <f>IF(OR($C1965="",$D1965=""),"",IF(ISNUMBER($E1965),$E1965,IF($O1965="","",IF(N(INDEX('Menu Pricing'!$O$7:$O$56,$O1965))&gt;0,INDEX('Menu Pricing'!$O$7:$O$56,$O1965),""))))</f>
        <v/>
      </c>
      <c r="I1965" s="71">
        <f>IF($N1965&lt;&gt;"OK","",$D1965*$H1965)</f>
        <v/>
      </c>
      <c r="J1965" s="71">
        <f>IF($N1965&lt;&gt;"OK","",N(INDEX('Menu Pricing'!$F$7:$F$56,$O1965))+N(INDEX('Menu Pricing'!$G$7:$G$56,$O1965))+N(INDEX('Menu Pricing'!$J$7:$J$56,$O1965)))</f>
        <v/>
      </c>
      <c r="K1965" s="71">
        <f>IF($N1965&lt;&gt;"OK","",$D1965*$J1965)</f>
        <v/>
      </c>
      <c r="L1965" s="71">
        <f>IF($N1965&lt;&gt;"OK","",$I1965-$K1965)</f>
        <v/>
      </c>
      <c r="M1965" s="71">
        <f>IF($N1965&lt;&gt;"OK","",$D1965*N(INDEX('Menu Pricing'!$F$7:$F$56,$O1965)))</f>
        <v/>
      </c>
      <c r="N1965" s="80">
        <f>IF(AND($B1965="",$C1965="",$D1965=""),"",IF(NOT(ISNUMBER($B1965)),"Enter a valid date",IF($C1965="","Pick a menu item",IF($O1965="","Item not on Menu Pricing",IF(N($D1965)&lt;=0,"Qty must be above 0",IF($H1965="","No price on menu","OK"))))))</f>
        <v/>
      </c>
      <c r="O1965" s="13">
        <f>IF($C1965="","",IFERROR(MATCH($C1965,'Menu Pricing'!$B$7:$B$56,0),""))</f>
        <v/>
      </c>
    </row>
    <row r="1966" ht="17" customHeight="1">
      <c r="B1966" s="66" t="n"/>
      <c r="C1966" s="60" t="n"/>
      <c r="D1966" s="86" t="n"/>
      <c r="E1966" s="63" t="n"/>
      <c r="F1966" s="60" t="n"/>
      <c r="G1966" s="60" t="n"/>
      <c r="H1966" s="71">
        <f>IF(OR($C1966="",$D1966=""),"",IF(ISNUMBER($E1966),$E1966,IF($O1966="","",IF(N(INDEX('Menu Pricing'!$O$7:$O$56,$O1966))&gt;0,INDEX('Menu Pricing'!$O$7:$O$56,$O1966),""))))</f>
        <v/>
      </c>
      <c r="I1966" s="71">
        <f>IF($N1966&lt;&gt;"OK","",$D1966*$H1966)</f>
        <v/>
      </c>
      <c r="J1966" s="71">
        <f>IF($N1966&lt;&gt;"OK","",N(INDEX('Menu Pricing'!$F$7:$F$56,$O1966))+N(INDEX('Menu Pricing'!$G$7:$G$56,$O1966))+N(INDEX('Menu Pricing'!$J$7:$J$56,$O1966)))</f>
        <v/>
      </c>
      <c r="K1966" s="71">
        <f>IF($N1966&lt;&gt;"OK","",$D1966*$J1966)</f>
        <v/>
      </c>
      <c r="L1966" s="71">
        <f>IF($N1966&lt;&gt;"OK","",$I1966-$K1966)</f>
        <v/>
      </c>
      <c r="M1966" s="71">
        <f>IF($N1966&lt;&gt;"OK","",$D1966*N(INDEX('Menu Pricing'!$F$7:$F$56,$O1966)))</f>
        <v/>
      </c>
      <c r="N1966" s="80">
        <f>IF(AND($B1966="",$C1966="",$D1966=""),"",IF(NOT(ISNUMBER($B1966)),"Enter a valid date",IF($C1966="","Pick a menu item",IF($O1966="","Item not on Menu Pricing",IF(N($D1966)&lt;=0,"Qty must be above 0",IF($H1966="","No price on menu","OK"))))))</f>
        <v/>
      </c>
      <c r="O1966" s="13">
        <f>IF($C1966="","",IFERROR(MATCH($C1966,'Menu Pricing'!$B$7:$B$56,0),""))</f>
        <v/>
      </c>
    </row>
    <row r="1967" ht="17" customHeight="1">
      <c r="B1967" s="66" t="n"/>
      <c r="C1967" s="60" t="n"/>
      <c r="D1967" s="86" t="n"/>
      <c r="E1967" s="63" t="n"/>
      <c r="F1967" s="60" t="n"/>
      <c r="G1967" s="60" t="n"/>
      <c r="H1967" s="71">
        <f>IF(OR($C1967="",$D1967=""),"",IF(ISNUMBER($E1967),$E1967,IF($O1967="","",IF(N(INDEX('Menu Pricing'!$O$7:$O$56,$O1967))&gt;0,INDEX('Menu Pricing'!$O$7:$O$56,$O1967),""))))</f>
        <v/>
      </c>
      <c r="I1967" s="71">
        <f>IF($N1967&lt;&gt;"OK","",$D1967*$H1967)</f>
        <v/>
      </c>
      <c r="J1967" s="71">
        <f>IF($N1967&lt;&gt;"OK","",N(INDEX('Menu Pricing'!$F$7:$F$56,$O1967))+N(INDEX('Menu Pricing'!$G$7:$G$56,$O1967))+N(INDEX('Menu Pricing'!$J$7:$J$56,$O1967)))</f>
        <v/>
      </c>
      <c r="K1967" s="71">
        <f>IF($N1967&lt;&gt;"OK","",$D1967*$J1967)</f>
        <v/>
      </c>
      <c r="L1967" s="71">
        <f>IF($N1967&lt;&gt;"OK","",$I1967-$K1967)</f>
        <v/>
      </c>
      <c r="M1967" s="71">
        <f>IF($N1967&lt;&gt;"OK","",$D1967*N(INDEX('Menu Pricing'!$F$7:$F$56,$O1967)))</f>
        <v/>
      </c>
      <c r="N1967" s="80">
        <f>IF(AND($B1967="",$C1967="",$D1967=""),"",IF(NOT(ISNUMBER($B1967)),"Enter a valid date",IF($C1967="","Pick a menu item",IF($O1967="","Item not on Menu Pricing",IF(N($D1967)&lt;=0,"Qty must be above 0",IF($H1967="","No price on menu","OK"))))))</f>
        <v/>
      </c>
      <c r="O1967" s="13">
        <f>IF($C1967="","",IFERROR(MATCH($C1967,'Menu Pricing'!$B$7:$B$56,0),""))</f>
        <v/>
      </c>
    </row>
    <row r="1968" ht="17" customHeight="1">
      <c r="B1968" s="66" t="n"/>
      <c r="C1968" s="60" t="n"/>
      <c r="D1968" s="86" t="n"/>
      <c r="E1968" s="63" t="n"/>
      <c r="F1968" s="60" t="n"/>
      <c r="G1968" s="60" t="n"/>
      <c r="H1968" s="71">
        <f>IF(OR($C1968="",$D1968=""),"",IF(ISNUMBER($E1968),$E1968,IF($O1968="","",IF(N(INDEX('Menu Pricing'!$O$7:$O$56,$O1968))&gt;0,INDEX('Menu Pricing'!$O$7:$O$56,$O1968),""))))</f>
        <v/>
      </c>
      <c r="I1968" s="71">
        <f>IF($N1968&lt;&gt;"OK","",$D1968*$H1968)</f>
        <v/>
      </c>
      <c r="J1968" s="71">
        <f>IF($N1968&lt;&gt;"OK","",N(INDEX('Menu Pricing'!$F$7:$F$56,$O1968))+N(INDEX('Menu Pricing'!$G$7:$G$56,$O1968))+N(INDEX('Menu Pricing'!$J$7:$J$56,$O1968)))</f>
        <v/>
      </c>
      <c r="K1968" s="71">
        <f>IF($N1968&lt;&gt;"OK","",$D1968*$J1968)</f>
        <v/>
      </c>
      <c r="L1968" s="71">
        <f>IF($N1968&lt;&gt;"OK","",$I1968-$K1968)</f>
        <v/>
      </c>
      <c r="M1968" s="71">
        <f>IF($N1968&lt;&gt;"OK","",$D1968*N(INDEX('Menu Pricing'!$F$7:$F$56,$O1968)))</f>
        <v/>
      </c>
      <c r="N1968" s="80">
        <f>IF(AND($B1968="",$C1968="",$D1968=""),"",IF(NOT(ISNUMBER($B1968)),"Enter a valid date",IF($C1968="","Pick a menu item",IF($O1968="","Item not on Menu Pricing",IF(N($D1968)&lt;=0,"Qty must be above 0",IF($H1968="","No price on menu","OK"))))))</f>
        <v/>
      </c>
      <c r="O1968" s="13">
        <f>IF($C1968="","",IFERROR(MATCH($C1968,'Menu Pricing'!$B$7:$B$56,0),""))</f>
        <v/>
      </c>
    </row>
    <row r="1969" ht="17" customHeight="1">
      <c r="B1969" s="66" t="n"/>
      <c r="C1969" s="60" t="n"/>
      <c r="D1969" s="86" t="n"/>
      <c r="E1969" s="63" t="n"/>
      <c r="F1969" s="60" t="n"/>
      <c r="G1969" s="60" t="n"/>
      <c r="H1969" s="71">
        <f>IF(OR($C1969="",$D1969=""),"",IF(ISNUMBER($E1969),$E1969,IF($O1969="","",IF(N(INDEX('Menu Pricing'!$O$7:$O$56,$O1969))&gt;0,INDEX('Menu Pricing'!$O$7:$O$56,$O1969),""))))</f>
        <v/>
      </c>
      <c r="I1969" s="71">
        <f>IF($N1969&lt;&gt;"OK","",$D1969*$H1969)</f>
        <v/>
      </c>
      <c r="J1969" s="71">
        <f>IF($N1969&lt;&gt;"OK","",N(INDEX('Menu Pricing'!$F$7:$F$56,$O1969))+N(INDEX('Menu Pricing'!$G$7:$G$56,$O1969))+N(INDEX('Menu Pricing'!$J$7:$J$56,$O1969)))</f>
        <v/>
      </c>
      <c r="K1969" s="71">
        <f>IF($N1969&lt;&gt;"OK","",$D1969*$J1969)</f>
        <v/>
      </c>
      <c r="L1969" s="71">
        <f>IF($N1969&lt;&gt;"OK","",$I1969-$K1969)</f>
        <v/>
      </c>
      <c r="M1969" s="71">
        <f>IF($N1969&lt;&gt;"OK","",$D1969*N(INDEX('Menu Pricing'!$F$7:$F$56,$O1969)))</f>
        <v/>
      </c>
      <c r="N1969" s="80">
        <f>IF(AND($B1969="",$C1969="",$D1969=""),"",IF(NOT(ISNUMBER($B1969)),"Enter a valid date",IF($C1969="","Pick a menu item",IF($O1969="","Item not on Menu Pricing",IF(N($D1969)&lt;=0,"Qty must be above 0",IF($H1969="","No price on menu","OK"))))))</f>
        <v/>
      </c>
      <c r="O1969" s="13">
        <f>IF($C1969="","",IFERROR(MATCH($C1969,'Menu Pricing'!$B$7:$B$56,0),""))</f>
        <v/>
      </c>
    </row>
    <row r="1970" ht="17" customHeight="1">
      <c r="B1970" s="66" t="n"/>
      <c r="C1970" s="60" t="n"/>
      <c r="D1970" s="86" t="n"/>
      <c r="E1970" s="63" t="n"/>
      <c r="F1970" s="60" t="n"/>
      <c r="G1970" s="60" t="n"/>
      <c r="H1970" s="71">
        <f>IF(OR($C1970="",$D1970=""),"",IF(ISNUMBER($E1970),$E1970,IF($O1970="","",IF(N(INDEX('Menu Pricing'!$O$7:$O$56,$O1970))&gt;0,INDEX('Menu Pricing'!$O$7:$O$56,$O1970),""))))</f>
        <v/>
      </c>
      <c r="I1970" s="71">
        <f>IF($N1970&lt;&gt;"OK","",$D1970*$H1970)</f>
        <v/>
      </c>
      <c r="J1970" s="71">
        <f>IF($N1970&lt;&gt;"OK","",N(INDEX('Menu Pricing'!$F$7:$F$56,$O1970))+N(INDEX('Menu Pricing'!$G$7:$G$56,$O1970))+N(INDEX('Menu Pricing'!$J$7:$J$56,$O1970)))</f>
        <v/>
      </c>
      <c r="K1970" s="71">
        <f>IF($N1970&lt;&gt;"OK","",$D1970*$J1970)</f>
        <v/>
      </c>
      <c r="L1970" s="71">
        <f>IF($N1970&lt;&gt;"OK","",$I1970-$K1970)</f>
        <v/>
      </c>
      <c r="M1970" s="71">
        <f>IF($N1970&lt;&gt;"OK","",$D1970*N(INDEX('Menu Pricing'!$F$7:$F$56,$O1970)))</f>
        <v/>
      </c>
      <c r="N1970" s="80">
        <f>IF(AND($B1970="",$C1970="",$D1970=""),"",IF(NOT(ISNUMBER($B1970)),"Enter a valid date",IF($C1970="","Pick a menu item",IF($O1970="","Item not on Menu Pricing",IF(N($D1970)&lt;=0,"Qty must be above 0",IF($H1970="","No price on menu","OK"))))))</f>
        <v/>
      </c>
      <c r="O1970" s="13">
        <f>IF($C1970="","",IFERROR(MATCH($C1970,'Menu Pricing'!$B$7:$B$56,0),""))</f>
        <v/>
      </c>
    </row>
    <row r="1971" ht="17" customHeight="1">
      <c r="B1971" s="66" t="n"/>
      <c r="C1971" s="60" t="n"/>
      <c r="D1971" s="86" t="n"/>
      <c r="E1971" s="63" t="n"/>
      <c r="F1971" s="60" t="n"/>
      <c r="G1971" s="60" t="n"/>
      <c r="H1971" s="71">
        <f>IF(OR($C1971="",$D1971=""),"",IF(ISNUMBER($E1971),$E1971,IF($O1971="","",IF(N(INDEX('Menu Pricing'!$O$7:$O$56,$O1971))&gt;0,INDEX('Menu Pricing'!$O$7:$O$56,$O1971),""))))</f>
        <v/>
      </c>
      <c r="I1971" s="71">
        <f>IF($N1971&lt;&gt;"OK","",$D1971*$H1971)</f>
        <v/>
      </c>
      <c r="J1971" s="71">
        <f>IF($N1971&lt;&gt;"OK","",N(INDEX('Menu Pricing'!$F$7:$F$56,$O1971))+N(INDEX('Menu Pricing'!$G$7:$G$56,$O1971))+N(INDEX('Menu Pricing'!$J$7:$J$56,$O1971)))</f>
        <v/>
      </c>
      <c r="K1971" s="71">
        <f>IF($N1971&lt;&gt;"OK","",$D1971*$J1971)</f>
        <v/>
      </c>
      <c r="L1971" s="71">
        <f>IF($N1971&lt;&gt;"OK","",$I1971-$K1971)</f>
        <v/>
      </c>
      <c r="M1971" s="71">
        <f>IF($N1971&lt;&gt;"OK","",$D1971*N(INDEX('Menu Pricing'!$F$7:$F$56,$O1971)))</f>
        <v/>
      </c>
      <c r="N1971" s="80">
        <f>IF(AND($B1971="",$C1971="",$D1971=""),"",IF(NOT(ISNUMBER($B1971)),"Enter a valid date",IF($C1971="","Pick a menu item",IF($O1971="","Item not on Menu Pricing",IF(N($D1971)&lt;=0,"Qty must be above 0",IF($H1971="","No price on menu","OK"))))))</f>
        <v/>
      </c>
      <c r="O1971" s="13">
        <f>IF($C1971="","",IFERROR(MATCH($C1971,'Menu Pricing'!$B$7:$B$56,0),""))</f>
        <v/>
      </c>
    </row>
    <row r="1972" ht="17" customHeight="1">
      <c r="B1972" s="66" t="n"/>
      <c r="C1972" s="60" t="n"/>
      <c r="D1972" s="86" t="n"/>
      <c r="E1972" s="63" t="n"/>
      <c r="F1972" s="60" t="n"/>
      <c r="G1972" s="60" t="n"/>
      <c r="H1972" s="71">
        <f>IF(OR($C1972="",$D1972=""),"",IF(ISNUMBER($E1972),$E1972,IF($O1972="","",IF(N(INDEX('Menu Pricing'!$O$7:$O$56,$O1972))&gt;0,INDEX('Menu Pricing'!$O$7:$O$56,$O1972),""))))</f>
        <v/>
      </c>
      <c r="I1972" s="71">
        <f>IF($N1972&lt;&gt;"OK","",$D1972*$H1972)</f>
        <v/>
      </c>
      <c r="J1972" s="71">
        <f>IF($N1972&lt;&gt;"OK","",N(INDEX('Menu Pricing'!$F$7:$F$56,$O1972))+N(INDEX('Menu Pricing'!$G$7:$G$56,$O1972))+N(INDEX('Menu Pricing'!$J$7:$J$56,$O1972)))</f>
        <v/>
      </c>
      <c r="K1972" s="71">
        <f>IF($N1972&lt;&gt;"OK","",$D1972*$J1972)</f>
        <v/>
      </c>
      <c r="L1972" s="71">
        <f>IF($N1972&lt;&gt;"OK","",$I1972-$K1972)</f>
        <v/>
      </c>
      <c r="M1972" s="71">
        <f>IF($N1972&lt;&gt;"OK","",$D1972*N(INDEX('Menu Pricing'!$F$7:$F$56,$O1972)))</f>
        <v/>
      </c>
      <c r="N1972" s="80">
        <f>IF(AND($B1972="",$C1972="",$D1972=""),"",IF(NOT(ISNUMBER($B1972)),"Enter a valid date",IF($C1972="","Pick a menu item",IF($O1972="","Item not on Menu Pricing",IF(N($D1972)&lt;=0,"Qty must be above 0",IF($H1972="","No price on menu","OK"))))))</f>
        <v/>
      </c>
      <c r="O1972" s="13">
        <f>IF($C1972="","",IFERROR(MATCH($C1972,'Menu Pricing'!$B$7:$B$56,0),""))</f>
        <v/>
      </c>
    </row>
    <row r="1973" ht="17" customHeight="1">
      <c r="B1973" s="66" t="n"/>
      <c r="C1973" s="60" t="n"/>
      <c r="D1973" s="86" t="n"/>
      <c r="E1973" s="63" t="n"/>
      <c r="F1973" s="60" t="n"/>
      <c r="G1973" s="60" t="n"/>
      <c r="H1973" s="71">
        <f>IF(OR($C1973="",$D1973=""),"",IF(ISNUMBER($E1973),$E1973,IF($O1973="","",IF(N(INDEX('Menu Pricing'!$O$7:$O$56,$O1973))&gt;0,INDEX('Menu Pricing'!$O$7:$O$56,$O1973),""))))</f>
        <v/>
      </c>
      <c r="I1973" s="71">
        <f>IF($N1973&lt;&gt;"OK","",$D1973*$H1973)</f>
        <v/>
      </c>
      <c r="J1973" s="71">
        <f>IF($N1973&lt;&gt;"OK","",N(INDEX('Menu Pricing'!$F$7:$F$56,$O1973))+N(INDEX('Menu Pricing'!$G$7:$G$56,$O1973))+N(INDEX('Menu Pricing'!$J$7:$J$56,$O1973)))</f>
        <v/>
      </c>
      <c r="K1973" s="71">
        <f>IF($N1973&lt;&gt;"OK","",$D1973*$J1973)</f>
        <v/>
      </c>
      <c r="L1973" s="71">
        <f>IF($N1973&lt;&gt;"OK","",$I1973-$K1973)</f>
        <v/>
      </c>
      <c r="M1973" s="71">
        <f>IF($N1973&lt;&gt;"OK","",$D1973*N(INDEX('Menu Pricing'!$F$7:$F$56,$O1973)))</f>
        <v/>
      </c>
      <c r="N1973" s="80">
        <f>IF(AND($B1973="",$C1973="",$D1973=""),"",IF(NOT(ISNUMBER($B1973)),"Enter a valid date",IF($C1973="","Pick a menu item",IF($O1973="","Item not on Menu Pricing",IF(N($D1973)&lt;=0,"Qty must be above 0",IF($H1973="","No price on menu","OK"))))))</f>
        <v/>
      </c>
      <c r="O1973" s="13">
        <f>IF($C1973="","",IFERROR(MATCH($C1973,'Menu Pricing'!$B$7:$B$56,0),""))</f>
        <v/>
      </c>
    </row>
    <row r="1974" ht="17" customHeight="1">
      <c r="B1974" s="66" t="n"/>
      <c r="C1974" s="60" t="n"/>
      <c r="D1974" s="86" t="n"/>
      <c r="E1974" s="63" t="n"/>
      <c r="F1974" s="60" t="n"/>
      <c r="G1974" s="60" t="n"/>
      <c r="H1974" s="71">
        <f>IF(OR($C1974="",$D1974=""),"",IF(ISNUMBER($E1974),$E1974,IF($O1974="","",IF(N(INDEX('Menu Pricing'!$O$7:$O$56,$O1974))&gt;0,INDEX('Menu Pricing'!$O$7:$O$56,$O1974),""))))</f>
        <v/>
      </c>
      <c r="I1974" s="71">
        <f>IF($N1974&lt;&gt;"OK","",$D1974*$H1974)</f>
        <v/>
      </c>
      <c r="J1974" s="71">
        <f>IF($N1974&lt;&gt;"OK","",N(INDEX('Menu Pricing'!$F$7:$F$56,$O1974))+N(INDEX('Menu Pricing'!$G$7:$G$56,$O1974))+N(INDEX('Menu Pricing'!$J$7:$J$56,$O1974)))</f>
        <v/>
      </c>
      <c r="K1974" s="71">
        <f>IF($N1974&lt;&gt;"OK","",$D1974*$J1974)</f>
        <v/>
      </c>
      <c r="L1974" s="71">
        <f>IF($N1974&lt;&gt;"OK","",$I1974-$K1974)</f>
        <v/>
      </c>
      <c r="M1974" s="71">
        <f>IF($N1974&lt;&gt;"OK","",$D1974*N(INDEX('Menu Pricing'!$F$7:$F$56,$O1974)))</f>
        <v/>
      </c>
      <c r="N1974" s="80">
        <f>IF(AND($B1974="",$C1974="",$D1974=""),"",IF(NOT(ISNUMBER($B1974)),"Enter a valid date",IF($C1974="","Pick a menu item",IF($O1974="","Item not on Menu Pricing",IF(N($D1974)&lt;=0,"Qty must be above 0",IF($H1974="","No price on menu","OK"))))))</f>
        <v/>
      </c>
      <c r="O1974" s="13">
        <f>IF($C1974="","",IFERROR(MATCH($C1974,'Menu Pricing'!$B$7:$B$56,0),""))</f>
        <v/>
      </c>
    </row>
    <row r="1975" ht="17" customHeight="1">
      <c r="B1975" s="66" t="n"/>
      <c r="C1975" s="60" t="n"/>
      <c r="D1975" s="86" t="n"/>
      <c r="E1975" s="63" t="n"/>
      <c r="F1975" s="60" t="n"/>
      <c r="G1975" s="60" t="n"/>
      <c r="H1975" s="71">
        <f>IF(OR($C1975="",$D1975=""),"",IF(ISNUMBER($E1975),$E1975,IF($O1975="","",IF(N(INDEX('Menu Pricing'!$O$7:$O$56,$O1975))&gt;0,INDEX('Menu Pricing'!$O$7:$O$56,$O1975),""))))</f>
        <v/>
      </c>
      <c r="I1975" s="71">
        <f>IF($N1975&lt;&gt;"OK","",$D1975*$H1975)</f>
        <v/>
      </c>
      <c r="J1975" s="71">
        <f>IF($N1975&lt;&gt;"OK","",N(INDEX('Menu Pricing'!$F$7:$F$56,$O1975))+N(INDEX('Menu Pricing'!$G$7:$G$56,$O1975))+N(INDEX('Menu Pricing'!$J$7:$J$56,$O1975)))</f>
        <v/>
      </c>
      <c r="K1975" s="71">
        <f>IF($N1975&lt;&gt;"OK","",$D1975*$J1975)</f>
        <v/>
      </c>
      <c r="L1975" s="71">
        <f>IF($N1975&lt;&gt;"OK","",$I1975-$K1975)</f>
        <v/>
      </c>
      <c r="M1975" s="71">
        <f>IF($N1975&lt;&gt;"OK","",$D1975*N(INDEX('Menu Pricing'!$F$7:$F$56,$O1975)))</f>
        <v/>
      </c>
      <c r="N1975" s="80">
        <f>IF(AND($B1975="",$C1975="",$D1975=""),"",IF(NOT(ISNUMBER($B1975)),"Enter a valid date",IF($C1975="","Pick a menu item",IF($O1975="","Item not on Menu Pricing",IF(N($D1975)&lt;=0,"Qty must be above 0",IF($H1975="","No price on menu","OK"))))))</f>
        <v/>
      </c>
      <c r="O1975" s="13">
        <f>IF($C1975="","",IFERROR(MATCH($C1975,'Menu Pricing'!$B$7:$B$56,0),""))</f>
        <v/>
      </c>
    </row>
    <row r="1976" ht="17" customHeight="1">
      <c r="B1976" s="66" t="n"/>
      <c r="C1976" s="60" t="n"/>
      <c r="D1976" s="86" t="n"/>
      <c r="E1976" s="63" t="n"/>
      <c r="F1976" s="60" t="n"/>
      <c r="G1976" s="60" t="n"/>
      <c r="H1976" s="71">
        <f>IF(OR($C1976="",$D1976=""),"",IF(ISNUMBER($E1976),$E1976,IF($O1976="","",IF(N(INDEX('Menu Pricing'!$O$7:$O$56,$O1976))&gt;0,INDEX('Menu Pricing'!$O$7:$O$56,$O1976),""))))</f>
        <v/>
      </c>
      <c r="I1976" s="71">
        <f>IF($N1976&lt;&gt;"OK","",$D1976*$H1976)</f>
        <v/>
      </c>
      <c r="J1976" s="71">
        <f>IF($N1976&lt;&gt;"OK","",N(INDEX('Menu Pricing'!$F$7:$F$56,$O1976))+N(INDEX('Menu Pricing'!$G$7:$G$56,$O1976))+N(INDEX('Menu Pricing'!$J$7:$J$56,$O1976)))</f>
        <v/>
      </c>
      <c r="K1976" s="71">
        <f>IF($N1976&lt;&gt;"OK","",$D1976*$J1976)</f>
        <v/>
      </c>
      <c r="L1976" s="71">
        <f>IF($N1976&lt;&gt;"OK","",$I1976-$K1976)</f>
        <v/>
      </c>
      <c r="M1976" s="71">
        <f>IF($N1976&lt;&gt;"OK","",$D1976*N(INDEX('Menu Pricing'!$F$7:$F$56,$O1976)))</f>
        <v/>
      </c>
      <c r="N1976" s="80">
        <f>IF(AND($B1976="",$C1976="",$D1976=""),"",IF(NOT(ISNUMBER($B1976)),"Enter a valid date",IF($C1976="","Pick a menu item",IF($O1976="","Item not on Menu Pricing",IF(N($D1976)&lt;=0,"Qty must be above 0",IF($H1976="","No price on menu","OK"))))))</f>
        <v/>
      </c>
      <c r="O1976" s="13">
        <f>IF($C1976="","",IFERROR(MATCH($C1976,'Menu Pricing'!$B$7:$B$56,0),""))</f>
        <v/>
      </c>
    </row>
    <row r="1977" ht="17" customHeight="1">
      <c r="B1977" s="66" t="n"/>
      <c r="C1977" s="60" t="n"/>
      <c r="D1977" s="86" t="n"/>
      <c r="E1977" s="63" t="n"/>
      <c r="F1977" s="60" t="n"/>
      <c r="G1977" s="60" t="n"/>
      <c r="H1977" s="71">
        <f>IF(OR($C1977="",$D1977=""),"",IF(ISNUMBER($E1977),$E1977,IF($O1977="","",IF(N(INDEX('Menu Pricing'!$O$7:$O$56,$O1977))&gt;0,INDEX('Menu Pricing'!$O$7:$O$56,$O1977),""))))</f>
        <v/>
      </c>
      <c r="I1977" s="71">
        <f>IF($N1977&lt;&gt;"OK","",$D1977*$H1977)</f>
        <v/>
      </c>
      <c r="J1977" s="71">
        <f>IF($N1977&lt;&gt;"OK","",N(INDEX('Menu Pricing'!$F$7:$F$56,$O1977))+N(INDEX('Menu Pricing'!$G$7:$G$56,$O1977))+N(INDEX('Menu Pricing'!$J$7:$J$56,$O1977)))</f>
        <v/>
      </c>
      <c r="K1977" s="71">
        <f>IF($N1977&lt;&gt;"OK","",$D1977*$J1977)</f>
        <v/>
      </c>
      <c r="L1977" s="71">
        <f>IF($N1977&lt;&gt;"OK","",$I1977-$K1977)</f>
        <v/>
      </c>
      <c r="M1977" s="71">
        <f>IF($N1977&lt;&gt;"OK","",$D1977*N(INDEX('Menu Pricing'!$F$7:$F$56,$O1977)))</f>
        <v/>
      </c>
      <c r="N1977" s="80">
        <f>IF(AND($B1977="",$C1977="",$D1977=""),"",IF(NOT(ISNUMBER($B1977)),"Enter a valid date",IF($C1977="","Pick a menu item",IF($O1977="","Item not on Menu Pricing",IF(N($D1977)&lt;=0,"Qty must be above 0",IF($H1977="","No price on menu","OK"))))))</f>
        <v/>
      </c>
      <c r="O1977" s="13">
        <f>IF($C1977="","",IFERROR(MATCH($C1977,'Menu Pricing'!$B$7:$B$56,0),""))</f>
        <v/>
      </c>
    </row>
    <row r="1978" ht="17" customHeight="1">
      <c r="B1978" s="66" t="n"/>
      <c r="C1978" s="60" t="n"/>
      <c r="D1978" s="86" t="n"/>
      <c r="E1978" s="63" t="n"/>
      <c r="F1978" s="60" t="n"/>
      <c r="G1978" s="60" t="n"/>
      <c r="H1978" s="71">
        <f>IF(OR($C1978="",$D1978=""),"",IF(ISNUMBER($E1978),$E1978,IF($O1978="","",IF(N(INDEX('Menu Pricing'!$O$7:$O$56,$O1978))&gt;0,INDEX('Menu Pricing'!$O$7:$O$56,$O1978),""))))</f>
        <v/>
      </c>
      <c r="I1978" s="71">
        <f>IF($N1978&lt;&gt;"OK","",$D1978*$H1978)</f>
        <v/>
      </c>
      <c r="J1978" s="71">
        <f>IF($N1978&lt;&gt;"OK","",N(INDEX('Menu Pricing'!$F$7:$F$56,$O1978))+N(INDEX('Menu Pricing'!$G$7:$G$56,$O1978))+N(INDEX('Menu Pricing'!$J$7:$J$56,$O1978)))</f>
        <v/>
      </c>
      <c r="K1978" s="71">
        <f>IF($N1978&lt;&gt;"OK","",$D1978*$J1978)</f>
        <v/>
      </c>
      <c r="L1978" s="71">
        <f>IF($N1978&lt;&gt;"OK","",$I1978-$K1978)</f>
        <v/>
      </c>
      <c r="M1978" s="71">
        <f>IF($N1978&lt;&gt;"OK","",$D1978*N(INDEX('Menu Pricing'!$F$7:$F$56,$O1978)))</f>
        <v/>
      </c>
      <c r="N1978" s="80">
        <f>IF(AND($B1978="",$C1978="",$D1978=""),"",IF(NOT(ISNUMBER($B1978)),"Enter a valid date",IF($C1978="","Pick a menu item",IF($O1978="","Item not on Menu Pricing",IF(N($D1978)&lt;=0,"Qty must be above 0",IF($H1978="","No price on menu","OK"))))))</f>
        <v/>
      </c>
      <c r="O1978" s="13">
        <f>IF($C1978="","",IFERROR(MATCH($C1978,'Menu Pricing'!$B$7:$B$56,0),""))</f>
        <v/>
      </c>
    </row>
    <row r="1979" ht="17" customHeight="1">
      <c r="B1979" s="66" t="n"/>
      <c r="C1979" s="60" t="n"/>
      <c r="D1979" s="86" t="n"/>
      <c r="E1979" s="63" t="n"/>
      <c r="F1979" s="60" t="n"/>
      <c r="G1979" s="60" t="n"/>
      <c r="H1979" s="71">
        <f>IF(OR($C1979="",$D1979=""),"",IF(ISNUMBER($E1979),$E1979,IF($O1979="","",IF(N(INDEX('Menu Pricing'!$O$7:$O$56,$O1979))&gt;0,INDEX('Menu Pricing'!$O$7:$O$56,$O1979),""))))</f>
        <v/>
      </c>
      <c r="I1979" s="71">
        <f>IF($N1979&lt;&gt;"OK","",$D1979*$H1979)</f>
        <v/>
      </c>
      <c r="J1979" s="71">
        <f>IF($N1979&lt;&gt;"OK","",N(INDEX('Menu Pricing'!$F$7:$F$56,$O1979))+N(INDEX('Menu Pricing'!$G$7:$G$56,$O1979))+N(INDEX('Menu Pricing'!$J$7:$J$56,$O1979)))</f>
        <v/>
      </c>
      <c r="K1979" s="71">
        <f>IF($N1979&lt;&gt;"OK","",$D1979*$J1979)</f>
        <v/>
      </c>
      <c r="L1979" s="71">
        <f>IF($N1979&lt;&gt;"OK","",$I1979-$K1979)</f>
        <v/>
      </c>
      <c r="M1979" s="71">
        <f>IF($N1979&lt;&gt;"OK","",$D1979*N(INDEX('Menu Pricing'!$F$7:$F$56,$O1979)))</f>
        <v/>
      </c>
      <c r="N1979" s="80">
        <f>IF(AND($B1979="",$C1979="",$D1979=""),"",IF(NOT(ISNUMBER($B1979)),"Enter a valid date",IF($C1979="","Pick a menu item",IF($O1979="","Item not on Menu Pricing",IF(N($D1979)&lt;=0,"Qty must be above 0",IF($H1979="","No price on menu","OK"))))))</f>
        <v/>
      </c>
      <c r="O1979" s="13">
        <f>IF($C1979="","",IFERROR(MATCH($C1979,'Menu Pricing'!$B$7:$B$56,0),""))</f>
        <v/>
      </c>
    </row>
    <row r="1980" ht="17" customHeight="1">
      <c r="B1980" s="66" t="n"/>
      <c r="C1980" s="60" t="n"/>
      <c r="D1980" s="86" t="n"/>
      <c r="E1980" s="63" t="n"/>
      <c r="F1980" s="60" t="n"/>
      <c r="G1980" s="60" t="n"/>
      <c r="H1980" s="71">
        <f>IF(OR($C1980="",$D1980=""),"",IF(ISNUMBER($E1980),$E1980,IF($O1980="","",IF(N(INDEX('Menu Pricing'!$O$7:$O$56,$O1980))&gt;0,INDEX('Menu Pricing'!$O$7:$O$56,$O1980),""))))</f>
        <v/>
      </c>
      <c r="I1980" s="71">
        <f>IF($N1980&lt;&gt;"OK","",$D1980*$H1980)</f>
        <v/>
      </c>
      <c r="J1980" s="71">
        <f>IF($N1980&lt;&gt;"OK","",N(INDEX('Menu Pricing'!$F$7:$F$56,$O1980))+N(INDEX('Menu Pricing'!$G$7:$G$56,$O1980))+N(INDEX('Menu Pricing'!$J$7:$J$56,$O1980)))</f>
        <v/>
      </c>
      <c r="K1980" s="71">
        <f>IF($N1980&lt;&gt;"OK","",$D1980*$J1980)</f>
        <v/>
      </c>
      <c r="L1980" s="71">
        <f>IF($N1980&lt;&gt;"OK","",$I1980-$K1980)</f>
        <v/>
      </c>
      <c r="M1980" s="71">
        <f>IF($N1980&lt;&gt;"OK","",$D1980*N(INDEX('Menu Pricing'!$F$7:$F$56,$O1980)))</f>
        <v/>
      </c>
      <c r="N1980" s="80">
        <f>IF(AND($B1980="",$C1980="",$D1980=""),"",IF(NOT(ISNUMBER($B1980)),"Enter a valid date",IF($C1980="","Pick a menu item",IF($O1980="","Item not on Menu Pricing",IF(N($D1980)&lt;=0,"Qty must be above 0",IF($H1980="","No price on menu","OK"))))))</f>
        <v/>
      </c>
      <c r="O1980" s="13">
        <f>IF($C1980="","",IFERROR(MATCH($C1980,'Menu Pricing'!$B$7:$B$56,0),""))</f>
        <v/>
      </c>
    </row>
    <row r="1981" ht="17" customHeight="1">
      <c r="B1981" s="66" t="n"/>
      <c r="C1981" s="60" t="n"/>
      <c r="D1981" s="86" t="n"/>
      <c r="E1981" s="63" t="n"/>
      <c r="F1981" s="60" t="n"/>
      <c r="G1981" s="60" t="n"/>
      <c r="H1981" s="71">
        <f>IF(OR($C1981="",$D1981=""),"",IF(ISNUMBER($E1981),$E1981,IF($O1981="","",IF(N(INDEX('Menu Pricing'!$O$7:$O$56,$O1981))&gt;0,INDEX('Menu Pricing'!$O$7:$O$56,$O1981),""))))</f>
        <v/>
      </c>
      <c r="I1981" s="71">
        <f>IF($N1981&lt;&gt;"OK","",$D1981*$H1981)</f>
        <v/>
      </c>
      <c r="J1981" s="71">
        <f>IF($N1981&lt;&gt;"OK","",N(INDEX('Menu Pricing'!$F$7:$F$56,$O1981))+N(INDEX('Menu Pricing'!$G$7:$G$56,$O1981))+N(INDEX('Menu Pricing'!$J$7:$J$56,$O1981)))</f>
        <v/>
      </c>
      <c r="K1981" s="71">
        <f>IF($N1981&lt;&gt;"OK","",$D1981*$J1981)</f>
        <v/>
      </c>
      <c r="L1981" s="71">
        <f>IF($N1981&lt;&gt;"OK","",$I1981-$K1981)</f>
        <v/>
      </c>
      <c r="M1981" s="71">
        <f>IF($N1981&lt;&gt;"OK","",$D1981*N(INDEX('Menu Pricing'!$F$7:$F$56,$O1981)))</f>
        <v/>
      </c>
      <c r="N1981" s="80">
        <f>IF(AND($B1981="",$C1981="",$D1981=""),"",IF(NOT(ISNUMBER($B1981)),"Enter a valid date",IF($C1981="","Pick a menu item",IF($O1981="","Item not on Menu Pricing",IF(N($D1981)&lt;=0,"Qty must be above 0",IF($H1981="","No price on menu","OK"))))))</f>
        <v/>
      </c>
      <c r="O1981" s="13">
        <f>IF($C1981="","",IFERROR(MATCH($C1981,'Menu Pricing'!$B$7:$B$56,0),""))</f>
        <v/>
      </c>
    </row>
    <row r="1982" ht="17" customHeight="1">
      <c r="B1982" s="66" t="n"/>
      <c r="C1982" s="60" t="n"/>
      <c r="D1982" s="86" t="n"/>
      <c r="E1982" s="63" t="n"/>
      <c r="F1982" s="60" t="n"/>
      <c r="G1982" s="60" t="n"/>
      <c r="H1982" s="71">
        <f>IF(OR($C1982="",$D1982=""),"",IF(ISNUMBER($E1982),$E1982,IF($O1982="","",IF(N(INDEX('Menu Pricing'!$O$7:$O$56,$O1982))&gt;0,INDEX('Menu Pricing'!$O$7:$O$56,$O1982),""))))</f>
        <v/>
      </c>
      <c r="I1982" s="71">
        <f>IF($N1982&lt;&gt;"OK","",$D1982*$H1982)</f>
        <v/>
      </c>
      <c r="J1982" s="71">
        <f>IF($N1982&lt;&gt;"OK","",N(INDEX('Menu Pricing'!$F$7:$F$56,$O1982))+N(INDEX('Menu Pricing'!$G$7:$G$56,$O1982))+N(INDEX('Menu Pricing'!$J$7:$J$56,$O1982)))</f>
        <v/>
      </c>
      <c r="K1982" s="71">
        <f>IF($N1982&lt;&gt;"OK","",$D1982*$J1982)</f>
        <v/>
      </c>
      <c r="L1982" s="71">
        <f>IF($N1982&lt;&gt;"OK","",$I1982-$K1982)</f>
        <v/>
      </c>
      <c r="M1982" s="71">
        <f>IF($N1982&lt;&gt;"OK","",$D1982*N(INDEX('Menu Pricing'!$F$7:$F$56,$O1982)))</f>
        <v/>
      </c>
      <c r="N1982" s="80">
        <f>IF(AND($B1982="",$C1982="",$D1982=""),"",IF(NOT(ISNUMBER($B1982)),"Enter a valid date",IF($C1982="","Pick a menu item",IF($O1982="","Item not on Menu Pricing",IF(N($D1982)&lt;=0,"Qty must be above 0",IF($H1982="","No price on menu","OK"))))))</f>
        <v/>
      </c>
      <c r="O1982" s="13">
        <f>IF($C1982="","",IFERROR(MATCH($C1982,'Menu Pricing'!$B$7:$B$56,0),""))</f>
        <v/>
      </c>
    </row>
    <row r="1983" ht="17" customHeight="1">
      <c r="B1983" s="66" t="n"/>
      <c r="C1983" s="60" t="n"/>
      <c r="D1983" s="86" t="n"/>
      <c r="E1983" s="63" t="n"/>
      <c r="F1983" s="60" t="n"/>
      <c r="G1983" s="60" t="n"/>
      <c r="H1983" s="71">
        <f>IF(OR($C1983="",$D1983=""),"",IF(ISNUMBER($E1983),$E1983,IF($O1983="","",IF(N(INDEX('Menu Pricing'!$O$7:$O$56,$O1983))&gt;0,INDEX('Menu Pricing'!$O$7:$O$56,$O1983),""))))</f>
        <v/>
      </c>
      <c r="I1983" s="71">
        <f>IF($N1983&lt;&gt;"OK","",$D1983*$H1983)</f>
        <v/>
      </c>
      <c r="J1983" s="71">
        <f>IF($N1983&lt;&gt;"OK","",N(INDEX('Menu Pricing'!$F$7:$F$56,$O1983))+N(INDEX('Menu Pricing'!$G$7:$G$56,$O1983))+N(INDEX('Menu Pricing'!$J$7:$J$56,$O1983)))</f>
        <v/>
      </c>
      <c r="K1983" s="71">
        <f>IF($N1983&lt;&gt;"OK","",$D1983*$J1983)</f>
        <v/>
      </c>
      <c r="L1983" s="71">
        <f>IF($N1983&lt;&gt;"OK","",$I1983-$K1983)</f>
        <v/>
      </c>
      <c r="M1983" s="71">
        <f>IF($N1983&lt;&gt;"OK","",$D1983*N(INDEX('Menu Pricing'!$F$7:$F$56,$O1983)))</f>
        <v/>
      </c>
      <c r="N1983" s="80">
        <f>IF(AND($B1983="",$C1983="",$D1983=""),"",IF(NOT(ISNUMBER($B1983)),"Enter a valid date",IF($C1983="","Pick a menu item",IF($O1983="","Item not on Menu Pricing",IF(N($D1983)&lt;=0,"Qty must be above 0",IF($H1983="","No price on menu","OK"))))))</f>
        <v/>
      </c>
      <c r="O1983" s="13">
        <f>IF($C1983="","",IFERROR(MATCH($C1983,'Menu Pricing'!$B$7:$B$56,0),""))</f>
        <v/>
      </c>
    </row>
    <row r="1984" ht="17" customHeight="1">
      <c r="B1984" s="66" t="n"/>
      <c r="C1984" s="60" t="n"/>
      <c r="D1984" s="86" t="n"/>
      <c r="E1984" s="63" t="n"/>
      <c r="F1984" s="60" t="n"/>
      <c r="G1984" s="60" t="n"/>
      <c r="H1984" s="71">
        <f>IF(OR($C1984="",$D1984=""),"",IF(ISNUMBER($E1984),$E1984,IF($O1984="","",IF(N(INDEX('Menu Pricing'!$O$7:$O$56,$O1984))&gt;0,INDEX('Menu Pricing'!$O$7:$O$56,$O1984),""))))</f>
        <v/>
      </c>
      <c r="I1984" s="71">
        <f>IF($N1984&lt;&gt;"OK","",$D1984*$H1984)</f>
        <v/>
      </c>
      <c r="J1984" s="71">
        <f>IF($N1984&lt;&gt;"OK","",N(INDEX('Menu Pricing'!$F$7:$F$56,$O1984))+N(INDEX('Menu Pricing'!$G$7:$G$56,$O1984))+N(INDEX('Menu Pricing'!$J$7:$J$56,$O1984)))</f>
        <v/>
      </c>
      <c r="K1984" s="71">
        <f>IF($N1984&lt;&gt;"OK","",$D1984*$J1984)</f>
        <v/>
      </c>
      <c r="L1984" s="71">
        <f>IF($N1984&lt;&gt;"OK","",$I1984-$K1984)</f>
        <v/>
      </c>
      <c r="M1984" s="71">
        <f>IF($N1984&lt;&gt;"OK","",$D1984*N(INDEX('Menu Pricing'!$F$7:$F$56,$O1984)))</f>
        <v/>
      </c>
      <c r="N1984" s="80">
        <f>IF(AND($B1984="",$C1984="",$D1984=""),"",IF(NOT(ISNUMBER($B1984)),"Enter a valid date",IF($C1984="","Pick a menu item",IF($O1984="","Item not on Menu Pricing",IF(N($D1984)&lt;=0,"Qty must be above 0",IF($H1984="","No price on menu","OK"))))))</f>
        <v/>
      </c>
      <c r="O1984" s="13">
        <f>IF($C1984="","",IFERROR(MATCH($C1984,'Menu Pricing'!$B$7:$B$56,0),""))</f>
        <v/>
      </c>
    </row>
    <row r="1985" ht="17" customHeight="1">
      <c r="B1985" s="66" t="n"/>
      <c r="C1985" s="60" t="n"/>
      <c r="D1985" s="86" t="n"/>
      <c r="E1985" s="63" t="n"/>
      <c r="F1985" s="60" t="n"/>
      <c r="G1985" s="60" t="n"/>
      <c r="H1985" s="71">
        <f>IF(OR($C1985="",$D1985=""),"",IF(ISNUMBER($E1985),$E1985,IF($O1985="","",IF(N(INDEX('Menu Pricing'!$O$7:$O$56,$O1985))&gt;0,INDEX('Menu Pricing'!$O$7:$O$56,$O1985),""))))</f>
        <v/>
      </c>
      <c r="I1985" s="71">
        <f>IF($N1985&lt;&gt;"OK","",$D1985*$H1985)</f>
        <v/>
      </c>
      <c r="J1985" s="71">
        <f>IF($N1985&lt;&gt;"OK","",N(INDEX('Menu Pricing'!$F$7:$F$56,$O1985))+N(INDEX('Menu Pricing'!$G$7:$G$56,$O1985))+N(INDEX('Menu Pricing'!$J$7:$J$56,$O1985)))</f>
        <v/>
      </c>
      <c r="K1985" s="71">
        <f>IF($N1985&lt;&gt;"OK","",$D1985*$J1985)</f>
        <v/>
      </c>
      <c r="L1985" s="71">
        <f>IF($N1985&lt;&gt;"OK","",$I1985-$K1985)</f>
        <v/>
      </c>
      <c r="M1985" s="71">
        <f>IF($N1985&lt;&gt;"OK","",$D1985*N(INDEX('Menu Pricing'!$F$7:$F$56,$O1985)))</f>
        <v/>
      </c>
      <c r="N1985" s="80">
        <f>IF(AND($B1985="",$C1985="",$D1985=""),"",IF(NOT(ISNUMBER($B1985)),"Enter a valid date",IF($C1985="","Pick a menu item",IF($O1985="","Item not on Menu Pricing",IF(N($D1985)&lt;=0,"Qty must be above 0",IF($H1985="","No price on menu","OK"))))))</f>
        <v/>
      </c>
      <c r="O1985" s="13">
        <f>IF($C1985="","",IFERROR(MATCH($C1985,'Menu Pricing'!$B$7:$B$56,0),""))</f>
        <v/>
      </c>
    </row>
    <row r="1986" ht="17" customHeight="1">
      <c r="B1986" s="66" t="n"/>
      <c r="C1986" s="60" t="n"/>
      <c r="D1986" s="86" t="n"/>
      <c r="E1986" s="63" t="n"/>
      <c r="F1986" s="60" t="n"/>
      <c r="G1986" s="60" t="n"/>
      <c r="H1986" s="71">
        <f>IF(OR($C1986="",$D1986=""),"",IF(ISNUMBER($E1986),$E1986,IF($O1986="","",IF(N(INDEX('Menu Pricing'!$O$7:$O$56,$O1986))&gt;0,INDEX('Menu Pricing'!$O$7:$O$56,$O1986),""))))</f>
        <v/>
      </c>
      <c r="I1986" s="71">
        <f>IF($N1986&lt;&gt;"OK","",$D1986*$H1986)</f>
        <v/>
      </c>
      <c r="J1986" s="71">
        <f>IF($N1986&lt;&gt;"OK","",N(INDEX('Menu Pricing'!$F$7:$F$56,$O1986))+N(INDEX('Menu Pricing'!$G$7:$G$56,$O1986))+N(INDEX('Menu Pricing'!$J$7:$J$56,$O1986)))</f>
        <v/>
      </c>
      <c r="K1986" s="71">
        <f>IF($N1986&lt;&gt;"OK","",$D1986*$J1986)</f>
        <v/>
      </c>
      <c r="L1986" s="71">
        <f>IF($N1986&lt;&gt;"OK","",$I1986-$K1986)</f>
        <v/>
      </c>
      <c r="M1986" s="71">
        <f>IF($N1986&lt;&gt;"OK","",$D1986*N(INDEX('Menu Pricing'!$F$7:$F$56,$O1986)))</f>
        <v/>
      </c>
      <c r="N1986" s="80">
        <f>IF(AND($B1986="",$C1986="",$D1986=""),"",IF(NOT(ISNUMBER($B1986)),"Enter a valid date",IF($C1986="","Pick a menu item",IF($O1986="","Item not on Menu Pricing",IF(N($D1986)&lt;=0,"Qty must be above 0",IF($H1986="","No price on menu","OK"))))))</f>
        <v/>
      </c>
      <c r="O1986" s="13">
        <f>IF($C1986="","",IFERROR(MATCH($C1986,'Menu Pricing'!$B$7:$B$56,0),""))</f>
        <v/>
      </c>
    </row>
    <row r="1987" ht="17" customHeight="1">
      <c r="B1987" s="66" t="n"/>
      <c r="C1987" s="60" t="n"/>
      <c r="D1987" s="86" t="n"/>
      <c r="E1987" s="63" t="n"/>
      <c r="F1987" s="60" t="n"/>
      <c r="G1987" s="60" t="n"/>
      <c r="H1987" s="71">
        <f>IF(OR($C1987="",$D1987=""),"",IF(ISNUMBER($E1987),$E1987,IF($O1987="","",IF(N(INDEX('Menu Pricing'!$O$7:$O$56,$O1987))&gt;0,INDEX('Menu Pricing'!$O$7:$O$56,$O1987),""))))</f>
        <v/>
      </c>
      <c r="I1987" s="71">
        <f>IF($N1987&lt;&gt;"OK","",$D1987*$H1987)</f>
        <v/>
      </c>
      <c r="J1987" s="71">
        <f>IF($N1987&lt;&gt;"OK","",N(INDEX('Menu Pricing'!$F$7:$F$56,$O1987))+N(INDEX('Menu Pricing'!$G$7:$G$56,$O1987))+N(INDEX('Menu Pricing'!$J$7:$J$56,$O1987)))</f>
        <v/>
      </c>
      <c r="K1987" s="71">
        <f>IF($N1987&lt;&gt;"OK","",$D1987*$J1987)</f>
        <v/>
      </c>
      <c r="L1987" s="71">
        <f>IF($N1987&lt;&gt;"OK","",$I1987-$K1987)</f>
        <v/>
      </c>
      <c r="M1987" s="71">
        <f>IF($N1987&lt;&gt;"OK","",$D1987*N(INDEX('Menu Pricing'!$F$7:$F$56,$O1987)))</f>
        <v/>
      </c>
      <c r="N1987" s="80">
        <f>IF(AND($B1987="",$C1987="",$D1987=""),"",IF(NOT(ISNUMBER($B1987)),"Enter a valid date",IF($C1987="","Pick a menu item",IF($O1987="","Item not on Menu Pricing",IF(N($D1987)&lt;=0,"Qty must be above 0",IF($H1987="","No price on menu","OK"))))))</f>
        <v/>
      </c>
      <c r="O1987" s="13">
        <f>IF($C1987="","",IFERROR(MATCH($C1987,'Menu Pricing'!$B$7:$B$56,0),""))</f>
        <v/>
      </c>
    </row>
    <row r="1988" ht="17" customHeight="1">
      <c r="B1988" s="66" t="n"/>
      <c r="C1988" s="60" t="n"/>
      <c r="D1988" s="86" t="n"/>
      <c r="E1988" s="63" t="n"/>
      <c r="F1988" s="60" t="n"/>
      <c r="G1988" s="60" t="n"/>
      <c r="H1988" s="71">
        <f>IF(OR($C1988="",$D1988=""),"",IF(ISNUMBER($E1988),$E1988,IF($O1988="","",IF(N(INDEX('Menu Pricing'!$O$7:$O$56,$O1988))&gt;0,INDEX('Menu Pricing'!$O$7:$O$56,$O1988),""))))</f>
        <v/>
      </c>
      <c r="I1988" s="71">
        <f>IF($N1988&lt;&gt;"OK","",$D1988*$H1988)</f>
        <v/>
      </c>
      <c r="J1988" s="71">
        <f>IF($N1988&lt;&gt;"OK","",N(INDEX('Menu Pricing'!$F$7:$F$56,$O1988))+N(INDEX('Menu Pricing'!$G$7:$G$56,$O1988))+N(INDEX('Menu Pricing'!$J$7:$J$56,$O1988)))</f>
        <v/>
      </c>
      <c r="K1988" s="71">
        <f>IF($N1988&lt;&gt;"OK","",$D1988*$J1988)</f>
        <v/>
      </c>
      <c r="L1988" s="71">
        <f>IF($N1988&lt;&gt;"OK","",$I1988-$K1988)</f>
        <v/>
      </c>
      <c r="M1988" s="71">
        <f>IF($N1988&lt;&gt;"OK","",$D1988*N(INDEX('Menu Pricing'!$F$7:$F$56,$O1988)))</f>
        <v/>
      </c>
      <c r="N1988" s="80">
        <f>IF(AND($B1988="",$C1988="",$D1988=""),"",IF(NOT(ISNUMBER($B1988)),"Enter a valid date",IF($C1988="","Pick a menu item",IF($O1988="","Item not on Menu Pricing",IF(N($D1988)&lt;=0,"Qty must be above 0",IF($H1988="","No price on menu","OK"))))))</f>
        <v/>
      </c>
      <c r="O1988" s="13">
        <f>IF($C1988="","",IFERROR(MATCH($C1988,'Menu Pricing'!$B$7:$B$56,0),""))</f>
        <v/>
      </c>
    </row>
    <row r="1989" ht="17" customHeight="1">
      <c r="B1989" s="66" t="n"/>
      <c r="C1989" s="60" t="n"/>
      <c r="D1989" s="86" t="n"/>
      <c r="E1989" s="63" t="n"/>
      <c r="F1989" s="60" t="n"/>
      <c r="G1989" s="60" t="n"/>
      <c r="H1989" s="71">
        <f>IF(OR($C1989="",$D1989=""),"",IF(ISNUMBER($E1989),$E1989,IF($O1989="","",IF(N(INDEX('Menu Pricing'!$O$7:$O$56,$O1989))&gt;0,INDEX('Menu Pricing'!$O$7:$O$56,$O1989),""))))</f>
        <v/>
      </c>
      <c r="I1989" s="71">
        <f>IF($N1989&lt;&gt;"OK","",$D1989*$H1989)</f>
        <v/>
      </c>
      <c r="J1989" s="71">
        <f>IF($N1989&lt;&gt;"OK","",N(INDEX('Menu Pricing'!$F$7:$F$56,$O1989))+N(INDEX('Menu Pricing'!$G$7:$G$56,$O1989))+N(INDEX('Menu Pricing'!$J$7:$J$56,$O1989)))</f>
        <v/>
      </c>
      <c r="K1989" s="71">
        <f>IF($N1989&lt;&gt;"OK","",$D1989*$J1989)</f>
        <v/>
      </c>
      <c r="L1989" s="71">
        <f>IF($N1989&lt;&gt;"OK","",$I1989-$K1989)</f>
        <v/>
      </c>
      <c r="M1989" s="71">
        <f>IF($N1989&lt;&gt;"OK","",$D1989*N(INDEX('Menu Pricing'!$F$7:$F$56,$O1989)))</f>
        <v/>
      </c>
      <c r="N1989" s="80">
        <f>IF(AND($B1989="",$C1989="",$D1989=""),"",IF(NOT(ISNUMBER($B1989)),"Enter a valid date",IF($C1989="","Pick a menu item",IF($O1989="","Item not on Menu Pricing",IF(N($D1989)&lt;=0,"Qty must be above 0",IF($H1989="","No price on menu","OK"))))))</f>
        <v/>
      </c>
      <c r="O1989" s="13">
        <f>IF($C1989="","",IFERROR(MATCH($C1989,'Menu Pricing'!$B$7:$B$56,0),""))</f>
        <v/>
      </c>
    </row>
    <row r="1990" ht="17" customHeight="1">
      <c r="B1990" s="66" t="n"/>
      <c r="C1990" s="60" t="n"/>
      <c r="D1990" s="86" t="n"/>
      <c r="E1990" s="63" t="n"/>
      <c r="F1990" s="60" t="n"/>
      <c r="G1990" s="60" t="n"/>
      <c r="H1990" s="71">
        <f>IF(OR($C1990="",$D1990=""),"",IF(ISNUMBER($E1990),$E1990,IF($O1990="","",IF(N(INDEX('Menu Pricing'!$O$7:$O$56,$O1990))&gt;0,INDEX('Menu Pricing'!$O$7:$O$56,$O1990),""))))</f>
        <v/>
      </c>
      <c r="I1990" s="71">
        <f>IF($N1990&lt;&gt;"OK","",$D1990*$H1990)</f>
        <v/>
      </c>
      <c r="J1990" s="71">
        <f>IF($N1990&lt;&gt;"OK","",N(INDEX('Menu Pricing'!$F$7:$F$56,$O1990))+N(INDEX('Menu Pricing'!$G$7:$G$56,$O1990))+N(INDEX('Menu Pricing'!$J$7:$J$56,$O1990)))</f>
        <v/>
      </c>
      <c r="K1990" s="71">
        <f>IF($N1990&lt;&gt;"OK","",$D1990*$J1990)</f>
        <v/>
      </c>
      <c r="L1990" s="71">
        <f>IF($N1990&lt;&gt;"OK","",$I1990-$K1990)</f>
        <v/>
      </c>
      <c r="M1990" s="71">
        <f>IF($N1990&lt;&gt;"OK","",$D1990*N(INDEX('Menu Pricing'!$F$7:$F$56,$O1990)))</f>
        <v/>
      </c>
      <c r="N1990" s="80">
        <f>IF(AND($B1990="",$C1990="",$D1990=""),"",IF(NOT(ISNUMBER($B1990)),"Enter a valid date",IF($C1990="","Pick a menu item",IF($O1990="","Item not on Menu Pricing",IF(N($D1990)&lt;=0,"Qty must be above 0",IF($H1990="","No price on menu","OK"))))))</f>
        <v/>
      </c>
      <c r="O1990" s="13">
        <f>IF($C1990="","",IFERROR(MATCH($C1990,'Menu Pricing'!$B$7:$B$56,0),""))</f>
        <v/>
      </c>
    </row>
    <row r="1991" ht="17" customHeight="1">
      <c r="B1991" s="66" t="n"/>
      <c r="C1991" s="60" t="n"/>
      <c r="D1991" s="86" t="n"/>
      <c r="E1991" s="63" t="n"/>
      <c r="F1991" s="60" t="n"/>
      <c r="G1991" s="60" t="n"/>
      <c r="H1991" s="71">
        <f>IF(OR($C1991="",$D1991=""),"",IF(ISNUMBER($E1991),$E1991,IF($O1991="","",IF(N(INDEX('Menu Pricing'!$O$7:$O$56,$O1991))&gt;0,INDEX('Menu Pricing'!$O$7:$O$56,$O1991),""))))</f>
        <v/>
      </c>
      <c r="I1991" s="71">
        <f>IF($N1991&lt;&gt;"OK","",$D1991*$H1991)</f>
        <v/>
      </c>
      <c r="J1991" s="71">
        <f>IF($N1991&lt;&gt;"OK","",N(INDEX('Menu Pricing'!$F$7:$F$56,$O1991))+N(INDEX('Menu Pricing'!$G$7:$G$56,$O1991))+N(INDEX('Menu Pricing'!$J$7:$J$56,$O1991)))</f>
        <v/>
      </c>
      <c r="K1991" s="71">
        <f>IF($N1991&lt;&gt;"OK","",$D1991*$J1991)</f>
        <v/>
      </c>
      <c r="L1991" s="71">
        <f>IF($N1991&lt;&gt;"OK","",$I1991-$K1991)</f>
        <v/>
      </c>
      <c r="M1991" s="71">
        <f>IF($N1991&lt;&gt;"OK","",$D1991*N(INDEX('Menu Pricing'!$F$7:$F$56,$O1991)))</f>
        <v/>
      </c>
      <c r="N1991" s="80">
        <f>IF(AND($B1991="",$C1991="",$D1991=""),"",IF(NOT(ISNUMBER($B1991)),"Enter a valid date",IF($C1991="","Pick a menu item",IF($O1991="","Item not on Menu Pricing",IF(N($D1991)&lt;=0,"Qty must be above 0",IF($H1991="","No price on menu","OK"))))))</f>
        <v/>
      </c>
      <c r="O1991" s="13">
        <f>IF($C1991="","",IFERROR(MATCH($C1991,'Menu Pricing'!$B$7:$B$56,0),""))</f>
        <v/>
      </c>
    </row>
    <row r="1992" ht="17" customHeight="1">
      <c r="B1992" s="66" t="n"/>
      <c r="C1992" s="60" t="n"/>
      <c r="D1992" s="86" t="n"/>
      <c r="E1992" s="63" t="n"/>
      <c r="F1992" s="60" t="n"/>
      <c r="G1992" s="60" t="n"/>
      <c r="H1992" s="71">
        <f>IF(OR($C1992="",$D1992=""),"",IF(ISNUMBER($E1992),$E1992,IF($O1992="","",IF(N(INDEX('Menu Pricing'!$O$7:$O$56,$O1992))&gt;0,INDEX('Menu Pricing'!$O$7:$O$56,$O1992),""))))</f>
        <v/>
      </c>
      <c r="I1992" s="71">
        <f>IF($N1992&lt;&gt;"OK","",$D1992*$H1992)</f>
        <v/>
      </c>
      <c r="J1992" s="71">
        <f>IF($N1992&lt;&gt;"OK","",N(INDEX('Menu Pricing'!$F$7:$F$56,$O1992))+N(INDEX('Menu Pricing'!$G$7:$G$56,$O1992))+N(INDEX('Menu Pricing'!$J$7:$J$56,$O1992)))</f>
        <v/>
      </c>
      <c r="K1992" s="71">
        <f>IF($N1992&lt;&gt;"OK","",$D1992*$J1992)</f>
        <v/>
      </c>
      <c r="L1992" s="71">
        <f>IF($N1992&lt;&gt;"OK","",$I1992-$K1992)</f>
        <v/>
      </c>
      <c r="M1992" s="71">
        <f>IF($N1992&lt;&gt;"OK","",$D1992*N(INDEX('Menu Pricing'!$F$7:$F$56,$O1992)))</f>
        <v/>
      </c>
      <c r="N1992" s="80">
        <f>IF(AND($B1992="",$C1992="",$D1992=""),"",IF(NOT(ISNUMBER($B1992)),"Enter a valid date",IF($C1992="","Pick a menu item",IF($O1992="","Item not on Menu Pricing",IF(N($D1992)&lt;=0,"Qty must be above 0",IF($H1992="","No price on menu","OK"))))))</f>
        <v/>
      </c>
      <c r="O1992" s="13">
        <f>IF($C1992="","",IFERROR(MATCH($C1992,'Menu Pricing'!$B$7:$B$56,0),""))</f>
        <v/>
      </c>
    </row>
    <row r="1993" ht="17" customHeight="1">
      <c r="B1993" s="66" t="n"/>
      <c r="C1993" s="60" t="n"/>
      <c r="D1993" s="86" t="n"/>
      <c r="E1993" s="63" t="n"/>
      <c r="F1993" s="60" t="n"/>
      <c r="G1993" s="60" t="n"/>
      <c r="H1993" s="71">
        <f>IF(OR($C1993="",$D1993=""),"",IF(ISNUMBER($E1993),$E1993,IF($O1993="","",IF(N(INDEX('Menu Pricing'!$O$7:$O$56,$O1993))&gt;0,INDEX('Menu Pricing'!$O$7:$O$56,$O1993),""))))</f>
        <v/>
      </c>
      <c r="I1993" s="71">
        <f>IF($N1993&lt;&gt;"OK","",$D1993*$H1993)</f>
        <v/>
      </c>
      <c r="J1993" s="71">
        <f>IF($N1993&lt;&gt;"OK","",N(INDEX('Menu Pricing'!$F$7:$F$56,$O1993))+N(INDEX('Menu Pricing'!$G$7:$G$56,$O1993))+N(INDEX('Menu Pricing'!$J$7:$J$56,$O1993)))</f>
        <v/>
      </c>
      <c r="K1993" s="71">
        <f>IF($N1993&lt;&gt;"OK","",$D1993*$J1993)</f>
        <v/>
      </c>
      <c r="L1993" s="71">
        <f>IF($N1993&lt;&gt;"OK","",$I1993-$K1993)</f>
        <v/>
      </c>
      <c r="M1993" s="71">
        <f>IF($N1993&lt;&gt;"OK","",$D1993*N(INDEX('Menu Pricing'!$F$7:$F$56,$O1993)))</f>
        <v/>
      </c>
      <c r="N1993" s="80">
        <f>IF(AND($B1993="",$C1993="",$D1993=""),"",IF(NOT(ISNUMBER($B1993)),"Enter a valid date",IF($C1993="","Pick a menu item",IF($O1993="","Item not on Menu Pricing",IF(N($D1993)&lt;=0,"Qty must be above 0",IF($H1993="","No price on menu","OK"))))))</f>
        <v/>
      </c>
      <c r="O1993" s="13">
        <f>IF($C1993="","",IFERROR(MATCH($C1993,'Menu Pricing'!$B$7:$B$56,0),""))</f>
        <v/>
      </c>
    </row>
    <row r="1994" ht="17" customHeight="1">
      <c r="B1994" s="66" t="n"/>
      <c r="C1994" s="60" t="n"/>
      <c r="D1994" s="86" t="n"/>
      <c r="E1994" s="63" t="n"/>
      <c r="F1994" s="60" t="n"/>
      <c r="G1994" s="60" t="n"/>
      <c r="H1994" s="71">
        <f>IF(OR($C1994="",$D1994=""),"",IF(ISNUMBER($E1994),$E1994,IF($O1994="","",IF(N(INDEX('Menu Pricing'!$O$7:$O$56,$O1994))&gt;0,INDEX('Menu Pricing'!$O$7:$O$56,$O1994),""))))</f>
        <v/>
      </c>
      <c r="I1994" s="71">
        <f>IF($N1994&lt;&gt;"OK","",$D1994*$H1994)</f>
        <v/>
      </c>
      <c r="J1994" s="71">
        <f>IF($N1994&lt;&gt;"OK","",N(INDEX('Menu Pricing'!$F$7:$F$56,$O1994))+N(INDEX('Menu Pricing'!$G$7:$G$56,$O1994))+N(INDEX('Menu Pricing'!$J$7:$J$56,$O1994)))</f>
        <v/>
      </c>
      <c r="K1994" s="71">
        <f>IF($N1994&lt;&gt;"OK","",$D1994*$J1994)</f>
        <v/>
      </c>
      <c r="L1994" s="71">
        <f>IF($N1994&lt;&gt;"OK","",$I1994-$K1994)</f>
        <v/>
      </c>
      <c r="M1994" s="71">
        <f>IF($N1994&lt;&gt;"OK","",$D1994*N(INDEX('Menu Pricing'!$F$7:$F$56,$O1994)))</f>
        <v/>
      </c>
      <c r="N1994" s="80">
        <f>IF(AND($B1994="",$C1994="",$D1994=""),"",IF(NOT(ISNUMBER($B1994)),"Enter a valid date",IF($C1994="","Pick a menu item",IF($O1994="","Item not on Menu Pricing",IF(N($D1994)&lt;=0,"Qty must be above 0",IF($H1994="","No price on menu","OK"))))))</f>
        <v/>
      </c>
      <c r="O1994" s="13">
        <f>IF($C1994="","",IFERROR(MATCH($C1994,'Menu Pricing'!$B$7:$B$56,0),""))</f>
        <v/>
      </c>
    </row>
    <row r="1995" ht="17" customHeight="1">
      <c r="B1995" s="66" t="n"/>
      <c r="C1995" s="60" t="n"/>
      <c r="D1995" s="86" t="n"/>
      <c r="E1995" s="63" t="n"/>
      <c r="F1995" s="60" t="n"/>
      <c r="G1995" s="60" t="n"/>
      <c r="H1995" s="71">
        <f>IF(OR($C1995="",$D1995=""),"",IF(ISNUMBER($E1995),$E1995,IF($O1995="","",IF(N(INDEX('Menu Pricing'!$O$7:$O$56,$O1995))&gt;0,INDEX('Menu Pricing'!$O$7:$O$56,$O1995),""))))</f>
        <v/>
      </c>
      <c r="I1995" s="71">
        <f>IF($N1995&lt;&gt;"OK","",$D1995*$H1995)</f>
        <v/>
      </c>
      <c r="J1995" s="71">
        <f>IF($N1995&lt;&gt;"OK","",N(INDEX('Menu Pricing'!$F$7:$F$56,$O1995))+N(INDEX('Menu Pricing'!$G$7:$G$56,$O1995))+N(INDEX('Menu Pricing'!$J$7:$J$56,$O1995)))</f>
        <v/>
      </c>
      <c r="K1995" s="71">
        <f>IF($N1995&lt;&gt;"OK","",$D1995*$J1995)</f>
        <v/>
      </c>
      <c r="L1995" s="71">
        <f>IF($N1995&lt;&gt;"OK","",$I1995-$K1995)</f>
        <v/>
      </c>
      <c r="M1995" s="71">
        <f>IF($N1995&lt;&gt;"OK","",$D1995*N(INDEX('Menu Pricing'!$F$7:$F$56,$O1995)))</f>
        <v/>
      </c>
      <c r="N1995" s="80">
        <f>IF(AND($B1995="",$C1995="",$D1995=""),"",IF(NOT(ISNUMBER($B1995)),"Enter a valid date",IF($C1995="","Pick a menu item",IF($O1995="","Item not on Menu Pricing",IF(N($D1995)&lt;=0,"Qty must be above 0",IF($H1995="","No price on menu","OK"))))))</f>
        <v/>
      </c>
      <c r="O1995" s="13">
        <f>IF($C1995="","",IFERROR(MATCH($C1995,'Menu Pricing'!$B$7:$B$56,0),""))</f>
        <v/>
      </c>
    </row>
    <row r="1996" ht="17" customHeight="1">
      <c r="B1996" s="66" t="n"/>
      <c r="C1996" s="60" t="n"/>
      <c r="D1996" s="86" t="n"/>
      <c r="E1996" s="63" t="n"/>
      <c r="F1996" s="60" t="n"/>
      <c r="G1996" s="60" t="n"/>
      <c r="H1996" s="71">
        <f>IF(OR($C1996="",$D1996=""),"",IF(ISNUMBER($E1996),$E1996,IF($O1996="","",IF(N(INDEX('Menu Pricing'!$O$7:$O$56,$O1996))&gt;0,INDEX('Menu Pricing'!$O$7:$O$56,$O1996),""))))</f>
        <v/>
      </c>
      <c r="I1996" s="71">
        <f>IF($N1996&lt;&gt;"OK","",$D1996*$H1996)</f>
        <v/>
      </c>
      <c r="J1996" s="71">
        <f>IF($N1996&lt;&gt;"OK","",N(INDEX('Menu Pricing'!$F$7:$F$56,$O1996))+N(INDEX('Menu Pricing'!$G$7:$G$56,$O1996))+N(INDEX('Menu Pricing'!$J$7:$J$56,$O1996)))</f>
        <v/>
      </c>
      <c r="K1996" s="71">
        <f>IF($N1996&lt;&gt;"OK","",$D1996*$J1996)</f>
        <v/>
      </c>
      <c r="L1996" s="71">
        <f>IF($N1996&lt;&gt;"OK","",$I1996-$K1996)</f>
        <v/>
      </c>
      <c r="M1996" s="71">
        <f>IF($N1996&lt;&gt;"OK","",$D1996*N(INDEX('Menu Pricing'!$F$7:$F$56,$O1996)))</f>
        <v/>
      </c>
      <c r="N1996" s="80">
        <f>IF(AND($B1996="",$C1996="",$D1996=""),"",IF(NOT(ISNUMBER($B1996)),"Enter a valid date",IF($C1996="","Pick a menu item",IF($O1996="","Item not on Menu Pricing",IF(N($D1996)&lt;=0,"Qty must be above 0",IF($H1996="","No price on menu","OK"))))))</f>
        <v/>
      </c>
      <c r="O1996" s="13">
        <f>IF($C1996="","",IFERROR(MATCH($C1996,'Menu Pricing'!$B$7:$B$56,0),""))</f>
        <v/>
      </c>
    </row>
    <row r="1997" ht="17" customHeight="1">
      <c r="B1997" s="66" t="n"/>
      <c r="C1997" s="60" t="n"/>
      <c r="D1997" s="86" t="n"/>
      <c r="E1997" s="63" t="n"/>
      <c r="F1997" s="60" t="n"/>
      <c r="G1997" s="60" t="n"/>
      <c r="H1997" s="71">
        <f>IF(OR($C1997="",$D1997=""),"",IF(ISNUMBER($E1997),$E1997,IF($O1997="","",IF(N(INDEX('Menu Pricing'!$O$7:$O$56,$O1997))&gt;0,INDEX('Menu Pricing'!$O$7:$O$56,$O1997),""))))</f>
        <v/>
      </c>
      <c r="I1997" s="71">
        <f>IF($N1997&lt;&gt;"OK","",$D1997*$H1997)</f>
        <v/>
      </c>
      <c r="J1997" s="71">
        <f>IF($N1997&lt;&gt;"OK","",N(INDEX('Menu Pricing'!$F$7:$F$56,$O1997))+N(INDEX('Menu Pricing'!$G$7:$G$56,$O1997))+N(INDEX('Menu Pricing'!$J$7:$J$56,$O1997)))</f>
        <v/>
      </c>
      <c r="K1997" s="71">
        <f>IF($N1997&lt;&gt;"OK","",$D1997*$J1997)</f>
        <v/>
      </c>
      <c r="L1997" s="71">
        <f>IF($N1997&lt;&gt;"OK","",$I1997-$K1997)</f>
        <v/>
      </c>
      <c r="M1997" s="71">
        <f>IF($N1997&lt;&gt;"OK","",$D1997*N(INDEX('Menu Pricing'!$F$7:$F$56,$O1997)))</f>
        <v/>
      </c>
      <c r="N1997" s="80">
        <f>IF(AND($B1997="",$C1997="",$D1997=""),"",IF(NOT(ISNUMBER($B1997)),"Enter a valid date",IF($C1997="","Pick a menu item",IF($O1997="","Item not on Menu Pricing",IF(N($D1997)&lt;=0,"Qty must be above 0",IF($H1997="","No price on menu","OK"))))))</f>
        <v/>
      </c>
      <c r="O1997" s="13">
        <f>IF($C1997="","",IFERROR(MATCH($C1997,'Menu Pricing'!$B$7:$B$56,0),""))</f>
        <v/>
      </c>
    </row>
    <row r="1998" ht="17" customHeight="1">
      <c r="B1998" s="66" t="n"/>
      <c r="C1998" s="60" t="n"/>
      <c r="D1998" s="86" t="n"/>
      <c r="E1998" s="63" t="n"/>
      <c r="F1998" s="60" t="n"/>
      <c r="G1998" s="60" t="n"/>
      <c r="H1998" s="71">
        <f>IF(OR($C1998="",$D1998=""),"",IF(ISNUMBER($E1998),$E1998,IF($O1998="","",IF(N(INDEX('Menu Pricing'!$O$7:$O$56,$O1998))&gt;0,INDEX('Menu Pricing'!$O$7:$O$56,$O1998),""))))</f>
        <v/>
      </c>
      <c r="I1998" s="71">
        <f>IF($N1998&lt;&gt;"OK","",$D1998*$H1998)</f>
        <v/>
      </c>
      <c r="J1998" s="71">
        <f>IF($N1998&lt;&gt;"OK","",N(INDEX('Menu Pricing'!$F$7:$F$56,$O1998))+N(INDEX('Menu Pricing'!$G$7:$G$56,$O1998))+N(INDEX('Menu Pricing'!$J$7:$J$56,$O1998)))</f>
        <v/>
      </c>
      <c r="K1998" s="71">
        <f>IF($N1998&lt;&gt;"OK","",$D1998*$J1998)</f>
        <v/>
      </c>
      <c r="L1998" s="71">
        <f>IF($N1998&lt;&gt;"OK","",$I1998-$K1998)</f>
        <v/>
      </c>
      <c r="M1998" s="71">
        <f>IF($N1998&lt;&gt;"OK","",$D1998*N(INDEX('Menu Pricing'!$F$7:$F$56,$O1998)))</f>
        <v/>
      </c>
      <c r="N1998" s="80">
        <f>IF(AND($B1998="",$C1998="",$D1998=""),"",IF(NOT(ISNUMBER($B1998)),"Enter a valid date",IF($C1998="","Pick a menu item",IF($O1998="","Item not on Menu Pricing",IF(N($D1998)&lt;=0,"Qty must be above 0",IF($H1998="","No price on menu","OK"))))))</f>
        <v/>
      </c>
      <c r="O1998" s="13">
        <f>IF($C1998="","",IFERROR(MATCH($C1998,'Menu Pricing'!$B$7:$B$56,0),""))</f>
        <v/>
      </c>
    </row>
    <row r="1999" ht="17" customHeight="1">
      <c r="B1999" s="66" t="n"/>
      <c r="C1999" s="60" t="n"/>
      <c r="D1999" s="86" t="n"/>
      <c r="E1999" s="63" t="n"/>
      <c r="F1999" s="60" t="n"/>
      <c r="G1999" s="60" t="n"/>
      <c r="H1999" s="71">
        <f>IF(OR($C1999="",$D1999=""),"",IF(ISNUMBER($E1999),$E1999,IF($O1999="","",IF(N(INDEX('Menu Pricing'!$O$7:$O$56,$O1999))&gt;0,INDEX('Menu Pricing'!$O$7:$O$56,$O1999),""))))</f>
        <v/>
      </c>
      <c r="I1999" s="71">
        <f>IF($N1999&lt;&gt;"OK","",$D1999*$H1999)</f>
        <v/>
      </c>
      <c r="J1999" s="71">
        <f>IF($N1999&lt;&gt;"OK","",N(INDEX('Menu Pricing'!$F$7:$F$56,$O1999))+N(INDEX('Menu Pricing'!$G$7:$G$56,$O1999))+N(INDEX('Menu Pricing'!$J$7:$J$56,$O1999)))</f>
        <v/>
      </c>
      <c r="K1999" s="71">
        <f>IF($N1999&lt;&gt;"OK","",$D1999*$J1999)</f>
        <v/>
      </c>
      <c r="L1999" s="71">
        <f>IF($N1999&lt;&gt;"OK","",$I1999-$K1999)</f>
        <v/>
      </c>
      <c r="M1999" s="71">
        <f>IF($N1999&lt;&gt;"OK","",$D1999*N(INDEX('Menu Pricing'!$F$7:$F$56,$O1999)))</f>
        <v/>
      </c>
      <c r="N1999" s="80">
        <f>IF(AND($B1999="",$C1999="",$D1999=""),"",IF(NOT(ISNUMBER($B1999)),"Enter a valid date",IF($C1999="","Pick a menu item",IF($O1999="","Item not on Menu Pricing",IF(N($D1999)&lt;=0,"Qty must be above 0",IF($H1999="","No price on menu","OK"))))))</f>
        <v/>
      </c>
      <c r="O1999" s="13">
        <f>IF($C1999="","",IFERROR(MATCH($C1999,'Menu Pricing'!$B$7:$B$56,0),""))</f>
        <v/>
      </c>
    </row>
    <row r="2000" ht="17" customHeight="1">
      <c r="B2000" s="66" t="n"/>
      <c r="C2000" s="60" t="n"/>
      <c r="D2000" s="86" t="n"/>
      <c r="E2000" s="63" t="n"/>
      <c r="F2000" s="60" t="n"/>
      <c r="G2000" s="60" t="n"/>
      <c r="H2000" s="71">
        <f>IF(OR($C2000="",$D2000=""),"",IF(ISNUMBER($E2000),$E2000,IF($O2000="","",IF(N(INDEX('Menu Pricing'!$O$7:$O$56,$O2000))&gt;0,INDEX('Menu Pricing'!$O$7:$O$56,$O2000),""))))</f>
        <v/>
      </c>
      <c r="I2000" s="71">
        <f>IF($N2000&lt;&gt;"OK","",$D2000*$H2000)</f>
        <v/>
      </c>
      <c r="J2000" s="71">
        <f>IF($N2000&lt;&gt;"OK","",N(INDEX('Menu Pricing'!$F$7:$F$56,$O2000))+N(INDEX('Menu Pricing'!$G$7:$G$56,$O2000))+N(INDEX('Menu Pricing'!$J$7:$J$56,$O2000)))</f>
        <v/>
      </c>
      <c r="K2000" s="71">
        <f>IF($N2000&lt;&gt;"OK","",$D2000*$J2000)</f>
        <v/>
      </c>
      <c r="L2000" s="71">
        <f>IF($N2000&lt;&gt;"OK","",$I2000-$K2000)</f>
        <v/>
      </c>
      <c r="M2000" s="71">
        <f>IF($N2000&lt;&gt;"OK","",$D2000*N(INDEX('Menu Pricing'!$F$7:$F$56,$O2000)))</f>
        <v/>
      </c>
      <c r="N2000" s="80">
        <f>IF(AND($B2000="",$C2000="",$D2000=""),"",IF(NOT(ISNUMBER($B2000)),"Enter a valid date",IF($C2000="","Pick a menu item",IF($O2000="","Item not on Menu Pricing",IF(N($D2000)&lt;=0,"Qty must be above 0",IF($H2000="","No price on menu","OK"))))))</f>
        <v/>
      </c>
      <c r="O2000" s="13">
        <f>IF($C2000="","",IFERROR(MATCH($C2000,'Menu Pricing'!$B$7:$B$56,0),""))</f>
        <v/>
      </c>
    </row>
    <row r="2001" ht="17" customHeight="1">
      <c r="B2001" s="66" t="n"/>
      <c r="C2001" s="60" t="n"/>
      <c r="D2001" s="86" t="n"/>
      <c r="E2001" s="63" t="n"/>
      <c r="F2001" s="60" t="n"/>
      <c r="G2001" s="60" t="n"/>
      <c r="H2001" s="71">
        <f>IF(OR($C2001="",$D2001=""),"",IF(ISNUMBER($E2001),$E2001,IF($O2001="","",IF(N(INDEX('Menu Pricing'!$O$7:$O$56,$O2001))&gt;0,INDEX('Menu Pricing'!$O$7:$O$56,$O2001),""))))</f>
        <v/>
      </c>
      <c r="I2001" s="71">
        <f>IF($N2001&lt;&gt;"OK","",$D2001*$H2001)</f>
        <v/>
      </c>
      <c r="J2001" s="71">
        <f>IF($N2001&lt;&gt;"OK","",N(INDEX('Menu Pricing'!$F$7:$F$56,$O2001))+N(INDEX('Menu Pricing'!$G$7:$G$56,$O2001))+N(INDEX('Menu Pricing'!$J$7:$J$56,$O2001)))</f>
        <v/>
      </c>
      <c r="K2001" s="71">
        <f>IF($N2001&lt;&gt;"OK","",$D2001*$J2001)</f>
        <v/>
      </c>
      <c r="L2001" s="71">
        <f>IF($N2001&lt;&gt;"OK","",$I2001-$K2001)</f>
        <v/>
      </c>
      <c r="M2001" s="71">
        <f>IF($N2001&lt;&gt;"OK","",$D2001*N(INDEX('Menu Pricing'!$F$7:$F$56,$O2001)))</f>
        <v/>
      </c>
      <c r="N2001" s="80">
        <f>IF(AND($B2001="",$C2001="",$D2001=""),"",IF(NOT(ISNUMBER($B2001)),"Enter a valid date",IF($C2001="","Pick a menu item",IF($O2001="","Item not on Menu Pricing",IF(N($D2001)&lt;=0,"Qty must be above 0",IF($H2001="","No price on menu","OK"))))))</f>
        <v/>
      </c>
      <c r="O2001" s="13">
        <f>IF($C2001="","",IFERROR(MATCH($C2001,'Menu Pricing'!$B$7:$B$56,0),""))</f>
        <v/>
      </c>
    </row>
    <row r="2002" ht="17" customHeight="1">
      <c r="B2002" s="66" t="n"/>
      <c r="C2002" s="60" t="n"/>
      <c r="D2002" s="86" t="n"/>
      <c r="E2002" s="63" t="n"/>
      <c r="F2002" s="60" t="n"/>
      <c r="G2002" s="60" t="n"/>
      <c r="H2002" s="71">
        <f>IF(OR($C2002="",$D2002=""),"",IF(ISNUMBER($E2002),$E2002,IF($O2002="","",IF(N(INDEX('Menu Pricing'!$O$7:$O$56,$O2002))&gt;0,INDEX('Menu Pricing'!$O$7:$O$56,$O2002),""))))</f>
        <v/>
      </c>
      <c r="I2002" s="71">
        <f>IF($N2002&lt;&gt;"OK","",$D2002*$H2002)</f>
        <v/>
      </c>
      <c r="J2002" s="71">
        <f>IF($N2002&lt;&gt;"OK","",N(INDEX('Menu Pricing'!$F$7:$F$56,$O2002))+N(INDEX('Menu Pricing'!$G$7:$G$56,$O2002))+N(INDEX('Menu Pricing'!$J$7:$J$56,$O2002)))</f>
        <v/>
      </c>
      <c r="K2002" s="71">
        <f>IF($N2002&lt;&gt;"OK","",$D2002*$J2002)</f>
        <v/>
      </c>
      <c r="L2002" s="71">
        <f>IF($N2002&lt;&gt;"OK","",$I2002-$K2002)</f>
        <v/>
      </c>
      <c r="M2002" s="71">
        <f>IF($N2002&lt;&gt;"OK","",$D2002*N(INDEX('Menu Pricing'!$F$7:$F$56,$O2002)))</f>
        <v/>
      </c>
      <c r="N2002" s="80">
        <f>IF(AND($B2002="",$C2002="",$D2002=""),"",IF(NOT(ISNUMBER($B2002)),"Enter a valid date",IF($C2002="","Pick a menu item",IF($O2002="","Item not on Menu Pricing",IF(N($D2002)&lt;=0,"Qty must be above 0",IF($H2002="","No price on menu","OK"))))))</f>
        <v/>
      </c>
      <c r="O2002" s="13">
        <f>IF($C2002="","",IFERROR(MATCH($C2002,'Menu Pricing'!$B$7:$B$56,0),""))</f>
        <v/>
      </c>
    </row>
    <row r="2003" ht="17" customHeight="1">
      <c r="B2003" s="66" t="n"/>
      <c r="C2003" s="60" t="n"/>
      <c r="D2003" s="86" t="n"/>
      <c r="E2003" s="63" t="n"/>
      <c r="F2003" s="60" t="n"/>
      <c r="G2003" s="60" t="n"/>
      <c r="H2003" s="71">
        <f>IF(OR($C2003="",$D2003=""),"",IF(ISNUMBER($E2003),$E2003,IF($O2003="","",IF(N(INDEX('Menu Pricing'!$O$7:$O$56,$O2003))&gt;0,INDEX('Menu Pricing'!$O$7:$O$56,$O2003),""))))</f>
        <v/>
      </c>
      <c r="I2003" s="71">
        <f>IF($N2003&lt;&gt;"OK","",$D2003*$H2003)</f>
        <v/>
      </c>
      <c r="J2003" s="71">
        <f>IF($N2003&lt;&gt;"OK","",N(INDEX('Menu Pricing'!$F$7:$F$56,$O2003))+N(INDEX('Menu Pricing'!$G$7:$G$56,$O2003))+N(INDEX('Menu Pricing'!$J$7:$J$56,$O2003)))</f>
        <v/>
      </c>
      <c r="K2003" s="71">
        <f>IF($N2003&lt;&gt;"OK","",$D2003*$J2003)</f>
        <v/>
      </c>
      <c r="L2003" s="71">
        <f>IF($N2003&lt;&gt;"OK","",$I2003-$K2003)</f>
        <v/>
      </c>
      <c r="M2003" s="71">
        <f>IF($N2003&lt;&gt;"OK","",$D2003*N(INDEX('Menu Pricing'!$F$7:$F$56,$O2003)))</f>
        <v/>
      </c>
      <c r="N2003" s="80">
        <f>IF(AND($B2003="",$C2003="",$D2003=""),"",IF(NOT(ISNUMBER($B2003)),"Enter a valid date",IF($C2003="","Pick a menu item",IF($O2003="","Item not on Menu Pricing",IF(N($D2003)&lt;=0,"Qty must be above 0",IF($H2003="","No price on menu","OK"))))))</f>
        <v/>
      </c>
      <c r="O2003" s="13">
        <f>IF($C2003="","",IFERROR(MATCH($C2003,'Menu Pricing'!$B$7:$B$56,0),""))</f>
        <v/>
      </c>
    </row>
    <row r="2004" ht="17" customHeight="1">
      <c r="B2004" s="66" t="n"/>
      <c r="C2004" s="60" t="n"/>
      <c r="D2004" s="86" t="n"/>
      <c r="E2004" s="63" t="n"/>
      <c r="F2004" s="60" t="n"/>
      <c r="G2004" s="60" t="n"/>
      <c r="H2004" s="71">
        <f>IF(OR($C2004="",$D2004=""),"",IF(ISNUMBER($E2004),$E2004,IF($O2004="","",IF(N(INDEX('Menu Pricing'!$O$7:$O$56,$O2004))&gt;0,INDEX('Menu Pricing'!$O$7:$O$56,$O2004),""))))</f>
        <v/>
      </c>
      <c r="I2004" s="71">
        <f>IF($N2004&lt;&gt;"OK","",$D2004*$H2004)</f>
        <v/>
      </c>
      <c r="J2004" s="71">
        <f>IF($N2004&lt;&gt;"OK","",N(INDEX('Menu Pricing'!$F$7:$F$56,$O2004))+N(INDEX('Menu Pricing'!$G$7:$G$56,$O2004))+N(INDEX('Menu Pricing'!$J$7:$J$56,$O2004)))</f>
        <v/>
      </c>
      <c r="K2004" s="71">
        <f>IF($N2004&lt;&gt;"OK","",$D2004*$J2004)</f>
        <v/>
      </c>
      <c r="L2004" s="71">
        <f>IF($N2004&lt;&gt;"OK","",$I2004-$K2004)</f>
        <v/>
      </c>
      <c r="M2004" s="71">
        <f>IF($N2004&lt;&gt;"OK","",$D2004*N(INDEX('Menu Pricing'!$F$7:$F$56,$O2004)))</f>
        <v/>
      </c>
      <c r="N2004" s="80">
        <f>IF(AND($B2004="",$C2004="",$D2004=""),"",IF(NOT(ISNUMBER($B2004)),"Enter a valid date",IF($C2004="","Pick a menu item",IF($O2004="","Item not on Menu Pricing",IF(N($D2004)&lt;=0,"Qty must be above 0",IF($H2004="","No price on menu","OK"))))))</f>
        <v/>
      </c>
      <c r="O2004" s="13">
        <f>IF($C2004="","",IFERROR(MATCH($C2004,'Menu Pricing'!$B$7:$B$56,0),""))</f>
        <v/>
      </c>
    </row>
    <row r="2005" ht="17" customHeight="1">
      <c r="B2005" s="66" t="n"/>
      <c r="C2005" s="60" t="n"/>
      <c r="D2005" s="86" t="n"/>
      <c r="E2005" s="63" t="n"/>
      <c r="F2005" s="60" t="n"/>
      <c r="G2005" s="60" t="n"/>
      <c r="H2005" s="71">
        <f>IF(OR($C2005="",$D2005=""),"",IF(ISNUMBER($E2005),$E2005,IF($O2005="","",IF(N(INDEX('Menu Pricing'!$O$7:$O$56,$O2005))&gt;0,INDEX('Menu Pricing'!$O$7:$O$56,$O2005),""))))</f>
        <v/>
      </c>
      <c r="I2005" s="71">
        <f>IF($N2005&lt;&gt;"OK","",$D2005*$H2005)</f>
        <v/>
      </c>
      <c r="J2005" s="71">
        <f>IF($N2005&lt;&gt;"OK","",N(INDEX('Menu Pricing'!$F$7:$F$56,$O2005))+N(INDEX('Menu Pricing'!$G$7:$G$56,$O2005))+N(INDEX('Menu Pricing'!$J$7:$J$56,$O2005)))</f>
        <v/>
      </c>
      <c r="K2005" s="71">
        <f>IF($N2005&lt;&gt;"OK","",$D2005*$J2005)</f>
        <v/>
      </c>
      <c r="L2005" s="71">
        <f>IF($N2005&lt;&gt;"OK","",$I2005-$K2005)</f>
        <v/>
      </c>
      <c r="M2005" s="71">
        <f>IF($N2005&lt;&gt;"OK","",$D2005*N(INDEX('Menu Pricing'!$F$7:$F$56,$O2005)))</f>
        <v/>
      </c>
      <c r="N2005" s="80">
        <f>IF(AND($B2005="",$C2005="",$D2005=""),"",IF(NOT(ISNUMBER($B2005)),"Enter a valid date",IF($C2005="","Pick a menu item",IF($O2005="","Item not on Menu Pricing",IF(N($D2005)&lt;=0,"Qty must be above 0",IF($H2005="","No price on menu","OK"))))))</f>
        <v/>
      </c>
      <c r="O2005" s="13">
        <f>IF($C2005="","",IFERROR(MATCH($C2005,'Menu Pricing'!$B$7:$B$56,0),""))</f>
        <v/>
      </c>
    </row>
    <row r="2006" ht="17" customHeight="1">
      <c r="B2006" s="66" t="n"/>
      <c r="C2006" s="60" t="n"/>
      <c r="D2006" s="86" t="n"/>
      <c r="E2006" s="63" t="n"/>
      <c r="F2006" s="60" t="n"/>
      <c r="G2006" s="60" t="n"/>
      <c r="H2006" s="71">
        <f>IF(OR($C2006="",$D2006=""),"",IF(ISNUMBER($E2006),$E2006,IF($O2006="","",IF(N(INDEX('Menu Pricing'!$O$7:$O$56,$O2006))&gt;0,INDEX('Menu Pricing'!$O$7:$O$56,$O2006),""))))</f>
        <v/>
      </c>
      <c r="I2006" s="71">
        <f>IF($N2006&lt;&gt;"OK","",$D2006*$H2006)</f>
        <v/>
      </c>
      <c r="J2006" s="71">
        <f>IF($N2006&lt;&gt;"OK","",N(INDEX('Menu Pricing'!$F$7:$F$56,$O2006))+N(INDEX('Menu Pricing'!$G$7:$G$56,$O2006))+N(INDEX('Menu Pricing'!$J$7:$J$56,$O2006)))</f>
        <v/>
      </c>
      <c r="K2006" s="71">
        <f>IF($N2006&lt;&gt;"OK","",$D2006*$J2006)</f>
        <v/>
      </c>
      <c r="L2006" s="71">
        <f>IF($N2006&lt;&gt;"OK","",$I2006-$K2006)</f>
        <v/>
      </c>
      <c r="M2006" s="71">
        <f>IF($N2006&lt;&gt;"OK","",$D2006*N(INDEX('Menu Pricing'!$F$7:$F$56,$O2006)))</f>
        <v/>
      </c>
      <c r="N2006" s="80">
        <f>IF(AND($B2006="",$C2006="",$D2006=""),"",IF(NOT(ISNUMBER($B2006)),"Enter a valid date",IF($C2006="","Pick a menu item",IF($O2006="","Item not on Menu Pricing",IF(N($D2006)&lt;=0,"Qty must be above 0",IF($H2006="","No price on menu","OK"))))))</f>
        <v/>
      </c>
      <c r="O2006" s="13">
        <f>IF($C2006="","",IFERROR(MATCH($C2006,'Menu Pricing'!$B$7:$B$56,0),""))</f>
        <v/>
      </c>
    </row>
    <row r="2007" ht="17" customHeight="1">
      <c r="B2007" s="66" t="n"/>
      <c r="C2007" s="60" t="n"/>
      <c r="D2007" s="86" t="n"/>
      <c r="E2007" s="63" t="n"/>
      <c r="F2007" s="60" t="n"/>
      <c r="G2007" s="60" t="n"/>
      <c r="H2007" s="71">
        <f>IF(OR($C2007="",$D2007=""),"",IF(ISNUMBER($E2007),$E2007,IF($O2007="","",IF(N(INDEX('Menu Pricing'!$O$7:$O$56,$O2007))&gt;0,INDEX('Menu Pricing'!$O$7:$O$56,$O2007),""))))</f>
        <v/>
      </c>
      <c r="I2007" s="71">
        <f>IF($N2007&lt;&gt;"OK","",$D2007*$H2007)</f>
        <v/>
      </c>
      <c r="J2007" s="71">
        <f>IF($N2007&lt;&gt;"OK","",N(INDEX('Menu Pricing'!$F$7:$F$56,$O2007))+N(INDEX('Menu Pricing'!$G$7:$G$56,$O2007))+N(INDEX('Menu Pricing'!$J$7:$J$56,$O2007)))</f>
        <v/>
      </c>
      <c r="K2007" s="71">
        <f>IF($N2007&lt;&gt;"OK","",$D2007*$J2007)</f>
        <v/>
      </c>
      <c r="L2007" s="71">
        <f>IF($N2007&lt;&gt;"OK","",$I2007-$K2007)</f>
        <v/>
      </c>
      <c r="M2007" s="71">
        <f>IF($N2007&lt;&gt;"OK","",$D2007*N(INDEX('Menu Pricing'!$F$7:$F$56,$O2007)))</f>
        <v/>
      </c>
      <c r="N2007" s="80">
        <f>IF(AND($B2007="",$C2007="",$D2007=""),"",IF(NOT(ISNUMBER($B2007)),"Enter a valid date",IF($C2007="","Pick a menu item",IF($O2007="","Item not on Menu Pricing",IF(N($D2007)&lt;=0,"Qty must be above 0",IF($H2007="","No price on menu","OK"))))))</f>
        <v/>
      </c>
      <c r="O2007" s="13">
        <f>IF($C2007="","",IFERROR(MATCH($C2007,'Menu Pricing'!$B$7:$B$56,0),""))</f>
        <v/>
      </c>
    </row>
    <row r="2008" ht="17" customHeight="1">
      <c r="B2008" s="66" t="n"/>
      <c r="C2008" s="60" t="n"/>
      <c r="D2008" s="86" t="n"/>
      <c r="E2008" s="63" t="n"/>
      <c r="F2008" s="60" t="n"/>
      <c r="G2008" s="60" t="n"/>
      <c r="H2008" s="71">
        <f>IF(OR($C2008="",$D2008=""),"",IF(ISNUMBER($E2008),$E2008,IF($O2008="","",IF(N(INDEX('Menu Pricing'!$O$7:$O$56,$O2008))&gt;0,INDEX('Menu Pricing'!$O$7:$O$56,$O2008),""))))</f>
        <v/>
      </c>
      <c r="I2008" s="71">
        <f>IF($N2008&lt;&gt;"OK","",$D2008*$H2008)</f>
        <v/>
      </c>
      <c r="J2008" s="71">
        <f>IF($N2008&lt;&gt;"OK","",N(INDEX('Menu Pricing'!$F$7:$F$56,$O2008))+N(INDEX('Menu Pricing'!$G$7:$G$56,$O2008))+N(INDEX('Menu Pricing'!$J$7:$J$56,$O2008)))</f>
        <v/>
      </c>
      <c r="K2008" s="71">
        <f>IF($N2008&lt;&gt;"OK","",$D2008*$J2008)</f>
        <v/>
      </c>
      <c r="L2008" s="71">
        <f>IF($N2008&lt;&gt;"OK","",$I2008-$K2008)</f>
        <v/>
      </c>
      <c r="M2008" s="71">
        <f>IF($N2008&lt;&gt;"OK","",$D2008*N(INDEX('Menu Pricing'!$F$7:$F$56,$O2008)))</f>
        <v/>
      </c>
      <c r="N2008" s="80">
        <f>IF(AND($B2008="",$C2008="",$D2008=""),"",IF(NOT(ISNUMBER($B2008)),"Enter a valid date",IF($C2008="","Pick a menu item",IF($O2008="","Item not on Menu Pricing",IF(N($D2008)&lt;=0,"Qty must be above 0",IF($H2008="","No price on menu","OK"))))))</f>
        <v/>
      </c>
      <c r="O2008" s="13">
        <f>IF($C2008="","",IFERROR(MATCH($C2008,'Menu Pricing'!$B$7:$B$56,0),""))</f>
        <v/>
      </c>
    </row>
    <row r="2009" ht="17" customHeight="1">
      <c r="B2009" s="66" t="n"/>
      <c r="C2009" s="60" t="n"/>
      <c r="D2009" s="86" t="n"/>
      <c r="E2009" s="63" t="n"/>
      <c r="F2009" s="60" t="n"/>
      <c r="G2009" s="60" t="n"/>
      <c r="H2009" s="71">
        <f>IF(OR($C2009="",$D2009=""),"",IF(ISNUMBER($E2009),$E2009,IF($O2009="","",IF(N(INDEX('Menu Pricing'!$O$7:$O$56,$O2009))&gt;0,INDEX('Menu Pricing'!$O$7:$O$56,$O2009),""))))</f>
        <v/>
      </c>
      <c r="I2009" s="71">
        <f>IF($N2009&lt;&gt;"OK","",$D2009*$H2009)</f>
        <v/>
      </c>
      <c r="J2009" s="71">
        <f>IF($N2009&lt;&gt;"OK","",N(INDEX('Menu Pricing'!$F$7:$F$56,$O2009))+N(INDEX('Menu Pricing'!$G$7:$G$56,$O2009))+N(INDEX('Menu Pricing'!$J$7:$J$56,$O2009)))</f>
        <v/>
      </c>
      <c r="K2009" s="71">
        <f>IF($N2009&lt;&gt;"OK","",$D2009*$J2009)</f>
        <v/>
      </c>
      <c r="L2009" s="71">
        <f>IF($N2009&lt;&gt;"OK","",$I2009-$K2009)</f>
        <v/>
      </c>
      <c r="M2009" s="71">
        <f>IF($N2009&lt;&gt;"OK","",$D2009*N(INDEX('Menu Pricing'!$F$7:$F$56,$O2009)))</f>
        <v/>
      </c>
      <c r="N2009" s="80">
        <f>IF(AND($B2009="",$C2009="",$D2009=""),"",IF(NOT(ISNUMBER($B2009)),"Enter a valid date",IF($C2009="","Pick a menu item",IF($O2009="","Item not on Menu Pricing",IF(N($D2009)&lt;=0,"Qty must be above 0",IF($H2009="","No price on menu","OK"))))))</f>
        <v/>
      </c>
      <c r="O2009" s="13">
        <f>IF($C2009="","",IFERROR(MATCH($C2009,'Menu Pricing'!$B$7:$B$56,0),""))</f>
        <v/>
      </c>
    </row>
    <row r="2010" ht="17" customHeight="1">
      <c r="B2010" s="66" t="n"/>
      <c r="C2010" s="60" t="n"/>
      <c r="D2010" s="86" t="n"/>
      <c r="E2010" s="63" t="n"/>
      <c r="F2010" s="60" t="n"/>
      <c r="G2010" s="60" t="n"/>
      <c r="H2010" s="71">
        <f>IF(OR($C2010="",$D2010=""),"",IF(ISNUMBER($E2010),$E2010,IF($O2010="","",IF(N(INDEX('Menu Pricing'!$O$7:$O$56,$O2010))&gt;0,INDEX('Menu Pricing'!$O$7:$O$56,$O2010),""))))</f>
        <v/>
      </c>
      <c r="I2010" s="71">
        <f>IF($N2010&lt;&gt;"OK","",$D2010*$H2010)</f>
        <v/>
      </c>
      <c r="J2010" s="71">
        <f>IF($N2010&lt;&gt;"OK","",N(INDEX('Menu Pricing'!$F$7:$F$56,$O2010))+N(INDEX('Menu Pricing'!$G$7:$G$56,$O2010))+N(INDEX('Menu Pricing'!$J$7:$J$56,$O2010)))</f>
        <v/>
      </c>
      <c r="K2010" s="71">
        <f>IF($N2010&lt;&gt;"OK","",$D2010*$J2010)</f>
        <v/>
      </c>
      <c r="L2010" s="71">
        <f>IF($N2010&lt;&gt;"OK","",$I2010-$K2010)</f>
        <v/>
      </c>
      <c r="M2010" s="71">
        <f>IF($N2010&lt;&gt;"OK","",$D2010*N(INDEX('Menu Pricing'!$F$7:$F$56,$O2010)))</f>
        <v/>
      </c>
      <c r="N2010" s="80">
        <f>IF(AND($B2010="",$C2010="",$D2010=""),"",IF(NOT(ISNUMBER($B2010)),"Enter a valid date",IF($C2010="","Pick a menu item",IF($O2010="","Item not on Menu Pricing",IF(N($D2010)&lt;=0,"Qty must be above 0",IF($H2010="","No price on menu","OK"))))))</f>
        <v/>
      </c>
      <c r="O2010" s="13">
        <f>IF($C2010="","",IFERROR(MATCH($C2010,'Menu Pricing'!$B$7:$B$56,0),""))</f>
        <v/>
      </c>
    </row>
    <row r="2011" ht="17" customHeight="1">
      <c r="B2011" s="66" t="n"/>
      <c r="C2011" s="60" t="n"/>
      <c r="D2011" s="86" t="n"/>
      <c r="E2011" s="63" t="n"/>
      <c r="F2011" s="60" t="n"/>
      <c r="G2011" s="60" t="n"/>
      <c r="H2011" s="71">
        <f>IF(OR($C2011="",$D2011=""),"",IF(ISNUMBER($E2011),$E2011,IF($O2011="","",IF(N(INDEX('Menu Pricing'!$O$7:$O$56,$O2011))&gt;0,INDEX('Menu Pricing'!$O$7:$O$56,$O2011),""))))</f>
        <v/>
      </c>
      <c r="I2011" s="71">
        <f>IF($N2011&lt;&gt;"OK","",$D2011*$H2011)</f>
        <v/>
      </c>
      <c r="J2011" s="71">
        <f>IF($N2011&lt;&gt;"OK","",N(INDEX('Menu Pricing'!$F$7:$F$56,$O2011))+N(INDEX('Menu Pricing'!$G$7:$G$56,$O2011))+N(INDEX('Menu Pricing'!$J$7:$J$56,$O2011)))</f>
        <v/>
      </c>
      <c r="K2011" s="71">
        <f>IF($N2011&lt;&gt;"OK","",$D2011*$J2011)</f>
        <v/>
      </c>
      <c r="L2011" s="71">
        <f>IF($N2011&lt;&gt;"OK","",$I2011-$K2011)</f>
        <v/>
      </c>
      <c r="M2011" s="71">
        <f>IF($N2011&lt;&gt;"OK","",$D2011*N(INDEX('Menu Pricing'!$F$7:$F$56,$O2011)))</f>
        <v/>
      </c>
      <c r="N2011" s="80">
        <f>IF(AND($B2011="",$C2011="",$D2011=""),"",IF(NOT(ISNUMBER($B2011)),"Enter a valid date",IF($C2011="","Pick a menu item",IF($O2011="","Item not on Menu Pricing",IF(N($D2011)&lt;=0,"Qty must be above 0",IF($H2011="","No price on menu","OK"))))))</f>
        <v/>
      </c>
      <c r="O2011" s="13">
        <f>IF($C2011="","",IFERROR(MATCH($C2011,'Menu Pricing'!$B$7:$B$56,0),""))</f>
        <v/>
      </c>
    </row>
    <row r="2012" ht="17" customHeight="1">
      <c r="B2012" s="66" t="n"/>
      <c r="C2012" s="60" t="n"/>
      <c r="D2012" s="86" t="n"/>
      <c r="E2012" s="63" t="n"/>
      <c r="F2012" s="60" t="n"/>
      <c r="G2012" s="60" t="n"/>
      <c r="H2012" s="71">
        <f>IF(OR($C2012="",$D2012=""),"",IF(ISNUMBER($E2012),$E2012,IF($O2012="","",IF(N(INDEX('Menu Pricing'!$O$7:$O$56,$O2012))&gt;0,INDEX('Menu Pricing'!$O$7:$O$56,$O2012),""))))</f>
        <v/>
      </c>
      <c r="I2012" s="71">
        <f>IF($N2012&lt;&gt;"OK","",$D2012*$H2012)</f>
        <v/>
      </c>
      <c r="J2012" s="71">
        <f>IF($N2012&lt;&gt;"OK","",N(INDEX('Menu Pricing'!$F$7:$F$56,$O2012))+N(INDEX('Menu Pricing'!$G$7:$G$56,$O2012))+N(INDEX('Menu Pricing'!$J$7:$J$56,$O2012)))</f>
        <v/>
      </c>
      <c r="K2012" s="71">
        <f>IF($N2012&lt;&gt;"OK","",$D2012*$J2012)</f>
        <v/>
      </c>
      <c r="L2012" s="71">
        <f>IF($N2012&lt;&gt;"OK","",$I2012-$K2012)</f>
        <v/>
      </c>
      <c r="M2012" s="71">
        <f>IF($N2012&lt;&gt;"OK","",$D2012*N(INDEX('Menu Pricing'!$F$7:$F$56,$O2012)))</f>
        <v/>
      </c>
      <c r="N2012" s="80">
        <f>IF(AND($B2012="",$C2012="",$D2012=""),"",IF(NOT(ISNUMBER($B2012)),"Enter a valid date",IF($C2012="","Pick a menu item",IF($O2012="","Item not on Menu Pricing",IF(N($D2012)&lt;=0,"Qty must be above 0",IF($H2012="","No price on menu","OK"))))))</f>
        <v/>
      </c>
      <c r="O2012" s="13">
        <f>IF($C2012="","",IFERROR(MATCH($C2012,'Menu Pricing'!$B$7:$B$56,0),""))</f>
        <v/>
      </c>
    </row>
    <row r="2013" ht="17" customHeight="1">
      <c r="B2013" s="66" t="n"/>
      <c r="C2013" s="60" t="n"/>
      <c r="D2013" s="86" t="n"/>
      <c r="E2013" s="63" t="n"/>
      <c r="F2013" s="60" t="n"/>
      <c r="G2013" s="60" t="n"/>
      <c r="H2013" s="71">
        <f>IF(OR($C2013="",$D2013=""),"",IF(ISNUMBER($E2013),$E2013,IF($O2013="","",IF(N(INDEX('Menu Pricing'!$O$7:$O$56,$O2013))&gt;0,INDEX('Menu Pricing'!$O$7:$O$56,$O2013),""))))</f>
        <v/>
      </c>
      <c r="I2013" s="71">
        <f>IF($N2013&lt;&gt;"OK","",$D2013*$H2013)</f>
        <v/>
      </c>
      <c r="J2013" s="71">
        <f>IF($N2013&lt;&gt;"OK","",N(INDEX('Menu Pricing'!$F$7:$F$56,$O2013))+N(INDEX('Menu Pricing'!$G$7:$G$56,$O2013))+N(INDEX('Menu Pricing'!$J$7:$J$56,$O2013)))</f>
        <v/>
      </c>
      <c r="K2013" s="71">
        <f>IF($N2013&lt;&gt;"OK","",$D2013*$J2013)</f>
        <v/>
      </c>
      <c r="L2013" s="71">
        <f>IF($N2013&lt;&gt;"OK","",$I2013-$K2013)</f>
        <v/>
      </c>
      <c r="M2013" s="71">
        <f>IF($N2013&lt;&gt;"OK","",$D2013*N(INDEX('Menu Pricing'!$F$7:$F$56,$O2013)))</f>
        <v/>
      </c>
      <c r="N2013" s="80">
        <f>IF(AND($B2013="",$C2013="",$D2013=""),"",IF(NOT(ISNUMBER($B2013)),"Enter a valid date",IF($C2013="","Pick a menu item",IF($O2013="","Item not on Menu Pricing",IF(N($D2013)&lt;=0,"Qty must be above 0",IF($H2013="","No price on menu","OK"))))))</f>
        <v/>
      </c>
      <c r="O2013" s="13">
        <f>IF($C2013="","",IFERROR(MATCH($C2013,'Menu Pricing'!$B$7:$B$56,0),""))</f>
        <v/>
      </c>
    </row>
    <row r="2014" ht="17" customHeight="1">
      <c r="B2014" s="66" t="n"/>
      <c r="C2014" s="60" t="n"/>
      <c r="D2014" s="86" t="n"/>
      <c r="E2014" s="63" t="n"/>
      <c r="F2014" s="60" t="n"/>
      <c r="G2014" s="60" t="n"/>
      <c r="H2014" s="71">
        <f>IF(OR($C2014="",$D2014=""),"",IF(ISNUMBER($E2014),$E2014,IF($O2014="","",IF(N(INDEX('Menu Pricing'!$O$7:$O$56,$O2014))&gt;0,INDEX('Menu Pricing'!$O$7:$O$56,$O2014),""))))</f>
        <v/>
      </c>
      <c r="I2014" s="71">
        <f>IF($N2014&lt;&gt;"OK","",$D2014*$H2014)</f>
        <v/>
      </c>
      <c r="J2014" s="71">
        <f>IF($N2014&lt;&gt;"OK","",N(INDEX('Menu Pricing'!$F$7:$F$56,$O2014))+N(INDEX('Menu Pricing'!$G$7:$G$56,$O2014))+N(INDEX('Menu Pricing'!$J$7:$J$56,$O2014)))</f>
        <v/>
      </c>
      <c r="K2014" s="71">
        <f>IF($N2014&lt;&gt;"OK","",$D2014*$J2014)</f>
        <v/>
      </c>
      <c r="L2014" s="71">
        <f>IF($N2014&lt;&gt;"OK","",$I2014-$K2014)</f>
        <v/>
      </c>
      <c r="M2014" s="71">
        <f>IF($N2014&lt;&gt;"OK","",$D2014*N(INDEX('Menu Pricing'!$F$7:$F$56,$O2014)))</f>
        <v/>
      </c>
      <c r="N2014" s="80">
        <f>IF(AND($B2014="",$C2014="",$D2014=""),"",IF(NOT(ISNUMBER($B2014)),"Enter a valid date",IF($C2014="","Pick a menu item",IF($O2014="","Item not on Menu Pricing",IF(N($D2014)&lt;=0,"Qty must be above 0",IF($H2014="","No price on menu","OK"))))))</f>
        <v/>
      </c>
      <c r="O2014" s="13">
        <f>IF($C2014="","",IFERROR(MATCH($C2014,'Menu Pricing'!$B$7:$B$56,0),""))</f>
        <v/>
      </c>
    </row>
    <row r="2015" ht="17" customHeight="1">
      <c r="B2015" s="66" t="n"/>
      <c r="C2015" s="60" t="n"/>
      <c r="D2015" s="86" t="n"/>
      <c r="E2015" s="63" t="n"/>
      <c r="F2015" s="60" t="n"/>
      <c r="G2015" s="60" t="n"/>
      <c r="H2015" s="71">
        <f>IF(OR($C2015="",$D2015=""),"",IF(ISNUMBER($E2015),$E2015,IF($O2015="","",IF(N(INDEX('Menu Pricing'!$O$7:$O$56,$O2015))&gt;0,INDEX('Menu Pricing'!$O$7:$O$56,$O2015),""))))</f>
        <v/>
      </c>
      <c r="I2015" s="71">
        <f>IF($N2015&lt;&gt;"OK","",$D2015*$H2015)</f>
        <v/>
      </c>
      <c r="J2015" s="71">
        <f>IF($N2015&lt;&gt;"OK","",N(INDEX('Menu Pricing'!$F$7:$F$56,$O2015))+N(INDEX('Menu Pricing'!$G$7:$G$56,$O2015))+N(INDEX('Menu Pricing'!$J$7:$J$56,$O2015)))</f>
        <v/>
      </c>
      <c r="K2015" s="71">
        <f>IF($N2015&lt;&gt;"OK","",$D2015*$J2015)</f>
        <v/>
      </c>
      <c r="L2015" s="71">
        <f>IF($N2015&lt;&gt;"OK","",$I2015-$K2015)</f>
        <v/>
      </c>
      <c r="M2015" s="71">
        <f>IF($N2015&lt;&gt;"OK","",$D2015*N(INDEX('Menu Pricing'!$F$7:$F$56,$O2015)))</f>
        <v/>
      </c>
      <c r="N2015" s="80">
        <f>IF(AND($B2015="",$C2015="",$D2015=""),"",IF(NOT(ISNUMBER($B2015)),"Enter a valid date",IF($C2015="","Pick a menu item",IF($O2015="","Item not on Menu Pricing",IF(N($D2015)&lt;=0,"Qty must be above 0",IF($H2015="","No price on menu","OK"))))))</f>
        <v/>
      </c>
      <c r="O2015" s="13">
        <f>IF($C2015="","",IFERROR(MATCH($C2015,'Menu Pricing'!$B$7:$B$56,0),""))</f>
        <v/>
      </c>
    </row>
    <row r="2016" ht="17" customHeight="1">
      <c r="B2016" s="66" t="n"/>
      <c r="C2016" s="60" t="n"/>
      <c r="D2016" s="86" t="n"/>
      <c r="E2016" s="63" t="n"/>
      <c r="F2016" s="60" t="n"/>
      <c r="G2016" s="60" t="n"/>
      <c r="H2016" s="71">
        <f>IF(OR($C2016="",$D2016=""),"",IF(ISNUMBER($E2016),$E2016,IF($O2016="","",IF(N(INDEX('Menu Pricing'!$O$7:$O$56,$O2016))&gt;0,INDEX('Menu Pricing'!$O$7:$O$56,$O2016),""))))</f>
        <v/>
      </c>
      <c r="I2016" s="71">
        <f>IF($N2016&lt;&gt;"OK","",$D2016*$H2016)</f>
        <v/>
      </c>
      <c r="J2016" s="71">
        <f>IF($N2016&lt;&gt;"OK","",N(INDEX('Menu Pricing'!$F$7:$F$56,$O2016))+N(INDEX('Menu Pricing'!$G$7:$G$56,$O2016))+N(INDEX('Menu Pricing'!$J$7:$J$56,$O2016)))</f>
        <v/>
      </c>
      <c r="K2016" s="71">
        <f>IF($N2016&lt;&gt;"OK","",$D2016*$J2016)</f>
        <v/>
      </c>
      <c r="L2016" s="71">
        <f>IF($N2016&lt;&gt;"OK","",$I2016-$K2016)</f>
        <v/>
      </c>
      <c r="M2016" s="71">
        <f>IF($N2016&lt;&gt;"OK","",$D2016*N(INDEX('Menu Pricing'!$F$7:$F$56,$O2016)))</f>
        <v/>
      </c>
      <c r="N2016" s="80">
        <f>IF(AND($B2016="",$C2016="",$D2016=""),"",IF(NOT(ISNUMBER($B2016)),"Enter a valid date",IF($C2016="","Pick a menu item",IF($O2016="","Item not on Menu Pricing",IF(N($D2016)&lt;=0,"Qty must be above 0",IF($H2016="","No price on menu","OK"))))))</f>
        <v/>
      </c>
      <c r="O2016" s="13">
        <f>IF($C2016="","",IFERROR(MATCH($C2016,'Menu Pricing'!$B$7:$B$56,0),""))</f>
        <v/>
      </c>
    </row>
    <row r="2017" ht="17" customHeight="1">
      <c r="B2017" s="66" t="n"/>
      <c r="C2017" s="60" t="n"/>
      <c r="D2017" s="86" t="n"/>
      <c r="E2017" s="63" t="n"/>
      <c r="F2017" s="60" t="n"/>
      <c r="G2017" s="60" t="n"/>
      <c r="H2017" s="71">
        <f>IF(OR($C2017="",$D2017=""),"",IF(ISNUMBER($E2017),$E2017,IF($O2017="","",IF(N(INDEX('Menu Pricing'!$O$7:$O$56,$O2017))&gt;0,INDEX('Menu Pricing'!$O$7:$O$56,$O2017),""))))</f>
        <v/>
      </c>
      <c r="I2017" s="71">
        <f>IF($N2017&lt;&gt;"OK","",$D2017*$H2017)</f>
        <v/>
      </c>
      <c r="J2017" s="71">
        <f>IF($N2017&lt;&gt;"OK","",N(INDEX('Menu Pricing'!$F$7:$F$56,$O2017))+N(INDEX('Menu Pricing'!$G$7:$G$56,$O2017))+N(INDEX('Menu Pricing'!$J$7:$J$56,$O2017)))</f>
        <v/>
      </c>
      <c r="K2017" s="71">
        <f>IF($N2017&lt;&gt;"OK","",$D2017*$J2017)</f>
        <v/>
      </c>
      <c r="L2017" s="71">
        <f>IF($N2017&lt;&gt;"OK","",$I2017-$K2017)</f>
        <v/>
      </c>
      <c r="M2017" s="71">
        <f>IF($N2017&lt;&gt;"OK","",$D2017*N(INDEX('Menu Pricing'!$F$7:$F$56,$O2017)))</f>
        <v/>
      </c>
      <c r="N2017" s="80">
        <f>IF(AND($B2017="",$C2017="",$D2017=""),"",IF(NOT(ISNUMBER($B2017)),"Enter a valid date",IF($C2017="","Pick a menu item",IF($O2017="","Item not on Menu Pricing",IF(N($D2017)&lt;=0,"Qty must be above 0",IF($H2017="","No price on menu","OK"))))))</f>
        <v/>
      </c>
      <c r="O2017" s="13">
        <f>IF($C2017="","",IFERROR(MATCH($C2017,'Menu Pricing'!$B$7:$B$56,0),""))</f>
        <v/>
      </c>
    </row>
    <row r="2018" ht="17" customHeight="1">
      <c r="B2018" s="66" t="n"/>
      <c r="C2018" s="60" t="n"/>
      <c r="D2018" s="86" t="n"/>
      <c r="E2018" s="63" t="n"/>
      <c r="F2018" s="60" t="n"/>
      <c r="G2018" s="60" t="n"/>
      <c r="H2018" s="71">
        <f>IF(OR($C2018="",$D2018=""),"",IF(ISNUMBER($E2018),$E2018,IF($O2018="","",IF(N(INDEX('Menu Pricing'!$O$7:$O$56,$O2018))&gt;0,INDEX('Menu Pricing'!$O$7:$O$56,$O2018),""))))</f>
        <v/>
      </c>
      <c r="I2018" s="71">
        <f>IF($N2018&lt;&gt;"OK","",$D2018*$H2018)</f>
        <v/>
      </c>
      <c r="J2018" s="71">
        <f>IF($N2018&lt;&gt;"OK","",N(INDEX('Menu Pricing'!$F$7:$F$56,$O2018))+N(INDEX('Menu Pricing'!$G$7:$G$56,$O2018))+N(INDEX('Menu Pricing'!$J$7:$J$56,$O2018)))</f>
        <v/>
      </c>
      <c r="K2018" s="71">
        <f>IF($N2018&lt;&gt;"OK","",$D2018*$J2018)</f>
        <v/>
      </c>
      <c r="L2018" s="71">
        <f>IF($N2018&lt;&gt;"OK","",$I2018-$K2018)</f>
        <v/>
      </c>
      <c r="M2018" s="71">
        <f>IF($N2018&lt;&gt;"OK","",$D2018*N(INDEX('Menu Pricing'!$F$7:$F$56,$O2018)))</f>
        <v/>
      </c>
      <c r="N2018" s="80">
        <f>IF(AND($B2018="",$C2018="",$D2018=""),"",IF(NOT(ISNUMBER($B2018)),"Enter a valid date",IF($C2018="","Pick a menu item",IF($O2018="","Item not on Menu Pricing",IF(N($D2018)&lt;=0,"Qty must be above 0",IF($H2018="","No price on menu","OK"))))))</f>
        <v/>
      </c>
      <c r="O2018" s="13">
        <f>IF($C2018="","",IFERROR(MATCH($C2018,'Menu Pricing'!$B$7:$B$56,0),""))</f>
        <v/>
      </c>
    </row>
    <row r="2019" ht="17" customHeight="1">
      <c r="B2019" s="66" t="n"/>
      <c r="C2019" s="60" t="n"/>
      <c r="D2019" s="86" t="n"/>
      <c r="E2019" s="63" t="n"/>
      <c r="F2019" s="60" t="n"/>
      <c r="G2019" s="60" t="n"/>
      <c r="H2019" s="71">
        <f>IF(OR($C2019="",$D2019=""),"",IF(ISNUMBER($E2019),$E2019,IF($O2019="","",IF(N(INDEX('Menu Pricing'!$O$7:$O$56,$O2019))&gt;0,INDEX('Menu Pricing'!$O$7:$O$56,$O2019),""))))</f>
        <v/>
      </c>
      <c r="I2019" s="71">
        <f>IF($N2019&lt;&gt;"OK","",$D2019*$H2019)</f>
        <v/>
      </c>
      <c r="J2019" s="71">
        <f>IF($N2019&lt;&gt;"OK","",N(INDEX('Menu Pricing'!$F$7:$F$56,$O2019))+N(INDEX('Menu Pricing'!$G$7:$G$56,$O2019))+N(INDEX('Menu Pricing'!$J$7:$J$56,$O2019)))</f>
        <v/>
      </c>
      <c r="K2019" s="71">
        <f>IF($N2019&lt;&gt;"OK","",$D2019*$J2019)</f>
        <v/>
      </c>
      <c r="L2019" s="71">
        <f>IF($N2019&lt;&gt;"OK","",$I2019-$K2019)</f>
        <v/>
      </c>
      <c r="M2019" s="71">
        <f>IF($N2019&lt;&gt;"OK","",$D2019*N(INDEX('Menu Pricing'!$F$7:$F$56,$O2019)))</f>
        <v/>
      </c>
      <c r="N2019" s="80">
        <f>IF(AND($B2019="",$C2019="",$D2019=""),"",IF(NOT(ISNUMBER($B2019)),"Enter a valid date",IF($C2019="","Pick a menu item",IF($O2019="","Item not on Menu Pricing",IF(N($D2019)&lt;=0,"Qty must be above 0",IF($H2019="","No price on menu","OK"))))))</f>
        <v/>
      </c>
      <c r="O2019" s="13">
        <f>IF($C2019="","",IFERROR(MATCH($C2019,'Menu Pricing'!$B$7:$B$56,0),""))</f>
        <v/>
      </c>
    </row>
    <row r="2020" ht="17" customHeight="1">
      <c r="B2020" s="66" t="n"/>
      <c r="C2020" s="60" t="n"/>
      <c r="D2020" s="86" t="n"/>
      <c r="E2020" s="63" t="n"/>
      <c r="F2020" s="60" t="n"/>
      <c r="G2020" s="60" t="n"/>
      <c r="H2020" s="71">
        <f>IF(OR($C2020="",$D2020=""),"",IF(ISNUMBER($E2020),$E2020,IF($O2020="","",IF(N(INDEX('Menu Pricing'!$O$7:$O$56,$O2020))&gt;0,INDEX('Menu Pricing'!$O$7:$O$56,$O2020),""))))</f>
        <v/>
      </c>
      <c r="I2020" s="71">
        <f>IF($N2020&lt;&gt;"OK","",$D2020*$H2020)</f>
        <v/>
      </c>
      <c r="J2020" s="71">
        <f>IF($N2020&lt;&gt;"OK","",N(INDEX('Menu Pricing'!$F$7:$F$56,$O2020))+N(INDEX('Menu Pricing'!$G$7:$G$56,$O2020))+N(INDEX('Menu Pricing'!$J$7:$J$56,$O2020)))</f>
        <v/>
      </c>
      <c r="K2020" s="71">
        <f>IF($N2020&lt;&gt;"OK","",$D2020*$J2020)</f>
        <v/>
      </c>
      <c r="L2020" s="71">
        <f>IF($N2020&lt;&gt;"OK","",$I2020-$K2020)</f>
        <v/>
      </c>
      <c r="M2020" s="71">
        <f>IF($N2020&lt;&gt;"OK","",$D2020*N(INDEX('Menu Pricing'!$F$7:$F$56,$O2020)))</f>
        <v/>
      </c>
      <c r="N2020" s="80">
        <f>IF(AND($B2020="",$C2020="",$D2020=""),"",IF(NOT(ISNUMBER($B2020)),"Enter a valid date",IF($C2020="","Pick a menu item",IF($O2020="","Item not on Menu Pricing",IF(N($D2020)&lt;=0,"Qty must be above 0",IF($H2020="","No price on menu","OK"))))))</f>
        <v/>
      </c>
      <c r="O2020" s="13">
        <f>IF($C2020="","",IFERROR(MATCH($C2020,'Menu Pricing'!$B$7:$B$56,0),""))</f>
        <v/>
      </c>
    </row>
    <row r="2021" ht="17" customHeight="1">
      <c r="B2021" s="66" t="n"/>
      <c r="C2021" s="60" t="n"/>
      <c r="D2021" s="86" t="n"/>
      <c r="E2021" s="63" t="n"/>
      <c r="F2021" s="60" t="n"/>
      <c r="G2021" s="60" t="n"/>
      <c r="H2021" s="71">
        <f>IF(OR($C2021="",$D2021=""),"",IF(ISNUMBER($E2021),$E2021,IF($O2021="","",IF(N(INDEX('Menu Pricing'!$O$7:$O$56,$O2021))&gt;0,INDEX('Menu Pricing'!$O$7:$O$56,$O2021),""))))</f>
        <v/>
      </c>
      <c r="I2021" s="71">
        <f>IF($N2021&lt;&gt;"OK","",$D2021*$H2021)</f>
        <v/>
      </c>
      <c r="J2021" s="71">
        <f>IF($N2021&lt;&gt;"OK","",N(INDEX('Menu Pricing'!$F$7:$F$56,$O2021))+N(INDEX('Menu Pricing'!$G$7:$G$56,$O2021))+N(INDEX('Menu Pricing'!$J$7:$J$56,$O2021)))</f>
        <v/>
      </c>
      <c r="K2021" s="71">
        <f>IF($N2021&lt;&gt;"OK","",$D2021*$J2021)</f>
        <v/>
      </c>
      <c r="L2021" s="71">
        <f>IF($N2021&lt;&gt;"OK","",$I2021-$K2021)</f>
        <v/>
      </c>
      <c r="M2021" s="71">
        <f>IF($N2021&lt;&gt;"OK","",$D2021*N(INDEX('Menu Pricing'!$F$7:$F$56,$O2021)))</f>
        <v/>
      </c>
      <c r="N2021" s="80">
        <f>IF(AND($B2021="",$C2021="",$D2021=""),"",IF(NOT(ISNUMBER($B2021)),"Enter a valid date",IF($C2021="","Pick a menu item",IF($O2021="","Item not on Menu Pricing",IF(N($D2021)&lt;=0,"Qty must be above 0",IF($H2021="","No price on menu","OK"))))))</f>
        <v/>
      </c>
      <c r="O2021" s="13">
        <f>IF($C2021="","",IFERROR(MATCH($C2021,'Menu Pricing'!$B$7:$B$56,0),""))</f>
        <v/>
      </c>
    </row>
    <row r="2022" ht="17" customHeight="1">
      <c r="B2022" s="66" t="n"/>
      <c r="C2022" s="60" t="n"/>
      <c r="D2022" s="86" t="n"/>
      <c r="E2022" s="63" t="n"/>
      <c r="F2022" s="60" t="n"/>
      <c r="G2022" s="60" t="n"/>
      <c r="H2022" s="71">
        <f>IF(OR($C2022="",$D2022=""),"",IF(ISNUMBER($E2022),$E2022,IF($O2022="","",IF(N(INDEX('Menu Pricing'!$O$7:$O$56,$O2022))&gt;0,INDEX('Menu Pricing'!$O$7:$O$56,$O2022),""))))</f>
        <v/>
      </c>
      <c r="I2022" s="71">
        <f>IF($N2022&lt;&gt;"OK","",$D2022*$H2022)</f>
        <v/>
      </c>
      <c r="J2022" s="71">
        <f>IF($N2022&lt;&gt;"OK","",N(INDEX('Menu Pricing'!$F$7:$F$56,$O2022))+N(INDEX('Menu Pricing'!$G$7:$G$56,$O2022))+N(INDEX('Menu Pricing'!$J$7:$J$56,$O2022)))</f>
        <v/>
      </c>
      <c r="K2022" s="71">
        <f>IF($N2022&lt;&gt;"OK","",$D2022*$J2022)</f>
        <v/>
      </c>
      <c r="L2022" s="71">
        <f>IF($N2022&lt;&gt;"OK","",$I2022-$K2022)</f>
        <v/>
      </c>
      <c r="M2022" s="71">
        <f>IF($N2022&lt;&gt;"OK","",$D2022*N(INDEX('Menu Pricing'!$F$7:$F$56,$O2022)))</f>
        <v/>
      </c>
      <c r="N2022" s="80">
        <f>IF(AND($B2022="",$C2022="",$D2022=""),"",IF(NOT(ISNUMBER($B2022)),"Enter a valid date",IF($C2022="","Pick a menu item",IF($O2022="","Item not on Menu Pricing",IF(N($D2022)&lt;=0,"Qty must be above 0",IF($H2022="","No price on menu","OK"))))))</f>
        <v/>
      </c>
      <c r="O2022" s="13">
        <f>IF($C2022="","",IFERROR(MATCH($C2022,'Menu Pricing'!$B$7:$B$56,0),""))</f>
        <v/>
      </c>
    </row>
    <row r="2023" ht="17" customHeight="1">
      <c r="B2023" s="66" t="n"/>
      <c r="C2023" s="60" t="n"/>
      <c r="D2023" s="86" t="n"/>
      <c r="E2023" s="63" t="n"/>
      <c r="F2023" s="60" t="n"/>
      <c r="G2023" s="60" t="n"/>
      <c r="H2023" s="71">
        <f>IF(OR($C2023="",$D2023=""),"",IF(ISNUMBER($E2023),$E2023,IF($O2023="","",IF(N(INDEX('Menu Pricing'!$O$7:$O$56,$O2023))&gt;0,INDEX('Menu Pricing'!$O$7:$O$56,$O2023),""))))</f>
        <v/>
      </c>
      <c r="I2023" s="71">
        <f>IF($N2023&lt;&gt;"OK","",$D2023*$H2023)</f>
        <v/>
      </c>
      <c r="J2023" s="71">
        <f>IF($N2023&lt;&gt;"OK","",N(INDEX('Menu Pricing'!$F$7:$F$56,$O2023))+N(INDEX('Menu Pricing'!$G$7:$G$56,$O2023))+N(INDEX('Menu Pricing'!$J$7:$J$56,$O2023)))</f>
        <v/>
      </c>
      <c r="K2023" s="71">
        <f>IF($N2023&lt;&gt;"OK","",$D2023*$J2023)</f>
        <v/>
      </c>
      <c r="L2023" s="71">
        <f>IF($N2023&lt;&gt;"OK","",$I2023-$K2023)</f>
        <v/>
      </c>
      <c r="M2023" s="71">
        <f>IF($N2023&lt;&gt;"OK","",$D2023*N(INDEX('Menu Pricing'!$F$7:$F$56,$O2023)))</f>
        <v/>
      </c>
      <c r="N2023" s="80">
        <f>IF(AND($B2023="",$C2023="",$D2023=""),"",IF(NOT(ISNUMBER($B2023)),"Enter a valid date",IF($C2023="","Pick a menu item",IF($O2023="","Item not on Menu Pricing",IF(N($D2023)&lt;=0,"Qty must be above 0",IF($H2023="","No price on menu","OK"))))))</f>
        <v/>
      </c>
      <c r="O2023" s="13">
        <f>IF($C2023="","",IFERROR(MATCH($C2023,'Menu Pricing'!$B$7:$B$56,0),""))</f>
        <v/>
      </c>
    </row>
    <row r="2024" ht="17" customHeight="1">
      <c r="B2024" s="66" t="n"/>
      <c r="C2024" s="60" t="n"/>
      <c r="D2024" s="86" t="n"/>
      <c r="E2024" s="63" t="n"/>
      <c r="F2024" s="60" t="n"/>
      <c r="G2024" s="60" t="n"/>
      <c r="H2024" s="71">
        <f>IF(OR($C2024="",$D2024=""),"",IF(ISNUMBER($E2024),$E2024,IF($O2024="","",IF(N(INDEX('Menu Pricing'!$O$7:$O$56,$O2024))&gt;0,INDEX('Menu Pricing'!$O$7:$O$56,$O2024),""))))</f>
        <v/>
      </c>
      <c r="I2024" s="71">
        <f>IF($N2024&lt;&gt;"OK","",$D2024*$H2024)</f>
        <v/>
      </c>
      <c r="J2024" s="71">
        <f>IF($N2024&lt;&gt;"OK","",N(INDEX('Menu Pricing'!$F$7:$F$56,$O2024))+N(INDEX('Menu Pricing'!$G$7:$G$56,$O2024))+N(INDEX('Menu Pricing'!$J$7:$J$56,$O2024)))</f>
        <v/>
      </c>
      <c r="K2024" s="71">
        <f>IF($N2024&lt;&gt;"OK","",$D2024*$J2024)</f>
        <v/>
      </c>
      <c r="L2024" s="71">
        <f>IF($N2024&lt;&gt;"OK","",$I2024-$K2024)</f>
        <v/>
      </c>
      <c r="M2024" s="71">
        <f>IF($N2024&lt;&gt;"OK","",$D2024*N(INDEX('Menu Pricing'!$F$7:$F$56,$O2024)))</f>
        <v/>
      </c>
      <c r="N2024" s="80">
        <f>IF(AND($B2024="",$C2024="",$D2024=""),"",IF(NOT(ISNUMBER($B2024)),"Enter a valid date",IF($C2024="","Pick a menu item",IF($O2024="","Item not on Menu Pricing",IF(N($D2024)&lt;=0,"Qty must be above 0",IF($H2024="","No price on menu","OK"))))))</f>
        <v/>
      </c>
      <c r="O2024" s="13">
        <f>IF($C2024="","",IFERROR(MATCH($C2024,'Menu Pricing'!$B$7:$B$56,0),""))</f>
        <v/>
      </c>
    </row>
    <row r="2025" ht="17" customHeight="1">
      <c r="B2025" s="66" t="n"/>
      <c r="C2025" s="60" t="n"/>
      <c r="D2025" s="86" t="n"/>
      <c r="E2025" s="63" t="n"/>
      <c r="F2025" s="60" t="n"/>
      <c r="G2025" s="60" t="n"/>
      <c r="H2025" s="71">
        <f>IF(OR($C2025="",$D2025=""),"",IF(ISNUMBER($E2025),$E2025,IF($O2025="","",IF(N(INDEX('Menu Pricing'!$O$7:$O$56,$O2025))&gt;0,INDEX('Menu Pricing'!$O$7:$O$56,$O2025),""))))</f>
        <v/>
      </c>
      <c r="I2025" s="71">
        <f>IF($N2025&lt;&gt;"OK","",$D2025*$H2025)</f>
        <v/>
      </c>
      <c r="J2025" s="71">
        <f>IF($N2025&lt;&gt;"OK","",N(INDEX('Menu Pricing'!$F$7:$F$56,$O2025))+N(INDEX('Menu Pricing'!$G$7:$G$56,$O2025))+N(INDEX('Menu Pricing'!$J$7:$J$56,$O2025)))</f>
        <v/>
      </c>
      <c r="K2025" s="71">
        <f>IF($N2025&lt;&gt;"OK","",$D2025*$J2025)</f>
        <v/>
      </c>
      <c r="L2025" s="71">
        <f>IF($N2025&lt;&gt;"OK","",$I2025-$K2025)</f>
        <v/>
      </c>
      <c r="M2025" s="71">
        <f>IF($N2025&lt;&gt;"OK","",$D2025*N(INDEX('Menu Pricing'!$F$7:$F$56,$O2025)))</f>
        <v/>
      </c>
      <c r="N2025" s="80">
        <f>IF(AND($B2025="",$C2025="",$D2025=""),"",IF(NOT(ISNUMBER($B2025)),"Enter a valid date",IF($C2025="","Pick a menu item",IF($O2025="","Item not on Menu Pricing",IF(N($D2025)&lt;=0,"Qty must be above 0",IF($H2025="","No price on menu","OK"))))))</f>
        <v/>
      </c>
      <c r="O2025" s="13">
        <f>IF($C2025="","",IFERROR(MATCH($C2025,'Menu Pricing'!$B$7:$B$56,0),""))</f>
        <v/>
      </c>
    </row>
    <row r="2026" ht="17" customHeight="1">
      <c r="B2026" s="66" t="n"/>
      <c r="C2026" s="60" t="n"/>
      <c r="D2026" s="86" t="n"/>
      <c r="E2026" s="63" t="n"/>
      <c r="F2026" s="60" t="n"/>
      <c r="G2026" s="60" t="n"/>
      <c r="H2026" s="71">
        <f>IF(OR($C2026="",$D2026=""),"",IF(ISNUMBER($E2026),$E2026,IF($O2026="","",IF(N(INDEX('Menu Pricing'!$O$7:$O$56,$O2026))&gt;0,INDEX('Menu Pricing'!$O$7:$O$56,$O2026),""))))</f>
        <v/>
      </c>
      <c r="I2026" s="71">
        <f>IF($N2026&lt;&gt;"OK","",$D2026*$H2026)</f>
        <v/>
      </c>
      <c r="J2026" s="71">
        <f>IF($N2026&lt;&gt;"OK","",N(INDEX('Menu Pricing'!$F$7:$F$56,$O2026))+N(INDEX('Menu Pricing'!$G$7:$G$56,$O2026))+N(INDEX('Menu Pricing'!$J$7:$J$56,$O2026)))</f>
        <v/>
      </c>
      <c r="K2026" s="71">
        <f>IF($N2026&lt;&gt;"OK","",$D2026*$J2026)</f>
        <v/>
      </c>
      <c r="L2026" s="71">
        <f>IF($N2026&lt;&gt;"OK","",$I2026-$K2026)</f>
        <v/>
      </c>
      <c r="M2026" s="71">
        <f>IF($N2026&lt;&gt;"OK","",$D2026*N(INDEX('Menu Pricing'!$F$7:$F$56,$O2026)))</f>
        <v/>
      </c>
      <c r="N2026" s="80">
        <f>IF(AND($B2026="",$C2026="",$D2026=""),"",IF(NOT(ISNUMBER($B2026)),"Enter a valid date",IF($C2026="","Pick a menu item",IF($O2026="","Item not on Menu Pricing",IF(N($D2026)&lt;=0,"Qty must be above 0",IF($H2026="","No price on menu","OK"))))))</f>
        <v/>
      </c>
      <c r="O2026" s="13">
        <f>IF($C2026="","",IFERROR(MATCH($C2026,'Menu Pricing'!$B$7:$B$56,0),""))</f>
        <v/>
      </c>
    </row>
    <row r="2027" ht="17" customHeight="1">
      <c r="B2027" s="66" t="n"/>
      <c r="C2027" s="60" t="n"/>
      <c r="D2027" s="86" t="n"/>
      <c r="E2027" s="63" t="n"/>
      <c r="F2027" s="60" t="n"/>
      <c r="G2027" s="60" t="n"/>
      <c r="H2027" s="71">
        <f>IF(OR($C2027="",$D2027=""),"",IF(ISNUMBER($E2027),$E2027,IF($O2027="","",IF(N(INDEX('Menu Pricing'!$O$7:$O$56,$O2027))&gt;0,INDEX('Menu Pricing'!$O$7:$O$56,$O2027),""))))</f>
        <v/>
      </c>
      <c r="I2027" s="71">
        <f>IF($N2027&lt;&gt;"OK","",$D2027*$H2027)</f>
        <v/>
      </c>
      <c r="J2027" s="71">
        <f>IF($N2027&lt;&gt;"OK","",N(INDEX('Menu Pricing'!$F$7:$F$56,$O2027))+N(INDEX('Menu Pricing'!$G$7:$G$56,$O2027))+N(INDEX('Menu Pricing'!$J$7:$J$56,$O2027)))</f>
        <v/>
      </c>
      <c r="K2027" s="71">
        <f>IF($N2027&lt;&gt;"OK","",$D2027*$J2027)</f>
        <v/>
      </c>
      <c r="L2027" s="71">
        <f>IF($N2027&lt;&gt;"OK","",$I2027-$K2027)</f>
        <v/>
      </c>
      <c r="M2027" s="71">
        <f>IF($N2027&lt;&gt;"OK","",$D2027*N(INDEX('Menu Pricing'!$F$7:$F$56,$O2027)))</f>
        <v/>
      </c>
      <c r="N2027" s="80">
        <f>IF(AND($B2027="",$C2027="",$D2027=""),"",IF(NOT(ISNUMBER($B2027)),"Enter a valid date",IF($C2027="","Pick a menu item",IF($O2027="","Item not on Menu Pricing",IF(N($D2027)&lt;=0,"Qty must be above 0",IF($H2027="","No price on menu","OK"))))))</f>
        <v/>
      </c>
      <c r="O2027" s="13">
        <f>IF($C2027="","",IFERROR(MATCH($C2027,'Menu Pricing'!$B$7:$B$56,0),""))</f>
        <v/>
      </c>
    </row>
    <row r="2028" ht="17" customHeight="1">
      <c r="B2028" s="66" t="n"/>
      <c r="C2028" s="60" t="n"/>
      <c r="D2028" s="86" t="n"/>
      <c r="E2028" s="63" t="n"/>
      <c r="F2028" s="60" t="n"/>
      <c r="G2028" s="60" t="n"/>
      <c r="H2028" s="71">
        <f>IF(OR($C2028="",$D2028=""),"",IF(ISNUMBER($E2028),$E2028,IF($O2028="","",IF(N(INDEX('Menu Pricing'!$O$7:$O$56,$O2028))&gt;0,INDEX('Menu Pricing'!$O$7:$O$56,$O2028),""))))</f>
        <v/>
      </c>
      <c r="I2028" s="71">
        <f>IF($N2028&lt;&gt;"OK","",$D2028*$H2028)</f>
        <v/>
      </c>
      <c r="J2028" s="71">
        <f>IF($N2028&lt;&gt;"OK","",N(INDEX('Menu Pricing'!$F$7:$F$56,$O2028))+N(INDEX('Menu Pricing'!$G$7:$G$56,$O2028))+N(INDEX('Menu Pricing'!$J$7:$J$56,$O2028)))</f>
        <v/>
      </c>
      <c r="K2028" s="71">
        <f>IF($N2028&lt;&gt;"OK","",$D2028*$J2028)</f>
        <v/>
      </c>
      <c r="L2028" s="71">
        <f>IF($N2028&lt;&gt;"OK","",$I2028-$K2028)</f>
        <v/>
      </c>
      <c r="M2028" s="71">
        <f>IF($N2028&lt;&gt;"OK","",$D2028*N(INDEX('Menu Pricing'!$F$7:$F$56,$O2028)))</f>
        <v/>
      </c>
      <c r="N2028" s="80">
        <f>IF(AND($B2028="",$C2028="",$D2028=""),"",IF(NOT(ISNUMBER($B2028)),"Enter a valid date",IF($C2028="","Pick a menu item",IF($O2028="","Item not on Menu Pricing",IF(N($D2028)&lt;=0,"Qty must be above 0",IF($H2028="","No price on menu","OK"))))))</f>
        <v/>
      </c>
      <c r="O2028" s="13">
        <f>IF($C2028="","",IFERROR(MATCH($C2028,'Menu Pricing'!$B$7:$B$56,0),""))</f>
        <v/>
      </c>
    </row>
    <row r="2029" ht="17" customHeight="1">
      <c r="B2029" s="66" t="n"/>
      <c r="C2029" s="60" t="n"/>
      <c r="D2029" s="86" t="n"/>
      <c r="E2029" s="63" t="n"/>
      <c r="F2029" s="60" t="n"/>
      <c r="G2029" s="60" t="n"/>
      <c r="H2029" s="71">
        <f>IF(OR($C2029="",$D2029=""),"",IF(ISNUMBER($E2029),$E2029,IF($O2029="","",IF(N(INDEX('Menu Pricing'!$O$7:$O$56,$O2029))&gt;0,INDEX('Menu Pricing'!$O$7:$O$56,$O2029),""))))</f>
        <v/>
      </c>
      <c r="I2029" s="71">
        <f>IF($N2029&lt;&gt;"OK","",$D2029*$H2029)</f>
        <v/>
      </c>
      <c r="J2029" s="71">
        <f>IF($N2029&lt;&gt;"OK","",N(INDEX('Menu Pricing'!$F$7:$F$56,$O2029))+N(INDEX('Menu Pricing'!$G$7:$G$56,$O2029))+N(INDEX('Menu Pricing'!$J$7:$J$56,$O2029)))</f>
        <v/>
      </c>
      <c r="K2029" s="71">
        <f>IF($N2029&lt;&gt;"OK","",$D2029*$J2029)</f>
        <v/>
      </c>
      <c r="L2029" s="71">
        <f>IF($N2029&lt;&gt;"OK","",$I2029-$K2029)</f>
        <v/>
      </c>
      <c r="M2029" s="71">
        <f>IF($N2029&lt;&gt;"OK","",$D2029*N(INDEX('Menu Pricing'!$F$7:$F$56,$O2029)))</f>
        <v/>
      </c>
      <c r="N2029" s="80">
        <f>IF(AND($B2029="",$C2029="",$D2029=""),"",IF(NOT(ISNUMBER($B2029)),"Enter a valid date",IF($C2029="","Pick a menu item",IF($O2029="","Item not on Menu Pricing",IF(N($D2029)&lt;=0,"Qty must be above 0",IF($H2029="","No price on menu","OK"))))))</f>
        <v/>
      </c>
      <c r="O2029" s="13">
        <f>IF($C2029="","",IFERROR(MATCH($C2029,'Menu Pricing'!$B$7:$B$56,0),""))</f>
        <v/>
      </c>
    </row>
    <row r="2030" ht="17" customHeight="1">
      <c r="B2030" s="66" t="n"/>
      <c r="C2030" s="60" t="n"/>
      <c r="D2030" s="86" t="n"/>
      <c r="E2030" s="63" t="n"/>
      <c r="F2030" s="60" t="n"/>
      <c r="G2030" s="60" t="n"/>
      <c r="H2030" s="71">
        <f>IF(OR($C2030="",$D2030=""),"",IF(ISNUMBER($E2030),$E2030,IF($O2030="","",IF(N(INDEX('Menu Pricing'!$O$7:$O$56,$O2030))&gt;0,INDEX('Menu Pricing'!$O$7:$O$56,$O2030),""))))</f>
        <v/>
      </c>
      <c r="I2030" s="71">
        <f>IF($N2030&lt;&gt;"OK","",$D2030*$H2030)</f>
        <v/>
      </c>
      <c r="J2030" s="71">
        <f>IF($N2030&lt;&gt;"OK","",N(INDEX('Menu Pricing'!$F$7:$F$56,$O2030))+N(INDEX('Menu Pricing'!$G$7:$G$56,$O2030))+N(INDEX('Menu Pricing'!$J$7:$J$56,$O2030)))</f>
        <v/>
      </c>
      <c r="K2030" s="71">
        <f>IF($N2030&lt;&gt;"OK","",$D2030*$J2030)</f>
        <v/>
      </c>
      <c r="L2030" s="71">
        <f>IF($N2030&lt;&gt;"OK","",$I2030-$K2030)</f>
        <v/>
      </c>
      <c r="M2030" s="71">
        <f>IF($N2030&lt;&gt;"OK","",$D2030*N(INDEX('Menu Pricing'!$F$7:$F$56,$O2030)))</f>
        <v/>
      </c>
      <c r="N2030" s="80">
        <f>IF(AND($B2030="",$C2030="",$D2030=""),"",IF(NOT(ISNUMBER($B2030)),"Enter a valid date",IF($C2030="","Pick a menu item",IF($O2030="","Item not on Menu Pricing",IF(N($D2030)&lt;=0,"Qty must be above 0",IF($H2030="","No price on menu","OK"))))))</f>
        <v/>
      </c>
      <c r="O2030" s="13">
        <f>IF($C2030="","",IFERROR(MATCH($C2030,'Menu Pricing'!$B$7:$B$56,0),""))</f>
        <v/>
      </c>
    </row>
    <row r="2031" ht="17" customHeight="1">
      <c r="B2031" s="66" t="n"/>
      <c r="C2031" s="60" t="n"/>
      <c r="D2031" s="86" t="n"/>
      <c r="E2031" s="63" t="n"/>
      <c r="F2031" s="60" t="n"/>
      <c r="G2031" s="60" t="n"/>
      <c r="H2031" s="71">
        <f>IF(OR($C2031="",$D2031=""),"",IF(ISNUMBER($E2031),$E2031,IF($O2031="","",IF(N(INDEX('Menu Pricing'!$O$7:$O$56,$O2031))&gt;0,INDEX('Menu Pricing'!$O$7:$O$56,$O2031),""))))</f>
        <v/>
      </c>
      <c r="I2031" s="71">
        <f>IF($N2031&lt;&gt;"OK","",$D2031*$H2031)</f>
        <v/>
      </c>
      <c r="J2031" s="71">
        <f>IF($N2031&lt;&gt;"OK","",N(INDEX('Menu Pricing'!$F$7:$F$56,$O2031))+N(INDEX('Menu Pricing'!$G$7:$G$56,$O2031))+N(INDEX('Menu Pricing'!$J$7:$J$56,$O2031)))</f>
        <v/>
      </c>
      <c r="K2031" s="71">
        <f>IF($N2031&lt;&gt;"OK","",$D2031*$J2031)</f>
        <v/>
      </c>
      <c r="L2031" s="71">
        <f>IF($N2031&lt;&gt;"OK","",$I2031-$K2031)</f>
        <v/>
      </c>
      <c r="M2031" s="71">
        <f>IF($N2031&lt;&gt;"OK","",$D2031*N(INDEX('Menu Pricing'!$F$7:$F$56,$O2031)))</f>
        <v/>
      </c>
      <c r="N2031" s="80">
        <f>IF(AND($B2031="",$C2031="",$D2031=""),"",IF(NOT(ISNUMBER($B2031)),"Enter a valid date",IF($C2031="","Pick a menu item",IF($O2031="","Item not on Menu Pricing",IF(N($D2031)&lt;=0,"Qty must be above 0",IF($H2031="","No price on menu","OK"))))))</f>
        <v/>
      </c>
      <c r="O2031" s="13">
        <f>IF($C2031="","",IFERROR(MATCH($C2031,'Menu Pricing'!$B$7:$B$56,0),""))</f>
        <v/>
      </c>
    </row>
    <row r="2032" ht="17" customHeight="1">
      <c r="B2032" s="66" t="n"/>
      <c r="C2032" s="60" t="n"/>
      <c r="D2032" s="86" t="n"/>
      <c r="E2032" s="63" t="n"/>
      <c r="F2032" s="60" t="n"/>
      <c r="G2032" s="60" t="n"/>
      <c r="H2032" s="71">
        <f>IF(OR($C2032="",$D2032=""),"",IF(ISNUMBER($E2032),$E2032,IF($O2032="","",IF(N(INDEX('Menu Pricing'!$O$7:$O$56,$O2032))&gt;0,INDEX('Menu Pricing'!$O$7:$O$56,$O2032),""))))</f>
        <v/>
      </c>
      <c r="I2032" s="71">
        <f>IF($N2032&lt;&gt;"OK","",$D2032*$H2032)</f>
        <v/>
      </c>
      <c r="J2032" s="71">
        <f>IF($N2032&lt;&gt;"OK","",N(INDEX('Menu Pricing'!$F$7:$F$56,$O2032))+N(INDEX('Menu Pricing'!$G$7:$G$56,$O2032))+N(INDEX('Menu Pricing'!$J$7:$J$56,$O2032)))</f>
        <v/>
      </c>
      <c r="K2032" s="71">
        <f>IF($N2032&lt;&gt;"OK","",$D2032*$J2032)</f>
        <v/>
      </c>
      <c r="L2032" s="71">
        <f>IF($N2032&lt;&gt;"OK","",$I2032-$K2032)</f>
        <v/>
      </c>
      <c r="M2032" s="71">
        <f>IF($N2032&lt;&gt;"OK","",$D2032*N(INDEX('Menu Pricing'!$F$7:$F$56,$O2032)))</f>
        <v/>
      </c>
      <c r="N2032" s="80">
        <f>IF(AND($B2032="",$C2032="",$D2032=""),"",IF(NOT(ISNUMBER($B2032)),"Enter a valid date",IF($C2032="","Pick a menu item",IF($O2032="","Item not on Menu Pricing",IF(N($D2032)&lt;=0,"Qty must be above 0",IF($H2032="","No price on menu","OK"))))))</f>
        <v/>
      </c>
      <c r="O2032" s="13">
        <f>IF($C2032="","",IFERROR(MATCH($C2032,'Menu Pricing'!$B$7:$B$56,0),""))</f>
        <v/>
      </c>
    </row>
    <row r="2033" ht="17" customHeight="1">
      <c r="B2033" s="66" t="n"/>
      <c r="C2033" s="60" t="n"/>
      <c r="D2033" s="86" t="n"/>
      <c r="E2033" s="63" t="n"/>
      <c r="F2033" s="60" t="n"/>
      <c r="G2033" s="60" t="n"/>
      <c r="H2033" s="71">
        <f>IF(OR($C2033="",$D2033=""),"",IF(ISNUMBER($E2033),$E2033,IF($O2033="","",IF(N(INDEX('Menu Pricing'!$O$7:$O$56,$O2033))&gt;0,INDEX('Menu Pricing'!$O$7:$O$56,$O2033),""))))</f>
        <v/>
      </c>
      <c r="I2033" s="71">
        <f>IF($N2033&lt;&gt;"OK","",$D2033*$H2033)</f>
        <v/>
      </c>
      <c r="J2033" s="71">
        <f>IF($N2033&lt;&gt;"OK","",N(INDEX('Menu Pricing'!$F$7:$F$56,$O2033))+N(INDEX('Menu Pricing'!$G$7:$G$56,$O2033))+N(INDEX('Menu Pricing'!$J$7:$J$56,$O2033)))</f>
        <v/>
      </c>
      <c r="K2033" s="71">
        <f>IF($N2033&lt;&gt;"OK","",$D2033*$J2033)</f>
        <v/>
      </c>
      <c r="L2033" s="71">
        <f>IF($N2033&lt;&gt;"OK","",$I2033-$K2033)</f>
        <v/>
      </c>
      <c r="M2033" s="71">
        <f>IF($N2033&lt;&gt;"OK","",$D2033*N(INDEX('Menu Pricing'!$F$7:$F$56,$O2033)))</f>
        <v/>
      </c>
      <c r="N2033" s="80">
        <f>IF(AND($B2033="",$C2033="",$D2033=""),"",IF(NOT(ISNUMBER($B2033)),"Enter a valid date",IF($C2033="","Pick a menu item",IF($O2033="","Item not on Menu Pricing",IF(N($D2033)&lt;=0,"Qty must be above 0",IF($H2033="","No price on menu","OK"))))))</f>
        <v/>
      </c>
      <c r="O2033" s="13">
        <f>IF($C2033="","",IFERROR(MATCH($C2033,'Menu Pricing'!$B$7:$B$56,0),""))</f>
        <v/>
      </c>
    </row>
    <row r="2034" ht="17" customHeight="1">
      <c r="B2034" s="66" t="n"/>
      <c r="C2034" s="60" t="n"/>
      <c r="D2034" s="86" t="n"/>
      <c r="E2034" s="63" t="n"/>
      <c r="F2034" s="60" t="n"/>
      <c r="G2034" s="60" t="n"/>
      <c r="H2034" s="71">
        <f>IF(OR($C2034="",$D2034=""),"",IF(ISNUMBER($E2034),$E2034,IF($O2034="","",IF(N(INDEX('Menu Pricing'!$O$7:$O$56,$O2034))&gt;0,INDEX('Menu Pricing'!$O$7:$O$56,$O2034),""))))</f>
        <v/>
      </c>
      <c r="I2034" s="71">
        <f>IF($N2034&lt;&gt;"OK","",$D2034*$H2034)</f>
        <v/>
      </c>
      <c r="J2034" s="71">
        <f>IF($N2034&lt;&gt;"OK","",N(INDEX('Menu Pricing'!$F$7:$F$56,$O2034))+N(INDEX('Menu Pricing'!$G$7:$G$56,$O2034))+N(INDEX('Menu Pricing'!$J$7:$J$56,$O2034)))</f>
        <v/>
      </c>
      <c r="K2034" s="71">
        <f>IF($N2034&lt;&gt;"OK","",$D2034*$J2034)</f>
        <v/>
      </c>
      <c r="L2034" s="71">
        <f>IF($N2034&lt;&gt;"OK","",$I2034-$K2034)</f>
        <v/>
      </c>
      <c r="M2034" s="71">
        <f>IF($N2034&lt;&gt;"OK","",$D2034*N(INDEX('Menu Pricing'!$F$7:$F$56,$O2034)))</f>
        <v/>
      </c>
      <c r="N2034" s="80">
        <f>IF(AND($B2034="",$C2034="",$D2034=""),"",IF(NOT(ISNUMBER($B2034)),"Enter a valid date",IF($C2034="","Pick a menu item",IF($O2034="","Item not on Menu Pricing",IF(N($D2034)&lt;=0,"Qty must be above 0",IF($H2034="","No price on menu","OK"))))))</f>
        <v/>
      </c>
      <c r="O2034" s="13">
        <f>IF($C2034="","",IFERROR(MATCH($C2034,'Menu Pricing'!$B$7:$B$56,0),""))</f>
        <v/>
      </c>
    </row>
    <row r="2035" ht="17" customHeight="1">
      <c r="B2035" s="66" t="n"/>
      <c r="C2035" s="60" t="n"/>
      <c r="D2035" s="86" t="n"/>
      <c r="E2035" s="63" t="n"/>
      <c r="F2035" s="60" t="n"/>
      <c r="G2035" s="60" t="n"/>
      <c r="H2035" s="71">
        <f>IF(OR($C2035="",$D2035=""),"",IF(ISNUMBER($E2035),$E2035,IF($O2035="","",IF(N(INDEX('Menu Pricing'!$O$7:$O$56,$O2035))&gt;0,INDEX('Menu Pricing'!$O$7:$O$56,$O2035),""))))</f>
        <v/>
      </c>
      <c r="I2035" s="71">
        <f>IF($N2035&lt;&gt;"OK","",$D2035*$H2035)</f>
        <v/>
      </c>
      <c r="J2035" s="71">
        <f>IF($N2035&lt;&gt;"OK","",N(INDEX('Menu Pricing'!$F$7:$F$56,$O2035))+N(INDEX('Menu Pricing'!$G$7:$G$56,$O2035))+N(INDEX('Menu Pricing'!$J$7:$J$56,$O2035)))</f>
        <v/>
      </c>
      <c r="K2035" s="71">
        <f>IF($N2035&lt;&gt;"OK","",$D2035*$J2035)</f>
        <v/>
      </c>
      <c r="L2035" s="71">
        <f>IF($N2035&lt;&gt;"OK","",$I2035-$K2035)</f>
        <v/>
      </c>
      <c r="M2035" s="71">
        <f>IF($N2035&lt;&gt;"OK","",$D2035*N(INDEX('Menu Pricing'!$F$7:$F$56,$O2035)))</f>
        <v/>
      </c>
      <c r="N2035" s="80">
        <f>IF(AND($B2035="",$C2035="",$D2035=""),"",IF(NOT(ISNUMBER($B2035)),"Enter a valid date",IF($C2035="","Pick a menu item",IF($O2035="","Item not on Menu Pricing",IF(N($D2035)&lt;=0,"Qty must be above 0",IF($H2035="","No price on menu","OK"))))))</f>
        <v/>
      </c>
      <c r="O2035" s="13">
        <f>IF($C2035="","",IFERROR(MATCH($C2035,'Menu Pricing'!$B$7:$B$56,0),""))</f>
        <v/>
      </c>
    </row>
    <row r="2036" ht="17" customHeight="1">
      <c r="B2036" s="66" t="n"/>
      <c r="C2036" s="60" t="n"/>
      <c r="D2036" s="86" t="n"/>
      <c r="E2036" s="63" t="n"/>
      <c r="F2036" s="60" t="n"/>
      <c r="G2036" s="60" t="n"/>
      <c r="H2036" s="71">
        <f>IF(OR($C2036="",$D2036=""),"",IF(ISNUMBER($E2036),$E2036,IF($O2036="","",IF(N(INDEX('Menu Pricing'!$O$7:$O$56,$O2036))&gt;0,INDEX('Menu Pricing'!$O$7:$O$56,$O2036),""))))</f>
        <v/>
      </c>
      <c r="I2036" s="71">
        <f>IF($N2036&lt;&gt;"OK","",$D2036*$H2036)</f>
        <v/>
      </c>
      <c r="J2036" s="71">
        <f>IF($N2036&lt;&gt;"OK","",N(INDEX('Menu Pricing'!$F$7:$F$56,$O2036))+N(INDEX('Menu Pricing'!$G$7:$G$56,$O2036))+N(INDEX('Menu Pricing'!$J$7:$J$56,$O2036)))</f>
        <v/>
      </c>
      <c r="K2036" s="71">
        <f>IF($N2036&lt;&gt;"OK","",$D2036*$J2036)</f>
        <v/>
      </c>
      <c r="L2036" s="71">
        <f>IF($N2036&lt;&gt;"OK","",$I2036-$K2036)</f>
        <v/>
      </c>
      <c r="M2036" s="71">
        <f>IF($N2036&lt;&gt;"OK","",$D2036*N(INDEX('Menu Pricing'!$F$7:$F$56,$O2036)))</f>
        <v/>
      </c>
      <c r="N2036" s="80">
        <f>IF(AND($B2036="",$C2036="",$D2036=""),"",IF(NOT(ISNUMBER($B2036)),"Enter a valid date",IF($C2036="","Pick a menu item",IF($O2036="","Item not on Menu Pricing",IF(N($D2036)&lt;=0,"Qty must be above 0",IF($H2036="","No price on menu","OK"))))))</f>
        <v/>
      </c>
      <c r="O2036" s="13">
        <f>IF($C2036="","",IFERROR(MATCH($C2036,'Menu Pricing'!$B$7:$B$56,0),""))</f>
        <v/>
      </c>
    </row>
    <row r="2037" ht="17" customHeight="1">
      <c r="B2037" s="66" t="n"/>
      <c r="C2037" s="60" t="n"/>
      <c r="D2037" s="86" t="n"/>
      <c r="E2037" s="63" t="n"/>
      <c r="F2037" s="60" t="n"/>
      <c r="G2037" s="60" t="n"/>
      <c r="H2037" s="71">
        <f>IF(OR($C2037="",$D2037=""),"",IF(ISNUMBER($E2037),$E2037,IF($O2037="","",IF(N(INDEX('Menu Pricing'!$O$7:$O$56,$O2037))&gt;0,INDEX('Menu Pricing'!$O$7:$O$56,$O2037),""))))</f>
        <v/>
      </c>
      <c r="I2037" s="71">
        <f>IF($N2037&lt;&gt;"OK","",$D2037*$H2037)</f>
        <v/>
      </c>
      <c r="J2037" s="71">
        <f>IF($N2037&lt;&gt;"OK","",N(INDEX('Menu Pricing'!$F$7:$F$56,$O2037))+N(INDEX('Menu Pricing'!$G$7:$G$56,$O2037))+N(INDEX('Menu Pricing'!$J$7:$J$56,$O2037)))</f>
        <v/>
      </c>
      <c r="K2037" s="71">
        <f>IF($N2037&lt;&gt;"OK","",$D2037*$J2037)</f>
        <v/>
      </c>
      <c r="L2037" s="71">
        <f>IF($N2037&lt;&gt;"OK","",$I2037-$K2037)</f>
        <v/>
      </c>
      <c r="M2037" s="71">
        <f>IF($N2037&lt;&gt;"OK","",$D2037*N(INDEX('Menu Pricing'!$F$7:$F$56,$O2037)))</f>
        <v/>
      </c>
      <c r="N2037" s="80">
        <f>IF(AND($B2037="",$C2037="",$D2037=""),"",IF(NOT(ISNUMBER($B2037)),"Enter a valid date",IF($C2037="","Pick a menu item",IF($O2037="","Item not on Menu Pricing",IF(N($D2037)&lt;=0,"Qty must be above 0",IF($H2037="","No price on menu","OK"))))))</f>
        <v/>
      </c>
      <c r="O2037" s="13">
        <f>IF($C2037="","",IFERROR(MATCH($C2037,'Menu Pricing'!$B$7:$B$56,0),""))</f>
        <v/>
      </c>
    </row>
    <row r="2038" ht="17" customHeight="1">
      <c r="B2038" s="66" t="n"/>
      <c r="C2038" s="60" t="n"/>
      <c r="D2038" s="86" t="n"/>
      <c r="E2038" s="63" t="n"/>
      <c r="F2038" s="60" t="n"/>
      <c r="G2038" s="60" t="n"/>
      <c r="H2038" s="71">
        <f>IF(OR($C2038="",$D2038=""),"",IF(ISNUMBER($E2038),$E2038,IF($O2038="","",IF(N(INDEX('Menu Pricing'!$O$7:$O$56,$O2038))&gt;0,INDEX('Menu Pricing'!$O$7:$O$56,$O2038),""))))</f>
        <v/>
      </c>
      <c r="I2038" s="71">
        <f>IF($N2038&lt;&gt;"OK","",$D2038*$H2038)</f>
        <v/>
      </c>
      <c r="J2038" s="71">
        <f>IF($N2038&lt;&gt;"OK","",N(INDEX('Menu Pricing'!$F$7:$F$56,$O2038))+N(INDEX('Menu Pricing'!$G$7:$G$56,$O2038))+N(INDEX('Menu Pricing'!$J$7:$J$56,$O2038)))</f>
        <v/>
      </c>
      <c r="K2038" s="71">
        <f>IF($N2038&lt;&gt;"OK","",$D2038*$J2038)</f>
        <v/>
      </c>
      <c r="L2038" s="71">
        <f>IF($N2038&lt;&gt;"OK","",$I2038-$K2038)</f>
        <v/>
      </c>
      <c r="M2038" s="71">
        <f>IF($N2038&lt;&gt;"OK","",$D2038*N(INDEX('Menu Pricing'!$F$7:$F$56,$O2038)))</f>
        <v/>
      </c>
      <c r="N2038" s="80">
        <f>IF(AND($B2038="",$C2038="",$D2038=""),"",IF(NOT(ISNUMBER($B2038)),"Enter a valid date",IF($C2038="","Pick a menu item",IF($O2038="","Item not on Menu Pricing",IF(N($D2038)&lt;=0,"Qty must be above 0",IF($H2038="","No price on menu","OK"))))))</f>
        <v/>
      </c>
      <c r="O2038" s="13">
        <f>IF($C2038="","",IFERROR(MATCH($C2038,'Menu Pricing'!$B$7:$B$56,0),""))</f>
        <v/>
      </c>
    </row>
    <row r="2039" ht="17" customHeight="1">
      <c r="B2039" s="66" t="n"/>
      <c r="C2039" s="60" t="n"/>
      <c r="D2039" s="86" t="n"/>
      <c r="E2039" s="63" t="n"/>
      <c r="F2039" s="60" t="n"/>
      <c r="G2039" s="60" t="n"/>
      <c r="H2039" s="71">
        <f>IF(OR($C2039="",$D2039=""),"",IF(ISNUMBER($E2039),$E2039,IF($O2039="","",IF(N(INDEX('Menu Pricing'!$O$7:$O$56,$O2039))&gt;0,INDEX('Menu Pricing'!$O$7:$O$56,$O2039),""))))</f>
        <v/>
      </c>
      <c r="I2039" s="71">
        <f>IF($N2039&lt;&gt;"OK","",$D2039*$H2039)</f>
        <v/>
      </c>
      <c r="J2039" s="71">
        <f>IF($N2039&lt;&gt;"OK","",N(INDEX('Menu Pricing'!$F$7:$F$56,$O2039))+N(INDEX('Menu Pricing'!$G$7:$G$56,$O2039))+N(INDEX('Menu Pricing'!$J$7:$J$56,$O2039)))</f>
        <v/>
      </c>
      <c r="K2039" s="71">
        <f>IF($N2039&lt;&gt;"OK","",$D2039*$J2039)</f>
        <v/>
      </c>
      <c r="L2039" s="71">
        <f>IF($N2039&lt;&gt;"OK","",$I2039-$K2039)</f>
        <v/>
      </c>
      <c r="M2039" s="71">
        <f>IF($N2039&lt;&gt;"OK","",$D2039*N(INDEX('Menu Pricing'!$F$7:$F$56,$O2039)))</f>
        <v/>
      </c>
      <c r="N2039" s="80">
        <f>IF(AND($B2039="",$C2039="",$D2039=""),"",IF(NOT(ISNUMBER($B2039)),"Enter a valid date",IF($C2039="","Pick a menu item",IF($O2039="","Item not on Menu Pricing",IF(N($D2039)&lt;=0,"Qty must be above 0",IF($H2039="","No price on menu","OK"))))))</f>
        <v/>
      </c>
      <c r="O2039" s="13">
        <f>IF($C2039="","",IFERROR(MATCH($C2039,'Menu Pricing'!$B$7:$B$56,0),""))</f>
        <v/>
      </c>
    </row>
    <row r="2040" ht="17" customHeight="1">
      <c r="B2040" s="66" t="n"/>
      <c r="C2040" s="60" t="n"/>
      <c r="D2040" s="86" t="n"/>
      <c r="E2040" s="63" t="n"/>
      <c r="F2040" s="60" t="n"/>
      <c r="G2040" s="60" t="n"/>
      <c r="H2040" s="71">
        <f>IF(OR($C2040="",$D2040=""),"",IF(ISNUMBER($E2040),$E2040,IF($O2040="","",IF(N(INDEX('Menu Pricing'!$O$7:$O$56,$O2040))&gt;0,INDEX('Menu Pricing'!$O$7:$O$56,$O2040),""))))</f>
        <v/>
      </c>
      <c r="I2040" s="71">
        <f>IF($N2040&lt;&gt;"OK","",$D2040*$H2040)</f>
        <v/>
      </c>
      <c r="J2040" s="71">
        <f>IF($N2040&lt;&gt;"OK","",N(INDEX('Menu Pricing'!$F$7:$F$56,$O2040))+N(INDEX('Menu Pricing'!$G$7:$G$56,$O2040))+N(INDEX('Menu Pricing'!$J$7:$J$56,$O2040)))</f>
        <v/>
      </c>
      <c r="K2040" s="71">
        <f>IF($N2040&lt;&gt;"OK","",$D2040*$J2040)</f>
        <v/>
      </c>
      <c r="L2040" s="71">
        <f>IF($N2040&lt;&gt;"OK","",$I2040-$K2040)</f>
        <v/>
      </c>
      <c r="M2040" s="71">
        <f>IF($N2040&lt;&gt;"OK","",$D2040*N(INDEX('Menu Pricing'!$F$7:$F$56,$O2040)))</f>
        <v/>
      </c>
      <c r="N2040" s="80">
        <f>IF(AND($B2040="",$C2040="",$D2040=""),"",IF(NOT(ISNUMBER($B2040)),"Enter a valid date",IF($C2040="","Pick a menu item",IF($O2040="","Item not on Menu Pricing",IF(N($D2040)&lt;=0,"Qty must be above 0",IF($H2040="","No price on menu","OK"))))))</f>
        <v/>
      </c>
      <c r="O2040" s="13">
        <f>IF($C2040="","",IFERROR(MATCH($C2040,'Menu Pricing'!$B$7:$B$56,0),""))</f>
        <v/>
      </c>
    </row>
    <row r="2041" ht="17" customHeight="1">
      <c r="B2041" s="66" t="n"/>
      <c r="C2041" s="60" t="n"/>
      <c r="D2041" s="86" t="n"/>
      <c r="E2041" s="63" t="n"/>
      <c r="F2041" s="60" t="n"/>
      <c r="G2041" s="60" t="n"/>
      <c r="H2041" s="71">
        <f>IF(OR($C2041="",$D2041=""),"",IF(ISNUMBER($E2041),$E2041,IF($O2041="","",IF(N(INDEX('Menu Pricing'!$O$7:$O$56,$O2041))&gt;0,INDEX('Menu Pricing'!$O$7:$O$56,$O2041),""))))</f>
        <v/>
      </c>
      <c r="I2041" s="71">
        <f>IF($N2041&lt;&gt;"OK","",$D2041*$H2041)</f>
        <v/>
      </c>
      <c r="J2041" s="71">
        <f>IF($N2041&lt;&gt;"OK","",N(INDEX('Menu Pricing'!$F$7:$F$56,$O2041))+N(INDEX('Menu Pricing'!$G$7:$G$56,$O2041))+N(INDEX('Menu Pricing'!$J$7:$J$56,$O2041)))</f>
        <v/>
      </c>
      <c r="K2041" s="71">
        <f>IF($N2041&lt;&gt;"OK","",$D2041*$J2041)</f>
        <v/>
      </c>
      <c r="L2041" s="71">
        <f>IF($N2041&lt;&gt;"OK","",$I2041-$K2041)</f>
        <v/>
      </c>
      <c r="M2041" s="71">
        <f>IF($N2041&lt;&gt;"OK","",$D2041*N(INDEX('Menu Pricing'!$F$7:$F$56,$O2041)))</f>
        <v/>
      </c>
      <c r="N2041" s="80">
        <f>IF(AND($B2041="",$C2041="",$D2041=""),"",IF(NOT(ISNUMBER($B2041)),"Enter a valid date",IF($C2041="","Pick a menu item",IF($O2041="","Item not on Menu Pricing",IF(N($D2041)&lt;=0,"Qty must be above 0",IF($H2041="","No price on menu","OK"))))))</f>
        <v/>
      </c>
      <c r="O2041" s="13">
        <f>IF($C2041="","",IFERROR(MATCH($C2041,'Menu Pricing'!$B$7:$B$56,0),""))</f>
        <v/>
      </c>
    </row>
    <row r="2042" ht="17" customHeight="1">
      <c r="B2042" s="66" t="n"/>
      <c r="C2042" s="60" t="n"/>
      <c r="D2042" s="86" t="n"/>
      <c r="E2042" s="63" t="n"/>
      <c r="F2042" s="60" t="n"/>
      <c r="G2042" s="60" t="n"/>
      <c r="H2042" s="71">
        <f>IF(OR($C2042="",$D2042=""),"",IF(ISNUMBER($E2042),$E2042,IF($O2042="","",IF(N(INDEX('Menu Pricing'!$O$7:$O$56,$O2042))&gt;0,INDEX('Menu Pricing'!$O$7:$O$56,$O2042),""))))</f>
        <v/>
      </c>
      <c r="I2042" s="71">
        <f>IF($N2042&lt;&gt;"OK","",$D2042*$H2042)</f>
        <v/>
      </c>
      <c r="J2042" s="71">
        <f>IF($N2042&lt;&gt;"OK","",N(INDEX('Menu Pricing'!$F$7:$F$56,$O2042))+N(INDEX('Menu Pricing'!$G$7:$G$56,$O2042))+N(INDEX('Menu Pricing'!$J$7:$J$56,$O2042)))</f>
        <v/>
      </c>
      <c r="K2042" s="71">
        <f>IF($N2042&lt;&gt;"OK","",$D2042*$J2042)</f>
        <v/>
      </c>
      <c r="L2042" s="71">
        <f>IF($N2042&lt;&gt;"OK","",$I2042-$K2042)</f>
        <v/>
      </c>
      <c r="M2042" s="71">
        <f>IF($N2042&lt;&gt;"OK","",$D2042*N(INDEX('Menu Pricing'!$F$7:$F$56,$O2042)))</f>
        <v/>
      </c>
      <c r="N2042" s="80">
        <f>IF(AND($B2042="",$C2042="",$D2042=""),"",IF(NOT(ISNUMBER($B2042)),"Enter a valid date",IF($C2042="","Pick a menu item",IF($O2042="","Item not on Menu Pricing",IF(N($D2042)&lt;=0,"Qty must be above 0",IF($H2042="","No price on menu","OK"))))))</f>
        <v/>
      </c>
      <c r="O2042" s="13">
        <f>IF($C2042="","",IFERROR(MATCH($C2042,'Menu Pricing'!$B$7:$B$56,0),""))</f>
        <v/>
      </c>
    </row>
    <row r="2043" ht="17" customHeight="1">
      <c r="B2043" s="66" t="n"/>
      <c r="C2043" s="60" t="n"/>
      <c r="D2043" s="86" t="n"/>
      <c r="E2043" s="63" t="n"/>
      <c r="F2043" s="60" t="n"/>
      <c r="G2043" s="60" t="n"/>
      <c r="H2043" s="71">
        <f>IF(OR($C2043="",$D2043=""),"",IF(ISNUMBER($E2043),$E2043,IF($O2043="","",IF(N(INDEX('Menu Pricing'!$O$7:$O$56,$O2043))&gt;0,INDEX('Menu Pricing'!$O$7:$O$56,$O2043),""))))</f>
        <v/>
      </c>
      <c r="I2043" s="71">
        <f>IF($N2043&lt;&gt;"OK","",$D2043*$H2043)</f>
        <v/>
      </c>
      <c r="J2043" s="71">
        <f>IF($N2043&lt;&gt;"OK","",N(INDEX('Menu Pricing'!$F$7:$F$56,$O2043))+N(INDEX('Menu Pricing'!$G$7:$G$56,$O2043))+N(INDEX('Menu Pricing'!$J$7:$J$56,$O2043)))</f>
        <v/>
      </c>
      <c r="K2043" s="71">
        <f>IF($N2043&lt;&gt;"OK","",$D2043*$J2043)</f>
        <v/>
      </c>
      <c r="L2043" s="71">
        <f>IF($N2043&lt;&gt;"OK","",$I2043-$K2043)</f>
        <v/>
      </c>
      <c r="M2043" s="71">
        <f>IF($N2043&lt;&gt;"OK","",$D2043*N(INDEX('Menu Pricing'!$F$7:$F$56,$O2043)))</f>
        <v/>
      </c>
      <c r="N2043" s="80">
        <f>IF(AND($B2043="",$C2043="",$D2043=""),"",IF(NOT(ISNUMBER($B2043)),"Enter a valid date",IF($C2043="","Pick a menu item",IF($O2043="","Item not on Menu Pricing",IF(N($D2043)&lt;=0,"Qty must be above 0",IF($H2043="","No price on menu","OK"))))))</f>
        <v/>
      </c>
      <c r="O2043" s="13">
        <f>IF($C2043="","",IFERROR(MATCH($C2043,'Menu Pricing'!$B$7:$B$56,0),""))</f>
        <v/>
      </c>
    </row>
    <row r="2044" ht="17" customHeight="1">
      <c r="B2044" s="66" t="n"/>
      <c r="C2044" s="60" t="n"/>
      <c r="D2044" s="86" t="n"/>
      <c r="E2044" s="63" t="n"/>
      <c r="F2044" s="60" t="n"/>
      <c r="G2044" s="60" t="n"/>
      <c r="H2044" s="71">
        <f>IF(OR($C2044="",$D2044=""),"",IF(ISNUMBER($E2044),$E2044,IF($O2044="","",IF(N(INDEX('Menu Pricing'!$O$7:$O$56,$O2044))&gt;0,INDEX('Menu Pricing'!$O$7:$O$56,$O2044),""))))</f>
        <v/>
      </c>
      <c r="I2044" s="71">
        <f>IF($N2044&lt;&gt;"OK","",$D2044*$H2044)</f>
        <v/>
      </c>
      <c r="J2044" s="71">
        <f>IF($N2044&lt;&gt;"OK","",N(INDEX('Menu Pricing'!$F$7:$F$56,$O2044))+N(INDEX('Menu Pricing'!$G$7:$G$56,$O2044))+N(INDEX('Menu Pricing'!$J$7:$J$56,$O2044)))</f>
        <v/>
      </c>
      <c r="K2044" s="71">
        <f>IF($N2044&lt;&gt;"OK","",$D2044*$J2044)</f>
        <v/>
      </c>
      <c r="L2044" s="71">
        <f>IF($N2044&lt;&gt;"OK","",$I2044-$K2044)</f>
        <v/>
      </c>
      <c r="M2044" s="71">
        <f>IF($N2044&lt;&gt;"OK","",$D2044*N(INDEX('Menu Pricing'!$F$7:$F$56,$O2044)))</f>
        <v/>
      </c>
      <c r="N2044" s="80">
        <f>IF(AND($B2044="",$C2044="",$D2044=""),"",IF(NOT(ISNUMBER($B2044)),"Enter a valid date",IF($C2044="","Pick a menu item",IF($O2044="","Item not on Menu Pricing",IF(N($D2044)&lt;=0,"Qty must be above 0",IF($H2044="","No price on menu","OK"))))))</f>
        <v/>
      </c>
      <c r="O2044" s="13">
        <f>IF($C2044="","",IFERROR(MATCH($C2044,'Menu Pricing'!$B$7:$B$56,0),""))</f>
        <v/>
      </c>
    </row>
    <row r="2045" ht="17" customHeight="1">
      <c r="B2045" s="66" t="n"/>
      <c r="C2045" s="60" t="n"/>
      <c r="D2045" s="86" t="n"/>
      <c r="E2045" s="63" t="n"/>
      <c r="F2045" s="60" t="n"/>
      <c r="G2045" s="60" t="n"/>
      <c r="H2045" s="71">
        <f>IF(OR($C2045="",$D2045=""),"",IF(ISNUMBER($E2045),$E2045,IF($O2045="","",IF(N(INDEX('Menu Pricing'!$O$7:$O$56,$O2045))&gt;0,INDEX('Menu Pricing'!$O$7:$O$56,$O2045),""))))</f>
        <v/>
      </c>
      <c r="I2045" s="71">
        <f>IF($N2045&lt;&gt;"OK","",$D2045*$H2045)</f>
        <v/>
      </c>
      <c r="J2045" s="71">
        <f>IF($N2045&lt;&gt;"OK","",N(INDEX('Menu Pricing'!$F$7:$F$56,$O2045))+N(INDEX('Menu Pricing'!$G$7:$G$56,$O2045))+N(INDEX('Menu Pricing'!$J$7:$J$56,$O2045)))</f>
        <v/>
      </c>
      <c r="K2045" s="71">
        <f>IF($N2045&lt;&gt;"OK","",$D2045*$J2045)</f>
        <v/>
      </c>
      <c r="L2045" s="71">
        <f>IF($N2045&lt;&gt;"OK","",$I2045-$K2045)</f>
        <v/>
      </c>
      <c r="M2045" s="71">
        <f>IF($N2045&lt;&gt;"OK","",$D2045*N(INDEX('Menu Pricing'!$F$7:$F$56,$O2045)))</f>
        <v/>
      </c>
      <c r="N2045" s="80">
        <f>IF(AND($B2045="",$C2045="",$D2045=""),"",IF(NOT(ISNUMBER($B2045)),"Enter a valid date",IF($C2045="","Pick a menu item",IF($O2045="","Item not on Menu Pricing",IF(N($D2045)&lt;=0,"Qty must be above 0",IF($H2045="","No price on menu","OK"))))))</f>
        <v/>
      </c>
      <c r="O2045" s="13">
        <f>IF($C2045="","",IFERROR(MATCH($C2045,'Menu Pricing'!$B$7:$B$56,0),""))</f>
        <v/>
      </c>
    </row>
    <row r="2046" ht="17" customHeight="1">
      <c r="B2046" s="66" t="n"/>
      <c r="C2046" s="60" t="n"/>
      <c r="D2046" s="86" t="n"/>
      <c r="E2046" s="63" t="n"/>
      <c r="F2046" s="60" t="n"/>
      <c r="G2046" s="60" t="n"/>
      <c r="H2046" s="71">
        <f>IF(OR($C2046="",$D2046=""),"",IF(ISNUMBER($E2046),$E2046,IF($O2046="","",IF(N(INDEX('Menu Pricing'!$O$7:$O$56,$O2046))&gt;0,INDEX('Menu Pricing'!$O$7:$O$56,$O2046),""))))</f>
        <v/>
      </c>
      <c r="I2046" s="71">
        <f>IF($N2046&lt;&gt;"OK","",$D2046*$H2046)</f>
        <v/>
      </c>
      <c r="J2046" s="71">
        <f>IF($N2046&lt;&gt;"OK","",N(INDEX('Menu Pricing'!$F$7:$F$56,$O2046))+N(INDEX('Menu Pricing'!$G$7:$G$56,$O2046))+N(INDEX('Menu Pricing'!$J$7:$J$56,$O2046)))</f>
        <v/>
      </c>
      <c r="K2046" s="71">
        <f>IF($N2046&lt;&gt;"OK","",$D2046*$J2046)</f>
        <v/>
      </c>
      <c r="L2046" s="71">
        <f>IF($N2046&lt;&gt;"OK","",$I2046-$K2046)</f>
        <v/>
      </c>
      <c r="M2046" s="71">
        <f>IF($N2046&lt;&gt;"OK","",$D2046*N(INDEX('Menu Pricing'!$F$7:$F$56,$O2046)))</f>
        <v/>
      </c>
      <c r="N2046" s="80">
        <f>IF(AND($B2046="",$C2046="",$D2046=""),"",IF(NOT(ISNUMBER($B2046)),"Enter a valid date",IF($C2046="","Pick a menu item",IF($O2046="","Item not on Menu Pricing",IF(N($D2046)&lt;=0,"Qty must be above 0",IF($H2046="","No price on menu","OK"))))))</f>
        <v/>
      </c>
      <c r="O2046" s="13">
        <f>IF($C2046="","",IFERROR(MATCH($C2046,'Menu Pricing'!$B$7:$B$56,0),""))</f>
        <v/>
      </c>
    </row>
    <row r="2047" ht="17" customHeight="1">
      <c r="B2047" s="66" t="n"/>
      <c r="C2047" s="60" t="n"/>
      <c r="D2047" s="86" t="n"/>
      <c r="E2047" s="63" t="n"/>
      <c r="F2047" s="60" t="n"/>
      <c r="G2047" s="60" t="n"/>
      <c r="H2047" s="71">
        <f>IF(OR($C2047="",$D2047=""),"",IF(ISNUMBER($E2047),$E2047,IF($O2047="","",IF(N(INDEX('Menu Pricing'!$O$7:$O$56,$O2047))&gt;0,INDEX('Menu Pricing'!$O$7:$O$56,$O2047),""))))</f>
        <v/>
      </c>
      <c r="I2047" s="71">
        <f>IF($N2047&lt;&gt;"OK","",$D2047*$H2047)</f>
        <v/>
      </c>
      <c r="J2047" s="71">
        <f>IF($N2047&lt;&gt;"OK","",N(INDEX('Menu Pricing'!$F$7:$F$56,$O2047))+N(INDEX('Menu Pricing'!$G$7:$G$56,$O2047))+N(INDEX('Menu Pricing'!$J$7:$J$56,$O2047)))</f>
        <v/>
      </c>
      <c r="K2047" s="71">
        <f>IF($N2047&lt;&gt;"OK","",$D2047*$J2047)</f>
        <v/>
      </c>
      <c r="L2047" s="71">
        <f>IF($N2047&lt;&gt;"OK","",$I2047-$K2047)</f>
        <v/>
      </c>
      <c r="M2047" s="71">
        <f>IF($N2047&lt;&gt;"OK","",$D2047*N(INDEX('Menu Pricing'!$F$7:$F$56,$O2047)))</f>
        <v/>
      </c>
      <c r="N2047" s="80">
        <f>IF(AND($B2047="",$C2047="",$D2047=""),"",IF(NOT(ISNUMBER($B2047)),"Enter a valid date",IF($C2047="","Pick a menu item",IF($O2047="","Item not on Menu Pricing",IF(N($D2047)&lt;=0,"Qty must be above 0",IF($H2047="","No price on menu","OK"))))))</f>
        <v/>
      </c>
      <c r="O2047" s="13">
        <f>IF($C2047="","",IFERROR(MATCH($C2047,'Menu Pricing'!$B$7:$B$56,0),""))</f>
        <v/>
      </c>
    </row>
    <row r="2048" ht="17" customHeight="1">
      <c r="B2048" s="66" t="n"/>
      <c r="C2048" s="60" t="n"/>
      <c r="D2048" s="86" t="n"/>
      <c r="E2048" s="63" t="n"/>
      <c r="F2048" s="60" t="n"/>
      <c r="G2048" s="60" t="n"/>
      <c r="H2048" s="71">
        <f>IF(OR($C2048="",$D2048=""),"",IF(ISNUMBER($E2048),$E2048,IF($O2048="","",IF(N(INDEX('Menu Pricing'!$O$7:$O$56,$O2048))&gt;0,INDEX('Menu Pricing'!$O$7:$O$56,$O2048),""))))</f>
        <v/>
      </c>
      <c r="I2048" s="71">
        <f>IF($N2048&lt;&gt;"OK","",$D2048*$H2048)</f>
        <v/>
      </c>
      <c r="J2048" s="71">
        <f>IF($N2048&lt;&gt;"OK","",N(INDEX('Menu Pricing'!$F$7:$F$56,$O2048))+N(INDEX('Menu Pricing'!$G$7:$G$56,$O2048))+N(INDEX('Menu Pricing'!$J$7:$J$56,$O2048)))</f>
        <v/>
      </c>
      <c r="K2048" s="71">
        <f>IF($N2048&lt;&gt;"OK","",$D2048*$J2048)</f>
        <v/>
      </c>
      <c r="L2048" s="71">
        <f>IF($N2048&lt;&gt;"OK","",$I2048-$K2048)</f>
        <v/>
      </c>
      <c r="M2048" s="71">
        <f>IF($N2048&lt;&gt;"OK","",$D2048*N(INDEX('Menu Pricing'!$F$7:$F$56,$O2048)))</f>
        <v/>
      </c>
      <c r="N2048" s="80">
        <f>IF(AND($B2048="",$C2048="",$D2048=""),"",IF(NOT(ISNUMBER($B2048)),"Enter a valid date",IF($C2048="","Pick a menu item",IF($O2048="","Item not on Menu Pricing",IF(N($D2048)&lt;=0,"Qty must be above 0",IF($H2048="","No price on menu","OK"))))))</f>
        <v/>
      </c>
      <c r="O2048" s="13">
        <f>IF($C2048="","",IFERROR(MATCH($C2048,'Menu Pricing'!$B$7:$B$56,0),""))</f>
        <v/>
      </c>
    </row>
    <row r="2049" ht="17" customHeight="1">
      <c r="B2049" s="66" t="n"/>
      <c r="C2049" s="60" t="n"/>
      <c r="D2049" s="86" t="n"/>
      <c r="E2049" s="63" t="n"/>
      <c r="F2049" s="60" t="n"/>
      <c r="G2049" s="60" t="n"/>
      <c r="H2049" s="71">
        <f>IF(OR($C2049="",$D2049=""),"",IF(ISNUMBER($E2049),$E2049,IF($O2049="","",IF(N(INDEX('Menu Pricing'!$O$7:$O$56,$O2049))&gt;0,INDEX('Menu Pricing'!$O$7:$O$56,$O2049),""))))</f>
        <v/>
      </c>
      <c r="I2049" s="71">
        <f>IF($N2049&lt;&gt;"OK","",$D2049*$H2049)</f>
        <v/>
      </c>
      <c r="J2049" s="71">
        <f>IF($N2049&lt;&gt;"OK","",N(INDEX('Menu Pricing'!$F$7:$F$56,$O2049))+N(INDEX('Menu Pricing'!$G$7:$G$56,$O2049))+N(INDEX('Menu Pricing'!$J$7:$J$56,$O2049)))</f>
        <v/>
      </c>
      <c r="K2049" s="71">
        <f>IF($N2049&lt;&gt;"OK","",$D2049*$J2049)</f>
        <v/>
      </c>
      <c r="L2049" s="71">
        <f>IF($N2049&lt;&gt;"OK","",$I2049-$K2049)</f>
        <v/>
      </c>
      <c r="M2049" s="71">
        <f>IF($N2049&lt;&gt;"OK","",$D2049*N(INDEX('Menu Pricing'!$F$7:$F$56,$O2049)))</f>
        <v/>
      </c>
      <c r="N2049" s="80">
        <f>IF(AND($B2049="",$C2049="",$D2049=""),"",IF(NOT(ISNUMBER($B2049)),"Enter a valid date",IF($C2049="","Pick a menu item",IF($O2049="","Item not on Menu Pricing",IF(N($D2049)&lt;=0,"Qty must be above 0",IF($H2049="","No price on menu","OK"))))))</f>
        <v/>
      </c>
      <c r="O2049" s="13">
        <f>IF($C2049="","",IFERROR(MATCH($C2049,'Menu Pricing'!$B$7:$B$56,0),""))</f>
        <v/>
      </c>
    </row>
    <row r="2050" ht="17" customHeight="1">
      <c r="B2050" s="66" t="n"/>
      <c r="C2050" s="60" t="n"/>
      <c r="D2050" s="86" t="n"/>
      <c r="E2050" s="63" t="n"/>
      <c r="F2050" s="60" t="n"/>
      <c r="G2050" s="60" t="n"/>
      <c r="H2050" s="71">
        <f>IF(OR($C2050="",$D2050=""),"",IF(ISNUMBER($E2050),$E2050,IF($O2050="","",IF(N(INDEX('Menu Pricing'!$O$7:$O$56,$O2050))&gt;0,INDEX('Menu Pricing'!$O$7:$O$56,$O2050),""))))</f>
        <v/>
      </c>
      <c r="I2050" s="71">
        <f>IF($N2050&lt;&gt;"OK","",$D2050*$H2050)</f>
        <v/>
      </c>
      <c r="J2050" s="71">
        <f>IF($N2050&lt;&gt;"OK","",N(INDEX('Menu Pricing'!$F$7:$F$56,$O2050))+N(INDEX('Menu Pricing'!$G$7:$G$56,$O2050))+N(INDEX('Menu Pricing'!$J$7:$J$56,$O2050)))</f>
        <v/>
      </c>
      <c r="K2050" s="71">
        <f>IF($N2050&lt;&gt;"OK","",$D2050*$J2050)</f>
        <v/>
      </c>
      <c r="L2050" s="71">
        <f>IF($N2050&lt;&gt;"OK","",$I2050-$K2050)</f>
        <v/>
      </c>
      <c r="M2050" s="71">
        <f>IF($N2050&lt;&gt;"OK","",$D2050*N(INDEX('Menu Pricing'!$F$7:$F$56,$O2050)))</f>
        <v/>
      </c>
      <c r="N2050" s="80">
        <f>IF(AND($B2050="",$C2050="",$D2050=""),"",IF(NOT(ISNUMBER($B2050)),"Enter a valid date",IF($C2050="","Pick a menu item",IF($O2050="","Item not on Menu Pricing",IF(N($D2050)&lt;=0,"Qty must be above 0",IF($H2050="","No price on menu","OK"))))))</f>
        <v/>
      </c>
      <c r="O2050" s="13">
        <f>IF($C2050="","",IFERROR(MATCH($C2050,'Menu Pricing'!$B$7:$B$56,0),""))</f>
        <v/>
      </c>
    </row>
    <row r="2051" ht="17" customHeight="1">
      <c r="B2051" s="66" t="n"/>
      <c r="C2051" s="60" t="n"/>
      <c r="D2051" s="86" t="n"/>
      <c r="E2051" s="63" t="n"/>
      <c r="F2051" s="60" t="n"/>
      <c r="G2051" s="60" t="n"/>
      <c r="H2051" s="71">
        <f>IF(OR($C2051="",$D2051=""),"",IF(ISNUMBER($E2051),$E2051,IF($O2051="","",IF(N(INDEX('Menu Pricing'!$O$7:$O$56,$O2051))&gt;0,INDEX('Menu Pricing'!$O$7:$O$56,$O2051),""))))</f>
        <v/>
      </c>
      <c r="I2051" s="71">
        <f>IF($N2051&lt;&gt;"OK","",$D2051*$H2051)</f>
        <v/>
      </c>
      <c r="J2051" s="71">
        <f>IF($N2051&lt;&gt;"OK","",N(INDEX('Menu Pricing'!$F$7:$F$56,$O2051))+N(INDEX('Menu Pricing'!$G$7:$G$56,$O2051))+N(INDEX('Menu Pricing'!$J$7:$J$56,$O2051)))</f>
        <v/>
      </c>
      <c r="K2051" s="71">
        <f>IF($N2051&lt;&gt;"OK","",$D2051*$J2051)</f>
        <v/>
      </c>
      <c r="L2051" s="71">
        <f>IF($N2051&lt;&gt;"OK","",$I2051-$K2051)</f>
        <v/>
      </c>
      <c r="M2051" s="71">
        <f>IF($N2051&lt;&gt;"OK","",$D2051*N(INDEX('Menu Pricing'!$F$7:$F$56,$O2051)))</f>
        <v/>
      </c>
      <c r="N2051" s="80">
        <f>IF(AND($B2051="",$C2051="",$D2051=""),"",IF(NOT(ISNUMBER($B2051)),"Enter a valid date",IF($C2051="","Pick a menu item",IF($O2051="","Item not on Menu Pricing",IF(N($D2051)&lt;=0,"Qty must be above 0",IF($H2051="","No price on menu","OK"))))))</f>
        <v/>
      </c>
      <c r="O2051" s="13">
        <f>IF($C2051="","",IFERROR(MATCH($C2051,'Menu Pricing'!$B$7:$B$56,0),""))</f>
        <v/>
      </c>
    </row>
    <row r="2052" ht="17" customHeight="1">
      <c r="B2052" s="66" t="n"/>
      <c r="C2052" s="60" t="n"/>
      <c r="D2052" s="86" t="n"/>
      <c r="E2052" s="63" t="n"/>
      <c r="F2052" s="60" t="n"/>
      <c r="G2052" s="60" t="n"/>
      <c r="H2052" s="71">
        <f>IF(OR($C2052="",$D2052=""),"",IF(ISNUMBER($E2052),$E2052,IF($O2052="","",IF(N(INDEX('Menu Pricing'!$O$7:$O$56,$O2052))&gt;0,INDEX('Menu Pricing'!$O$7:$O$56,$O2052),""))))</f>
        <v/>
      </c>
      <c r="I2052" s="71">
        <f>IF($N2052&lt;&gt;"OK","",$D2052*$H2052)</f>
        <v/>
      </c>
      <c r="J2052" s="71">
        <f>IF($N2052&lt;&gt;"OK","",N(INDEX('Menu Pricing'!$F$7:$F$56,$O2052))+N(INDEX('Menu Pricing'!$G$7:$G$56,$O2052))+N(INDEX('Menu Pricing'!$J$7:$J$56,$O2052)))</f>
        <v/>
      </c>
      <c r="K2052" s="71">
        <f>IF($N2052&lt;&gt;"OK","",$D2052*$J2052)</f>
        <v/>
      </c>
      <c r="L2052" s="71">
        <f>IF($N2052&lt;&gt;"OK","",$I2052-$K2052)</f>
        <v/>
      </c>
      <c r="M2052" s="71">
        <f>IF($N2052&lt;&gt;"OK","",$D2052*N(INDEX('Menu Pricing'!$F$7:$F$56,$O2052)))</f>
        <v/>
      </c>
      <c r="N2052" s="80">
        <f>IF(AND($B2052="",$C2052="",$D2052=""),"",IF(NOT(ISNUMBER($B2052)),"Enter a valid date",IF($C2052="","Pick a menu item",IF($O2052="","Item not on Menu Pricing",IF(N($D2052)&lt;=0,"Qty must be above 0",IF($H2052="","No price on menu","OK"))))))</f>
        <v/>
      </c>
      <c r="O2052" s="13">
        <f>IF($C2052="","",IFERROR(MATCH($C2052,'Menu Pricing'!$B$7:$B$56,0),""))</f>
        <v/>
      </c>
    </row>
    <row r="2053" ht="17" customHeight="1">
      <c r="B2053" s="66" t="n"/>
      <c r="C2053" s="60" t="n"/>
      <c r="D2053" s="86" t="n"/>
      <c r="E2053" s="63" t="n"/>
      <c r="F2053" s="60" t="n"/>
      <c r="G2053" s="60" t="n"/>
      <c r="H2053" s="71">
        <f>IF(OR($C2053="",$D2053=""),"",IF(ISNUMBER($E2053),$E2053,IF($O2053="","",IF(N(INDEX('Menu Pricing'!$O$7:$O$56,$O2053))&gt;0,INDEX('Menu Pricing'!$O$7:$O$56,$O2053),""))))</f>
        <v/>
      </c>
      <c r="I2053" s="71">
        <f>IF($N2053&lt;&gt;"OK","",$D2053*$H2053)</f>
        <v/>
      </c>
      <c r="J2053" s="71">
        <f>IF($N2053&lt;&gt;"OK","",N(INDEX('Menu Pricing'!$F$7:$F$56,$O2053))+N(INDEX('Menu Pricing'!$G$7:$G$56,$O2053))+N(INDEX('Menu Pricing'!$J$7:$J$56,$O2053)))</f>
        <v/>
      </c>
      <c r="K2053" s="71">
        <f>IF($N2053&lt;&gt;"OK","",$D2053*$J2053)</f>
        <v/>
      </c>
      <c r="L2053" s="71">
        <f>IF($N2053&lt;&gt;"OK","",$I2053-$K2053)</f>
        <v/>
      </c>
      <c r="M2053" s="71">
        <f>IF($N2053&lt;&gt;"OK","",$D2053*N(INDEX('Menu Pricing'!$F$7:$F$56,$O2053)))</f>
        <v/>
      </c>
      <c r="N2053" s="80">
        <f>IF(AND($B2053="",$C2053="",$D2053=""),"",IF(NOT(ISNUMBER($B2053)),"Enter a valid date",IF($C2053="","Pick a menu item",IF($O2053="","Item not on Menu Pricing",IF(N($D2053)&lt;=0,"Qty must be above 0",IF($H2053="","No price on menu","OK"))))))</f>
        <v/>
      </c>
      <c r="O2053" s="13">
        <f>IF($C2053="","",IFERROR(MATCH($C2053,'Menu Pricing'!$B$7:$B$56,0),""))</f>
        <v/>
      </c>
    </row>
    <row r="2054" ht="17" customHeight="1">
      <c r="B2054" s="66" t="n"/>
      <c r="C2054" s="60" t="n"/>
      <c r="D2054" s="86" t="n"/>
      <c r="E2054" s="63" t="n"/>
      <c r="F2054" s="60" t="n"/>
      <c r="G2054" s="60" t="n"/>
      <c r="H2054" s="71">
        <f>IF(OR($C2054="",$D2054=""),"",IF(ISNUMBER($E2054),$E2054,IF($O2054="","",IF(N(INDEX('Menu Pricing'!$O$7:$O$56,$O2054))&gt;0,INDEX('Menu Pricing'!$O$7:$O$56,$O2054),""))))</f>
        <v/>
      </c>
      <c r="I2054" s="71">
        <f>IF($N2054&lt;&gt;"OK","",$D2054*$H2054)</f>
        <v/>
      </c>
      <c r="J2054" s="71">
        <f>IF($N2054&lt;&gt;"OK","",N(INDEX('Menu Pricing'!$F$7:$F$56,$O2054))+N(INDEX('Menu Pricing'!$G$7:$G$56,$O2054))+N(INDEX('Menu Pricing'!$J$7:$J$56,$O2054)))</f>
        <v/>
      </c>
      <c r="K2054" s="71">
        <f>IF($N2054&lt;&gt;"OK","",$D2054*$J2054)</f>
        <v/>
      </c>
      <c r="L2054" s="71">
        <f>IF($N2054&lt;&gt;"OK","",$I2054-$K2054)</f>
        <v/>
      </c>
      <c r="M2054" s="71">
        <f>IF($N2054&lt;&gt;"OK","",$D2054*N(INDEX('Menu Pricing'!$F$7:$F$56,$O2054)))</f>
        <v/>
      </c>
      <c r="N2054" s="80">
        <f>IF(AND($B2054="",$C2054="",$D2054=""),"",IF(NOT(ISNUMBER($B2054)),"Enter a valid date",IF($C2054="","Pick a menu item",IF($O2054="","Item not on Menu Pricing",IF(N($D2054)&lt;=0,"Qty must be above 0",IF($H2054="","No price on menu","OK"))))))</f>
        <v/>
      </c>
      <c r="O2054" s="13">
        <f>IF($C2054="","",IFERROR(MATCH($C2054,'Menu Pricing'!$B$7:$B$56,0),""))</f>
        <v/>
      </c>
    </row>
    <row r="2055" ht="17" customHeight="1">
      <c r="B2055" s="66" t="n"/>
      <c r="C2055" s="60" t="n"/>
      <c r="D2055" s="86" t="n"/>
      <c r="E2055" s="63" t="n"/>
      <c r="F2055" s="60" t="n"/>
      <c r="G2055" s="60" t="n"/>
      <c r="H2055" s="71">
        <f>IF(OR($C2055="",$D2055=""),"",IF(ISNUMBER($E2055),$E2055,IF($O2055="","",IF(N(INDEX('Menu Pricing'!$O$7:$O$56,$O2055))&gt;0,INDEX('Menu Pricing'!$O$7:$O$56,$O2055),""))))</f>
        <v/>
      </c>
      <c r="I2055" s="71">
        <f>IF($N2055&lt;&gt;"OK","",$D2055*$H2055)</f>
        <v/>
      </c>
      <c r="J2055" s="71">
        <f>IF($N2055&lt;&gt;"OK","",N(INDEX('Menu Pricing'!$F$7:$F$56,$O2055))+N(INDEX('Menu Pricing'!$G$7:$G$56,$O2055))+N(INDEX('Menu Pricing'!$J$7:$J$56,$O2055)))</f>
        <v/>
      </c>
      <c r="K2055" s="71">
        <f>IF($N2055&lt;&gt;"OK","",$D2055*$J2055)</f>
        <v/>
      </c>
      <c r="L2055" s="71">
        <f>IF($N2055&lt;&gt;"OK","",$I2055-$K2055)</f>
        <v/>
      </c>
      <c r="M2055" s="71">
        <f>IF($N2055&lt;&gt;"OK","",$D2055*N(INDEX('Menu Pricing'!$F$7:$F$56,$O2055)))</f>
        <v/>
      </c>
      <c r="N2055" s="80">
        <f>IF(AND($B2055="",$C2055="",$D2055=""),"",IF(NOT(ISNUMBER($B2055)),"Enter a valid date",IF($C2055="","Pick a menu item",IF($O2055="","Item not on Menu Pricing",IF(N($D2055)&lt;=0,"Qty must be above 0",IF($H2055="","No price on menu","OK"))))))</f>
        <v/>
      </c>
      <c r="O2055" s="13">
        <f>IF($C2055="","",IFERROR(MATCH($C2055,'Menu Pricing'!$B$7:$B$56,0),""))</f>
        <v/>
      </c>
    </row>
    <row r="2056" ht="17" customHeight="1">
      <c r="B2056" s="66" t="n"/>
      <c r="C2056" s="60" t="n"/>
      <c r="D2056" s="86" t="n"/>
      <c r="E2056" s="63" t="n"/>
      <c r="F2056" s="60" t="n"/>
      <c r="G2056" s="60" t="n"/>
      <c r="H2056" s="71">
        <f>IF(OR($C2056="",$D2056=""),"",IF(ISNUMBER($E2056),$E2056,IF($O2056="","",IF(N(INDEX('Menu Pricing'!$O$7:$O$56,$O2056))&gt;0,INDEX('Menu Pricing'!$O$7:$O$56,$O2056),""))))</f>
        <v/>
      </c>
      <c r="I2056" s="71">
        <f>IF($N2056&lt;&gt;"OK","",$D2056*$H2056)</f>
        <v/>
      </c>
      <c r="J2056" s="71">
        <f>IF($N2056&lt;&gt;"OK","",N(INDEX('Menu Pricing'!$F$7:$F$56,$O2056))+N(INDEX('Menu Pricing'!$G$7:$G$56,$O2056))+N(INDEX('Menu Pricing'!$J$7:$J$56,$O2056)))</f>
        <v/>
      </c>
      <c r="K2056" s="71">
        <f>IF($N2056&lt;&gt;"OK","",$D2056*$J2056)</f>
        <v/>
      </c>
      <c r="L2056" s="71">
        <f>IF($N2056&lt;&gt;"OK","",$I2056-$K2056)</f>
        <v/>
      </c>
      <c r="M2056" s="71">
        <f>IF($N2056&lt;&gt;"OK","",$D2056*N(INDEX('Menu Pricing'!$F$7:$F$56,$O2056)))</f>
        <v/>
      </c>
      <c r="N2056" s="80">
        <f>IF(AND($B2056="",$C2056="",$D2056=""),"",IF(NOT(ISNUMBER($B2056)),"Enter a valid date",IF($C2056="","Pick a menu item",IF($O2056="","Item not on Menu Pricing",IF(N($D2056)&lt;=0,"Qty must be above 0",IF($H2056="","No price on menu","OK"))))))</f>
        <v/>
      </c>
      <c r="O2056" s="13">
        <f>IF($C2056="","",IFERROR(MATCH($C2056,'Menu Pricing'!$B$7:$B$56,0),""))</f>
        <v/>
      </c>
    </row>
    <row r="2057" ht="17" customHeight="1">
      <c r="B2057" s="66" t="n"/>
      <c r="C2057" s="60" t="n"/>
      <c r="D2057" s="86" t="n"/>
      <c r="E2057" s="63" t="n"/>
      <c r="F2057" s="60" t="n"/>
      <c r="G2057" s="60" t="n"/>
      <c r="H2057" s="71">
        <f>IF(OR($C2057="",$D2057=""),"",IF(ISNUMBER($E2057),$E2057,IF($O2057="","",IF(N(INDEX('Menu Pricing'!$O$7:$O$56,$O2057))&gt;0,INDEX('Menu Pricing'!$O$7:$O$56,$O2057),""))))</f>
        <v/>
      </c>
      <c r="I2057" s="71">
        <f>IF($N2057&lt;&gt;"OK","",$D2057*$H2057)</f>
        <v/>
      </c>
      <c r="J2057" s="71">
        <f>IF($N2057&lt;&gt;"OK","",N(INDEX('Menu Pricing'!$F$7:$F$56,$O2057))+N(INDEX('Menu Pricing'!$G$7:$G$56,$O2057))+N(INDEX('Menu Pricing'!$J$7:$J$56,$O2057)))</f>
        <v/>
      </c>
      <c r="K2057" s="71">
        <f>IF($N2057&lt;&gt;"OK","",$D2057*$J2057)</f>
        <v/>
      </c>
      <c r="L2057" s="71">
        <f>IF($N2057&lt;&gt;"OK","",$I2057-$K2057)</f>
        <v/>
      </c>
      <c r="M2057" s="71">
        <f>IF($N2057&lt;&gt;"OK","",$D2057*N(INDEX('Menu Pricing'!$F$7:$F$56,$O2057)))</f>
        <v/>
      </c>
      <c r="N2057" s="80">
        <f>IF(AND($B2057="",$C2057="",$D2057=""),"",IF(NOT(ISNUMBER($B2057)),"Enter a valid date",IF($C2057="","Pick a menu item",IF($O2057="","Item not on Menu Pricing",IF(N($D2057)&lt;=0,"Qty must be above 0",IF($H2057="","No price on menu","OK"))))))</f>
        <v/>
      </c>
      <c r="O2057" s="13">
        <f>IF($C2057="","",IFERROR(MATCH($C2057,'Menu Pricing'!$B$7:$B$56,0),""))</f>
        <v/>
      </c>
    </row>
    <row r="2058" ht="17" customHeight="1">
      <c r="B2058" s="66" t="n"/>
      <c r="C2058" s="60" t="n"/>
      <c r="D2058" s="86" t="n"/>
      <c r="E2058" s="63" t="n"/>
      <c r="F2058" s="60" t="n"/>
      <c r="G2058" s="60" t="n"/>
      <c r="H2058" s="71">
        <f>IF(OR($C2058="",$D2058=""),"",IF(ISNUMBER($E2058),$E2058,IF($O2058="","",IF(N(INDEX('Menu Pricing'!$O$7:$O$56,$O2058))&gt;0,INDEX('Menu Pricing'!$O$7:$O$56,$O2058),""))))</f>
        <v/>
      </c>
      <c r="I2058" s="71">
        <f>IF($N2058&lt;&gt;"OK","",$D2058*$H2058)</f>
        <v/>
      </c>
      <c r="J2058" s="71">
        <f>IF($N2058&lt;&gt;"OK","",N(INDEX('Menu Pricing'!$F$7:$F$56,$O2058))+N(INDEX('Menu Pricing'!$G$7:$G$56,$O2058))+N(INDEX('Menu Pricing'!$J$7:$J$56,$O2058)))</f>
        <v/>
      </c>
      <c r="K2058" s="71">
        <f>IF($N2058&lt;&gt;"OK","",$D2058*$J2058)</f>
        <v/>
      </c>
      <c r="L2058" s="71">
        <f>IF($N2058&lt;&gt;"OK","",$I2058-$K2058)</f>
        <v/>
      </c>
      <c r="M2058" s="71">
        <f>IF($N2058&lt;&gt;"OK","",$D2058*N(INDEX('Menu Pricing'!$F$7:$F$56,$O2058)))</f>
        <v/>
      </c>
      <c r="N2058" s="80">
        <f>IF(AND($B2058="",$C2058="",$D2058=""),"",IF(NOT(ISNUMBER($B2058)),"Enter a valid date",IF($C2058="","Pick a menu item",IF($O2058="","Item not on Menu Pricing",IF(N($D2058)&lt;=0,"Qty must be above 0",IF($H2058="","No price on menu","OK"))))))</f>
        <v/>
      </c>
      <c r="O2058" s="13">
        <f>IF($C2058="","",IFERROR(MATCH($C2058,'Menu Pricing'!$B$7:$B$56,0),""))</f>
        <v/>
      </c>
    </row>
    <row r="2059" ht="17" customHeight="1">
      <c r="B2059" s="66" t="n"/>
      <c r="C2059" s="60" t="n"/>
      <c r="D2059" s="86" t="n"/>
      <c r="E2059" s="63" t="n"/>
      <c r="F2059" s="60" t="n"/>
      <c r="G2059" s="60" t="n"/>
      <c r="H2059" s="71">
        <f>IF(OR($C2059="",$D2059=""),"",IF(ISNUMBER($E2059),$E2059,IF($O2059="","",IF(N(INDEX('Menu Pricing'!$O$7:$O$56,$O2059))&gt;0,INDEX('Menu Pricing'!$O$7:$O$56,$O2059),""))))</f>
        <v/>
      </c>
      <c r="I2059" s="71">
        <f>IF($N2059&lt;&gt;"OK","",$D2059*$H2059)</f>
        <v/>
      </c>
      <c r="J2059" s="71">
        <f>IF($N2059&lt;&gt;"OK","",N(INDEX('Menu Pricing'!$F$7:$F$56,$O2059))+N(INDEX('Menu Pricing'!$G$7:$G$56,$O2059))+N(INDEX('Menu Pricing'!$J$7:$J$56,$O2059)))</f>
        <v/>
      </c>
      <c r="K2059" s="71">
        <f>IF($N2059&lt;&gt;"OK","",$D2059*$J2059)</f>
        <v/>
      </c>
      <c r="L2059" s="71">
        <f>IF($N2059&lt;&gt;"OK","",$I2059-$K2059)</f>
        <v/>
      </c>
      <c r="M2059" s="71">
        <f>IF($N2059&lt;&gt;"OK","",$D2059*N(INDEX('Menu Pricing'!$F$7:$F$56,$O2059)))</f>
        <v/>
      </c>
      <c r="N2059" s="80">
        <f>IF(AND($B2059="",$C2059="",$D2059=""),"",IF(NOT(ISNUMBER($B2059)),"Enter a valid date",IF($C2059="","Pick a menu item",IF($O2059="","Item not on Menu Pricing",IF(N($D2059)&lt;=0,"Qty must be above 0",IF($H2059="","No price on menu","OK"))))))</f>
        <v/>
      </c>
      <c r="O2059" s="13">
        <f>IF($C2059="","",IFERROR(MATCH($C2059,'Menu Pricing'!$B$7:$B$56,0),""))</f>
        <v/>
      </c>
    </row>
    <row r="2060" ht="17" customHeight="1">
      <c r="B2060" s="66" t="n"/>
      <c r="C2060" s="60" t="n"/>
      <c r="D2060" s="86" t="n"/>
      <c r="E2060" s="63" t="n"/>
      <c r="F2060" s="60" t="n"/>
      <c r="G2060" s="60" t="n"/>
      <c r="H2060" s="71">
        <f>IF(OR($C2060="",$D2060=""),"",IF(ISNUMBER($E2060),$E2060,IF($O2060="","",IF(N(INDEX('Menu Pricing'!$O$7:$O$56,$O2060))&gt;0,INDEX('Menu Pricing'!$O$7:$O$56,$O2060),""))))</f>
        <v/>
      </c>
      <c r="I2060" s="71">
        <f>IF($N2060&lt;&gt;"OK","",$D2060*$H2060)</f>
        <v/>
      </c>
      <c r="J2060" s="71">
        <f>IF($N2060&lt;&gt;"OK","",N(INDEX('Menu Pricing'!$F$7:$F$56,$O2060))+N(INDEX('Menu Pricing'!$G$7:$G$56,$O2060))+N(INDEX('Menu Pricing'!$J$7:$J$56,$O2060)))</f>
        <v/>
      </c>
      <c r="K2060" s="71">
        <f>IF($N2060&lt;&gt;"OK","",$D2060*$J2060)</f>
        <v/>
      </c>
      <c r="L2060" s="71">
        <f>IF($N2060&lt;&gt;"OK","",$I2060-$K2060)</f>
        <v/>
      </c>
      <c r="M2060" s="71">
        <f>IF($N2060&lt;&gt;"OK","",$D2060*N(INDEX('Menu Pricing'!$F$7:$F$56,$O2060)))</f>
        <v/>
      </c>
      <c r="N2060" s="80">
        <f>IF(AND($B2060="",$C2060="",$D2060=""),"",IF(NOT(ISNUMBER($B2060)),"Enter a valid date",IF($C2060="","Pick a menu item",IF($O2060="","Item not on Menu Pricing",IF(N($D2060)&lt;=0,"Qty must be above 0",IF($H2060="","No price on menu","OK"))))))</f>
        <v/>
      </c>
      <c r="O2060" s="13">
        <f>IF($C2060="","",IFERROR(MATCH($C2060,'Menu Pricing'!$B$7:$B$56,0),""))</f>
        <v/>
      </c>
    </row>
    <row r="2061" ht="17" customHeight="1">
      <c r="B2061" s="66" t="n"/>
      <c r="C2061" s="60" t="n"/>
      <c r="D2061" s="86" t="n"/>
      <c r="E2061" s="63" t="n"/>
      <c r="F2061" s="60" t="n"/>
      <c r="G2061" s="60" t="n"/>
      <c r="H2061" s="71">
        <f>IF(OR($C2061="",$D2061=""),"",IF(ISNUMBER($E2061),$E2061,IF($O2061="","",IF(N(INDEX('Menu Pricing'!$O$7:$O$56,$O2061))&gt;0,INDEX('Menu Pricing'!$O$7:$O$56,$O2061),""))))</f>
        <v/>
      </c>
      <c r="I2061" s="71">
        <f>IF($N2061&lt;&gt;"OK","",$D2061*$H2061)</f>
        <v/>
      </c>
      <c r="J2061" s="71">
        <f>IF($N2061&lt;&gt;"OK","",N(INDEX('Menu Pricing'!$F$7:$F$56,$O2061))+N(INDEX('Menu Pricing'!$G$7:$G$56,$O2061))+N(INDEX('Menu Pricing'!$J$7:$J$56,$O2061)))</f>
        <v/>
      </c>
      <c r="K2061" s="71">
        <f>IF($N2061&lt;&gt;"OK","",$D2061*$J2061)</f>
        <v/>
      </c>
      <c r="L2061" s="71">
        <f>IF($N2061&lt;&gt;"OK","",$I2061-$K2061)</f>
        <v/>
      </c>
      <c r="M2061" s="71">
        <f>IF($N2061&lt;&gt;"OK","",$D2061*N(INDEX('Menu Pricing'!$F$7:$F$56,$O2061)))</f>
        <v/>
      </c>
      <c r="N2061" s="80">
        <f>IF(AND($B2061="",$C2061="",$D2061=""),"",IF(NOT(ISNUMBER($B2061)),"Enter a valid date",IF($C2061="","Pick a menu item",IF($O2061="","Item not on Menu Pricing",IF(N($D2061)&lt;=0,"Qty must be above 0",IF($H2061="","No price on menu","OK"))))))</f>
        <v/>
      </c>
      <c r="O2061" s="13">
        <f>IF($C2061="","",IFERROR(MATCH($C2061,'Menu Pricing'!$B$7:$B$56,0),""))</f>
        <v/>
      </c>
    </row>
    <row r="2062" ht="17" customHeight="1">
      <c r="B2062" s="66" t="n"/>
      <c r="C2062" s="60" t="n"/>
      <c r="D2062" s="86" t="n"/>
      <c r="E2062" s="63" t="n"/>
      <c r="F2062" s="60" t="n"/>
      <c r="G2062" s="60" t="n"/>
      <c r="H2062" s="71">
        <f>IF(OR($C2062="",$D2062=""),"",IF(ISNUMBER($E2062),$E2062,IF($O2062="","",IF(N(INDEX('Menu Pricing'!$O$7:$O$56,$O2062))&gt;0,INDEX('Menu Pricing'!$O$7:$O$56,$O2062),""))))</f>
        <v/>
      </c>
      <c r="I2062" s="71">
        <f>IF($N2062&lt;&gt;"OK","",$D2062*$H2062)</f>
        <v/>
      </c>
      <c r="J2062" s="71">
        <f>IF($N2062&lt;&gt;"OK","",N(INDEX('Menu Pricing'!$F$7:$F$56,$O2062))+N(INDEX('Menu Pricing'!$G$7:$G$56,$O2062))+N(INDEX('Menu Pricing'!$J$7:$J$56,$O2062)))</f>
        <v/>
      </c>
      <c r="K2062" s="71">
        <f>IF($N2062&lt;&gt;"OK","",$D2062*$J2062)</f>
        <v/>
      </c>
      <c r="L2062" s="71">
        <f>IF($N2062&lt;&gt;"OK","",$I2062-$K2062)</f>
        <v/>
      </c>
      <c r="M2062" s="71">
        <f>IF($N2062&lt;&gt;"OK","",$D2062*N(INDEX('Menu Pricing'!$F$7:$F$56,$O2062)))</f>
        <v/>
      </c>
      <c r="N2062" s="80">
        <f>IF(AND($B2062="",$C2062="",$D2062=""),"",IF(NOT(ISNUMBER($B2062)),"Enter a valid date",IF($C2062="","Pick a menu item",IF($O2062="","Item not on Menu Pricing",IF(N($D2062)&lt;=0,"Qty must be above 0",IF($H2062="","No price on menu","OK"))))))</f>
        <v/>
      </c>
      <c r="O2062" s="13">
        <f>IF($C2062="","",IFERROR(MATCH($C2062,'Menu Pricing'!$B$7:$B$56,0),""))</f>
        <v/>
      </c>
    </row>
    <row r="2063" ht="17" customHeight="1">
      <c r="B2063" s="66" t="n"/>
      <c r="C2063" s="60" t="n"/>
      <c r="D2063" s="86" t="n"/>
      <c r="E2063" s="63" t="n"/>
      <c r="F2063" s="60" t="n"/>
      <c r="G2063" s="60" t="n"/>
      <c r="H2063" s="71">
        <f>IF(OR($C2063="",$D2063=""),"",IF(ISNUMBER($E2063),$E2063,IF($O2063="","",IF(N(INDEX('Menu Pricing'!$O$7:$O$56,$O2063))&gt;0,INDEX('Menu Pricing'!$O$7:$O$56,$O2063),""))))</f>
        <v/>
      </c>
      <c r="I2063" s="71">
        <f>IF($N2063&lt;&gt;"OK","",$D2063*$H2063)</f>
        <v/>
      </c>
      <c r="J2063" s="71">
        <f>IF($N2063&lt;&gt;"OK","",N(INDEX('Menu Pricing'!$F$7:$F$56,$O2063))+N(INDEX('Menu Pricing'!$G$7:$G$56,$O2063))+N(INDEX('Menu Pricing'!$J$7:$J$56,$O2063)))</f>
        <v/>
      </c>
      <c r="K2063" s="71">
        <f>IF($N2063&lt;&gt;"OK","",$D2063*$J2063)</f>
        <v/>
      </c>
      <c r="L2063" s="71">
        <f>IF($N2063&lt;&gt;"OK","",$I2063-$K2063)</f>
        <v/>
      </c>
      <c r="M2063" s="71">
        <f>IF($N2063&lt;&gt;"OK","",$D2063*N(INDEX('Menu Pricing'!$F$7:$F$56,$O2063)))</f>
        <v/>
      </c>
      <c r="N2063" s="80">
        <f>IF(AND($B2063="",$C2063="",$D2063=""),"",IF(NOT(ISNUMBER($B2063)),"Enter a valid date",IF($C2063="","Pick a menu item",IF($O2063="","Item not on Menu Pricing",IF(N($D2063)&lt;=0,"Qty must be above 0",IF($H2063="","No price on menu","OK"))))))</f>
        <v/>
      </c>
      <c r="O2063" s="13">
        <f>IF($C2063="","",IFERROR(MATCH($C2063,'Menu Pricing'!$B$7:$B$56,0),""))</f>
        <v/>
      </c>
    </row>
    <row r="2064" ht="17" customHeight="1">
      <c r="B2064" s="66" t="n"/>
      <c r="C2064" s="60" t="n"/>
      <c r="D2064" s="86" t="n"/>
      <c r="E2064" s="63" t="n"/>
      <c r="F2064" s="60" t="n"/>
      <c r="G2064" s="60" t="n"/>
      <c r="H2064" s="71">
        <f>IF(OR($C2064="",$D2064=""),"",IF(ISNUMBER($E2064),$E2064,IF($O2064="","",IF(N(INDEX('Menu Pricing'!$O$7:$O$56,$O2064))&gt;0,INDEX('Menu Pricing'!$O$7:$O$56,$O2064),""))))</f>
        <v/>
      </c>
      <c r="I2064" s="71">
        <f>IF($N2064&lt;&gt;"OK","",$D2064*$H2064)</f>
        <v/>
      </c>
      <c r="J2064" s="71">
        <f>IF($N2064&lt;&gt;"OK","",N(INDEX('Menu Pricing'!$F$7:$F$56,$O2064))+N(INDEX('Menu Pricing'!$G$7:$G$56,$O2064))+N(INDEX('Menu Pricing'!$J$7:$J$56,$O2064)))</f>
        <v/>
      </c>
      <c r="K2064" s="71">
        <f>IF($N2064&lt;&gt;"OK","",$D2064*$J2064)</f>
        <v/>
      </c>
      <c r="L2064" s="71">
        <f>IF($N2064&lt;&gt;"OK","",$I2064-$K2064)</f>
        <v/>
      </c>
      <c r="M2064" s="71">
        <f>IF($N2064&lt;&gt;"OK","",$D2064*N(INDEX('Menu Pricing'!$F$7:$F$56,$O2064)))</f>
        <v/>
      </c>
      <c r="N2064" s="80">
        <f>IF(AND($B2064="",$C2064="",$D2064=""),"",IF(NOT(ISNUMBER($B2064)),"Enter a valid date",IF($C2064="","Pick a menu item",IF($O2064="","Item not on Menu Pricing",IF(N($D2064)&lt;=0,"Qty must be above 0",IF($H2064="","No price on menu","OK"))))))</f>
        <v/>
      </c>
      <c r="O2064" s="13">
        <f>IF($C2064="","",IFERROR(MATCH($C2064,'Menu Pricing'!$B$7:$B$56,0),""))</f>
        <v/>
      </c>
    </row>
    <row r="2065" ht="17" customHeight="1">
      <c r="B2065" s="66" t="n"/>
      <c r="C2065" s="60" t="n"/>
      <c r="D2065" s="86" t="n"/>
      <c r="E2065" s="63" t="n"/>
      <c r="F2065" s="60" t="n"/>
      <c r="G2065" s="60" t="n"/>
      <c r="H2065" s="71">
        <f>IF(OR($C2065="",$D2065=""),"",IF(ISNUMBER($E2065),$E2065,IF($O2065="","",IF(N(INDEX('Menu Pricing'!$O$7:$O$56,$O2065))&gt;0,INDEX('Menu Pricing'!$O$7:$O$56,$O2065),""))))</f>
        <v/>
      </c>
      <c r="I2065" s="71">
        <f>IF($N2065&lt;&gt;"OK","",$D2065*$H2065)</f>
        <v/>
      </c>
      <c r="J2065" s="71">
        <f>IF($N2065&lt;&gt;"OK","",N(INDEX('Menu Pricing'!$F$7:$F$56,$O2065))+N(INDEX('Menu Pricing'!$G$7:$G$56,$O2065))+N(INDEX('Menu Pricing'!$J$7:$J$56,$O2065)))</f>
        <v/>
      </c>
      <c r="K2065" s="71">
        <f>IF($N2065&lt;&gt;"OK","",$D2065*$J2065)</f>
        <v/>
      </c>
      <c r="L2065" s="71">
        <f>IF($N2065&lt;&gt;"OK","",$I2065-$K2065)</f>
        <v/>
      </c>
      <c r="M2065" s="71">
        <f>IF($N2065&lt;&gt;"OK","",$D2065*N(INDEX('Menu Pricing'!$F$7:$F$56,$O2065)))</f>
        <v/>
      </c>
      <c r="N2065" s="80">
        <f>IF(AND($B2065="",$C2065="",$D2065=""),"",IF(NOT(ISNUMBER($B2065)),"Enter a valid date",IF($C2065="","Pick a menu item",IF($O2065="","Item not on Menu Pricing",IF(N($D2065)&lt;=0,"Qty must be above 0",IF($H2065="","No price on menu","OK"))))))</f>
        <v/>
      </c>
      <c r="O2065" s="13">
        <f>IF($C2065="","",IFERROR(MATCH($C2065,'Menu Pricing'!$B$7:$B$56,0),""))</f>
        <v/>
      </c>
    </row>
    <row r="2066" ht="17" customHeight="1">
      <c r="B2066" s="66" t="n"/>
      <c r="C2066" s="60" t="n"/>
      <c r="D2066" s="86" t="n"/>
      <c r="E2066" s="63" t="n"/>
      <c r="F2066" s="60" t="n"/>
      <c r="G2066" s="60" t="n"/>
      <c r="H2066" s="71">
        <f>IF(OR($C2066="",$D2066=""),"",IF(ISNUMBER($E2066),$E2066,IF($O2066="","",IF(N(INDEX('Menu Pricing'!$O$7:$O$56,$O2066))&gt;0,INDEX('Menu Pricing'!$O$7:$O$56,$O2066),""))))</f>
        <v/>
      </c>
      <c r="I2066" s="71">
        <f>IF($N2066&lt;&gt;"OK","",$D2066*$H2066)</f>
        <v/>
      </c>
      <c r="J2066" s="71">
        <f>IF($N2066&lt;&gt;"OK","",N(INDEX('Menu Pricing'!$F$7:$F$56,$O2066))+N(INDEX('Menu Pricing'!$G$7:$G$56,$O2066))+N(INDEX('Menu Pricing'!$J$7:$J$56,$O2066)))</f>
        <v/>
      </c>
      <c r="K2066" s="71">
        <f>IF($N2066&lt;&gt;"OK","",$D2066*$J2066)</f>
        <v/>
      </c>
      <c r="L2066" s="71">
        <f>IF($N2066&lt;&gt;"OK","",$I2066-$K2066)</f>
        <v/>
      </c>
      <c r="M2066" s="71">
        <f>IF($N2066&lt;&gt;"OK","",$D2066*N(INDEX('Menu Pricing'!$F$7:$F$56,$O2066)))</f>
        <v/>
      </c>
      <c r="N2066" s="80">
        <f>IF(AND($B2066="",$C2066="",$D2066=""),"",IF(NOT(ISNUMBER($B2066)),"Enter a valid date",IF($C2066="","Pick a menu item",IF($O2066="","Item not on Menu Pricing",IF(N($D2066)&lt;=0,"Qty must be above 0",IF($H2066="","No price on menu","OK"))))))</f>
        <v/>
      </c>
      <c r="O2066" s="13">
        <f>IF($C2066="","",IFERROR(MATCH($C2066,'Menu Pricing'!$B$7:$B$56,0),""))</f>
        <v/>
      </c>
    </row>
    <row r="2067" ht="17" customHeight="1">
      <c r="B2067" s="66" t="n"/>
      <c r="C2067" s="60" t="n"/>
      <c r="D2067" s="86" t="n"/>
      <c r="E2067" s="63" t="n"/>
      <c r="F2067" s="60" t="n"/>
      <c r="G2067" s="60" t="n"/>
      <c r="H2067" s="71">
        <f>IF(OR($C2067="",$D2067=""),"",IF(ISNUMBER($E2067),$E2067,IF($O2067="","",IF(N(INDEX('Menu Pricing'!$O$7:$O$56,$O2067))&gt;0,INDEX('Menu Pricing'!$O$7:$O$56,$O2067),""))))</f>
        <v/>
      </c>
      <c r="I2067" s="71">
        <f>IF($N2067&lt;&gt;"OK","",$D2067*$H2067)</f>
        <v/>
      </c>
      <c r="J2067" s="71">
        <f>IF($N2067&lt;&gt;"OK","",N(INDEX('Menu Pricing'!$F$7:$F$56,$O2067))+N(INDEX('Menu Pricing'!$G$7:$G$56,$O2067))+N(INDEX('Menu Pricing'!$J$7:$J$56,$O2067)))</f>
        <v/>
      </c>
      <c r="K2067" s="71">
        <f>IF($N2067&lt;&gt;"OK","",$D2067*$J2067)</f>
        <v/>
      </c>
      <c r="L2067" s="71">
        <f>IF($N2067&lt;&gt;"OK","",$I2067-$K2067)</f>
        <v/>
      </c>
      <c r="M2067" s="71">
        <f>IF($N2067&lt;&gt;"OK","",$D2067*N(INDEX('Menu Pricing'!$F$7:$F$56,$O2067)))</f>
        <v/>
      </c>
      <c r="N2067" s="80">
        <f>IF(AND($B2067="",$C2067="",$D2067=""),"",IF(NOT(ISNUMBER($B2067)),"Enter a valid date",IF($C2067="","Pick a menu item",IF($O2067="","Item not on Menu Pricing",IF(N($D2067)&lt;=0,"Qty must be above 0",IF($H2067="","No price on menu","OK"))))))</f>
        <v/>
      </c>
      <c r="O2067" s="13">
        <f>IF($C2067="","",IFERROR(MATCH($C2067,'Menu Pricing'!$B$7:$B$56,0),""))</f>
        <v/>
      </c>
    </row>
    <row r="2068" ht="17" customHeight="1">
      <c r="B2068" s="66" t="n"/>
      <c r="C2068" s="60" t="n"/>
      <c r="D2068" s="86" t="n"/>
      <c r="E2068" s="63" t="n"/>
      <c r="F2068" s="60" t="n"/>
      <c r="G2068" s="60" t="n"/>
      <c r="H2068" s="71">
        <f>IF(OR($C2068="",$D2068=""),"",IF(ISNUMBER($E2068),$E2068,IF($O2068="","",IF(N(INDEX('Menu Pricing'!$O$7:$O$56,$O2068))&gt;0,INDEX('Menu Pricing'!$O$7:$O$56,$O2068),""))))</f>
        <v/>
      </c>
      <c r="I2068" s="71">
        <f>IF($N2068&lt;&gt;"OK","",$D2068*$H2068)</f>
        <v/>
      </c>
      <c r="J2068" s="71">
        <f>IF($N2068&lt;&gt;"OK","",N(INDEX('Menu Pricing'!$F$7:$F$56,$O2068))+N(INDEX('Menu Pricing'!$G$7:$G$56,$O2068))+N(INDEX('Menu Pricing'!$J$7:$J$56,$O2068)))</f>
        <v/>
      </c>
      <c r="K2068" s="71">
        <f>IF($N2068&lt;&gt;"OK","",$D2068*$J2068)</f>
        <v/>
      </c>
      <c r="L2068" s="71">
        <f>IF($N2068&lt;&gt;"OK","",$I2068-$K2068)</f>
        <v/>
      </c>
      <c r="M2068" s="71">
        <f>IF($N2068&lt;&gt;"OK","",$D2068*N(INDEX('Menu Pricing'!$F$7:$F$56,$O2068)))</f>
        <v/>
      </c>
      <c r="N2068" s="80">
        <f>IF(AND($B2068="",$C2068="",$D2068=""),"",IF(NOT(ISNUMBER($B2068)),"Enter a valid date",IF($C2068="","Pick a menu item",IF($O2068="","Item not on Menu Pricing",IF(N($D2068)&lt;=0,"Qty must be above 0",IF($H2068="","No price on menu","OK"))))))</f>
        <v/>
      </c>
      <c r="O2068" s="13">
        <f>IF($C2068="","",IFERROR(MATCH($C2068,'Menu Pricing'!$B$7:$B$56,0),""))</f>
        <v/>
      </c>
    </row>
    <row r="2069" ht="17" customHeight="1">
      <c r="B2069" s="66" t="n"/>
      <c r="C2069" s="60" t="n"/>
      <c r="D2069" s="86" t="n"/>
      <c r="E2069" s="63" t="n"/>
      <c r="F2069" s="60" t="n"/>
      <c r="G2069" s="60" t="n"/>
      <c r="H2069" s="71">
        <f>IF(OR($C2069="",$D2069=""),"",IF(ISNUMBER($E2069),$E2069,IF($O2069="","",IF(N(INDEX('Menu Pricing'!$O$7:$O$56,$O2069))&gt;0,INDEX('Menu Pricing'!$O$7:$O$56,$O2069),""))))</f>
        <v/>
      </c>
      <c r="I2069" s="71">
        <f>IF($N2069&lt;&gt;"OK","",$D2069*$H2069)</f>
        <v/>
      </c>
      <c r="J2069" s="71">
        <f>IF($N2069&lt;&gt;"OK","",N(INDEX('Menu Pricing'!$F$7:$F$56,$O2069))+N(INDEX('Menu Pricing'!$G$7:$G$56,$O2069))+N(INDEX('Menu Pricing'!$J$7:$J$56,$O2069)))</f>
        <v/>
      </c>
      <c r="K2069" s="71">
        <f>IF($N2069&lt;&gt;"OK","",$D2069*$J2069)</f>
        <v/>
      </c>
      <c r="L2069" s="71">
        <f>IF($N2069&lt;&gt;"OK","",$I2069-$K2069)</f>
        <v/>
      </c>
      <c r="M2069" s="71">
        <f>IF($N2069&lt;&gt;"OK","",$D2069*N(INDEX('Menu Pricing'!$F$7:$F$56,$O2069)))</f>
        <v/>
      </c>
      <c r="N2069" s="80">
        <f>IF(AND($B2069="",$C2069="",$D2069=""),"",IF(NOT(ISNUMBER($B2069)),"Enter a valid date",IF($C2069="","Pick a menu item",IF($O2069="","Item not on Menu Pricing",IF(N($D2069)&lt;=0,"Qty must be above 0",IF($H2069="","No price on menu","OK"))))))</f>
        <v/>
      </c>
      <c r="O2069" s="13">
        <f>IF($C2069="","",IFERROR(MATCH($C2069,'Menu Pricing'!$B$7:$B$56,0),""))</f>
        <v/>
      </c>
    </row>
    <row r="2070" ht="17" customHeight="1">
      <c r="B2070" s="66" t="n"/>
      <c r="C2070" s="60" t="n"/>
      <c r="D2070" s="86" t="n"/>
      <c r="E2070" s="63" t="n"/>
      <c r="F2070" s="60" t="n"/>
      <c r="G2070" s="60" t="n"/>
      <c r="H2070" s="71">
        <f>IF(OR($C2070="",$D2070=""),"",IF(ISNUMBER($E2070),$E2070,IF($O2070="","",IF(N(INDEX('Menu Pricing'!$O$7:$O$56,$O2070))&gt;0,INDEX('Menu Pricing'!$O$7:$O$56,$O2070),""))))</f>
        <v/>
      </c>
      <c r="I2070" s="71">
        <f>IF($N2070&lt;&gt;"OK","",$D2070*$H2070)</f>
        <v/>
      </c>
      <c r="J2070" s="71">
        <f>IF($N2070&lt;&gt;"OK","",N(INDEX('Menu Pricing'!$F$7:$F$56,$O2070))+N(INDEX('Menu Pricing'!$G$7:$G$56,$O2070))+N(INDEX('Menu Pricing'!$J$7:$J$56,$O2070)))</f>
        <v/>
      </c>
      <c r="K2070" s="71">
        <f>IF($N2070&lt;&gt;"OK","",$D2070*$J2070)</f>
        <v/>
      </c>
      <c r="L2070" s="71">
        <f>IF($N2070&lt;&gt;"OK","",$I2070-$K2070)</f>
        <v/>
      </c>
      <c r="M2070" s="71">
        <f>IF($N2070&lt;&gt;"OK","",$D2070*N(INDEX('Menu Pricing'!$F$7:$F$56,$O2070)))</f>
        <v/>
      </c>
      <c r="N2070" s="80">
        <f>IF(AND($B2070="",$C2070="",$D2070=""),"",IF(NOT(ISNUMBER($B2070)),"Enter a valid date",IF($C2070="","Pick a menu item",IF($O2070="","Item not on Menu Pricing",IF(N($D2070)&lt;=0,"Qty must be above 0",IF($H2070="","No price on menu","OK"))))))</f>
        <v/>
      </c>
      <c r="O2070" s="13">
        <f>IF($C2070="","",IFERROR(MATCH($C2070,'Menu Pricing'!$B$7:$B$56,0),""))</f>
        <v/>
      </c>
    </row>
    <row r="2071" ht="17" customHeight="1">
      <c r="B2071" s="66" t="n"/>
      <c r="C2071" s="60" t="n"/>
      <c r="D2071" s="86" t="n"/>
      <c r="E2071" s="63" t="n"/>
      <c r="F2071" s="60" t="n"/>
      <c r="G2071" s="60" t="n"/>
      <c r="H2071" s="71">
        <f>IF(OR($C2071="",$D2071=""),"",IF(ISNUMBER($E2071),$E2071,IF($O2071="","",IF(N(INDEX('Menu Pricing'!$O$7:$O$56,$O2071))&gt;0,INDEX('Menu Pricing'!$O$7:$O$56,$O2071),""))))</f>
        <v/>
      </c>
      <c r="I2071" s="71">
        <f>IF($N2071&lt;&gt;"OK","",$D2071*$H2071)</f>
        <v/>
      </c>
      <c r="J2071" s="71">
        <f>IF($N2071&lt;&gt;"OK","",N(INDEX('Menu Pricing'!$F$7:$F$56,$O2071))+N(INDEX('Menu Pricing'!$G$7:$G$56,$O2071))+N(INDEX('Menu Pricing'!$J$7:$J$56,$O2071)))</f>
        <v/>
      </c>
      <c r="K2071" s="71">
        <f>IF($N2071&lt;&gt;"OK","",$D2071*$J2071)</f>
        <v/>
      </c>
      <c r="L2071" s="71">
        <f>IF($N2071&lt;&gt;"OK","",$I2071-$K2071)</f>
        <v/>
      </c>
      <c r="M2071" s="71">
        <f>IF($N2071&lt;&gt;"OK","",$D2071*N(INDEX('Menu Pricing'!$F$7:$F$56,$O2071)))</f>
        <v/>
      </c>
      <c r="N2071" s="80">
        <f>IF(AND($B2071="",$C2071="",$D2071=""),"",IF(NOT(ISNUMBER($B2071)),"Enter a valid date",IF($C2071="","Pick a menu item",IF($O2071="","Item not on Menu Pricing",IF(N($D2071)&lt;=0,"Qty must be above 0",IF($H2071="","No price on menu","OK"))))))</f>
        <v/>
      </c>
      <c r="O2071" s="13">
        <f>IF($C2071="","",IFERROR(MATCH($C2071,'Menu Pricing'!$B$7:$B$56,0),""))</f>
        <v/>
      </c>
    </row>
    <row r="2072" ht="17" customHeight="1">
      <c r="B2072" s="66" t="n"/>
      <c r="C2072" s="60" t="n"/>
      <c r="D2072" s="86" t="n"/>
      <c r="E2072" s="63" t="n"/>
      <c r="F2072" s="60" t="n"/>
      <c r="G2072" s="60" t="n"/>
      <c r="H2072" s="71">
        <f>IF(OR($C2072="",$D2072=""),"",IF(ISNUMBER($E2072),$E2072,IF($O2072="","",IF(N(INDEX('Menu Pricing'!$O$7:$O$56,$O2072))&gt;0,INDEX('Menu Pricing'!$O$7:$O$56,$O2072),""))))</f>
        <v/>
      </c>
      <c r="I2072" s="71">
        <f>IF($N2072&lt;&gt;"OK","",$D2072*$H2072)</f>
        <v/>
      </c>
      <c r="J2072" s="71">
        <f>IF($N2072&lt;&gt;"OK","",N(INDEX('Menu Pricing'!$F$7:$F$56,$O2072))+N(INDEX('Menu Pricing'!$G$7:$G$56,$O2072))+N(INDEX('Menu Pricing'!$J$7:$J$56,$O2072)))</f>
        <v/>
      </c>
      <c r="K2072" s="71">
        <f>IF($N2072&lt;&gt;"OK","",$D2072*$J2072)</f>
        <v/>
      </c>
      <c r="L2072" s="71">
        <f>IF($N2072&lt;&gt;"OK","",$I2072-$K2072)</f>
        <v/>
      </c>
      <c r="M2072" s="71">
        <f>IF($N2072&lt;&gt;"OK","",$D2072*N(INDEX('Menu Pricing'!$F$7:$F$56,$O2072)))</f>
        <v/>
      </c>
      <c r="N2072" s="80">
        <f>IF(AND($B2072="",$C2072="",$D2072=""),"",IF(NOT(ISNUMBER($B2072)),"Enter a valid date",IF($C2072="","Pick a menu item",IF($O2072="","Item not on Menu Pricing",IF(N($D2072)&lt;=0,"Qty must be above 0",IF($H2072="","No price on menu","OK"))))))</f>
        <v/>
      </c>
      <c r="O2072" s="13">
        <f>IF($C2072="","",IFERROR(MATCH($C2072,'Menu Pricing'!$B$7:$B$56,0),""))</f>
        <v/>
      </c>
    </row>
    <row r="2073" ht="17" customHeight="1">
      <c r="B2073" s="66" t="n"/>
      <c r="C2073" s="60" t="n"/>
      <c r="D2073" s="86" t="n"/>
      <c r="E2073" s="63" t="n"/>
      <c r="F2073" s="60" t="n"/>
      <c r="G2073" s="60" t="n"/>
      <c r="H2073" s="71">
        <f>IF(OR($C2073="",$D2073=""),"",IF(ISNUMBER($E2073),$E2073,IF($O2073="","",IF(N(INDEX('Menu Pricing'!$O$7:$O$56,$O2073))&gt;0,INDEX('Menu Pricing'!$O$7:$O$56,$O2073),""))))</f>
        <v/>
      </c>
      <c r="I2073" s="71">
        <f>IF($N2073&lt;&gt;"OK","",$D2073*$H2073)</f>
        <v/>
      </c>
      <c r="J2073" s="71">
        <f>IF($N2073&lt;&gt;"OK","",N(INDEX('Menu Pricing'!$F$7:$F$56,$O2073))+N(INDEX('Menu Pricing'!$G$7:$G$56,$O2073))+N(INDEX('Menu Pricing'!$J$7:$J$56,$O2073)))</f>
        <v/>
      </c>
      <c r="K2073" s="71">
        <f>IF($N2073&lt;&gt;"OK","",$D2073*$J2073)</f>
        <v/>
      </c>
      <c r="L2073" s="71">
        <f>IF($N2073&lt;&gt;"OK","",$I2073-$K2073)</f>
        <v/>
      </c>
      <c r="M2073" s="71">
        <f>IF($N2073&lt;&gt;"OK","",$D2073*N(INDEX('Menu Pricing'!$F$7:$F$56,$O2073)))</f>
        <v/>
      </c>
      <c r="N2073" s="80">
        <f>IF(AND($B2073="",$C2073="",$D2073=""),"",IF(NOT(ISNUMBER($B2073)),"Enter a valid date",IF($C2073="","Pick a menu item",IF($O2073="","Item not on Menu Pricing",IF(N($D2073)&lt;=0,"Qty must be above 0",IF($H2073="","No price on menu","OK"))))))</f>
        <v/>
      </c>
      <c r="O2073" s="13">
        <f>IF($C2073="","",IFERROR(MATCH($C2073,'Menu Pricing'!$B$7:$B$56,0),""))</f>
        <v/>
      </c>
    </row>
    <row r="2074" ht="17" customHeight="1">
      <c r="B2074" s="66" t="n"/>
      <c r="C2074" s="60" t="n"/>
      <c r="D2074" s="86" t="n"/>
      <c r="E2074" s="63" t="n"/>
      <c r="F2074" s="60" t="n"/>
      <c r="G2074" s="60" t="n"/>
      <c r="H2074" s="71">
        <f>IF(OR($C2074="",$D2074=""),"",IF(ISNUMBER($E2074),$E2074,IF($O2074="","",IF(N(INDEX('Menu Pricing'!$O$7:$O$56,$O2074))&gt;0,INDEX('Menu Pricing'!$O$7:$O$56,$O2074),""))))</f>
        <v/>
      </c>
      <c r="I2074" s="71">
        <f>IF($N2074&lt;&gt;"OK","",$D2074*$H2074)</f>
        <v/>
      </c>
      <c r="J2074" s="71">
        <f>IF($N2074&lt;&gt;"OK","",N(INDEX('Menu Pricing'!$F$7:$F$56,$O2074))+N(INDEX('Menu Pricing'!$G$7:$G$56,$O2074))+N(INDEX('Menu Pricing'!$J$7:$J$56,$O2074)))</f>
        <v/>
      </c>
      <c r="K2074" s="71">
        <f>IF($N2074&lt;&gt;"OK","",$D2074*$J2074)</f>
        <v/>
      </c>
      <c r="L2074" s="71">
        <f>IF($N2074&lt;&gt;"OK","",$I2074-$K2074)</f>
        <v/>
      </c>
      <c r="M2074" s="71">
        <f>IF($N2074&lt;&gt;"OK","",$D2074*N(INDEX('Menu Pricing'!$F$7:$F$56,$O2074)))</f>
        <v/>
      </c>
      <c r="N2074" s="80">
        <f>IF(AND($B2074="",$C2074="",$D2074=""),"",IF(NOT(ISNUMBER($B2074)),"Enter a valid date",IF($C2074="","Pick a menu item",IF($O2074="","Item not on Menu Pricing",IF(N($D2074)&lt;=0,"Qty must be above 0",IF($H2074="","No price on menu","OK"))))))</f>
        <v/>
      </c>
      <c r="O2074" s="13">
        <f>IF($C2074="","",IFERROR(MATCH($C2074,'Menu Pricing'!$B$7:$B$56,0),""))</f>
        <v/>
      </c>
    </row>
    <row r="2075" ht="17" customHeight="1">
      <c r="B2075" s="66" t="n"/>
      <c r="C2075" s="60" t="n"/>
      <c r="D2075" s="86" t="n"/>
      <c r="E2075" s="63" t="n"/>
      <c r="F2075" s="60" t="n"/>
      <c r="G2075" s="60" t="n"/>
      <c r="H2075" s="71">
        <f>IF(OR($C2075="",$D2075=""),"",IF(ISNUMBER($E2075),$E2075,IF($O2075="","",IF(N(INDEX('Menu Pricing'!$O$7:$O$56,$O2075))&gt;0,INDEX('Menu Pricing'!$O$7:$O$56,$O2075),""))))</f>
        <v/>
      </c>
      <c r="I2075" s="71">
        <f>IF($N2075&lt;&gt;"OK","",$D2075*$H2075)</f>
        <v/>
      </c>
      <c r="J2075" s="71">
        <f>IF($N2075&lt;&gt;"OK","",N(INDEX('Menu Pricing'!$F$7:$F$56,$O2075))+N(INDEX('Menu Pricing'!$G$7:$G$56,$O2075))+N(INDEX('Menu Pricing'!$J$7:$J$56,$O2075)))</f>
        <v/>
      </c>
      <c r="K2075" s="71">
        <f>IF($N2075&lt;&gt;"OK","",$D2075*$J2075)</f>
        <v/>
      </c>
      <c r="L2075" s="71">
        <f>IF($N2075&lt;&gt;"OK","",$I2075-$K2075)</f>
        <v/>
      </c>
      <c r="M2075" s="71">
        <f>IF($N2075&lt;&gt;"OK","",$D2075*N(INDEX('Menu Pricing'!$F$7:$F$56,$O2075)))</f>
        <v/>
      </c>
      <c r="N2075" s="80">
        <f>IF(AND($B2075="",$C2075="",$D2075=""),"",IF(NOT(ISNUMBER($B2075)),"Enter a valid date",IF($C2075="","Pick a menu item",IF($O2075="","Item not on Menu Pricing",IF(N($D2075)&lt;=0,"Qty must be above 0",IF($H2075="","No price on menu","OK"))))))</f>
        <v/>
      </c>
      <c r="O2075" s="13">
        <f>IF($C2075="","",IFERROR(MATCH($C2075,'Menu Pricing'!$B$7:$B$56,0),""))</f>
        <v/>
      </c>
    </row>
    <row r="2076" ht="17" customHeight="1">
      <c r="B2076" s="66" t="n"/>
      <c r="C2076" s="60" t="n"/>
      <c r="D2076" s="86" t="n"/>
      <c r="E2076" s="63" t="n"/>
      <c r="F2076" s="60" t="n"/>
      <c r="G2076" s="60" t="n"/>
      <c r="H2076" s="71">
        <f>IF(OR($C2076="",$D2076=""),"",IF(ISNUMBER($E2076),$E2076,IF($O2076="","",IF(N(INDEX('Menu Pricing'!$O$7:$O$56,$O2076))&gt;0,INDEX('Menu Pricing'!$O$7:$O$56,$O2076),""))))</f>
        <v/>
      </c>
      <c r="I2076" s="71">
        <f>IF($N2076&lt;&gt;"OK","",$D2076*$H2076)</f>
        <v/>
      </c>
      <c r="J2076" s="71">
        <f>IF($N2076&lt;&gt;"OK","",N(INDEX('Menu Pricing'!$F$7:$F$56,$O2076))+N(INDEX('Menu Pricing'!$G$7:$G$56,$O2076))+N(INDEX('Menu Pricing'!$J$7:$J$56,$O2076)))</f>
        <v/>
      </c>
      <c r="K2076" s="71">
        <f>IF($N2076&lt;&gt;"OK","",$D2076*$J2076)</f>
        <v/>
      </c>
      <c r="L2076" s="71">
        <f>IF($N2076&lt;&gt;"OK","",$I2076-$K2076)</f>
        <v/>
      </c>
      <c r="M2076" s="71">
        <f>IF($N2076&lt;&gt;"OK","",$D2076*N(INDEX('Menu Pricing'!$F$7:$F$56,$O2076)))</f>
        <v/>
      </c>
      <c r="N2076" s="80">
        <f>IF(AND($B2076="",$C2076="",$D2076=""),"",IF(NOT(ISNUMBER($B2076)),"Enter a valid date",IF($C2076="","Pick a menu item",IF($O2076="","Item not on Menu Pricing",IF(N($D2076)&lt;=0,"Qty must be above 0",IF($H2076="","No price on menu","OK"))))))</f>
        <v/>
      </c>
      <c r="O2076" s="13">
        <f>IF($C2076="","",IFERROR(MATCH($C2076,'Menu Pricing'!$B$7:$B$56,0),""))</f>
        <v/>
      </c>
    </row>
    <row r="2077" ht="17" customHeight="1">
      <c r="B2077" s="66" t="n"/>
      <c r="C2077" s="60" t="n"/>
      <c r="D2077" s="86" t="n"/>
      <c r="E2077" s="63" t="n"/>
      <c r="F2077" s="60" t="n"/>
      <c r="G2077" s="60" t="n"/>
      <c r="H2077" s="71">
        <f>IF(OR($C2077="",$D2077=""),"",IF(ISNUMBER($E2077),$E2077,IF($O2077="","",IF(N(INDEX('Menu Pricing'!$O$7:$O$56,$O2077))&gt;0,INDEX('Menu Pricing'!$O$7:$O$56,$O2077),""))))</f>
        <v/>
      </c>
      <c r="I2077" s="71">
        <f>IF($N2077&lt;&gt;"OK","",$D2077*$H2077)</f>
        <v/>
      </c>
      <c r="J2077" s="71">
        <f>IF($N2077&lt;&gt;"OK","",N(INDEX('Menu Pricing'!$F$7:$F$56,$O2077))+N(INDEX('Menu Pricing'!$G$7:$G$56,$O2077))+N(INDEX('Menu Pricing'!$J$7:$J$56,$O2077)))</f>
        <v/>
      </c>
      <c r="K2077" s="71">
        <f>IF($N2077&lt;&gt;"OK","",$D2077*$J2077)</f>
        <v/>
      </c>
      <c r="L2077" s="71">
        <f>IF($N2077&lt;&gt;"OK","",$I2077-$K2077)</f>
        <v/>
      </c>
      <c r="M2077" s="71">
        <f>IF($N2077&lt;&gt;"OK","",$D2077*N(INDEX('Menu Pricing'!$F$7:$F$56,$O2077)))</f>
        <v/>
      </c>
      <c r="N2077" s="80">
        <f>IF(AND($B2077="",$C2077="",$D2077=""),"",IF(NOT(ISNUMBER($B2077)),"Enter a valid date",IF($C2077="","Pick a menu item",IF($O2077="","Item not on Menu Pricing",IF(N($D2077)&lt;=0,"Qty must be above 0",IF($H2077="","No price on menu","OK"))))))</f>
        <v/>
      </c>
      <c r="O2077" s="13">
        <f>IF($C2077="","",IFERROR(MATCH($C2077,'Menu Pricing'!$B$7:$B$56,0),""))</f>
        <v/>
      </c>
    </row>
    <row r="2078" ht="17" customHeight="1">
      <c r="B2078" s="66" t="n"/>
      <c r="C2078" s="60" t="n"/>
      <c r="D2078" s="86" t="n"/>
      <c r="E2078" s="63" t="n"/>
      <c r="F2078" s="60" t="n"/>
      <c r="G2078" s="60" t="n"/>
      <c r="H2078" s="71">
        <f>IF(OR($C2078="",$D2078=""),"",IF(ISNUMBER($E2078),$E2078,IF($O2078="","",IF(N(INDEX('Menu Pricing'!$O$7:$O$56,$O2078))&gt;0,INDEX('Menu Pricing'!$O$7:$O$56,$O2078),""))))</f>
        <v/>
      </c>
      <c r="I2078" s="71">
        <f>IF($N2078&lt;&gt;"OK","",$D2078*$H2078)</f>
        <v/>
      </c>
      <c r="J2078" s="71">
        <f>IF($N2078&lt;&gt;"OK","",N(INDEX('Menu Pricing'!$F$7:$F$56,$O2078))+N(INDEX('Menu Pricing'!$G$7:$G$56,$O2078))+N(INDEX('Menu Pricing'!$J$7:$J$56,$O2078)))</f>
        <v/>
      </c>
      <c r="K2078" s="71">
        <f>IF($N2078&lt;&gt;"OK","",$D2078*$J2078)</f>
        <v/>
      </c>
      <c r="L2078" s="71">
        <f>IF($N2078&lt;&gt;"OK","",$I2078-$K2078)</f>
        <v/>
      </c>
      <c r="M2078" s="71">
        <f>IF($N2078&lt;&gt;"OK","",$D2078*N(INDEX('Menu Pricing'!$F$7:$F$56,$O2078)))</f>
        <v/>
      </c>
      <c r="N2078" s="80">
        <f>IF(AND($B2078="",$C2078="",$D2078=""),"",IF(NOT(ISNUMBER($B2078)),"Enter a valid date",IF($C2078="","Pick a menu item",IF($O2078="","Item not on Menu Pricing",IF(N($D2078)&lt;=0,"Qty must be above 0",IF($H2078="","No price on menu","OK"))))))</f>
        <v/>
      </c>
      <c r="O2078" s="13">
        <f>IF($C2078="","",IFERROR(MATCH($C2078,'Menu Pricing'!$B$7:$B$56,0),""))</f>
        <v/>
      </c>
    </row>
    <row r="2079" ht="17" customHeight="1">
      <c r="B2079" s="66" t="n"/>
      <c r="C2079" s="60" t="n"/>
      <c r="D2079" s="86" t="n"/>
      <c r="E2079" s="63" t="n"/>
      <c r="F2079" s="60" t="n"/>
      <c r="G2079" s="60" t="n"/>
      <c r="H2079" s="71">
        <f>IF(OR($C2079="",$D2079=""),"",IF(ISNUMBER($E2079),$E2079,IF($O2079="","",IF(N(INDEX('Menu Pricing'!$O$7:$O$56,$O2079))&gt;0,INDEX('Menu Pricing'!$O$7:$O$56,$O2079),""))))</f>
        <v/>
      </c>
      <c r="I2079" s="71">
        <f>IF($N2079&lt;&gt;"OK","",$D2079*$H2079)</f>
        <v/>
      </c>
      <c r="J2079" s="71">
        <f>IF($N2079&lt;&gt;"OK","",N(INDEX('Menu Pricing'!$F$7:$F$56,$O2079))+N(INDEX('Menu Pricing'!$G$7:$G$56,$O2079))+N(INDEX('Menu Pricing'!$J$7:$J$56,$O2079)))</f>
        <v/>
      </c>
      <c r="K2079" s="71">
        <f>IF($N2079&lt;&gt;"OK","",$D2079*$J2079)</f>
        <v/>
      </c>
      <c r="L2079" s="71">
        <f>IF($N2079&lt;&gt;"OK","",$I2079-$K2079)</f>
        <v/>
      </c>
      <c r="M2079" s="71">
        <f>IF($N2079&lt;&gt;"OK","",$D2079*N(INDEX('Menu Pricing'!$F$7:$F$56,$O2079)))</f>
        <v/>
      </c>
      <c r="N2079" s="80">
        <f>IF(AND($B2079="",$C2079="",$D2079=""),"",IF(NOT(ISNUMBER($B2079)),"Enter a valid date",IF($C2079="","Pick a menu item",IF($O2079="","Item not on Menu Pricing",IF(N($D2079)&lt;=0,"Qty must be above 0",IF($H2079="","No price on menu","OK"))))))</f>
        <v/>
      </c>
      <c r="O2079" s="13">
        <f>IF($C2079="","",IFERROR(MATCH($C2079,'Menu Pricing'!$B$7:$B$56,0),""))</f>
        <v/>
      </c>
    </row>
    <row r="2080" ht="17" customHeight="1">
      <c r="B2080" s="66" t="n"/>
      <c r="C2080" s="60" t="n"/>
      <c r="D2080" s="86" t="n"/>
      <c r="E2080" s="63" t="n"/>
      <c r="F2080" s="60" t="n"/>
      <c r="G2080" s="60" t="n"/>
      <c r="H2080" s="71">
        <f>IF(OR($C2080="",$D2080=""),"",IF(ISNUMBER($E2080),$E2080,IF($O2080="","",IF(N(INDEX('Menu Pricing'!$O$7:$O$56,$O2080))&gt;0,INDEX('Menu Pricing'!$O$7:$O$56,$O2080),""))))</f>
        <v/>
      </c>
      <c r="I2080" s="71">
        <f>IF($N2080&lt;&gt;"OK","",$D2080*$H2080)</f>
        <v/>
      </c>
      <c r="J2080" s="71">
        <f>IF($N2080&lt;&gt;"OK","",N(INDEX('Menu Pricing'!$F$7:$F$56,$O2080))+N(INDEX('Menu Pricing'!$G$7:$G$56,$O2080))+N(INDEX('Menu Pricing'!$J$7:$J$56,$O2080)))</f>
        <v/>
      </c>
      <c r="K2080" s="71">
        <f>IF($N2080&lt;&gt;"OK","",$D2080*$J2080)</f>
        <v/>
      </c>
      <c r="L2080" s="71">
        <f>IF($N2080&lt;&gt;"OK","",$I2080-$K2080)</f>
        <v/>
      </c>
      <c r="M2080" s="71">
        <f>IF($N2080&lt;&gt;"OK","",$D2080*N(INDEX('Menu Pricing'!$F$7:$F$56,$O2080)))</f>
        <v/>
      </c>
      <c r="N2080" s="80">
        <f>IF(AND($B2080="",$C2080="",$D2080=""),"",IF(NOT(ISNUMBER($B2080)),"Enter a valid date",IF($C2080="","Pick a menu item",IF($O2080="","Item not on Menu Pricing",IF(N($D2080)&lt;=0,"Qty must be above 0",IF($H2080="","No price on menu","OK"))))))</f>
        <v/>
      </c>
      <c r="O2080" s="13">
        <f>IF($C2080="","",IFERROR(MATCH($C2080,'Menu Pricing'!$B$7:$B$56,0),""))</f>
        <v/>
      </c>
    </row>
    <row r="2081" ht="17" customHeight="1">
      <c r="B2081" s="66" t="n"/>
      <c r="C2081" s="60" t="n"/>
      <c r="D2081" s="86" t="n"/>
      <c r="E2081" s="63" t="n"/>
      <c r="F2081" s="60" t="n"/>
      <c r="G2081" s="60" t="n"/>
      <c r="H2081" s="71">
        <f>IF(OR($C2081="",$D2081=""),"",IF(ISNUMBER($E2081),$E2081,IF($O2081="","",IF(N(INDEX('Menu Pricing'!$O$7:$O$56,$O2081))&gt;0,INDEX('Menu Pricing'!$O$7:$O$56,$O2081),""))))</f>
        <v/>
      </c>
      <c r="I2081" s="71">
        <f>IF($N2081&lt;&gt;"OK","",$D2081*$H2081)</f>
        <v/>
      </c>
      <c r="J2081" s="71">
        <f>IF($N2081&lt;&gt;"OK","",N(INDEX('Menu Pricing'!$F$7:$F$56,$O2081))+N(INDEX('Menu Pricing'!$G$7:$G$56,$O2081))+N(INDEX('Menu Pricing'!$J$7:$J$56,$O2081)))</f>
        <v/>
      </c>
      <c r="K2081" s="71">
        <f>IF($N2081&lt;&gt;"OK","",$D2081*$J2081)</f>
        <v/>
      </c>
      <c r="L2081" s="71">
        <f>IF($N2081&lt;&gt;"OK","",$I2081-$K2081)</f>
        <v/>
      </c>
      <c r="M2081" s="71">
        <f>IF($N2081&lt;&gt;"OK","",$D2081*N(INDEX('Menu Pricing'!$F$7:$F$56,$O2081)))</f>
        <v/>
      </c>
      <c r="N2081" s="80">
        <f>IF(AND($B2081="",$C2081="",$D2081=""),"",IF(NOT(ISNUMBER($B2081)),"Enter a valid date",IF($C2081="","Pick a menu item",IF($O2081="","Item not on Menu Pricing",IF(N($D2081)&lt;=0,"Qty must be above 0",IF($H2081="","No price on menu","OK"))))))</f>
        <v/>
      </c>
      <c r="O2081" s="13">
        <f>IF($C2081="","",IFERROR(MATCH($C2081,'Menu Pricing'!$B$7:$B$56,0),""))</f>
        <v/>
      </c>
    </row>
    <row r="2082" ht="17" customHeight="1">
      <c r="B2082" s="66" t="n"/>
      <c r="C2082" s="60" t="n"/>
      <c r="D2082" s="86" t="n"/>
      <c r="E2082" s="63" t="n"/>
      <c r="F2082" s="60" t="n"/>
      <c r="G2082" s="60" t="n"/>
      <c r="H2082" s="71">
        <f>IF(OR($C2082="",$D2082=""),"",IF(ISNUMBER($E2082),$E2082,IF($O2082="","",IF(N(INDEX('Menu Pricing'!$O$7:$O$56,$O2082))&gt;0,INDEX('Menu Pricing'!$O$7:$O$56,$O2082),""))))</f>
        <v/>
      </c>
      <c r="I2082" s="71">
        <f>IF($N2082&lt;&gt;"OK","",$D2082*$H2082)</f>
        <v/>
      </c>
      <c r="J2082" s="71">
        <f>IF($N2082&lt;&gt;"OK","",N(INDEX('Menu Pricing'!$F$7:$F$56,$O2082))+N(INDEX('Menu Pricing'!$G$7:$G$56,$O2082))+N(INDEX('Menu Pricing'!$J$7:$J$56,$O2082)))</f>
        <v/>
      </c>
      <c r="K2082" s="71">
        <f>IF($N2082&lt;&gt;"OK","",$D2082*$J2082)</f>
        <v/>
      </c>
      <c r="L2082" s="71">
        <f>IF($N2082&lt;&gt;"OK","",$I2082-$K2082)</f>
        <v/>
      </c>
      <c r="M2082" s="71">
        <f>IF($N2082&lt;&gt;"OK","",$D2082*N(INDEX('Menu Pricing'!$F$7:$F$56,$O2082)))</f>
        <v/>
      </c>
      <c r="N2082" s="80">
        <f>IF(AND($B2082="",$C2082="",$D2082=""),"",IF(NOT(ISNUMBER($B2082)),"Enter a valid date",IF($C2082="","Pick a menu item",IF($O2082="","Item not on Menu Pricing",IF(N($D2082)&lt;=0,"Qty must be above 0",IF($H2082="","No price on menu","OK"))))))</f>
        <v/>
      </c>
      <c r="O2082" s="13">
        <f>IF($C2082="","",IFERROR(MATCH($C2082,'Menu Pricing'!$B$7:$B$56,0),""))</f>
        <v/>
      </c>
    </row>
    <row r="2083" ht="17" customHeight="1">
      <c r="B2083" s="66" t="n"/>
      <c r="C2083" s="60" t="n"/>
      <c r="D2083" s="86" t="n"/>
      <c r="E2083" s="63" t="n"/>
      <c r="F2083" s="60" t="n"/>
      <c r="G2083" s="60" t="n"/>
      <c r="H2083" s="71">
        <f>IF(OR($C2083="",$D2083=""),"",IF(ISNUMBER($E2083),$E2083,IF($O2083="","",IF(N(INDEX('Menu Pricing'!$O$7:$O$56,$O2083))&gt;0,INDEX('Menu Pricing'!$O$7:$O$56,$O2083),""))))</f>
        <v/>
      </c>
      <c r="I2083" s="71">
        <f>IF($N2083&lt;&gt;"OK","",$D2083*$H2083)</f>
        <v/>
      </c>
      <c r="J2083" s="71">
        <f>IF($N2083&lt;&gt;"OK","",N(INDEX('Menu Pricing'!$F$7:$F$56,$O2083))+N(INDEX('Menu Pricing'!$G$7:$G$56,$O2083))+N(INDEX('Menu Pricing'!$J$7:$J$56,$O2083)))</f>
        <v/>
      </c>
      <c r="K2083" s="71">
        <f>IF($N2083&lt;&gt;"OK","",$D2083*$J2083)</f>
        <v/>
      </c>
      <c r="L2083" s="71">
        <f>IF($N2083&lt;&gt;"OK","",$I2083-$K2083)</f>
        <v/>
      </c>
      <c r="M2083" s="71">
        <f>IF($N2083&lt;&gt;"OK","",$D2083*N(INDEX('Menu Pricing'!$F$7:$F$56,$O2083)))</f>
        <v/>
      </c>
      <c r="N2083" s="80">
        <f>IF(AND($B2083="",$C2083="",$D2083=""),"",IF(NOT(ISNUMBER($B2083)),"Enter a valid date",IF($C2083="","Pick a menu item",IF($O2083="","Item not on Menu Pricing",IF(N($D2083)&lt;=0,"Qty must be above 0",IF($H2083="","No price on menu","OK"))))))</f>
        <v/>
      </c>
      <c r="O2083" s="13">
        <f>IF($C2083="","",IFERROR(MATCH($C2083,'Menu Pricing'!$B$7:$B$56,0),""))</f>
        <v/>
      </c>
    </row>
    <row r="2084" ht="17" customHeight="1">
      <c r="B2084" s="66" t="n"/>
      <c r="C2084" s="60" t="n"/>
      <c r="D2084" s="86" t="n"/>
      <c r="E2084" s="63" t="n"/>
      <c r="F2084" s="60" t="n"/>
      <c r="G2084" s="60" t="n"/>
      <c r="H2084" s="71">
        <f>IF(OR($C2084="",$D2084=""),"",IF(ISNUMBER($E2084),$E2084,IF($O2084="","",IF(N(INDEX('Menu Pricing'!$O$7:$O$56,$O2084))&gt;0,INDEX('Menu Pricing'!$O$7:$O$56,$O2084),""))))</f>
        <v/>
      </c>
      <c r="I2084" s="71">
        <f>IF($N2084&lt;&gt;"OK","",$D2084*$H2084)</f>
        <v/>
      </c>
      <c r="J2084" s="71">
        <f>IF($N2084&lt;&gt;"OK","",N(INDEX('Menu Pricing'!$F$7:$F$56,$O2084))+N(INDEX('Menu Pricing'!$G$7:$G$56,$O2084))+N(INDEX('Menu Pricing'!$J$7:$J$56,$O2084)))</f>
        <v/>
      </c>
      <c r="K2084" s="71">
        <f>IF($N2084&lt;&gt;"OK","",$D2084*$J2084)</f>
        <v/>
      </c>
      <c r="L2084" s="71">
        <f>IF($N2084&lt;&gt;"OK","",$I2084-$K2084)</f>
        <v/>
      </c>
      <c r="M2084" s="71">
        <f>IF($N2084&lt;&gt;"OK","",$D2084*N(INDEX('Menu Pricing'!$F$7:$F$56,$O2084)))</f>
        <v/>
      </c>
      <c r="N2084" s="80">
        <f>IF(AND($B2084="",$C2084="",$D2084=""),"",IF(NOT(ISNUMBER($B2084)),"Enter a valid date",IF($C2084="","Pick a menu item",IF($O2084="","Item not on Menu Pricing",IF(N($D2084)&lt;=0,"Qty must be above 0",IF($H2084="","No price on menu","OK"))))))</f>
        <v/>
      </c>
      <c r="O2084" s="13">
        <f>IF($C2084="","",IFERROR(MATCH($C2084,'Menu Pricing'!$B$7:$B$56,0),""))</f>
        <v/>
      </c>
    </row>
    <row r="2085" ht="17" customHeight="1">
      <c r="B2085" s="66" t="n"/>
      <c r="C2085" s="60" t="n"/>
      <c r="D2085" s="86" t="n"/>
      <c r="E2085" s="63" t="n"/>
      <c r="F2085" s="60" t="n"/>
      <c r="G2085" s="60" t="n"/>
      <c r="H2085" s="71">
        <f>IF(OR($C2085="",$D2085=""),"",IF(ISNUMBER($E2085),$E2085,IF($O2085="","",IF(N(INDEX('Menu Pricing'!$O$7:$O$56,$O2085))&gt;0,INDEX('Menu Pricing'!$O$7:$O$56,$O2085),""))))</f>
        <v/>
      </c>
      <c r="I2085" s="71">
        <f>IF($N2085&lt;&gt;"OK","",$D2085*$H2085)</f>
        <v/>
      </c>
      <c r="J2085" s="71">
        <f>IF($N2085&lt;&gt;"OK","",N(INDEX('Menu Pricing'!$F$7:$F$56,$O2085))+N(INDEX('Menu Pricing'!$G$7:$G$56,$O2085))+N(INDEX('Menu Pricing'!$J$7:$J$56,$O2085)))</f>
        <v/>
      </c>
      <c r="K2085" s="71">
        <f>IF($N2085&lt;&gt;"OK","",$D2085*$J2085)</f>
        <v/>
      </c>
      <c r="L2085" s="71">
        <f>IF($N2085&lt;&gt;"OK","",$I2085-$K2085)</f>
        <v/>
      </c>
      <c r="M2085" s="71">
        <f>IF($N2085&lt;&gt;"OK","",$D2085*N(INDEX('Menu Pricing'!$F$7:$F$56,$O2085)))</f>
        <v/>
      </c>
      <c r="N2085" s="80">
        <f>IF(AND($B2085="",$C2085="",$D2085=""),"",IF(NOT(ISNUMBER($B2085)),"Enter a valid date",IF($C2085="","Pick a menu item",IF($O2085="","Item not on Menu Pricing",IF(N($D2085)&lt;=0,"Qty must be above 0",IF($H2085="","No price on menu","OK"))))))</f>
        <v/>
      </c>
      <c r="O2085" s="13">
        <f>IF($C2085="","",IFERROR(MATCH($C2085,'Menu Pricing'!$B$7:$B$56,0),""))</f>
        <v/>
      </c>
    </row>
    <row r="2086" ht="17" customHeight="1">
      <c r="B2086" s="66" t="n"/>
      <c r="C2086" s="60" t="n"/>
      <c r="D2086" s="86" t="n"/>
      <c r="E2086" s="63" t="n"/>
      <c r="F2086" s="60" t="n"/>
      <c r="G2086" s="60" t="n"/>
      <c r="H2086" s="71">
        <f>IF(OR($C2086="",$D2086=""),"",IF(ISNUMBER($E2086),$E2086,IF($O2086="","",IF(N(INDEX('Menu Pricing'!$O$7:$O$56,$O2086))&gt;0,INDEX('Menu Pricing'!$O$7:$O$56,$O2086),""))))</f>
        <v/>
      </c>
      <c r="I2086" s="71">
        <f>IF($N2086&lt;&gt;"OK","",$D2086*$H2086)</f>
        <v/>
      </c>
      <c r="J2086" s="71">
        <f>IF($N2086&lt;&gt;"OK","",N(INDEX('Menu Pricing'!$F$7:$F$56,$O2086))+N(INDEX('Menu Pricing'!$G$7:$G$56,$O2086))+N(INDEX('Menu Pricing'!$J$7:$J$56,$O2086)))</f>
        <v/>
      </c>
      <c r="K2086" s="71">
        <f>IF($N2086&lt;&gt;"OK","",$D2086*$J2086)</f>
        <v/>
      </c>
      <c r="L2086" s="71">
        <f>IF($N2086&lt;&gt;"OK","",$I2086-$K2086)</f>
        <v/>
      </c>
      <c r="M2086" s="71">
        <f>IF($N2086&lt;&gt;"OK","",$D2086*N(INDEX('Menu Pricing'!$F$7:$F$56,$O2086)))</f>
        <v/>
      </c>
      <c r="N2086" s="80">
        <f>IF(AND($B2086="",$C2086="",$D2086=""),"",IF(NOT(ISNUMBER($B2086)),"Enter a valid date",IF($C2086="","Pick a menu item",IF($O2086="","Item not on Menu Pricing",IF(N($D2086)&lt;=0,"Qty must be above 0",IF($H2086="","No price on menu","OK"))))))</f>
        <v/>
      </c>
      <c r="O2086" s="13">
        <f>IF($C2086="","",IFERROR(MATCH($C2086,'Menu Pricing'!$B$7:$B$56,0),""))</f>
        <v/>
      </c>
    </row>
    <row r="2087" ht="17" customHeight="1">
      <c r="B2087" s="66" t="n"/>
      <c r="C2087" s="60" t="n"/>
      <c r="D2087" s="86" t="n"/>
      <c r="E2087" s="63" t="n"/>
      <c r="F2087" s="60" t="n"/>
      <c r="G2087" s="60" t="n"/>
      <c r="H2087" s="71">
        <f>IF(OR($C2087="",$D2087=""),"",IF(ISNUMBER($E2087),$E2087,IF($O2087="","",IF(N(INDEX('Menu Pricing'!$O$7:$O$56,$O2087))&gt;0,INDEX('Menu Pricing'!$O$7:$O$56,$O2087),""))))</f>
        <v/>
      </c>
      <c r="I2087" s="71">
        <f>IF($N2087&lt;&gt;"OK","",$D2087*$H2087)</f>
        <v/>
      </c>
      <c r="J2087" s="71">
        <f>IF($N2087&lt;&gt;"OK","",N(INDEX('Menu Pricing'!$F$7:$F$56,$O2087))+N(INDEX('Menu Pricing'!$G$7:$G$56,$O2087))+N(INDEX('Menu Pricing'!$J$7:$J$56,$O2087)))</f>
        <v/>
      </c>
      <c r="K2087" s="71">
        <f>IF($N2087&lt;&gt;"OK","",$D2087*$J2087)</f>
        <v/>
      </c>
      <c r="L2087" s="71">
        <f>IF($N2087&lt;&gt;"OK","",$I2087-$K2087)</f>
        <v/>
      </c>
      <c r="M2087" s="71">
        <f>IF($N2087&lt;&gt;"OK","",$D2087*N(INDEX('Menu Pricing'!$F$7:$F$56,$O2087)))</f>
        <v/>
      </c>
      <c r="N2087" s="80">
        <f>IF(AND($B2087="",$C2087="",$D2087=""),"",IF(NOT(ISNUMBER($B2087)),"Enter a valid date",IF($C2087="","Pick a menu item",IF($O2087="","Item not on Menu Pricing",IF(N($D2087)&lt;=0,"Qty must be above 0",IF($H2087="","No price on menu","OK"))))))</f>
        <v/>
      </c>
      <c r="O2087" s="13">
        <f>IF($C2087="","",IFERROR(MATCH($C2087,'Menu Pricing'!$B$7:$B$56,0),""))</f>
        <v/>
      </c>
    </row>
    <row r="2088" ht="17" customHeight="1">
      <c r="B2088" s="66" t="n"/>
      <c r="C2088" s="60" t="n"/>
      <c r="D2088" s="86" t="n"/>
      <c r="E2088" s="63" t="n"/>
      <c r="F2088" s="60" t="n"/>
      <c r="G2088" s="60" t="n"/>
      <c r="H2088" s="71">
        <f>IF(OR($C2088="",$D2088=""),"",IF(ISNUMBER($E2088),$E2088,IF($O2088="","",IF(N(INDEX('Menu Pricing'!$O$7:$O$56,$O2088))&gt;0,INDEX('Menu Pricing'!$O$7:$O$56,$O2088),""))))</f>
        <v/>
      </c>
      <c r="I2088" s="71">
        <f>IF($N2088&lt;&gt;"OK","",$D2088*$H2088)</f>
        <v/>
      </c>
      <c r="J2088" s="71">
        <f>IF($N2088&lt;&gt;"OK","",N(INDEX('Menu Pricing'!$F$7:$F$56,$O2088))+N(INDEX('Menu Pricing'!$G$7:$G$56,$O2088))+N(INDEX('Menu Pricing'!$J$7:$J$56,$O2088)))</f>
        <v/>
      </c>
      <c r="K2088" s="71">
        <f>IF($N2088&lt;&gt;"OK","",$D2088*$J2088)</f>
        <v/>
      </c>
      <c r="L2088" s="71">
        <f>IF($N2088&lt;&gt;"OK","",$I2088-$K2088)</f>
        <v/>
      </c>
      <c r="M2088" s="71">
        <f>IF($N2088&lt;&gt;"OK","",$D2088*N(INDEX('Menu Pricing'!$F$7:$F$56,$O2088)))</f>
        <v/>
      </c>
      <c r="N2088" s="80">
        <f>IF(AND($B2088="",$C2088="",$D2088=""),"",IF(NOT(ISNUMBER($B2088)),"Enter a valid date",IF($C2088="","Pick a menu item",IF($O2088="","Item not on Menu Pricing",IF(N($D2088)&lt;=0,"Qty must be above 0",IF($H2088="","No price on menu","OK"))))))</f>
        <v/>
      </c>
      <c r="O2088" s="13">
        <f>IF($C2088="","",IFERROR(MATCH($C2088,'Menu Pricing'!$B$7:$B$56,0),""))</f>
        <v/>
      </c>
    </row>
    <row r="2089" ht="17" customHeight="1">
      <c r="B2089" s="66" t="n"/>
      <c r="C2089" s="60" t="n"/>
      <c r="D2089" s="86" t="n"/>
      <c r="E2089" s="63" t="n"/>
      <c r="F2089" s="60" t="n"/>
      <c r="G2089" s="60" t="n"/>
      <c r="H2089" s="71">
        <f>IF(OR($C2089="",$D2089=""),"",IF(ISNUMBER($E2089),$E2089,IF($O2089="","",IF(N(INDEX('Menu Pricing'!$O$7:$O$56,$O2089))&gt;0,INDEX('Menu Pricing'!$O$7:$O$56,$O2089),""))))</f>
        <v/>
      </c>
      <c r="I2089" s="71">
        <f>IF($N2089&lt;&gt;"OK","",$D2089*$H2089)</f>
        <v/>
      </c>
      <c r="J2089" s="71">
        <f>IF($N2089&lt;&gt;"OK","",N(INDEX('Menu Pricing'!$F$7:$F$56,$O2089))+N(INDEX('Menu Pricing'!$G$7:$G$56,$O2089))+N(INDEX('Menu Pricing'!$J$7:$J$56,$O2089)))</f>
        <v/>
      </c>
      <c r="K2089" s="71">
        <f>IF($N2089&lt;&gt;"OK","",$D2089*$J2089)</f>
        <v/>
      </c>
      <c r="L2089" s="71">
        <f>IF($N2089&lt;&gt;"OK","",$I2089-$K2089)</f>
        <v/>
      </c>
      <c r="M2089" s="71">
        <f>IF($N2089&lt;&gt;"OK","",$D2089*N(INDEX('Menu Pricing'!$F$7:$F$56,$O2089)))</f>
        <v/>
      </c>
      <c r="N2089" s="80">
        <f>IF(AND($B2089="",$C2089="",$D2089=""),"",IF(NOT(ISNUMBER($B2089)),"Enter a valid date",IF($C2089="","Pick a menu item",IF($O2089="","Item not on Menu Pricing",IF(N($D2089)&lt;=0,"Qty must be above 0",IF($H2089="","No price on menu","OK"))))))</f>
        <v/>
      </c>
      <c r="O2089" s="13">
        <f>IF($C2089="","",IFERROR(MATCH($C2089,'Menu Pricing'!$B$7:$B$56,0),""))</f>
        <v/>
      </c>
    </row>
    <row r="2090" ht="17" customHeight="1">
      <c r="B2090" s="66" t="n"/>
      <c r="C2090" s="60" t="n"/>
      <c r="D2090" s="86" t="n"/>
      <c r="E2090" s="63" t="n"/>
      <c r="F2090" s="60" t="n"/>
      <c r="G2090" s="60" t="n"/>
      <c r="H2090" s="71">
        <f>IF(OR($C2090="",$D2090=""),"",IF(ISNUMBER($E2090),$E2090,IF($O2090="","",IF(N(INDEX('Menu Pricing'!$O$7:$O$56,$O2090))&gt;0,INDEX('Menu Pricing'!$O$7:$O$56,$O2090),""))))</f>
        <v/>
      </c>
      <c r="I2090" s="71">
        <f>IF($N2090&lt;&gt;"OK","",$D2090*$H2090)</f>
        <v/>
      </c>
      <c r="J2090" s="71">
        <f>IF($N2090&lt;&gt;"OK","",N(INDEX('Menu Pricing'!$F$7:$F$56,$O2090))+N(INDEX('Menu Pricing'!$G$7:$G$56,$O2090))+N(INDEX('Menu Pricing'!$J$7:$J$56,$O2090)))</f>
        <v/>
      </c>
      <c r="K2090" s="71">
        <f>IF($N2090&lt;&gt;"OK","",$D2090*$J2090)</f>
        <v/>
      </c>
      <c r="L2090" s="71">
        <f>IF($N2090&lt;&gt;"OK","",$I2090-$K2090)</f>
        <v/>
      </c>
      <c r="M2090" s="71">
        <f>IF($N2090&lt;&gt;"OK","",$D2090*N(INDEX('Menu Pricing'!$F$7:$F$56,$O2090)))</f>
        <v/>
      </c>
      <c r="N2090" s="80">
        <f>IF(AND($B2090="",$C2090="",$D2090=""),"",IF(NOT(ISNUMBER($B2090)),"Enter a valid date",IF($C2090="","Pick a menu item",IF($O2090="","Item not on Menu Pricing",IF(N($D2090)&lt;=0,"Qty must be above 0",IF($H2090="","No price on menu","OK"))))))</f>
        <v/>
      </c>
      <c r="O2090" s="13">
        <f>IF($C2090="","",IFERROR(MATCH($C2090,'Menu Pricing'!$B$7:$B$56,0),""))</f>
        <v/>
      </c>
    </row>
    <row r="2091" ht="17" customHeight="1">
      <c r="B2091" s="66" t="n"/>
      <c r="C2091" s="60" t="n"/>
      <c r="D2091" s="86" t="n"/>
      <c r="E2091" s="63" t="n"/>
      <c r="F2091" s="60" t="n"/>
      <c r="G2091" s="60" t="n"/>
      <c r="H2091" s="71">
        <f>IF(OR($C2091="",$D2091=""),"",IF(ISNUMBER($E2091),$E2091,IF($O2091="","",IF(N(INDEX('Menu Pricing'!$O$7:$O$56,$O2091))&gt;0,INDEX('Menu Pricing'!$O$7:$O$56,$O2091),""))))</f>
        <v/>
      </c>
      <c r="I2091" s="71">
        <f>IF($N2091&lt;&gt;"OK","",$D2091*$H2091)</f>
        <v/>
      </c>
      <c r="J2091" s="71">
        <f>IF($N2091&lt;&gt;"OK","",N(INDEX('Menu Pricing'!$F$7:$F$56,$O2091))+N(INDEX('Menu Pricing'!$G$7:$G$56,$O2091))+N(INDEX('Menu Pricing'!$J$7:$J$56,$O2091)))</f>
        <v/>
      </c>
      <c r="K2091" s="71">
        <f>IF($N2091&lt;&gt;"OK","",$D2091*$J2091)</f>
        <v/>
      </c>
      <c r="L2091" s="71">
        <f>IF($N2091&lt;&gt;"OK","",$I2091-$K2091)</f>
        <v/>
      </c>
      <c r="M2091" s="71">
        <f>IF($N2091&lt;&gt;"OK","",$D2091*N(INDEX('Menu Pricing'!$F$7:$F$56,$O2091)))</f>
        <v/>
      </c>
      <c r="N2091" s="80">
        <f>IF(AND($B2091="",$C2091="",$D2091=""),"",IF(NOT(ISNUMBER($B2091)),"Enter a valid date",IF($C2091="","Pick a menu item",IF($O2091="","Item not on Menu Pricing",IF(N($D2091)&lt;=0,"Qty must be above 0",IF($H2091="","No price on menu","OK"))))))</f>
        <v/>
      </c>
      <c r="O2091" s="13">
        <f>IF($C2091="","",IFERROR(MATCH($C2091,'Menu Pricing'!$B$7:$B$56,0),""))</f>
        <v/>
      </c>
    </row>
    <row r="2092" ht="17" customHeight="1">
      <c r="B2092" s="66" t="n"/>
      <c r="C2092" s="60" t="n"/>
      <c r="D2092" s="86" t="n"/>
      <c r="E2092" s="63" t="n"/>
      <c r="F2092" s="60" t="n"/>
      <c r="G2092" s="60" t="n"/>
      <c r="H2092" s="71">
        <f>IF(OR($C2092="",$D2092=""),"",IF(ISNUMBER($E2092),$E2092,IF($O2092="","",IF(N(INDEX('Menu Pricing'!$O$7:$O$56,$O2092))&gt;0,INDEX('Menu Pricing'!$O$7:$O$56,$O2092),""))))</f>
        <v/>
      </c>
      <c r="I2092" s="71">
        <f>IF($N2092&lt;&gt;"OK","",$D2092*$H2092)</f>
        <v/>
      </c>
      <c r="J2092" s="71">
        <f>IF($N2092&lt;&gt;"OK","",N(INDEX('Menu Pricing'!$F$7:$F$56,$O2092))+N(INDEX('Menu Pricing'!$G$7:$G$56,$O2092))+N(INDEX('Menu Pricing'!$J$7:$J$56,$O2092)))</f>
        <v/>
      </c>
      <c r="K2092" s="71">
        <f>IF($N2092&lt;&gt;"OK","",$D2092*$J2092)</f>
        <v/>
      </c>
      <c r="L2092" s="71">
        <f>IF($N2092&lt;&gt;"OK","",$I2092-$K2092)</f>
        <v/>
      </c>
      <c r="M2092" s="71">
        <f>IF($N2092&lt;&gt;"OK","",$D2092*N(INDEX('Menu Pricing'!$F$7:$F$56,$O2092)))</f>
        <v/>
      </c>
      <c r="N2092" s="80">
        <f>IF(AND($B2092="",$C2092="",$D2092=""),"",IF(NOT(ISNUMBER($B2092)),"Enter a valid date",IF($C2092="","Pick a menu item",IF($O2092="","Item not on Menu Pricing",IF(N($D2092)&lt;=0,"Qty must be above 0",IF($H2092="","No price on menu","OK"))))))</f>
        <v/>
      </c>
      <c r="O2092" s="13">
        <f>IF($C2092="","",IFERROR(MATCH($C2092,'Menu Pricing'!$B$7:$B$56,0),""))</f>
        <v/>
      </c>
    </row>
    <row r="2093" ht="17" customHeight="1">
      <c r="B2093" s="66" t="n"/>
      <c r="C2093" s="60" t="n"/>
      <c r="D2093" s="86" t="n"/>
      <c r="E2093" s="63" t="n"/>
      <c r="F2093" s="60" t="n"/>
      <c r="G2093" s="60" t="n"/>
      <c r="H2093" s="71">
        <f>IF(OR($C2093="",$D2093=""),"",IF(ISNUMBER($E2093),$E2093,IF($O2093="","",IF(N(INDEX('Menu Pricing'!$O$7:$O$56,$O2093))&gt;0,INDEX('Menu Pricing'!$O$7:$O$56,$O2093),""))))</f>
        <v/>
      </c>
      <c r="I2093" s="71">
        <f>IF($N2093&lt;&gt;"OK","",$D2093*$H2093)</f>
        <v/>
      </c>
      <c r="J2093" s="71">
        <f>IF($N2093&lt;&gt;"OK","",N(INDEX('Menu Pricing'!$F$7:$F$56,$O2093))+N(INDEX('Menu Pricing'!$G$7:$G$56,$O2093))+N(INDEX('Menu Pricing'!$J$7:$J$56,$O2093)))</f>
        <v/>
      </c>
      <c r="K2093" s="71">
        <f>IF($N2093&lt;&gt;"OK","",$D2093*$J2093)</f>
        <v/>
      </c>
      <c r="L2093" s="71">
        <f>IF($N2093&lt;&gt;"OK","",$I2093-$K2093)</f>
        <v/>
      </c>
      <c r="M2093" s="71">
        <f>IF($N2093&lt;&gt;"OK","",$D2093*N(INDEX('Menu Pricing'!$F$7:$F$56,$O2093)))</f>
        <v/>
      </c>
      <c r="N2093" s="80">
        <f>IF(AND($B2093="",$C2093="",$D2093=""),"",IF(NOT(ISNUMBER($B2093)),"Enter a valid date",IF($C2093="","Pick a menu item",IF($O2093="","Item not on Menu Pricing",IF(N($D2093)&lt;=0,"Qty must be above 0",IF($H2093="","No price on menu","OK"))))))</f>
        <v/>
      </c>
      <c r="O2093" s="13">
        <f>IF($C2093="","",IFERROR(MATCH($C2093,'Menu Pricing'!$B$7:$B$56,0),""))</f>
        <v/>
      </c>
    </row>
    <row r="2094" ht="17" customHeight="1">
      <c r="B2094" s="66" t="n"/>
      <c r="C2094" s="60" t="n"/>
      <c r="D2094" s="86" t="n"/>
      <c r="E2094" s="63" t="n"/>
      <c r="F2094" s="60" t="n"/>
      <c r="G2094" s="60" t="n"/>
      <c r="H2094" s="71">
        <f>IF(OR($C2094="",$D2094=""),"",IF(ISNUMBER($E2094),$E2094,IF($O2094="","",IF(N(INDEX('Menu Pricing'!$O$7:$O$56,$O2094))&gt;0,INDEX('Menu Pricing'!$O$7:$O$56,$O2094),""))))</f>
        <v/>
      </c>
      <c r="I2094" s="71">
        <f>IF($N2094&lt;&gt;"OK","",$D2094*$H2094)</f>
        <v/>
      </c>
      <c r="J2094" s="71">
        <f>IF($N2094&lt;&gt;"OK","",N(INDEX('Menu Pricing'!$F$7:$F$56,$O2094))+N(INDEX('Menu Pricing'!$G$7:$G$56,$O2094))+N(INDEX('Menu Pricing'!$J$7:$J$56,$O2094)))</f>
        <v/>
      </c>
      <c r="K2094" s="71">
        <f>IF($N2094&lt;&gt;"OK","",$D2094*$J2094)</f>
        <v/>
      </c>
      <c r="L2094" s="71">
        <f>IF($N2094&lt;&gt;"OK","",$I2094-$K2094)</f>
        <v/>
      </c>
      <c r="M2094" s="71">
        <f>IF($N2094&lt;&gt;"OK","",$D2094*N(INDEX('Menu Pricing'!$F$7:$F$56,$O2094)))</f>
        <v/>
      </c>
      <c r="N2094" s="80">
        <f>IF(AND($B2094="",$C2094="",$D2094=""),"",IF(NOT(ISNUMBER($B2094)),"Enter a valid date",IF($C2094="","Pick a menu item",IF($O2094="","Item not on Menu Pricing",IF(N($D2094)&lt;=0,"Qty must be above 0",IF($H2094="","No price on menu","OK"))))))</f>
        <v/>
      </c>
      <c r="O2094" s="13">
        <f>IF($C2094="","",IFERROR(MATCH($C2094,'Menu Pricing'!$B$7:$B$56,0),""))</f>
        <v/>
      </c>
    </row>
    <row r="2095" ht="17" customHeight="1">
      <c r="B2095" s="66" t="n"/>
      <c r="C2095" s="60" t="n"/>
      <c r="D2095" s="86" t="n"/>
      <c r="E2095" s="63" t="n"/>
      <c r="F2095" s="60" t="n"/>
      <c r="G2095" s="60" t="n"/>
      <c r="H2095" s="71">
        <f>IF(OR($C2095="",$D2095=""),"",IF(ISNUMBER($E2095),$E2095,IF($O2095="","",IF(N(INDEX('Menu Pricing'!$O$7:$O$56,$O2095))&gt;0,INDEX('Menu Pricing'!$O$7:$O$56,$O2095),""))))</f>
        <v/>
      </c>
      <c r="I2095" s="71">
        <f>IF($N2095&lt;&gt;"OK","",$D2095*$H2095)</f>
        <v/>
      </c>
      <c r="J2095" s="71">
        <f>IF($N2095&lt;&gt;"OK","",N(INDEX('Menu Pricing'!$F$7:$F$56,$O2095))+N(INDEX('Menu Pricing'!$G$7:$G$56,$O2095))+N(INDEX('Menu Pricing'!$J$7:$J$56,$O2095)))</f>
        <v/>
      </c>
      <c r="K2095" s="71">
        <f>IF($N2095&lt;&gt;"OK","",$D2095*$J2095)</f>
        <v/>
      </c>
      <c r="L2095" s="71">
        <f>IF($N2095&lt;&gt;"OK","",$I2095-$K2095)</f>
        <v/>
      </c>
      <c r="M2095" s="71">
        <f>IF($N2095&lt;&gt;"OK","",$D2095*N(INDEX('Menu Pricing'!$F$7:$F$56,$O2095)))</f>
        <v/>
      </c>
      <c r="N2095" s="80">
        <f>IF(AND($B2095="",$C2095="",$D2095=""),"",IF(NOT(ISNUMBER($B2095)),"Enter a valid date",IF($C2095="","Pick a menu item",IF($O2095="","Item not on Menu Pricing",IF(N($D2095)&lt;=0,"Qty must be above 0",IF($H2095="","No price on menu","OK"))))))</f>
        <v/>
      </c>
      <c r="O2095" s="13">
        <f>IF($C2095="","",IFERROR(MATCH($C2095,'Menu Pricing'!$B$7:$B$56,0),""))</f>
        <v/>
      </c>
    </row>
    <row r="2096" ht="17" customHeight="1">
      <c r="B2096" s="66" t="n"/>
      <c r="C2096" s="60" t="n"/>
      <c r="D2096" s="86" t="n"/>
      <c r="E2096" s="63" t="n"/>
      <c r="F2096" s="60" t="n"/>
      <c r="G2096" s="60" t="n"/>
      <c r="H2096" s="71">
        <f>IF(OR($C2096="",$D2096=""),"",IF(ISNUMBER($E2096),$E2096,IF($O2096="","",IF(N(INDEX('Menu Pricing'!$O$7:$O$56,$O2096))&gt;0,INDEX('Menu Pricing'!$O$7:$O$56,$O2096),""))))</f>
        <v/>
      </c>
      <c r="I2096" s="71">
        <f>IF($N2096&lt;&gt;"OK","",$D2096*$H2096)</f>
        <v/>
      </c>
      <c r="J2096" s="71">
        <f>IF($N2096&lt;&gt;"OK","",N(INDEX('Menu Pricing'!$F$7:$F$56,$O2096))+N(INDEX('Menu Pricing'!$G$7:$G$56,$O2096))+N(INDEX('Menu Pricing'!$J$7:$J$56,$O2096)))</f>
        <v/>
      </c>
      <c r="K2096" s="71">
        <f>IF($N2096&lt;&gt;"OK","",$D2096*$J2096)</f>
        <v/>
      </c>
      <c r="L2096" s="71">
        <f>IF($N2096&lt;&gt;"OK","",$I2096-$K2096)</f>
        <v/>
      </c>
      <c r="M2096" s="71">
        <f>IF($N2096&lt;&gt;"OK","",$D2096*N(INDEX('Menu Pricing'!$F$7:$F$56,$O2096)))</f>
        <v/>
      </c>
      <c r="N2096" s="80">
        <f>IF(AND($B2096="",$C2096="",$D2096=""),"",IF(NOT(ISNUMBER($B2096)),"Enter a valid date",IF($C2096="","Pick a menu item",IF($O2096="","Item not on Menu Pricing",IF(N($D2096)&lt;=0,"Qty must be above 0",IF($H2096="","No price on menu","OK"))))))</f>
        <v/>
      </c>
      <c r="O2096" s="13">
        <f>IF($C2096="","",IFERROR(MATCH($C2096,'Menu Pricing'!$B$7:$B$56,0),""))</f>
        <v/>
      </c>
    </row>
    <row r="2097" ht="17" customHeight="1">
      <c r="B2097" s="66" t="n"/>
      <c r="C2097" s="60" t="n"/>
      <c r="D2097" s="86" t="n"/>
      <c r="E2097" s="63" t="n"/>
      <c r="F2097" s="60" t="n"/>
      <c r="G2097" s="60" t="n"/>
      <c r="H2097" s="71">
        <f>IF(OR($C2097="",$D2097=""),"",IF(ISNUMBER($E2097),$E2097,IF($O2097="","",IF(N(INDEX('Menu Pricing'!$O$7:$O$56,$O2097))&gt;0,INDEX('Menu Pricing'!$O$7:$O$56,$O2097),""))))</f>
        <v/>
      </c>
      <c r="I2097" s="71">
        <f>IF($N2097&lt;&gt;"OK","",$D2097*$H2097)</f>
        <v/>
      </c>
      <c r="J2097" s="71">
        <f>IF($N2097&lt;&gt;"OK","",N(INDEX('Menu Pricing'!$F$7:$F$56,$O2097))+N(INDEX('Menu Pricing'!$G$7:$G$56,$O2097))+N(INDEX('Menu Pricing'!$J$7:$J$56,$O2097)))</f>
        <v/>
      </c>
      <c r="K2097" s="71">
        <f>IF($N2097&lt;&gt;"OK","",$D2097*$J2097)</f>
        <v/>
      </c>
      <c r="L2097" s="71">
        <f>IF($N2097&lt;&gt;"OK","",$I2097-$K2097)</f>
        <v/>
      </c>
      <c r="M2097" s="71">
        <f>IF($N2097&lt;&gt;"OK","",$D2097*N(INDEX('Menu Pricing'!$F$7:$F$56,$O2097)))</f>
        <v/>
      </c>
      <c r="N2097" s="80">
        <f>IF(AND($B2097="",$C2097="",$D2097=""),"",IF(NOT(ISNUMBER($B2097)),"Enter a valid date",IF($C2097="","Pick a menu item",IF($O2097="","Item not on Menu Pricing",IF(N($D2097)&lt;=0,"Qty must be above 0",IF($H2097="","No price on menu","OK"))))))</f>
        <v/>
      </c>
      <c r="O2097" s="13">
        <f>IF($C2097="","",IFERROR(MATCH($C2097,'Menu Pricing'!$B$7:$B$56,0),""))</f>
        <v/>
      </c>
    </row>
    <row r="2098" ht="17" customHeight="1">
      <c r="B2098" s="66" t="n"/>
      <c r="C2098" s="60" t="n"/>
      <c r="D2098" s="86" t="n"/>
      <c r="E2098" s="63" t="n"/>
      <c r="F2098" s="60" t="n"/>
      <c r="G2098" s="60" t="n"/>
      <c r="H2098" s="71">
        <f>IF(OR($C2098="",$D2098=""),"",IF(ISNUMBER($E2098),$E2098,IF($O2098="","",IF(N(INDEX('Menu Pricing'!$O$7:$O$56,$O2098))&gt;0,INDEX('Menu Pricing'!$O$7:$O$56,$O2098),""))))</f>
        <v/>
      </c>
      <c r="I2098" s="71">
        <f>IF($N2098&lt;&gt;"OK","",$D2098*$H2098)</f>
        <v/>
      </c>
      <c r="J2098" s="71">
        <f>IF($N2098&lt;&gt;"OK","",N(INDEX('Menu Pricing'!$F$7:$F$56,$O2098))+N(INDEX('Menu Pricing'!$G$7:$G$56,$O2098))+N(INDEX('Menu Pricing'!$J$7:$J$56,$O2098)))</f>
        <v/>
      </c>
      <c r="K2098" s="71">
        <f>IF($N2098&lt;&gt;"OK","",$D2098*$J2098)</f>
        <v/>
      </c>
      <c r="L2098" s="71">
        <f>IF($N2098&lt;&gt;"OK","",$I2098-$K2098)</f>
        <v/>
      </c>
      <c r="M2098" s="71">
        <f>IF($N2098&lt;&gt;"OK","",$D2098*N(INDEX('Menu Pricing'!$F$7:$F$56,$O2098)))</f>
        <v/>
      </c>
      <c r="N2098" s="80">
        <f>IF(AND($B2098="",$C2098="",$D2098=""),"",IF(NOT(ISNUMBER($B2098)),"Enter a valid date",IF($C2098="","Pick a menu item",IF($O2098="","Item not on Menu Pricing",IF(N($D2098)&lt;=0,"Qty must be above 0",IF($H2098="","No price on menu","OK"))))))</f>
        <v/>
      </c>
      <c r="O2098" s="13">
        <f>IF($C2098="","",IFERROR(MATCH($C2098,'Menu Pricing'!$B$7:$B$56,0),""))</f>
        <v/>
      </c>
    </row>
    <row r="2099" ht="17" customHeight="1">
      <c r="B2099" s="66" t="n"/>
      <c r="C2099" s="60" t="n"/>
      <c r="D2099" s="86" t="n"/>
      <c r="E2099" s="63" t="n"/>
      <c r="F2099" s="60" t="n"/>
      <c r="G2099" s="60" t="n"/>
      <c r="H2099" s="71">
        <f>IF(OR($C2099="",$D2099=""),"",IF(ISNUMBER($E2099),$E2099,IF($O2099="","",IF(N(INDEX('Menu Pricing'!$O$7:$O$56,$O2099))&gt;0,INDEX('Menu Pricing'!$O$7:$O$56,$O2099),""))))</f>
        <v/>
      </c>
      <c r="I2099" s="71">
        <f>IF($N2099&lt;&gt;"OK","",$D2099*$H2099)</f>
        <v/>
      </c>
      <c r="J2099" s="71">
        <f>IF($N2099&lt;&gt;"OK","",N(INDEX('Menu Pricing'!$F$7:$F$56,$O2099))+N(INDEX('Menu Pricing'!$G$7:$G$56,$O2099))+N(INDEX('Menu Pricing'!$J$7:$J$56,$O2099)))</f>
        <v/>
      </c>
      <c r="K2099" s="71">
        <f>IF($N2099&lt;&gt;"OK","",$D2099*$J2099)</f>
        <v/>
      </c>
      <c r="L2099" s="71">
        <f>IF($N2099&lt;&gt;"OK","",$I2099-$K2099)</f>
        <v/>
      </c>
      <c r="M2099" s="71">
        <f>IF($N2099&lt;&gt;"OK","",$D2099*N(INDEX('Menu Pricing'!$F$7:$F$56,$O2099)))</f>
        <v/>
      </c>
      <c r="N2099" s="80">
        <f>IF(AND($B2099="",$C2099="",$D2099=""),"",IF(NOT(ISNUMBER($B2099)),"Enter a valid date",IF($C2099="","Pick a menu item",IF($O2099="","Item not on Menu Pricing",IF(N($D2099)&lt;=0,"Qty must be above 0",IF($H2099="","No price on menu","OK"))))))</f>
        <v/>
      </c>
      <c r="O2099" s="13">
        <f>IF($C2099="","",IFERROR(MATCH($C2099,'Menu Pricing'!$B$7:$B$56,0),""))</f>
        <v/>
      </c>
    </row>
    <row r="2100" ht="17" customHeight="1">
      <c r="B2100" s="66" t="n"/>
      <c r="C2100" s="60" t="n"/>
      <c r="D2100" s="86" t="n"/>
      <c r="E2100" s="63" t="n"/>
      <c r="F2100" s="60" t="n"/>
      <c r="G2100" s="60" t="n"/>
      <c r="H2100" s="71">
        <f>IF(OR($C2100="",$D2100=""),"",IF(ISNUMBER($E2100),$E2100,IF($O2100="","",IF(N(INDEX('Menu Pricing'!$O$7:$O$56,$O2100))&gt;0,INDEX('Menu Pricing'!$O$7:$O$56,$O2100),""))))</f>
        <v/>
      </c>
      <c r="I2100" s="71">
        <f>IF($N2100&lt;&gt;"OK","",$D2100*$H2100)</f>
        <v/>
      </c>
      <c r="J2100" s="71">
        <f>IF($N2100&lt;&gt;"OK","",N(INDEX('Menu Pricing'!$F$7:$F$56,$O2100))+N(INDEX('Menu Pricing'!$G$7:$G$56,$O2100))+N(INDEX('Menu Pricing'!$J$7:$J$56,$O2100)))</f>
        <v/>
      </c>
      <c r="K2100" s="71">
        <f>IF($N2100&lt;&gt;"OK","",$D2100*$J2100)</f>
        <v/>
      </c>
      <c r="L2100" s="71">
        <f>IF($N2100&lt;&gt;"OK","",$I2100-$K2100)</f>
        <v/>
      </c>
      <c r="M2100" s="71">
        <f>IF($N2100&lt;&gt;"OK","",$D2100*N(INDEX('Menu Pricing'!$F$7:$F$56,$O2100)))</f>
        <v/>
      </c>
      <c r="N2100" s="80">
        <f>IF(AND($B2100="",$C2100="",$D2100=""),"",IF(NOT(ISNUMBER($B2100)),"Enter a valid date",IF($C2100="","Pick a menu item",IF($O2100="","Item not on Menu Pricing",IF(N($D2100)&lt;=0,"Qty must be above 0",IF($H2100="","No price on menu","OK"))))))</f>
        <v/>
      </c>
      <c r="O2100" s="13">
        <f>IF($C2100="","",IFERROR(MATCH($C2100,'Menu Pricing'!$B$7:$B$56,0),""))</f>
        <v/>
      </c>
    </row>
    <row r="2101" ht="17" customHeight="1">
      <c r="B2101" s="66" t="n"/>
      <c r="C2101" s="60" t="n"/>
      <c r="D2101" s="86" t="n"/>
      <c r="E2101" s="63" t="n"/>
      <c r="F2101" s="60" t="n"/>
      <c r="G2101" s="60" t="n"/>
      <c r="H2101" s="71">
        <f>IF(OR($C2101="",$D2101=""),"",IF(ISNUMBER($E2101),$E2101,IF($O2101="","",IF(N(INDEX('Menu Pricing'!$O$7:$O$56,$O2101))&gt;0,INDEX('Menu Pricing'!$O$7:$O$56,$O2101),""))))</f>
        <v/>
      </c>
      <c r="I2101" s="71">
        <f>IF($N2101&lt;&gt;"OK","",$D2101*$H2101)</f>
        <v/>
      </c>
      <c r="J2101" s="71">
        <f>IF($N2101&lt;&gt;"OK","",N(INDEX('Menu Pricing'!$F$7:$F$56,$O2101))+N(INDEX('Menu Pricing'!$G$7:$G$56,$O2101))+N(INDEX('Menu Pricing'!$J$7:$J$56,$O2101)))</f>
        <v/>
      </c>
      <c r="K2101" s="71">
        <f>IF($N2101&lt;&gt;"OK","",$D2101*$J2101)</f>
        <v/>
      </c>
      <c r="L2101" s="71">
        <f>IF($N2101&lt;&gt;"OK","",$I2101-$K2101)</f>
        <v/>
      </c>
      <c r="M2101" s="71">
        <f>IF($N2101&lt;&gt;"OK","",$D2101*N(INDEX('Menu Pricing'!$F$7:$F$56,$O2101)))</f>
        <v/>
      </c>
      <c r="N2101" s="80">
        <f>IF(AND($B2101="",$C2101="",$D2101=""),"",IF(NOT(ISNUMBER($B2101)),"Enter a valid date",IF($C2101="","Pick a menu item",IF($O2101="","Item not on Menu Pricing",IF(N($D2101)&lt;=0,"Qty must be above 0",IF($H2101="","No price on menu","OK"))))))</f>
        <v/>
      </c>
      <c r="O2101" s="13">
        <f>IF($C2101="","",IFERROR(MATCH($C2101,'Menu Pricing'!$B$7:$B$56,0),""))</f>
        <v/>
      </c>
    </row>
    <row r="2102" ht="17" customHeight="1">
      <c r="B2102" s="66" t="n"/>
      <c r="C2102" s="60" t="n"/>
      <c r="D2102" s="86" t="n"/>
      <c r="E2102" s="63" t="n"/>
      <c r="F2102" s="60" t="n"/>
      <c r="G2102" s="60" t="n"/>
      <c r="H2102" s="71">
        <f>IF(OR($C2102="",$D2102=""),"",IF(ISNUMBER($E2102),$E2102,IF($O2102="","",IF(N(INDEX('Menu Pricing'!$O$7:$O$56,$O2102))&gt;0,INDEX('Menu Pricing'!$O$7:$O$56,$O2102),""))))</f>
        <v/>
      </c>
      <c r="I2102" s="71">
        <f>IF($N2102&lt;&gt;"OK","",$D2102*$H2102)</f>
        <v/>
      </c>
      <c r="J2102" s="71">
        <f>IF($N2102&lt;&gt;"OK","",N(INDEX('Menu Pricing'!$F$7:$F$56,$O2102))+N(INDEX('Menu Pricing'!$G$7:$G$56,$O2102))+N(INDEX('Menu Pricing'!$J$7:$J$56,$O2102)))</f>
        <v/>
      </c>
      <c r="K2102" s="71">
        <f>IF($N2102&lt;&gt;"OK","",$D2102*$J2102)</f>
        <v/>
      </c>
      <c r="L2102" s="71">
        <f>IF($N2102&lt;&gt;"OK","",$I2102-$K2102)</f>
        <v/>
      </c>
      <c r="M2102" s="71">
        <f>IF($N2102&lt;&gt;"OK","",$D2102*N(INDEX('Menu Pricing'!$F$7:$F$56,$O2102)))</f>
        <v/>
      </c>
      <c r="N2102" s="80">
        <f>IF(AND($B2102="",$C2102="",$D2102=""),"",IF(NOT(ISNUMBER($B2102)),"Enter a valid date",IF($C2102="","Pick a menu item",IF($O2102="","Item not on Menu Pricing",IF(N($D2102)&lt;=0,"Qty must be above 0",IF($H2102="","No price on menu","OK"))))))</f>
        <v/>
      </c>
      <c r="O2102" s="13">
        <f>IF($C2102="","",IFERROR(MATCH($C2102,'Menu Pricing'!$B$7:$B$56,0),""))</f>
        <v/>
      </c>
    </row>
    <row r="2103" ht="17" customHeight="1">
      <c r="B2103" s="66" t="n"/>
      <c r="C2103" s="60" t="n"/>
      <c r="D2103" s="86" t="n"/>
      <c r="E2103" s="63" t="n"/>
      <c r="F2103" s="60" t="n"/>
      <c r="G2103" s="60" t="n"/>
      <c r="H2103" s="71">
        <f>IF(OR($C2103="",$D2103=""),"",IF(ISNUMBER($E2103),$E2103,IF($O2103="","",IF(N(INDEX('Menu Pricing'!$O$7:$O$56,$O2103))&gt;0,INDEX('Menu Pricing'!$O$7:$O$56,$O2103),""))))</f>
        <v/>
      </c>
      <c r="I2103" s="71">
        <f>IF($N2103&lt;&gt;"OK","",$D2103*$H2103)</f>
        <v/>
      </c>
      <c r="J2103" s="71">
        <f>IF($N2103&lt;&gt;"OK","",N(INDEX('Menu Pricing'!$F$7:$F$56,$O2103))+N(INDEX('Menu Pricing'!$G$7:$G$56,$O2103))+N(INDEX('Menu Pricing'!$J$7:$J$56,$O2103)))</f>
        <v/>
      </c>
      <c r="K2103" s="71">
        <f>IF($N2103&lt;&gt;"OK","",$D2103*$J2103)</f>
        <v/>
      </c>
      <c r="L2103" s="71">
        <f>IF($N2103&lt;&gt;"OK","",$I2103-$K2103)</f>
        <v/>
      </c>
      <c r="M2103" s="71">
        <f>IF($N2103&lt;&gt;"OK","",$D2103*N(INDEX('Menu Pricing'!$F$7:$F$56,$O2103)))</f>
        <v/>
      </c>
      <c r="N2103" s="80">
        <f>IF(AND($B2103="",$C2103="",$D2103=""),"",IF(NOT(ISNUMBER($B2103)),"Enter a valid date",IF($C2103="","Pick a menu item",IF($O2103="","Item not on Menu Pricing",IF(N($D2103)&lt;=0,"Qty must be above 0",IF($H2103="","No price on menu","OK"))))))</f>
        <v/>
      </c>
      <c r="O2103" s="13">
        <f>IF($C2103="","",IFERROR(MATCH($C2103,'Menu Pricing'!$B$7:$B$56,0),""))</f>
        <v/>
      </c>
    </row>
    <row r="2104" ht="17" customHeight="1">
      <c r="B2104" s="66" t="n"/>
      <c r="C2104" s="60" t="n"/>
      <c r="D2104" s="86" t="n"/>
      <c r="E2104" s="63" t="n"/>
      <c r="F2104" s="60" t="n"/>
      <c r="G2104" s="60" t="n"/>
      <c r="H2104" s="71">
        <f>IF(OR($C2104="",$D2104=""),"",IF(ISNUMBER($E2104),$E2104,IF($O2104="","",IF(N(INDEX('Menu Pricing'!$O$7:$O$56,$O2104))&gt;0,INDEX('Menu Pricing'!$O$7:$O$56,$O2104),""))))</f>
        <v/>
      </c>
      <c r="I2104" s="71">
        <f>IF($N2104&lt;&gt;"OK","",$D2104*$H2104)</f>
        <v/>
      </c>
      <c r="J2104" s="71">
        <f>IF($N2104&lt;&gt;"OK","",N(INDEX('Menu Pricing'!$F$7:$F$56,$O2104))+N(INDEX('Menu Pricing'!$G$7:$G$56,$O2104))+N(INDEX('Menu Pricing'!$J$7:$J$56,$O2104)))</f>
        <v/>
      </c>
      <c r="K2104" s="71">
        <f>IF($N2104&lt;&gt;"OK","",$D2104*$J2104)</f>
        <v/>
      </c>
      <c r="L2104" s="71">
        <f>IF($N2104&lt;&gt;"OK","",$I2104-$K2104)</f>
        <v/>
      </c>
      <c r="M2104" s="71">
        <f>IF($N2104&lt;&gt;"OK","",$D2104*N(INDEX('Menu Pricing'!$F$7:$F$56,$O2104)))</f>
        <v/>
      </c>
      <c r="N2104" s="80">
        <f>IF(AND($B2104="",$C2104="",$D2104=""),"",IF(NOT(ISNUMBER($B2104)),"Enter a valid date",IF($C2104="","Pick a menu item",IF($O2104="","Item not on Menu Pricing",IF(N($D2104)&lt;=0,"Qty must be above 0",IF($H2104="","No price on menu","OK"))))))</f>
        <v/>
      </c>
      <c r="O2104" s="13">
        <f>IF($C2104="","",IFERROR(MATCH($C2104,'Menu Pricing'!$B$7:$B$56,0),""))</f>
        <v/>
      </c>
    </row>
    <row r="2105" ht="17" customHeight="1">
      <c r="B2105" s="66" t="n"/>
      <c r="C2105" s="60" t="n"/>
      <c r="D2105" s="86" t="n"/>
      <c r="E2105" s="63" t="n"/>
      <c r="F2105" s="60" t="n"/>
      <c r="G2105" s="60" t="n"/>
      <c r="H2105" s="71">
        <f>IF(OR($C2105="",$D2105=""),"",IF(ISNUMBER($E2105),$E2105,IF($O2105="","",IF(N(INDEX('Menu Pricing'!$O$7:$O$56,$O2105))&gt;0,INDEX('Menu Pricing'!$O$7:$O$56,$O2105),""))))</f>
        <v/>
      </c>
      <c r="I2105" s="71">
        <f>IF($N2105&lt;&gt;"OK","",$D2105*$H2105)</f>
        <v/>
      </c>
      <c r="J2105" s="71">
        <f>IF($N2105&lt;&gt;"OK","",N(INDEX('Menu Pricing'!$F$7:$F$56,$O2105))+N(INDEX('Menu Pricing'!$G$7:$G$56,$O2105))+N(INDEX('Menu Pricing'!$J$7:$J$56,$O2105)))</f>
        <v/>
      </c>
      <c r="K2105" s="71">
        <f>IF($N2105&lt;&gt;"OK","",$D2105*$J2105)</f>
        <v/>
      </c>
      <c r="L2105" s="71">
        <f>IF($N2105&lt;&gt;"OK","",$I2105-$K2105)</f>
        <v/>
      </c>
      <c r="M2105" s="71">
        <f>IF($N2105&lt;&gt;"OK","",$D2105*N(INDEX('Menu Pricing'!$F$7:$F$56,$O2105)))</f>
        <v/>
      </c>
      <c r="N2105" s="80">
        <f>IF(AND($B2105="",$C2105="",$D2105=""),"",IF(NOT(ISNUMBER($B2105)),"Enter a valid date",IF($C2105="","Pick a menu item",IF($O2105="","Item not on Menu Pricing",IF(N($D2105)&lt;=0,"Qty must be above 0",IF($H2105="","No price on menu","OK"))))))</f>
        <v/>
      </c>
      <c r="O2105" s="13">
        <f>IF($C2105="","",IFERROR(MATCH($C2105,'Menu Pricing'!$B$7:$B$56,0),""))</f>
        <v/>
      </c>
    </row>
    <row r="2106" ht="17" customHeight="1">
      <c r="B2106" s="66" t="n"/>
      <c r="C2106" s="60" t="n"/>
      <c r="D2106" s="86" t="n"/>
      <c r="E2106" s="63" t="n"/>
      <c r="F2106" s="60" t="n"/>
      <c r="G2106" s="60" t="n"/>
      <c r="H2106" s="71">
        <f>IF(OR($C2106="",$D2106=""),"",IF(ISNUMBER($E2106),$E2106,IF($O2106="","",IF(N(INDEX('Menu Pricing'!$O$7:$O$56,$O2106))&gt;0,INDEX('Menu Pricing'!$O$7:$O$56,$O2106),""))))</f>
        <v/>
      </c>
      <c r="I2106" s="71">
        <f>IF($N2106&lt;&gt;"OK","",$D2106*$H2106)</f>
        <v/>
      </c>
      <c r="J2106" s="71">
        <f>IF($N2106&lt;&gt;"OK","",N(INDEX('Menu Pricing'!$F$7:$F$56,$O2106))+N(INDEX('Menu Pricing'!$G$7:$G$56,$O2106))+N(INDEX('Menu Pricing'!$J$7:$J$56,$O2106)))</f>
        <v/>
      </c>
      <c r="K2106" s="71">
        <f>IF($N2106&lt;&gt;"OK","",$D2106*$J2106)</f>
        <v/>
      </c>
      <c r="L2106" s="71">
        <f>IF($N2106&lt;&gt;"OK","",$I2106-$K2106)</f>
        <v/>
      </c>
      <c r="M2106" s="71">
        <f>IF($N2106&lt;&gt;"OK","",$D2106*N(INDEX('Menu Pricing'!$F$7:$F$56,$O2106)))</f>
        <v/>
      </c>
      <c r="N2106" s="80">
        <f>IF(AND($B2106="",$C2106="",$D2106=""),"",IF(NOT(ISNUMBER($B2106)),"Enter a valid date",IF($C2106="","Pick a menu item",IF($O2106="","Item not on Menu Pricing",IF(N($D2106)&lt;=0,"Qty must be above 0",IF($H2106="","No price on menu","OK"))))))</f>
        <v/>
      </c>
      <c r="O2106" s="13">
        <f>IF($C2106="","",IFERROR(MATCH($C2106,'Menu Pricing'!$B$7:$B$56,0),""))</f>
        <v/>
      </c>
    </row>
    <row r="2107" ht="17" customHeight="1">
      <c r="B2107" s="66" t="n"/>
      <c r="C2107" s="60" t="n"/>
      <c r="D2107" s="86" t="n"/>
      <c r="E2107" s="63" t="n"/>
      <c r="F2107" s="60" t="n"/>
      <c r="G2107" s="60" t="n"/>
      <c r="H2107" s="71">
        <f>IF(OR($C2107="",$D2107=""),"",IF(ISNUMBER($E2107),$E2107,IF($O2107="","",IF(N(INDEX('Menu Pricing'!$O$7:$O$56,$O2107))&gt;0,INDEX('Menu Pricing'!$O$7:$O$56,$O2107),""))))</f>
        <v/>
      </c>
      <c r="I2107" s="71">
        <f>IF($N2107&lt;&gt;"OK","",$D2107*$H2107)</f>
        <v/>
      </c>
      <c r="J2107" s="71">
        <f>IF($N2107&lt;&gt;"OK","",N(INDEX('Menu Pricing'!$F$7:$F$56,$O2107))+N(INDEX('Menu Pricing'!$G$7:$G$56,$O2107))+N(INDEX('Menu Pricing'!$J$7:$J$56,$O2107)))</f>
        <v/>
      </c>
      <c r="K2107" s="71">
        <f>IF($N2107&lt;&gt;"OK","",$D2107*$J2107)</f>
        <v/>
      </c>
      <c r="L2107" s="71">
        <f>IF($N2107&lt;&gt;"OK","",$I2107-$K2107)</f>
        <v/>
      </c>
      <c r="M2107" s="71">
        <f>IF($N2107&lt;&gt;"OK","",$D2107*N(INDEX('Menu Pricing'!$F$7:$F$56,$O2107)))</f>
        <v/>
      </c>
      <c r="N2107" s="80">
        <f>IF(AND($B2107="",$C2107="",$D2107=""),"",IF(NOT(ISNUMBER($B2107)),"Enter a valid date",IF($C2107="","Pick a menu item",IF($O2107="","Item not on Menu Pricing",IF(N($D2107)&lt;=0,"Qty must be above 0",IF($H2107="","No price on menu","OK"))))))</f>
        <v/>
      </c>
      <c r="O2107" s="13">
        <f>IF($C2107="","",IFERROR(MATCH($C2107,'Menu Pricing'!$B$7:$B$56,0),""))</f>
        <v/>
      </c>
    </row>
    <row r="2108" ht="17" customHeight="1">
      <c r="B2108" s="66" t="n"/>
      <c r="C2108" s="60" t="n"/>
      <c r="D2108" s="86" t="n"/>
      <c r="E2108" s="63" t="n"/>
      <c r="F2108" s="60" t="n"/>
      <c r="G2108" s="60" t="n"/>
      <c r="H2108" s="71">
        <f>IF(OR($C2108="",$D2108=""),"",IF(ISNUMBER($E2108),$E2108,IF($O2108="","",IF(N(INDEX('Menu Pricing'!$O$7:$O$56,$O2108))&gt;0,INDEX('Menu Pricing'!$O$7:$O$56,$O2108),""))))</f>
        <v/>
      </c>
      <c r="I2108" s="71">
        <f>IF($N2108&lt;&gt;"OK","",$D2108*$H2108)</f>
        <v/>
      </c>
      <c r="J2108" s="71">
        <f>IF($N2108&lt;&gt;"OK","",N(INDEX('Menu Pricing'!$F$7:$F$56,$O2108))+N(INDEX('Menu Pricing'!$G$7:$G$56,$O2108))+N(INDEX('Menu Pricing'!$J$7:$J$56,$O2108)))</f>
        <v/>
      </c>
      <c r="K2108" s="71">
        <f>IF($N2108&lt;&gt;"OK","",$D2108*$J2108)</f>
        <v/>
      </c>
      <c r="L2108" s="71">
        <f>IF($N2108&lt;&gt;"OK","",$I2108-$K2108)</f>
        <v/>
      </c>
      <c r="M2108" s="71">
        <f>IF($N2108&lt;&gt;"OK","",$D2108*N(INDEX('Menu Pricing'!$F$7:$F$56,$O2108)))</f>
        <v/>
      </c>
      <c r="N2108" s="80">
        <f>IF(AND($B2108="",$C2108="",$D2108=""),"",IF(NOT(ISNUMBER($B2108)),"Enter a valid date",IF($C2108="","Pick a menu item",IF($O2108="","Item not on Menu Pricing",IF(N($D2108)&lt;=0,"Qty must be above 0",IF($H2108="","No price on menu","OK"))))))</f>
        <v/>
      </c>
      <c r="O2108" s="13">
        <f>IF($C2108="","",IFERROR(MATCH($C2108,'Menu Pricing'!$B$7:$B$56,0),""))</f>
        <v/>
      </c>
    </row>
    <row r="2109" ht="17" customHeight="1">
      <c r="B2109" s="66" t="n"/>
      <c r="C2109" s="60" t="n"/>
      <c r="D2109" s="86" t="n"/>
      <c r="E2109" s="63" t="n"/>
      <c r="F2109" s="60" t="n"/>
      <c r="G2109" s="60" t="n"/>
      <c r="H2109" s="71">
        <f>IF(OR($C2109="",$D2109=""),"",IF(ISNUMBER($E2109),$E2109,IF($O2109="","",IF(N(INDEX('Menu Pricing'!$O$7:$O$56,$O2109))&gt;0,INDEX('Menu Pricing'!$O$7:$O$56,$O2109),""))))</f>
        <v/>
      </c>
      <c r="I2109" s="71">
        <f>IF($N2109&lt;&gt;"OK","",$D2109*$H2109)</f>
        <v/>
      </c>
      <c r="J2109" s="71">
        <f>IF($N2109&lt;&gt;"OK","",N(INDEX('Menu Pricing'!$F$7:$F$56,$O2109))+N(INDEX('Menu Pricing'!$G$7:$G$56,$O2109))+N(INDEX('Menu Pricing'!$J$7:$J$56,$O2109)))</f>
        <v/>
      </c>
      <c r="K2109" s="71">
        <f>IF($N2109&lt;&gt;"OK","",$D2109*$J2109)</f>
        <v/>
      </c>
      <c r="L2109" s="71">
        <f>IF($N2109&lt;&gt;"OK","",$I2109-$K2109)</f>
        <v/>
      </c>
      <c r="M2109" s="71">
        <f>IF($N2109&lt;&gt;"OK","",$D2109*N(INDEX('Menu Pricing'!$F$7:$F$56,$O2109)))</f>
        <v/>
      </c>
      <c r="N2109" s="80">
        <f>IF(AND($B2109="",$C2109="",$D2109=""),"",IF(NOT(ISNUMBER($B2109)),"Enter a valid date",IF($C2109="","Pick a menu item",IF($O2109="","Item not on Menu Pricing",IF(N($D2109)&lt;=0,"Qty must be above 0",IF($H2109="","No price on menu","OK"))))))</f>
        <v/>
      </c>
      <c r="O2109" s="13">
        <f>IF($C2109="","",IFERROR(MATCH($C2109,'Menu Pricing'!$B$7:$B$56,0),""))</f>
        <v/>
      </c>
    </row>
    <row r="2110" ht="17" customHeight="1">
      <c r="B2110" s="66" t="n"/>
      <c r="C2110" s="60" t="n"/>
      <c r="D2110" s="86" t="n"/>
      <c r="E2110" s="63" t="n"/>
      <c r="F2110" s="60" t="n"/>
      <c r="G2110" s="60" t="n"/>
      <c r="H2110" s="71">
        <f>IF(OR($C2110="",$D2110=""),"",IF(ISNUMBER($E2110),$E2110,IF($O2110="","",IF(N(INDEX('Menu Pricing'!$O$7:$O$56,$O2110))&gt;0,INDEX('Menu Pricing'!$O$7:$O$56,$O2110),""))))</f>
        <v/>
      </c>
      <c r="I2110" s="71">
        <f>IF($N2110&lt;&gt;"OK","",$D2110*$H2110)</f>
        <v/>
      </c>
      <c r="J2110" s="71">
        <f>IF($N2110&lt;&gt;"OK","",N(INDEX('Menu Pricing'!$F$7:$F$56,$O2110))+N(INDEX('Menu Pricing'!$G$7:$G$56,$O2110))+N(INDEX('Menu Pricing'!$J$7:$J$56,$O2110)))</f>
        <v/>
      </c>
      <c r="K2110" s="71">
        <f>IF($N2110&lt;&gt;"OK","",$D2110*$J2110)</f>
        <v/>
      </c>
      <c r="L2110" s="71">
        <f>IF($N2110&lt;&gt;"OK","",$I2110-$K2110)</f>
        <v/>
      </c>
      <c r="M2110" s="71">
        <f>IF($N2110&lt;&gt;"OK","",$D2110*N(INDEX('Menu Pricing'!$F$7:$F$56,$O2110)))</f>
        <v/>
      </c>
      <c r="N2110" s="80">
        <f>IF(AND($B2110="",$C2110="",$D2110=""),"",IF(NOT(ISNUMBER($B2110)),"Enter a valid date",IF($C2110="","Pick a menu item",IF($O2110="","Item not on Menu Pricing",IF(N($D2110)&lt;=0,"Qty must be above 0",IF($H2110="","No price on menu","OK"))))))</f>
        <v/>
      </c>
      <c r="O2110" s="13">
        <f>IF($C2110="","",IFERROR(MATCH($C2110,'Menu Pricing'!$B$7:$B$56,0),""))</f>
        <v/>
      </c>
    </row>
    <row r="2111" ht="17" customHeight="1">
      <c r="B2111" s="66" t="n"/>
      <c r="C2111" s="60" t="n"/>
      <c r="D2111" s="86" t="n"/>
      <c r="E2111" s="63" t="n"/>
      <c r="F2111" s="60" t="n"/>
      <c r="G2111" s="60" t="n"/>
      <c r="H2111" s="71">
        <f>IF(OR($C2111="",$D2111=""),"",IF(ISNUMBER($E2111),$E2111,IF($O2111="","",IF(N(INDEX('Menu Pricing'!$O$7:$O$56,$O2111))&gt;0,INDEX('Menu Pricing'!$O$7:$O$56,$O2111),""))))</f>
        <v/>
      </c>
      <c r="I2111" s="71">
        <f>IF($N2111&lt;&gt;"OK","",$D2111*$H2111)</f>
        <v/>
      </c>
      <c r="J2111" s="71">
        <f>IF($N2111&lt;&gt;"OK","",N(INDEX('Menu Pricing'!$F$7:$F$56,$O2111))+N(INDEX('Menu Pricing'!$G$7:$G$56,$O2111))+N(INDEX('Menu Pricing'!$J$7:$J$56,$O2111)))</f>
        <v/>
      </c>
      <c r="K2111" s="71">
        <f>IF($N2111&lt;&gt;"OK","",$D2111*$J2111)</f>
        <v/>
      </c>
      <c r="L2111" s="71">
        <f>IF($N2111&lt;&gt;"OK","",$I2111-$K2111)</f>
        <v/>
      </c>
      <c r="M2111" s="71">
        <f>IF($N2111&lt;&gt;"OK","",$D2111*N(INDEX('Menu Pricing'!$F$7:$F$56,$O2111)))</f>
        <v/>
      </c>
      <c r="N2111" s="80">
        <f>IF(AND($B2111="",$C2111="",$D2111=""),"",IF(NOT(ISNUMBER($B2111)),"Enter a valid date",IF($C2111="","Pick a menu item",IF($O2111="","Item not on Menu Pricing",IF(N($D2111)&lt;=0,"Qty must be above 0",IF($H2111="","No price on menu","OK"))))))</f>
        <v/>
      </c>
      <c r="O2111" s="13">
        <f>IF($C2111="","",IFERROR(MATCH($C2111,'Menu Pricing'!$B$7:$B$56,0),""))</f>
        <v/>
      </c>
    </row>
    <row r="2112" ht="17" customHeight="1">
      <c r="B2112" s="66" t="n"/>
      <c r="C2112" s="60" t="n"/>
      <c r="D2112" s="86" t="n"/>
      <c r="E2112" s="63" t="n"/>
      <c r="F2112" s="60" t="n"/>
      <c r="G2112" s="60" t="n"/>
      <c r="H2112" s="71">
        <f>IF(OR($C2112="",$D2112=""),"",IF(ISNUMBER($E2112),$E2112,IF($O2112="","",IF(N(INDEX('Menu Pricing'!$O$7:$O$56,$O2112))&gt;0,INDEX('Menu Pricing'!$O$7:$O$56,$O2112),""))))</f>
        <v/>
      </c>
      <c r="I2112" s="71">
        <f>IF($N2112&lt;&gt;"OK","",$D2112*$H2112)</f>
        <v/>
      </c>
      <c r="J2112" s="71">
        <f>IF($N2112&lt;&gt;"OK","",N(INDEX('Menu Pricing'!$F$7:$F$56,$O2112))+N(INDEX('Menu Pricing'!$G$7:$G$56,$O2112))+N(INDEX('Menu Pricing'!$J$7:$J$56,$O2112)))</f>
        <v/>
      </c>
      <c r="K2112" s="71">
        <f>IF($N2112&lt;&gt;"OK","",$D2112*$J2112)</f>
        <v/>
      </c>
      <c r="L2112" s="71">
        <f>IF($N2112&lt;&gt;"OK","",$I2112-$K2112)</f>
        <v/>
      </c>
      <c r="M2112" s="71">
        <f>IF($N2112&lt;&gt;"OK","",$D2112*N(INDEX('Menu Pricing'!$F$7:$F$56,$O2112)))</f>
        <v/>
      </c>
      <c r="N2112" s="80">
        <f>IF(AND($B2112="",$C2112="",$D2112=""),"",IF(NOT(ISNUMBER($B2112)),"Enter a valid date",IF($C2112="","Pick a menu item",IF($O2112="","Item not on Menu Pricing",IF(N($D2112)&lt;=0,"Qty must be above 0",IF($H2112="","No price on menu","OK"))))))</f>
        <v/>
      </c>
      <c r="O2112" s="13">
        <f>IF($C2112="","",IFERROR(MATCH($C2112,'Menu Pricing'!$B$7:$B$56,0),""))</f>
        <v/>
      </c>
    </row>
    <row r="2113" ht="17" customHeight="1">
      <c r="B2113" s="66" t="n"/>
      <c r="C2113" s="60" t="n"/>
      <c r="D2113" s="86" t="n"/>
      <c r="E2113" s="63" t="n"/>
      <c r="F2113" s="60" t="n"/>
      <c r="G2113" s="60" t="n"/>
      <c r="H2113" s="71">
        <f>IF(OR($C2113="",$D2113=""),"",IF(ISNUMBER($E2113),$E2113,IF($O2113="","",IF(N(INDEX('Menu Pricing'!$O$7:$O$56,$O2113))&gt;0,INDEX('Menu Pricing'!$O$7:$O$56,$O2113),""))))</f>
        <v/>
      </c>
      <c r="I2113" s="71">
        <f>IF($N2113&lt;&gt;"OK","",$D2113*$H2113)</f>
        <v/>
      </c>
      <c r="J2113" s="71">
        <f>IF($N2113&lt;&gt;"OK","",N(INDEX('Menu Pricing'!$F$7:$F$56,$O2113))+N(INDEX('Menu Pricing'!$G$7:$G$56,$O2113))+N(INDEX('Menu Pricing'!$J$7:$J$56,$O2113)))</f>
        <v/>
      </c>
      <c r="K2113" s="71">
        <f>IF($N2113&lt;&gt;"OK","",$D2113*$J2113)</f>
        <v/>
      </c>
      <c r="L2113" s="71">
        <f>IF($N2113&lt;&gt;"OK","",$I2113-$K2113)</f>
        <v/>
      </c>
      <c r="M2113" s="71">
        <f>IF($N2113&lt;&gt;"OK","",$D2113*N(INDEX('Menu Pricing'!$F$7:$F$56,$O2113)))</f>
        <v/>
      </c>
      <c r="N2113" s="80">
        <f>IF(AND($B2113="",$C2113="",$D2113=""),"",IF(NOT(ISNUMBER($B2113)),"Enter a valid date",IF($C2113="","Pick a menu item",IF($O2113="","Item not on Menu Pricing",IF(N($D2113)&lt;=0,"Qty must be above 0",IF($H2113="","No price on menu","OK"))))))</f>
        <v/>
      </c>
      <c r="O2113" s="13">
        <f>IF($C2113="","",IFERROR(MATCH($C2113,'Menu Pricing'!$B$7:$B$56,0),""))</f>
        <v/>
      </c>
    </row>
    <row r="2114" ht="17" customHeight="1">
      <c r="B2114" s="66" t="n"/>
      <c r="C2114" s="60" t="n"/>
      <c r="D2114" s="86" t="n"/>
      <c r="E2114" s="63" t="n"/>
      <c r="F2114" s="60" t="n"/>
      <c r="G2114" s="60" t="n"/>
      <c r="H2114" s="71">
        <f>IF(OR($C2114="",$D2114=""),"",IF(ISNUMBER($E2114),$E2114,IF($O2114="","",IF(N(INDEX('Menu Pricing'!$O$7:$O$56,$O2114))&gt;0,INDEX('Menu Pricing'!$O$7:$O$56,$O2114),""))))</f>
        <v/>
      </c>
      <c r="I2114" s="71">
        <f>IF($N2114&lt;&gt;"OK","",$D2114*$H2114)</f>
        <v/>
      </c>
      <c r="J2114" s="71">
        <f>IF($N2114&lt;&gt;"OK","",N(INDEX('Menu Pricing'!$F$7:$F$56,$O2114))+N(INDEX('Menu Pricing'!$G$7:$G$56,$O2114))+N(INDEX('Menu Pricing'!$J$7:$J$56,$O2114)))</f>
        <v/>
      </c>
      <c r="K2114" s="71">
        <f>IF($N2114&lt;&gt;"OK","",$D2114*$J2114)</f>
        <v/>
      </c>
      <c r="L2114" s="71">
        <f>IF($N2114&lt;&gt;"OK","",$I2114-$K2114)</f>
        <v/>
      </c>
      <c r="M2114" s="71">
        <f>IF($N2114&lt;&gt;"OK","",$D2114*N(INDEX('Menu Pricing'!$F$7:$F$56,$O2114)))</f>
        <v/>
      </c>
      <c r="N2114" s="80">
        <f>IF(AND($B2114="",$C2114="",$D2114=""),"",IF(NOT(ISNUMBER($B2114)),"Enter a valid date",IF($C2114="","Pick a menu item",IF($O2114="","Item not on Menu Pricing",IF(N($D2114)&lt;=0,"Qty must be above 0",IF($H2114="","No price on menu","OK"))))))</f>
        <v/>
      </c>
      <c r="O2114" s="13">
        <f>IF($C2114="","",IFERROR(MATCH($C2114,'Menu Pricing'!$B$7:$B$56,0),""))</f>
        <v/>
      </c>
    </row>
    <row r="2115" ht="17" customHeight="1">
      <c r="B2115" s="66" t="n"/>
      <c r="C2115" s="60" t="n"/>
      <c r="D2115" s="86" t="n"/>
      <c r="E2115" s="63" t="n"/>
      <c r="F2115" s="60" t="n"/>
      <c r="G2115" s="60" t="n"/>
      <c r="H2115" s="71">
        <f>IF(OR($C2115="",$D2115=""),"",IF(ISNUMBER($E2115),$E2115,IF($O2115="","",IF(N(INDEX('Menu Pricing'!$O$7:$O$56,$O2115))&gt;0,INDEX('Menu Pricing'!$O$7:$O$56,$O2115),""))))</f>
        <v/>
      </c>
      <c r="I2115" s="71">
        <f>IF($N2115&lt;&gt;"OK","",$D2115*$H2115)</f>
        <v/>
      </c>
      <c r="J2115" s="71">
        <f>IF($N2115&lt;&gt;"OK","",N(INDEX('Menu Pricing'!$F$7:$F$56,$O2115))+N(INDEX('Menu Pricing'!$G$7:$G$56,$O2115))+N(INDEX('Menu Pricing'!$J$7:$J$56,$O2115)))</f>
        <v/>
      </c>
      <c r="K2115" s="71">
        <f>IF($N2115&lt;&gt;"OK","",$D2115*$J2115)</f>
        <v/>
      </c>
      <c r="L2115" s="71">
        <f>IF($N2115&lt;&gt;"OK","",$I2115-$K2115)</f>
        <v/>
      </c>
      <c r="M2115" s="71">
        <f>IF($N2115&lt;&gt;"OK","",$D2115*N(INDEX('Menu Pricing'!$F$7:$F$56,$O2115)))</f>
        <v/>
      </c>
      <c r="N2115" s="80">
        <f>IF(AND($B2115="",$C2115="",$D2115=""),"",IF(NOT(ISNUMBER($B2115)),"Enter a valid date",IF($C2115="","Pick a menu item",IF($O2115="","Item not on Menu Pricing",IF(N($D2115)&lt;=0,"Qty must be above 0",IF($H2115="","No price on menu","OK"))))))</f>
        <v/>
      </c>
      <c r="O2115" s="13">
        <f>IF($C2115="","",IFERROR(MATCH($C2115,'Menu Pricing'!$B$7:$B$56,0),""))</f>
        <v/>
      </c>
    </row>
    <row r="2116" ht="17" customHeight="1">
      <c r="B2116" s="66" t="n"/>
      <c r="C2116" s="60" t="n"/>
      <c r="D2116" s="86" t="n"/>
      <c r="E2116" s="63" t="n"/>
      <c r="F2116" s="60" t="n"/>
      <c r="G2116" s="60" t="n"/>
      <c r="H2116" s="71">
        <f>IF(OR($C2116="",$D2116=""),"",IF(ISNUMBER($E2116),$E2116,IF($O2116="","",IF(N(INDEX('Menu Pricing'!$O$7:$O$56,$O2116))&gt;0,INDEX('Menu Pricing'!$O$7:$O$56,$O2116),""))))</f>
        <v/>
      </c>
      <c r="I2116" s="71">
        <f>IF($N2116&lt;&gt;"OK","",$D2116*$H2116)</f>
        <v/>
      </c>
      <c r="J2116" s="71">
        <f>IF($N2116&lt;&gt;"OK","",N(INDEX('Menu Pricing'!$F$7:$F$56,$O2116))+N(INDEX('Menu Pricing'!$G$7:$G$56,$O2116))+N(INDEX('Menu Pricing'!$J$7:$J$56,$O2116)))</f>
        <v/>
      </c>
      <c r="K2116" s="71">
        <f>IF($N2116&lt;&gt;"OK","",$D2116*$J2116)</f>
        <v/>
      </c>
      <c r="L2116" s="71">
        <f>IF($N2116&lt;&gt;"OK","",$I2116-$K2116)</f>
        <v/>
      </c>
      <c r="M2116" s="71">
        <f>IF($N2116&lt;&gt;"OK","",$D2116*N(INDEX('Menu Pricing'!$F$7:$F$56,$O2116)))</f>
        <v/>
      </c>
      <c r="N2116" s="80">
        <f>IF(AND($B2116="",$C2116="",$D2116=""),"",IF(NOT(ISNUMBER($B2116)),"Enter a valid date",IF($C2116="","Pick a menu item",IF($O2116="","Item not on Menu Pricing",IF(N($D2116)&lt;=0,"Qty must be above 0",IF($H2116="","No price on menu","OK"))))))</f>
        <v/>
      </c>
      <c r="O2116" s="13">
        <f>IF($C2116="","",IFERROR(MATCH($C2116,'Menu Pricing'!$B$7:$B$56,0),""))</f>
        <v/>
      </c>
    </row>
    <row r="2117" ht="17" customHeight="1">
      <c r="B2117" s="66" t="n"/>
      <c r="C2117" s="60" t="n"/>
      <c r="D2117" s="86" t="n"/>
      <c r="E2117" s="63" t="n"/>
      <c r="F2117" s="60" t="n"/>
      <c r="G2117" s="60" t="n"/>
      <c r="H2117" s="71">
        <f>IF(OR($C2117="",$D2117=""),"",IF(ISNUMBER($E2117),$E2117,IF($O2117="","",IF(N(INDEX('Menu Pricing'!$O$7:$O$56,$O2117))&gt;0,INDEX('Menu Pricing'!$O$7:$O$56,$O2117),""))))</f>
        <v/>
      </c>
      <c r="I2117" s="71">
        <f>IF($N2117&lt;&gt;"OK","",$D2117*$H2117)</f>
        <v/>
      </c>
      <c r="J2117" s="71">
        <f>IF($N2117&lt;&gt;"OK","",N(INDEX('Menu Pricing'!$F$7:$F$56,$O2117))+N(INDEX('Menu Pricing'!$G$7:$G$56,$O2117))+N(INDEX('Menu Pricing'!$J$7:$J$56,$O2117)))</f>
        <v/>
      </c>
      <c r="K2117" s="71">
        <f>IF($N2117&lt;&gt;"OK","",$D2117*$J2117)</f>
        <v/>
      </c>
      <c r="L2117" s="71">
        <f>IF($N2117&lt;&gt;"OK","",$I2117-$K2117)</f>
        <v/>
      </c>
      <c r="M2117" s="71">
        <f>IF($N2117&lt;&gt;"OK","",$D2117*N(INDEX('Menu Pricing'!$F$7:$F$56,$O2117)))</f>
        <v/>
      </c>
      <c r="N2117" s="80">
        <f>IF(AND($B2117="",$C2117="",$D2117=""),"",IF(NOT(ISNUMBER($B2117)),"Enter a valid date",IF($C2117="","Pick a menu item",IF($O2117="","Item not on Menu Pricing",IF(N($D2117)&lt;=0,"Qty must be above 0",IF($H2117="","No price on menu","OK"))))))</f>
        <v/>
      </c>
      <c r="O2117" s="13">
        <f>IF($C2117="","",IFERROR(MATCH($C2117,'Menu Pricing'!$B$7:$B$56,0),""))</f>
        <v/>
      </c>
    </row>
    <row r="2118" ht="17" customHeight="1">
      <c r="B2118" s="66" t="n"/>
      <c r="C2118" s="60" t="n"/>
      <c r="D2118" s="86" t="n"/>
      <c r="E2118" s="63" t="n"/>
      <c r="F2118" s="60" t="n"/>
      <c r="G2118" s="60" t="n"/>
      <c r="H2118" s="71">
        <f>IF(OR($C2118="",$D2118=""),"",IF(ISNUMBER($E2118),$E2118,IF($O2118="","",IF(N(INDEX('Menu Pricing'!$O$7:$O$56,$O2118))&gt;0,INDEX('Menu Pricing'!$O$7:$O$56,$O2118),""))))</f>
        <v/>
      </c>
      <c r="I2118" s="71">
        <f>IF($N2118&lt;&gt;"OK","",$D2118*$H2118)</f>
        <v/>
      </c>
      <c r="J2118" s="71">
        <f>IF($N2118&lt;&gt;"OK","",N(INDEX('Menu Pricing'!$F$7:$F$56,$O2118))+N(INDEX('Menu Pricing'!$G$7:$G$56,$O2118))+N(INDEX('Menu Pricing'!$J$7:$J$56,$O2118)))</f>
        <v/>
      </c>
      <c r="K2118" s="71">
        <f>IF($N2118&lt;&gt;"OK","",$D2118*$J2118)</f>
        <v/>
      </c>
      <c r="L2118" s="71">
        <f>IF($N2118&lt;&gt;"OK","",$I2118-$K2118)</f>
        <v/>
      </c>
      <c r="M2118" s="71">
        <f>IF($N2118&lt;&gt;"OK","",$D2118*N(INDEX('Menu Pricing'!$F$7:$F$56,$O2118)))</f>
        <v/>
      </c>
      <c r="N2118" s="80">
        <f>IF(AND($B2118="",$C2118="",$D2118=""),"",IF(NOT(ISNUMBER($B2118)),"Enter a valid date",IF($C2118="","Pick a menu item",IF($O2118="","Item not on Menu Pricing",IF(N($D2118)&lt;=0,"Qty must be above 0",IF($H2118="","No price on menu","OK"))))))</f>
        <v/>
      </c>
      <c r="O2118" s="13">
        <f>IF($C2118="","",IFERROR(MATCH($C2118,'Menu Pricing'!$B$7:$B$56,0),""))</f>
        <v/>
      </c>
    </row>
    <row r="2119" ht="17" customHeight="1">
      <c r="B2119" s="66" t="n"/>
      <c r="C2119" s="60" t="n"/>
      <c r="D2119" s="86" t="n"/>
      <c r="E2119" s="63" t="n"/>
      <c r="F2119" s="60" t="n"/>
      <c r="G2119" s="60" t="n"/>
      <c r="H2119" s="71">
        <f>IF(OR($C2119="",$D2119=""),"",IF(ISNUMBER($E2119),$E2119,IF($O2119="","",IF(N(INDEX('Menu Pricing'!$O$7:$O$56,$O2119))&gt;0,INDEX('Menu Pricing'!$O$7:$O$56,$O2119),""))))</f>
        <v/>
      </c>
      <c r="I2119" s="71">
        <f>IF($N2119&lt;&gt;"OK","",$D2119*$H2119)</f>
        <v/>
      </c>
      <c r="J2119" s="71">
        <f>IF($N2119&lt;&gt;"OK","",N(INDEX('Menu Pricing'!$F$7:$F$56,$O2119))+N(INDEX('Menu Pricing'!$G$7:$G$56,$O2119))+N(INDEX('Menu Pricing'!$J$7:$J$56,$O2119)))</f>
        <v/>
      </c>
      <c r="K2119" s="71">
        <f>IF($N2119&lt;&gt;"OK","",$D2119*$J2119)</f>
        <v/>
      </c>
      <c r="L2119" s="71">
        <f>IF($N2119&lt;&gt;"OK","",$I2119-$K2119)</f>
        <v/>
      </c>
      <c r="M2119" s="71">
        <f>IF($N2119&lt;&gt;"OK","",$D2119*N(INDEX('Menu Pricing'!$F$7:$F$56,$O2119)))</f>
        <v/>
      </c>
      <c r="N2119" s="80">
        <f>IF(AND($B2119="",$C2119="",$D2119=""),"",IF(NOT(ISNUMBER($B2119)),"Enter a valid date",IF($C2119="","Pick a menu item",IF($O2119="","Item not on Menu Pricing",IF(N($D2119)&lt;=0,"Qty must be above 0",IF($H2119="","No price on menu","OK"))))))</f>
        <v/>
      </c>
      <c r="O2119" s="13">
        <f>IF($C2119="","",IFERROR(MATCH($C2119,'Menu Pricing'!$B$7:$B$56,0),""))</f>
        <v/>
      </c>
    </row>
    <row r="2120" ht="17" customHeight="1">
      <c r="B2120" s="66" t="n"/>
      <c r="C2120" s="60" t="n"/>
      <c r="D2120" s="86" t="n"/>
      <c r="E2120" s="63" t="n"/>
      <c r="F2120" s="60" t="n"/>
      <c r="G2120" s="60" t="n"/>
      <c r="H2120" s="71">
        <f>IF(OR($C2120="",$D2120=""),"",IF(ISNUMBER($E2120),$E2120,IF($O2120="","",IF(N(INDEX('Menu Pricing'!$O$7:$O$56,$O2120))&gt;0,INDEX('Menu Pricing'!$O$7:$O$56,$O2120),""))))</f>
        <v/>
      </c>
      <c r="I2120" s="71">
        <f>IF($N2120&lt;&gt;"OK","",$D2120*$H2120)</f>
        <v/>
      </c>
      <c r="J2120" s="71">
        <f>IF($N2120&lt;&gt;"OK","",N(INDEX('Menu Pricing'!$F$7:$F$56,$O2120))+N(INDEX('Menu Pricing'!$G$7:$G$56,$O2120))+N(INDEX('Menu Pricing'!$J$7:$J$56,$O2120)))</f>
        <v/>
      </c>
      <c r="K2120" s="71">
        <f>IF($N2120&lt;&gt;"OK","",$D2120*$J2120)</f>
        <v/>
      </c>
      <c r="L2120" s="71">
        <f>IF($N2120&lt;&gt;"OK","",$I2120-$K2120)</f>
        <v/>
      </c>
      <c r="M2120" s="71">
        <f>IF($N2120&lt;&gt;"OK","",$D2120*N(INDEX('Menu Pricing'!$F$7:$F$56,$O2120)))</f>
        <v/>
      </c>
      <c r="N2120" s="80">
        <f>IF(AND($B2120="",$C2120="",$D2120=""),"",IF(NOT(ISNUMBER($B2120)),"Enter a valid date",IF($C2120="","Pick a menu item",IF($O2120="","Item not on Menu Pricing",IF(N($D2120)&lt;=0,"Qty must be above 0",IF($H2120="","No price on menu","OK"))))))</f>
        <v/>
      </c>
      <c r="O2120" s="13">
        <f>IF($C2120="","",IFERROR(MATCH($C2120,'Menu Pricing'!$B$7:$B$56,0),""))</f>
        <v/>
      </c>
    </row>
    <row r="2121" ht="17" customHeight="1">
      <c r="B2121" s="66" t="n"/>
      <c r="C2121" s="60" t="n"/>
      <c r="D2121" s="86" t="n"/>
      <c r="E2121" s="63" t="n"/>
      <c r="F2121" s="60" t="n"/>
      <c r="G2121" s="60" t="n"/>
      <c r="H2121" s="71">
        <f>IF(OR($C2121="",$D2121=""),"",IF(ISNUMBER($E2121),$E2121,IF($O2121="","",IF(N(INDEX('Menu Pricing'!$O$7:$O$56,$O2121))&gt;0,INDEX('Menu Pricing'!$O$7:$O$56,$O2121),""))))</f>
        <v/>
      </c>
      <c r="I2121" s="71">
        <f>IF($N2121&lt;&gt;"OK","",$D2121*$H2121)</f>
        <v/>
      </c>
      <c r="J2121" s="71">
        <f>IF($N2121&lt;&gt;"OK","",N(INDEX('Menu Pricing'!$F$7:$F$56,$O2121))+N(INDEX('Menu Pricing'!$G$7:$G$56,$O2121))+N(INDEX('Menu Pricing'!$J$7:$J$56,$O2121)))</f>
        <v/>
      </c>
      <c r="K2121" s="71">
        <f>IF($N2121&lt;&gt;"OK","",$D2121*$J2121)</f>
        <v/>
      </c>
      <c r="L2121" s="71">
        <f>IF($N2121&lt;&gt;"OK","",$I2121-$K2121)</f>
        <v/>
      </c>
      <c r="M2121" s="71">
        <f>IF($N2121&lt;&gt;"OK","",$D2121*N(INDEX('Menu Pricing'!$F$7:$F$56,$O2121)))</f>
        <v/>
      </c>
      <c r="N2121" s="80">
        <f>IF(AND($B2121="",$C2121="",$D2121=""),"",IF(NOT(ISNUMBER($B2121)),"Enter a valid date",IF($C2121="","Pick a menu item",IF($O2121="","Item not on Menu Pricing",IF(N($D2121)&lt;=0,"Qty must be above 0",IF($H2121="","No price on menu","OK"))))))</f>
        <v/>
      </c>
      <c r="O2121" s="13">
        <f>IF($C2121="","",IFERROR(MATCH($C2121,'Menu Pricing'!$B$7:$B$56,0),""))</f>
        <v/>
      </c>
    </row>
    <row r="2122" ht="17" customHeight="1">
      <c r="B2122" s="66" t="n"/>
      <c r="C2122" s="60" t="n"/>
      <c r="D2122" s="86" t="n"/>
      <c r="E2122" s="63" t="n"/>
      <c r="F2122" s="60" t="n"/>
      <c r="G2122" s="60" t="n"/>
      <c r="H2122" s="71">
        <f>IF(OR($C2122="",$D2122=""),"",IF(ISNUMBER($E2122),$E2122,IF($O2122="","",IF(N(INDEX('Menu Pricing'!$O$7:$O$56,$O2122))&gt;0,INDEX('Menu Pricing'!$O$7:$O$56,$O2122),""))))</f>
        <v/>
      </c>
      <c r="I2122" s="71">
        <f>IF($N2122&lt;&gt;"OK","",$D2122*$H2122)</f>
        <v/>
      </c>
      <c r="J2122" s="71">
        <f>IF($N2122&lt;&gt;"OK","",N(INDEX('Menu Pricing'!$F$7:$F$56,$O2122))+N(INDEX('Menu Pricing'!$G$7:$G$56,$O2122))+N(INDEX('Menu Pricing'!$J$7:$J$56,$O2122)))</f>
        <v/>
      </c>
      <c r="K2122" s="71">
        <f>IF($N2122&lt;&gt;"OK","",$D2122*$J2122)</f>
        <v/>
      </c>
      <c r="L2122" s="71">
        <f>IF($N2122&lt;&gt;"OK","",$I2122-$K2122)</f>
        <v/>
      </c>
      <c r="M2122" s="71">
        <f>IF($N2122&lt;&gt;"OK","",$D2122*N(INDEX('Menu Pricing'!$F$7:$F$56,$O2122)))</f>
        <v/>
      </c>
      <c r="N2122" s="80">
        <f>IF(AND($B2122="",$C2122="",$D2122=""),"",IF(NOT(ISNUMBER($B2122)),"Enter a valid date",IF($C2122="","Pick a menu item",IF($O2122="","Item not on Menu Pricing",IF(N($D2122)&lt;=0,"Qty must be above 0",IF($H2122="","No price on menu","OK"))))))</f>
        <v/>
      </c>
      <c r="O2122" s="13">
        <f>IF($C2122="","",IFERROR(MATCH($C2122,'Menu Pricing'!$B$7:$B$56,0),""))</f>
        <v/>
      </c>
    </row>
    <row r="2123" ht="17" customHeight="1">
      <c r="B2123" s="66" t="n"/>
      <c r="C2123" s="60" t="n"/>
      <c r="D2123" s="86" t="n"/>
      <c r="E2123" s="63" t="n"/>
      <c r="F2123" s="60" t="n"/>
      <c r="G2123" s="60" t="n"/>
      <c r="H2123" s="71">
        <f>IF(OR($C2123="",$D2123=""),"",IF(ISNUMBER($E2123),$E2123,IF($O2123="","",IF(N(INDEX('Menu Pricing'!$O$7:$O$56,$O2123))&gt;0,INDEX('Menu Pricing'!$O$7:$O$56,$O2123),""))))</f>
        <v/>
      </c>
      <c r="I2123" s="71">
        <f>IF($N2123&lt;&gt;"OK","",$D2123*$H2123)</f>
        <v/>
      </c>
      <c r="J2123" s="71">
        <f>IF($N2123&lt;&gt;"OK","",N(INDEX('Menu Pricing'!$F$7:$F$56,$O2123))+N(INDEX('Menu Pricing'!$G$7:$G$56,$O2123))+N(INDEX('Menu Pricing'!$J$7:$J$56,$O2123)))</f>
        <v/>
      </c>
      <c r="K2123" s="71">
        <f>IF($N2123&lt;&gt;"OK","",$D2123*$J2123)</f>
        <v/>
      </c>
      <c r="L2123" s="71">
        <f>IF($N2123&lt;&gt;"OK","",$I2123-$K2123)</f>
        <v/>
      </c>
      <c r="M2123" s="71">
        <f>IF($N2123&lt;&gt;"OK","",$D2123*N(INDEX('Menu Pricing'!$F$7:$F$56,$O2123)))</f>
        <v/>
      </c>
      <c r="N2123" s="80">
        <f>IF(AND($B2123="",$C2123="",$D2123=""),"",IF(NOT(ISNUMBER($B2123)),"Enter a valid date",IF($C2123="","Pick a menu item",IF($O2123="","Item not on Menu Pricing",IF(N($D2123)&lt;=0,"Qty must be above 0",IF($H2123="","No price on menu","OK"))))))</f>
        <v/>
      </c>
      <c r="O2123" s="13">
        <f>IF($C2123="","",IFERROR(MATCH($C2123,'Menu Pricing'!$B$7:$B$56,0),""))</f>
        <v/>
      </c>
    </row>
    <row r="2124" ht="17" customHeight="1">
      <c r="B2124" s="66" t="n"/>
      <c r="C2124" s="60" t="n"/>
      <c r="D2124" s="86" t="n"/>
      <c r="E2124" s="63" t="n"/>
      <c r="F2124" s="60" t="n"/>
      <c r="G2124" s="60" t="n"/>
      <c r="H2124" s="71">
        <f>IF(OR($C2124="",$D2124=""),"",IF(ISNUMBER($E2124),$E2124,IF($O2124="","",IF(N(INDEX('Menu Pricing'!$O$7:$O$56,$O2124))&gt;0,INDEX('Menu Pricing'!$O$7:$O$56,$O2124),""))))</f>
        <v/>
      </c>
      <c r="I2124" s="71">
        <f>IF($N2124&lt;&gt;"OK","",$D2124*$H2124)</f>
        <v/>
      </c>
      <c r="J2124" s="71">
        <f>IF($N2124&lt;&gt;"OK","",N(INDEX('Menu Pricing'!$F$7:$F$56,$O2124))+N(INDEX('Menu Pricing'!$G$7:$G$56,$O2124))+N(INDEX('Menu Pricing'!$J$7:$J$56,$O2124)))</f>
        <v/>
      </c>
      <c r="K2124" s="71">
        <f>IF($N2124&lt;&gt;"OK","",$D2124*$J2124)</f>
        <v/>
      </c>
      <c r="L2124" s="71">
        <f>IF($N2124&lt;&gt;"OK","",$I2124-$K2124)</f>
        <v/>
      </c>
      <c r="M2124" s="71">
        <f>IF($N2124&lt;&gt;"OK","",$D2124*N(INDEX('Menu Pricing'!$F$7:$F$56,$O2124)))</f>
        <v/>
      </c>
      <c r="N2124" s="80">
        <f>IF(AND($B2124="",$C2124="",$D2124=""),"",IF(NOT(ISNUMBER($B2124)),"Enter a valid date",IF($C2124="","Pick a menu item",IF($O2124="","Item not on Menu Pricing",IF(N($D2124)&lt;=0,"Qty must be above 0",IF($H2124="","No price on menu","OK"))))))</f>
        <v/>
      </c>
      <c r="O2124" s="13">
        <f>IF($C2124="","",IFERROR(MATCH($C2124,'Menu Pricing'!$B$7:$B$56,0),""))</f>
        <v/>
      </c>
    </row>
    <row r="2125" ht="17" customHeight="1">
      <c r="B2125" s="66" t="n"/>
      <c r="C2125" s="60" t="n"/>
      <c r="D2125" s="86" t="n"/>
      <c r="E2125" s="63" t="n"/>
      <c r="F2125" s="60" t="n"/>
      <c r="G2125" s="60" t="n"/>
      <c r="H2125" s="71">
        <f>IF(OR($C2125="",$D2125=""),"",IF(ISNUMBER($E2125),$E2125,IF($O2125="","",IF(N(INDEX('Menu Pricing'!$O$7:$O$56,$O2125))&gt;0,INDEX('Menu Pricing'!$O$7:$O$56,$O2125),""))))</f>
        <v/>
      </c>
      <c r="I2125" s="71">
        <f>IF($N2125&lt;&gt;"OK","",$D2125*$H2125)</f>
        <v/>
      </c>
      <c r="J2125" s="71">
        <f>IF($N2125&lt;&gt;"OK","",N(INDEX('Menu Pricing'!$F$7:$F$56,$O2125))+N(INDEX('Menu Pricing'!$G$7:$G$56,$O2125))+N(INDEX('Menu Pricing'!$J$7:$J$56,$O2125)))</f>
        <v/>
      </c>
      <c r="K2125" s="71">
        <f>IF($N2125&lt;&gt;"OK","",$D2125*$J2125)</f>
        <v/>
      </c>
      <c r="L2125" s="71">
        <f>IF($N2125&lt;&gt;"OK","",$I2125-$K2125)</f>
        <v/>
      </c>
      <c r="M2125" s="71">
        <f>IF($N2125&lt;&gt;"OK","",$D2125*N(INDEX('Menu Pricing'!$F$7:$F$56,$O2125)))</f>
        <v/>
      </c>
      <c r="N2125" s="80">
        <f>IF(AND($B2125="",$C2125="",$D2125=""),"",IF(NOT(ISNUMBER($B2125)),"Enter a valid date",IF($C2125="","Pick a menu item",IF($O2125="","Item not on Menu Pricing",IF(N($D2125)&lt;=0,"Qty must be above 0",IF($H2125="","No price on menu","OK"))))))</f>
        <v/>
      </c>
      <c r="O2125" s="13">
        <f>IF($C2125="","",IFERROR(MATCH($C2125,'Menu Pricing'!$B$7:$B$56,0),""))</f>
        <v/>
      </c>
    </row>
    <row r="2126" ht="17" customHeight="1">
      <c r="B2126" s="66" t="n"/>
      <c r="C2126" s="60" t="n"/>
      <c r="D2126" s="86" t="n"/>
      <c r="E2126" s="63" t="n"/>
      <c r="F2126" s="60" t="n"/>
      <c r="G2126" s="60" t="n"/>
      <c r="H2126" s="71">
        <f>IF(OR($C2126="",$D2126=""),"",IF(ISNUMBER($E2126),$E2126,IF($O2126="","",IF(N(INDEX('Menu Pricing'!$O$7:$O$56,$O2126))&gt;0,INDEX('Menu Pricing'!$O$7:$O$56,$O2126),""))))</f>
        <v/>
      </c>
      <c r="I2126" s="71">
        <f>IF($N2126&lt;&gt;"OK","",$D2126*$H2126)</f>
        <v/>
      </c>
      <c r="J2126" s="71">
        <f>IF($N2126&lt;&gt;"OK","",N(INDEX('Menu Pricing'!$F$7:$F$56,$O2126))+N(INDEX('Menu Pricing'!$G$7:$G$56,$O2126))+N(INDEX('Menu Pricing'!$J$7:$J$56,$O2126)))</f>
        <v/>
      </c>
      <c r="K2126" s="71">
        <f>IF($N2126&lt;&gt;"OK","",$D2126*$J2126)</f>
        <v/>
      </c>
      <c r="L2126" s="71">
        <f>IF($N2126&lt;&gt;"OK","",$I2126-$K2126)</f>
        <v/>
      </c>
      <c r="M2126" s="71">
        <f>IF($N2126&lt;&gt;"OK","",$D2126*N(INDEX('Menu Pricing'!$F$7:$F$56,$O2126)))</f>
        <v/>
      </c>
      <c r="N2126" s="80">
        <f>IF(AND($B2126="",$C2126="",$D2126=""),"",IF(NOT(ISNUMBER($B2126)),"Enter a valid date",IF($C2126="","Pick a menu item",IF($O2126="","Item not on Menu Pricing",IF(N($D2126)&lt;=0,"Qty must be above 0",IF($H2126="","No price on menu","OK"))))))</f>
        <v/>
      </c>
      <c r="O2126" s="13">
        <f>IF($C2126="","",IFERROR(MATCH($C2126,'Menu Pricing'!$B$7:$B$56,0),""))</f>
        <v/>
      </c>
    </row>
    <row r="2127" ht="17" customHeight="1">
      <c r="B2127" s="66" t="n"/>
      <c r="C2127" s="60" t="n"/>
      <c r="D2127" s="86" t="n"/>
      <c r="E2127" s="63" t="n"/>
      <c r="F2127" s="60" t="n"/>
      <c r="G2127" s="60" t="n"/>
      <c r="H2127" s="71">
        <f>IF(OR($C2127="",$D2127=""),"",IF(ISNUMBER($E2127),$E2127,IF($O2127="","",IF(N(INDEX('Menu Pricing'!$O$7:$O$56,$O2127))&gt;0,INDEX('Menu Pricing'!$O$7:$O$56,$O2127),""))))</f>
        <v/>
      </c>
      <c r="I2127" s="71">
        <f>IF($N2127&lt;&gt;"OK","",$D2127*$H2127)</f>
        <v/>
      </c>
      <c r="J2127" s="71">
        <f>IF($N2127&lt;&gt;"OK","",N(INDEX('Menu Pricing'!$F$7:$F$56,$O2127))+N(INDEX('Menu Pricing'!$G$7:$G$56,$O2127))+N(INDEX('Menu Pricing'!$J$7:$J$56,$O2127)))</f>
        <v/>
      </c>
      <c r="K2127" s="71">
        <f>IF($N2127&lt;&gt;"OK","",$D2127*$J2127)</f>
        <v/>
      </c>
      <c r="L2127" s="71">
        <f>IF($N2127&lt;&gt;"OK","",$I2127-$K2127)</f>
        <v/>
      </c>
      <c r="M2127" s="71">
        <f>IF($N2127&lt;&gt;"OK","",$D2127*N(INDEX('Menu Pricing'!$F$7:$F$56,$O2127)))</f>
        <v/>
      </c>
      <c r="N2127" s="80">
        <f>IF(AND($B2127="",$C2127="",$D2127=""),"",IF(NOT(ISNUMBER($B2127)),"Enter a valid date",IF($C2127="","Pick a menu item",IF($O2127="","Item not on Menu Pricing",IF(N($D2127)&lt;=0,"Qty must be above 0",IF($H2127="","No price on menu","OK"))))))</f>
        <v/>
      </c>
      <c r="O2127" s="13">
        <f>IF($C2127="","",IFERROR(MATCH($C2127,'Menu Pricing'!$B$7:$B$56,0),""))</f>
        <v/>
      </c>
    </row>
    <row r="2128" ht="17" customHeight="1">
      <c r="B2128" s="66" t="n"/>
      <c r="C2128" s="60" t="n"/>
      <c r="D2128" s="86" t="n"/>
      <c r="E2128" s="63" t="n"/>
      <c r="F2128" s="60" t="n"/>
      <c r="G2128" s="60" t="n"/>
      <c r="H2128" s="71">
        <f>IF(OR($C2128="",$D2128=""),"",IF(ISNUMBER($E2128),$E2128,IF($O2128="","",IF(N(INDEX('Menu Pricing'!$O$7:$O$56,$O2128))&gt;0,INDEX('Menu Pricing'!$O$7:$O$56,$O2128),""))))</f>
        <v/>
      </c>
      <c r="I2128" s="71">
        <f>IF($N2128&lt;&gt;"OK","",$D2128*$H2128)</f>
        <v/>
      </c>
      <c r="J2128" s="71">
        <f>IF($N2128&lt;&gt;"OK","",N(INDEX('Menu Pricing'!$F$7:$F$56,$O2128))+N(INDEX('Menu Pricing'!$G$7:$G$56,$O2128))+N(INDEX('Menu Pricing'!$J$7:$J$56,$O2128)))</f>
        <v/>
      </c>
      <c r="K2128" s="71">
        <f>IF($N2128&lt;&gt;"OK","",$D2128*$J2128)</f>
        <v/>
      </c>
      <c r="L2128" s="71">
        <f>IF($N2128&lt;&gt;"OK","",$I2128-$K2128)</f>
        <v/>
      </c>
      <c r="M2128" s="71">
        <f>IF($N2128&lt;&gt;"OK","",$D2128*N(INDEX('Menu Pricing'!$F$7:$F$56,$O2128)))</f>
        <v/>
      </c>
      <c r="N2128" s="80">
        <f>IF(AND($B2128="",$C2128="",$D2128=""),"",IF(NOT(ISNUMBER($B2128)),"Enter a valid date",IF($C2128="","Pick a menu item",IF($O2128="","Item not on Menu Pricing",IF(N($D2128)&lt;=0,"Qty must be above 0",IF($H2128="","No price on menu","OK"))))))</f>
        <v/>
      </c>
      <c r="O2128" s="13">
        <f>IF($C2128="","",IFERROR(MATCH($C2128,'Menu Pricing'!$B$7:$B$56,0),""))</f>
        <v/>
      </c>
    </row>
    <row r="2129" ht="17" customHeight="1">
      <c r="B2129" s="66" t="n"/>
      <c r="C2129" s="60" t="n"/>
      <c r="D2129" s="86" t="n"/>
      <c r="E2129" s="63" t="n"/>
      <c r="F2129" s="60" t="n"/>
      <c r="G2129" s="60" t="n"/>
      <c r="H2129" s="71">
        <f>IF(OR($C2129="",$D2129=""),"",IF(ISNUMBER($E2129),$E2129,IF($O2129="","",IF(N(INDEX('Menu Pricing'!$O$7:$O$56,$O2129))&gt;0,INDEX('Menu Pricing'!$O$7:$O$56,$O2129),""))))</f>
        <v/>
      </c>
      <c r="I2129" s="71">
        <f>IF($N2129&lt;&gt;"OK","",$D2129*$H2129)</f>
        <v/>
      </c>
      <c r="J2129" s="71">
        <f>IF($N2129&lt;&gt;"OK","",N(INDEX('Menu Pricing'!$F$7:$F$56,$O2129))+N(INDEX('Menu Pricing'!$G$7:$G$56,$O2129))+N(INDEX('Menu Pricing'!$J$7:$J$56,$O2129)))</f>
        <v/>
      </c>
      <c r="K2129" s="71">
        <f>IF($N2129&lt;&gt;"OK","",$D2129*$J2129)</f>
        <v/>
      </c>
      <c r="L2129" s="71">
        <f>IF($N2129&lt;&gt;"OK","",$I2129-$K2129)</f>
        <v/>
      </c>
      <c r="M2129" s="71">
        <f>IF($N2129&lt;&gt;"OK","",$D2129*N(INDEX('Menu Pricing'!$F$7:$F$56,$O2129)))</f>
        <v/>
      </c>
      <c r="N2129" s="80">
        <f>IF(AND($B2129="",$C2129="",$D2129=""),"",IF(NOT(ISNUMBER($B2129)),"Enter a valid date",IF($C2129="","Pick a menu item",IF($O2129="","Item not on Menu Pricing",IF(N($D2129)&lt;=0,"Qty must be above 0",IF($H2129="","No price on menu","OK"))))))</f>
        <v/>
      </c>
      <c r="O2129" s="13">
        <f>IF($C2129="","",IFERROR(MATCH($C2129,'Menu Pricing'!$B$7:$B$56,0),""))</f>
        <v/>
      </c>
    </row>
    <row r="2130" ht="17" customHeight="1">
      <c r="B2130" s="66" t="n"/>
      <c r="C2130" s="60" t="n"/>
      <c r="D2130" s="86" t="n"/>
      <c r="E2130" s="63" t="n"/>
      <c r="F2130" s="60" t="n"/>
      <c r="G2130" s="60" t="n"/>
      <c r="H2130" s="71">
        <f>IF(OR($C2130="",$D2130=""),"",IF(ISNUMBER($E2130),$E2130,IF($O2130="","",IF(N(INDEX('Menu Pricing'!$O$7:$O$56,$O2130))&gt;0,INDEX('Menu Pricing'!$O$7:$O$56,$O2130),""))))</f>
        <v/>
      </c>
      <c r="I2130" s="71">
        <f>IF($N2130&lt;&gt;"OK","",$D2130*$H2130)</f>
        <v/>
      </c>
      <c r="J2130" s="71">
        <f>IF($N2130&lt;&gt;"OK","",N(INDEX('Menu Pricing'!$F$7:$F$56,$O2130))+N(INDEX('Menu Pricing'!$G$7:$G$56,$O2130))+N(INDEX('Menu Pricing'!$J$7:$J$56,$O2130)))</f>
        <v/>
      </c>
      <c r="K2130" s="71">
        <f>IF($N2130&lt;&gt;"OK","",$D2130*$J2130)</f>
        <v/>
      </c>
      <c r="L2130" s="71">
        <f>IF($N2130&lt;&gt;"OK","",$I2130-$K2130)</f>
        <v/>
      </c>
      <c r="M2130" s="71">
        <f>IF($N2130&lt;&gt;"OK","",$D2130*N(INDEX('Menu Pricing'!$F$7:$F$56,$O2130)))</f>
        <v/>
      </c>
      <c r="N2130" s="80">
        <f>IF(AND($B2130="",$C2130="",$D2130=""),"",IF(NOT(ISNUMBER($B2130)),"Enter a valid date",IF($C2130="","Pick a menu item",IF($O2130="","Item not on Menu Pricing",IF(N($D2130)&lt;=0,"Qty must be above 0",IF($H2130="","No price on menu","OK"))))))</f>
        <v/>
      </c>
      <c r="O2130" s="13">
        <f>IF($C2130="","",IFERROR(MATCH($C2130,'Menu Pricing'!$B$7:$B$56,0),""))</f>
        <v/>
      </c>
    </row>
    <row r="2131" ht="17" customHeight="1">
      <c r="B2131" s="66" t="n"/>
      <c r="C2131" s="60" t="n"/>
      <c r="D2131" s="86" t="n"/>
      <c r="E2131" s="63" t="n"/>
      <c r="F2131" s="60" t="n"/>
      <c r="G2131" s="60" t="n"/>
      <c r="H2131" s="71">
        <f>IF(OR($C2131="",$D2131=""),"",IF(ISNUMBER($E2131),$E2131,IF($O2131="","",IF(N(INDEX('Menu Pricing'!$O$7:$O$56,$O2131))&gt;0,INDEX('Menu Pricing'!$O$7:$O$56,$O2131),""))))</f>
        <v/>
      </c>
      <c r="I2131" s="71">
        <f>IF($N2131&lt;&gt;"OK","",$D2131*$H2131)</f>
        <v/>
      </c>
      <c r="J2131" s="71">
        <f>IF($N2131&lt;&gt;"OK","",N(INDEX('Menu Pricing'!$F$7:$F$56,$O2131))+N(INDEX('Menu Pricing'!$G$7:$G$56,$O2131))+N(INDEX('Menu Pricing'!$J$7:$J$56,$O2131)))</f>
        <v/>
      </c>
      <c r="K2131" s="71">
        <f>IF($N2131&lt;&gt;"OK","",$D2131*$J2131)</f>
        <v/>
      </c>
      <c r="L2131" s="71">
        <f>IF($N2131&lt;&gt;"OK","",$I2131-$K2131)</f>
        <v/>
      </c>
      <c r="M2131" s="71">
        <f>IF($N2131&lt;&gt;"OK","",$D2131*N(INDEX('Menu Pricing'!$F$7:$F$56,$O2131)))</f>
        <v/>
      </c>
      <c r="N2131" s="80">
        <f>IF(AND($B2131="",$C2131="",$D2131=""),"",IF(NOT(ISNUMBER($B2131)),"Enter a valid date",IF($C2131="","Pick a menu item",IF($O2131="","Item not on Menu Pricing",IF(N($D2131)&lt;=0,"Qty must be above 0",IF($H2131="","No price on menu","OK"))))))</f>
        <v/>
      </c>
      <c r="O2131" s="13">
        <f>IF($C2131="","",IFERROR(MATCH($C2131,'Menu Pricing'!$B$7:$B$56,0),""))</f>
        <v/>
      </c>
    </row>
    <row r="2132" ht="17" customHeight="1">
      <c r="B2132" s="66" t="n"/>
      <c r="C2132" s="60" t="n"/>
      <c r="D2132" s="86" t="n"/>
      <c r="E2132" s="63" t="n"/>
      <c r="F2132" s="60" t="n"/>
      <c r="G2132" s="60" t="n"/>
      <c r="H2132" s="71">
        <f>IF(OR($C2132="",$D2132=""),"",IF(ISNUMBER($E2132),$E2132,IF($O2132="","",IF(N(INDEX('Menu Pricing'!$O$7:$O$56,$O2132))&gt;0,INDEX('Menu Pricing'!$O$7:$O$56,$O2132),""))))</f>
        <v/>
      </c>
      <c r="I2132" s="71">
        <f>IF($N2132&lt;&gt;"OK","",$D2132*$H2132)</f>
        <v/>
      </c>
      <c r="J2132" s="71">
        <f>IF($N2132&lt;&gt;"OK","",N(INDEX('Menu Pricing'!$F$7:$F$56,$O2132))+N(INDEX('Menu Pricing'!$G$7:$G$56,$O2132))+N(INDEX('Menu Pricing'!$J$7:$J$56,$O2132)))</f>
        <v/>
      </c>
      <c r="K2132" s="71">
        <f>IF($N2132&lt;&gt;"OK","",$D2132*$J2132)</f>
        <v/>
      </c>
      <c r="L2132" s="71">
        <f>IF($N2132&lt;&gt;"OK","",$I2132-$K2132)</f>
        <v/>
      </c>
      <c r="M2132" s="71">
        <f>IF($N2132&lt;&gt;"OK","",$D2132*N(INDEX('Menu Pricing'!$F$7:$F$56,$O2132)))</f>
        <v/>
      </c>
      <c r="N2132" s="80">
        <f>IF(AND($B2132="",$C2132="",$D2132=""),"",IF(NOT(ISNUMBER($B2132)),"Enter a valid date",IF($C2132="","Pick a menu item",IF($O2132="","Item not on Menu Pricing",IF(N($D2132)&lt;=0,"Qty must be above 0",IF($H2132="","No price on menu","OK"))))))</f>
        <v/>
      </c>
      <c r="O2132" s="13">
        <f>IF($C2132="","",IFERROR(MATCH($C2132,'Menu Pricing'!$B$7:$B$56,0),""))</f>
        <v/>
      </c>
    </row>
    <row r="2133" ht="17" customHeight="1">
      <c r="B2133" s="66" t="n"/>
      <c r="C2133" s="60" t="n"/>
      <c r="D2133" s="86" t="n"/>
      <c r="E2133" s="63" t="n"/>
      <c r="F2133" s="60" t="n"/>
      <c r="G2133" s="60" t="n"/>
      <c r="H2133" s="71">
        <f>IF(OR($C2133="",$D2133=""),"",IF(ISNUMBER($E2133),$E2133,IF($O2133="","",IF(N(INDEX('Menu Pricing'!$O$7:$O$56,$O2133))&gt;0,INDEX('Menu Pricing'!$O$7:$O$56,$O2133),""))))</f>
        <v/>
      </c>
      <c r="I2133" s="71">
        <f>IF($N2133&lt;&gt;"OK","",$D2133*$H2133)</f>
        <v/>
      </c>
      <c r="J2133" s="71">
        <f>IF($N2133&lt;&gt;"OK","",N(INDEX('Menu Pricing'!$F$7:$F$56,$O2133))+N(INDEX('Menu Pricing'!$G$7:$G$56,$O2133))+N(INDEX('Menu Pricing'!$J$7:$J$56,$O2133)))</f>
        <v/>
      </c>
      <c r="K2133" s="71">
        <f>IF($N2133&lt;&gt;"OK","",$D2133*$J2133)</f>
        <v/>
      </c>
      <c r="L2133" s="71">
        <f>IF($N2133&lt;&gt;"OK","",$I2133-$K2133)</f>
        <v/>
      </c>
      <c r="M2133" s="71">
        <f>IF($N2133&lt;&gt;"OK","",$D2133*N(INDEX('Menu Pricing'!$F$7:$F$56,$O2133)))</f>
        <v/>
      </c>
      <c r="N2133" s="80">
        <f>IF(AND($B2133="",$C2133="",$D2133=""),"",IF(NOT(ISNUMBER($B2133)),"Enter a valid date",IF($C2133="","Pick a menu item",IF($O2133="","Item not on Menu Pricing",IF(N($D2133)&lt;=0,"Qty must be above 0",IF($H2133="","No price on menu","OK"))))))</f>
        <v/>
      </c>
      <c r="O2133" s="13">
        <f>IF($C2133="","",IFERROR(MATCH($C2133,'Menu Pricing'!$B$7:$B$56,0),""))</f>
        <v/>
      </c>
    </row>
    <row r="2134" ht="17" customHeight="1">
      <c r="B2134" s="66" t="n"/>
      <c r="C2134" s="60" t="n"/>
      <c r="D2134" s="86" t="n"/>
      <c r="E2134" s="63" t="n"/>
      <c r="F2134" s="60" t="n"/>
      <c r="G2134" s="60" t="n"/>
      <c r="H2134" s="71">
        <f>IF(OR($C2134="",$D2134=""),"",IF(ISNUMBER($E2134),$E2134,IF($O2134="","",IF(N(INDEX('Menu Pricing'!$O$7:$O$56,$O2134))&gt;0,INDEX('Menu Pricing'!$O$7:$O$56,$O2134),""))))</f>
        <v/>
      </c>
      <c r="I2134" s="71">
        <f>IF($N2134&lt;&gt;"OK","",$D2134*$H2134)</f>
        <v/>
      </c>
      <c r="J2134" s="71">
        <f>IF($N2134&lt;&gt;"OK","",N(INDEX('Menu Pricing'!$F$7:$F$56,$O2134))+N(INDEX('Menu Pricing'!$G$7:$G$56,$O2134))+N(INDEX('Menu Pricing'!$J$7:$J$56,$O2134)))</f>
        <v/>
      </c>
      <c r="K2134" s="71">
        <f>IF($N2134&lt;&gt;"OK","",$D2134*$J2134)</f>
        <v/>
      </c>
      <c r="L2134" s="71">
        <f>IF($N2134&lt;&gt;"OK","",$I2134-$K2134)</f>
        <v/>
      </c>
      <c r="M2134" s="71">
        <f>IF($N2134&lt;&gt;"OK","",$D2134*N(INDEX('Menu Pricing'!$F$7:$F$56,$O2134)))</f>
        <v/>
      </c>
      <c r="N2134" s="80">
        <f>IF(AND($B2134="",$C2134="",$D2134=""),"",IF(NOT(ISNUMBER($B2134)),"Enter a valid date",IF($C2134="","Pick a menu item",IF($O2134="","Item not on Menu Pricing",IF(N($D2134)&lt;=0,"Qty must be above 0",IF($H2134="","No price on menu","OK"))))))</f>
        <v/>
      </c>
      <c r="O2134" s="13">
        <f>IF($C2134="","",IFERROR(MATCH($C2134,'Menu Pricing'!$B$7:$B$56,0),""))</f>
        <v/>
      </c>
    </row>
    <row r="2135" ht="17" customHeight="1">
      <c r="B2135" s="66" t="n"/>
      <c r="C2135" s="60" t="n"/>
      <c r="D2135" s="86" t="n"/>
      <c r="E2135" s="63" t="n"/>
      <c r="F2135" s="60" t="n"/>
      <c r="G2135" s="60" t="n"/>
      <c r="H2135" s="71">
        <f>IF(OR($C2135="",$D2135=""),"",IF(ISNUMBER($E2135),$E2135,IF($O2135="","",IF(N(INDEX('Menu Pricing'!$O$7:$O$56,$O2135))&gt;0,INDEX('Menu Pricing'!$O$7:$O$56,$O2135),""))))</f>
        <v/>
      </c>
      <c r="I2135" s="71">
        <f>IF($N2135&lt;&gt;"OK","",$D2135*$H2135)</f>
        <v/>
      </c>
      <c r="J2135" s="71">
        <f>IF($N2135&lt;&gt;"OK","",N(INDEX('Menu Pricing'!$F$7:$F$56,$O2135))+N(INDEX('Menu Pricing'!$G$7:$G$56,$O2135))+N(INDEX('Menu Pricing'!$J$7:$J$56,$O2135)))</f>
        <v/>
      </c>
      <c r="K2135" s="71">
        <f>IF($N2135&lt;&gt;"OK","",$D2135*$J2135)</f>
        <v/>
      </c>
      <c r="L2135" s="71">
        <f>IF($N2135&lt;&gt;"OK","",$I2135-$K2135)</f>
        <v/>
      </c>
      <c r="M2135" s="71">
        <f>IF($N2135&lt;&gt;"OK","",$D2135*N(INDEX('Menu Pricing'!$F$7:$F$56,$O2135)))</f>
        <v/>
      </c>
      <c r="N2135" s="80">
        <f>IF(AND($B2135="",$C2135="",$D2135=""),"",IF(NOT(ISNUMBER($B2135)),"Enter a valid date",IF($C2135="","Pick a menu item",IF($O2135="","Item not on Menu Pricing",IF(N($D2135)&lt;=0,"Qty must be above 0",IF($H2135="","No price on menu","OK"))))))</f>
        <v/>
      </c>
      <c r="O2135" s="13">
        <f>IF($C2135="","",IFERROR(MATCH($C2135,'Menu Pricing'!$B$7:$B$56,0),""))</f>
        <v/>
      </c>
    </row>
    <row r="2136" ht="17" customHeight="1">
      <c r="B2136" s="66" t="n"/>
      <c r="C2136" s="60" t="n"/>
      <c r="D2136" s="86" t="n"/>
      <c r="E2136" s="63" t="n"/>
      <c r="F2136" s="60" t="n"/>
      <c r="G2136" s="60" t="n"/>
      <c r="H2136" s="71">
        <f>IF(OR($C2136="",$D2136=""),"",IF(ISNUMBER($E2136),$E2136,IF($O2136="","",IF(N(INDEX('Menu Pricing'!$O$7:$O$56,$O2136))&gt;0,INDEX('Menu Pricing'!$O$7:$O$56,$O2136),""))))</f>
        <v/>
      </c>
      <c r="I2136" s="71">
        <f>IF($N2136&lt;&gt;"OK","",$D2136*$H2136)</f>
        <v/>
      </c>
      <c r="J2136" s="71">
        <f>IF($N2136&lt;&gt;"OK","",N(INDEX('Menu Pricing'!$F$7:$F$56,$O2136))+N(INDEX('Menu Pricing'!$G$7:$G$56,$O2136))+N(INDEX('Menu Pricing'!$J$7:$J$56,$O2136)))</f>
        <v/>
      </c>
      <c r="K2136" s="71">
        <f>IF($N2136&lt;&gt;"OK","",$D2136*$J2136)</f>
        <v/>
      </c>
      <c r="L2136" s="71">
        <f>IF($N2136&lt;&gt;"OK","",$I2136-$K2136)</f>
        <v/>
      </c>
      <c r="M2136" s="71">
        <f>IF($N2136&lt;&gt;"OK","",$D2136*N(INDEX('Menu Pricing'!$F$7:$F$56,$O2136)))</f>
        <v/>
      </c>
      <c r="N2136" s="80">
        <f>IF(AND($B2136="",$C2136="",$D2136=""),"",IF(NOT(ISNUMBER($B2136)),"Enter a valid date",IF($C2136="","Pick a menu item",IF($O2136="","Item not on Menu Pricing",IF(N($D2136)&lt;=0,"Qty must be above 0",IF($H2136="","No price on menu","OK"))))))</f>
        <v/>
      </c>
      <c r="O2136" s="13">
        <f>IF($C2136="","",IFERROR(MATCH($C2136,'Menu Pricing'!$B$7:$B$56,0),""))</f>
        <v/>
      </c>
    </row>
    <row r="2137" ht="17" customHeight="1">
      <c r="B2137" s="66" t="n"/>
      <c r="C2137" s="60" t="n"/>
      <c r="D2137" s="86" t="n"/>
      <c r="E2137" s="63" t="n"/>
      <c r="F2137" s="60" t="n"/>
      <c r="G2137" s="60" t="n"/>
      <c r="H2137" s="71">
        <f>IF(OR($C2137="",$D2137=""),"",IF(ISNUMBER($E2137),$E2137,IF($O2137="","",IF(N(INDEX('Menu Pricing'!$O$7:$O$56,$O2137))&gt;0,INDEX('Menu Pricing'!$O$7:$O$56,$O2137),""))))</f>
        <v/>
      </c>
      <c r="I2137" s="71">
        <f>IF($N2137&lt;&gt;"OK","",$D2137*$H2137)</f>
        <v/>
      </c>
      <c r="J2137" s="71">
        <f>IF($N2137&lt;&gt;"OK","",N(INDEX('Menu Pricing'!$F$7:$F$56,$O2137))+N(INDEX('Menu Pricing'!$G$7:$G$56,$O2137))+N(INDEX('Menu Pricing'!$J$7:$J$56,$O2137)))</f>
        <v/>
      </c>
      <c r="K2137" s="71">
        <f>IF($N2137&lt;&gt;"OK","",$D2137*$J2137)</f>
        <v/>
      </c>
      <c r="L2137" s="71">
        <f>IF($N2137&lt;&gt;"OK","",$I2137-$K2137)</f>
        <v/>
      </c>
      <c r="M2137" s="71">
        <f>IF($N2137&lt;&gt;"OK","",$D2137*N(INDEX('Menu Pricing'!$F$7:$F$56,$O2137)))</f>
        <v/>
      </c>
      <c r="N2137" s="80">
        <f>IF(AND($B2137="",$C2137="",$D2137=""),"",IF(NOT(ISNUMBER($B2137)),"Enter a valid date",IF($C2137="","Pick a menu item",IF($O2137="","Item not on Menu Pricing",IF(N($D2137)&lt;=0,"Qty must be above 0",IF($H2137="","No price on menu","OK"))))))</f>
        <v/>
      </c>
      <c r="O2137" s="13">
        <f>IF($C2137="","",IFERROR(MATCH($C2137,'Menu Pricing'!$B$7:$B$56,0),""))</f>
        <v/>
      </c>
    </row>
    <row r="2138" ht="17" customHeight="1">
      <c r="B2138" s="66" t="n"/>
      <c r="C2138" s="60" t="n"/>
      <c r="D2138" s="86" t="n"/>
      <c r="E2138" s="63" t="n"/>
      <c r="F2138" s="60" t="n"/>
      <c r="G2138" s="60" t="n"/>
      <c r="H2138" s="71">
        <f>IF(OR($C2138="",$D2138=""),"",IF(ISNUMBER($E2138),$E2138,IF($O2138="","",IF(N(INDEX('Menu Pricing'!$O$7:$O$56,$O2138))&gt;0,INDEX('Menu Pricing'!$O$7:$O$56,$O2138),""))))</f>
        <v/>
      </c>
      <c r="I2138" s="71">
        <f>IF($N2138&lt;&gt;"OK","",$D2138*$H2138)</f>
        <v/>
      </c>
      <c r="J2138" s="71">
        <f>IF($N2138&lt;&gt;"OK","",N(INDEX('Menu Pricing'!$F$7:$F$56,$O2138))+N(INDEX('Menu Pricing'!$G$7:$G$56,$O2138))+N(INDEX('Menu Pricing'!$J$7:$J$56,$O2138)))</f>
        <v/>
      </c>
      <c r="K2138" s="71">
        <f>IF($N2138&lt;&gt;"OK","",$D2138*$J2138)</f>
        <v/>
      </c>
      <c r="L2138" s="71">
        <f>IF($N2138&lt;&gt;"OK","",$I2138-$K2138)</f>
        <v/>
      </c>
      <c r="M2138" s="71">
        <f>IF($N2138&lt;&gt;"OK","",$D2138*N(INDEX('Menu Pricing'!$F$7:$F$56,$O2138)))</f>
        <v/>
      </c>
      <c r="N2138" s="80">
        <f>IF(AND($B2138="",$C2138="",$D2138=""),"",IF(NOT(ISNUMBER($B2138)),"Enter a valid date",IF($C2138="","Pick a menu item",IF($O2138="","Item not on Menu Pricing",IF(N($D2138)&lt;=0,"Qty must be above 0",IF($H2138="","No price on menu","OK"))))))</f>
        <v/>
      </c>
      <c r="O2138" s="13">
        <f>IF($C2138="","",IFERROR(MATCH($C2138,'Menu Pricing'!$B$7:$B$56,0),""))</f>
        <v/>
      </c>
    </row>
    <row r="2139" ht="17" customHeight="1">
      <c r="B2139" s="66" t="n"/>
      <c r="C2139" s="60" t="n"/>
      <c r="D2139" s="86" t="n"/>
      <c r="E2139" s="63" t="n"/>
      <c r="F2139" s="60" t="n"/>
      <c r="G2139" s="60" t="n"/>
      <c r="H2139" s="71">
        <f>IF(OR($C2139="",$D2139=""),"",IF(ISNUMBER($E2139),$E2139,IF($O2139="","",IF(N(INDEX('Menu Pricing'!$O$7:$O$56,$O2139))&gt;0,INDEX('Menu Pricing'!$O$7:$O$56,$O2139),""))))</f>
        <v/>
      </c>
      <c r="I2139" s="71">
        <f>IF($N2139&lt;&gt;"OK","",$D2139*$H2139)</f>
        <v/>
      </c>
      <c r="J2139" s="71">
        <f>IF($N2139&lt;&gt;"OK","",N(INDEX('Menu Pricing'!$F$7:$F$56,$O2139))+N(INDEX('Menu Pricing'!$G$7:$G$56,$O2139))+N(INDEX('Menu Pricing'!$J$7:$J$56,$O2139)))</f>
        <v/>
      </c>
      <c r="K2139" s="71">
        <f>IF($N2139&lt;&gt;"OK","",$D2139*$J2139)</f>
        <v/>
      </c>
      <c r="L2139" s="71">
        <f>IF($N2139&lt;&gt;"OK","",$I2139-$K2139)</f>
        <v/>
      </c>
      <c r="M2139" s="71">
        <f>IF($N2139&lt;&gt;"OK","",$D2139*N(INDEX('Menu Pricing'!$F$7:$F$56,$O2139)))</f>
        <v/>
      </c>
      <c r="N2139" s="80">
        <f>IF(AND($B2139="",$C2139="",$D2139=""),"",IF(NOT(ISNUMBER($B2139)),"Enter a valid date",IF($C2139="","Pick a menu item",IF($O2139="","Item not on Menu Pricing",IF(N($D2139)&lt;=0,"Qty must be above 0",IF($H2139="","No price on menu","OK"))))))</f>
        <v/>
      </c>
      <c r="O2139" s="13">
        <f>IF($C2139="","",IFERROR(MATCH($C2139,'Menu Pricing'!$B$7:$B$56,0),""))</f>
        <v/>
      </c>
    </row>
    <row r="2140" ht="17" customHeight="1">
      <c r="B2140" s="66" t="n"/>
      <c r="C2140" s="60" t="n"/>
      <c r="D2140" s="86" t="n"/>
      <c r="E2140" s="63" t="n"/>
      <c r="F2140" s="60" t="n"/>
      <c r="G2140" s="60" t="n"/>
      <c r="H2140" s="71">
        <f>IF(OR($C2140="",$D2140=""),"",IF(ISNUMBER($E2140),$E2140,IF($O2140="","",IF(N(INDEX('Menu Pricing'!$O$7:$O$56,$O2140))&gt;0,INDEX('Menu Pricing'!$O$7:$O$56,$O2140),""))))</f>
        <v/>
      </c>
      <c r="I2140" s="71">
        <f>IF($N2140&lt;&gt;"OK","",$D2140*$H2140)</f>
        <v/>
      </c>
      <c r="J2140" s="71">
        <f>IF($N2140&lt;&gt;"OK","",N(INDEX('Menu Pricing'!$F$7:$F$56,$O2140))+N(INDEX('Menu Pricing'!$G$7:$G$56,$O2140))+N(INDEX('Menu Pricing'!$J$7:$J$56,$O2140)))</f>
        <v/>
      </c>
      <c r="K2140" s="71">
        <f>IF($N2140&lt;&gt;"OK","",$D2140*$J2140)</f>
        <v/>
      </c>
      <c r="L2140" s="71">
        <f>IF($N2140&lt;&gt;"OK","",$I2140-$K2140)</f>
        <v/>
      </c>
      <c r="M2140" s="71">
        <f>IF($N2140&lt;&gt;"OK","",$D2140*N(INDEX('Menu Pricing'!$F$7:$F$56,$O2140)))</f>
        <v/>
      </c>
      <c r="N2140" s="80">
        <f>IF(AND($B2140="",$C2140="",$D2140=""),"",IF(NOT(ISNUMBER($B2140)),"Enter a valid date",IF($C2140="","Pick a menu item",IF($O2140="","Item not on Menu Pricing",IF(N($D2140)&lt;=0,"Qty must be above 0",IF($H2140="","No price on menu","OK"))))))</f>
        <v/>
      </c>
      <c r="O2140" s="13">
        <f>IF($C2140="","",IFERROR(MATCH($C2140,'Menu Pricing'!$B$7:$B$56,0),""))</f>
        <v/>
      </c>
    </row>
    <row r="2141" ht="17" customHeight="1">
      <c r="B2141" s="66" t="n"/>
      <c r="C2141" s="60" t="n"/>
      <c r="D2141" s="86" t="n"/>
      <c r="E2141" s="63" t="n"/>
      <c r="F2141" s="60" t="n"/>
      <c r="G2141" s="60" t="n"/>
      <c r="H2141" s="71">
        <f>IF(OR($C2141="",$D2141=""),"",IF(ISNUMBER($E2141),$E2141,IF($O2141="","",IF(N(INDEX('Menu Pricing'!$O$7:$O$56,$O2141))&gt;0,INDEX('Menu Pricing'!$O$7:$O$56,$O2141),""))))</f>
        <v/>
      </c>
      <c r="I2141" s="71">
        <f>IF($N2141&lt;&gt;"OK","",$D2141*$H2141)</f>
        <v/>
      </c>
      <c r="J2141" s="71">
        <f>IF($N2141&lt;&gt;"OK","",N(INDEX('Menu Pricing'!$F$7:$F$56,$O2141))+N(INDEX('Menu Pricing'!$G$7:$G$56,$O2141))+N(INDEX('Menu Pricing'!$J$7:$J$56,$O2141)))</f>
        <v/>
      </c>
      <c r="K2141" s="71">
        <f>IF($N2141&lt;&gt;"OK","",$D2141*$J2141)</f>
        <v/>
      </c>
      <c r="L2141" s="71">
        <f>IF($N2141&lt;&gt;"OK","",$I2141-$K2141)</f>
        <v/>
      </c>
      <c r="M2141" s="71">
        <f>IF($N2141&lt;&gt;"OK","",$D2141*N(INDEX('Menu Pricing'!$F$7:$F$56,$O2141)))</f>
        <v/>
      </c>
      <c r="N2141" s="80">
        <f>IF(AND($B2141="",$C2141="",$D2141=""),"",IF(NOT(ISNUMBER($B2141)),"Enter a valid date",IF($C2141="","Pick a menu item",IF($O2141="","Item not on Menu Pricing",IF(N($D2141)&lt;=0,"Qty must be above 0",IF($H2141="","No price on menu","OK"))))))</f>
        <v/>
      </c>
      <c r="O2141" s="13">
        <f>IF($C2141="","",IFERROR(MATCH($C2141,'Menu Pricing'!$B$7:$B$56,0),""))</f>
        <v/>
      </c>
    </row>
    <row r="2142" ht="17" customHeight="1">
      <c r="B2142" s="66" t="n"/>
      <c r="C2142" s="60" t="n"/>
      <c r="D2142" s="86" t="n"/>
      <c r="E2142" s="63" t="n"/>
      <c r="F2142" s="60" t="n"/>
      <c r="G2142" s="60" t="n"/>
      <c r="H2142" s="71">
        <f>IF(OR($C2142="",$D2142=""),"",IF(ISNUMBER($E2142),$E2142,IF($O2142="","",IF(N(INDEX('Menu Pricing'!$O$7:$O$56,$O2142))&gt;0,INDEX('Menu Pricing'!$O$7:$O$56,$O2142),""))))</f>
        <v/>
      </c>
      <c r="I2142" s="71">
        <f>IF($N2142&lt;&gt;"OK","",$D2142*$H2142)</f>
        <v/>
      </c>
      <c r="J2142" s="71">
        <f>IF($N2142&lt;&gt;"OK","",N(INDEX('Menu Pricing'!$F$7:$F$56,$O2142))+N(INDEX('Menu Pricing'!$G$7:$G$56,$O2142))+N(INDEX('Menu Pricing'!$J$7:$J$56,$O2142)))</f>
        <v/>
      </c>
      <c r="K2142" s="71">
        <f>IF($N2142&lt;&gt;"OK","",$D2142*$J2142)</f>
        <v/>
      </c>
      <c r="L2142" s="71">
        <f>IF($N2142&lt;&gt;"OK","",$I2142-$K2142)</f>
        <v/>
      </c>
      <c r="M2142" s="71">
        <f>IF($N2142&lt;&gt;"OK","",$D2142*N(INDEX('Menu Pricing'!$F$7:$F$56,$O2142)))</f>
        <v/>
      </c>
      <c r="N2142" s="80">
        <f>IF(AND($B2142="",$C2142="",$D2142=""),"",IF(NOT(ISNUMBER($B2142)),"Enter a valid date",IF($C2142="","Pick a menu item",IF($O2142="","Item not on Menu Pricing",IF(N($D2142)&lt;=0,"Qty must be above 0",IF($H2142="","No price on menu","OK"))))))</f>
        <v/>
      </c>
      <c r="O2142" s="13">
        <f>IF($C2142="","",IFERROR(MATCH($C2142,'Menu Pricing'!$B$7:$B$56,0),""))</f>
        <v/>
      </c>
    </row>
    <row r="2143" ht="17" customHeight="1">
      <c r="B2143" s="66" t="n"/>
      <c r="C2143" s="60" t="n"/>
      <c r="D2143" s="86" t="n"/>
      <c r="E2143" s="63" t="n"/>
      <c r="F2143" s="60" t="n"/>
      <c r="G2143" s="60" t="n"/>
      <c r="H2143" s="71">
        <f>IF(OR($C2143="",$D2143=""),"",IF(ISNUMBER($E2143),$E2143,IF($O2143="","",IF(N(INDEX('Menu Pricing'!$O$7:$O$56,$O2143))&gt;0,INDEX('Menu Pricing'!$O$7:$O$56,$O2143),""))))</f>
        <v/>
      </c>
      <c r="I2143" s="71">
        <f>IF($N2143&lt;&gt;"OK","",$D2143*$H2143)</f>
        <v/>
      </c>
      <c r="J2143" s="71">
        <f>IF($N2143&lt;&gt;"OK","",N(INDEX('Menu Pricing'!$F$7:$F$56,$O2143))+N(INDEX('Menu Pricing'!$G$7:$G$56,$O2143))+N(INDEX('Menu Pricing'!$J$7:$J$56,$O2143)))</f>
        <v/>
      </c>
      <c r="K2143" s="71">
        <f>IF($N2143&lt;&gt;"OK","",$D2143*$J2143)</f>
        <v/>
      </c>
      <c r="L2143" s="71">
        <f>IF($N2143&lt;&gt;"OK","",$I2143-$K2143)</f>
        <v/>
      </c>
      <c r="M2143" s="71">
        <f>IF($N2143&lt;&gt;"OK","",$D2143*N(INDEX('Menu Pricing'!$F$7:$F$56,$O2143)))</f>
        <v/>
      </c>
      <c r="N2143" s="80">
        <f>IF(AND($B2143="",$C2143="",$D2143=""),"",IF(NOT(ISNUMBER($B2143)),"Enter a valid date",IF($C2143="","Pick a menu item",IF($O2143="","Item not on Menu Pricing",IF(N($D2143)&lt;=0,"Qty must be above 0",IF($H2143="","No price on menu","OK"))))))</f>
        <v/>
      </c>
      <c r="O2143" s="13">
        <f>IF($C2143="","",IFERROR(MATCH($C2143,'Menu Pricing'!$B$7:$B$56,0),""))</f>
        <v/>
      </c>
    </row>
    <row r="2144" ht="17" customHeight="1">
      <c r="B2144" s="66" t="n"/>
      <c r="C2144" s="60" t="n"/>
      <c r="D2144" s="86" t="n"/>
      <c r="E2144" s="63" t="n"/>
      <c r="F2144" s="60" t="n"/>
      <c r="G2144" s="60" t="n"/>
      <c r="H2144" s="71">
        <f>IF(OR($C2144="",$D2144=""),"",IF(ISNUMBER($E2144),$E2144,IF($O2144="","",IF(N(INDEX('Menu Pricing'!$O$7:$O$56,$O2144))&gt;0,INDEX('Menu Pricing'!$O$7:$O$56,$O2144),""))))</f>
        <v/>
      </c>
      <c r="I2144" s="71">
        <f>IF($N2144&lt;&gt;"OK","",$D2144*$H2144)</f>
        <v/>
      </c>
      <c r="J2144" s="71">
        <f>IF($N2144&lt;&gt;"OK","",N(INDEX('Menu Pricing'!$F$7:$F$56,$O2144))+N(INDEX('Menu Pricing'!$G$7:$G$56,$O2144))+N(INDEX('Menu Pricing'!$J$7:$J$56,$O2144)))</f>
        <v/>
      </c>
      <c r="K2144" s="71">
        <f>IF($N2144&lt;&gt;"OK","",$D2144*$J2144)</f>
        <v/>
      </c>
      <c r="L2144" s="71">
        <f>IF($N2144&lt;&gt;"OK","",$I2144-$K2144)</f>
        <v/>
      </c>
      <c r="M2144" s="71">
        <f>IF($N2144&lt;&gt;"OK","",$D2144*N(INDEX('Menu Pricing'!$F$7:$F$56,$O2144)))</f>
        <v/>
      </c>
      <c r="N2144" s="80">
        <f>IF(AND($B2144="",$C2144="",$D2144=""),"",IF(NOT(ISNUMBER($B2144)),"Enter a valid date",IF($C2144="","Pick a menu item",IF($O2144="","Item not on Menu Pricing",IF(N($D2144)&lt;=0,"Qty must be above 0",IF($H2144="","No price on menu","OK"))))))</f>
        <v/>
      </c>
      <c r="O2144" s="13">
        <f>IF($C2144="","",IFERROR(MATCH($C2144,'Menu Pricing'!$B$7:$B$56,0),""))</f>
        <v/>
      </c>
    </row>
    <row r="2145" ht="17" customHeight="1">
      <c r="B2145" s="66" t="n"/>
      <c r="C2145" s="60" t="n"/>
      <c r="D2145" s="86" t="n"/>
      <c r="E2145" s="63" t="n"/>
      <c r="F2145" s="60" t="n"/>
      <c r="G2145" s="60" t="n"/>
      <c r="H2145" s="71">
        <f>IF(OR($C2145="",$D2145=""),"",IF(ISNUMBER($E2145),$E2145,IF($O2145="","",IF(N(INDEX('Menu Pricing'!$O$7:$O$56,$O2145))&gt;0,INDEX('Menu Pricing'!$O$7:$O$56,$O2145),""))))</f>
        <v/>
      </c>
      <c r="I2145" s="71">
        <f>IF($N2145&lt;&gt;"OK","",$D2145*$H2145)</f>
        <v/>
      </c>
      <c r="J2145" s="71">
        <f>IF($N2145&lt;&gt;"OK","",N(INDEX('Menu Pricing'!$F$7:$F$56,$O2145))+N(INDEX('Menu Pricing'!$G$7:$G$56,$O2145))+N(INDEX('Menu Pricing'!$J$7:$J$56,$O2145)))</f>
        <v/>
      </c>
      <c r="K2145" s="71">
        <f>IF($N2145&lt;&gt;"OK","",$D2145*$J2145)</f>
        <v/>
      </c>
      <c r="L2145" s="71">
        <f>IF($N2145&lt;&gt;"OK","",$I2145-$K2145)</f>
        <v/>
      </c>
      <c r="M2145" s="71">
        <f>IF($N2145&lt;&gt;"OK","",$D2145*N(INDEX('Menu Pricing'!$F$7:$F$56,$O2145)))</f>
        <v/>
      </c>
      <c r="N2145" s="80">
        <f>IF(AND($B2145="",$C2145="",$D2145=""),"",IF(NOT(ISNUMBER($B2145)),"Enter a valid date",IF($C2145="","Pick a menu item",IF($O2145="","Item not on Menu Pricing",IF(N($D2145)&lt;=0,"Qty must be above 0",IF($H2145="","No price on menu","OK"))))))</f>
        <v/>
      </c>
      <c r="O2145" s="13">
        <f>IF($C2145="","",IFERROR(MATCH($C2145,'Menu Pricing'!$B$7:$B$56,0),""))</f>
        <v/>
      </c>
    </row>
    <row r="2146" ht="17" customHeight="1">
      <c r="B2146" s="66" t="n"/>
      <c r="C2146" s="60" t="n"/>
      <c r="D2146" s="86" t="n"/>
      <c r="E2146" s="63" t="n"/>
      <c r="F2146" s="60" t="n"/>
      <c r="G2146" s="60" t="n"/>
      <c r="H2146" s="71">
        <f>IF(OR($C2146="",$D2146=""),"",IF(ISNUMBER($E2146),$E2146,IF($O2146="","",IF(N(INDEX('Menu Pricing'!$O$7:$O$56,$O2146))&gt;0,INDEX('Menu Pricing'!$O$7:$O$56,$O2146),""))))</f>
        <v/>
      </c>
      <c r="I2146" s="71">
        <f>IF($N2146&lt;&gt;"OK","",$D2146*$H2146)</f>
        <v/>
      </c>
      <c r="J2146" s="71">
        <f>IF($N2146&lt;&gt;"OK","",N(INDEX('Menu Pricing'!$F$7:$F$56,$O2146))+N(INDEX('Menu Pricing'!$G$7:$G$56,$O2146))+N(INDEX('Menu Pricing'!$J$7:$J$56,$O2146)))</f>
        <v/>
      </c>
      <c r="K2146" s="71">
        <f>IF($N2146&lt;&gt;"OK","",$D2146*$J2146)</f>
        <v/>
      </c>
      <c r="L2146" s="71">
        <f>IF($N2146&lt;&gt;"OK","",$I2146-$K2146)</f>
        <v/>
      </c>
      <c r="M2146" s="71">
        <f>IF($N2146&lt;&gt;"OK","",$D2146*N(INDEX('Menu Pricing'!$F$7:$F$56,$O2146)))</f>
        <v/>
      </c>
      <c r="N2146" s="80">
        <f>IF(AND($B2146="",$C2146="",$D2146=""),"",IF(NOT(ISNUMBER($B2146)),"Enter a valid date",IF($C2146="","Pick a menu item",IF($O2146="","Item not on Menu Pricing",IF(N($D2146)&lt;=0,"Qty must be above 0",IF($H2146="","No price on menu","OK"))))))</f>
        <v/>
      </c>
      <c r="O2146" s="13">
        <f>IF($C2146="","",IFERROR(MATCH($C2146,'Menu Pricing'!$B$7:$B$56,0),""))</f>
        <v/>
      </c>
    </row>
    <row r="2147" ht="17" customHeight="1">
      <c r="B2147" s="66" t="n"/>
      <c r="C2147" s="60" t="n"/>
      <c r="D2147" s="86" t="n"/>
      <c r="E2147" s="63" t="n"/>
      <c r="F2147" s="60" t="n"/>
      <c r="G2147" s="60" t="n"/>
      <c r="H2147" s="71">
        <f>IF(OR($C2147="",$D2147=""),"",IF(ISNUMBER($E2147),$E2147,IF($O2147="","",IF(N(INDEX('Menu Pricing'!$O$7:$O$56,$O2147))&gt;0,INDEX('Menu Pricing'!$O$7:$O$56,$O2147),""))))</f>
        <v/>
      </c>
      <c r="I2147" s="71">
        <f>IF($N2147&lt;&gt;"OK","",$D2147*$H2147)</f>
        <v/>
      </c>
      <c r="J2147" s="71">
        <f>IF($N2147&lt;&gt;"OK","",N(INDEX('Menu Pricing'!$F$7:$F$56,$O2147))+N(INDEX('Menu Pricing'!$G$7:$G$56,$O2147))+N(INDEX('Menu Pricing'!$J$7:$J$56,$O2147)))</f>
        <v/>
      </c>
      <c r="K2147" s="71">
        <f>IF($N2147&lt;&gt;"OK","",$D2147*$J2147)</f>
        <v/>
      </c>
      <c r="L2147" s="71">
        <f>IF($N2147&lt;&gt;"OK","",$I2147-$K2147)</f>
        <v/>
      </c>
      <c r="M2147" s="71">
        <f>IF($N2147&lt;&gt;"OK","",$D2147*N(INDEX('Menu Pricing'!$F$7:$F$56,$O2147)))</f>
        <v/>
      </c>
      <c r="N2147" s="80">
        <f>IF(AND($B2147="",$C2147="",$D2147=""),"",IF(NOT(ISNUMBER($B2147)),"Enter a valid date",IF($C2147="","Pick a menu item",IF($O2147="","Item not on Menu Pricing",IF(N($D2147)&lt;=0,"Qty must be above 0",IF($H2147="","No price on menu","OK"))))))</f>
        <v/>
      </c>
      <c r="O2147" s="13">
        <f>IF($C2147="","",IFERROR(MATCH($C2147,'Menu Pricing'!$B$7:$B$56,0),""))</f>
        <v/>
      </c>
    </row>
    <row r="2148" ht="17" customHeight="1">
      <c r="B2148" s="66" t="n"/>
      <c r="C2148" s="60" t="n"/>
      <c r="D2148" s="86" t="n"/>
      <c r="E2148" s="63" t="n"/>
      <c r="F2148" s="60" t="n"/>
      <c r="G2148" s="60" t="n"/>
      <c r="H2148" s="71">
        <f>IF(OR($C2148="",$D2148=""),"",IF(ISNUMBER($E2148),$E2148,IF($O2148="","",IF(N(INDEX('Menu Pricing'!$O$7:$O$56,$O2148))&gt;0,INDEX('Menu Pricing'!$O$7:$O$56,$O2148),""))))</f>
        <v/>
      </c>
      <c r="I2148" s="71">
        <f>IF($N2148&lt;&gt;"OK","",$D2148*$H2148)</f>
        <v/>
      </c>
      <c r="J2148" s="71">
        <f>IF($N2148&lt;&gt;"OK","",N(INDEX('Menu Pricing'!$F$7:$F$56,$O2148))+N(INDEX('Menu Pricing'!$G$7:$G$56,$O2148))+N(INDEX('Menu Pricing'!$J$7:$J$56,$O2148)))</f>
        <v/>
      </c>
      <c r="K2148" s="71">
        <f>IF($N2148&lt;&gt;"OK","",$D2148*$J2148)</f>
        <v/>
      </c>
      <c r="L2148" s="71">
        <f>IF($N2148&lt;&gt;"OK","",$I2148-$K2148)</f>
        <v/>
      </c>
      <c r="M2148" s="71">
        <f>IF($N2148&lt;&gt;"OK","",$D2148*N(INDEX('Menu Pricing'!$F$7:$F$56,$O2148)))</f>
        <v/>
      </c>
      <c r="N2148" s="80">
        <f>IF(AND($B2148="",$C2148="",$D2148=""),"",IF(NOT(ISNUMBER($B2148)),"Enter a valid date",IF($C2148="","Pick a menu item",IF($O2148="","Item not on Menu Pricing",IF(N($D2148)&lt;=0,"Qty must be above 0",IF($H2148="","No price on menu","OK"))))))</f>
        <v/>
      </c>
      <c r="O2148" s="13">
        <f>IF($C2148="","",IFERROR(MATCH($C2148,'Menu Pricing'!$B$7:$B$56,0),""))</f>
        <v/>
      </c>
    </row>
    <row r="2149" ht="17" customHeight="1">
      <c r="B2149" s="66" t="n"/>
      <c r="C2149" s="60" t="n"/>
      <c r="D2149" s="86" t="n"/>
      <c r="E2149" s="63" t="n"/>
      <c r="F2149" s="60" t="n"/>
      <c r="G2149" s="60" t="n"/>
      <c r="H2149" s="71">
        <f>IF(OR($C2149="",$D2149=""),"",IF(ISNUMBER($E2149),$E2149,IF($O2149="","",IF(N(INDEX('Menu Pricing'!$O$7:$O$56,$O2149))&gt;0,INDEX('Menu Pricing'!$O$7:$O$56,$O2149),""))))</f>
        <v/>
      </c>
      <c r="I2149" s="71">
        <f>IF($N2149&lt;&gt;"OK","",$D2149*$H2149)</f>
        <v/>
      </c>
      <c r="J2149" s="71">
        <f>IF($N2149&lt;&gt;"OK","",N(INDEX('Menu Pricing'!$F$7:$F$56,$O2149))+N(INDEX('Menu Pricing'!$G$7:$G$56,$O2149))+N(INDEX('Menu Pricing'!$J$7:$J$56,$O2149)))</f>
        <v/>
      </c>
      <c r="K2149" s="71">
        <f>IF($N2149&lt;&gt;"OK","",$D2149*$J2149)</f>
        <v/>
      </c>
      <c r="L2149" s="71">
        <f>IF($N2149&lt;&gt;"OK","",$I2149-$K2149)</f>
        <v/>
      </c>
      <c r="M2149" s="71">
        <f>IF($N2149&lt;&gt;"OK","",$D2149*N(INDEX('Menu Pricing'!$F$7:$F$56,$O2149)))</f>
        <v/>
      </c>
      <c r="N2149" s="80">
        <f>IF(AND($B2149="",$C2149="",$D2149=""),"",IF(NOT(ISNUMBER($B2149)),"Enter a valid date",IF($C2149="","Pick a menu item",IF($O2149="","Item not on Menu Pricing",IF(N($D2149)&lt;=0,"Qty must be above 0",IF($H2149="","No price on menu","OK"))))))</f>
        <v/>
      </c>
      <c r="O2149" s="13">
        <f>IF($C2149="","",IFERROR(MATCH($C2149,'Menu Pricing'!$B$7:$B$56,0),""))</f>
        <v/>
      </c>
    </row>
    <row r="2150" ht="17" customHeight="1">
      <c r="B2150" s="66" t="n"/>
      <c r="C2150" s="60" t="n"/>
      <c r="D2150" s="86" t="n"/>
      <c r="E2150" s="63" t="n"/>
      <c r="F2150" s="60" t="n"/>
      <c r="G2150" s="60" t="n"/>
      <c r="H2150" s="71">
        <f>IF(OR($C2150="",$D2150=""),"",IF(ISNUMBER($E2150),$E2150,IF($O2150="","",IF(N(INDEX('Menu Pricing'!$O$7:$O$56,$O2150))&gt;0,INDEX('Menu Pricing'!$O$7:$O$56,$O2150),""))))</f>
        <v/>
      </c>
      <c r="I2150" s="71">
        <f>IF($N2150&lt;&gt;"OK","",$D2150*$H2150)</f>
        <v/>
      </c>
      <c r="J2150" s="71">
        <f>IF($N2150&lt;&gt;"OK","",N(INDEX('Menu Pricing'!$F$7:$F$56,$O2150))+N(INDEX('Menu Pricing'!$G$7:$G$56,$O2150))+N(INDEX('Menu Pricing'!$J$7:$J$56,$O2150)))</f>
        <v/>
      </c>
      <c r="K2150" s="71">
        <f>IF($N2150&lt;&gt;"OK","",$D2150*$J2150)</f>
        <v/>
      </c>
      <c r="L2150" s="71">
        <f>IF($N2150&lt;&gt;"OK","",$I2150-$K2150)</f>
        <v/>
      </c>
      <c r="M2150" s="71">
        <f>IF($N2150&lt;&gt;"OK","",$D2150*N(INDEX('Menu Pricing'!$F$7:$F$56,$O2150)))</f>
        <v/>
      </c>
      <c r="N2150" s="80">
        <f>IF(AND($B2150="",$C2150="",$D2150=""),"",IF(NOT(ISNUMBER($B2150)),"Enter a valid date",IF($C2150="","Pick a menu item",IF($O2150="","Item not on Menu Pricing",IF(N($D2150)&lt;=0,"Qty must be above 0",IF($H2150="","No price on menu","OK"))))))</f>
        <v/>
      </c>
      <c r="O2150" s="13">
        <f>IF($C2150="","",IFERROR(MATCH($C2150,'Menu Pricing'!$B$7:$B$56,0),""))</f>
        <v/>
      </c>
    </row>
    <row r="2151" ht="17" customHeight="1">
      <c r="B2151" s="66" t="n"/>
      <c r="C2151" s="60" t="n"/>
      <c r="D2151" s="86" t="n"/>
      <c r="E2151" s="63" t="n"/>
      <c r="F2151" s="60" t="n"/>
      <c r="G2151" s="60" t="n"/>
      <c r="H2151" s="71">
        <f>IF(OR($C2151="",$D2151=""),"",IF(ISNUMBER($E2151),$E2151,IF($O2151="","",IF(N(INDEX('Menu Pricing'!$O$7:$O$56,$O2151))&gt;0,INDEX('Menu Pricing'!$O$7:$O$56,$O2151),""))))</f>
        <v/>
      </c>
      <c r="I2151" s="71">
        <f>IF($N2151&lt;&gt;"OK","",$D2151*$H2151)</f>
        <v/>
      </c>
      <c r="J2151" s="71">
        <f>IF($N2151&lt;&gt;"OK","",N(INDEX('Menu Pricing'!$F$7:$F$56,$O2151))+N(INDEX('Menu Pricing'!$G$7:$G$56,$O2151))+N(INDEX('Menu Pricing'!$J$7:$J$56,$O2151)))</f>
        <v/>
      </c>
      <c r="K2151" s="71">
        <f>IF($N2151&lt;&gt;"OK","",$D2151*$J2151)</f>
        <v/>
      </c>
      <c r="L2151" s="71">
        <f>IF($N2151&lt;&gt;"OK","",$I2151-$K2151)</f>
        <v/>
      </c>
      <c r="M2151" s="71">
        <f>IF($N2151&lt;&gt;"OK","",$D2151*N(INDEX('Menu Pricing'!$F$7:$F$56,$O2151)))</f>
        <v/>
      </c>
      <c r="N2151" s="80">
        <f>IF(AND($B2151="",$C2151="",$D2151=""),"",IF(NOT(ISNUMBER($B2151)),"Enter a valid date",IF($C2151="","Pick a menu item",IF($O2151="","Item not on Menu Pricing",IF(N($D2151)&lt;=0,"Qty must be above 0",IF($H2151="","No price on menu","OK"))))))</f>
        <v/>
      </c>
      <c r="O2151" s="13">
        <f>IF($C2151="","",IFERROR(MATCH($C2151,'Menu Pricing'!$B$7:$B$56,0),""))</f>
        <v/>
      </c>
    </row>
    <row r="2152" ht="17" customHeight="1">
      <c r="B2152" s="66" t="n"/>
      <c r="C2152" s="60" t="n"/>
      <c r="D2152" s="86" t="n"/>
      <c r="E2152" s="63" t="n"/>
      <c r="F2152" s="60" t="n"/>
      <c r="G2152" s="60" t="n"/>
      <c r="H2152" s="71">
        <f>IF(OR($C2152="",$D2152=""),"",IF(ISNUMBER($E2152),$E2152,IF($O2152="","",IF(N(INDEX('Menu Pricing'!$O$7:$O$56,$O2152))&gt;0,INDEX('Menu Pricing'!$O$7:$O$56,$O2152),""))))</f>
        <v/>
      </c>
      <c r="I2152" s="71">
        <f>IF($N2152&lt;&gt;"OK","",$D2152*$H2152)</f>
        <v/>
      </c>
      <c r="J2152" s="71">
        <f>IF($N2152&lt;&gt;"OK","",N(INDEX('Menu Pricing'!$F$7:$F$56,$O2152))+N(INDEX('Menu Pricing'!$G$7:$G$56,$O2152))+N(INDEX('Menu Pricing'!$J$7:$J$56,$O2152)))</f>
        <v/>
      </c>
      <c r="K2152" s="71">
        <f>IF($N2152&lt;&gt;"OK","",$D2152*$J2152)</f>
        <v/>
      </c>
      <c r="L2152" s="71">
        <f>IF($N2152&lt;&gt;"OK","",$I2152-$K2152)</f>
        <v/>
      </c>
      <c r="M2152" s="71">
        <f>IF($N2152&lt;&gt;"OK","",$D2152*N(INDEX('Menu Pricing'!$F$7:$F$56,$O2152)))</f>
        <v/>
      </c>
      <c r="N2152" s="80">
        <f>IF(AND($B2152="",$C2152="",$D2152=""),"",IF(NOT(ISNUMBER($B2152)),"Enter a valid date",IF($C2152="","Pick a menu item",IF($O2152="","Item not on Menu Pricing",IF(N($D2152)&lt;=0,"Qty must be above 0",IF($H2152="","No price on menu","OK"))))))</f>
        <v/>
      </c>
      <c r="O2152" s="13">
        <f>IF($C2152="","",IFERROR(MATCH($C2152,'Menu Pricing'!$B$7:$B$56,0),""))</f>
        <v/>
      </c>
    </row>
    <row r="2153" ht="17" customHeight="1">
      <c r="B2153" s="66" t="n"/>
      <c r="C2153" s="60" t="n"/>
      <c r="D2153" s="86" t="n"/>
      <c r="E2153" s="63" t="n"/>
      <c r="F2153" s="60" t="n"/>
      <c r="G2153" s="60" t="n"/>
      <c r="H2153" s="71">
        <f>IF(OR($C2153="",$D2153=""),"",IF(ISNUMBER($E2153),$E2153,IF($O2153="","",IF(N(INDEX('Menu Pricing'!$O$7:$O$56,$O2153))&gt;0,INDEX('Menu Pricing'!$O$7:$O$56,$O2153),""))))</f>
        <v/>
      </c>
      <c r="I2153" s="71">
        <f>IF($N2153&lt;&gt;"OK","",$D2153*$H2153)</f>
        <v/>
      </c>
      <c r="J2153" s="71">
        <f>IF($N2153&lt;&gt;"OK","",N(INDEX('Menu Pricing'!$F$7:$F$56,$O2153))+N(INDEX('Menu Pricing'!$G$7:$G$56,$O2153))+N(INDEX('Menu Pricing'!$J$7:$J$56,$O2153)))</f>
        <v/>
      </c>
      <c r="K2153" s="71">
        <f>IF($N2153&lt;&gt;"OK","",$D2153*$J2153)</f>
        <v/>
      </c>
      <c r="L2153" s="71">
        <f>IF($N2153&lt;&gt;"OK","",$I2153-$K2153)</f>
        <v/>
      </c>
      <c r="M2153" s="71">
        <f>IF($N2153&lt;&gt;"OK","",$D2153*N(INDEX('Menu Pricing'!$F$7:$F$56,$O2153)))</f>
        <v/>
      </c>
      <c r="N2153" s="80">
        <f>IF(AND($B2153="",$C2153="",$D2153=""),"",IF(NOT(ISNUMBER($B2153)),"Enter a valid date",IF($C2153="","Pick a menu item",IF($O2153="","Item not on Menu Pricing",IF(N($D2153)&lt;=0,"Qty must be above 0",IF($H2153="","No price on menu","OK"))))))</f>
        <v/>
      </c>
      <c r="O2153" s="13">
        <f>IF($C2153="","",IFERROR(MATCH($C2153,'Menu Pricing'!$B$7:$B$56,0),""))</f>
        <v/>
      </c>
    </row>
    <row r="2154" ht="17" customHeight="1">
      <c r="B2154" s="66" t="n"/>
      <c r="C2154" s="60" t="n"/>
      <c r="D2154" s="86" t="n"/>
      <c r="E2154" s="63" t="n"/>
      <c r="F2154" s="60" t="n"/>
      <c r="G2154" s="60" t="n"/>
      <c r="H2154" s="71">
        <f>IF(OR($C2154="",$D2154=""),"",IF(ISNUMBER($E2154),$E2154,IF($O2154="","",IF(N(INDEX('Menu Pricing'!$O$7:$O$56,$O2154))&gt;0,INDEX('Menu Pricing'!$O$7:$O$56,$O2154),""))))</f>
        <v/>
      </c>
      <c r="I2154" s="71">
        <f>IF($N2154&lt;&gt;"OK","",$D2154*$H2154)</f>
        <v/>
      </c>
      <c r="J2154" s="71">
        <f>IF($N2154&lt;&gt;"OK","",N(INDEX('Menu Pricing'!$F$7:$F$56,$O2154))+N(INDEX('Menu Pricing'!$G$7:$G$56,$O2154))+N(INDEX('Menu Pricing'!$J$7:$J$56,$O2154)))</f>
        <v/>
      </c>
      <c r="K2154" s="71">
        <f>IF($N2154&lt;&gt;"OK","",$D2154*$J2154)</f>
        <v/>
      </c>
      <c r="L2154" s="71">
        <f>IF($N2154&lt;&gt;"OK","",$I2154-$K2154)</f>
        <v/>
      </c>
      <c r="M2154" s="71">
        <f>IF($N2154&lt;&gt;"OK","",$D2154*N(INDEX('Menu Pricing'!$F$7:$F$56,$O2154)))</f>
        <v/>
      </c>
      <c r="N2154" s="80">
        <f>IF(AND($B2154="",$C2154="",$D2154=""),"",IF(NOT(ISNUMBER($B2154)),"Enter a valid date",IF($C2154="","Pick a menu item",IF($O2154="","Item not on Menu Pricing",IF(N($D2154)&lt;=0,"Qty must be above 0",IF($H2154="","No price on menu","OK"))))))</f>
        <v/>
      </c>
      <c r="O2154" s="13">
        <f>IF($C2154="","",IFERROR(MATCH($C2154,'Menu Pricing'!$B$7:$B$56,0),""))</f>
        <v/>
      </c>
    </row>
    <row r="2155" ht="17" customHeight="1">
      <c r="B2155" s="66" t="n"/>
      <c r="C2155" s="60" t="n"/>
      <c r="D2155" s="86" t="n"/>
      <c r="E2155" s="63" t="n"/>
      <c r="F2155" s="60" t="n"/>
      <c r="G2155" s="60" t="n"/>
      <c r="H2155" s="71">
        <f>IF(OR($C2155="",$D2155=""),"",IF(ISNUMBER($E2155),$E2155,IF($O2155="","",IF(N(INDEX('Menu Pricing'!$O$7:$O$56,$O2155))&gt;0,INDEX('Menu Pricing'!$O$7:$O$56,$O2155),""))))</f>
        <v/>
      </c>
      <c r="I2155" s="71">
        <f>IF($N2155&lt;&gt;"OK","",$D2155*$H2155)</f>
        <v/>
      </c>
      <c r="J2155" s="71">
        <f>IF($N2155&lt;&gt;"OK","",N(INDEX('Menu Pricing'!$F$7:$F$56,$O2155))+N(INDEX('Menu Pricing'!$G$7:$G$56,$O2155))+N(INDEX('Menu Pricing'!$J$7:$J$56,$O2155)))</f>
        <v/>
      </c>
      <c r="K2155" s="71">
        <f>IF($N2155&lt;&gt;"OK","",$D2155*$J2155)</f>
        <v/>
      </c>
      <c r="L2155" s="71">
        <f>IF($N2155&lt;&gt;"OK","",$I2155-$K2155)</f>
        <v/>
      </c>
      <c r="M2155" s="71">
        <f>IF($N2155&lt;&gt;"OK","",$D2155*N(INDEX('Menu Pricing'!$F$7:$F$56,$O2155)))</f>
        <v/>
      </c>
      <c r="N2155" s="80">
        <f>IF(AND($B2155="",$C2155="",$D2155=""),"",IF(NOT(ISNUMBER($B2155)),"Enter a valid date",IF($C2155="","Pick a menu item",IF($O2155="","Item not on Menu Pricing",IF(N($D2155)&lt;=0,"Qty must be above 0",IF($H2155="","No price on menu","OK"))))))</f>
        <v/>
      </c>
      <c r="O2155" s="13">
        <f>IF($C2155="","",IFERROR(MATCH($C2155,'Menu Pricing'!$B$7:$B$56,0),""))</f>
        <v/>
      </c>
    </row>
    <row r="2156" ht="17" customHeight="1">
      <c r="B2156" s="66" t="n"/>
      <c r="C2156" s="60" t="n"/>
      <c r="D2156" s="86" t="n"/>
      <c r="E2156" s="63" t="n"/>
      <c r="F2156" s="60" t="n"/>
      <c r="G2156" s="60" t="n"/>
      <c r="H2156" s="71">
        <f>IF(OR($C2156="",$D2156=""),"",IF(ISNUMBER($E2156),$E2156,IF($O2156="","",IF(N(INDEX('Menu Pricing'!$O$7:$O$56,$O2156))&gt;0,INDEX('Menu Pricing'!$O$7:$O$56,$O2156),""))))</f>
        <v/>
      </c>
      <c r="I2156" s="71">
        <f>IF($N2156&lt;&gt;"OK","",$D2156*$H2156)</f>
        <v/>
      </c>
      <c r="J2156" s="71">
        <f>IF($N2156&lt;&gt;"OK","",N(INDEX('Menu Pricing'!$F$7:$F$56,$O2156))+N(INDEX('Menu Pricing'!$G$7:$G$56,$O2156))+N(INDEX('Menu Pricing'!$J$7:$J$56,$O2156)))</f>
        <v/>
      </c>
      <c r="K2156" s="71">
        <f>IF($N2156&lt;&gt;"OK","",$D2156*$J2156)</f>
        <v/>
      </c>
      <c r="L2156" s="71">
        <f>IF($N2156&lt;&gt;"OK","",$I2156-$K2156)</f>
        <v/>
      </c>
      <c r="M2156" s="71">
        <f>IF($N2156&lt;&gt;"OK","",$D2156*N(INDEX('Menu Pricing'!$F$7:$F$56,$O2156)))</f>
        <v/>
      </c>
      <c r="N2156" s="80">
        <f>IF(AND($B2156="",$C2156="",$D2156=""),"",IF(NOT(ISNUMBER($B2156)),"Enter a valid date",IF($C2156="","Pick a menu item",IF($O2156="","Item not on Menu Pricing",IF(N($D2156)&lt;=0,"Qty must be above 0",IF($H2156="","No price on menu","OK"))))))</f>
        <v/>
      </c>
      <c r="O2156" s="13">
        <f>IF($C2156="","",IFERROR(MATCH($C2156,'Menu Pricing'!$B$7:$B$56,0),""))</f>
        <v/>
      </c>
    </row>
    <row r="2157" ht="17" customHeight="1">
      <c r="B2157" s="66" t="n"/>
      <c r="C2157" s="60" t="n"/>
      <c r="D2157" s="86" t="n"/>
      <c r="E2157" s="63" t="n"/>
      <c r="F2157" s="60" t="n"/>
      <c r="G2157" s="60" t="n"/>
      <c r="H2157" s="71">
        <f>IF(OR($C2157="",$D2157=""),"",IF(ISNUMBER($E2157),$E2157,IF($O2157="","",IF(N(INDEX('Menu Pricing'!$O$7:$O$56,$O2157))&gt;0,INDEX('Menu Pricing'!$O$7:$O$56,$O2157),""))))</f>
        <v/>
      </c>
      <c r="I2157" s="71">
        <f>IF($N2157&lt;&gt;"OK","",$D2157*$H2157)</f>
        <v/>
      </c>
      <c r="J2157" s="71">
        <f>IF($N2157&lt;&gt;"OK","",N(INDEX('Menu Pricing'!$F$7:$F$56,$O2157))+N(INDEX('Menu Pricing'!$G$7:$G$56,$O2157))+N(INDEX('Menu Pricing'!$J$7:$J$56,$O2157)))</f>
        <v/>
      </c>
      <c r="K2157" s="71">
        <f>IF($N2157&lt;&gt;"OK","",$D2157*$J2157)</f>
        <v/>
      </c>
      <c r="L2157" s="71">
        <f>IF($N2157&lt;&gt;"OK","",$I2157-$K2157)</f>
        <v/>
      </c>
      <c r="M2157" s="71">
        <f>IF($N2157&lt;&gt;"OK","",$D2157*N(INDEX('Menu Pricing'!$F$7:$F$56,$O2157)))</f>
        <v/>
      </c>
      <c r="N2157" s="80">
        <f>IF(AND($B2157="",$C2157="",$D2157=""),"",IF(NOT(ISNUMBER($B2157)),"Enter a valid date",IF($C2157="","Pick a menu item",IF($O2157="","Item not on Menu Pricing",IF(N($D2157)&lt;=0,"Qty must be above 0",IF($H2157="","No price on menu","OK"))))))</f>
        <v/>
      </c>
      <c r="O2157" s="13">
        <f>IF($C2157="","",IFERROR(MATCH($C2157,'Menu Pricing'!$B$7:$B$56,0),""))</f>
        <v/>
      </c>
    </row>
    <row r="2158" ht="17" customHeight="1">
      <c r="B2158" s="66" t="n"/>
      <c r="C2158" s="60" t="n"/>
      <c r="D2158" s="86" t="n"/>
      <c r="E2158" s="63" t="n"/>
      <c r="F2158" s="60" t="n"/>
      <c r="G2158" s="60" t="n"/>
      <c r="H2158" s="71">
        <f>IF(OR($C2158="",$D2158=""),"",IF(ISNUMBER($E2158),$E2158,IF($O2158="","",IF(N(INDEX('Menu Pricing'!$O$7:$O$56,$O2158))&gt;0,INDEX('Menu Pricing'!$O$7:$O$56,$O2158),""))))</f>
        <v/>
      </c>
      <c r="I2158" s="71">
        <f>IF($N2158&lt;&gt;"OK","",$D2158*$H2158)</f>
        <v/>
      </c>
      <c r="J2158" s="71">
        <f>IF($N2158&lt;&gt;"OK","",N(INDEX('Menu Pricing'!$F$7:$F$56,$O2158))+N(INDEX('Menu Pricing'!$G$7:$G$56,$O2158))+N(INDEX('Menu Pricing'!$J$7:$J$56,$O2158)))</f>
        <v/>
      </c>
      <c r="K2158" s="71">
        <f>IF($N2158&lt;&gt;"OK","",$D2158*$J2158)</f>
        <v/>
      </c>
      <c r="L2158" s="71">
        <f>IF($N2158&lt;&gt;"OK","",$I2158-$K2158)</f>
        <v/>
      </c>
      <c r="M2158" s="71">
        <f>IF($N2158&lt;&gt;"OK","",$D2158*N(INDEX('Menu Pricing'!$F$7:$F$56,$O2158)))</f>
        <v/>
      </c>
      <c r="N2158" s="80">
        <f>IF(AND($B2158="",$C2158="",$D2158=""),"",IF(NOT(ISNUMBER($B2158)),"Enter a valid date",IF($C2158="","Pick a menu item",IF($O2158="","Item not on Menu Pricing",IF(N($D2158)&lt;=0,"Qty must be above 0",IF($H2158="","No price on menu","OK"))))))</f>
        <v/>
      </c>
      <c r="O2158" s="13">
        <f>IF($C2158="","",IFERROR(MATCH($C2158,'Menu Pricing'!$B$7:$B$56,0),""))</f>
        <v/>
      </c>
    </row>
    <row r="2159" ht="17" customHeight="1">
      <c r="B2159" s="66" t="n"/>
      <c r="C2159" s="60" t="n"/>
      <c r="D2159" s="86" t="n"/>
      <c r="E2159" s="63" t="n"/>
      <c r="F2159" s="60" t="n"/>
      <c r="G2159" s="60" t="n"/>
      <c r="H2159" s="71">
        <f>IF(OR($C2159="",$D2159=""),"",IF(ISNUMBER($E2159),$E2159,IF($O2159="","",IF(N(INDEX('Menu Pricing'!$O$7:$O$56,$O2159))&gt;0,INDEX('Menu Pricing'!$O$7:$O$56,$O2159),""))))</f>
        <v/>
      </c>
      <c r="I2159" s="71">
        <f>IF($N2159&lt;&gt;"OK","",$D2159*$H2159)</f>
        <v/>
      </c>
      <c r="J2159" s="71">
        <f>IF($N2159&lt;&gt;"OK","",N(INDEX('Menu Pricing'!$F$7:$F$56,$O2159))+N(INDEX('Menu Pricing'!$G$7:$G$56,$O2159))+N(INDEX('Menu Pricing'!$J$7:$J$56,$O2159)))</f>
        <v/>
      </c>
      <c r="K2159" s="71">
        <f>IF($N2159&lt;&gt;"OK","",$D2159*$J2159)</f>
        <v/>
      </c>
      <c r="L2159" s="71">
        <f>IF($N2159&lt;&gt;"OK","",$I2159-$K2159)</f>
        <v/>
      </c>
      <c r="M2159" s="71">
        <f>IF($N2159&lt;&gt;"OK","",$D2159*N(INDEX('Menu Pricing'!$F$7:$F$56,$O2159)))</f>
        <v/>
      </c>
      <c r="N2159" s="80">
        <f>IF(AND($B2159="",$C2159="",$D2159=""),"",IF(NOT(ISNUMBER($B2159)),"Enter a valid date",IF($C2159="","Pick a menu item",IF($O2159="","Item not on Menu Pricing",IF(N($D2159)&lt;=0,"Qty must be above 0",IF($H2159="","No price on menu","OK"))))))</f>
        <v/>
      </c>
      <c r="O2159" s="13">
        <f>IF($C2159="","",IFERROR(MATCH($C2159,'Menu Pricing'!$B$7:$B$56,0),""))</f>
        <v/>
      </c>
    </row>
    <row r="2160" ht="17" customHeight="1">
      <c r="B2160" s="66" t="n"/>
      <c r="C2160" s="60" t="n"/>
      <c r="D2160" s="86" t="n"/>
      <c r="E2160" s="63" t="n"/>
      <c r="F2160" s="60" t="n"/>
      <c r="G2160" s="60" t="n"/>
      <c r="H2160" s="71">
        <f>IF(OR($C2160="",$D2160=""),"",IF(ISNUMBER($E2160),$E2160,IF($O2160="","",IF(N(INDEX('Menu Pricing'!$O$7:$O$56,$O2160))&gt;0,INDEX('Menu Pricing'!$O$7:$O$56,$O2160),""))))</f>
        <v/>
      </c>
      <c r="I2160" s="71">
        <f>IF($N2160&lt;&gt;"OK","",$D2160*$H2160)</f>
        <v/>
      </c>
      <c r="J2160" s="71">
        <f>IF($N2160&lt;&gt;"OK","",N(INDEX('Menu Pricing'!$F$7:$F$56,$O2160))+N(INDEX('Menu Pricing'!$G$7:$G$56,$O2160))+N(INDEX('Menu Pricing'!$J$7:$J$56,$O2160)))</f>
        <v/>
      </c>
      <c r="K2160" s="71">
        <f>IF($N2160&lt;&gt;"OK","",$D2160*$J2160)</f>
        <v/>
      </c>
      <c r="L2160" s="71">
        <f>IF($N2160&lt;&gt;"OK","",$I2160-$K2160)</f>
        <v/>
      </c>
      <c r="M2160" s="71">
        <f>IF($N2160&lt;&gt;"OK","",$D2160*N(INDEX('Menu Pricing'!$F$7:$F$56,$O2160)))</f>
        <v/>
      </c>
      <c r="N2160" s="80">
        <f>IF(AND($B2160="",$C2160="",$D2160=""),"",IF(NOT(ISNUMBER($B2160)),"Enter a valid date",IF($C2160="","Pick a menu item",IF($O2160="","Item not on Menu Pricing",IF(N($D2160)&lt;=0,"Qty must be above 0",IF($H2160="","No price on menu","OK"))))))</f>
        <v/>
      </c>
      <c r="O2160" s="13">
        <f>IF($C2160="","",IFERROR(MATCH($C2160,'Menu Pricing'!$B$7:$B$56,0),""))</f>
        <v/>
      </c>
    </row>
    <row r="2161" ht="17" customHeight="1">
      <c r="B2161" s="66" t="n"/>
      <c r="C2161" s="60" t="n"/>
      <c r="D2161" s="86" t="n"/>
      <c r="E2161" s="63" t="n"/>
      <c r="F2161" s="60" t="n"/>
      <c r="G2161" s="60" t="n"/>
      <c r="H2161" s="71">
        <f>IF(OR($C2161="",$D2161=""),"",IF(ISNUMBER($E2161),$E2161,IF($O2161="","",IF(N(INDEX('Menu Pricing'!$O$7:$O$56,$O2161))&gt;0,INDEX('Menu Pricing'!$O$7:$O$56,$O2161),""))))</f>
        <v/>
      </c>
      <c r="I2161" s="71">
        <f>IF($N2161&lt;&gt;"OK","",$D2161*$H2161)</f>
        <v/>
      </c>
      <c r="J2161" s="71">
        <f>IF($N2161&lt;&gt;"OK","",N(INDEX('Menu Pricing'!$F$7:$F$56,$O2161))+N(INDEX('Menu Pricing'!$G$7:$G$56,$O2161))+N(INDEX('Menu Pricing'!$J$7:$J$56,$O2161)))</f>
        <v/>
      </c>
      <c r="K2161" s="71">
        <f>IF($N2161&lt;&gt;"OK","",$D2161*$J2161)</f>
        <v/>
      </c>
      <c r="L2161" s="71">
        <f>IF($N2161&lt;&gt;"OK","",$I2161-$K2161)</f>
        <v/>
      </c>
      <c r="M2161" s="71">
        <f>IF($N2161&lt;&gt;"OK","",$D2161*N(INDEX('Menu Pricing'!$F$7:$F$56,$O2161)))</f>
        <v/>
      </c>
      <c r="N2161" s="80">
        <f>IF(AND($B2161="",$C2161="",$D2161=""),"",IF(NOT(ISNUMBER($B2161)),"Enter a valid date",IF($C2161="","Pick a menu item",IF($O2161="","Item not on Menu Pricing",IF(N($D2161)&lt;=0,"Qty must be above 0",IF($H2161="","No price on menu","OK"))))))</f>
        <v/>
      </c>
      <c r="O2161" s="13">
        <f>IF($C2161="","",IFERROR(MATCH($C2161,'Menu Pricing'!$B$7:$B$56,0),""))</f>
        <v/>
      </c>
    </row>
    <row r="2162" ht="17" customHeight="1">
      <c r="B2162" s="66" t="n"/>
      <c r="C2162" s="60" t="n"/>
      <c r="D2162" s="86" t="n"/>
      <c r="E2162" s="63" t="n"/>
      <c r="F2162" s="60" t="n"/>
      <c r="G2162" s="60" t="n"/>
      <c r="H2162" s="71">
        <f>IF(OR($C2162="",$D2162=""),"",IF(ISNUMBER($E2162),$E2162,IF($O2162="","",IF(N(INDEX('Menu Pricing'!$O$7:$O$56,$O2162))&gt;0,INDEX('Menu Pricing'!$O$7:$O$56,$O2162),""))))</f>
        <v/>
      </c>
      <c r="I2162" s="71">
        <f>IF($N2162&lt;&gt;"OK","",$D2162*$H2162)</f>
        <v/>
      </c>
      <c r="J2162" s="71">
        <f>IF($N2162&lt;&gt;"OK","",N(INDEX('Menu Pricing'!$F$7:$F$56,$O2162))+N(INDEX('Menu Pricing'!$G$7:$G$56,$O2162))+N(INDEX('Menu Pricing'!$J$7:$J$56,$O2162)))</f>
        <v/>
      </c>
      <c r="K2162" s="71">
        <f>IF($N2162&lt;&gt;"OK","",$D2162*$J2162)</f>
        <v/>
      </c>
      <c r="L2162" s="71">
        <f>IF($N2162&lt;&gt;"OK","",$I2162-$K2162)</f>
        <v/>
      </c>
      <c r="M2162" s="71">
        <f>IF($N2162&lt;&gt;"OK","",$D2162*N(INDEX('Menu Pricing'!$F$7:$F$56,$O2162)))</f>
        <v/>
      </c>
      <c r="N2162" s="80">
        <f>IF(AND($B2162="",$C2162="",$D2162=""),"",IF(NOT(ISNUMBER($B2162)),"Enter a valid date",IF($C2162="","Pick a menu item",IF($O2162="","Item not on Menu Pricing",IF(N($D2162)&lt;=0,"Qty must be above 0",IF($H2162="","No price on menu","OK"))))))</f>
        <v/>
      </c>
      <c r="O2162" s="13">
        <f>IF($C2162="","",IFERROR(MATCH($C2162,'Menu Pricing'!$B$7:$B$56,0),""))</f>
        <v/>
      </c>
    </row>
    <row r="2163" ht="17" customHeight="1">
      <c r="B2163" s="66" t="n"/>
      <c r="C2163" s="60" t="n"/>
      <c r="D2163" s="86" t="n"/>
      <c r="E2163" s="63" t="n"/>
      <c r="F2163" s="60" t="n"/>
      <c r="G2163" s="60" t="n"/>
      <c r="H2163" s="71">
        <f>IF(OR($C2163="",$D2163=""),"",IF(ISNUMBER($E2163),$E2163,IF($O2163="","",IF(N(INDEX('Menu Pricing'!$O$7:$O$56,$O2163))&gt;0,INDEX('Menu Pricing'!$O$7:$O$56,$O2163),""))))</f>
        <v/>
      </c>
      <c r="I2163" s="71">
        <f>IF($N2163&lt;&gt;"OK","",$D2163*$H2163)</f>
        <v/>
      </c>
      <c r="J2163" s="71">
        <f>IF($N2163&lt;&gt;"OK","",N(INDEX('Menu Pricing'!$F$7:$F$56,$O2163))+N(INDEX('Menu Pricing'!$G$7:$G$56,$O2163))+N(INDEX('Menu Pricing'!$J$7:$J$56,$O2163)))</f>
        <v/>
      </c>
      <c r="K2163" s="71">
        <f>IF($N2163&lt;&gt;"OK","",$D2163*$J2163)</f>
        <v/>
      </c>
      <c r="L2163" s="71">
        <f>IF($N2163&lt;&gt;"OK","",$I2163-$K2163)</f>
        <v/>
      </c>
      <c r="M2163" s="71">
        <f>IF($N2163&lt;&gt;"OK","",$D2163*N(INDEX('Menu Pricing'!$F$7:$F$56,$O2163)))</f>
        <v/>
      </c>
      <c r="N2163" s="80">
        <f>IF(AND($B2163="",$C2163="",$D2163=""),"",IF(NOT(ISNUMBER($B2163)),"Enter a valid date",IF($C2163="","Pick a menu item",IF($O2163="","Item not on Menu Pricing",IF(N($D2163)&lt;=0,"Qty must be above 0",IF($H2163="","No price on menu","OK"))))))</f>
        <v/>
      </c>
      <c r="O2163" s="13">
        <f>IF($C2163="","",IFERROR(MATCH($C2163,'Menu Pricing'!$B$7:$B$56,0),""))</f>
        <v/>
      </c>
    </row>
    <row r="2164" ht="17" customHeight="1">
      <c r="B2164" s="66" t="n"/>
      <c r="C2164" s="60" t="n"/>
      <c r="D2164" s="86" t="n"/>
      <c r="E2164" s="63" t="n"/>
      <c r="F2164" s="60" t="n"/>
      <c r="G2164" s="60" t="n"/>
      <c r="H2164" s="71">
        <f>IF(OR($C2164="",$D2164=""),"",IF(ISNUMBER($E2164),$E2164,IF($O2164="","",IF(N(INDEX('Menu Pricing'!$O$7:$O$56,$O2164))&gt;0,INDEX('Menu Pricing'!$O$7:$O$56,$O2164),""))))</f>
        <v/>
      </c>
      <c r="I2164" s="71">
        <f>IF($N2164&lt;&gt;"OK","",$D2164*$H2164)</f>
        <v/>
      </c>
      <c r="J2164" s="71">
        <f>IF($N2164&lt;&gt;"OK","",N(INDEX('Menu Pricing'!$F$7:$F$56,$O2164))+N(INDEX('Menu Pricing'!$G$7:$G$56,$O2164))+N(INDEX('Menu Pricing'!$J$7:$J$56,$O2164)))</f>
        <v/>
      </c>
      <c r="K2164" s="71">
        <f>IF($N2164&lt;&gt;"OK","",$D2164*$J2164)</f>
        <v/>
      </c>
      <c r="L2164" s="71">
        <f>IF($N2164&lt;&gt;"OK","",$I2164-$K2164)</f>
        <v/>
      </c>
      <c r="M2164" s="71">
        <f>IF($N2164&lt;&gt;"OK","",$D2164*N(INDEX('Menu Pricing'!$F$7:$F$56,$O2164)))</f>
        <v/>
      </c>
      <c r="N2164" s="80">
        <f>IF(AND($B2164="",$C2164="",$D2164=""),"",IF(NOT(ISNUMBER($B2164)),"Enter a valid date",IF($C2164="","Pick a menu item",IF($O2164="","Item not on Menu Pricing",IF(N($D2164)&lt;=0,"Qty must be above 0",IF($H2164="","No price on menu","OK"))))))</f>
        <v/>
      </c>
      <c r="O2164" s="13">
        <f>IF($C2164="","",IFERROR(MATCH($C2164,'Menu Pricing'!$B$7:$B$56,0),""))</f>
        <v/>
      </c>
    </row>
    <row r="2165" ht="17" customHeight="1">
      <c r="B2165" s="66" t="n"/>
      <c r="C2165" s="60" t="n"/>
      <c r="D2165" s="86" t="n"/>
      <c r="E2165" s="63" t="n"/>
      <c r="F2165" s="60" t="n"/>
      <c r="G2165" s="60" t="n"/>
      <c r="H2165" s="71">
        <f>IF(OR($C2165="",$D2165=""),"",IF(ISNUMBER($E2165),$E2165,IF($O2165="","",IF(N(INDEX('Menu Pricing'!$O$7:$O$56,$O2165))&gt;0,INDEX('Menu Pricing'!$O$7:$O$56,$O2165),""))))</f>
        <v/>
      </c>
      <c r="I2165" s="71">
        <f>IF($N2165&lt;&gt;"OK","",$D2165*$H2165)</f>
        <v/>
      </c>
      <c r="J2165" s="71">
        <f>IF($N2165&lt;&gt;"OK","",N(INDEX('Menu Pricing'!$F$7:$F$56,$O2165))+N(INDEX('Menu Pricing'!$G$7:$G$56,$O2165))+N(INDEX('Menu Pricing'!$J$7:$J$56,$O2165)))</f>
        <v/>
      </c>
      <c r="K2165" s="71">
        <f>IF($N2165&lt;&gt;"OK","",$D2165*$J2165)</f>
        <v/>
      </c>
      <c r="L2165" s="71">
        <f>IF($N2165&lt;&gt;"OK","",$I2165-$K2165)</f>
        <v/>
      </c>
      <c r="M2165" s="71">
        <f>IF($N2165&lt;&gt;"OK","",$D2165*N(INDEX('Menu Pricing'!$F$7:$F$56,$O2165)))</f>
        <v/>
      </c>
      <c r="N2165" s="80">
        <f>IF(AND($B2165="",$C2165="",$D2165=""),"",IF(NOT(ISNUMBER($B2165)),"Enter a valid date",IF($C2165="","Pick a menu item",IF($O2165="","Item not on Menu Pricing",IF(N($D2165)&lt;=0,"Qty must be above 0",IF($H2165="","No price on menu","OK"))))))</f>
        <v/>
      </c>
      <c r="O2165" s="13">
        <f>IF($C2165="","",IFERROR(MATCH($C2165,'Menu Pricing'!$B$7:$B$56,0),""))</f>
        <v/>
      </c>
    </row>
    <row r="2166" ht="17" customHeight="1">
      <c r="B2166" s="66" t="n"/>
      <c r="C2166" s="60" t="n"/>
      <c r="D2166" s="86" t="n"/>
      <c r="E2166" s="63" t="n"/>
      <c r="F2166" s="60" t="n"/>
      <c r="G2166" s="60" t="n"/>
      <c r="H2166" s="71">
        <f>IF(OR($C2166="",$D2166=""),"",IF(ISNUMBER($E2166),$E2166,IF($O2166="","",IF(N(INDEX('Menu Pricing'!$O$7:$O$56,$O2166))&gt;0,INDEX('Menu Pricing'!$O$7:$O$56,$O2166),""))))</f>
        <v/>
      </c>
      <c r="I2166" s="71">
        <f>IF($N2166&lt;&gt;"OK","",$D2166*$H2166)</f>
        <v/>
      </c>
      <c r="J2166" s="71">
        <f>IF($N2166&lt;&gt;"OK","",N(INDEX('Menu Pricing'!$F$7:$F$56,$O2166))+N(INDEX('Menu Pricing'!$G$7:$G$56,$O2166))+N(INDEX('Menu Pricing'!$J$7:$J$56,$O2166)))</f>
        <v/>
      </c>
      <c r="K2166" s="71">
        <f>IF($N2166&lt;&gt;"OK","",$D2166*$J2166)</f>
        <v/>
      </c>
      <c r="L2166" s="71">
        <f>IF($N2166&lt;&gt;"OK","",$I2166-$K2166)</f>
        <v/>
      </c>
      <c r="M2166" s="71">
        <f>IF($N2166&lt;&gt;"OK","",$D2166*N(INDEX('Menu Pricing'!$F$7:$F$56,$O2166)))</f>
        <v/>
      </c>
      <c r="N2166" s="80">
        <f>IF(AND($B2166="",$C2166="",$D2166=""),"",IF(NOT(ISNUMBER($B2166)),"Enter a valid date",IF($C2166="","Pick a menu item",IF($O2166="","Item not on Menu Pricing",IF(N($D2166)&lt;=0,"Qty must be above 0",IF($H2166="","No price on menu","OK"))))))</f>
        <v/>
      </c>
      <c r="O2166" s="13">
        <f>IF($C2166="","",IFERROR(MATCH($C2166,'Menu Pricing'!$B$7:$B$56,0),""))</f>
        <v/>
      </c>
    </row>
    <row r="2167" ht="17" customHeight="1">
      <c r="B2167" s="66" t="n"/>
      <c r="C2167" s="60" t="n"/>
      <c r="D2167" s="86" t="n"/>
      <c r="E2167" s="63" t="n"/>
      <c r="F2167" s="60" t="n"/>
      <c r="G2167" s="60" t="n"/>
      <c r="H2167" s="71">
        <f>IF(OR($C2167="",$D2167=""),"",IF(ISNUMBER($E2167),$E2167,IF($O2167="","",IF(N(INDEX('Menu Pricing'!$O$7:$O$56,$O2167))&gt;0,INDEX('Menu Pricing'!$O$7:$O$56,$O2167),""))))</f>
        <v/>
      </c>
      <c r="I2167" s="71">
        <f>IF($N2167&lt;&gt;"OK","",$D2167*$H2167)</f>
        <v/>
      </c>
      <c r="J2167" s="71">
        <f>IF($N2167&lt;&gt;"OK","",N(INDEX('Menu Pricing'!$F$7:$F$56,$O2167))+N(INDEX('Menu Pricing'!$G$7:$G$56,$O2167))+N(INDEX('Menu Pricing'!$J$7:$J$56,$O2167)))</f>
        <v/>
      </c>
      <c r="K2167" s="71">
        <f>IF($N2167&lt;&gt;"OK","",$D2167*$J2167)</f>
        <v/>
      </c>
      <c r="L2167" s="71">
        <f>IF($N2167&lt;&gt;"OK","",$I2167-$K2167)</f>
        <v/>
      </c>
      <c r="M2167" s="71">
        <f>IF($N2167&lt;&gt;"OK","",$D2167*N(INDEX('Menu Pricing'!$F$7:$F$56,$O2167)))</f>
        <v/>
      </c>
      <c r="N2167" s="80">
        <f>IF(AND($B2167="",$C2167="",$D2167=""),"",IF(NOT(ISNUMBER($B2167)),"Enter a valid date",IF($C2167="","Pick a menu item",IF($O2167="","Item not on Menu Pricing",IF(N($D2167)&lt;=0,"Qty must be above 0",IF($H2167="","No price on menu","OK"))))))</f>
        <v/>
      </c>
      <c r="O2167" s="13">
        <f>IF($C2167="","",IFERROR(MATCH($C2167,'Menu Pricing'!$B$7:$B$56,0),""))</f>
        <v/>
      </c>
    </row>
    <row r="2168" ht="17" customHeight="1">
      <c r="B2168" s="66" t="n"/>
      <c r="C2168" s="60" t="n"/>
      <c r="D2168" s="86" t="n"/>
      <c r="E2168" s="63" t="n"/>
      <c r="F2168" s="60" t="n"/>
      <c r="G2168" s="60" t="n"/>
      <c r="H2168" s="71">
        <f>IF(OR($C2168="",$D2168=""),"",IF(ISNUMBER($E2168),$E2168,IF($O2168="","",IF(N(INDEX('Menu Pricing'!$O$7:$O$56,$O2168))&gt;0,INDEX('Menu Pricing'!$O$7:$O$56,$O2168),""))))</f>
        <v/>
      </c>
      <c r="I2168" s="71">
        <f>IF($N2168&lt;&gt;"OK","",$D2168*$H2168)</f>
        <v/>
      </c>
      <c r="J2168" s="71">
        <f>IF($N2168&lt;&gt;"OK","",N(INDEX('Menu Pricing'!$F$7:$F$56,$O2168))+N(INDEX('Menu Pricing'!$G$7:$G$56,$O2168))+N(INDEX('Menu Pricing'!$J$7:$J$56,$O2168)))</f>
        <v/>
      </c>
      <c r="K2168" s="71">
        <f>IF($N2168&lt;&gt;"OK","",$D2168*$J2168)</f>
        <v/>
      </c>
      <c r="L2168" s="71">
        <f>IF($N2168&lt;&gt;"OK","",$I2168-$K2168)</f>
        <v/>
      </c>
      <c r="M2168" s="71">
        <f>IF($N2168&lt;&gt;"OK","",$D2168*N(INDEX('Menu Pricing'!$F$7:$F$56,$O2168)))</f>
        <v/>
      </c>
      <c r="N2168" s="80">
        <f>IF(AND($B2168="",$C2168="",$D2168=""),"",IF(NOT(ISNUMBER($B2168)),"Enter a valid date",IF($C2168="","Pick a menu item",IF($O2168="","Item not on Menu Pricing",IF(N($D2168)&lt;=0,"Qty must be above 0",IF($H2168="","No price on menu","OK"))))))</f>
        <v/>
      </c>
      <c r="O2168" s="13">
        <f>IF($C2168="","",IFERROR(MATCH($C2168,'Menu Pricing'!$B$7:$B$56,0),""))</f>
        <v/>
      </c>
    </row>
    <row r="2169" ht="17" customHeight="1">
      <c r="B2169" s="66" t="n"/>
      <c r="C2169" s="60" t="n"/>
      <c r="D2169" s="86" t="n"/>
      <c r="E2169" s="63" t="n"/>
      <c r="F2169" s="60" t="n"/>
      <c r="G2169" s="60" t="n"/>
      <c r="H2169" s="71">
        <f>IF(OR($C2169="",$D2169=""),"",IF(ISNUMBER($E2169),$E2169,IF($O2169="","",IF(N(INDEX('Menu Pricing'!$O$7:$O$56,$O2169))&gt;0,INDEX('Menu Pricing'!$O$7:$O$56,$O2169),""))))</f>
        <v/>
      </c>
      <c r="I2169" s="71">
        <f>IF($N2169&lt;&gt;"OK","",$D2169*$H2169)</f>
        <v/>
      </c>
      <c r="J2169" s="71">
        <f>IF($N2169&lt;&gt;"OK","",N(INDEX('Menu Pricing'!$F$7:$F$56,$O2169))+N(INDEX('Menu Pricing'!$G$7:$G$56,$O2169))+N(INDEX('Menu Pricing'!$J$7:$J$56,$O2169)))</f>
        <v/>
      </c>
      <c r="K2169" s="71">
        <f>IF($N2169&lt;&gt;"OK","",$D2169*$J2169)</f>
        <v/>
      </c>
      <c r="L2169" s="71">
        <f>IF($N2169&lt;&gt;"OK","",$I2169-$K2169)</f>
        <v/>
      </c>
      <c r="M2169" s="71">
        <f>IF($N2169&lt;&gt;"OK","",$D2169*N(INDEX('Menu Pricing'!$F$7:$F$56,$O2169)))</f>
        <v/>
      </c>
      <c r="N2169" s="80">
        <f>IF(AND($B2169="",$C2169="",$D2169=""),"",IF(NOT(ISNUMBER($B2169)),"Enter a valid date",IF($C2169="","Pick a menu item",IF($O2169="","Item not on Menu Pricing",IF(N($D2169)&lt;=0,"Qty must be above 0",IF($H2169="","No price on menu","OK"))))))</f>
        <v/>
      </c>
      <c r="O2169" s="13">
        <f>IF($C2169="","",IFERROR(MATCH($C2169,'Menu Pricing'!$B$7:$B$56,0),""))</f>
        <v/>
      </c>
    </row>
    <row r="2170" ht="17" customHeight="1">
      <c r="B2170" s="66" t="n"/>
      <c r="C2170" s="60" t="n"/>
      <c r="D2170" s="86" t="n"/>
      <c r="E2170" s="63" t="n"/>
      <c r="F2170" s="60" t="n"/>
      <c r="G2170" s="60" t="n"/>
      <c r="H2170" s="71">
        <f>IF(OR($C2170="",$D2170=""),"",IF(ISNUMBER($E2170),$E2170,IF($O2170="","",IF(N(INDEX('Menu Pricing'!$O$7:$O$56,$O2170))&gt;0,INDEX('Menu Pricing'!$O$7:$O$56,$O2170),""))))</f>
        <v/>
      </c>
      <c r="I2170" s="71">
        <f>IF($N2170&lt;&gt;"OK","",$D2170*$H2170)</f>
        <v/>
      </c>
      <c r="J2170" s="71">
        <f>IF($N2170&lt;&gt;"OK","",N(INDEX('Menu Pricing'!$F$7:$F$56,$O2170))+N(INDEX('Menu Pricing'!$G$7:$G$56,$O2170))+N(INDEX('Menu Pricing'!$J$7:$J$56,$O2170)))</f>
        <v/>
      </c>
      <c r="K2170" s="71">
        <f>IF($N2170&lt;&gt;"OK","",$D2170*$J2170)</f>
        <v/>
      </c>
      <c r="L2170" s="71">
        <f>IF($N2170&lt;&gt;"OK","",$I2170-$K2170)</f>
        <v/>
      </c>
      <c r="M2170" s="71">
        <f>IF($N2170&lt;&gt;"OK","",$D2170*N(INDEX('Menu Pricing'!$F$7:$F$56,$O2170)))</f>
        <v/>
      </c>
      <c r="N2170" s="80">
        <f>IF(AND($B2170="",$C2170="",$D2170=""),"",IF(NOT(ISNUMBER($B2170)),"Enter a valid date",IF($C2170="","Pick a menu item",IF($O2170="","Item not on Menu Pricing",IF(N($D2170)&lt;=0,"Qty must be above 0",IF($H2170="","No price on menu","OK"))))))</f>
        <v/>
      </c>
      <c r="O2170" s="13">
        <f>IF($C2170="","",IFERROR(MATCH($C2170,'Menu Pricing'!$B$7:$B$56,0),""))</f>
        <v/>
      </c>
    </row>
    <row r="2171" ht="17" customHeight="1">
      <c r="B2171" s="66" t="n"/>
      <c r="C2171" s="60" t="n"/>
      <c r="D2171" s="86" t="n"/>
      <c r="E2171" s="63" t="n"/>
      <c r="F2171" s="60" t="n"/>
      <c r="G2171" s="60" t="n"/>
      <c r="H2171" s="71">
        <f>IF(OR($C2171="",$D2171=""),"",IF(ISNUMBER($E2171),$E2171,IF($O2171="","",IF(N(INDEX('Menu Pricing'!$O$7:$O$56,$O2171))&gt;0,INDEX('Menu Pricing'!$O$7:$O$56,$O2171),""))))</f>
        <v/>
      </c>
      <c r="I2171" s="71">
        <f>IF($N2171&lt;&gt;"OK","",$D2171*$H2171)</f>
        <v/>
      </c>
      <c r="J2171" s="71">
        <f>IF($N2171&lt;&gt;"OK","",N(INDEX('Menu Pricing'!$F$7:$F$56,$O2171))+N(INDEX('Menu Pricing'!$G$7:$G$56,$O2171))+N(INDEX('Menu Pricing'!$J$7:$J$56,$O2171)))</f>
        <v/>
      </c>
      <c r="K2171" s="71">
        <f>IF($N2171&lt;&gt;"OK","",$D2171*$J2171)</f>
        <v/>
      </c>
      <c r="L2171" s="71">
        <f>IF($N2171&lt;&gt;"OK","",$I2171-$K2171)</f>
        <v/>
      </c>
      <c r="M2171" s="71">
        <f>IF($N2171&lt;&gt;"OK","",$D2171*N(INDEX('Menu Pricing'!$F$7:$F$56,$O2171)))</f>
        <v/>
      </c>
      <c r="N2171" s="80">
        <f>IF(AND($B2171="",$C2171="",$D2171=""),"",IF(NOT(ISNUMBER($B2171)),"Enter a valid date",IF($C2171="","Pick a menu item",IF($O2171="","Item not on Menu Pricing",IF(N($D2171)&lt;=0,"Qty must be above 0",IF($H2171="","No price on menu","OK"))))))</f>
        <v/>
      </c>
      <c r="O2171" s="13">
        <f>IF($C2171="","",IFERROR(MATCH($C2171,'Menu Pricing'!$B$7:$B$56,0),""))</f>
        <v/>
      </c>
    </row>
    <row r="2172" ht="17" customHeight="1">
      <c r="B2172" s="66" t="n"/>
      <c r="C2172" s="60" t="n"/>
      <c r="D2172" s="86" t="n"/>
      <c r="E2172" s="63" t="n"/>
      <c r="F2172" s="60" t="n"/>
      <c r="G2172" s="60" t="n"/>
      <c r="H2172" s="71">
        <f>IF(OR($C2172="",$D2172=""),"",IF(ISNUMBER($E2172),$E2172,IF($O2172="","",IF(N(INDEX('Menu Pricing'!$O$7:$O$56,$O2172))&gt;0,INDEX('Menu Pricing'!$O$7:$O$56,$O2172),""))))</f>
        <v/>
      </c>
      <c r="I2172" s="71">
        <f>IF($N2172&lt;&gt;"OK","",$D2172*$H2172)</f>
        <v/>
      </c>
      <c r="J2172" s="71">
        <f>IF($N2172&lt;&gt;"OK","",N(INDEX('Menu Pricing'!$F$7:$F$56,$O2172))+N(INDEX('Menu Pricing'!$G$7:$G$56,$O2172))+N(INDEX('Menu Pricing'!$J$7:$J$56,$O2172)))</f>
        <v/>
      </c>
      <c r="K2172" s="71">
        <f>IF($N2172&lt;&gt;"OK","",$D2172*$J2172)</f>
        <v/>
      </c>
      <c r="L2172" s="71">
        <f>IF($N2172&lt;&gt;"OK","",$I2172-$K2172)</f>
        <v/>
      </c>
      <c r="M2172" s="71">
        <f>IF($N2172&lt;&gt;"OK","",$D2172*N(INDEX('Menu Pricing'!$F$7:$F$56,$O2172)))</f>
        <v/>
      </c>
      <c r="N2172" s="80">
        <f>IF(AND($B2172="",$C2172="",$D2172=""),"",IF(NOT(ISNUMBER($B2172)),"Enter a valid date",IF($C2172="","Pick a menu item",IF($O2172="","Item not on Menu Pricing",IF(N($D2172)&lt;=0,"Qty must be above 0",IF($H2172="","No price on menu","OK"))))))</f>
        <v/>
      </c>
      <c r="O2172" s="13">
        <f>IF($C2172="","",IFERROR(MATCH($C2172,'Menu Pricing'!$B$7:$B$56,0),""))</f>
        <v/>
      </c>
    </row>
    <row r="2173" ht="17" customHeight="1">
      <c r="B2173" s="66" t="n"/>
      <c r="C2173" s="60" t="n"/>
      <c r="D2173" s="86" t="n"/>
      <c r="E2173" s="63" t="n"/>
      <c r="F2173" s="60" t="n"/>
      <c r="G2173" s="60" t="n"/>
      <c r="H2173" s="71">
        <f>IF(OR($C2173="",$D2173=""),"",IF(ISNUMBER($E2173),$E2173,IF($O2173="","",IF(N(INDEX('Menu Pricing'!$O$7:$O$56,$O2173))&gt;0,INDEX('Menu Pricing'!$O$7:$O$56,$O2173),""))))</f>
        <v/>
      </c>
      <c r="I2173" s="71">
        <f>IF($N2173&lt;&gt;"OK","",$D2173*$H2173)</f>
        <v/>
      </c>
      <c r="J2173" s="71">
        <f>IF($N2173&lt;&gt;"OK","",N(INDEX('Menu Pricing'!$F$7:$F$56,$O2173))+N(INDEX('Menu Pricing'!$G$7:$G$56,$O2173))+N(INDEX('Menu Pricing'!$J$7:$J$56,$O2173)))</f>
        <v/>
      </c>
      <c r="K2173" s="71">
        <f>IF($N2173&lt;&gt;"OK","",$D2173*$J2173)</f>
        <v/>
      </c>
      <c r="L2173" s="71">
        <f>IF($N2173&lt;&gt;"OK","",$I2173-$K2173)</f>
        <v/>
      </c>
      <c r="M2173" s="71">
        <f>IF($N2173&lt;&gt;"OK","",$D2173*N(INDEX('Menu Pricing'!$F$7:$F$56,$O2173)))</f>
        <v/>
      </c>
      <c r="N2173" s="80">
        <f>IF(AND($B2173="",$C2173="",$D2173=""),"",IF(NOT(ISNUMBER($B2173)),"Enter a valid date",IF($C2173="","Pick a menu item",IF($O2173="","Item not on Menu Pricing",IF(N($D2173)&lt;=0,"Qty must be above 0",IF($H2173="","No price on menu","OK"))))))</f>
        <v/>
      </c>
      <c r="O2173" s="13">
        <f>IF($C2173="","",IFERROR(MATCH($C2173,'Menu Pricing'!$B$7:$B$56,0),""))</f>
        <v/>
      </c>
    </row>
    <row r="2174" ht="17" customHeight="1">
      <c r="B2174" s="66" t="n"/>
      <c r="C2174" s="60" t="n"/>
      <c r="D2174" s="86" t="n"/>
      <c r="E2174" s="63" t="n"/>
      <c r="F2174" s="60" t="n"/>
      <c r="G2174" s="60" t="n"/>
      <c r="H2174" s="71">
        <f>IF(OR($C2174="",$D2174=""),"",IF(ISNUMBER($E2174),$E2174,IF($O2174="","",IF(N(INDEX('Menu Pricing'!$O$7:$O$56,$O2174))&gt;0,INDEX('Menu Pricing'!$O$7:$O$56,$O2174),""))))</f>
        <v/>
      </c>
      <c r="I2174" s="71">
        <f>IF($N2174&lt;&gt;"OK","",$D2174*$H2174)</f>
        <v/>
      </c>
      <c r="J2174" s="71">
        <f>IF($N2174&lt;&gt;"OK","",N(INDEX('Menu Pricing'!$F$7:$F$56,$O2174))+N(INDEX('Menu Pricing'!$G$7:$G$56,$O2174))+N(INDEX('Menu Pricing'!$J$7:$J$56,$O2174)))</f>
        <v/>
      </c>
      <c r="K2174" s="71">
        <f>IF($N2174&lt;&gt;"OK","",$D2174*$J2174)</f>
        <v/>
      </c>
      <c r="L2174" s="71">
        <f>IF($N2174&lt;&gt;"OK","",$I2174-$K2174)</f>
        <v/>
      </c>
      <c r="M2174" s="71">
        <f>IF($N2174&lt;&gt;"OK","",$D2174*N(INDEX('Menu Pricing'!$F$7:$F$56,$O2174)))</f>
        <v/>
      </c>
      <c r="N2174" s="80">
        <f>IF(AND($B2174="",$C2174="",$D2174=""),"",IF(NOT(ISNUMBER($B2174)),"Enter a valid date",IF($C2174="","Pick a menu item",IF($O2174="","Item not on Menu Pricing",IF(N($D2174)&lt;=0,"Qty must be above 0",IF($H2174="","No price on menu","OK"))))))</f>
        <v/>
      </c>
      <c r="O2174" s="13">
        <f>IF($C2174="","",IFERROR(MATCH($C2174,'Menu Pricing'!$B$7:$B$56,0),""))</f>
        <v/>
      </c>
    </row>
    <row r="2175" ht="17" customHeight="1">
      <c r="B2175" s="66" t="n"/>
      <c r="C2175" s="60" t="n"/>
      <c r="D2175" s="86" t="n"/>
      <c r="E2175" s="63" t="n"/>
      <c r="F2175" s="60" t="n"/>
      <c r="G2175" s="60" t="n"/>
      <c r="H2175" s="71">
        <f>IF(OR($C2175="",$D2175=""),"",IF(ISNUMBER($E2175),$E2175,IF($O2175="","",IF(N(INDEX('Menu Pricing'!$O$7:$O$56,$O2175))&gt;0,INDEX('Menu Pricing'!$O$7:$O$56,$O2175),""))))</f>
        <v/>
      </c>
      <c r="I2175" s="71">
        <f>IF($N2175&lt;&gt;"OK","",$D2175*$H2175)</f>
        <v/>
      </c>
      <c r="J2175" s="71">
        <f>IF($N2175&lt;&gt;"OK","",N(INDEX('Menu Pricing'!$F$7:$F$56,$O2175))+N(INDEX('Menu Pricing'!$G$7:$G$56,$O2175))+N(INDEX('Menu Pricing'!$J$7:$J$56,$O2175)))</f>
        <v/>
      </c>
      <c r="K2175" s="71">
        <f>IF($N2175&lt;&gt;"OK","",$D2175*$J2175)</f>
        <v/>
      </c>
      <c r="L2175" s="71">
        <f>IF($N2175&lt;&gt;"OK","",$I2175-$K2175)</f>
        <v/>
      </c>
      <c r="M2175" s="71">
        <f>IF($N2175&lt;&gt;"OK","",$D2175*N(INDEX('Menu Pricing'!$F$7:$F$56,$O2175)))</f>
        <v/>
      </c>
      <c r="N2175" s="80">
        <f>IF(AND($B2175="",$C2175="",$D2175=""),"",IF(NOT(ISNUMBER($B2175)),"Enter a valid date",IF($C2175="","Pick a menu item",IF($O2175="","Item not on Menu Pricing",IF(N($D2175)&lt;=0,"Qty must be above 0",IF($H2175="","No price on menu","OK"))))))</f>
        <v/>
      </c>
      <c r="O2175" s="13">
        <f>IF($C2175="","",IFERROR(MATCH($C2175,'Menu Pricing'!$B$7:$B$56,0),""))</f>
        <v/>
      </c>
    </row>
    <row r="2176" ht="17" customHeight="1">
      <c r="B2176" s="66" t="n"/>
      <c r="C2176" s="60" t="n"/>
      <c r="D2176" s="86" t="n"/>
      <c r="E2176" s="63" t="n"/>
      <c r="F2176" s="60" t="n"/>
      <c r="G2176" s="60" t="n"/>
      <c r="H2176" s="71">
        <f>IF(OR($C2176="",$D2176=""),"",IF(ISNUMBER($E2176),$E2176,IF($O2176="","",IF(N(INDEX('Menu Pricing'!$O$7:$O$56,$O2176))&gt;0,INDEX('Menu Pricing'!$O$7:$O$56,$O2176),""))))</f>
        <v/>
      </c>
      <c r="I2176" s="71">
        <f>IF($N2176&lt;&gt;"OK","",$D2176*$H2176)</f>
        <v/>
      </c>
      <c r="J2176" s="71">
        <f>IF($N2176&lt;&gt;"OK","",N(INDEX('Menu Pricing'!$F$7:$F$56,$O2176))+N(INDEX('Menu Pricing'!$G$7:$G$56,$O2176))+N(INDEX('Menu Pricing'!$J$7:$J$56,$O2176)))</f>
        <v/>
      </c>
      <c r="K2176" s="71">
        <f>IF($N2176&lt;&gt;"OK","",$D2176*$J2176)</f>
        <v/>
      </c>
      <c r="L2176" s="71">
        <f>IF($N2176&lt;&gt;"OK","",$I2176-$K2176)</f>
        <v/>
      </c>
      <c r="M2176" s="71">
        <f>IF($N2176&lt;&gt;"OK","",$D2176*N(INDEX('Menu Pricing'!$F$7:$F$56,$O2176)))</f>
        <v/>
      </c>
      <c r="N2176" s="80">
        <f>IF(AND($B2176="",$C2176="",$D2176=""),"",IF(NOT(ISNUMBER($B2176)),"Enter a valid date",IF($C2176="","Pick a menu item",IF($O2176="","Item not on Menu Pricing",IF(N($D2176)&lt;=0,"Qty must be above 0",IF($H2176="","No price on menu","OK"))))))</f>
        <v/>
      </c>
      <c r="O2176" s="13">
        <f>IF($C2176="","",IFERROR(MATCH($C2176,'Menu Pricing'!$B$7:$B$56,0),""))</f>
        <v/>
      </c>
    </row>
    <row r="2177" ht="17" customHeight="1">
      <c r="B2177" s="66" t="n"/>
      <c r="C2177" s="60" t="n"/>
      <c r="D2177" s="86" t="n"/>
      <c r="E2177" s="63" t="n"/>
      <c r="F2177" s="60" t="n"/>
      <c r="G2177" s="60" t="n"/>
      <c r="H2177" s="71">
        <f>IF(OR($C2177="",$D2177=""),"",IF(ISNUMBER($E2177),$E2177,IF($O2177="","",IF(N(INDEX('Menu Pricing'!$O$7:$O$56,$O2177))&gt;0,INDEX('Menu Pricing'!$O$7:$O$56,$O2177),""))))</f>
        <v/>
      </c>
      <c r="I2177" s="71">
        <f>IF($N2177&lt;&gt;"OK","",$D2177*$H2177)</f>
        <v/>
      </c>
      <c r="J2177" s="71">
        <f>IF($N2177&lt;&gt;"OK","",N(INDEX('Menu Pricing'!$F$7:$F$56,$O2177))+N(INDEX('Menu Pricing'!$G$7:$G$56,$O2177))+N(INDEX('Menu Pricing'!$J$7:$J$56,$O2177)))</f>
        <v/>
      </c>
      <c r="K2177" s="71">
        <f>IF($N2177&lt;&gt;"OK","",$D2177*$J2177)</f>
        <v/>
      </c>
      <c r="L2177" s="71">
        <f>IF($N2177&lt;&gt;"OK","",$I2177-$K2177)</f>
        <v/>
      </c>
      <c r="M2177" s="71">
        <f>IF($N2177&lt;&gt;"OK","",$D2177*N(INDEX('Menu Pricing'!$F$7:$F$56,$O2177)))</f>
        <v/>
      </c>
      <c r="N2177" s="80">
        <f>IF(AND($B2177="",$C2177="",$D2177=""),"",IF(NOT(ISNUMBER($B2177)),"Enter a valid date",IF($C2177="","Pick a menu item",IF($O2177="","Item not on Menu Pricing",IF(N($D2177)&lt;=0,"Qty must be above 0",IF($H2177="","No price on menu","OK"))))))</f>
        <v/>
      </c>
      <c r="O2177" s="13">
        <f>IF($C2177="","",IFERROR(MATCH($C2177,'Menu Pricing'!$B$7:$B$56,0),""))</f>
        <v/>
      </c>
    </row>
    <row r="2178" ht="17" customHeight="1">
      <c r="B2178" s="66" t="n"/>
      <c r="C2178" s="60" t="n"/>
      <c r="D2178" s="86" t="n"/>
      <c r="E2178" s="63" t="n"/>
      <c r="F2178" s="60" t="n"/>
      <c r="G2178" s="60" t="n"/>
      <c r="H2178" s="71">
        <f>IF(OR($C2178="",$D2178=""),"",IF(ISNUMBER($E2178),$E2178,IF($O2178="","",IF(N(INDEX('Menu Pricing'!$O$7:$O$56,$O2178))&gt;0,INDEX('Menu Pricing'!$O$7:$O$56,$O2178),""))))</f>
        <v/>
      </c>
      <c r="I2178" s="71">
        <f>IF($N2178&lt;&gt;"OK","",$D2178*$H2178)</f>
        <v/>
      </c>
      <c r="J2178" s="71">
        <f>IF($N2178&lt;&gt;"OK","",N(INDEX('Menu Pricing'!$F$7:$F$56,$O2178))+N(INDEX('Menu Pricing'!$G$7:$G$56,$O2178))+N(INDEX('Menu Pricing'!$J$7:$J$56,$O2178)))</f>
        <v/>
      </c>
      <c r="K2178" s="71">
        <f>IF($N2178&lt;&gt;"OK","",$D2178*$J2178)</f>
        <v/>
      </c>
      <c r="L2178" s="71">
        <f>IF($N2178&lt;&gt;"OK","",$I2178-$K2178)</f>
        <v/>
      </c>
      <c r="M2178" s="71">
        <f>IF($N2178&lt;&gt;"OK","",$D2178*N(INDEX('Menu Pricing'!$F$7:$F$56,$O2178)))</f>
        <v/>
      </c>
      <c r="N2178" s="80">
        <f>IF(AND($B2178="",$C2178="",$D2178=""),"",IF(NOT(ISNUMBER($B2178)),"Enter a valid date",IF($C2178="","Pick a menu item",IF($O2178="","Item not on Menu Pricing",IF(N($D2178)&lt;=0,"Qty must be above 0",IF($H2178="","No price on menu","OK"))))))</f>
        <v/>
      </c>
      <c r="O2178" s="13">
        <f>IF($C2178="","",IFERROR(MATCH($C2178,'Menu Pricing'!$B$7:$B$56,0),""))</f>
        <v/>
      </c>
    </row>
    <row r="2179" ht="17" customHeight="1">
      <c r="B2179" s="66" t="n"/>
      <c r="C2179" s="60" t="n"/>
      <c r="D2179" s="86" t="n"/>
      <c r="E2179" s="63" t="n"/>
      <c r="F2179" s="60" t="n"/>
      <c r="G2179" s="60" t="n"/>
      <c r="H2179" s="71">
        <f>IF(OR($C2179="",$D2179=""),"",IF(ISNUMBER($E2179),$E2179,IF($O2179="","",IF(N(INDEX('Menu Pricing'!$O$7:$O$56,$O2179))&gt;0,INDEX('Menu Pricing'!$O$7:$O$56,$O2179),""))))</f>
        <v/>
      </c>
      <c r="I2179" s="71">
        <f>IF($N2179&lt;&gt;"OK","",$D2179*$H2179)</f>
        <v/>
      </c>
      <c r="J2179" s="71">
        <f>IF($N2179&lt;&gt;"OK","",N(INDEX('Menu Pricing'!$F$7:$F$56,$O2179))+N(INDEX('Menu Pricing'!$G$7:$G$56,$O2179))+N(INDEX('Menu Pricing'!$J$7:$J$56,$O2179)))</f>
        <v/>
      </c>
      <c r="K2179" s="71">
        <f>IF($N2179&lt;&gt;"OK","",$D2179*$J2179)</f>
        <v/>
      </c>
      <c r="L2179" s="71">
        <f>IF($N2179&lt;&gt;"OK","",$I2179-$K2179)</f>
        <v/>
      </c>
      <c r="M2179" s="71">
        <f>IF($N2179&lt;&gt;"OK","",$D2179*N(INDEX('Menu Pricing'!$F$7:$F$56,$O2179)))</f>
        <v/>
      </c>
      <c r="N2179" s="80">
        <f>IF(AND($B2179="",$C2179="",$D2179=""),"",IF(NOT(ISNUMBER($B2179)),"Enter a valid date",IF($C2179="","Pick a menu item",IF($O2179="","Item not on Menu Pricing",IF(N($D2179)&lt;=0,"Qty must be above 0",IF($H2179="","No price on menu","OK"))))))</f>
        <v/>
      </c>
      <c r="O2179" s="13">
        <f>IF($C2179="","",IFERROR(MATCH($C2179,'Menu Pricing'!$B$7:$B$56,0),""))</f>
        <v/>
      </c>
    </row>
    <row r="2180" ht="17" customHeight="1">
      <c r="B2180" s="66" t="n"/>
      <c r="C2180" s="60" t="n"/>
      <c r="D2180" s="86" t="n"/>
      <c r="E2180" s="63" t="n"/>
      <c r="F2180" s="60" t="n"/>
      <c r="G2180" s="60" t="n"/>
      <c r="H2180" s="71">
        <f>IF(OR($C2180="",$D2180=""),"",IF(ISNUMBER($E2180),$E2180,IF($O2180="","",IF(N(INDEX('Menu Pricing'!$O$7:$O$56,$O2180))&gt;0,INDEX('Menu Pricing'!$O$7:$O$56,$O2180),""))))</f>
        <v/>
      </c>
      <c r="I2180" s="71">
        <f>IF($N2180&lt;&gt;"OK","",$D2180*$H2180)</f>
        <v/>
      </c>
      <c r="J2180" s="71">
        <f>IF($N2180&lt;&gt;"OK","",N(INDEX('Menu Pricing'!$F$7:$F$56,$O2180))+N(INDEX('Menu Pricing'!$G$7:$G$56,$O2180))+N(INDEX('Menu Pricing'!$J$7:$J$56,$O2180)))</f>
        <v/>
      </c>
      <c r="K2180" s="71">
        <f>IF($N2180&lt;&gt;"OK","",$D2180*$J2180)</f>
        <v/>
      </c>
      <c r="L2180" s="71">
        <f>IF($N2180&lt;&gt;"OK","",$I2180-$K2180)</f>
        <v/>
      </c>
      <c r="M2180" s="71">
        <f>IF($N2180&lt;&gt;"OK","",$D2180*N(INDEX('Menu Pricing'!$F$7:$F$56,$O2180)))</f>
        <v/>
      </c>
      <c r="N2180" s="80">
        <f>IF(AND($B2180="",$C2180="",$D2180=""),"",IF(NOT(ISNUMBER($B2180)),"Enter a valid date",IF($C2180="","Pick a menu item",IF($O2180="","Item not on Menu Pricing",IF(N($D2180)&lt;=0,"Qty must be above 0",IF($H2180="","No price on menu","OK"))))))</f>
        <v/>
      </c>
      <c r="O2180" s="13">
        <f>IF($C2180="","",IFERROR(MATCH($C2180,'Menu Pricing'!$B$7:$B$56,0),""))</f>
        <v/>
      </c>
    </row>
    <row r="2181" ht="17" customHeight="1">
      <c r="B2181" s="66" t="n"/>
      <c r="C2181" s="60" t="n"/>
      <c r="D2181" s="86" t="n"/>
      <c r="E2181" s="63" t="n"/>
      <c r="F2181" s="60" t="n"/>
      <c r="G2181" s="60" t="n"/>
      <c r="H2181" s="71">
        <f>IF(OR($C2181="",$D2181=""),"",IF(ISNUMBER($E2181),$E2181,IF($O2181="","",IF(N(INDEX('Menu Pricing'!$O$7:$O$56,$O2181))&gt;0,INDEX('Menu Pricing'!$O$7:$O$56,$O2181),""))))</f>
        <v/>
      </c>
      <c r="I2181" s="71">
        <f>IF($N2181&lt;&gt;"OK","",$D2181*$H2181)</f>
        <v/>
      </c>
      <c r="J2181" s="71">
        <f>IF($N2181&lt;&gt;"OK","",N(INDEX('Menu Pricing'!$F$7:$F$56,$O2181))+N(INDEX('Menu Pricing'!$G$7:$G$56,$O2181))+N(INDEX('Menu Pricing'!$J$7:$J$56,$O2181)))</f>
        <v/>
      </c>
      <c r="K2181" s="71">
        <f>IF($N2181&lt;&gt;"OK","",$D2181*$J2181)</f>
        <v/>
      </c>
      <c r="L2181" s="71">
        <f>IF($N2181&lt;&gt;"OK","",$I2181-$K2181)</f>
        <v/>
      </c>
      <c r="M2181" s="71">
        <f>IF($N2181&lt;&gt;"OK","",$D2181*N(INDEX('Menu Pricing'!$F$7:$F$56,$O2181)))</f>
        <v/>
      </c>
      <c r="N2181" s="80">
        <f>IF(AND($B2181="",$C2181="",$D2181=""),"",IF(NOT(ISNUMBER($B2181)),"Enter a valid date",IF($C2181="","Pick a menu item",IF($O2181="","Item not on Menu Pricing",IF(N($D2181)&lt;=0,"Qty must be above 0",IF($H2181="","No price on menu","OK"))))))</f>
        <v/>
      </c>
      <c r="O2181" s="13">
        <f>IF($C2181="","",IFERROR(MATCH($C2181,'Menu Pricing'!$B$7:$B$56,0),""))</f>
        <v/>
      </c>
    </row>
    <row r="2182" ht="17" customHeight="1">
      <c r="B2182" s="66" t="n"/>
      <c r="C2182" s="60" t="n"/>
      <c r="D2182" s="86" t="n"/>
      <c r="E2182" s="63" t="n"/>
      <c r="F2182" s="60" t="n"/>
      <c r="G2182" s="60" t="n"/>
      <c r="H2182" s="71">
        <f>IF(OR($C2182="",$D2182=""),"",IF(ISNUMBER($E2182),$E2182,IF($O2182="","",IF(N(INDEX('Menu Pricing'!$O$7:$O$56,$O2182))&gt;0,INDEX('Menu Pricing'!$O$7:$O$56,$O2182),""))))</f>
        <v/>
      </c>
      <c r="I2182" s="71">
        <f>IF($N2182&lt;&gt;"OK","",$D2182*$H2182)</f>
        <v/>
      </c>
      <c r="J2182" s="71">
        <f>IF($N2182&lt;&gt;"OK","",N(INDEX('Menu Pricing'!$F$7:$F$56,$O2182))+N(INDEX('Menu Pricing'!$G$7:$G$56,$O2182))+N(INDEX('Menu Pricing'!$J$7:$J$56,$O2182)))</f>
        <v/>
      </c>
      <c r="K2182" s="71">
        <f>IF($N2182&lt;&gt;"OK","",$D2182*$J2182)</f>
        <v/>
      </c>
      <c r="L2182" s="71">
        <f>IF($N2182&lt;&gt;"OK","",$I2182-$K2182)</f>
        <v/>
      </c>
      <c r="M2182" s="71">
        <f>IF($N2182&lt;&gt;"OK","",$D2182*N(INDEX('Menu Pricing'!$F$7:$F$56,$O2182)))</f>
        <v/>
      </c>
      <c r="N2182" s="80">
        <f>IF(AND($B2182="",$C2182="",$D2182=""),"",IF(NOT(ISNUMBER($B2182)),"Enter a valid date",IF($C2182="","Pick a menu item",IF($O2182="","Item not on Menu Pricing",IF(N($D2182)&lt;=0,"Qty must be above 0",IF($H2182="","No price on menu","OK"))))))</f>
        <v/>
      </c>
      <c r="O2182" s="13">
        <f>IF($C2182="","",IFERROR(MATCH($C2182,'Menu Pricing'!$B$7:$B$56,0),""))</f>
        <v/>
      </c>
    </row>
    <row r="2183" ht="17" customHeight="1">
      <c r="B2183" s="66" t="n"/>
      <c r="C2183" s="60" t="n"/>
      <c r="D2183" s="86" t="n"/>
      <c r="E2183" s="63" t="n"/>
      <c r="F2183" s="60" t="n"/>
      <c r="G2183" s="60" t="n"/>
      <c r="H2183" s="71">
        <f>IF(OR($C2183="",$D2183=""),"",IF(ISNUMBER($E2183),$E2183,IF($O2183="","",IF(N(INDEX('Menu Pricing'!$O$7:$O$56,$O2183))&gt;0,INDEX('Menu Pricing'!$O$7:$O$56,$O2183),""))))</f>
        <v/>
      </c>
      <c r="I2183" s="71">
        <f>IF($N2183&lt;&gt;"OK","",$D2183*$H2183)</f>
        <v/>
      </c>
      <c r="J2183" s="71">
        <f>IF($N2183&lt;&gt;"OK","",N(INDEX('Menu Pricing'!$F$7:$F$56,$O2183))+N(INDEX('Menu Pricing'!$G$7:$G$56,$O2183))+N(INDEX('Menu Pricing'!$J$7:$J$56,$O2183)))</f>
        <v/>
      </c>
      <c r="K2183" s="71">
        <f>IF($N2183&lt;&gt;"OK","",$D2183*$J2183)</f>
        <v/>
      </c>
      <c r="L2183" s="71">
        <f>IF($N2183&lt;&gt;"OK","",$I2183-$K2183)</f>
        <v/>
      </c>
      <c r="M2183" s="71">
        <f>IF($N2183&lt;&gt;"OK","",$D2183*N(INDEX('Menu Pricing'!$F$7:$F$56,$O2183)))</f>
        <v/>
      </c>
      <c r="N2183" s="80">
        <f>IF(AND($B2183="",$C2183="",$D2183=""),"",IF(NOT(ISNUMBER($B2183)),"Enter a valid date",IF($C2183="","Pick a menu item",IF($O2183="","Item not on Menu Pricing",IF(N($D2183)&lt;=0,"Qty must be above 0",IF($H2183="","No price on menu","OK"))))))</f>
        <v/>
      </c>
      <c r="O2183" s="13">
        <f>IF($C2183="","",IFERROR(MATCH($C2183,'Menu Pricing'!$B$7:$B$56,0),""))</f>
        <v/>
      </c>
    </row>
    <row r="2184" ht="17" customHeight="1">
      <c r="B2184" s="66" t="n"/>
      <c r="C2184" s="60" t="n"/>
      <c r="D2184" s="86" t="n"/>
      <c r="E2184" s="63" t="n"/>
      <c r="F2184" s="60" t="n"/>
      <c r="G2184" s="60" t="n"/>
      <c r="H2184" s="71">
        <f>IF(OR($C2184="",$D2184=""),"",IF(ISNUMBER($E2184),$E2184,IF($O2184="","",IF(N(INDEX('Menu Pricing'!$O$7:$O$56,$O2184))&gt;0,INDEX('Menu Pricing'!$O$7:$O$56,$O2184),""))))</f>
        <v/>
      </c>
      <c r="I2184" s="71">
        <f>IF($N2184&lt;&gt;"OK","",$D2184*$H2184)</f>
        <v/>
      </c>
      <c r="J2184" s="71">
        <f>IF($N2184&lt;&gt;"OK","",N(INDEX('Menu Pricing'!$F$7:$F$56,$O2184))+N(INDEX('Menu Pricing'!$G$7:$G$56,$O2184))+N(INDEX('Menu Pricing'!$J$7:$J$56,$O2184)))</f>
        <v/>
      </c>
      <c r="K2184" s="71">
        <f>IF($N2184&lt;&gt;"OK","",$D2184*$J2184)</f>
        <v/>
      </c>
      <c r="L2184" s="71">
        <f>IF($N2184&lt;&gt;"OK","",$I2184-$K2184)</f>
        <v/>
      </c>
      <c r="M2184" s="71">
        <f>IF($N2184&lt;&gt;"OK","",$D2184*N(INDEX('Menu Pricing'!$F$7:$F$56,$O2184)))</f>
        <v/>
      </c>
      <c r="N2184" s="80">
        <f>IF(AND($B2184="",$C2184="",$D2184=""),"",IF(NOT(ISNUMBER($B2184)),"Enter a valid date",IF($C2184="","Pick a menu item",IF($O2184="","Item not on Menu Pricing",IF(N($D2184)&lt;=0,"Qty must be above 0",IF($H2184="","No price on menu","OK"))))))</f>
        <v/>
      </c>
      <c r="O2184" s="13">
        <f>IF($C2184="","",IFERROR(MATCH($C2184,'Menu Pricing'!$B$7:$B$56,0),""))</f>
        <v/>
      </c>
    </row>
    <row r="2185" ht="17" customHeight="1">
      <c r="B2185" s="66" t="n"/>
      <c r="C2185" s="60" t="n"/>
      <c r="D2185" s="86" t="n"/>
      <c r="E2185" s="63" t="n"/>
      <c r="F2185" s="60" t="n"/>
      <c r="G2185" s="60" t="n"/>
      <c r="H2185" s="71">
        <f>IF(OR($C2185="",$D2185=""),"",IF(ISNUMBER($E2185),$E2185,IF($O2185="","",IF(N(INDEX('Menu Pricing'!$O$7:$O$56,$O2185))&gt;0,INDEX('Menu Pricing'!$O$7:$O$56,$O2185),""))))</f>
        <v/>
      </c>
      <c r="I2185" s="71">
        <f>IF($N2185&lt;&gt;"OK","",$D2185*$H2185)</f>
        <v/>
      </c>
      <c r="J2185" s="71">
        <f>IF($N2185&lt;&gt;"OK","",N(INDEX('Menu Pricing'!$F$7:$F$56,$O2185))+N(INDEX('Menu Pricing'!$G$7:$G$56,$O2185))+N(INDEX('Menu Pricing'!$J$7:$J$56,$O2185)))</f>
        <v/>
      </c>
      <c r="K2185" s="71">
        <f>IF($N2185&lt;&gt;"OK","",$D2185*$J2185)</f>
        <v/>
      </c>
      <c r="L2185" s="71">
        <f>IF($N2185&lt;&gt;"OK","",$I2185-$K2185)</f>
        <v/>
      </c>
      <c r="M2185" s="71">
        <f>IF($N2185&lt;&gt;"OK","",$D2185*N(INDEX('Menu Pricing'!$F$7:$F$56,$O2185)))</f>
        <v/>
      </c>
      <c r="N2185" s="80">
        <f>IF(AND($B2185="",$C2185="",$D2185=""),"",IF(NOT(ISNUMBER($B2185)),"Enter a valid date",IF($C2185="","Pick a menu item",IF($O2185="","Item not on Menu Pricing",IF(N($D2185)&lt;=0,"Qty must be above 0",IF($H2185="","No price on menu","OK"))))))</f>
        <v/>
      </c>
      <c r="O2185" s="13">
        <f>IF($C2185="","",IFERROR(MATCH($C2185,'Menu Pricing'!$B$7:$B$56,0),""))</f>
        <v/>
      </c>
    </row>
    <row r="2186" ht="17" customHeight="1">
      <c r="B2186" s="66" t="n"/>
      <c r="C2186" s="60" t="n"/>
      <c r="D2186" s="86" t="n"/>
      <c r="E2186" s="63" t="n"/>
      <c r="F2186" s="60" t="n"/>
      <c r="G2186" s="60" t="n"/>
      <c r="H2186" s="71">
        <f>IF(OR($C2186="",$D2186=""),"",IF(ISNUMBER($E2186),$E2186,IF($O2186="","",IF(N(INDEX('Menu Pricing'!$O$7:$O$56,$O2186))&gt;0,INDEX('Menu Pricing'!$O$7:$O$56,$O2186),""))))</f>
        <v/>
      </c>
      <c r="I2186" s="71">
        <f>IF($N2186&lt;&gt;"OK","",$D2186*$H2186)</f>
        <v/>
      </c>
      <c r="J2186" s="71">
        <f>IF($N2186&lt;&gt;"OK","",N(INDEX('Menu Pricing'!$F$7:$F$56,$O2186))+N(INDEX('Menu Pricing'!$G$7:$G$56,$O2186))+N(INDEX('Menu Pricing'!$J$7:$J$56,$O2186)))</f>
        <v/>
      </c>
      <c r="K2186" s="71">
        <f>IF($N2186&lt;&gt;"OK","",$D2186*$J2186)</f>
        <v/>
      </c>
      <c r="L2186" s="71">
        <f>IF($N2186&lt;&gt;"OK","",$I2186-$K2186)</f>
        <v/>
      </c>
      <c r="M2186" s="71">
        <f>IF($N2186&lt;&gt;"OK","",$D2186*N(INDEX('Menu Pricing'!$F$7:$F$56,$O2186)))</f>
        <v/>
      </c>
      <c r="N2186" s="80">
        <f>IF(AND($B2186="",$C2186="",$D2186=""),"",IF(NOT(ISNUMBER($B2186)),"Enter a valid date",IF($C2186="","Pick a menu item",IF($O2186="","Item not on Menu Pricing",IF(N($D2186)&lt;=0,"Qty must be above 0",IF($H2186="","No price on menu","OK"))))))</f>
        <v/>
      </c>
      <c r="O2186" s="13">
        <f>IF($C2186="","",IFERROR(MATCH($C2186,'Menu Pricing'!$B$7:$B$56,0),""))</f>
        <v/>
      </c>
    </row>
    <row r="2187" ht="17" customHeight="1">
      <c r="B2187" s="66" t="n"/>
      <c r="C2187" s="60" t="n"/>
      <c r="D2187" s="86" t="n"/>
      <c r="E2187" s="63" t="n"/>
      <c r="F2187" s="60" t="n"/>
      <c r="G2187" s="60" t="n"/>
      <c r="H2187" s="71">
        <f>IF(OR($C2187="",$D2187=""),"",IF(ISNUMBER($E2187),$E2187,IF($O2187="","",IF(N(INDEX('Menu Pricing'!$O$7:$O$56,$O2187))&gt;0,INDEX('Menu Pricing'!$O$7:$O$56,$O2187),""))))</f>
        <v/>
      </c>
      <c r="I2187" s="71">
        <f>IF($N2187&lt;&gt;"OK","",$D2187*$H2187)</f>
        <v/>
      </c>
      <c r="J2187" s="71">
        <f>IF($N2187&lt;&gt;"OK","",N(INDEX('Menu Pricing'!$F$7:$F$56,$O2187))+N(INDEX('Menu Pricing'!$G$7:$G$56,$O2187))+N(INDEX('Menu Pricing'!$J$7:$J$56,$O2187)))</f>
        <v/>
      </c>
      <c r="K2187" s="71">
        <f>IF($N2187&lt;&gt;"OK","",$D2187*$J2187)</f>
        <v/>
      </c>
      <c r="L2187" s="71">
        <f>IF($N2187&lt;&gt;"OK","",$I2187-$K2187)</f>
        <v/>
      </c>
      <c r="M2187" s="71">
        <f>IF($N2187&lt;&gt;"OK","",$D2187*N(INDEX('Menu Pricing'!$F$7:$F$56,$O2187)))</f>
        <v/>
      </c>
      <c r="N2187" s="80">
        <f>IF(AND($B2187="",$C2187="",$D2187=""),"",IF(NOT(ISNUMBER($B2187)),"Enter a valid date",IF($C2187="","Pick a menu item",IF($O2187="","Item not on Menu Pricing",IF(N($D2187)&lt;=0,"Qty must be above 0",IF($H2187="","No price on menu","OK"))))))</f>
        <v/>
      </c>
      <c r="O2187" s="13">
        <f>IF($C2187="","",IFERROR(MATCH($C2187,'Menu Pricing'!$B$7:$B$56,0),""))</f>
        <v/>
      </c>
    </row>
    <row r="2188" ht="17" customHeight="1">
      <c r="B2188" s="66" t="n"/>
      <c r="C2188" s="60" t="n"/>
      <c r="D2188" s="86" t="n"/>
      <c r="E2188" s="63" t="n"/>
      <c r="F2188" s="60" t="n"/>
      <c r="G2188" s="60" t="n"/>
      <c r="H2188" s="71">
        <f>IF(OR($C2188="",$D2188=""),"",IF(ISNUMBER($E2188),$E2188,IF($O2188="","",IF(N(INDEX('Menu Pricing'!$O$7:$O$56,$O2188))&gt;0,INDEX('Menu Pricing'!$O$7:$O$56,$O2188),""))))</f>
        <v/>
      </c>
      <c r="I2188" s="71">
        <f>IF($N2188&lt;&gt;"OK","",$D2188*$H2188)</f>
        <v/>
      </c>
      <c r="J2188" s="71">
        <f>IF($N2188&lt;&gt;"OK","",N(INDEX('Menu Pricing'!$F$7:$F$56,$O2188))+N(INDEX('Menu Pricing'!$G$7:$G$56,$O2188))+N(INDEX('Menu Pricing'!$J$7:$J$56,$O2188)))</f>
        <v/>
      </c>
      <c r="K2188" s="71">
        <f>IF($N2188&lt;&gt;"OK","",$D2188*$J2188)</f>
        <v/>
      </c>
      <c r="L2188" s="71">
        <f>IF($N2188&lt;&gt;"OK","",$I2188-$K2188)</f>
        <v/>
      </c>
      <c r="M2188" s="71">
        <f>IF($N2188&lt;&gt;"OK","",$D2188*N(INDEX('Menu Pricing'!$F$7:$F$56,$O2188)))</f>
        <v/>
      </c>
      <c r="N2188" s="80">
        <f>IF(AND($B2188="",$C2188="",$D2188=""),"",IF(NOT(ISNUMBER($B2188)),"Enter a valid date",IF($C2188="","Pick a menu item",IF($O2188="","Item not on Menu Pricing",IF(N($D2188)&lt;=0,"Qty must be above 0",IF($H2188="","No price on menu","OK"))))))</f>
        <v/>
      </c>
      <c r="O2188" s="13">
        <f>IF($C2188="","",IFERROR(MATCH($C2188,'Menu Pricing'!$B$7:$B$56,0),""))</f>
        <v/>
      </c>
    </row>
    <row r="2189" ht="17" customHeight="1">
      <c r="B2189" s="66" t="n"/>
      <c r="C2189" s="60" t="n"/>
      <c r="D2189" s="86" t="n"/>
      <c r="E2189" s="63" t="n"/>
      <c r="F2189" s="60" t="n"/>
      <c r="G2189" s="60" t="n"/>
      <c r="H2189" s="71">
        <f>IF(OR($C2189="",$D2189=""),"",IF(ISNUMBER($E2189),$E2189,IF($O2189="","",IF(N(INDEX('Menu Pricing'!$O$7:$O$56,$O2189))&gt;0,INDEX('Menu Pricing'!$O$7:$O$56,$O2189),""))))</f>
        <v/>
      </c>
      <c r="I2189" s="71">
        <f>IF($N2189&lt;&gt;"OK","",$D2189*$H2189)</f>
        <v/>
      </c>
      <c r="J2189" s="71">
        <f>IF($N2189&lt;&gt;"OK","",N(INDEX('Menu Pricing'!$F$7:$F$56,$O2189))+N(INDEX('Menu Pricing'!$G$7:$G$56,$O2189))+N(INDEX('Menu Pricing'!$J$7:$J$56,$O2189)))</f>
        <v/>
      </c>
      <c r="K2189" s="71">
        <f>IF($N2189&lt;&gt;"OK","",$D2189*$J2189)</f>
        <v/>
      </c>
      <c r="L2189" s="71">
        <f>IF($N2189&lt;&gt;"OK","",$I2189-$K2189)</f>
        <v/>
      </c>
      <c r="M2189" s="71">
        <f>IF($N2189&lt;&gt;"OK","",$D2189*N(INDEX('Menu Pricing'!$F$7:$F$56,$O2189)))</f>
        <v/>
      </c>
      <c r="N2189" s="80">
        <f>IF(AND($B2189="",$C2189="",$D2189=""),"",IF(NOT(ISNUMBER($B2189)),"Enter a valid date",IF($C2189="","Pick a menu item",IF($O2189="","Item not on Menu Pricing",IF(N($D2189)&lt;=0,"Qty must be above 0",IF($H2189="","No price on menu","OK"))))))</f>
        <v/>
      </c>
      <c r="O2189" s="13">
        <f>IF($C2189="","",IFERROR(MATCH($C2189,'Menu Pricing'!$B$7:$B$56,0),""))</f>
        <v/>
      </c>
    </row>
    <row r="2190" ht="17" customHeight="1">
      <c r="B2190" s="66" t="n"/>
      <c r="C2190" s="60" t="n"/>
      <c r="D2190" s="86" t="n"/>
      <c r="E2190" s="63" t="n"/>
      <c r="F2190" s="60" t="n"/>
      <c r="G2190" s="60" t="n"/>
      <c r="H2190" s="71">
        <f>IF(OR($C2190="",$D2190=""),"",IF(ISNUMBER($E2190),$E2190,IF($O2190="","",IF(N(INDEX('Menu Pricing'!$O$7:$O$56,$O2190))&gt;0,INDEX('Menu Pricing'!$O$7:$O$56,$O2190),""))))</f>
        <v/>
      </c>
      <c r="I2190" s="71">
        <f>IF($N2190&lt;&gt;"OK","",$D2190*$H2190)</f>
        <v/>
      </c>
      <c r="J2190" s="71">
        <f>IF($N2190&lt;&gt;"OK","",N(INDEX('Menu Pricing'!$F$7:$F$56,$O2190))+N(INDEX('Menu Pricing'!$G$7:$G$56,$O2190))+N(INDEX('Menu Pricing'!$J$7:$J$56,$O2190)))</f>
        <v/>
      </c>
      <c r="K2190" s="71">
        <f>IF($N2190&lt;&gt;"OK","",$D2190*$J2190)</f>
        <v/>
      </c>
      <c r="L2190" s="71">
        <f>IF($N2190&lt;&gt;"OK","",$I2190-$K2190)</f>
        <v/>
      </c>
      <c r="M2190" s="71">
        <f>IF($N2190&lt;&gt;"OK","",$D2190*N(INDEX('Menu Pricing'!$F$7:$F$56,$O2190)))</f>
        <v/>
      </c>
      <c r="N2190" s="80">
        <f>IF(AND($B2190="",$C2190="",$D2190=""),"",IF(NOT(ISNUMBER($B2190)),"Enter a valid date",IF($C2190="","Pick a menu item",IF($O2190="","Item not on Menu Pricing",IF(N($D2190)&lt;=0,"Qty must be above 0",IF($H2190="","No price on menu","OK"))))))</f>
        <v/>
      </c>
      <c r="O2190" s="13">
        <f>IF($C2190="","",IFERROR(MATCH($C2190,'Menu Pricing'!$B$7:$B$56,0),""))</f>
        <v/>
      </c>
    </row>
    <row r="2191" ht="17" customHeight="1">
      <c r="B2191" s="66" t="n"/>
      <c r="C2191" s="60" t="n"/>
      <c r="D2191" s="86" t="n"/>
      <c r="E2191" s="63" t="n"/>
      <c r="F2191" s="60" t="n"/>
      <c r="G2191" s="60" t="n"/>
      <c r="H2191" s="71">
        <f>IF(OR($C2191="",$D2191=""),"",IF(ISNUMBER($E2191),$E2191,IF($O2191="","",IF(N(INDEX('Menu Pricing'!$O$7:$O$56,$O2191))&gt;0,INDEX('Menu Pricing'!$O$7:$O$56,$O2191),""))))</f>
        <v/>
      </c>
      <c r="I2191" s="71">
        <f>IF($N2191&lt;&gt;"OK","",$D2191*$H2191)</f>
        <v/>
      </c>
      <c r="J2191" s="71">
        <f>IF($N2191&lt;&gt;"OK","",N(INDEX('Menu Pricing'!$F$7:$F$56,$O2191))+N(INDEX('Menu Pricing'!$G$7:$G$56,$O2191))+N(INDEX('Menu Pricing'!$J$7:$J$56,$O2191)))</f>
        <v/>
      </c>
      <c r="K2191" s="71">
        <f>IF($N2191&lt;&gt;"OK","",$D2191*$J2191)</f>
        <v/>
      </c>
      <c r="L2191" s="71">
        <f>IF($N2191&lt;&gt;"OK","",$I2191-$K2191)</f>
        <v/>
      </c>
      <c r="M2191" s="71">
        <f>IF($N2191&lt;&gt;"OK","",$D2191*N(INDEX('Menu Pricing'!$F$7:$F$56,$O2191)))</f>
        <v/>
      </c>
      <c r="N2191" s="80">
        <f>IF(AND($B2191="",$C2191="",$D2191=""),"",IF(NOT(ISNUMBER($B2191)),"Enter a valid date",IF($C2191="","Pick a menu item",IF($O2191="","Item not on Menu Pricing",IF(N($D2191)&lt;=0,"Qty must be above 0",IF($H2191="","No price on menu","OK"))))))</f>
        <v/>
      </c>
      <c r="O2191" s="13">
        <f>IF($C2191="","",IFERROR(MATCH($C2191,'Menu Pricing'!$B$7:$B$56,0),""))</f>
        <v/>
      </c>
    </row>
    <row r="2192" ht="17" customHeight="1">
      <c r="B2192" s="66" t="n"/>
      <c r="C2192" s="60" t="n"/>
      <c r="D2192" s="86" t="n"/>
      <c r="E2192" s="63" t="n"/>
      <c r="F2192" s="60" t="n"/>
      <c r="G2192" s="60" t="n"/>
      <c r="H2192" s="71">
        <f>IF(OR($C2192="",$D2192=""),"",IF(ISNUMBER($E2192),$E2192,IF($O2192="","",IF(N(INDEX('Menu Pricing'!$O$7:$O$56,$O2192))&gt;0,INDEX('Menu Pricing'!$O$7:$O$56,$O2192),""))))</f>
        <v/>
      </c>
      <c r="I2192" s="71">
        <f>IF($N2192&lt;&gt;"OK","",$D2192*$H2192)</f>
        <v/>
      </c>
      <c r="J2192" s="71">
        <f>IF($N2192&lt;&gt;"OK","",N(INDEX('Menu Pricing'!$F$7:$F$56,$O2192))+N(INDEX('Menu Pricing'!$G$7:$G$56,$O2192))+N(INDEX('Menu Pricing'!$J$7:$J$56,$O2192)))</f>
        <v/>
      </c>
      <c r="K2192" s="71">
        <f>IF($N2192&lt;&gt;"OK","",$D2192*$J2192)</f>
        <v/>
      </c>
      <c r="L2192" s="71">
        <f>IF($N2192&lt;&gt;"OK","",$I2192-$K2192)</f>
        <v/>
      </c>
      <c r="M2192" s="71">
        <f>IF($N2192&lt;&gt;"OK","",$D2192*N(INDEX('Menu Pricing'!$F$7:$F$56,$O2192)))</f>
        <v/>
      </c>
      <c r="N2192" s="80">
        <f>IF(AND($B2192="",$C2192="",$D2192=""),"",IF(NOT(ISNUMBER($B2192)),"Enter a valid date",IF($C2192="","Pick a menu item",IF($O2192="","Item not on Menu Pricing",IF(N($D2192)&lt;=0,"Qty must be above 0",IF($H2192="","No price on menu","OK"))))))</f>
        <v/>
      </c>
      <c r="O2192" s="13">
        <f>IF($C2192="","",IFERROR(MATCH($C2192,'Menu Pricing'!$B$7:$B$56,0),""))</f>
        <v/>
      </c>
    </row>
    <row r="2193" ht="17" customHeight="1">
      <c r="B2193" s="66" t="n"/>
      <c r="C2193" s="60" t="n"/>
      <c r="D2193" s="86" t="n"/>
      <c r="E2193" s="63" t="n"/>
      <c r="F2193" s="60" t="n"/>
      <c r="G2193" s="60" t="n"/>
      <c r="H2193" s="71">
        <f>IF(OR($C2193="",$D2193=""),"",IF(ISNUMBER($E2193),$E2193,IF($O2193="","",IF(N(INDEX('Menu Pricing'!$O$7:$O$56,$O2193))&gt;0,INDEX('Menu Pricing'!$O$7:$O$56,$O2193),""))))</f>
        <v/>
      </c>
      <c r="I2193" s="71">
        <f>IF($N2193&lt;&gt;"OK","",$D2193*$H2193)</f>
        <v/>
      </c>
      <c r="J2193" s="71">
        <f>IF($N2193&lt;&gt;"OK","",N(INDEX('Menu Pricing'!$F$7:$F$56,$O2193))+N(INDEX('Menu Pricing'!$G$7:$G$56,$O2193))+N(INDEX('Menu Pricing'!$J$7:$J$56,$O2193)))</f>
        <v/>
      </c>
      <c r="K2193" s="71">
        <f>IF($N2193&lt;&gt;"OK","",$D2193*$J2193)</f>
        <v/>
      </c>
      <c r="L2193" s="71">
        <f>IF($N2193&lt;&gt;"OK","",$I2193-$K2193)</f>
        <v/>
      </c>
      <c r="M2193" s="71">
        <f>IF($N2193&lt;&gt;"OK","",$D2193*N(INDEX('Menu Pricing'!$F$7:$F$56,$O2193)))</f>
        <v/>
      </c>
      <c r="N2193" s="80">
        <f>IF(AND($B2193="",$C2193="",$D2193=""),"",IF(NOT(ISNUMBER($B2193)),"Enter a valid date",IF($C2193="","Pick a menu item",IF($O2193="","Item not on Menu Pricing",IF(N($D2193)&lt;=0,"Qty must be above 0",IF($H2193="","No price on menu","OK"))))))</f>
        <v/>
      </c>
      <c r="O2193" s="13">
        <f>IF($C2193="","",IFERROR(MATCH($C2193,'Menu Pricing'!$B$7:$B$56,0),""))</f>
        <v/>
      </c>
    </row>
    <row r="2194" ht="17" customHeight="1">
      <c r="B2194" s="66" t="n"/>
      <c r="C2194" s="60" t="n"/>
      <c r="D2194" s="86" t="n"/>
      <c r="E2194" s="63" t="n"/>
      <c r="F2194" s="60" t="n"/>
      <c r="G2194" s="60" t="n"/>
      <c r="H2194" s="71">
        <f>IF(OR($C2194="",$D2194=""),"",IF(ISNUMBER($E2194),$E2194,IF($O2194="","",IF(N(INDEX('Menu Pricing'!$O$7:$O$56,$O2194))&gt;0,INDEX('Menu Pricing'!$O$7:$O$56,$O2194),""))))</f>
        <v/>
      </c>
      <c r="I2194" s="71">
        <f>IF($N2194&lt;&gt;"OK","",$D2194*$H2194)</f>
        <v/>
      </c>
      <c r="J2194" s="71">
        <f>IF($N2194&lt;&gt;"OK","",N(INDEX('Menu Pricing'!$F$7:$F$56,$O2194))+N(INDEX('Menu Pricing'!$G$7:$G$56,$O2194))+N(INDEX('Menu Pricing'!$J$7:$J$56,$O2194)))</f>
        <v/>
      </c>
      <c r="K2194" s="71">
        <f>IF($N2194&lt;&gt;"OK","",$D2194*$J2194)</f>
        <v/>
      </c>
      <c r="L2194" s="71">
        <f>IF($N2194&lt;&gt;"OK","",$I2194-$K2194)</f>
        <v/>
      </c>
      <c r="M2194" s="71">
        <f>IF($N2194&lt;&gt;"OK","",$D2194*N(INDEX('Menu Pricing'!$F$7:$F$56,$O2194)))</f>
        <v/>
      </c>
      <c r="N2194" s="80">
        <f>IF(AND($B2194="",$C2194="",$D2194=""),"",IF(NOT(ISNUMBER($B2194)),"Enter a valid date",IF($C2194="","Pick a menu item",IF($O2194="","Item not on Menu Pricing",IF(N($D2194)&lt;=0,"Qty must be above 0",IF($H2194="","No price on menu","OK"))))))</f>
        <v/>
      </c>
      <c r="O2194" s="13">
        <f>IF($C2194="","",IFERROR(MATCH($C2194,'Menu Pricing'!$B$7:$B$56,0),""))</f>
        <v/>
      </c>
    </row>
    <row r="2195" ht="17" customHeight="1">
      <c r="B2195" s="66" t="n"/>
      <c r="C2195" s="60" t="n"/>
      <c r="D2195" s="86" t="n"/>
      <c r="E2195" s="63" t="n"/>
      <c r="F2195" s="60" t="n"/>
      <c r="G2195" s="60" t="n"/>
      <c r="H2195" s="71">
        <f>IF(OR($C2195="",$D2195=""),"",IF(ISNUMBER($E2195),$E2195,IF($O2195="","",IF(N(INDEX('Menu Pricing'!$O$7:$O$56,$O2195))&gt;0,INDEX('Menu Pricing'!$O$7:$O$56,$O2195),""))))</f>
        <v/>
      </c>
      <c r="I2195" s="71">
        <f>IF($N2195&lt;&gt;"OK","",$D2195*$H2195)</f>
        <v/>
      </c>
      <c r="J2195" s="71">
        <f>IF($N2195&lt;&gt;"OK","",N(INDEX('Menu Pricing'!$F$7:$F$56,$O2195))+N(INDEX('Menu Pricing'!$G$7:$G$56,$O2195))+N(INDEX('Menu Pricing'!$J$7:$J$56,$O2195)))</f>
        <v/>
      </c>
      <c r="K2195" s="71">
        <f>IF($N2195&lt;&gt;"OK","",$D2195*$J2195)</f>
        <v/>
      </c>
      <c r="L2195" s="71">
        <f>IF($N2195&lt;&gt;"OK","",$I2195-$K2195)</f>
        <v/>
      </c>
      <c r="M2195" s="71">
        <f>IF($N2195&lt;&gt;"OK","",$D2195*N(INDEX('Menu Pricing'!$F$7:$F$56,$O2195)))</f>
        <v/>
      </c>
      <c r="N2195" s="80">
        <f>IF(AND($B2195="",$C2195="",$D2195=""),"",IF(NOT(ISNUMBER($B2195)),"Enter a valid date",IF($C2195="","Pick a menu item",IF($O2195="","Item not on Menu Pricing",IF(N($D2195)&lt;=0,"Qty must be above 0",IF($H2195="","No price on menu","OK"))))))</f>
        <v/>
      </c>
      <c r="O2195" s="13">
        <f>IF($C2195="","",IFERROR(MATCH($C2195,'Menu Pricing'!$B$7:$B$56,0),""))</f>
        <v/>
      </c>
    </row>
    <row r="2196" ht="17" customHeight="1">
      <c r="B2196" s="66" t="n"/>
      <c r="C2196" s="60" t="n"/>
      <c r="D2196" s="86" t="n"/>
      <c r="E2196" s="63" t="n"/>
      <c r="F2196" s="60" t="n"/>
      <c r="G2196" s="60" t="n"/>
      <c r="H2196" s="71">
        <f>IF(OR($C2196="",$D2196=""),"",IF(ISNUMBER($E2196),$E2196,IF($O2196="","",IF(N(INDEX('Menu Pricing'!$O$7:$O$56,$O2196))&gt;0,INDEX('Menu Pricing'!$O$7:$O$56,$O2196),""))))</f>
        <v/>
      </c>
      <c r="I2196" s="71">
        <f>IF($N2196&lt;&gt;"OK","",$D2196*$H2196)</f>
        <v/>
      </c>
      <c r="J2196" s="71">
        <f>IF($N2196&lt;&gt;"OK","",N(INDEX('Menu Pricing'!$F$7:$F$56,$O2196))+N(INDEX('Menu Pricing'!$G$7:$G$56,$O2196))+N(INDEX('Menu Pricing'!$J$7:$J$56,$O2196)))</f>
        <v/>
      </c>
      <c r="K2196" s="71">
        <f>IF($N2196&lt;&gt;"OK","",$D2196*$J2196)</f>
        <v/>
      </c>
      <c r="L2196" s="71">
        <f>IF($N2196&lt;&gt;"OK","",$I2196-$K2196)</f>
        <v/>
      </c>
      <c r="M2196" s="71">
        <f>IF($N2196&lt;&gt;"OK","",$D2196*N(INDEX('Menu Pricing'!$F$7:$F$56,$O2196)))</f>
        <v/>
      </c>
      <c r="N2196" s="80">
        <f>IF(AND($B2196="",$C2196="",$D2196=""),"",IF(NOT(ISNUMBER($B2196)),"Enter a valid date",IF($C2196="","Pick a menu item",IF($O2196="","Item not on Menu Pricing",IF(N($D2196)&lt;=0,"Qty must be above 0",IF($H2196="","No price on menu","OK"))))))</f>
        <v/>
      </c>
      <c r="O2196" s="13">
        <f>IF($C2196="","",IFERROR(MATCH($C2196,'Menu Pricing'!$B$7:$B$56,0),""))</f>
        <v/>
      </c>
    </row>
    <row r="2197" ht="17" customHeight="1">
      <c r="B2197" s="66" t="n"/>
      <c r="C2197" s="60" t="n"/>
      <c r="D2197" s="86" t="n"/>
      <c r="E2197" s="63" t="n"/>
      <c r="F2197" s="60" t="n"/>
      <c r="G2197" s="60" t="n"/>
      <c r="H2197" s="71">
        <f>IF(OR($C2197="",$D2197=""),"",IF(ISNUMBER($E2197),$E2197,IF($O2197="","",IF(N(INDEX('Menu Pricing'!$O$7:$O$56,$O2197))&gt;0,INDEX('Menu Pricing'!$O$7:$O$56,$O2197),""))))</f>
        <v/>
      </c>
      <c r="I2197" s="71">
        <f>IF($N2197&lt;&gt;"OK","",$D2197*$H2197)</f>
        <v/>
      </c>
      <c r="J2197" s="71">
        <f>IF($N2197&lt;&gt;"OK","",N(INDEX('Menu Pricing'!$F$7:$F$56,$O2197))+N(INDEX('Menu Pricing'!$G$7:$G$56,$O2197))+N(INDEX('Menu Pricing'!$J$7:$J$56,$O2197)))</f>
        <v/>
      </c>
      <c r="K2197" s="71">
        <f>IF($N2197&lt;&gt;"OK","",$D2197*$J2197)</f>
        <v/>
      </c>
      <c r="L2197" s="71">
        <f>IF($N2197&lt;&gt;"OK","",$I2197-$K2197)</f>
        <v/>
      </c>
      <c r="M2197" s="71">
        <f>IF($N2197&lt;&gt;"OK","",$D2197*N(INDEX('Menu Pricing'!$F$7:$F$56,$O2197)))</f>
        <v/>
      </c>
      <c r="N2197" s="80">
        <f>IF(AND($B2197="",$C2197="",$D2197=""),"",IF(NOT(ISNUMBER($B2197)),"Enter a valid date",IF($C2197="","Pick a menu item",IF($O2197="","Item not on Menu Pricing",IF(N($D2197)&lt;=0,"Qty must be above 0",IF($H2197="","No price on menu","OK"))))))</f>
        <v/>
      </c>
      <c r="O2197" s="13">
        <f>IF($C2197="","",IFERROR(MATCH($C2197,'Menu Pricing'!$B$7:$B$56,0),""))</f>
        <v/>
      </c>
    </row>
    <row r="2198" ht="17" customHeight="1">
      <c r="B2198" s="66" t="n"/>
      <c r="C2198" s="60" t="n"/>
      <c r="D2198" s="86" t="n"/>
      <c r="E2198" s="63" t="n"/>
      <c r="F2198" s="60" t="n"/>
      <c r="G2198" s="60" t="n"/>
      <c r="H2198" s="71">
        <f>IF(OR($C2198="",$D2198=""),"",IF(ISNUMBER($E2198),$E2198,IF($O2198="","",IF(N(INDEX('Menu Pricing'!$O$7:$O$56,$O2198))&gt;0,INDEX('Menu Pricing'!$O$7:$O$56,$O2198),""))))</f>
        <v/>
      </c>
      <c r="I2198" s="71">
        <f>IF($N2198&lt;&gt;"OK","",$D2198*$H2198)</f>
        <v/>
      </c>
      <c r="J2198" s="71">
        <f>IF($N2198&lt;&gt;"OK","",N(INDEX('Menu Pricing'!$F$7:$F$56,$O2198))+N(INDEX('Menu Pricing'!$G$7:$G$56,$O2198))+N(INDEX('Menu Pricing'!$J$7:$J$56,$O2198)))</f>
        <v/>
      </c>
      <c r="K2198" s="71">
        <f>IF($N2198&lt;&gt;"OK","",$D2198*$J2198)</f>
        <v/>
      </c>
      <c r="L2198" s="71">
        <f>IF($N2198&lt;&gt;"OK","",$I2198-$K2198)</f>
        <v/>
      </c>
      <c r="M2198" s="71">
        <f>IF($N2198&lt;&gt;"OK","",$D2198*N(INDEX('Menu Pricing'!$F$7:$F$56,$O2198)))</f>
        <v/>
      </c>
      <c r="N2198" s="80">
        <f>IF(AND($B2198="",$C2198="",$D2198=""),"",IF(NOT(ISNUMBER($B2198)),"Enter a valid date",IF($C2198="","Pick a menu item",IF($O2198="","Item not on Menu Pricing",IF(N($D2198)&lt;=0,"Qty must be above 0",IF($H2198="","No price on menu","OK"))))))</f>
        <v/>
      </c>
      <c r="O2198" s="13">
        <f>IF($C2198="","",IFERROR(MATCH($C2198,'Menu Pricing'!$B$7:$B$56,0),""))</f>
        <v/>
      </c>
    </row>
    <row r="2199" ht="17" customHeight="1">
      <c r="B2199" s="66" t="n"/>
      <c r="C2199" s="60" t="n"/>
      <c r="D2199" s="86" t="n"/>
      <c r="E2199" s="63" t="n"/>
      <c r="F2199" s="60" t="n"/>
      <c r="G2199" s="60" t="n"/>
      <c r="H2199" s="71">
        <f>IF(OR($C2199="",$D2199=""),"",IF(ISNUMBER($E2199),$E2199,IF($O2199="","",IF(N(INDEX('Menu Pricing'!$O$7:$O$56,$O2199))&gt;0,INDEX('Menu Pricing'!$O$7:$O$56,$O2199),""))))</f>
        <v/>
      </c>
      <c r="I2199" s="71">
        <f>IF($N2199&lt;&gt;"OK","",$D2199*$H2199)</f>
        <v/>
      </c>
      <c r="J2199" s="71">
        <f>IF($N2199&lt;&gt;"OK","",N(INDEX('Menu Pricing'!$F$7:$F$56,$O2199))+N(INDEX('Menu Pricing'!$G$7:$G$56,$O2199))+N(INDEX('Menu Pricing'!$J$7:$J$56,$O2199)))</f>
        <v/>
      </c>
      <c r="K2199" s="71">
        <f>IF($N2199&lt;&gt;"OK","",$D2199*$J2199)</f>
        <v/>
      </c>
      <c r="L2199" s="71">
        <f>IF($N2199&lt;&gt;"OK","",$I2199-$K2199)</f>
        <v/>
      </c>
      <c r="M2199" s="71">
        <f>IF($N2199&lt;&gt;"OK","",$D2199*N(INDEX('Menu Pricing'!$F$7:$F$56,$O2199)))</f>
        <v/>
      </c>
      <c r="N2199" s="80">
        <f>IF(AND($B2199="",$C2199="",$D2199=""),"",IF(NOT(ISNUMBER($B2199)),"Enter a valid date",IF($C2199="","Pick a menu item",IF($O2199="","Item not on Menu Pricing",IF(N($D2199)&lt;=0,"Qty must be above 0",IF($H2199="","No price on menu","OK"))))))</f>
        <v/>
      </c>
      <c r="O2199" s="13">
        <f>IF($C2199="","",IFERROR(MATCH($C2199,'Menu Pricing'!$B$7:$B$56,0),""))</f>
        <v/>
      </c>
    </row>
    <row r="2200" ht="17" customHeight="1">
      <c r="B2200" s="66" t="n"/>
      <c r="C2200" s="60" t="n"/>
      <c r="D2200" s="86" t="n"/>
      <c r="E2200" s="63" t="n"/>
      <c r="F2200" s="60" t="n"/>
      <c r="G2200" s="60" t="n"/>
      <c r="H2200" s="71">
        <f>IF(OR($C2200="",$D2200=""),"",IF(ISNUMBER($E2200),$E2200,IF($O2200="","",IF(N(INDEX('Menu Pricing'!$O$7:$O$56,$O2200))&gt;0,INDEX('Menu Pricing'!$O$7:$O$56,$O2200),""))))</f>
        <v/>
      </c>
      <c r="I2200" s="71">
        <f>IF($N2200&lt;&gt;"OK","",$D2200*$H2200)</f>
        <v/>
      </c>
      <c r="J2200" s="71">
        <f>IF($N2200&lt;&gt;"OK","",N(INDEX('Menu Pricing'!$F$7:$F$56,$O2200))+N(INDEX('Menu Pricing'!$G$7:$G$56,$O2200))+N(INDEX('Menu Pricing'!$J$7:$J$56,$O2200)))</f>
        <v/>
      </c>
      <c r="K2200" s="71">
        <f>IF($N2200&lt;&gt;"OK","",$D2200*$J2200)</f>
        <v/>
      </c>
      <c r="L2200" s="71">
        <f>IF($N2200&lt;&gt;"OK","",$I2200-$K2200)</f>
        <v/>
      </c>
      <c r="M2200" s="71">
        <f>IF($N2200&lt;&gt;"OK","",$D2200*N(INDEX('Menu Pricing'!$F$7:$F$56,$O2200)))</f>
        <v/>
      </c>
      <c r="N2200" s="80">
        <f>IF(AND($B2200="",$C2200="",$D2200=""),"",IF(NOT(ISNUMBER($B2200)),"Enter a valid date",IF($C2200="","Pick a menu item",IF($O2200="","Item not on Menu Pricing",IF(N($D2200)&lt;=0,"Qty must be above 0",IF($H2200="","No price on menu","OK"))))))</f>
        <v/>
      </c>
      <c r="O2200" s="13">
        <f>IF($C2200="","",IFERROR(MATCH($C2200,'Menu Pricing'!$B$7:$B$56,0),""))</f>
        <v/>
      </c>
    </row>
    <row r="2201" ht="17" customHeight="1">
      <c r="B2201" s="66" t="n"/>
      <c r="C2201" s="60" t="n"/>
      <c r="D2201" s="86" t="n"/>
      <c r="E2201" s="63" t="n"/>
      <c r="F2201" s="60" t="n"/>
      <c r="G2201" s="60" t="n"/>
      <c r="H2201" s="71">
        <f>IF(OR($C2201="",$D2201=""),"",IF(ISNUMBER($E2201),$E2201,IF($O2201="","",IF(N(INDEX('Menu Pricing'!$O$7:$O$56,$O2201))&gt;0,INDEX('Menu Pricing'!$O$7:$O$56,$O2201),""))))</f>
        <v/>
      </c>
      <c r="I2201" s="71">
        <f>IF($N2201&lt;&gt;"OK","",$D2201*$H2201)</f>
        <v/>
      </c>
      <c r="J2201" s="71">
        <f>IF($N2201&lt;&gt;"OK","",N(INDEX('Menu Pricing'!$F$7:$F$56,$O2201))+N(INDEX('Menu Pricing'!$G$7:$G$56,$O2201))+N(INDEX('Menu Pricing'!$J$7:$J$56,$O2201)))</f>
        <v/>
      </c>
      <c r="K2201" s="71">
        <f>IF($N2201&lt;&gt;"OK","",$D2201*$J2201)</f>
        <v/>
      </c>
      <c r="L2201" s="71">
        <f>IF($N2201&lt;&gt;"OK","",$I2201-$K2201)</f>
        <v/>
      </c>
      <c r="M2201" s="71">
        <f>IF($N2201&lt;&gt;"OK","",$D2201*N(INDEX('Menu Pricing'!$F$7:$F$56,$O2201)))</f>
        <v/>
      </c>
      <c r="N2201" s="80">
        <f>IF(AND($B2201="",$C2201="",$D2201=""),"",IF(NOT(ISNUMBER($B2201)),"Enter a valid date",IF($C2201="","Pick a menu item",IF($O2201="","Item not on Menu Pricing",IF(N($D2201)&lt;=0,"Qty must be above 0",IF($H2201="","No price on menu","OK"))))))</f>
        <v/>
      </c>
      <c r="O2201" s="13">
        <f>IF($C2201="","",IFERROR(MATCH($C2201,'Menu Pricing'!$B$7:$B$56,0),""))</f>
        <v/>
      </c>
    </row>
    <row r="2202" ht="17" customHeight="1">
      <c r="B2202" s="66" t="n"/>
      <c r="C2202" s="60" t="n"/>
      <c r="D2202" s="86" t="n"/>
      <c r="E2202" s="63" t="n"/>
      <c r="F2202" s="60" t="n"/>
      <c r="G2202" s="60" t="n"/>
      <c r="H2202" s="71">
        <f>IF(OR($C2202="",$D2202=""),"",IF(ISNUMBER($E2202),$E2202,IF($O2202="","",IF(N(INDEX('Menu Pricing'!$O$7:$O$56,$O2202))&gt;0,INDEX('Menu Pricing'!$O$7:$O$56,$O2202),""))))</f>
        <v/>
      </c>
      <c r="I2202" s="71">
        <f>IF($N2202&lt;&gt;"OK","",$D2202*$H2202)</f>
        <v/>
      </c>
      <c r="J2202" s="71">
        <f>IF($N2202&lt;&gt;"OK","",N(INDEX('Menu Pricing'!$F$7:$F$56,$O2202))+N(INDEX('Menu Pricing'!$G$7:$G$56,$O2202))+N(INDEX('Menu Pricing'!$J$7:$J$56,$O2202)))</f>
        <v/>
      </c>
      <c r="K2202" s="71">
        <f>IF($N2202&lt;&gt;"OK","",$D2202*$J2202)</f>
        <v/>
      </c>
      <c r="L2202" s="71">
        <f>IF($N2202&lt;&gt;"OK","",$I2202-$K2202)</f>
        <v/>
      </c>
      <c r="M2202" s="71">
        <f>IF($N2202&lt;&gt;"OK","",$D2202*N(INDEX('Menu Pricing'!$F$7:$F$56,$O2202)))</f>
        <v/>
      </c>
      <c r="N2202" s="80">
        <f>IF(AND($B2202="",$C2202="",$D2202=""),"",IF(NOT(ISNUMBER($B2202)),"Enter a valid date",IF($C2202="","Pick a menu item",IF($O2202="","Item not on Menu Pricing",IF(N($D2202)&lt;=0,"Qty must be above 0",IF($H2202="","No price on menu","OK"))))))</f>
        <v/>
      </c>
      <c r="O2202" s="13">
        <f>IF($C2202="","",IFERROR(MATCH($C2202,'Menu Pricing'!$B$7:$B$56,0),""))</f>
        <v/>
      </c>
    </row>
    <row r="2203" ht="17" customHeight="1">
      <c r="B2203" s="66" t="n"/>
      <c r="C2203" s="60" t="n"/>
      <c r="D2203" s="86" t="n"/>
      <c r="E2203" s="63" t="n"/>
      <c r="F2203" s="60" t="n"/>
      <c r="G2203" s="60" t="n"/>
      <c r="H2203" s="71">
        <f>IF(OR($C2203="",$D2203=""),"",IF(ISNUMBER($E2203),$E2203,IF($O2203="","",IF(N(INDEX('Menu Pricing'!$O$7:$O$56,$O2203))&gt;0,INDEX('Menu Pricing'!$O$7:$O$56,$O2203),""))))</f>
        <v/>
      </c>
      <c r="I2203" s="71">
        <f>IF($N2203&lt;&gt;"OK","",$D2203*$H2203)</f>
        <v/>
      </c>
      <c r="J2203" s="71">
        <f>IF($N2203&lt;&gt;"OK","",N(INDEX('Menu Pricing'!$F$7:$F$56,$O2203))+N(INDEX('Menu Pricing'!$G$7:$G$56,$O2203))+N(INDEX('Menu Pricing'!$J$7:$J$56,$O2203)))</f>
        <v/>
      </c>
      <c r="K2203" s="71">
        <f>IF($N2203&lt;&gt;"OK","",$D2203*$J2203)</f>
        <v/>
      </c>
      <c r="L2203" s="71">
        <f>IF($N2203&lt;&gt;"OK","",$I2203-$K2203)</f>
        <v/>
      </c>
      <c r="M2203" s="71">
        <f>IF($N2203&lt;&gt;"OK","",$D2203*N(INDEX('Menu Pricing'!$F$7:$F$56,$O2203)))</f>
        <v/>
      </c>
      <c r="N2203" s="80">
        <f>IF(AND($B2203="",$C2203="",$D2203=""),"",IF(NOT(ISNUMBER($B2203)),"Enter a valid date",IF($C2203="","Pick a menu item",IF($O2203="","Item not on Menu Pricing",IF(N($D2203)&lt;=0,"Qty must be above 0",IF($H2203="","No price on menu","OK"))))))</f>
        <v/>
      </c>
      <c r="O2203" s="13">
        <f>IF($C2203="","",IFERROR(MATCH($C2203,'Menu Pricing'!$B$7:$B$56,0),""))</f>
        <v/>
      </c>
    </row>
    <row r="2204" ht="17" customHeight="1">
      <c r="B2204" s="66" t="n"/>
      <c r="C2204" s="60" t="n"/>
      <c r="D2204" s="86" t="n"/>
      <c r="E2204" s="63" t="n"/>
      <c r="F2204" s="60" t="n"/>
      <c r="G2204" s="60" t="n"/>
      <c r="H2204" s="71">
        <f>IF(OR($C2204="",$D2204=""),"",IF(ISNUMBER($E2204),$E2204,IF($O2204="","",IF(N(INDEX('Menu Pricing'!$O$7:$O$56,$O2204))&gt;0,INDEX('Menu Pricing'!$O$7:$O$56,$O2204),""))))</f>
        <v/>
      </c>
      <c r="I2204" s="71">
        <f>IF($N2204&lt;&gt;"OK","",$D2204*$H2204)</f>
        <v/>
      </c>
      <c r="J2204" s="71">
        <f>IF($N2204&lt;&gt;"OK","",N(INDEX('Menu Pricing'!$F$7:$F$56,$O2204))+N(INDEX('Menu Pricing'!$G$7:$G$56,$O2204))+N(INDEX('Menu Pricing'!$J$7:$J$56,$O2204)))</f>
        <v/>
      </c>
      <c r="K2204" s="71">
        <f>IF($N2204&lt;&gt;"OK","",$D2204*$J2204)</f>
        <v/>
      </c>
      <c r="L2204" s="71">
        <f>IF($N2204&lt;&gt;"OK","",$I2204-$K2204)</f>
        <v/>
      </c>
      <c r="M2204" s="71">
        <f>IF($N2204&lt;&gt;"OK","",$D2204*N(INDEX('Menu Pricing'!$F$7:$F$56,$O2204)))</f>
        <v/>
      </c>
      <c r="N2204" s="80">
        <f>IF(AND($B2204="",$C2204="",$D2204=""),"",IF(NOT(ISNUMBER($B2204)),"Enter a valid date",IF($C2204="","Pick a menu item",IF($O2204="","Item not on Menu Pricing",IF(N($D2204)&lt;=0,"Qty must be above 0",IF($H2204="","No price on menu","OK"))))))</f>
        <v/>
      </c>
      <c r="O2204" s="13">
        <f>IF($C2204="","",IFERROR(MATCH($C2204,'Menu Pricing'!$B$7:$B$56,0),""))</f>
        <v/>
      </c>
    </row>
    <row r="2205" ht="17" customHeight="1">
      <c r="B2205" s="66" t="n"/>
      <c r="C2205" s="60" t="n"/>
      <c r="D2205" s="86" t="n"/>
      <c r="E2205" s="63" t="n"/>
      <c r="F2205" s="60" t="n"/>
      <c r="G2205" s="60" t="n"/>
      <c r="H2205" s="71">
        <f>IF(OR($C2205="",$D2205=""),"",IF(ISNUMBER($E2205),$E2205,IF($O2205="","",IF(N(INDEX('Menu Pricing'!$O$7:$O$56,$O2205))&gt;0,INDEX('Menu Pricing'!$O$7:$O$56,$O2205),""))))</f>
        <v/>
      </c>
      <c r="I2205" s="71">
        <f>IF($N2205&lt;&gt;"OK","",$D2205*$H2205)</f>
        <v/>
      </c>
      <c r="J2205" s="71">
        <f>IF($N2205&lt;&gt;"OK","",N(INDEX('Menu Pricing'!$F$7:$F$56,$O2205))+N(INDEX('Menu Pricing'!$G$7:$G$56,$O2205))+N(INDEX('Menu Pricing'!$J$7:$J$56,$O2205)))</f>
        <v/>
      </c>
      <c r="K2205" s="71">
        <f>IF($N2205&lt;&gt;"OK","",$D2205*$J2205)</f>
        <v/>
      </c>
      <c r="L2205" s="71">
        <f>IF($N2205&lt;&gt;"OK","",$I2205-$K2205)</f>
        <v/>
      </c>
      <c r="M2205" s="71">
        <f>IF($N2205&lt;&gt;"OK","",$D2205*N(INDEX('Menu Pricing'!$F$7:$F$56,$O2205)))</f>
        <v/>
      </c>
      <c r="N2205" s="80">
        <f>IF(AND($B2205="",$C2205="",$D2205=""),"",IF(NOT(ISNUMBER($B2205)),"Enter a valid date",IF($C2205="","Pick a menu item",IF($O2205="","Item not on Menu Pricing",IF(N($D2205)&lt;=0,"Qty must be above 0",IF($H2205="","No price on menu","OK"))))))</f>
        <v/>
      </c>
      <c r="O2205" s="13">
        <f>IF($C2205="","",IFERROR(MATCH($C2205,'Menu Pricing'!$B$7:$B$56,0),""))</f>
        <v/>
      </c>
    </row>
    <row r="2206" ht="17" customHeight="1">
      <c r="B2206" s="66" t="n"/>
      <c r="C2206" s="60" t="n"/>
      <c r="D2206" s="86" t="n"/>
      <c r="E2206" s="63" t="n"/>
      <c r="F2206" s="60" t="n"/>
      <c r="G2206" s="60" t="n"/>
      <c r="H2206" s="71">
        <f>IF(OR($C2206="",$D2206=""),"",IF(ISNUMBER($E2206),$E2206,IF($O2206="","",IF(N(INDEX('Menu Pricing'!$O$7:$O$56,$O2206))&gt;0,INDEX('Menu Pricing'!$O$7:$O$56,$O2206),""))))</f>
        <v/>
      </c>
      <c r="I2206" s="71">
        <f>IF($N2206&lt;&gt;"OK","",$D2206*$H2206)</f>
        <v/>
      </c>
      <c r="J2206" s="71">
        <f>IF($N2206&lt;&gt;"OK","",N(INDEX('Menu Pricing'!$F$7:$F$56,$O2206))+N(INDEX('Menu Pricing'!$G$7:$G$56,$O2206))+N(INDEX('Menu Pricing'!$J$7:$J$56,$O2206)))</f>
        <v/>
      </c>
      <c r="K2206" s="71">
        <f>IF($N2206&lt;&gt;"OK","",$D2206*$J2206)</f>
        <v/>
      </c>
      <c r="L2206" s="71">
        <f>IF($N2206&lt;&gt;"OK","",$I2206-$K2206)</f>
        <v/>
      </c>
      <c r="M2206" s="71">
        <f>IF($N2206&lt;&gt;"OK","",$D2206*N(INDEX('Menu Pricing'!$F$7:$F$56,$O2206)))</f>
        <v/>
      </c>
      <c r="N2206" s="80">
        <f>IF(AND($B2206="",$C2206="",$D2206=""),"",IF(NOT(ISNUMBER($B2206)),"Enter a valid date",IF($C2206="","Pick a menu item",IF($O2206="","Item not on Menu Pricing",IF(N($D2206)&lt;=0,"Qty must be above 0",IF($H2206="","No price on menu","OK"))))))</f>
        <v/>
      </c>
      <c r="O2206" s="13">
        <f>IF($C2206="","",IFERROR(MATCH($C2206,'Menu Pricing'!$B$7:$B$56,0),""))</f>
        <v/>
      </c>
    </row>
    <row r="2207" ht="17" customHeight="1">
      <c r="B2207" s="66" t="n"/>
      <c r="C2207" s="60" t="n"/>
      <c r="D2207" s="86" t="n"/>
      <c r="E2207" s="63" t="n"/>
      <c r="F2207" s="60" t="n"/>
      <c r="G2207" s="60" t="n"/>
      <c r="H2207" s="71">
        <f>IF(OR($C2207="",$D2207=""),"",IF(ISNUMBER($E2207),$E2207,IF($O2207="","",IF(N(INDEX('Menu Pricing'!$O$7:$O$56,$O2207))&gt;0,INDEX('Menu Pricing'!$O$7:$O$56,$O2207),""))))</f>
        <v/>
      </c>
      <c r="I2207" s="71">
        <f>IF($N2207&lt;&gt;"OK","",$D2207*$H2207)</f>
        <v/>
      </c>
      <c r="J2207" s="71">
        <f>IF($N2207&lt;&gt;"OK","",N(INDEX('Menu Pricing'!$F$7:$F$56,$O2207))+N(INDEX('Menu Pricing'!$G$7:$G$56,$O2207))+N(INDEX('Menu Pricing'!$J$7:$J$56,$O2207)))</f>
        <v/>
      </c>
      <c r="K2207" s="71">
        <f>IF($N2207&lt;&gt;"OK","",$D2207*$J2207)</f>
        <v/>
      </c>
      <c r="L2207" s="71">
        <f>IF($N2207&lt;&gt;"OK","",$I2207-$K2207)</f>
        <v/>
      </c>
      <c r="M2207" s="71">
        <f>IF($N2207&lt;&gt;"OK","",$D2207*N(INDEX('Menu Pricing'!$F$7:$F$56,$O2207)))</f>
        <v/>
      </c>
      <c r="N2207" s="80">
        <f>IF(AND($B2207="",$C2207="",$D2207=""),"",IF(NOT(ISNUMBER($B2207)),"Enter a valid date",IF($C2207="","Pick a menu item",IF($O2207="","Item not on Menu Pricing",IF(N($D2207)&lt;=0,"Qty must be above 0",IF($H2207="","No price on menu","OK"))))))</f>
        <v/>
      </c>
      <c r="O2207" s="13">
        <f>IF($C2207="","",IFERROR(MATCH($C2207,'Menu Pricing'!$B$7:$B$56,0),""))</f>
        <v/>
      </c>
    </row>
    <row r="2208" ht="17" customHeight="1">
      <c r="B2208" s="66" t="n"/>
      <c r="C2208" s="60" t="n"/>
      <c r="D2208" s="86" t="n"/>
      <c r="E2208" s="63" t="n"/>
      <c r="F2208" s="60" t="n"/>
      <c r="G2208" s="60" t="n"/>
      <c r="H2208" s="71">
        <f>IF(OR($C2208="",$D2208=""),"",IF(ISNUMBER($E2208),$E2208,IF($O2208="","",IF(N(INDEX('Menu Pricing'!$O$7:$O$56,$O2208))&gt;0,INDEX('Menu Pricing'!$O$7:$O$56,$O2208),""))))</f>
        <v/>
      </c>
      <c r="I2208" s="71">
        <f>IF($N2208&lt;&gt;"OK","",$D2208*$H2208)</f>
        <v/>
      </c>
      <c r="J2208" s="71">
        <f>IF($N2208&lt;&gt;"OK","",N(INDEX('Menu Pricing'!$F$7:$F$56,$O2208))+N(INDEX('Menu Pricing'!$G$7:$G$56,$O2208))+N(INDEX('Menu Pricing'!$J$7:$J$56,$O2208)))</f>
        <v/>
      </c>
      <c r="K2208" s="71">
        <f>IF($N2208&lt;&gt;"OK","",$D2208*$J2208)</f>
        <v/>
      </c>
      <c r="L2208" s="71">
        <f>IF($N2208&lt;&gt;"OK","",$I2208-$K2208)</f>
        <v/>
      </c>
      <c r="M2208" s="71">
        <f>IF($N2208&lt;&gt;"OK","",$D2208*N(INDEX('Menu Pricing'!$F$7:$F$56,$O2208)))</f>
        <v/>
      </c>
      <c r="N2208" s="80">
        <f>IF(AND($B2208="",$C2208="",$D2208=""),"",IF(NOT(ISNUMBER($B2208)),"Enter a valid date",IF($C2208="","Pick a menu item",IF($O2208="","Item not on Menu Pricing",IF(N($D2208)&lt;=0,"Qty must be above 0",IF($H2208="","No price on menu","OK"))))))</f>
        <v/>
      </c>
      <c r="O2208" s="13">
        <f>IF($C2208="","",IFERROR(MATCH($C2208,'Menu Pricing'!$B$7:$B$56,0),""))</f>
        <v/>
      </c>
    </row>
    <row r="2209" ht="17" customHeight="1">
      <c r="B2209" s="66" t="n"/>
      <c r="C2209" s="60" t="n"/>
      <c r="D2209" s="86" t="n"/>
      <c r="E2209" s="63" t="n"/>
      <c r="F2209" s="60" t="n"/>
      <c r="G2209" s="60" t="n"/>
      <c r="H2209" s="71">
        <f>IF(OR($C2209="",$D2209=""),"",IF(ISNUMBER($E2209),$E2209,IF($O2209="","",IF(N(INDEX('Menu Pricing'!$O$7:$O$56,$O2209))&gt;0,INDEX('Menu Pricing'!$O$7:$O$56,$O2209),""))))</f>
        <v/>
      </c>
      <c r="I2209" s="71">
        <f>IF($N2209&lt;&gt;"OK","",$D2209*$H2209)</f>
        <v/>
      </c>
      <c r="J2209" s="71">
        <f>IF($N2209&lt;&gt;"OK","",N(INDEX('Menu Pricing'!$F$7:$F$56,$O2209))+N(INDEX('Menu Pricing'!$G$7:$G$56,$O2209))+N(INDEX('Menu Pricing'!$J$7:$J$56,$O2209)))</f>
        <v/>
      </c>
      <c r="K2209" s="71">
        <f>IF($N2209&lt;&gt;"OK","",$D2209*$J2209)</f>
        <v/>
      </c>
      <c r="L2209" s="71">
        <f>IF($N2209&lt;&gt;"OK","",$I2209-$K2209)</f>
        <v/>
      </c>
      <c r="M2209" s="71">
        <f>IF($N2209&lt;&gt;"OK","",$D2209*N(INDEX('Menu Pricing'!$F$7:$F$56,$O2209)))</f>
        <v/>
      </c>
      <c r="N2209" s="80">
        <f>IF(AND($B2209="",$C2209="",$D2209=""),"",IF(NOT(ISNUMBER($B2209)),"Enter a valid date",IF($C2209="","Pick a menu item",IF($O2209="","Item not on Menu Pricing",IF(N($D2209)&lt;=0,"Qty must be above 0",IF($H2209="","No price on menu","OK"))))))</f>
        <v/>
      </c>
      <c r="O2209" s="13">
        <f>IF($C2209="","",IFERROR(MATCH($C2209,'Menu Pricing'!$B$7:$B$56,0),""))</f>
        <v/>
      </c>
    </row>
    <row r="2210" ht="17" customHeight="1">
      <c r="B2210" s="66" t="n"/>
      <c r="C2210" s="60" t="n"/>
      <c r="D2210" s="86" t="n"/>
      <c r="E2210" s="63" t="n"/>
      <c r="F2210" s="60" t="n"/>
      <c r="G2210" s="60" t="n"/>
      <c r="H2210" s="71">
        <f>IF(OR($C2210="",$D2210=""),"",IF(ISNUMBER($E2210),$E2210,IF($O2210="","",IF(N(INDEX('Menu Pricing'!$O$7:$O$56,$O2210))&gt;0,INDEX('Menu Pricing'!$O$7:$O$56,$O2210),""))))</f>
        <v/>
      </c>
      <c r="I2210" s="71">
        <f>IF($N2210&lt;&gt;"OK","",$D2210*$H2210)</f>
        <v/>
      </c>
      <c r="J2210" s="71">
        <f>IF($N2210&lt;&gt;"OK","",N(INDEX('Menu Pricing'!$F$7:$F$56,$O2210))+N(INDEX('Menu Pricing'!$G$7:$G$56,$O2210))+N(INDEX('Menu Pricing'!$J$7:$J$56,$O2210)))</f>
        <v/>
      </c>
      <c r="K2210" s="71">
        <f>IF($N2210&lt;&gt;"OK","",$D2210*$J2210)</f>
        <v/>
      </c>
      <c r="L2210" s="71">
        <f>IF($N2210&lt;&gt;"OK","",$I2210-$K2210)</f>
        <v/>
      </c>
      <c r="M2210" s="71">
        <f>IF($N2210&lt;&gt;"OK","",$D2210*N(INDEX('Menu Pricing'!$F$7:$F$56,$O2210)))</f>
        <v/>
      </c>
      <c r="N2210" s="80">
        <f>IF(AND($B2210="",$C2210="",$D2210=""),"",IF(NOT(ISNUMBER($B2210)),"Enter a valid date",IF($C2210="","Pick a menu item",IF($O2210="","Item not on Menu Pricing",IF(N($D2210)&lt;=0,"Qty must be above 0",IF($H2210="","No price on menu","OK"))))))</f>
        <v/>
      </c>
      <c r="O2210" s="13">
        <f>IF($C2210="","",IFERROR(MATCH($C2210,'Menu Pricing'!$B$7:$B$56,0),""))</f>
        <v/>
      </c>
    </row>
    <row r="2211" ht="17" customHeight="1">
      <c r="B2211" s="66" t="n"/>
      <c r="C2211" s="60" t="n"/>
      <c r="D2211" s="86" t="n"/>
      <c r="E2211" s="63" t="n"/>
      <c r="F2211" s="60" t="n"/>
      <c r="G2211" s="60" t="n"/>
      <c r="H2211" s="71">
        <f>IF(OR($C2211="",$D2211=""),"",IF(ISNUMBER($E2211),$E2211,IF($O2211="","",IF(N(INDEX('Menu Pricing'!$O$7:$O$56,$O2211))&gt;0,INDEX('Menu Pricing'!$O$7:$O$56,$O2211),""))))</f>
        <v/>
      </c>
      <c r="I2211" s="71">
        <f>IF($N2211&lt;&gt;"OK","",$D2211*$H2211)</f>
        <v/>
      </c>
      <c r="J2211" s="71">
        <f>IF($N2211&lt;&gt;"OK","",N(INDEX('Menu Pricing'!$F$7:$F$56,$O2211))+N(INDEX('Menu Pricing'!$G$7:$G$56,$O2211))+N(INDEX('Menu Pricing'!$J$7:$J$56,$O2211)))</f>
        <v/>
      </c>
      <c r="K2211" s="71">
        <f>IF($N2211&lt;&gt;"OK","",$D2211*$J2211)</f>
        <v/>
      </c>
      <c r="L2211" s="71">
        <f>IF($N2211&lt;&gt;"OK","",$I2211-$K2211)</f>
        <v/>
      </c>
      <c r="M2211" s="71">
        <f>IF($N2211&lt;&gt;"OK","",$D2211*N(INDEX('Menu Pricing'!$F$7:$F$56,$O2211)))</f>
        <v/>
      </c>
      <c r="N2211" s="80">
        <f>IF(AND($B2211="",$C2211="",$D2211=""),"",IF(NOT(ISNUMBER($B2211)),"Enter a valid date",IF($C2211="","Pick a menu item",IF($O2211="","Item not on Menu Pricing",IF(N($D2211)&lt;=0,"Qty must be above 0",IF($H2211="","No price on menu","OK"))))))</f>
        <v/>
      </c>
      <c r="O2211" s="13">
        <f>IF($C2211="","",IFERROR(MATCH($C2211,'Menu Pricing'!$B$7:$B$56,0),""))</f>
        <v/>
      </c>
    </row>
    <row r="2212" ht="17" customHeight="1">
      <c r="B2212" s="66" t="n"/>
      <c r="C2212" s="60" t="n"/>
      <c r="D2212" s="86" t="n"/>
      <c r="E2212" s="63" t="n"/>
      <c r="F2212" s="60" t="n"/>
      <c r="G2212" s="60" t="n"/>
      <c r="H2212" s="71">
        <f>IF(OR($C2212="",$D2212=""),"",IF(ISNUMBER($E2212),$E2212,IF($O2212="","",IF(N(INDEX('Menu Pricing'!$O$7:$O$56,$O2212))&gt;0,INDEX('Menu Pricing'!$O$7:$O$56,$O2212),""))))</f>
        <v/>
      </c>
      <c r="I2212" s="71">
        <f>IF($N2212&lt;&gt;"OK","",$D2212*$H2212)</f>
        <v/>
      </c>
      <c r="J2212" s="71">
        <f>IF($N2212&lt;&gt;"OK","",N(INDEX('Menu Pricing'!$F$7:$F$56,$O2212))+N(INDEX('Menu Pricing'!$G$7:$G$56,$O2212))+N(INDEX('Menu Pricing'!$J$7:$J$56,$O2212)))</f>
        <v/>
      </c>
      <c r="K2212" s="71">
        <f>IF($N2212&lt;&gt;"OK","",$D2212*$J2212)</f>
        <v/>
      </c>
      <c r="L2212" s="71">
        <f>IF($N2212&lt;&gt;"OK","",$I2212-$K2212)</f>
        <v/>
      </c>
      <c r="M2212" s="71">
        <f>IF($N2212&lt;&gt;"OK","",$D2212*N(INDEX('Menu Pricing'!$F$7:$F$56,$O2212)))</f>
        <v/>
      </c>
      <c r="N2212" s="80">
        <f>IF(AND($B2212="",$C2212="",$D2212=""),"",IF(NOT(ISNUMBER($B2212)),"Enter a valid date",IF($C2212="","Pick a menu item",IF($O2212="","Item not on Menu Pricing",IF(N($D2212)&lt;=0,"Qty must be above 0",IF($H2212="","No price on menu","OK"))))))</f>
        <v/>
      </c>
      <c r="O2212" s="13">
        <f>IF($C2212="","",IFERROR(MATCH($C2212,'Menu Pricing'!$B$7:$B$56,0),""))</f>
        <v/>
      </c>
    </row>
    <row r="2213" ht="17" customHeight="1">
      <c r="B2213" s="66" t="n"/>
      <c r="C2213" s="60" t="n"/>
      <c r="D2213" s="86" t="n"/>
      <c r="E2213" s="63" t="n"/>
      <c r="F2213" s="60" t="n"/>
      <c r="G2213" s="60" t="n"/>
      <c r="H2213" s="71">
        <f>IF(OR($C2213="",$D2213=""),"",IF(ISNUMBER($E2213),$E2213,IF($O2213="","",IF(N(INDEX('Menu Pricing'!$O$7:$O$56,$O2213))&gt;0,INDEX('Menu Pricing'!$O$7:$O$56,$O2213),""))))</f>
        <v/>
      </c>
      <c r="I2213" s="71">
        <f>IF($N2213&lt;&gt;"OK","",$D2213*$H2213)</f>
        <v/>
      </c>
      <c r="J2213" s="71">
        <f>IF($N2213&lt;&gt;"OK","",N(INDEX('Menu Pricing'!$F$7:$F$56,$O2213))+N(INDEX('Menu Pricing'!$G$7:$G$56,$O2213))+N(INDEX('Menu Pricing'!$J$7:$J$56,$O2213)))</f>
        <v/>
      </c>
      <c r="K2213" s="71">
        <f>IF($N2213&lt;&gt;"OK","",$D2213*$J2213)</f>
        <v/>
      </c>
      <c r="L2213" s="71">
        <f>IF($N2213&lt;&gt;"OK","",$I2213-$K2213)</f>
        <v/>
      </c>
      <c r="M2213" s="71">
        <f>IF($N2213&lt;&gt;"OK","",$D2213*N(INDEX('Menu Pricing'!$F$7:$F$56,$O2213)))</f>
        <v/>
      </c>
      <c r="N2213" s="80">
        <f>IF(AND($B2213="",$C2213="",$D2213=""),"",IF(NOT(ISNUMBER($B2213)),"Enter a valid date",IF($C2213="","Pick a menu item",IF($O2213="","Item not on Menu Pricing",IF(N($D2213)&lt;=0,"Qty must be above 0",IF($H2213="","No price on menu","OK"))))))</f>
        <v/>
      </c>
      <c r="O2213" s="13">
        <f>IF($C2213="","",IFERROR(MATCH($C2213,'Menu Pricing'!$B$7:$B$56,0),""))</f>
        <v/>
      </c>
    </row>
    <row r="2214" ht="17" customHeight="1">
      <c r="B2214" s="66" t="n"/>
      <c r="C2214" s="60" t="n"/>
      <c r="D2214" s="86" t="n"/>
      <c r="E2214" s="63" t="n"/>
      <c r="F2214" s="60" t="n"/>
      <c r="G2214" s="60" t="n"/>
      <c r="H2214" s="71">
        <f>IF(OR($C2214="",$D2214=""),"",IF(ISNUMBER($E2214),$E2214,IF($O2214="","",IF(N(INDEX('Menu Pricing'!$O$7:$O$56,$O2214))&gt;0,INDEX('Menu Pricing'!$O$7:$O$56,$O2214),""))))</f>
        <v/>
      </c>
      <c r="I2214" s="71">
        <f>IF($N2214&lt;&gt;"OK","",$D2214*$H2214)</f>
        <v/>
      </c>
      <c r="J2214" s="71">
        <f>IF($N2214&lt;&gt;"OK","",N(INDEX('Menu Pricing'!$F$7:$F$56,$O2214))+N(INDEX('Menu Pricing'!$G$7:$G$56,$O2214))+N(INDEX('Menu Pricing'!$J$7:$J$56,$O2214)))</f>
        <v/>
      </c>
      <c r="K2214" s="71">
        <f>IF($N2214&lt;&gt;"OK","",$D2214*$J2214)</f>
        <v/>
      </c>
      <c r="L2214" s="71">
        <f>IF($N2214&lt;&gt;"OK","",$I2214-$K2214)</f>
        <v/>
      </c>
      <c r="M2214" s="71">
        <f>IF($N2214&lt;&gt;"OK","",$D2214*N(INDEX('Menu Pricing'!$F$7:$F$56,$O2214)))</f>
        <v/>
      </c>
      <c r="N2214" s="80">
        <f>IF(AND($B2214="",$C2214="",$D2214=""),"",IF(NOT(ISNUMBER($B2214)),"Enter a valid date",IF($C2214="","Pick a menu item",IF($O2214="","Item not on Menu Pricing",IF(N($D2214)&lt;=0,"Qty must be above 0",IF($H2214="","No price on menu","OK"))))))</f>
        <v/>
      </c>
      <c r="O2214" s="13">
        <f>IF($C2214="","",IFERROR(MATCH($C2214,'Menu Pricing'!$B$7:$B$56,0),""))</f>
        <v/>
      </c>
    </row>
    <row r="2215" ht="17" customHeight="1">
      <c r="B2215" s="66" t="n"/>
      <c r="C2215" s="60" t="n"/>
      <c r="D2215" s="86" t="n"/>
      <c r="E2215" s="63" t="n"/>
      <c r="F2215" s="60" t="n"/>
      <c r="G2215" s="60" t="n"/>
      <c r="H2215" s="71">
        <f>IF(OR($C2215="",$D2215=""),"",IF(ISNUMBER($E2215),$E2215,IF($O2215="","",IF(N(INDEX('Menu Pricing'!$O$7:$O$56,$O2215))&gt;0,INDEX('Menu Pricing'!$O$7:$O$56,$O2215),""))))</f>
        <v/>
      </c>
      <c r="I2215" s="71">
        <f>IF($N2215&lt;&gt;"OK","",$D2215*$H2215)</f>
        <v/>
      </c>
      <c r="J2215" s="71">
        <f>IF($N2215&lt;&gt;"OK","",N(INDEX('Menu Pricing'!$F$7:$F$56,$O2215))+N(INDEX('Menu Pricing'!$G$7:$G$56,$O2215))+N(INDEX('Menu Pricing'!$J$7:$J$56,$O2215)))</f>
        <v/>
      </c>
      <c r="K2215" s="71">
        <f>IF($N2215&lt;&gt;"OK","",$D2215*$J2215)</f>
        <v/>
      </c>
      <c r="L2215" s="71">
        <f>IF($N2215&lt;&gt;"OK","",$I2215-$K2215)</f>
        <v/>
      </c>
      <c r="M2215" s="71">
        <f>IF($N2215&lt;&gt;"OK","",$D2215*N(INDEX('Menu Pricing'!$F$7:$F$56,$O2215)))</f>
        <v/>
      </c>
      <c r="N2215" s="80">
        <f>IF(AND($B2215="",$C2215="",$D2215=""),"",IF(NOT(ISNUMBER($B2215)),"Enter a valid date",IF($C2215="","Pick a menu item",IF($O2215="","Item not on Menu Pricing",IF(N($D2215)&lt;=0,"Qty must be above 0",IF($H2215="","No price on menu","OK"))))))</f>
        <v/>
      </c>
      <c r="O2215" s="13">
        <f>IF($C2215="","",IFERROR(MATCH($C2215,'Menu Pricing'!$B$7:$B$56,0),""))</f>
        <v/>
      </c>
    </row>
    <row r="2216" ht="17" customHeight="1">
      <c r="B2216" s="66" t="n"/>
      <c r="C2216" s="60" t="n"/>
      <c r="D2216" s="86" t="n"/>
      <c r="E2216" s="63" t="n"/>
      <c r="F2216" s="60" t="n"/>
      <c r="G2216" s="60" t="n"/>
      <c r="H2216" s="71">
        <f>IF(OR($C2216="",$D2216=""),"",IF(ISNUMBER($E2216),$E2216,IF($O2216="","",IF(N(INDEX('Menu Pricing'!$O$7:$O$56,$O2216))&gt;0,INDEX('Menu Pricing'!$O$7:$O$56,$O2216),""))))</f>
        <v/>
      </c>
      <c r="I2216" s="71">
        <f>IF($N2216&lt;&gt;"OK","",$D2216*$H2216)</f>
        <v/>
      </c>
      <c r="J2216" s="71">
        <f>IF($N2216&lt;&gt;"OK","",N(INDEX('Menu Pricing'!$F$7:$F$56,$O2216))+N(INDEX('Menu Pricing'!$G$7:$G$56,$O2216))+N(INDEX('Menu Pricing'!$J$7:$J$56,$O2216)))</f>
        <v/>
      </c>
      <c r="K2216" s="71">
        <f>IF($N2216&lt;&gt;"OK","",$D2216*$J2216)</f>
        <v/>
      </c>
      <c r="L2216" s="71">
        <f>IF($N2216&lt;&gt;"OK","",$I2216-$K2216)</f>
        <v/>
      </c>
      <c r="M2216" s="71">
        <f>IF($N2216&lt;&gt;"OK","",$D2216*N(INDEX('Menu Pricing'!$F$7:$F$56,$O2216)))</f>
        <v/>
      </c>
      <c r="N2216" s="80">
        <f>IF(AND($B2216="",$C2216="",$D2216=""),"",IF(NOT(ISNUMBER($B2216)),"Enter a valid date",IF($C2216="","Pick a menu item",IF($O2216="","Item not on Menu Pricing",IF(N($D2216)&lt;=0,"Qty must be above 0",IF($H2216="","No price on menu","OK"))))))</f>
        <v/>
      </c>
      <c r="O2216" s="13">
        <f>IF($C2216="","",IFERROR(MATCH($C2216,'Menu Pricing'!$B$7:$B$56,0),""))</f>
        <v/>
      </c>
    </row>
    <row r="2217" ht="17" customHeight="1">
      <c r="B2217" s="66" t="n"/>
      <c r="C2217" s="60" t="n"/>
      <c r="D2217" s="86" t="n"/>
      <c r="E2217" s="63" t="n"/>
      <c r="F2217" s="60" t="n"/>
      <c r="G2217" s="60" t="n"/>
      <c r="H2217" s="71">
        <f>IF(OR($C2217="",$D2217=""),"",IF(ISNUMBER($E2217),$E2217,IF($O2217="","",IF(N(INDEX('Menu Pricing'!$O$7:$O$56,$O2217))&gt;0,INDEX('Menu Pricing'!$O$7:$O$56,$O2217),""))))</f>
        <v/>
      </c>
      <c r="I2217" s="71">
        <f>IF($N2217&lt;&gt;"OK","",$D2217*$H2217)</f>
        <v/>
      </c>
      <c r="J2217" s="71">
        <f>IF($N2217&lt;&gt;"OK","",N(INDEX('Menu Pricing'!$F$7:$F$56,$O2217))+N(INDEX('Menu Pricing'!$G$7:$G$56,$O2217))+N(INDEX('Menu Pricing'!$J$7:$J$56,$O2217)))</f>
        <v/>
      </c>
      <c r="K2217" s="71">
        <f>IF($N2217&lt;&gt;"OK","",$D2217*$J2217)</f>
        <v/>
      </c>
      <c r="L2217" s="71">
        <f>IF($N2217&lt;&gt;"OK","",$I2217-$K2217)</f>
        <v/>
      </c>
      <c r="M2217" s="71">
        <f>IF($N2217&lt;&gt;"OK","",$D2217*N(INDEX('Menu Pricing'!$F$7:$F$56,$O2217)))</f>
        <v/>
      </c>
      <c r="N2217" s="80">
        <f>IF(AND($B2217="",$C2217="",$D2217=""),"",IF(NOT(ISNUMBER($B2217)),"Enter a valid date",IF($C2217="","Pick a menu item",IF($O2217="","Item not on Menu Pricing",IF(N($D2217)&lt;=0,"Qty must be above 0",IF($H2217="","No price on menu","OK"))))))</f>
        <v/>
      </c>
      <c r="O2217" s="13">
        <f>IF($C2217="","",IFERROR(MATCH($C2217,'Menu Pricing'!$B$7:$B$56,0),""))</f>
        <v/>
      </c>
    </row>
    <row r="2218" ht="17" customHeight="1">
      <c r="B2218" s="66" t="n"/>
      <c r="C2218" s="60" t="n"/>
      <c r="D2218" s="86" t="n"/>
      <c r="E2218" s="63" t="n"/>
      <c r="F2218" s="60" t="n"/>
      <c r="G2218" s="60" t="n"/>
      <c r="H2218" s="71">
        <f>IF(OR($C2218="",$D2218=""),"",IF(ISNUMBER($E2218),$E2218,IF($O2218="","",IF(N(INDEX('Menu Pricing'!$O$7:$O$56,$O2218))&gt;0,INDEX('Menu Pricing'!$O$7:$O$56,$O2218),""))))</f>
        <v/>
      </c>
      <c r="I2218" s="71">
        <f>IF($N2218&lt;&gt;"OK","",$D2218*$H2218)</f>
        <v/>
      </c>
      <c r="J2218" s="71">
        <f>IF($N2218&lt;&gt;"OK","",N(INDEX('Menu Pricing'!$F$7:$F$56,$O2218))+N(INDEX('Menu Pricing'!$G$7:$G$56,$O2218))+N(INDEX('Menu Pricing'!$J$7:$J$56,$O2218)))</f>
        <v/>
      </c>
      <c r="K2218" s="71">
        <f>IF($N2218&lt;&gt;"OK","",$D2218*$J2218)</f>
        <v/>
      </c>
      <c r="L2218" s="71">
        <f>IF($N2218&lt;&gt;"OK","",$I2218-$K2218)</f>
        <v/>
      </c>
      <c r="M2218" s="71">
        <f>IF($N2218&lt;&gt;"OK","",$D2218*N(INDEX('Menu Pricing'!$F$7:$F$56,$O2218)))</f>
        <v/>
      </c>
      <c r="N2218" s="80">
        <f>IF(AND($B2218="",$C2218="",$D2218=""),"",IF(NOT(ISNUMBER($B2218)),"Enter a valid date",IF($C2218="","Pick a menu item",IF($O2218="","Item not on Menu Pricing",IF(N($D2218)&lt;=0,"Qty must be above 0",IF($H2218="","No price on menu","OK"))))))</f>
        <v/>
      </c>
      <c r="O2218" s="13">
        <f>IF($C2218="","",IFERROR(MATCH($C2218,'Menu Pricing'!$B$7:$B$56,0),""))</f>
        <v/>
      </c>
    </row>
    <row r="2219" ht="17" customHeight="1">
      <c r="B2219" s="66" t="n"/>
      <c r="C2219" s="60" t="n"/>
      <c r="D2219" s="86" t="n"/>
      <c r="E2219" s="63" t="n"/>
      <c r="F2219" s="60" t="n"/>
      <c r="G2219" s="60" t="n"/>
      <c r="H2219" s="71">
        <f>IF(OR($C2219="",$D2219=""),"",IF(ISNUMBER($E2219),$E2219,IF($O2219="","",IF(N(INDEX('Menu Pricing'!$O$7:$O$56,$O2219))&gt;0,INDEX('Menu Pricing'!$O$7:$O$56,$O2219),""))))</f>
        <v/>
      </c>
      <c r="I2219" s="71">
        <f>IF($N2219&lt;&gt;"OK","",$D2219*$H2219)</f>
        <v/>
      </c>
      <c r="J2219" s="71">
        <f>IF($N2219&lt;&gt;"OK","",N(INDEX('Menu Pricing'!$F$7:$F$56,$O2219))+N(INDEX('Menu Pricing'!$G$7:$G$56,$O2219))+N(INDEX('Menu Pricing'!$J$7:$J$56,$O2219)))</f>
        <v/>
      </c>
      <c r="K2219" s="71">
        <f>IF($N2219&lt;&gt;"OK","",$D2219*$J2219)</f>
        <v/>
      </c>
      <c r="L2219" s="71">
        <f>IF($N2219&lt;&gt;"OK","",$I2219-$K2219)</f>
        <v/>
      </c>
      <c r="M2219" s="71">
        <f>IF($N2219&lt;&gt;"OK","",$D2219*N(INDEX('Menu Pricing'!$F$7:$F$56,$O2219)))</f>
        <v/>
      </c>
      <c r="N2219" s="80">
        <f>IF(AND($B2219="",$C2219="",$D2219=""),"",IF(NOT(ISNUMBER($B2219)),"Enter a valid date",IF($C2219="","Pick a menu item",IF($O2219="","Item not on Menu Pricing",IF(N($D2219)&lt;=0,"Qty must be above 0",IF($H2219="","No price on menu","OK"))))))</f>
        <v/>
      </c>
      <c r="O2219" s="13">
        <f>IF($C2219="","",IFERROR(MATCH($C2219,'Menu Pricing'!$B$7:$B$56,0),""))</f>
        <v/>
      </c>
    </row>
    <row r="2220" ht="17" customHeight="1">
      <c r="B2220" s="66" t="n"/>
      <c r="C2220" s="60" t="n"/>
      <c r="D2220" s="86" t="n"/>
      <c r="E2220" s="63" t="n"/>
      <c r="F2220" s="60" t="n"/>
      <c r="G2220" s="60" t="n"/>
      <c r="H2220" s="71">
        <f>IF(OR($C2220="",$D2220=""),"",IF(ISNUMBER($E2220),$E2220,IF($O2220="","",IF(N(INDEX('Menu Pricing'!$O$7:$O$56,$O2220))&gt;0,INDEX('Menu Pricing'!$O$7:$O$56,$O2220),""))))</f>
        <v/>
      </c>
      <c r="I2220" s="71">
        <f>IF($N2220&lt;&gt;"OK","",$D2220*$H2220)</f>
        <v/>
      </c>
      <c r="J2220" s="71">
        <f>IF($N2220&lt;&gt;"OK","",N(INDEX('Menu Pricing'!$F$7:$F$56,$O2220))+N(INDEX('Menu Pricing'!$G$7:$G$56,$O2220))+N(INDEX('Menu Pricing'!$J$7:$J$56,$O2220)))</f>
        <v/>
      </c>
      <c r="K2220" s="71">
        <f>IF($N2220&lt;&gt;"OK","",$D2220*$J2220)</f>
        <v/>
      </c>
      <c r="L2220" s="71">
        <f>IF($N2220&lt;&gt;"OK","",$I2220-$K2220)</f>
        <v/>
      </c>
      <c r="M2220" s="71">
        <f>IF($N2220&lt;&gt;"OK","",$D2220*N(INDEX('Menu Pricing'!$F$7:$F$56,$O2220)))</f>
        <v/>
      </c>
      <c r="N2220" s="80">
        <f>IF(AND($B2220="",$C2220="",$D2220=""),"",IF(NOT(ISNUMBER($B2220)),"Enter a valid date",IF($C2220="","Pick a menu item",IF($O2220="","Item not on Menu Pricing",IF(N($D2220)&lt;=0,"Qty must be above 0",IF($H2220="","No price on menu","OK"))))))</f>
        <v/>
      </c>
      <c r="O2220" s="13">
        <f>IF($C2220="","",IFERROR(MATCH($C2220,'Menu Pricing'!$B$7:$B$56,0),""))</f>
        <v/>
      </c>
    </row>
    <row r="2221" ht="17" customHeight="1">
      <c r="B2221" s="66" t="n"/>
      <c r="C2221" s="60" t="n"/>
      <c r="D2221" s="86" t="n"/>
      <c r="E2221" s="63" t="n"/>
      <c r="F2221" s="60" t="n"/>
      <c r="G2221" s="60" t="n"/>
      <c r="H2221" s="71">
        <f>IF(OR($C2221="",$D2221=""),"",IF(ISNUMBER($E2221),$E2221,IF($O2221="","",IF(N(INDEX('Menu Pricing'!$O$7:$O$56,$O2221))&gt;0,INDEX('Menu Pricing'!$O$7:$O$56,$O2221),""))))</f>
        <v/>
      </c>
      <c r="I2221" s="71">
        <f>IF($N2221&lt;&gt;"OK","",$D2221*$H2221)</f>
        <v/>
      </c>
      <c r="J2221" s="71">
        <f>IF($N2221&lt;&gt;"OK","",N(INDEX('Menu Pricing'!$F$7:$F$56,$O2221))+N(INDEX('Menu Pricing'!$G$7:$G$56,$O2221))+N(INDEX('Menu Pricing'!$J$7:$J$56,$O2221)))</f>
        <v/>
      </c>
      <c r="K2221" s="71">
        <f>IF($N2221&lt;&gt;"OK","",$D2221*$J2221)</f>
        <v/>
      </c>
      <c r="L2221" s="71">
        <f>IF($N2221&lt;&gt;"OK","",$I2221-$K2221)</f>
        <v/>
      </c>
      <c r="M2221" s="71">
        <f>IF($N2221&lt;&gt;"OK","",$D2221*N(INDEX('Menu Pricing'!$F$7:$F$56,$O2221)))</f>
        <v/>
      </c>
      <c r="N2221" s="80">
        <f>IF(AND($B2221="",$C2221="",$D2221=""),"",IF(NOT(ISNUMBER($B2221)),"Enter a valid date",IF($C2221="","Pick a menu item",IF($O2221="","Item not on Menu Pricing",IF(N($D2221)&lt;=0,"Qty must be above 0",IF($H2221="","No price on menu","OK"))))))</f>
        <v/>
      </c>
      <c r="O2221" s="13">
        <f>IF($C2221="","",IFERROR(MATCH($C2221,'Menu Pricing'!$B$7:$B$56,0),""))</f>
        <v/>
      </c>
    </row>
    <row r="2222" ht="17" customHeight="1">
      <c r="B2222" s="66" t="n"/>
      <c r="C2222" s="60" t="n"/>
      <c r="D2222" s="86" t="n"/>
      <c r="E2222" s="63" t="n"/>
      <c r="F2222" s="60" t="n"/>
      <c r="G2222" s="60" t="n"/>
      <c r="H2222" s="71">
        <f>IF(OR($C2222="",$D2222=""),"",IF(ISNUMBER($E2222),$E2222,IF($O2222="","",IF(N(INDEX('Menu Pricing'!$O$7:$O$56,$O2222))&gt;0,INDEX('Menu Pricing'!$O$7:$O$56,$O2222),""))))</f>
        <v/>
      </c>
      <c r="I2222" s="71">
        <f>IF($N2222&lt;&gt;"OK","",$D2222*$H2222)</f>
        <v/>
      </c>
      <c r="J2222" s="71">
        <f>IF($N2222&lt;&gt;"OK","",N(INDEX('Menu Pricing'!$F$7:$F$56,$O2222))+N(INDEX('Menu Pricing'!$G$7:$G$56,$O2222))+N(INDEX('Menu Pricing'!$J$7:$J$56,$O2222)))</f>
        <v/>
      </c>
      <c r="K2222" s="71">
        <f>IF($N2222&lt;&gt;"OK","",$D2222*$J2222)</f>
        <v/>
      </c>
      <c r="L2222" s="71">
        <f>IF($N2222&lt;&gt;"OK","",$I2222-$K2222)</f>
        <v/>
      </c>
      <c r="M2222" s="71">
        <f>IF($N2222&lt;&gt;"OK","",$D2222*N(INDEX('Menu Pricing'!$F$7:$F$56,$O2222)))</f>
        <v/>
      </c>
      <c r="N2222" s="80">
        <f>IF(AND($B2222="",$C2222="",$D2222=""),"",IF(NOT(ISNUMBER($B2222)),"Enter a valid date",IF($C2222="","Pick a menu item",IF($O2222="","Item not on Menu Pricing",IF(N($D2222)&lt;=0,"Qty must be above 0",IF($H2222="","No price on menu","OK"))))))</f>
        <v/>
      </c>
      <c r="O2222" s="13">
        <f>IF($C2222="","",IFERROR(MATCH($C2222,'Menu Pricing'!$B$7:$B$56,0),""))</f>
        <v/>
      </c>
    </row>
    <row r="2223" ht="17" customHeight="1">
      <c r="B2223" s="66" t="n"/>
      <c r="C2223" s="60" t="n"/>
      <c r="D2223" s="86" t="n"/>
      <c r="E2223" s="63" t="n"/>
      <c r="F2223" s="60" t="n"/>
      <c r="G2223" s="60" t="n"/>
      <c r="H2223" s="71">
        <f>IF(OR($C2223="",$D2223=""),"",IF(ISNUMBER($E2223),$E2223,IF($O2223="","",IF(N(INDEX('Menu Pricing'!$O$7:$O$56,$O2223))&gt;0,INDEX('Menu Pricing'!$O$7:$O$56,$O2223),""))))</f>
        <v/>
      </c>
      <c r="I2223" s="71">
        <f>IF($N2223&lt;&gt;"OK","",$D2223*$H2223)</f>
        <v/>
      </c>
      <c r="J2223" s="71">
        <f>IF($N2223&lt;&gt;"OK","",N(INDEX('Menu Pricing'!$F$7:$F$56,$O2223))+N(INDEX('Menu Pricing'!$G$7:$G$56,$O2223))+N(INDEX('Menu Pricing'!$J$7:$J$56,$O2223)))</f>
        <v/>
      </c>
      <c r="K2223" s="71">
        <f>IF($N2223&lt;&gt;"OK","",$D2223*$J2223)</f>
        <v/>
      </c>
      <c r="L2223" s="71">
        <f>IF($N2223&lt;&gt;"OK","",$I2223-$K2223)</f>
        <v/>
      </c>
      <c r="M2223" s="71">
        <f>IF($N2223&lt;&gt;"OK","",$D2223*N(INDEX('Menu Pricing'!$F$7:$F$56,$O2223)))</f>
        <v/>
      </c>
      <c r="N2223" s="80">
        <f>IF(AND($B2223="",$C2223="",$D2223=""),"",IF(NOT(ISNUMBER($B2223)),"Enter a valid date",IF($C2223="","Pick a menu item",IF($O2223="","Item not on Menu Pricing",IF(N($D2223)&lt;=0,"Qty must be above 0",IF($H2223="","No price on menu","OK"))))))</f>
        <v/>
      </c>
      <c r="O2223" s="13">
        <f>IF($C2223="","",IFERROR(MATCH($C2223,'Menu Pricing'!$B$7:$B$56,0),""))</f>
        <v/>
      </c>
    </row>
    <row r="2224" ht="17" customHeight="1">
      <c r="B2224" s="66" t="n"/>
      <c r="C2224" s="60" t="n"/>
      <c r="D2224" s="86" t="n"/>
      <c r="E2224" s="63" t="n"/>
      <c r="F2224" s="60" t="n"/>
      <c r="G2224" s="60" t="n"/>
      <c r="H2224" s="71">
        <f>IF(OR($C2224="",$D2224=""),"",IF(ISNUMBER($E2224),$E2224,IF($O2224="","",IF(N(INDEX('Menu Pricing'!$O$7:$O$56,$O2224))&gt;0,INDEX('Menu Pricing'!$O$7:$O$56,$O2224),""))))</f>
        <v/>
      </c>
      <c r="I2224" s="71">
        <f>IF($N2224&lt;&gt;"OK","",$D2224*$H2224)</f>
        <v/>
      </c>
      <c r="J2224" s="71">
        <f>IF($N2224&lt;&gt;"OK","",N(INDEX('Menu Pricing'!$F$7:$F$56,$O2224))+N(INDEX('Menu Pricing'!$G$7:$G$56,$O2224))+N(INDEX('Menu Pricing'!$J$7:$J$56,$O2224)))</f>
        <v/>
      </c>
      <c r="K2224" s="71">
        <f>IF($N2224&lt;&gt;"OK","",$D2224*$J2224)</f>
        <v/>
      </c>
      <c r="L2224" s="71">
        <f>IF($N2224&lt;&gt;"OK","",$I2224-$K2224)</f>
        <v/>
      </c>
      <c r="M2224" s="71">
        <f>IF($N2224&lt;&gt;"OK","",$D2224*N(INDEX('Menu Pricing'!$F$7:$F$56,$O2224)))</f>
        <v/>
      </c>
      <c r="N2224" s="80">
        <f>IF(AND($B2224="",$C2224="",$D2224=""),"",IF(NOT(ISNUMBER($B2224)),"Enter a valid date",IF($C2224="","Pick a menu item",IF($O2224="","Item not on Menu Pricing",IF(N($D2224)&lt;=0,"Qty must be above 0",IF($H2224="","No price on menu","OK"))))))</f>
        <v/>
      </c>
      <c r="O2224" s="13">
        <f>IF($C2224="","",IFERROR(MATCH($C2224,'Menu Pricing'!$B$7:$B$56,0),""))</f>
        <v/>
      </c>
    </row>
    <row r="2225" ht="17" customHeight="1">
      <c r="B2225" s="66" t="n"/>
      <c r="C2225" s="60" t="n"/>
      <c r="D2225" s="86" t="n"/>
      <c r="E2225" s="63" t="n"/>
      <c r="F2225" s="60" t="n"/>
      <c r="G2225" s="60" t="n"/>
      <c r="H2225" s="71">
        <f>IF(OR($C2225="",$D2225=""),"",IF(ISNUMBER($E2225),$E2225,IF($O2225="","",IF(N(INDEX('Menu Pricing'!$O$7:$O$56,$O2225))&gt;0,INDEX('Menu Pricing'!$O$7:$O$56,$O2225),""))))</f>
        <v/>
      </c>
      <c r="I2225" s="71">
        <f>IF($N2225&lt;&gt;"OK","",$D2225*$H2225)</f>
        <v/>
      </c>
      <c r="J2225" s="71">
        <f>IF($N2225&lt;&gt;"OK","",N(INDEX('Menu Pricing'!$F$7:$F$56,$O2225))+N(INDEX('Menu Pricing'!$G$7:$G$56,$O2225))+N(INDEX('Menu Pricing'!$J$7:$J$56,$O2225)))</f>
        <v/>
      </c>
      <c r="K2225" s="71">
        <f>IF($N2225&lt;&gt;"OK","",$D2225*$J2225)</f>
        <v/>
      </c>
      <c r="L2225" s="71">
        <f>IF($N2225&lt;&gt;"OK","",$I2225-$K2225)</f>
        <v/>
      </c>
      <c r="M2225" s="71">
        <f>IF($N2225&lt;&gt;"OK","",$D2225*N(INDEX('Menu Pricing'!$F$7:$F$56,$O2225)))</f>
        <v/>
      </c>
      <c r="N2225" s="80">
        <f>IF(AND($B2225="",$C2225="",$D2225=""),"",IF(NOT(ISNUMBER($B2225)),"Enter a valid date",IF($C2225="","Pick a menu item",IF($O2225="","Item not on Menu Pricing",IF(N($D2225)&lt;=0,"Qty must be above 0",IF($H2225="","No price on menu","OK"))))))</f>
        <v/>
      </c>
      <c r="O2225" s="13">
        <f>IF($C2225="","",IFERROR(MATCH($C2225,'Menu Pricing'!$B$7:$B$56,0),""))</f>
        <v/>
      </c>
    </row>
    <row r="2226" ht="17" customHeight="1">
      <c r="B2226" s="66" t="n"/>
      <c r="C2226" s="60" t="n"/>
      <c r="D2226" s="86" t="n"/>
      <c r="E2226" s="63" t="n"/>
      <c r="F2226" s="60" t="n"/>
      <c r="G2226" s="60" t="n"/>
      <c r="H2226" s="71">
        <f>IF(OR($C2226="",$D2226=""),"",IF(ISNUMBER($E2226),$E2226,IF($O2226="","",IF(N(INDEX('Menu Pricing'!$O$7:$O$56,$O2226))&gt;0,INDEX('Menu Pricing'!$O$7:$O$56,$O2226),""))))</f>
        <v/>
      </c>
      <c r="I2226" s="71">
        <f>IF($N2226&lt;&gt;"OK","",$D2226*$H2226)</f>
        <v/>
      </c>
      <c r="J2226" s="71">
        <f>IF($N2226&lt;&gt;"OK","",N(INDEX('Menu Pricing'!$F$7:$F$56,$O2226))+N(INDEX('Menu Pricing'!$G$7:$G$56,$O2226))+N(INDEX('Menu Pricing'!$J$7:$J$56,$O2226)))</f>
        <v/>
      </c>
      <c r="K2226" s="71">
        <f>IF($N2226&lt;&gt;"OK","",$D2226*$J2226)</f>
        <v/>
      </c>
      <c r="L2226" s="71">
        <f>IF($N2226&lt;&gt;"OK","",$I2226-$K2226)</f>
        <v/>
      </c>
      <c r="M2226" s="71">
        <f>IF($N2226&lt;&gt;"OK","",$D2226*N(INDEX('Menu Pricing'!$F$7:$F$56,$O2226)))</f>
        <v/>
      </c>
      <c r="N2226" s="80">
        <f>IF(AND($B2226="",$C2226="",$D2226=""),"",IF(NOT(ISNUMBER($B2226)),"Enter a valid date",IF($C2226="","Pick a menu item",IF($O2226="","Item not on Menu Pricing",IF(N($D2226)&lt;=0,"Qty must be above 0",IF($H2226="","No price on menu","OK"))))))</f>
        <v/>
      </c>
      <c r="O2226" s="13">
        <f>IF($C2226="","",IFERROR(MATCH($C2226,'Menu Pricing'!$B$7:$B$56,0),""))</f>
        <v/>
      </c>
    </row>
    <row r="2227" ht="17" customHeight="1">
      <c r="B2227" s="66" t="n"/>
      <c r="C2227" s="60" t="n"/>
      <c r="D2227" s="86" t="n"/>
      <c r="E2227" s="63" t="n"/>
      <c r="F2227" s="60" t="n"/>
      <c r="G2227" s="60" t="n"/>
      <c r="H2227" s="71">
        <f>IF(OR($C2227="",$D2227=""),"",IF(ISNUMBER($E2227),$E2227,IF($O2227="","",IF(N(INDEX('Menu Pricing'!$O$7:$O$56,$O2227))&gt;0,INDEX('Menu Pricing'!$O$7:$O$56,$O2227),""))))</f>
        <v/>
      </c>
      <c r="I2227" s="71">
        <f>IF($N2227&lt;&gt;"OK","",$D2227*$H2227)</f>
        <v/>
      </c>
      <c r="J2227" s="71">
        <f>IF($N2227&lt;&gt;"OK","",N(INDEX('Menu Pricing'!$F$7:$F$56,$O2227))+N(INDEX('Menu Pricing'!$G$7:$G$56,$O2227))+N(INDEX('Menu Pricing'!$J$7:$J$56,$O2227)))</f>
        <v/>
      </c>
      <c r="K2227" s="71">
        <f>IF($N2227&lt;&gt;"OK","",$D2227*$J2227)</f>
        <v/>
      </c>
      <c r="L2227" s="71">
        <f>IF($N2227&lt;&gt;"OK","",$I2227-$K2227)</f>
        <v/>
      </c>
      <c r="M2227" s="71">
        <f>IF($N2227&lt;&gt;"OK","",$D2227*N(INDEX('Menu Pricing'!$F$7:$F$56,$O2227)))</f>
        <v/>
      </c>
      <c r="N2227" s="80">
        <f>IF(AND($B2227="",$C2227="",$D2227=""),"",IF(NOT(ISNUMBER($B2227)),"Enter a valid date",IF($C2227="","Pick a menu item",IF($O2227="","Item not on Menu Pricing",IF(N($D2227)&lt;=0,"Qty must be above 0",IF($H2227="","No price on menu","OK"))))))</f>
        <v/>
      </c>
      <c r="O2227" s="13">
        <f>IF($C2227="","",IFERROR(MATCH($C2227,'Menu Pricing'!$B$7:$B$56,0),""))</f>
        <v/>
      </c>
    </row>
    <row r="2228" ht="17" customHeight="1">
      <c r="B2228" s="66" t="n"/>
      <c r="C2228" s="60" t="n"/>
      <c r="D2228" s="86" t="n"/>
      <c r="E2228" s="63" t="n"/>
      <c r="F2228" s="60" t="n"/>
      <c r="G2228" s="60" t="n"/>
      <c r="H2228" s="71">
        <f>IF(OR($C2228="",$D2228=""),"",IF(ISNUMBER($E2228),$E2228,IF($O2228="","",IF(N(INDEX('Menu Pricing'!$O$7:$O$56,$O2228))&gt;0,INDEX('Menu Pricing'!$O$7:$O$56,$O2228),""))))</f>
        <v/>
      </c>
      <c r="I2228" s="71">
        <f>IF($N2228&lt;&gt;"OK","",$D2228*$H2228)</f>
        <v/>
      </c>
      <c r="J2228" s="71">
        <f>IF($N2228&lt;&gt;"OK","",N(INDEX('Menu Pricing'!$F$7:$F$56,$O2228))+N(INDEX('Menu Pricing'!$G$7:$G$56,$O2228))+N(INDEX('Menu Pricing'!$J$7:$J$56,$O2228)))</f>
        <v/>
      </c>
      <c r="K2228" s="71">
        <f>IF($N2228&lt;&gt;"OK","",$D2228*$J2228)</f>
        <v/>
      </c>
      <c r="L2228" s="71">
        <f>IF($N2228&lt;&gt;"OK","",$I2228-$K2228)</f>
        <v/>
      </c>
      <c r="M2228" s="71">
        <f>IF($N2228&lt;&gt;"OK","",$D2228*N(INDEX('Menu Pricing'!$F$7:$F$56,$O2228)))</f>
        <v/>
      </c>
      <c r="N2228" s="80">
        <f>IF(AND($B2228="",$C2228="",$D2228=""),"",IF(NOT(ISNUMBER($B2228)),"Enter a valid date",IF($C2228="","Pick a menu item",IF($O2228="","Item not on Menu Pricing",IF(N($D2228)&lt;=0,"Qty must be above 0",IF($H2228="","No price on menu","OK"))))))</f>
        <v/>
      </c>
      <c r="O2228" s="13">
        <f>IF($C2228="","",IFERROR(MATCH($C2228,'Menu Pricing'!$B$7:$B$56,0),""))</f>
        <v/>
      </c>
    </row>
    <row r="2229" ht="17" customHeight="1">
      <c r="B2229" s="66" t="n"/>
      <c r="C2229" s="60" t="n"/>
      <c r="D2229" s="86" t="n"/>
      <c r="E2229" s="63" t="n"/>
      <c r="F2229" s="60" t="n"/>
      <c r="G2229" s="60" t="n"/>
      <c r="H2229" s="71">
        <f>IF(OR($C2229="",$D2229=""),"",IF(ISNUMBER($E2229),$E2229,IF($O2229="","",IF(N(INDEX('Menu Pricing'!$O$7:$O$56,$O2229))&gt;0,INDEX('Menu Pricing'!$O$7:$O$56,$O2229),""))))</f>
        <v/>
      </c>
      <c r="I2229" s="71">
        <f>IF($N2229&lt;&gt;"OK","",$D2229*$H2229)</f>
        <v/>
      </c>
      <c r="J2229" s="71">
        <f>IF($N2229&lt;&gt;"OK","",N(INDEX('Menu Pricing'!$F$7:$F$56,$O2229))+N(INDEX('Menu Pricing'!$G$7:$G$56,$O2229))+N(INDEX('Menu Pricing'!$J$7:$J$56,$O2229)))</f>
        <v/>
      </c>
      <c r="K2229" s="71">
        <f>IF($N2229&lt;&gt;"OK","",$D2229*$J2229)</f>
        <v/>
      </c>
      <c r="L2229" s="71">
        <f>IF($N2229&lt;&gt;"OK","",$I2229-$K2229)</f>
        <v/>
      </c>
      <c r="M2229" s="71">
        <f>IF($N2229&lt;&gt;"OK","",$D2229*N(INDEX('Menu Pricing'!$F$7:$F$56,$O2229)))</f>
        <v/>
      </c>
      <c r="N2229" s="80">
        <f>IF(AND($B2229="",$C2229="",$D2229=""),"",IF(NOT(ISNUMBER($B2229)),"Enter a valid date",IF($C2229="","Pick a menu item",IF($O2229="","Item not on Menu Pricing",IF(N($D2229)&lt;=0,"Qty must be above 0",IF($H2229="","No price on menu","OK"))))))</f>
        <v/>
      </c>
      <c r="O2229" s="13">
        <f>IF($C2229="","",IFERROR(MATCH($C2229,'Menu Pricing'!$B$7:$B$56,0),""))</f>
        <v/>
      </c>
    </row>
    <row r="2230" ht="17" customHeight="1">
      <c r="B2230" s="66" t="n"/>
      <c r="C2230" s="60" t="n"/>
      <c r="D2230" s="86" t="n"/>
      <c r="E2230" s="63" t="n"/>
      <c r="F2230" s="60" t="n"/>
      <c r="G2230" s="60" t="n"/>
      <c r="H2230" s="71">
        <f>IF(OR($C2230="",$D2230=""),"",IF(ISNUMBER($E2230),$E2230,IF($O2230="","",IF(N(INDEX('Menu Pricing'!$O$7:$O$56,$O2230))&gt;0,INDEX('Menu Pricing'!$O$7:$O$56,$O2230),""))))</f>
        <v/>
      </c>
      <c r="I2230" s="71">
        <f>IF($N2230&lt;&gt;"OK","",$D2230*$H2230)</f>
        <v/>
      </c>
      <c r="J2230" s="71">
        <f>IF($N2230&lt;&gt;"OK","",N(INDEX('Menu Pricing'!$F$7:$F$56,$O2230))+N(INDEX('Menu Pricing'!$G$7:$G$56,$O2230))+N(INDEX('Menu Pricing'!$J$7:$J$56,$O2230)))</f>
        <v/>
      </c>
      <c r="K2230" s="71">
        <f>IF($N2230&lt;&gt;"OK","",$D2230*$J2230)</f>
        <v/>
      </c>
      <c r="L2230" s="71">
        <f>IF($N2230&lt;&gt;"OK","",$I2230-$K2230)</f>
        <v/>
      </c>
      <c r="M2230" s="71">
        <f>IF($N2230&lt;&gt;"OK","",$D2230*N(INDEX('Menu Pricing'!$F$7:$F$56,$O2230)))</f>
        <v/>
      </c>
      <c r="N2230" s="80">
        <f>IF(AND($B2230="",$C2230="",$D2230=""),"",IF(NOT(ISNUMBER($B2230)),"Enter a valid date",IF($C2230="","Pick a menu item",IF($O2230="","Item not on Menu Pricing",IF(N($D2230)&lt;=0,"Qty must be above 0",IF($H2230="","No price on menu","OK"))))))</f>
        <v/>
      </c>
      <c r="O2230" s="13">
        <f>IF($C2230="","",IFERROR(MATCH($C2230,'Menu Pricing'!$B$7:$B$56,0),""))</f>
        <v/>
      </c>
    </row>
    <row r="2231" ht="17" customHeight="1">
      <c r="B2231" s="66" t="n"/>
      <c r="C2231" s="60" t="n"/>
      <c r="D2231" s="86" t="n"/>
      <c r="E2231" s="63" t="n"/>
      <c r="F2231" s="60" t="n"/>
      <c r="G2231" s="60" t="n"/>
      <c r="H2231" s="71">
        <f>IF(OR($C2231="",$D2231=""),"",IF(ISNUMBER($E2231),$E2231,IF($O2231="","",IF(N(INDEX('Menu Pricing'!$O$7:$O$56,$O2231))&gt;0,INDEX('Menu Pricing'!$O$7:$O$56,$O2231),""))))</f>
        <v/>
      </c>
      <c r="I2231" s="71">
        <f>IF($N2231&lt;&gt;"OK","",$D2231*$H2231)</f>
        <v/>
      </c>
      <c r="J2231" s="71">
        <f>IF($N2231&lt;&gt;"OK","",N(INDEX('Menu Pricing'!$F$7:$F$56,$O2231))+N(INDEX('Menu Pricing'!$G$7:$G$56,$O2231))+N(INDEX('Menu Pricing'!$J$7:$J$56,$O2231)))</f>
        <v/>
      </c>
      <c r="K2231" s="71">
        <f>IF($N2231&lt;&gt;"OK","",$D2231*$J2231)</f>
        <v/>
      </c>
      <c r="L2231" s="71">
        <f>IF($N2231&lt;&gt;"OK","",$I2231-$K2231)</f>
        <v/>
      </c>
      <c r="M2231" s="71">
        <f>IF($N2231&lt;&gt;"OK","",$D2231*N(INDEX('Menu Pricing'!$F$7:$F$56,$O2231)))</f>
        <v/>
      </c>
      <c r="N2231" s="80">
        <f>IF(AND($B2231="",$C2231="",$D2231=""),"",IF(NOT(ISNUMBER($B2231)),"Enter a valid date",IF($C2231="","Pick a menu item",IF($O2231="","Item not on Menu Pricing",IF(N($D2231)&lt;=0,"Qty must be above 0",IF($H2231="","No price on menu","OK"))))))</f>
        <v/>
      </c>
      <c r="O2231" s="13">
        <f>IF($C2231="","",IFERROR(MATCH($C2231,'Menu Pricing'!$B$7:$B$56,0),""))</f>
        <v/>
      </c>
    </row>
    <row r="2232" ht="17" customHeight="1">
      <c r="B2232" s="66" t="n"/>
      <c r="C2232" s="60" t="n"/>
      <c r="D2232" s="86" t="n"/>
      <c r="E2232" s="63" t="n"/>
      <c r="F2232" s="60" t="n"/>
      <c r="G2232" s="60" t="n"/>
      <c r="H2232" s="71">
        <f>IF(OR($C2232="",$D2232=""),"",IF(ISNUMBER($E2232),$E2232,IF($O2232="","",IF(N(INDEX('Menu Pricing'!$O$7:$O$56,$O2232))&gt;0,INDEX('Menu Pricing'!$O$7:$O$56,$O2232),""))))</f>
        <v/>
      </c>
      <c r="I2232" s="71">
        <f>IF($N2232&lt;&gt;"OK","",$D2232*$H2232)</f>
        <v/>
      </c>
      <c r="J2232" s="71">
        <f>IF($N2232&lt;&gt;"OK","",N(INDEX('Menu Pricing'!$F$7:$F$56,$O2232))+N(INDEX('Menu Pricing'!$G$7:$G$56,$O2232))+N(INDEX('Menu Pricing'!$J$7:$J$56,$O2232)))</f>
        <v/>
      </c>
      <c r="K2232" s="71">
        <f>IF($N2232&lt;&gt;"OK","",$D2232*$J2232)</f>
        <v/>
      </c>
      <c r="L2232" s="71">
        <f>IF($N2232&lt;&gt;"OK","",$I2232-$K2232)</f>
        <v/>
      </c>
      <c r="M2232" s="71">
        <f>IF($N2232&lt;&gt;"OK","",$D2232*N(INDEX('Menu Pricing'!$F$7:$F$56,$O2232)))</f>
        <v/>
      </c>
      <c r="N2232" s="80">
        <f>IF(AND($B2232="",$C2232="",$D2232=""),"",IF(NOT(ISNUMBER($B2232)),"Enter a valid date",IF($C2232="","Pick a menu item",IF($O2232="","Item not on Menu Pricing",IF(N($D2232)&lt;=0,"Qty must be above 0",IF($H2232="","No price on menu","OK"))))))</f>
        <v/>
      </c>
      <c r="O2232" s="13">
        <f>IF($C2232="","",IFERROR(MATCH($C2232,'Menu Pricing'!$B$7:$B$56,0),""))</f>
        <v/>
      </c>
    </row>
    <row r="2233" ht="17" customHeight="1">
      <c r="B2233" s="66" t="n"/>
      <c r="C2233" s="60" t="n"/>
      <c r="D2233" s="86" t="n"/>
      <c r="E2233" s="63" t="n"/>
      <c r="F2233" s="60" t="n"/>
      <c r="G2233" s="60" t="n"/>
      <c r="H2233" s="71">
        <f>IF(OR($C2233="",$D2233=""),"",IF(ISNUMBER($E2233),$E2233,IF($O2233="","",IF(N(INDEX('Menu Pricing'!$O$7:$O$56,$O2233))&gt;0,INDEX('Menu Pricing'!$O$7:$O$56,$O2233),""))))</f>
        <v/>
      </c>
      <c r="I2233" s="71">
        <f>IF($N2233&lt;&gt;"OK","",$D2233*$H2233)</f>
        <v/>
      </c>
      <c r="J2233" s="71">
        <f>IF($N2233&lt;&gt;"OK","",N(INDEX('Menu Pricing'!$F$7:$F$56,$O2233))+N(INDEX('Menu Pricing'!$G$7:$G$56,$O2233))+N(INDEX('Menu Pricing'!$J$7:$J$56,$O2233)))</f>
        <v/>
      </c>
      <c r="K2233" s="71">
        <f>IF($N2233&lt;&gt;"OK","",$D2233*$J2233)</f>
        <v/>
      </c>
      <c r="L2233" s="71">
        <f>IF($N2233&lt;&gt;"OK","",$I2233-$K2233)</f>
        <v/>
      </c>
      <c r="M2233" s="71">
        <f>IF($N2233&lt;&gt;"OK","",$D2233*N(INDEX('Menu Pricing'!$F$7:$F$56,$O2233)))</f>
        <v/>
      </c>
      <c r="N2233" s="80">
        <f>IF(AND($B2233="",$C2233="",$D2233=""),"",IF(NOT(ISNUMBER($B2233)),"Enter a valid date",IF($C2233="","Pick a menu item",IF($O2233="","Item not on Menu Pricing",IF(N($D2233)&lt;=0,"Qty must be above 0",IF($H2233="","No price on menu","OK"))))))</f>
        <v/>
      </c>
      <c r="O2233" s="13">
        <f>IF($C2233="","",IFERROR(MATCH($C2233,'Menu Pricing'!$B$7:$B$56,0),""))</f>
        <v/>
      </c>
    </row>
    <row r="2234" ht="17" customHeight="1">
      <c r="B2234" s="66" t="n"/>
      <c r="C2234" s="60" t="n"/>
      <c r="D2234" s="86" t="n"/>
      <c r="E2234" s="63" t="n"/>
      <c r="F2234" s="60" t="n"/>
      <c r="G2234" s="60" t="n"/>
      <c r="H2234" s="71">
        <f>IF(OR($C2234="",$D2234=""),"",IF(ISNUMBER($E2234),$E2234,IF($O2234="","",IF(N(INDEX('Menu Pricing'!$O$7:$O$56,$O2234))&gt;0,INDEX('Menu Pricing'!$O$7:$O$56,$O2234),""))))</f>
        <v/>
      </c>
      <c r="I2234" s="71">
        <f>IF($N2234&lt;&gt;"OK","",$D2234*$H2234)</f>
        <v/>
      </c>
      <c r="J2234" s="71">
        <f>IF($N2234&lt;&gt;"OK","",N(INDEX('Menu Pricing'!$F$7:$F$56,$O2234))+N(INDEX('Menu Pricing'!$G$7:$G$56,$O2234))+N(INDEX('Menu Pricing'!$J$7:$J$56,$O2234)))</f>
        <v/>
      </c>
      <c r="K2234" s="71">
        <f>IF($N2234&lt;&gt;"OK","",$D2234*$J2234)</f>
        <v/>
      </c>
      <c r="L2234" s="71">
        <f>IF($N2234&lt;&gt;"OK","",$I2234-$K2234)</f>
        <v/>
      </c>
      <c r="M2234" s="71">
        <f>IF($N2234&lt;&gt;"OK","",$D2234*N(INDEX('Menu Pricing'!$F$7:$F$56,$O2234)))</f>
        <v/>
      </c>
      <c r="N2234" s="80">
        <f>IF(AND($B2234="",$C2234="",$D2234=""),"",IF(NOT(ISNUMBER($B2234)),"Enter a valid date",IF($C2234="","Pick a menu item",IF($O2234="","Item not on Menu Pricing",IF(N($D2234)&lt;=0,"Qty must be above 0",IF($H2234="","No price on menu","OK"))))))</f>
        <v/>
      </c>
      <c r="O2234" s="13">
        <f>IF($C2234="","",IFERROR(MATCH($C2234,'Menu Pricing'!$B$7:$B$56,0),""))</f>
        <v/>
      </c>
    </row>
    <row r="2235" ht="17" customHeight="1">
      <c r="B2235" s="66" t="n"/>
      <c r="C2235" s="60" t="n"/>
      <c r="D2235" s="86" t="n"/>
      <c r="E2235" s="63" t="n"/>
      <c r="F2235" s="60" t="n"/>
      <c r="G2235" s="60" t="n"/>
      <c r="H2235" s="71">
        <f>IF(OR($C2235="",$D2235=""),"",IF(ISNUMBER($E2235),$E2235,IF($O2235="","",IF(N(INDEX('Menu Pricing'!$O$7:$O$56,$O2235))&gt;0,INDEX('Menu Pricing'!$O$7:$O$56,$O2235),""))))</f>
        <v/>
      </c>
      <c r="I2235" s="71">
        <f>IF($N2235&lt;&gt;"OK","",$D2235*$H2235)</f>
        <v/>
      </c>
      <c r="J2235" s="71">
        <f>IF($N2235&lt;&gt;"OK","",N(INDEX('Menu Pricing'!$F$7:$F$56,$O2235))+N(INDEX('Menu Pricing'!$G$7:$G$56,$O2235))+N(INDEX('Menu Pricing'!$J$7:$J$56,$O2235)))</f>
        <v/>
      </c>
      <c r="K2235" s="71">
        <f>IF($N2235&lt;&gt;"OK","",$D2235*$J2235)</f>
        <v/>
      </c>
      <c r="L2235" s="71">
        <f>IF($N2235&lt;&gt;"OK","",$I2235-$K2235)</f>
        <v/>
      </c>
      <c r="M2235" s="71">
        <f>IF($N2235&lt;&gt;"OK","",$D2235*N(INDEX('Menu Pricing'!$F$7:$F$56,$O2235)))</f>
        <v/>
      </c>
      <c r="N2235" s="80">
        <f>IF(AND($B2235="",$C2235="",$D2235=""),"",IF(NOT(ISNUMBER($B2235)),"Enter a valid date",IF($C2235="","Pick a menu item",IF($O2235="","Item not on Menu Pricing",IF(N($D2235)&lt;=0,"Qty must be above 0",IF($H2235="","No price on menu","OK"))))))</f>
        <v/>
      </c>
      <c r="O2235" s="13">
        <f>IF($C2235="","",IFERROR(MATCH($C2235,'Menu Pricing'!$B$7:$B$56,0),""))</f>
        <v/>
      </c>
    </row>
    <row r="2236" ht="17" customHeight="1">
      <c r="B2236" s="66" t="n"/>
      <c r="C2236" s="60" t="n"/>
      <c r="D2236" s="86" t="n"/>
      <c r="E2236" s="63" t="n"/>
      <c r="F2236" s="60" t="n"/>
      <c r="G2236" s="60" t="n"/>
      <c r="H2236" s="71">
        <f>IF(OR($C2236="",$D2236=""),"",IF(ISNUMBER($E2236),$E2236,IF($O2236="","",IF(N(INDEX('Menu Pricing'!$O$7:$O$56,$O2236))&gt;0,INDEX('Menu Pricing'!$O$7:$O$56,$O2236),""))))</f>
        <v/>
      </c>
      <c r="I2236" s="71">
        <f>IF($N2236&lt;&gt;"OK","",$D2236*$H2236)</f>
        <v/>
      </c>
      <c r="J2236" s="71">
        <f>IF($N2236&lt;&gt;"OK","",N(INDEX('Menu Pricing'!$F$7:$F$56,$O2236))+N(INDEX('Menu Pricing'!$G$7:$G$56,$O2236))+N(INDEX('Menu Pricing'!$J$7:$J$56,$O2236)))</f>
        <v/>
      </c>
      <c r="K2236" s="71">
        <f>IF($N2236&lt;&gt;"OK","",$D2236*$J2236)</f>
        <v/>
      </c>
      <c r="L2236" s="71">
        <f>IF($N2236&lt;&gt;"OK","",$I2236-$K2236)</f>
        <v/>
      </c>
      <c r="M2236" s="71">
        <f>IF($N2236&lt;&gt;"OK","",$D2236*N(INDEX('Menu Pricing'!$F$7:$F$56,$O2236)))</f>
        <v/>
      </c>
      <c r="N2236" s="80">
        <f>IF(AND($B2236="",$C2236="",$D2236=""),"",IF(NOT(ISNUMBER($B2236)),"Enter a valid date",IF($C2236="","Pick a menu item",IF($O2236="","Item not on Menu Pricing",IF(N($D2236)&lt;=0,"Qty must be above 0",IF($H2236="","No price on menu","OK"))))))</f>
        <v/>
      </c>
      <c r="O2236" s="13">
        <f>IF($C2236="","",IFERROR(MATCH($C2236,'Menu Pricing'!$B$7:$B$56,0),""))</f>
        <v/>
      </c>
    </row>
    <row r="2237" ht="17" customHeight="1">
      <c r="B2237" s="66" t="n"/>
      <c r="C2237" s="60" t="n"/>
      <c r="D2237" s="86" t="n"/>
      <c r="E2237" s="63" t="n"/>
      <c r="F2237" s="60" t="n"/>
      <c r="G2237" s="60" t="n"/>
      <c r="H2237" s="71">
        <f>IF(OR($C2237="",$D2237=""),"",IF(ISNUMBER($E2237),$E2237,IF($O2237="","",IF(N(INDEX('Menu Pricing'!$O$7:$O$56,$O2237))&gt;0,INDEX('Menu Pricing'!$O$7:$O$56,$O2237),""))))</f>
        <v/>
      </c>
      <c r="I2237" s="71">
        <f>IF($N2237&lt;&gt;"OK","",$D2237*$H2237)</f>
        <v/>
      </c>
      <c r="J2237" s="71">
        <f>IF($N2237&lt;&gt;"OK","",N(INDEX('Menu Pricing'!$F$7:$F$56,$O2237))+N(INDEX('Menu Pricing'!$G$7:$G$56,$O2237))+N(INDEX('Menu Pricing'!$J$7:$J$56,$O2237)))</f>
        <v/>
      </c>
      <c r="K2237" s="71">
        <f>IF($N2237&lt;&gt;"OK","",$D2237*$J2237)</f>
        <v/>
      </c>
      <c r="L2237" s="71">
        <f>IF($N2237&lt;&gt;"OK","",$I2237-$K2237)</f>
        <v/>
      </c>
      <c r="M2237" s="71">
        <f>IF($N2237&lt;&gt;"OK","",$D2237*N(INDEX('Menu Pricing'!$F$7:$F$56,$O2237)))</f>
        <v/>
      </c>
      <c r="N2237" s="80">
        <f>IF(AND($B2237="",$C2237="",$D2237=""),"",IF(NOT(ISNUMBER($B2237)),"Enter a valid date",IF($C2237="","Pick a menu item",IF($O2237="","Item not on Menu Pricing",IF(N($D2237)&lt;=0,"Qty must be above 0",IF($H2237="","No price on menu","OK"))))))</f>
        <v/>
      </c>
      <c r="O2237" s="13">
        <f>IF($C2237="","",IFERROR(MATCH($C2237,'Menu Pricing'!$B$7:$B$56,0),""))</f>
        <v/>
      </c>
    </row>
    <row r="2238" ht="17" customHeight="1">
      <c r="B2238" s="66" t="n"/>
      <c r="C2238" s="60" t="n"/>
      <c r="D2238" s="86" t="n"/>
      <c r="E2238" s="63" t="n"/>
      <c r="F2238" s="60" t="n"/>
      <c r="G2238" s="60" t="n"/>
      <c r="H2238" s="71">
        <f>IF(OR($C2238="",$D2238=""),"",IF(ISNUMBER($E2238),$E2238,IF($O2238="","",IF(N(INDEX('Menu Pricing'!$O$7:$O$56,$O2238))&gt;0,INDEX('Menu Pricing'!$O$7:$O$56,$O2238),""))))</f>
        <v/>
      </c>
      <c r="I2238" s="71">
        <f>IF($N2238&lt;&gt;"OK","",$D2238*$H2238)</f>
        <v/>
      </c>
      <c r="J2238" s="71">
        <f>IF($N2238&lt;&gt;"OK","",N(INDEX('Menu Pricing'!$F$7:$F$56,$O2238))+N(INDEX('Menu Pricing'!$G$7:$G$56,$O2238))+N(INDEX('Menu Pricing'!$J$7:$J$56,$O2238)))</f>
        <v/>
      </c>
      <c r="K2238" s="71">
        <f>IF($N2238&lt;&gt;"OK","",$D2238*$J2238)</f>
        <v/>
      </c>
      <c r="L2238" s="71">
        <f>IF($N2238&lt;&gt;"OK","",$I2238-$K2238)</f>
        <v/>
      </c>
      <c r="M2238" s="71">
        <f>IF($N2238&lt;&gt;"OK","",$D2238*N(INDEX('Menu Pricing'!$F$7:$F$56,$O2238)))</f>
        <v/>
      </c>
      <c r="N2238" s="80">
        <f>IF(AND($B2238="",$C2238="",$D2238=""),"",IF(NOT(ISNUMBER($B2238)),"Enter a valid date",IF($C2238="","Pick a menu item",IF($O2238="","Item not on Menu Pricing",IF(N($D2238)&lt;=0,"Qty must be above 0",IF($H2238="","No price on menu","OK"))))))</f>
        <v/>
      </c>
      <c r="O2238" s="13">
        <f>IF($C2238="","",IFERROR(MATCH($C2238,'Menu Pricing'!$B$7:$B$56,0),""))</f>
        <v/>
      </c>
    </row>
    <row r="2239" ht="17" customHeight="1">
      <c r="B2239" s="66" t="n"/>
      <c r="C2239" s="60" t="n"/>
      <c r="D2239" s="86" t="n"/>
      <c r="E2239" s="63" t="n"/>
      <c r="F2239" s="60" t="n"/>
      <c r="G2239" s="60" t="n"/>
      <c r="H2239" s="71">
        <f>IF(OR($C2239="",$D2239=""),"",IF(ISNUMBER($E2239),$E2239,IF($O2239="","",IF(N(INDEX('Menu Pricing'!$O$7:$O$56,$O2239))&gt;0,INDEX('Menu Pricing'!$O$7:$O$56,$O2239),""))))</f>
        <v/>
      </c>
      <c r="I2239" s="71">
        <f>IF($N2239&lt;&gt;"OK","",$D2239*$H2239)</f>
        <v/>
      </c>
      <c r="J2239" s="71">
        <f>IF($N2239&lt;&gt;"OK","",N(INDEX('Menu Pricing'!$F$7:$F$56,$O2239))+N(INDEX('Menu Pricing'!$G$7:$G$56,$O2239))+N(INDEX('Menu Pricing'!$J$7:$J$56,$O2239)))</f>
        <v/>
      </c>
      <c r="K2239" s="71">
        <f>IF($N2239&lt;&gt;"OK","",$D2239*$J2239)</f>
        <v/>
      </c>
      <c r="L2239" s="71">
        <f>IF($N2239&lt;&gt;"OK","",$I2239-$K2239)</f>
        <v/>
      </c>
      <c r="M2239" s="71">
        <f>IF($N2239&lt;&gt;"OK","",$D2239*N(INDEX('Menu Pricing'!$F$7:$F$56,$O2239)))</f>
        <v/>
      </c>
      <c r="N2239" s="80">
        <f>IF(AND($B2239="",$C2239="",$D2239=""),"",IF(NOT(ISNUMBER($B2239)),"Enter a valid date",IF($C2239="","Pick a menu item",IF($O2239="","Item not on Menu Pricing",IF(N($D2239)&lt;=0,"Qty must be above 0",IF($H2239="","No price on menu","OK"))))))</f>
        <v/>
      </c>
      <c r="O2239" s="13">
        <f>IF($C2239="","",IFERROR(MATCH($C2239,'Menu Pricing'!$B$7:$B$56,0),""))</f>
        <v/>
      </c>
    </row>
    <row r="2240" ht="17" customHeight="1">
      <c r="B2240" s="66" t="n"/>
      <c r="C2240" s="60" t="n"/>
      <c r="D2240" s="86" t="n"/>
      <c r="E2240" s="63" t="n"/>
      <c r="F2240" s="60" t="n"/>
      <c r="G2240" s="60" t="n"/>
      <c r="H2240" s="71">
        <f>IF(OR($C2240="",$D2240=""),"",IF(ISNUMBER($E2240),$E2240,IF($O2240="","",IF(N(INDEX('Menu Pricing'!$O$7:$O$56,$O2240))&gt;0,INDEX('Menu Pricing'!$O$7:$O$56,$O2240),""))))</f>
        <v/>
      </c>
      <c r="I2240" s="71">
        <f>IF($N2240&lt;&gt;"OK","",$D2240*$H2240)</f>
        <v/>
      </c>
      <c r="J2240" s="71">
        <f>IF($N2240&lt;&gt;"OK","",N(INDEX('Menu Pricing'!$F$7:$F$56,$O2240))+N(INDEX('Menu Pricing'!$G$7:$G$56,$O2240))+N(INDEX('Menu Pricing'!$J$7:$J$56,$O2240)))</f>
        <v/>
      </c>
      <c r="K2240" s="71">
        <f>IF($N2240&lt;&gt;"OK","",$D2240*$J2240)</f>
        <v/>
      </c>
      <c r="L2240" s="71">
        <f>IF($N2240&lt;&gt;"OK","",$I2240-$K2240)</f>
        <v/>
      </c>
      <c r="M2240" s="71">
        <f>IF($N2240&lt;&gt;"OK","",$D2240*N(INDEX('Menu Pricing'!$F$7:$F$56,$O2240)))</f>
        <v/>
      </c>
      <c r="N2240" s="80">
        <f>IF(AND($B2240="",$C2240="",$D2240=""),"",IF(NOT(ISNUMBER($B2240)),"Enter a valid date",IF($C2240="","Pick a menu item",IF($O2240="","Item not on Menu Pricing",IF(N($D2240)&lt;=0,"Qty must be above 0",IF($H2240="","No price on menu","OK"))))))</f>
        <v/>
      </c>
      <c r="O2240" s="13">
        <f>IF($C2240="","",IFERROR(MATCH($C2240,'Menu Pricing'!$B$7:$B$56,0),""))</f>
        <v/>
      </c>
    </row>
    <row r="2241" ht="17" customHeight="1">
      <c r="B2241" s="66" t="n"/>
      <c r="C2241" s="60" t="n"/>
      <c r="D2241" s="86" t="n"/>
      <c r="E2241" s="63" t="n"/>
      <c r="F2241" s="60" t="n"/>
      <c r="G2241" s="60" t="n"/>
      <c r="H2241" s="71">
        <f>IF(OR($C2241="",$D2241=""),"",IF(ISNUMBER($E2241),$E2241,IF($O2241="","",IF(N(INDEX('Menu Pricing'!$O$7:$O$56,$O2241))&gt;0,INDEX('Menu Pricing'!$O$7:$O$56,$O2241),""))))</f>
        <v/>
      </c>
      <c r="I2241" s="71">
        <f>IF($N2241&lt;&gt;"OK","",$D2241*$H2241)</f>
        <v/>
      </c>
      <c r="J2241" s="71">
        <f>IF($N2241&lt;&gt;"OK","",N(INDEX('Menu Pricing'!$F$7:$F$56,$O2241))+N(INDEX('Menu Pricing'!$G$7:$G$56,$O2241))+N(INDEX('Menu Pricing'!$J$7:$J$56,$O2241)))</f>
        <v/>
      </c>
      <c r="K2241" s="71">
        <f>IF($N2241&lt;&gt;"OK","",$D2241*$J2241)</f>
        <v/>
      </c>
      <c r="L2241" s="71">
        <f>IF($N2241&lt;&gt;"OK","",$I2241-$K2241)</f>
        <v/>
      </c>
      <c r="M2241" s="71">
        <f>IF($N2241&lt;&gt;"OK","",$D2241*N(INDEX('Menu Pricing'!$F$7:$F$56,$O2241)))</f>
        <v/>
      </c>
      <c r="N2241" s="80">
        <f>IF(AND($B2241="",$C2241="",$D2241=""),"",IF(NOT(ISNUMBER($B2241)),"Enter a valid date",IF($C2241="","Pick a menu item",IF($O2241="","Item not on Menu Pricing",IF(N($D2241)&lt;=0,"Qty must be above 0",IF($H2241="","No price on menu","OK"))))))</f>
        <v/>
      </c>
      <c r="O2241" s="13">
        <f>IF($C2241="","",IFERROR(MATCH($C2241,'Menu Pricing'!$B$7:$B$56,0),""))</f>
        <v/>
      </c>
    </row>
    <row r="2242" ht="17" customHeight="1">
      <c r="B2242" s="66" t="n"/>
      <c r="C2242" s="60" t="n"/>
      <c r="D2242" s="86" t="n"/>
      <c r="E2242" s="63" t="n"/>
      <c r="F2242" s="60" t="n"/>
      <c r="G2242" s="60" t="n"/>
      <c r="H2242" s="71">
        <f>IF(OR($C2242="",$D2242=""),"",IF(ISNUMBER($E2242),$E2242,IF($O2242="","",IF(N(INDEX('Menu Pricing'!$O$7:$O$56,$O2242))&gt;0,INDEX('Menu Pricing'!$O$7:$O$56,$O2242),""))))</f>
        <v/>
      </c>
      <c r="I2242" s="71">
        <f>IF($N2242&lt;&gt;"OK","",$D2242*$H2242)</f>
        <v/>
      </c>
      <c r="J2242" s="71">
        <f>IF($N2242&lt;&gt;"OK","",N(INDEX('Menu Pricing'!$F$7:$F$56,$O2242))+N(INDEX('Menu Pricing'!$G$7:$G$56,$O2242))+N(INDEX('Menu Pricing'!$J$7:$J$56,$O2242)))</f>
        <v/>
      </c>
      <c r="K2242" s="71">
        <f>IF($N2242&lt;&gt;"OK","",$D2242*$J2242)</f>
        <v/>
      </c>
      <c r="L2242" s="71">
        <f>IF($N2242&lt;&gt;"OK","",$I2242-$K2242)</f>
        <v/>
      </c>
      <c r="M2242" s="71">
        <f>IF($N2242&lt;&gt;"OK","",$D2242*N(INDEX('Menu Pricing'!$F$7:$F$56,$O2242)))</f>
        <v/>
      </c>
      <c r="N2242" s="80">
        <f>IF(AND($B2242="",$C2242="",$D2242=""),"",IF(NOT(ISNUMBER($B2242)),"Enter a valid date",IF($C2242="","Pick a menu item",IF($O2242="","Item not on Menu Pricing",IF(N($D2242)&lt;=0,"Qty must be above 0",IF($H2242="","No price on menu","OK"))))))</f>
        <v/>
      </c>
      <c r="O2242" s="13">
        <f>IF($C2242="","",IFERROR(MATCH($C2242,'Menu Pricing'!$B$7:$B$56,0),""))</f>
        <v/>
      </c>
    </row>
    <row r="2243" ht="17" customHeight="1">
      <c r="B2243" s="66" t="n"/>
      <c r="C2243" s="60" t="n"/>
      <c r="D2243" s="86" t="n"/>
      <c r="E2243" s="63" t="n"/>
      <c r="F2243" s="60" t="n"/>
      <c r="G2243" s="60" t="n"/>
      <c r="H2243" s="71">
        <f>IF(OR($C2243="",$D2243=""),"",IF(ISNUMBER($E2243),$E2243,IF($O2243="","",IF(N(INDEX('Menu Pricing'!$O$7:$O$56,$O2243))&gt;0,INDEX('Menu Pricing'!$O$7:$O$56,$O2243),""))))</f>
        <v/>
      </c>
      <c r="I2243" s="71">
        <f>IF($N2243&lt;&gt;"OK","",$D2243*$H2243)</f>
        <v/>
      </c>
      <c r="J2243" s="71">
        <f>IF($N2243&lt;&gt;"OK","",N(INDEX('Menu Pricing'!$F$7:$F$56,$O2243))+N(INDEX('Menu Pricing'!$G$7:$G$56,$O2243))+N(INDEX('Menu Pricing'!$J$7:$J$56,$O2243)))</f>
        <v/>
      </c>
      <c r="K2243" s="71">
        <f>IF($N2243&lt;&gt;"OK","",$D2243*$J2243)</f>
        <v/>
      </c>
      <c r="L2243" s="71">
        <f>IF($N2243&lt;&gt;"OK","",$I2243-$K2243)</f>
        <v/>
      </c>
      <c r="M2243" s="71">
        <f>IF($N2243&lt;&gt;"OK","",$D2243*N(INDEX('Menu Pricing'!$F$7:$F$56,$O2243)))</f>
        <v/>
      </c>
      <c r="N2243" s="80">
        <f>IF(AND($B2243="",$C2243="",$D2243=""),"",IF(NOT(ISNUMBER($B2243)),"Enter a valid date",IF($C2243="","Pick a menu item",IF($O2243="","Item not on Menu Pricing",IF(N($D2243)&lt;=0,"Qty must be above 0",IF($H2243="","No price on menu","OK"))))))</f>
        <v/>
      </c>
      <c r="O2243" s="13">
        <f>IF($C2243="","",IFERROR(MATCH($C2243,'Menu Pricing'!$B$7:$B$56,0),""))</f>
        <v/>
      </c>
    </row>
    <row r="2244" ht="17" customHeight="1">
      <c r="B2244" s="66" t="n"/>
      <c r="C2244" s="60" t="n"/>
      <c r="D2244" s="86" t="n"/>
      <c r="E2244" s="63" t="n"/>
      <c r="F2244" s="60" t="n"/>
      <c r="G2244" s="60" t="n"/>
      <c r="H2244" s="71">
        <f>IF(OR($C2244="",$D2244=""),"",IF(ISNUMBER($E2244),$E2244,IF($O2244="","",IF(N(INDEX('Menu Pricing'!$O$7:$O$56,$O2244))&gt;0,INDEX('Menu Pricing'!$O$7:$O$56,$O2244),""))))</f>
        <v/>
      </c>
      <c r="I2244" s="71">
        <f>IF($N2244&lt;&gt;"OK","",$D2244*$H2244)</f>
        <v/>
      </c>
      <c r="J2244" s="71">
        <f>IF($N2244&lt;&gt;"OK","",N(INDEX('Menu Pricing'!$F$7:$F$56,$O2244))+N(INDEX('Menu Pricing'!$G$7:$G$56,$O2244))+N(INDEX('Menu Pricing'!$J$7:$J$56,$O2244)))</f>
        <v/>
      </c>
      <c r="K2244" s="71">
        <f>IF($N2244&lt;&gt;"OK","",$D2244*$J2244)</f>
        <v/>
      </c>
      <c r="L2244" s="71">
        <f>IF($N2244&lt;&gt;"OK","",$I2244-$K2244)</f>
        <v/>
      </c>
      <c r="M2244" s="71">
        <f>IF($N2244&lt;&gt;"OK","",$D2244*N(INDEX('Menu Pricing'!$F$7:$F$56,$O2244)))</f>
        <v/>
      </c>
      <c r="N2244" s="80">
        <f>IF(AND($B2244="",$C2244="",$D2244=""),"",IF(NOT(ISNUMBER($B2244)),"Enter a valid date",IF($C2244="","Pick a menu item",IF($O2244="","Item not on Menu Pricing",IF(N($D2244)&lt;=0,"Qty must be above 0",IF($H2244="","No price on menu","OK"))))))</f>
        <v/>
      </c>
      <c r="O2244" s="13">
        <f>IF($C2244="","",IFERROR(MATCH($C2244,'Menu Pricing'!$B$7:$B$56,0),""))</f>
        <v/>
      </c>
    </row>
    <row r="2245" ht="17" customHeight="1">
      <c r="B2245" s="66" t="n"/>
      <c r="C2245" s="60" t="n"/>
      <c r="D2245" s="86" t="n"/>
      <c r="E2245" s="63" t="n"/>
      <c r="F2245" s="60" t="n"/>
      <c r="G2245" s="60" t="n"/>
      <c r="H2245" s="71">
        <f>IF(OR($C2245="",$D2245=""),"",IF(ISNUMBER($E2245),$E2245,IF($O2245="","",IF(N(INDEX('Menu Pricing'!$O$7:$O$56,$O2245))&gt;0,INDEX('Menu Pricing'!$O$7:$O$56,$O2245),""))))</f>
        <v/>
      </c>
      <c r="I2245" s="71">
        <f>IF($N2245&lt;&gt;"OK","",$D2245*$H2245)</f>
        <v/>
      </c>
      <c r="J2245" s="71">
        <f>IF($N2245&lt;&gt;"OK","",N(INDEX('Menu Pricing'!$F$7:$F$56,$O2245))+N(INDEX('Menu Pricing'!$G$7:$G$56,$O2245))+N(INDEX('Menu Pricing'!$J$7:$J$56,$O2245)))</f>
        <v/>
      </c>
      <c r="K2245" s="71">
        <f>IF($N2245&lt;&gt;"OK","",$D2245*$J2245)</f>
        <v/>
      </c>
      <c r="L2245" s="71">
        <f>IF($N2245&lt;&gt;"OK","",$I2245-$K2245)</f>
        <v/>
      </c>
      <c r="M2245" s="71">
        <f>IF($N2245&lt;&gt;"OK","",$D2245*N(INDEX('Menu Pricing'!$F$7:$F$56,$O2245)))</f>
        <v/>
      </c>
      <c r="N2245" s="80">
        <f>IF(AND($B2245="",$C2245="",$D2245=""),"",IF(NOT(ISNUMBER($B2245)),"Enter a valid date",IF($C2245="","Pick a menu item",IF($O2245="","Item not on Menu Pricing",IF(N($D2245)&lt;=0,"Qty must be above 0",IF($H2245="","No price on menu","OK"))))))</f>
        <v/>
      </c>
      <c r="O2245" s="13">
        <f>IF($C2245="","",IFERROR(MATCH($C2245,'Menu Pricing'!$B$7:$B$56,0),""))</f>
        <v/>
      </c>
    </row>
    <row r="2246" ht="17" customHeight="1">
      <c r="B2246" s="66" t="n"/>
      <c r="C2246" s="60" t="n"/>
      <c r="D2246" s="86" t="n"/>
      <c r="E2246" s="63" t="n"/>
      <c r="F2246" s="60" t="n"/>
      <c r="G2246" s="60" t="n"/>
      <c r="H2246" s="71">
        <f>IF(OR($C2246="",$D2246=""),"",IF(ISNUMBER($E2246),$E2246,IF($O2246="","",IF(N(INDEX('Menu Pricing'!$O$7:$O$56,$O2246))&gt;0,INDEX('Menu Pricing'!$O$7:$O$56,$O2246),""))))</f>
        <v/>
      </c>
      <c r="I2246" s="71">
        <f>IF($N2246&lt;&gt;"OK","",$D2246*$H2246)</f>
        <v/>
      </c>
      <c r="J2246" s="71">
        <f>IF($N2246&lt;&gt;"OK","",N(INDEX('Menu Pricing'!$F$7:$F$56,$O2246))+N(INDEX('Menu Pricing'!$G$7:$G$56,$O2246))+N(INDEX('Menu Pricing'!$J$7:$J$56,$O2246)))</f>
        <v/>
      </c>
      <c r="K2246" s="71">
        <f>IF($N2246&lt;&gt;"OK","",$D2246*$J2246)</f>
        <v/>
      </c>
      <c r="L2246" s="71">
        <f>IF($N2246&lt;&gt;"OK","",$I2246-$K2246)</f>
        <v/>
      </c>
      <c r="M2246" s="71">
        <f>IF($N2246&lt;&gt;"OK","",$D2246*N(INDEX('Menu Pricing'!$F$7:$F$56,$O2246)))</f>
        <v/>
      </c>
      <c r="N2246" s="80">
        <f>IF(AND($B2246="",$C2246="",$D2246=""),"",IF(NOT(ISNUMBER($B2246)),"Enter a valid date",IF($C2246="","Pick a menu item",IF($O2246="","Item not on Menu Pricing",IF(N($D2246)&lt;=0,"Qty must be above 0",IF($H2246="","No price on menu","OK"))))))</f>
        <v/>
      </c>
      <c r="O2246" s="13">
        <f>IF($C2246="","",IFERROR(MATCH($C2246,'Menu Pricing'!$B$7:$B$56,0),""))</f>
        <v/>
      </c>
    </row>
    <row r="2247" ht="17" customHeight="1">
      <c r="B2247" s="66" t="n"/>
      <c r="C2247" s="60" t="n"/>
      <c r="D2247" s="86" t="n"/>
      <c r="E2247" s="63" t="n"/>
      <c r="F2247" s="60" t="n"/>
      <c r="G2247" s="60" t="n"/>
      <c r="H2247" s="71">
        <f>IF(OR($C2247="",$D2247=""),"",IF(ISNUMBER($E2247),$E2247,IF($O2247="","",IF(N(INDEX('Menu Pricing'!$O$7:$O$56,$O2247))&gt;0,INDEX('Menu Pricing'!$O$7:$O$56,$O2247),""))))</f>
        <v/>
      </c>
      <c r="I2247" s="71">
        <f>IF($N2247&lt;&gt;"OK","",$D2247*$H2247)</f>
        <v/>
      </c>
      <c r="J2247" s="71">
        <f>IF($N2247&lt;&gt;"OK","",N(INDEX('Menu Pricing'!$F$7:$F$56,$O2247))+N(INDEX('Menu Pricing'!$G$7:$G$56,$O2247))+N(INDEX('Menu Pricing'!$J$7:$J$56,$O2247)))</f>
        <v/>
      </c>
      <c r="K2247" s="71">
        <f>IF($N2247&lt;&gt;"OK","",$D2247*$J2247)</f>
        <v/>
      </c>
      <c r="L2247" s="71">
        <f>IF($N2247&lt;&gt;"OK","",$I2247-$K2247)</f>
        <v/>
      </c>
      <c r="M2247" s="71">
        <f>IF($N2247&lt;&gt;"OK","",$D2247*N(INDEX('Menu Pricing'!$F$7:$F$56,$O2247)))</f>
        <v/>
      </c>
      <c r="N2247" s="80">
        <f>IF(AND($B2247="",$C2247="",$D2247=""),"",IF(NOT(ISNUMBER($B2247)),"Enter a valid date",IF($C2247="","Pick a menu item",IF($O2247="","Item not on Menu Pricing",IF(N($D2247)&lt;=0,"Qty must be above 0",IF($H2247="","No price on menu","OK"))))))</f>
        <v/>
      </c>
      <c r="O2247" s="13">
        <f>IF($C2247="","",IFERROR(MATCH($C2247,'Menu Pricing'!$B$7:$B$56,0),""))</f>
        <v/>
      </c>
    </row>
    <row r="2248" ht="17" customHeight="1">
      <c r="B2248" s="66" t="n"/>
      <c r="C2248" s="60" t="n"/>
      <c r="D2248" s="86" t="n"/>
      <c r="E2248" s="63" t="n"/>
      <c r="F2248" s="60" t="n"/>
      <c r="G2248" s="60" t="n"/>
      <c r="H2248" s="71">
        <f>IF(OR($C2248="",$D2248=""),"",IF(ISNUMBER($E2248),$E2248,IF($O2248="","",IF(N(INDEX('Menu Pricing'!$O$7:$O$56,$O2248))&gt;0,INDEX('Menu Pricing'!$O$7:$O$56,$O2248),""))))</f>
        <v/>
      </c>
      <c r="I2248" s="71">
        <f>IF($N2248&lt;&gt;"OK","",$D2248*$H2248)</f>
        <v/>
      </c>
      <c r="J2248" s="71">
        <f>IF($N2248&lt;&gt;"OK","",N(INDEX('Menu Pricing'!$F$7:$F$56,$O2248))+N(INDEX('Menu Pricing'!$G$7:$G$56,$O2248))+N(INDEX('Menu Pricing'!$J$7:$J$56,$O2248)))</f>
        <v/>
      </c>
      <c r="K2248" s="71">
        <f>IF($N2248&lt;&gt;"OK","",$D2248*$J2248)</f>
        <v/>
      </c>
      <c r="L2248" s="71">
        <f>IF($N2248&lt;&gt;"OK","",$I2248-$K2248)</f>
        <v/>
      </c>
      <c r="M2248" s="71">
        <f>IF($N2248&lt;&gt;"OK","",$D2248*N(INDEX('Menu Pricing'!$F$7:$F$56,$O2248)))</f>
        <v/>
      </c>
      <c r="N2248" s="80">
        <f>IF(AND($B2248="",$C2248="",$D2248=""),"",IF(NOT(ISNUMBER($B2248)),"Enter a valid date",IF($C2248="","Pick a menu item",IF($O2248="","Item not on Menu Pricing",IF(N($D2248)&lt;=0,"Qty must be above 0",IF($H2248="","No price on menu","OK"))))))</f>
        <v/>
      </c>
      <c r="O2248" s="13">
        <f>IF($C2248="","",IFERROR(MATCH($C2248,'Menu Pricing'!$B$7:$B$56,0),""))</f>
        <v/>
      </c>
    </row>
    <row r="2249" ht="17" customHeight="1">
      <c r="B2249" s="66" t="n"/>
      <c r="C2249" s="60" t="n"/>
      <c r="D2249" s="86" t="n"/>
      <c r="E2249" s="63" t="n"/>
      <c r="F2249" s="60" t="n"/>
      <c r="G2249" s="60" t="n"/>
      <c r="H2249" s="71">
        <f>IF(OR($C2249="",$D2249=""),"",IF(ISNUMBER($E2249),$E2249,IF($O2249="","",IF(N(INDEX('Menu Pricing'!$O$7:$O$56,$O2249))&gt;0,INDEX('Menu Pricing'!$O$7:$O$56,$O2249),""))))</f>
        <v/>
      </c>
      <c r="I2249" s="71">
        <f>IF($N2249&lt;&gt;"OK","",$D2249*$H2249)</f>
        <v/>
      </c>
      <c r="J2249" s="71">
        <f>IF($N2249&lt;&gt;"OK","",N(INDEX('Menu Pricing'!$F$7:$F$56,$O2249))+N(INDEX('Menu Pricing'!$G$7:$G$56,$O2249))+N(INDEX('Menu Pricing'!$J$7:$J$56,$O2249)))</f>
        <v/>
      </c>
      <c r="K2249" s="71">
        <f>IF($N2249&lt;&gt;"OK","",$D2249*$J2249)</f>
        <v/>
      </c>
      <c r="L2249" s="71">
        <f>IF($N2249&lt;&gt;"OK","",$I2249-$K2249)</f>
        <v/>
      </c>
      <c r="M2249" s="71">
        <f>IF($N2249&lt;&gt;"OK","",$D2249*N(INDEX('Menu Pricing'!$F$7:$F$56,$O2249)))</f>
        <v/>
      </c>
      <c r="N2249" s="80">
        <f>IF(AND($B2249="",$C2249="",$D2249=""),"",IF(NOT(ISNUMBER($B2249)),"Enter a valid date",IF($C2249="","Pick a menu item",IF($O2249="","Item not on Menu Pricing",IF(N($D2249)&lt;=0,"Qty must be above 0",IF($H2249="","No price on menu","OK"))))))</f>
        <v/>
      </c>
      <c r="O2249" s="13">
        <f>IF($C2249="","",IFERROR(MATCH($C2249,'Menu Pricing'!$B$7:$B$56,0),""))</f>
        <v/>
      </c>
    </row>
    <row r="2250" ht="17" customHeight="1">
      <c r="B2250" s="66" t="n"/>
      <c r="C2250" s="60" t="n"/>
      <c r="D2250" s="86" t="n"/>
      <c r="E2250" s="63" t="n"/>
      <c r="F2250" s="60" t="n"/>
      <c r="G2250" s="60" t="n"/>
      <c r="H2250" s="71">
        <f>IF(OR($C2250="",$D2250=""),"",IF(ISNUMBER($E2250),$E2250,IF($O2250="","",IF(N(INDEX('Menu Pricing'!$O$7:$O$56,$O2250))&gt;0,INDEX('Menu Pricing'!$O$7:$O$56,$O2250),""))))</f>
        <v/>
      </c>
      <c r="I2250" s="71">
        <f>IF($N2250&lt;&gt;"OK","",$D2250*$H2250)</f>
        <v/>
      </c>
      <c r="J2250" s="71">
        <f>IF($N2250&lt;&gt;"OK","",N(INDEX('Menu Pricing'!$F$7:$F$56,$O2250))+N(INDEX('Menu Pricing'!$G$7:$G$56,$O2250))+N(INDEX('Menu Pricing'!$J$7:$J$56,$O2250)))</f>
        <v/>
      </c>
      <c r="K2250" s="71">
        <f>IF($N2250&lt;&gt;"OK","",$D2250*$J2250)</f>
        <v/>
      </c>
      <c r="L2250" s="71">
        <f>IF($N2250&lt;&gt;"OK","",$I2250-$K2250)</f>
        <v/>
      </c>
      <c r="M2250" s="71">
        <f>IF($N2250&lt;&gt;"OK","",$D2250*N(INDEX('Menu Pricing'!$F$7:$F$56,$O2250)))</f>
        <v/>
      </c>
      <c r="N2250" s="80">
        <f>IF(AND($B2250="",$C2250="",$D2250=""),"",IF(NOT(ISNUMBER($B2250)),"Enter a valid date",IF($C2250="","Pick a menu item",IF($O2250="","Item not on Menu Pricing",IF(N($D2250)&lt;=0,"Qty must be above 0",IF($H2250="","No price on menu","OK"))))))</f>
        <v/>
      </c>
      <c r="O2250" s="13">
        <f>IF($C2250="","",IFERROR(MATCH($C2250,'Menu Pricing'!$B$7:$B$56,0),""))</f>
        <v/>
      </c>
    </row>
    <row r="2251" ht="17" customHeight="1">
      <c r="B2251" s="66" t="n"/>
      <c r="C2251" s="60" t="n"/>
      <c r="D2251" s="86" t="n"/>
      <c r="E2251" s="63" t="n"/>
      <c r="F2251" s="60" t="n"/>
      <c r="G2251" s="60" t="n"/>
      <c r="H2251" s="71">
        <f>IF(OR($C2251="",$D2251=""),"",IF(ISNUMBER($E2251),$E2251,IF($O2251="","",IF(N(INDEX('Menu Pricing'!$O$7:$O$56,$O2251))&gt;0,INDEX('Menu Pricing'!$O$7:$O$56,$O2251),""))))</f>
        <v/>
      </c>
      <c r="I2251" s="71">
        <f>IF($N2251&lt;&gt;"OK","",$D2251*$H2251)</f>
        <v/>
      </c>
      <c r="J2251" s="71">
        <f>IF($N2251&lt;&gt;"OK","",N(INDEX('Menu Pricing'!$F$7:$F$56,$O2251))+N(INDEX('Menu Pricing'!$G$7:$G$56,$O2251))+N(INDEX('Menu Pricing'!$J$7:$J$56,$O2251)))</f>
        <v/>
      </c>
      <c r="K2251" s="71">
        <f>IF($N2251&lt;&gt;"OK","",$D2251*$J2251)</f>
        <v/>
      </c>
      <c r="L2251" s="71">
        <f>IF($N2251&lt;&gt;"OK","",$I2251-$K2251)</f>
        <v/>
      </c>
      <c r="M2251" s="71">
        <f>IF($N2251&lt;&gt;"OK","",$D2251*N(INDEX('Menu Pricing'!$F$7:$F$56,$O2251)))</f>
        <v/>
      </c>
      <c r="N2251" s="80">
        <f>IF(AND($B2251="",$C2251="",$D2251=""),"",IF(NOT(ISNUMBER($B2251)),"Enter a valid date",IF($C2251="","Pick a menu item",IF($O2251="","Item not on Menu Pricing",IF(N($D2251)&lt;=0,"Qty must be above 0",IF($H2251="","No price on menu","OK"))))))</f>
        <v/>
      </c>
      <c r="O2251" s="13">
        <f>IF($C2251="","",IFERROR(MATCH($C2251,'Menu Pricing'!$B$7:$B$56,0),""))</f>
        <v/>
      </c>
    </row>
    <row r="2252" ht="17" customHeight="1">
      <c r="B2252" s="66" t="n"/>
      <c r="C2252" s="60" t="n"/>
      <c r="D2252" s="86" t="n"/>
      <c r="E2252" s="63" t="n"/>
      <c r="F2252" s="60" t="n"/>
      <c r="G2252" s="60" t="n"/>
      <c r="H2252" s="71">
        <f>IF(OR($C2252="",$D2252=""),"",IF(ISNUMBER($E2252),$E2252,IF($O2252="","",IF(N(INDEX('Menu Pricing'!$O$7:$O$56,$O2252))&gt;0,INDEX('Menu Pricing'!$O$7:$O$56,$O2252),""))))</f>
        <v/>
      </c>
      <c r="I2252" s="71">
        <f>IF($N2252&lt;&gt;"OK","",$D2252*$H2252)</f>
        <v/>
      </c>
      <c r="J2252" s="71">
        <f>IF($N2252&lt;&gt;"OK","",N(INDEX('Menu Pricing'!$F$7:$F$56,$O2252))+N(INDEX('Menu Pricing'!$G$7:$G$56,$O2252))+N(INDEX('Menu Pricing'!$J$7:$J$56,$O2252)))</f>
        <v/>
      </c>
      <c r="K2252" s="71">
        <f>IF($N2252&lt;&gt;"OK","",$D2252*$J2252)</f>
        <v/>
      </c>
      <c r="L2252" s="71">
        <f>IF($N2252&lt;&gt;"OK","",$I2252-$K2252)</f>
        <v/>
      </c>
      <c r="M2252" s="71">
        <f>IF($N2252&lt;&gt;"OK","",$D2252*N(INDEX('Menu Pricing'!$F$7:$F$56,$O2252)))</f>
        <v/>
      </c>
      <c r="N2252" s="80">
        <f>IF(AND($B2252="",$C2252="",$D2252=""),"",IF(NOT(ISNUMBER($B2252)),"Enter a valid date",IF($C2252="","Pick a menu item",IF($O2252="","Item not on Menu Pricing",IF(N($D2252)&lt;=0,"Qty must be above 0",IF($H2252="","No price on menu","OK"))))))</f>
        <v/>
      </c>
      <c r="O2252" s="13">
        <f>IF($C2252="","",IFERROR(MATCH($C2252,'Menu Pricing'!$B$7:$B$56,0),""))</f>
        <v/>
      </c>
    </row>
    <row r="2253" ht="17" customHeight="1">
      <c r="B2253" s="66" t="n"/>
      <c r="C2253" s="60" t="n"/>
      <c r="D2253" s="86" t="n"/>
      <c r="E2253" s="63" t="n"/>
      <c r="F2253" s="60" t="n"/>
      <c r="G2253" s="60" t="n"/>
      <c r="H2253" s="71">
        <f>IF(OR($C2253="",$D2253=""),"",IF(ISNUMBER($E2253),$E2253,IF($O2253="","",IF(N(INDEX('Menu Pricing'!$O$7:$O$56,$O2253))&gt;0,INDEX('Menu Pricing'!$O$7:$O$56,$O2253),""))))</f>
        <v/>
      </c>
      <c r="I2253" s="71">
        <f>IF($N2253&lt;&gt;"OK","",$D2253*$H2253)</f>
        <v/>
      </c>
      <c r="J2253" s="71">
        <f>IF($N2253&lt;&gt;"OK","",N(INDEX('Menu Pricing'!$F$7:$F$56,$O2253))+N(INDEX('Menu Pricing'!$G$7:$G$56,$O2253))+N(INDEX('Menu Pricing'!$J$7:$J$56,$O2253)))</f>
        <v/>
      </c>
      <c r="K2253" s="71">
        <f>IF($N2253&lt;&gt;"OK","",$D2253*$J2253)</f>
        <v/>
      </c>
      <c r="L2253" s="71">
        <f>IF($N2253&lt;&gt;"OK","",$I2253-$K2253)</f>
        <v/>
      </c>
      <c r="M2253" s="71">
        <f>IF($N2253&lt;&gt;"OK","",$D2253*N(INDEX('Menu Pricing'!$F$7:$F$56,$O2253)))</f>
        <v/>
      </c>
      <c r="N2253" s="80">
        <f>IF(AND($B2253="",$C2253="",$D2253=""),"",IF(NOT(ISNUMBER($B2253)),"Enter a valid date",IF($C2253="","Pick a menu item",IF($O2253="","Item not on Menu Pricing",IF(N($D2253)&lt;=0,"Qty must be above 0",IF($H2253="","No price on menu","OK"))))))</f>
        <v/>
      </c>
      <c r="O2253" s="13">
        <f>IF($C2253="","",IFERROR(MATCH($C2253,'Menu Pricing'!$B$7:$B$56,0),""))</f>
        <v/>
      </c>
    </row>
    <row r="2254" ht="17" customHeight="1">
      <c r="B2254" s="66" t="n"/>
      <c r="C2254" s="60" t="n"/>
      <c r="D2254" s="86" t="n"/>
      <c r="E2254" s="63" t="n"/>
      <c r="F2254" s="60" t="n"/>
      <c r="G2254" s="60" t="n"/>
      <c r="H2254" s="71">
        <f>IF(OR($C2254="",$D2254=""),"",IF(ISNUMBER($E2254),$E2254,IF($O2254="","",IF(N(INDEX('Menu Pricing'!$O$7:$O$56,$O2254))&gt;0,INDEX('Menu Pricing'!$O$7:$O$56,$O2254),""))))</f>
        <v/>
      </c>
      <c r="I2254" s="71">
        <f>IF($N2254&lt;&gt;"OK","",$D2254*$H2254)</f>
        <v/>
      </c>
      <c r="J2254" s="71">
        <f>IF($N2254&lt;&gt;"OK","",N(INDEX('Menu Pricing'!$F$7:$F$56,$O2254))+N(INDEX('Menu Pricing'!$G$7:$G$56,$O2254))+N(INDEX('Menu Pricing'!$J$7:$J$56,$O2254)))</f>
        <v/>
      </c>
      <c r="K2254" s="71">
        <f>IF($N2254&lt;&gt;"OK","",$D2254*$J2254)</f>
        <v/>
      </c>
      <c r="L2254" s="71">
        <f>IF($N2254&lt;&gt;"OK","",$I2254-$K2254)</f>
        <v/>
      </c>
      <c r="M2254" s="71">
        <f>IF($N2254&lt;&gt;"OK","",$D2254*N(INDEX('Menu Pricing'!$F$7:$F$56,$O2254)))</f>
        <v/>
      </c>
      <c r="N2254" s="80">
        <f>IF(AND($B2254="",$C2254="",$D2254=""),"",IF(NOT(ISNUMBER($B2254)),"Enter a valid date",IF($C2254="","Pick a menu item",IF($O2254="","Item not on Menu Pricing",IF(N($D2254)&lt;=0,"Qty must be above 0",IF($H2254="","No price on menu","OK"))))))</f>
        <v/>
      </c>
      <c r="O2254" s="13">
        <f>IF($C2254="","",IFERROR(MATCH($C2254,'Menu Pricing'!$B$7:$B$56,0),""))</f>
        <v/>
      </c>
    </row>
    <row r="2255" ht="17" customHeight="1">
      <c r="B2255" s="66" t="n"/>
      <c r="C2255" s="60" t="n"/>
      <c r="D2255" s="86" t="n"/>
      <c r="E2255" s="63" t="n"/>
      <c r="F2255" s="60" t="n"/>
      <c r="G2255" s="60" t="n"/>
      <c r="H2255" s="71">
        <f>IF(OR($C2255="",$D2255=""),"",IF(ISNUMBER($E2255),$E2255,IF($O2255="","",IF(N(INDEX('Menu Pricing'!$O$7:$O$56,$O2255))&gt;0,INDEX('Menu Pricing'!$O$7:$O$56,$O2255),""))))</f>
        <v/>
      </c>
      <c r="I2255" s="71">
        <f>IF($N2255&lt;&gt;"OK","",$D2255*$H2255)</f>
        <v/>
      </c>
      <c r="J2255" s="71">
        <f>IF($N2255&lt;&gt;"OK","",N(INDEX('Menu Pricing'!$F$7:$F$56,$O2255))+N(INDEX('Menu Pricing'!$G$7:$G$56,$O2255))+N(INDEX('Menu Pricing'!$J$7:$J$56,$O2255)))</f>
        <v/>
      </c>
      <c r="K2255" s="71">
        <f>IF($N2255&lt;&gt;"OK","",$D2255*$J2255)</f>
        <v/>
      </c>
      <c r="L2255" s="71">
        <f>IF($N2255&lt;&gt;"OK","",$I2255-$K2255)</f>
        <v/>
      </c>
      <c r="M2255" s="71">
        <f>IF($N2255&lt;&gt;"OK","",$D2255*N(INDEX('Menu Pricing'!$F$7:$F$56,$O2255)))</f>
        <v/>
      </c>
      <c r="N2255" s="80">
        <f>IF(AND($B2255="",$C2255="",$D2255=""),"",IF(NOT(ISNUMBER($B2255)),"Enter a valid date",IF($C2255="","Pick a menu item",IF($O2255="","Item not on Menu Pricing",IF(N($D2255)&lt;=0,"Qty must be above 0",IF($H2255="","No price on menu","OK"))))))</f>
        <v/>
      </c>
      <c r="O2255" s="13">
        <f>IF($C2255="","",IFERROR(MATCH($C2255,'Menu Pricing'!$B$7:$B$56,0),""))</f>
        <v/>
      </c>
    </row>
    <row r="2256" ht="17" customHeight="1">
      <c r="B2256" s="66" t="n"/>
      <c r="C2256" s="60" t="n"/>
      <c r="D2256" s="86" t="n"/>
      <c r="E2256" s="63" t="n"/>
      <c r="F2256" s="60" t="n"/>
      <c r="G2256" s="60" t="n"/>
      <c r="H2256" s="71">
        <f>IF(OR($C2256="",$D2256=""),"",IF(ISNUMBER($E2256),$E2256,IF($O2256="","",IF(N(INDEX('Menu Pricing'!$O$7:$O$56,$O2256))&gt;0,INDEX('Menu Pricing'!$O$7:$O$56,$O2256),""))))</f>
        <v/>
      </c>
      <c r="I2256" s="71">
        <f>IF($N2256&lt;&gt;"OK","",$D2256*$H2256)</f>
        <v/>
      </c>
      <c r="J2256" s="71">
        <f>IF($N2256&lt;&gt;"OK","",N(INDEX('Menu Pricing'!$F$7:$F$56,$O2256))+N(INDEX('Menu Pricing'!$G$7:$G$56,$O2256))+N(INDEX('Menu Pricing'!$J$7:$J$56,$O2256)))</f>
        <v/>
      </c>
      <c r="K2256" s="71">
        <f>IF($N2256&lt;&gt;"OK","",$D2256*$J2256)</f>
        <v/>
      </c>
      <c r="L2256" s="71">
        <f>IF($N2256&lt;&gt;"OK","",$I2256-$K2256)</f>
        <v/>
      </c>
      <c r="M2256" s="71">
        <f>IF($N2256&lt;&gt;"OK","",$D2256*N(INDEX('Menu Pricing'!$F$7:$F$56,$O2256)))</f>
        <v/>
      </c>
      <c r="N2256" s="80">
        <f>IF(AND($B2256="",$C2256="",$D2256=""),"",IF(NOT(ISNUMBER($B2256)),"Enter a valid date",IF($C2256="","Pick a menu item",IF($O2256="","Item not on Menu Pricing",IF(N($D2256)&lt;=0,"Qty must be above 0",IF($H2256="","No price on menu","OK"))))))</f>
        <v/>
      </c>
      <c r="O2256" s="13">
        <f>IF($C2256="","",IFERROR(MATCH($C2256,'Menu Pricing'!$B$7:$B$56,0),""))</f>
        <v/>
      </c>
    </row>
    <row r="2257" ht="17" customHeight="1">
      <c r="B2257" s="66" t="n"/>
      <c r="C2257" s="60" t="n"/>
      <c r="D2257" s="86" t="n"/>
      <c r="E2257" s="63" t="n"/>
      <c r="F2257" s="60" t="n"/>
      <c r="G2257" s="60" t="n"/>
      <c r="H2257" s="71">
        <f>IF(OR($C2257="",$D2257=""),"",IF(ISNUMBER($E2257),$E2257,IF($O2257="","",IF(N(INDEX('Menu Pricing'!$O$7:$O$56,$O2257))&gt;0,INDEX('Menu Pricing'!$O$7:$O$56,$O2257),""))))</f>
        <v/>
      </c>
      <c r="I2257" s="71">
        <f>IF($N2257&lt;&gt;"OK","",$D2257*$H2257)</f>
        <v/>
      </c>
      <c r="J2257" s="71">
        <f>IF($N2257&lt;&gt;"OK","",N(INDEX('Menu Pricing'!$F$7:$F$56,$O2257))+N(INDEX('Menu Pricing'!$G$7:$G$56,$O2257))+N(INDEX('Menu Pricing'!$J$7:$J$56,$O2257)))</f>
        <v/>
      </c>
      <c r="K2257" s="71">
        <f>IF($N2257&lt;&gt;"OK","",$D2257*$J2257)</f>
        <v/>
      </c>
      <c r="L2257" s="71">
        <f>IF($N2257&lt;&gt;"OK","",$I2257-$K2257)</f>
        <v/>
      </c>
      <c r="M2257" s="71">
        <f>IF($N2257&lt;&gt;"OK","",$D2257*N(INDEX('Menu Pricing'!$F$7:$F$56,$O2257)))</f>
        <v/>
      </c>
      <c r="N2257" s="80">
        <f>IF(AND($B2257="",$C2257="",$D2257=""),"",IF(NOT(ISNUMBER($B2257)),"Enter a valid date",IF($C2257="","Pick a menu item",IF($O2257="","Item not on Menu Pricing",IF(N($D2257)&lt;=0,"Qty must be above 0",IF($H2257="","No price on menu","OK"))))))</f>
        <v/>
      </c>
      <c r="O2257" s="13">
        <f>IF($C2257="","",IFERROR(MATCH($C2257,'Menu Pricing'!$B$7:$B$56,0),""))</f>
        <v/>
      </c>
    </row>
    <row r="2258" ht="17" customHeight="1">
      <c r="B2258" s="66" t="n"/>
      <c r="C2258" s="60" t="n"/>
      <c r="D2258" s="86" t="n"/>
      <c r="E2258" s="63" t="n"/>
      <c r="F2258" s="60" t="n"/>
      <c r="G2258" s="60" t="n"/>
      <c r="H2258" s="71">
        <f>IF(OR($C2258="",$D2258=""),"",IF(ISNUMBER($E2258),$E2258,IF($O2258="","",IF(N(INDEX('Menu Pricing'!$O$7:$O$56,$O2258))&gt;0,INDEX('Menu Pricing'!$O$7:$O$56,$O2258),""))))</f>
        <v/>
      </c>
      <c r="I2258" s="71">
        <f>IF($N2258&lt;&gt;"OK","",$D2258*$H2258)</f>
        <v/>
      </c>
      <c r="J2258" s="71">
        <f>IF($N2258&lt;&gt;"OK","",N(INDEX('Menu Pricing'!$F$7:$F$56,$O2258))+N(INDEX('Menu Pricing'!$G$7:$G$56,$O2258))+N(INDEX('Menu Pricing'!$J$7:$J$56,$O2258)))</f>
        <v/>
      </c>
      <c r="K2258" s="71">
        <f>IF($N2258&lt;&gt;"OK","",$D2258*$J2258)</f>
        <v/>
      </c>
      <c r="L2258" s="71">
        <f>IF($N2258&lt;&gt;"OK","",$I2258-$K2258)</f>
        <v/>
      </c>
      <c r="M2258" s="71">
        <f>IF($N2258&lt;&gt;"OK","",$D2258*N(INDEX('Menu Pricing'!$F$7:$F$56,$O2258)))</f>
        <v/>
      </c>
      <c r="N2258" s="80">
        <f>IF(AND($B2258="",$C2258="",$D2258=""),"",IF(NOT(ISNUMBER($B2258)),"Enter a valid date",IF($C2258="","Pick a menu item",IF($O2258="","Item not on Menu Pricing",IF(N($D2258)&lt;=0,"Qty must be above 0",IF($H2258="","No price on menu","OK"))))))</f>
        <v/>
      </c>
      <c r="O2258" s="13">
        <f>IF($C2258="","",IFERROR(MATCH($C2258,'Menu Pricing'!$B$7:$B$56,0),""))</f>
        <v/>
      </c>
    </row>
    <row r="2259" ht="17" customHeight="1">
      <c r="B2259" s="66" t="n"/>
      <c r="C2259" s="60" t="n"/>
      <c r="D2259" s="86" t="n"/>
      <c r="E2259" s="63" t="n"/>
      <c r="F2259" s="60" t="n"/>
      <c r="G2259" s="60" t="n"/>
      <c r="H2259" s="71">
        <f>IF(OR($C2259="",$D2259=""),"",IF(ISNUMBER($E2259),$E2259,IF($O2259="","",IF(N(INDEX('Menu Pricing'!$O$7:$O$56,$O2259))&gt;0,INDEX('Menu Pricing'!$O$7:$O$56,$O2259),""))))</f>
        <v/>
      </c>
      <c r="I2259" s="71">
        <f>IF($N2259&lt;&gt;"OK","",$D2259*$H2259)</f>
        <v/>
      </c>
      <c r="J2259" s="71">
        <f>IF($N2259&lt;&gt;"OK","",N(INDEX('Menu Pricing'!$F$7:$F$56,$O2259))+N(INDEX('Menu Pricing'!$G$7:$G$56,$O2259))+N(INDEX('Menu Pricing'!$J$7:$J$56,$O2259)))</f>
        <v/>
      </c>
      <c r="K2259" s="71">
        <f>IF($N2259&lt;&gt;"OK","",$D2259*$J2259)</f>
        <v/>
      </c>
      <c r="L2259" s="71">
        <f>IF($N2259&lt;&gt;"OK","",$I2259-$K2259)</f>
        <v/>
      </c>
      <c r="M2259" s="71">
        <f>IF($N2259&lt;&gt;"OK","",$D2259*N(INDEX('Menu Pricing'!$F$7:$F$56,$O2259)))</f>
        <v/>
      </c>
      <c r="N2259" s="80">
        <f>IF(AND($B2259="",$C2259="",$D2259=""),"",IF(NOT(ISNUMBER($B2259)),"Enter a valid date",IF($C2259="","Pick a menu item",IF($O2259="","Item not on Menu Pricing",IF(N($D2259)&lt;=0,"Qty must be above 0",IF($H2259="","No price on menu","OK"))))))</f>
        <v/>
      </c>
      <c r="O2259" s="13">
        <f>IF($C2259="","",IFERROR(MATCH($C2259,'Menu Pricing'!$B$7:$B$56,0),""))</f>
        <v/>
      </c>
    </row>
    <row r="2260" ht="17" customHeight="1">
      <c r="B2260" s="66" t="n"/>
      <c r="C2260" s="60" t="n"/>
      <c r="D2260" s="86" t="n"/>
      <c r="E2260" s="63" t="n"/>
      <c r="F2260" s="60" t="n"/>
      <c r="G2260" s="60" t="n"/>
      <c r="H2260" s="71">
        <f>IF(OR($C2260="",$D2260=""),"",IF(ISNUMBER($E2260),$E2260,IF($O2260="","",IF(N(INDEX('Menu Pricing'!$O$7:$O$56,$O2260))&gt;0,INDEX('Menu Pricing'!$O$7:$O$56,$O2260),""))))</f>
        <v/>
      </c>
      <c r="I2260" s="71">
        <f>IF($N2260&lt;&gt;"OK","",$D2260*$H2260)</f>
        <v/>
      </c>
      <c r="J2260" s="71">
        <f>IF($N2260&lt;&gt;"OK","",N(INDEX('Menu Pricing'!$F$7:$F$56,$O2260))+N(INDEX('Menu Pricing'!$G$7:$G$56,$O2260))+N(INDEX('Menu Pricing'!$J$7:$J$56,$O2260)))</f>
        <v/>
      </c>
      <c r="K2260" s="71">
        <f>IF($N2260&lt;&gt;"OK","",$D2260*$J2260)</f>
        <v/>
      </c>
      <c r="L2260" s="71">
        <f>IF($N2260&lt;&gt;"OK","",$I2260-$K2260)</f>
        <v/>
      </c>
      <c r="M2260" s="71">
        <f>IF($N2260&lt;&gt;"OK","",$D2260*N(INDEX('Menu Pricing'!$F$7:$F$56,$O2260)))</f>
        <v/>
      </c>
      <c r="N2260" s="80">
        <f>IF(AND($B2260="",$C2260="",$D2260=""),"",IF(NOT(ISNUMBER($B2260)),"Enter a valid date",IF($C2260="","Pick a menu item",IF($O2260="","Item not on Menu Pricing",IF(N($D2260)&lt;=0,"Qty must be above 0",IF($H2260="","No price on menu","OK"))))))</f>
        <v/>
      </c>
      <c r="O2260" s="13">
        <f>IF($C2260="","",IFERROR(MATCH($C2260,'Menu Pricing'!$B$7:$B$56,0),""))</f>
        <v/>
      </c>
    </row>
    <row r="2261" ht="17" customHeight="1">
      <c r="B2261" s="66" t="n"/>
      <c r="C2261" s="60" t="n"/>
      <c r="D2261" s="86" t="n"/>
      <c r="E2261" s="63" t="n"/>
      <c r="F2261" s="60" t="n"/>
      <c r="G2261" s="60" t="n"/>
      <c r="H2261" s="71">
        <f>IF(OR($C2261="",$D2261=""),"",IF(ISNUMBER($E2261),$E2261,IF($O2261="","",IF(N(INDEX('Menu Pricing'!$O$7:$O$56,$O2261))&gt;0,INDEX('Menu Pricing'!$O$7:$O$56,$O2261),""))))</f>
        <v/>
      </c>
      <c r="I2261" s="71">
        <f>IF($N2261&lt;&gt;"OK","",$D2261*$H2261)</f>
        <v/>
      </c>
      <c r="J2261" s="71">
        <f>IF($N2261&lt;&gt;"OK","",N(INDEX('Menu Pricing'!$F$7:$F$56,$O2261))+N(INDEX('Menu Pricing'!$G$7:$G$56,$O2261))+N(INDEX('Menu Pricing'!$J$7:$J$56,$O2261)))</f>
        <v/>
      </c>
      <c r="K2261" s="71">
        <f>IF($N2261&lt;&gt;"OK","",$D2261*$J2261)</f>
        <v/>
      </c>
      <c r="L2261" s="71">
        <f>IF($N2261&lt;&gt;"OK","",$I2261-$K2261)</f>
        <v/>
      </c>
      <c r="M2261" s="71">
        <f>IF($N2261&lt;&gt;"OK","",$D2261*N(INDEX('Menu Pricing'!$F$7:$F$56,$O2261)))</f>
        <v/>
      </c>
      <c r="N2261" s="80">
        <f>IF(AND($B2261="",$C2261="",$D2261=""),"",IF(NOT(ISNUMBER($B2261)),"Enter a valid date",IF($C2261="","Pick a menu item",IF($O2261="","Item not on Menu Pricing",IF(N($D2261)&lt;=0,"Qty must be above 0",IF($H2261="","No price on menu","OK"))))))</f>
        <v/>
      </c>
      <c r="O2261" s="13">
        <f>IF($C2261="","",IFERROR(MATCH($C2261,'Menu Pricing'!$B$7:$B$56,0),""))</f>
        <v/>
      </c>
    </row>
    <row r="2262" ht="17" customHeight="1">
      <c r="B2262" s="66" t="n"/>
      <c r="C2262" s="60" t="n"/>
      <c r="D2262" s="86" t="n"/>
      <c r="E2262" s="63" t="n"/>
      <c r="F2262" s="60" t="n"/>
      <c r="G2262" s="60" t="n"/>
      <c r="H2262" s="71">
        <f>IF(OR($C2262="",$D2262=""),"",IF(ISNUMBER($E2262),$E2262,IF($O2262="","",IF(N(INDEX('Menu Pricing'!$O$7:$O$56,$O2262))&gt;0,INDEX('Menu Pricing'!$O$7:$O$56,$O2262),""))))</f>
        <v/>
      </c>
      <c r="I2262" s="71">
        <f>IF($N2262&lt;&gt;"OK","",$D2262*$H2262)</f>
        <v/>
      </c>
      <c r="J2262" s="71">
        <f>IF($N2262&lt;&gt;"OK","",N(INDEX('Menu Pricing'!$F$7:$F$56,$O2262))+N(INDEX('Menu Pricing'!$G$7:$G$56,$O2262))+N(INDEX('Menu Pricing'!$J$7:$J$56,$O2262)))</f>
        <v/>
      </c>
      <c r="K2262" s="71">
        <f>IF($N2262&lt;&gt;"OK","",$D2262*$J2262)</f>
        <v/>
      </c>
      <c r="L2262" s="71">
        <f>IF($N2262&lt;&gt;"OK","",$I2262-$K2262)</f>
        <v/>
      </c>
      <c r="M2262" s="71">
        <f>IF($N2262&lt;&gt;"OK","",$D2262*N(INDEX('Menu Pricing'!$F$7:$F$56,$O2262)))</f>
        <v/>
      </c>
      <c r="N2262" s="80">
        <f>IF(AND($B2262="",$C2262="",$D2262=""),"",IF(NOT(ISNUMBER($B2262)),"Enter a valid date",IF($C2262="","Pick a menu item",IF($O2262="","Item not on Menu Pricing",IF(N($D2262)&lt;=0,"Qty must be above 0",IF($H2262="","No price on menu","OK"))))))</f>
        <v/>
      </c>
      <c r="O2262" s="13">
        <f>IF($C2262="","",IFERROR(MATCH($C2262,'Menu Pricing'!$B$7:$B$56,0),""))</f>
        <v/>
      </c>
    </row>
    <row r="2263" ht="17" customHeight="1">
      <c r="B2263" s="66" t="n"/>
      <c r="C2263" s="60" t="n"/>
      <c r="D2263" s="86" t="n"/>
      <c r="E2263" s="63" t="n"/>
      <c r="F2263" s="60" t="n"/>
      <c r="G2263" s="60" t="n"/>
      <c r="H2263" s="71">
        <f>IF(OR($C2263="",$D2263=""),"",IF(ISNUMBER($E2263),$E2263,IF($O2263="","",IF(N(INDEX('Menu Pricing'!$O$7:$O$56,$O2263))&gt;0,INDEX('Menu Pricing'!$O$7:$O$56,$O2263),""))))</f>
        <v/>
      </c>
      <c r="I2263" s="71">
        <f>IF($N2263&lt;&gt;"OK","",$D2263*$H2263)</f>
        <v/>
      </c>
      <c r="J2263" s="71">
        <f>IF($N2263&lt;&gt;"OK","",N(INDEX('Menu Pricing'!$F$7:$F$56,$O2263))+N(INDEX('Menu Pricing'!$G$7:$G$56,$O2263))+N(INDEX('Menu Pricing'!$J$7:$J$56,$O2263)))</f>
        <v/>
      </c>
      <c r="K2263" s="71">
        <f>IF($N2263&lt;&gt;"OK","",$D2263*$J2263)</f>
        <v/>
      </c>
      <c r="L2263" s="71">
        <f>IF($N2263&lt;&gt;"OK","",$I2263-$K2263)</f>
        <v/>
      </c>
      <c r="M2263" s="71">
        <f>IF($N2263&lt;&gt;"OK","",$D2263*N(INDEX('Menu Pricing'!$F$7:$F$56,$O2263)))</f>
        <v/>
      </c>
      <c r="N2263" s="80">
        <f>IF(AND($B2263="",$C2263="",$D2263=""),"",IF(NOT(ISNUMBER($B2263)),"Enter a valid date",IF($C2263="","Pick a menu item",IF($O2263="","Item not on Menu Pricing",IF(N($D2263)&lt;=0,"Qty must be above 0",IF($H2263="","No price on menu","OK"))))))</f>
        <v/>
      </c>
      <c r="O2263" s="13">
        <f>IF($C2263="","",IFERROR(MATCH($C2263,'Menu Pricing'!$B$7:$B$56,0),""))</f>
        <v/>
      </c>
    </row>
    <row r="2264" ht="17" customHeight="1">
      <c r="B2264" s="66" t="n"/>
      <c r="C2264" s="60" t="n"/>
      <c r="D2264" s="86" t="n"/>
      <c r="E2264" s="63" t="n"/>
      <c r="F2264" s="60" t="n"/>
      <c r="G2264" s="60" t="n"/>
      <c r="H2264" s="71">
        <f>IF(OR($C2264="",$D2264=""),"",IF(ISNUMBER($E2264),$E2264,IF($O2264="","",IF(N(INDEX('Menu Pricing'!$O$7:$O$56,$O2264))&gt;0,INDEX('Menu Pricing'!$O$7:$O$56,$O2264),""))))</f>
        <v/>
      </c>
      <c r="I2264" s="71">
        <f>IF($N2264&lt;&gt;"OK","",$D2264*$H2264)</f>
        <v/>
      </c>
      <c r="J2264" s="71">
        <f>IF($N2264&lt;&gt;"OK","",N(INDEX('Menu Pricing'!$F$7:$F$56,$O2264))+N(INDEX('Menu Pricing'!$G$7:$G$56,$O2264))+N(INDEX('Menu Pricing'!$J$7:$J$56,$O2264)))</f>
        <v/>
      </c>
      <c r="K2264" s="71">
        <f>IF($N2264&lt;&gt;"OK","",$D2264*$J2264)</f>
        <v/>
      </c>
      <c r="L2264" s="71">
        <f>IF($N2264&lt;&gt;"OK","",$I2264-$K2264)</f>
        <v/>
      </c>
      <c r="M2264" s="71">
        <f>IF($N2264&lt;&gt;"OK","",$D2264*N(INDEX('Menu Pricing'!$F$7:$F$56,$O2264)))</f>
        <v/>
      </c>
      <c r="N2264" s="80">
        <f>IF(AND($B2264="",$C2264="",$D2264=""),"",IF(NOT(ISNUMBER($B2264)),"Enter a valid date",IF($C2264="","Pick a menu item",IF($O2264="","Item not on Menu Pricing",IF(N($D2264)&lt;=0,"Qty must be above 0",IF($H2264="","No price on menu","OK"))))))</f>
        <v/>
      </c>
      <c r="O2264" s="13">
        <f>IF($C2264="","",IFERROR(MATCH($C2264,'Menu Pricing'!$B$7:$B$56,0),""))</f>
        <v/>
      </c>
    </row>
    <row r="2265" ht="17" customHeight="1">
      <c r="B2265" s="66" t="n"/>
      <c r="C2265" s="60" t="n"/>
      <c r="D2265" s="86" t="n"/>
      <c r="E2265" s="63" t="n"/>
      <c r="F2265" s="60" t="n"/>
      <c r="G2265" s="60" t="n"/>
      <c r="H2265" s="71">
        <f>IF(OR($C2265="",$D2265=""),"",IF(ISNUMBER($E2265),$E2265,IF($O2265="","",IF(N(INDEX('Menu Pricing'!$O$7:$O$56,$O2265))&gt;0,INDEX('Menu Pricing'!$O$7:$O$56,$O2265),""))))</f>
        <v/>
      </c>
      <c r="I2265" s="71">
        <f>IF($N2265&lt;&gt;"OK","",$D2265*$H2265)</f>
        <v/>
      </c>
      <c r="J2265" s="71">
        <f>IF($N2265&lt;&gt;"OK","",N(INDEX('Menu Pricing'!$F$7:$F$56,$O2265))+N(INDEX('Menu Pricing'!$G$7:$G$56,$O2265))+N(INDEX('Menu Pricing'!$J$7:$J$56,$O2265)))</f>
        <v/>
      </c>
      <c r="K2265" s="71">
        <f>IF($N2265&lt;&gt;"OK","",$D2265*$J2265)</f>
        <v/>
      </c>
      <c r="L2265" s="71">
        <f>IF($N2265&lt;&gt;"OK","",$I2265-$K2265)</f>
        <v/>
      </c>
      <c r="M2265" s="71">
        <f>IF($N2265&lt;&gt;"OK","",$D2265*N(INDEX('Menu Pricing'!$F$7:$F$56,$O2265)))</f>
        <v/>
      </c>
      <c r="N2265" s="80">
        <f>IF(AND($B2265="",$C2265="",$D2265=""),"",IF(NOT(ISNUMBER($B2265)),"Enter a valid date",IF($C2265="","Pick a menu item",IF($O2265="","Item not on Menu Pricing",IF(N($D2265)&lt;=0,"Qty must be above 0",IF($H2265="","No price on menu","OK"))))))</f>
        <v/>
      </c>
      <c r="O2265" s="13">
        <f>IF($C2265="","",IFERROR(MATCH($C2265,'Menu Pricing'!$B$7:$B$56,0),""))</f>
        <v/>
      </c>
    </row>
    <row r="2266" ht="17" customHeight="1">
      <c r="B2266" s="66" t="n"/>
      <c r="C2266" s="60" t="n"/>
      <c r="D2266" s="86" t="n"/>
      <c r="E2266" s="63" t="n"/>
      <c r="F2266" s="60" t="n"/>
      <c r="G2266" s="60" t="n"/>
      <c r="H2266" s="71">
        <f>IF(OR($C2266="",$D2266=""),"",IF(ISNUMBER($E2266),$E2266,IF($O2266="","",IF(N(INDEX('Menu Pricing'!$O$7:$O$56,$O2266))&gt;0,INDEX('Menu Pricing'!$O$7:$O$56,$O2266),""))))</f>
        <v/>
      </c>
      <c r="I2266" s="71">
        <f>IF($N2266&lt;&gt;"OK","",$D2266*$H2266)</f>
        <v/>
      </c>
      <c r="J2266" s="71">
        <f>IF($N2266&lt;&gt;"OK","",N(INDEX('Menu Pricing'!$F$7:$F$56,$O2266))+N(INDEX('Menu Pricing'!$G$7:$G$56,$O2266))+N(INDEX('Menu Pricing'!$J$7:$J$56,$O2266)))</f>
        <v/>
      </c>
      <c r="K2266" s="71">
        <f>IF($N2266&lt;&gt;"OK","",$D2266*$J2266)</f>
        <v/>
      </c>
      <c r="L2266" s="71">
        <f>IF($N2266&lt;&gt;"OK","",$I2266-$K2266)</f>
        <v/>
      </c>
      <c r="M2266" s="71">
        <f>IF($N2266&lt;&gt;"OK","",$D2266*N(INDEX('Menu Pricing'!$F$7:$F$56,$O2266)))</f>
        <v/>
      </c>
      <c r="N2266" s="80">
        <f>IF(AND($B2266="",$C2266="",$D2266=""),"",IF(NOT(ISNUMBER($B2266)),"Enter a valid date",IF($C2266="","Pick a menu item",IF($O2266="","Item not on Menu Pricing",IF(N($D2266)&lt;=0,"Qty must be above 0",IF($H2266="","No price on menu","OK"))))))</f>
        <v/>
      </c>
      <c r="O2266" s="13">
        <f>IF($C2266="","",IFERROR(MATCH($C2266,'Menu Pricing'!$B$7:$B$56,0),""))</f>
        <v/>
      </c>
    </row>
    <row r="2267" ht="17" customHeight="1">
      <c r="B2267" s="66" t="n"/>
      <c r="C2267" s="60" t="n"/>
      <c r="D2267" s="86" t="n"/>
      <c r="E2267" s="63" t="n"/>
      <c r="F2267" s="60" t="n"/>
      <c r="G2267" s="60" t="n"/>
      <c r="H2267" s="71">
        <f>IF(OR($C2267="",$D2267=""),"",IF(ISNUMBER($E2267),$E2267,IF($O2267="","",IF(N(INDEX('Menu Pricing'!$O$7:$O$56,$O2267))&gt;0,INDEX('Menu Pricing'!$O$7:$O$56,$O2267),""))))</f>
        <v/>
      </c>
      <c r="I2267" s="71">
        <f>IF($N2267&lt;&gt;"OK","",$D2267*$H2267)</f>
        <v/>
      </c>
      <c r="J2267" s="71">
        <f>IF($N2267&lt;&gt;"OK","",N(INDEX('Menu Pricing'!$F$7:$F$56,$O2267))+N(INDEX('Menu Pricing'!$G$7:$G$56,$O2267))+N(INDEX('Menu Pricing'!$J$7:$J$56,$O2267)))</f>
        <v/>
      </c>
      <c r="K2267" s="71">
        <f>IF($N2267&lt;&gt;"OK","",$D2267*$J2267)</f>
        <v/>
      </c>
      <c r="L2267" s="71">
        <f>IF($N2267&lt;&gt;"OK","",$I2267-$K2267)</f>
        <v/>
      </c>
      <c r="M2267" s="71">
        <f>IF($N2267&lt;&gt;"OK","",$D2267*N(INDEX('Menu Pricing'!$F$7:$F$56,$O2267)))</f>
        <v/>
      </c>
      <c r="N2267" s="80">
        <f>IF(AND($B2267="",$C2267="",$D2267=""),"",IF(NOT(ISNUMBER($B2267)),"Enter a valid date",IF($C2267="","Pick a menu item",IF($O2267="","Item not on Menu Pricing",IF(N($D2267)&lt;=0,"Qty must be above 0",IF($H2267="","No price on menu","OK"))))))</f>
        <v/>
      </c>
      <c r="O2267" s="13">
        <f>IF($C2267="","",IFERROR(MATCH($C2267,'Menu Pricing'!$B$7:$B$56,0),""))</f>
        <v/>
      </c>
    </row>
    <row r="2268" ht="17" customHeight="1">
      <c r="B2268" s="66" t="n"/>
      <c r="C2268" s="60" t="n"/>
      <c r="D2268" s="86" t="n"/>
      <c r="E2268" s="63" t="n"/>
      <c r="F2268" s="60" t="n"/>
      <c r="G2268" s="60" t="n"/>
      <c r="H2268" s="71">
        <f>IF(OR($C2268="",$D2268=""),"",IF(ISNUMBER($E2268),$E2268,IF($O2268="","",IF(N(INDEX('Menu Pricing'!$O$7:$O$56,$O2268))&gt;0,INDEX('Menu Pricing'!$O$7:$O$56,$O2268),""))))</f>
        <v/>
      </c>
      <c r="I2268" s="71">
        <f>IF($N2268&lt;&gt;"OK","",$D2268*$H2268)</f>
        <v/>
      </c>
      <c r="J2268" s="71">
        <f>IF($N2268&lt;&gt;"OK","",N(INDEX('Menu Pricing'!$F$7:$F$56,$O2268))+N(INDEX('Menu Pricing'!$G$7:$G$56,$O2268))+N(INDEX('Menu Pricing'!$J$7:$J$56,$O2268)))</f>
        <v/>
      </c>
      <c r="K2268" s="71">
        <f>IF($N2268&lt;&gt;"OK","",$D2268*$J2268)</f>
        <v/>
      </c>
      <c r="L2268" s="71">
        <f>IF($N2268&lt;&gt;"OK","",$I2268-$K2268)</f>
        <v/>
      </c>
      <c r="M2268" s="71">
        <f>IF($N2268&lt;&gt;"OK","",$D2268*N(INDEX('Menu Pricing'!$F$7:$F$56,$O2268)))</f>
        <v/>
      </c>
      <c r="N2268" s="80">
        <f>IF(AND($B2268="",$C2268="",$D2268=""),"",IF(NOT(ISNUMBER($B2268)),"Enter a valid date",IF($C2268="","Pick a menu item",IF($O2268="","Item not on Menu Pricing",IF(N($D2268)&lt;=0,"Qty must be above 0",IF($H2268="","No price on menu","OK"))))))</f>
        <v/>
      </c>
      <c r="O2268" s="13">
        <f>IF($C2268="","",IFERROR(MATCH($C2268,'Menu Pricing'!$B$7:$B$56,0),""))</f>
        <v/>
      </c>
    </row>
    <row r="2269" ht="17" customHeight="1">
      <c r="B2269" s="66" t="n"/>
      <c r="C2269" s="60" t="n"/>
      <c r="D2269" s="86" t="n"/>
      <c r="E2269" s="63" t="n"/>
      <c r="F2269" s="60" t="n"/>
      <c r="G2269" s="60" t="n"/>
      <c r="H2269" s="71">
        <f>IF(OR($C2269="",$D2269=""),"",IF(ISNUMBER($E2269),$E2269,IF($O2269="","",IF(N(INDEX('Menu Pricing'!$O$7:$O$56,$O2269))&gt;0,INDEX('Menu Pricing'!$O$7:$O$56,$O2269),""))))</f>
        <v/>
      </c>
      <c r="I2269" s="71">
        <f>IF($N2269&lt;&gt;"OK","",$D2269*$H2269)</f>
        <v/>
      </c>
      <c r="J2269" s="71">
        <f>IF($N2269&lt;&gt;"OK","",N(INDEX('Menu Pricing'!$F$7:$F$56,$O2269))+N(INDEX('Menu Pricing'!$G$7:$G$56,$O2269))+N(INDEX('Menu Pricing'!$J$7:$J$56,$O2269)))</f>
        <v/>
      </c>
      <c r="K2269" s="71">
        <f>IF($N2269&lt;&gt;"OK","",$D2269*$J2269)</f>
        <v/>
      </c>
      <c r="L2269" s="71">
        <f>IF($N2269&lt;&gt;"OK","",$I2269-$K2269)</f>
        <v/>
      </c>
      <c r="M2269" s="71">
        <f>IF($N2269&lt;&gt;"OK","",$D2269*N(INDEX('Menu Pricing'!$F$7:$F$56,$O2269)))</f>
        <v/>
      </c>
      <c r="N2269" s="80">
        <f>IF(AND($B2269="",$C2269="",$D2269=""),"",IF(NOT(ISNUMBER($B2269)),"Enter a valid date",IF($C2269="","Pick a menu item",IF($O2269="","Item not on Menu Pricing",IF(N($D2269)&lt;=0,"Qty must be above 0",IF($H2269="","No price on menu","OK"))))))</f>
        <v/>
      </c>
      <c r="O2269" s="13">
        <f>IF($C2269="","",IFERROR(MATCH($C2269,'Menu Pricing'!$B$7:$B$56,0),""))</f>
        <v/>
      </c>
    </row>
    <row r="2270" ht="17" customHeight="1">
      <c r="B2270" s="66" t="n"/>
      <c r="C2270" s="60" t="n"/>
      <c r="D2270" s="86" t="n"/>
      <c r="E2270" s="63" t="n"/>
      <c r="F2270" s="60" t="n"/>
      <c r="G2270" s="60" t="n"/>
      <c r="H2270" s="71">
        <f>IF(OR($C2270="",$D2270=""),"",IF(ISNUMBER($E2270),$E2270,IF($O2270="","",IF(N(INDEX('Menu Pricing'!$O$7:$O$56,$O2270))&gt;0,INDEX('Menu Pricing'!$O$7:$O$56,$O2270),""))))</f>
        <v/>
      </c>
      <c r="I2270" s="71">
        <f>IF($N2270&lt;&gt;"OK","",$D2270*$H2270)</f>
        <v/>
      </c>
      <c r="J2270" s="71">
        <f>IF($N2270&lt;&gt;"OK","",N(INDEX('Menu Pricing'!$F$7:$F$56,$O2270))+N(INDEX('Menu Pricing'!$G$7:$G$56,$O2270))+N(INDEX('Menu Pricing'!$J$7:$J$56,$O2270)))</f>
        <v/>
      </c>
      <c r="K2270" s="71">
        <f>IF($N2270&lt;&gt;"OK","",$D2270*$J2270)</f>
        <v/>
      </c>
      <c r="L2270" s="71">
        <f>IF($N2270&lt;&gt;"OK","",$I2270-$K2270)</f>
        <v/>
      </c>
      <c r="M2270" s="71">
        <f>IF($N2270&lt;&gt;"OK","",$D2270*N(INDEX('Menu Pricing'!$F$7:$F$56,$O2270)))</f>
        <v/>
      </c>
      <c r="N2270" s="80">
        <f>IF(AND($B2270="",$C2270="",$D2270=""),"",IF(NOT(ISNUMBER($B2270)),"Enter a valid date",IF($C2270="","Pick a menu item",IF($O2270="","Item not on Menu Pricing",IF(N($D2270)&lt;=0,"Qty must be above 0",IF($H2270="","No price on menu","OK"))))))</f>
        <v/>
      </c>
      <c r="O2270" s="13">
        <f>IF($C2270="","",IFERROR(MATCH($C2270,'Menu Pricing'!$B$7:$B$56,0),""))</f>
        <v/>
      </c>
    </row>
    <row r="2271" ht="17" customHeight="1">
      <c r="B2271" s="66" t="n"/>
      <c r="C2271" s="60" t="n"/>
      <c r="D2271" s="86" t="n"/>
      <c r="E2271" s="63" t="n"/>
      <c r="F2271" s="60" t="n"/>
      <c r="G2271" s="60" t="n"/>
      <c r="H2271" s="71">
        <f>IF(OR($C2271="",$D2271=""),"",IF(ISNUMBER($E2271),$E2271,IF($O2271="","",IF(N(INDEX('Menu Pricing'!$O$7:$O$56,$O2271))&gt;0,INDEX('Menu Pricing'!$O$7:$O$56,$O2271),""))))</f>
        <v/>
      </c>
      <c r="I2271" s="71">
        <f>IF($N2271&lt;&gt;"OK","",$D2271*$H2271)</f>
        <v/>
      </c>
      <c r="J2271" s="71">
        <f>IF($N2271&lt;&gt;"OK","",N(INDEX('Menu Pricing'!$F$7:$F$56,$O2271))+N(INDEX('Menu Pricing'!$G$7:$G$56,$O2271))+N(INDEX('Menu Pricing'!$J$7:$J$56,$O2271)))</f>
        <v/>
      </c>
      <c r="K2271" s="71">
        <f>IF($N2271&lt;&gt;"OK","",$D2271*$J2271)</f>
        <v/>
      </c>
      <c r="L2271" s="71">
        <f>IF($N2271&lt;&gt;"OK","",$I2271-$K2271)</f>
        <v/>
      </c>
      <c r="M2271" s="71">
        <f>IF($N2271&lt;&gt;"OK","",$D2271*N(INDEX('Menu Pricing'!$F$7:$F$56,$O2271)))</f>
        <v/>
      </c>
      <c r="N2271" s="80">
        <f>IF(AND($B2271="",$C2271="",$D2271=""),"",IF(NOT(ISNUMBER($B2271)),"Enter a valid date",IF($C2271="","Pick a menu item",IF($O2271="","Item not on Menu Pricing",IF(N($D2271)&lt;=0,"Qty must be above 0",IF($H2271="","No price on menu","OK"))))))</f>
        <v/>
      </c>
      <c r="O2271" s="13">
        <f>IF($C2271="","",IFERROR(MATCH($C2271,'Menu Pricing'!$B$7:$B$56,0),""))</f>
        <v/>
      </c>
    </row>
    <row r="2272" ht="17" customHeight="1">
      <c r="B2272" s="66" t="n"/>
      <c r="C2272" s="60" t="n"/>
      <c r="D2272" s="86" t="n"/>
      <c r="E2272" s="63" t="n"/>
      <c r="F2272" s="60" t="n"/>
      <c r="G2272" s="60" t="n"/>
      <c r="H2272" s="71">
        <f>IF(OR($C2272="",$D2272=""),"",IF(ISNUMBER($E2272),$E2272,IF($O2272="","",IF(N(INDEX('Menu Pricing'!$O$7:$O$56,$O2272))&gt;0,INDEX('Menu Pricing'!$O$7:$O$56,$O2272),""))))</f>
        <v/>
      </c>
      <c r="I2272" s="71">
        <f>IF($N2272&lt;&gt;"OK","",$D2272*$H2272)</f>
        <v/>
      </c>
      <c r="J2272" s="71">
        <f>IF($N2272&lt;&gt;"OK","",N(INDEX('Menu Pricing'!$F$7:$F$56,$O2272))+N(INDEX('Menu Pricing'!$G$7:$G$56,$O2272))+N(INDEX('Menu Pricing'!$J$7:$J$56,$O2272)))</f>
        <v/>
      </c>
      <c r="K2272" s="71">
        <f>IF($N2272&lt;&gt;"OK","",$D2272*$J2272)</f>
        <v/>
      </c>
      <c r="L2272" s="71">
        <f>IF($N2272&lt;&gt;"OK","",$I2272-$K2272)</f>
        <v/>
      </c>
      <c r="M2272" s="71">
        <f>IF($N2272&lt;&gt;"OK","",$D2272*N(INDEX('Menu Pricing'!$F$7:$F$56,$O2272)))</f>
        <v/>
      </c>
      <c r="N2272" s="80">
        <f>IF(AND($B2272="",$C2272="",$D2272=""),"",IF(NOT(ISNUMBER($B2272)),"Enter a valid date",IF($C2272="","Pick a menu item",IF($O2272="","Item not on Menu Pricing",IF(N($D2272)&lt;=0,"Qty must be above 0",IF($H2272="","No price on menu","OK"))))))</f>
        <v/>
      </c>
      <c r="O2272" s="13">
        <f>IF($C2272="","",IFERROR(MATCH($C2272,'Menu Pricing'!$B$7:$B$56,0),""))</f>
        <v/>
      </c>
    </row>
    <row r="2273" ht="17" customHeight="1">
      <c r="B2273" s="66" t="n"/>
      <c r="C2273" s="60" t="n"/>
      <c r="D2273" s="86" t="n"/>
      <c r="E2273" s="63" t="n"/>
      <c r="F2273" s="60" t="n"/>
      <c r="G2273" s="60" t="n"/>
      <c r="H2273" s="71">
        <f>IF(OR($C2273="",$D2273=""),"",IF(ISNUMBER($E2273),$E2273,IF($O2273="","",IF(N(INDEX('Menu Pricing'!$O$7:$O$56,$O2273))&gt;0,INDEX('Menu Pricing'!$O$7:$O$56,$O2273),""))))</f>
        <v/>
      </c>
      <c r="I2273" s="71">
        <f>IF($N2273&lt;&gt;"OK","",$D2273*$H2273)</f>
        <v/>
      </c>
      <c r="J2273" s="71">
        <f>IF($N2273&lt;&gt;"OK","",N(INDEX('Menu Pricing'!$F$7:$F$56,$O2273))+N(INDEX('Menu Pricing'!$G$7:$G$56,$O2273))+N(INDEX('Menu Pricing'!$J$7:$J$56,$O2273)))</f>
        <v/>
      </c>
      <c r="K2273" s="71">
        <f>IF($N2273&lt;&gt;"OK","",$D2273*$J2273)</f>
        <v/>
      </c>
      <c r="L2273" s="71">
        <f>IF($N2273&lt;&gt;"OK","",$I2273-$K2273)</f>
        <v/>
      </c>
      <c r="M2273" s="71">
        <f>IF($N2273&lt;&gt;"OK","",$D2273*N(INDEX('Menu Pricing'!$F$7:$F$56,$O2273)))</f>
        <v/>
      </c>
      <c r="N2273" s="80">
        <f>IF(AND($B2273="",$C2273="",$D2273=""),"",IF(NOT(ISNUMBER($B2273)),"Enter a valid date",IF($C2273="","Pick a menu item",IF($O2273="","Item not on Menu Pricing",IF(N($D2273)&lt;=0,"Qty must be above 0",IF($H2273="","No price on menu","OK"))))))</f>
        <v/>
      </c>
      <c r="O2273" s="13">
        <f>IF($C2273="","",IFERROR(MATCH($C2273,'Menu Pricing'!$B$7:$B$56,0),""))</f>
        <v/>
      </c>
    </row>
    <row r="2274" ht="17" customHeight="1">
      <c r="B2274" s="66" t="n"/>
      <c r="C2274" s="60" t="n"/>
      <c r="D2274" s="86" t="n"/>
      <c r="E2274" s="63" t="n"/>
      <c r="F2274" s="60" t="n"/>
      <c r="G2274" s="60" t="n"/>
      <c r="H2274" s="71">
        <f>IF(OR($C2274="",$D2274=""),"",IF(ISNUMBER($E2274),$E2274,IF($O2274="","",IF(N(INDEX('Menu Pricing'!$O$7:$O$56,$O2274))&gt;0,INDEX('Menu Pricing'!$O$7:$O$56,$O2274),""))))</f>
        <v/>
      </c>
      <c r="I2274" s="71">
        <f>IF($N2274&lt;&gt;"OK","",$D2274*$H2274)</f>
        <v/>
      </c>
      <c r="J2274" s="71">
        <f>IF($N2274&lt;&gt;"OK","",N(INDEX('Menu Pricing'!$F$7:$F$56,$O2274))+N(INDEX('Menu Pricing'!$G$7:$G$56,$O2274))+N(INDEX('Menu Pricing'!$J$7:$J$56,$O2274)))</f>
        <v/>
      </c>
      <c r="K2274" s="71">
        <f>IF($N2274&lt;&gt;"OK","",$D2274*$J2274)</f>
        <v/>
      </c>
      <c r="L2274" s="71">
        <f>IF($N2274&lt;&gt;"OK","",$I2274-$K2274)</f>
        <v/>
      </c>
      <c r="M2274" s="71">
        <f>IF($N2274&lt;&gt;"OK","",$D2274*N(INDEX('Menu Pricing'!$F$7:$F$56,$O2274)))</f>
        <v/>
      </c>
      <c r="N2274" s="80">
        <f>IF(AND($B2274="",$C2274="",$D2274=""),"",IF(NOT(ISNUMBER($B2274)),"Enter a valid date",IF($C2274="","Pick a menu item",IF($O2274="","Item not on Menu Pricing",IF(N($D2274)&lt;=0,"Qty must be above 0",IF($H2274="","No price on menu","OK"))))))</f>
        <v/>
      </c>
      <c r="O2274" s="13">
        <f>IF($C2274="","",IFERROR(MATCH($C2274,'Menu Pricing'!$B$7:$B$56,0),""))</f>
        <v/>
      </c>
    </row>
    <row r="2275" ht="17" customHeight="1">
      <c r="B2275" s="66" t="n"/>
      <c r="C2275" s="60" t="n"/>
      <c r="D2275" s="86" t="n"/>
      <c r="E2275" s="63" t="n"/>
      <c r="F2275" s="60" t="n"/>
      <c r="G2275" s="60" t="n"/>
      <c r="H2275" s="71">
        <f>IF(OR($C2275="",$D2275=""),"",IF(ISNUMBER($E2275),$E2275,IF($O2275="","",IF(N(INDEX('Menu Pricing'!$O$7:$O$56,$O2275))&gt;0,INDEX('Menu Pricing'!$O$7:$O$56,$O2275),""))))</f>
        <v/>
      </c>
      <c r="I2275" s="71">
        <f>IF($N2275&lt;&gt;"OK","",$D2275*$H2275)</f>
        <v/>
      </c>
      <c r="J2275" s="71">
        <f>IF($N2275&lt;&gt;"OK","",N(INDEX('Menu Pricing'!$F$7:$F$56,$O2275))+N(INDEX('Menu Pricing'!$G$7:$G$56,$O2275))+N(INDEX('Menu Pricing'!$J$7:$J$56,$O2275)))</f>
        <v/>
      </c>
      <c r="K2275" s="71">
        <f>IF($N2275&lt;&gt;"OK","",$D2275*$J2275)</f>
        <v/>
      </c>
      <c r="L2275" s="71">
        <f>IF($N2275&lt;&gt;"OK","",$I2275-$K2275)</f>
        <v/>
      </c>
      <c r="M2275" s="71">
        <f>IF($N2275&lt;&gt;"OK","",$D2275*N(INDEX('Menu Pricing'!$F$7:$F$56,$O2275)))</f>
        <v/>
      </c>
      <c r="N2275" s="80">
        <f>IF(AND($B2275="",$C2275="",$D2275=""),"",IF(NOT(ISNUMBER($B2275)),"Enter a valid date",IF($C2275="","Pick a menu item",IF($O2275="","Item not on Menu Pricing",IF(N($D2275)&lt;=0,"Qty must be above 0",IF($H2275="","No price on menu","OK"))))))</f>
        <v/>
      </c>
      <c r="O2275" s="13">
        <f>IF($C2275="","",IFERROR(MATCH($C2275,'Menu Pricing'!$B$7:$B$56,0),""))</f>
        <v/>
      </c>
    </row>
    <row r="2276" ht="17" customHeight="1">
      <c r="B2276" s="66" t="n"/>
      <c r="C2276" s="60" t="n"/>
      <c r="D2276" s="86" t="n"/>
      <c r="E2276" s="63" t="n"/>
      <c r="F2276" s="60" t="n"/>
      <c r="G2276" s="60" t="n"/>
      <c r="H2276" s="71">
        <f>IF(OR($C2276="",$D2276=""),"",IF(ISNUMBER($E2276),$E2276,IF($O2276="","",IF(N(INDEX('Menu Pricing'!$O$7:$O$56,$O2276))&gt;0,INDEX('Menu Pricing'!$O$7:$O$56,$O2276),""))))</f>
        <v/>
      </c>
      <c r="I2276" s="71">
        <f>IF($N2276&lt;&gt;"OK","",$D2276*$H2276)</f>
        <v/>
      </c>
      <c r="J2276" s="71">
        <f>IF($N2276&lt;&gt;"OK","",N(INDEX('Menu Pricing'!$F$7:$F$56,$O2276))+N(INDEX('Menu Pricing'!$G$7:$G$56,$O2276))+N(INDEX('Menu Pricing'!$J$7:$J$56,$O2276)))</f>
        <v/>
      </c>
      <c r="K2276" s="71">
        <f>IF($N2276&lt;&gt;"OK","",$D2276*$J2276)</f>
        <v/>
      </c>
      <c r="L2276" s="71">
        <f>IF($N2276&lt;&gt;"OK","",$I2276-$K2276)</f>
        <v/>
      </c>
      <c r="M2276" s="71">
        <f>IF($N2276&lt;&gt;"OK","",$D2276*N(INDEX('Menu Pricing'!$F$7:$F$56,$O2276)))</f>
        <v/>
      </c>
      <c r="N2276" s="80">
        <f>IF(AND($B2276="",$C2276="",$D2276=""),"",IF(NOT(ISNUMBER($B2276)),"Enter a valid date",IF($C2276="","Pick a menu item",IF($O2276="","Item not on Menu Pricing",IF(N($D2276)&lt;=0,"Qty must be above 0",IF($H2276="","No price on menu","OK"))))))</f>
        <v/>
      </c>
      <c r="O2276" s="13">
        <f>IF($C2276="","",IFERROR(MATCH($C2276,'Menu Pricing'!$B$7:$B$56,0),""))</f>
        <v/>
      </c>
    </row>
    <row r="2277" ht="17" customHeight="1">
      <c r="B2277" s="66" t="n"/>
      <c r="C2277" s="60" t="n"/>
      <c r="D2277" s="86" t="n"/>
      <c r="E2277" s="63" t="n"/>
      <c r="F2277" s="60" t="n"/>
      <c r="G2277" s="60" t="n"/>
      <c r="H2277" s="71">
        <f>IF(OR($C2277="",$D2277=""),"",IF(ISNUMBER($E2277),$E2277,IF($O2277="","",IF(N(INDEX('Menu Pricing'!$O$7:$O$56,$O2277))&gt;0,INDEX('Menu Pricing'!$O$7:$O$56,$O2277),""))))</f>
        <v/>
      </c>
      <c r="I2277" s="71">
        <f>IF($N2277&lt;&gt;"OK","",$D2277*$H2277)</f>
        <v/>
      </c>
      <c r="J2277" s="71">
        <f>IF($N2277&lt;&gt;"OK","",N(INDEX('Menu Pricing'!$F$7:$F$56,$O2277))+N(INDEX('Menu Pricing'!$G$7:$G$56,$O2277))+N(INDEX('Menu Pricing'!$J$7:$J$56,$O2277)))</f>
        <v/>
      </c>
      <c r="K2277" s="71">
        <f>IF($N2277&lt;&gt;"OK","",$D2277*$J2277)</f>
        <v/>
      </c>
      <c r="L2277" s="71">
        <f>IF($N2277&lt;&gt;"OK","",$I2277-$K2277)</f>
        <v/>
      </c>
      <c r="M2277" s="71">
        <f>IF($N2277&lt;&gt;"OK","",$D2277*N(INDEX('Menu Pricing'!$F$7:$F$56,$O2277)))</f>
        <v/>
      </c>
      <c r="N2277" s="80">
        <f>IF(AND($B2277="",$C2277="",$D2277=""),"",IF(NOT(ISNUMBER($B2277)),"Enter a valid date",IF($C2277="","Pick a menu item",IF($O2277="","Item not on Menu Pricing",IF(N($D2277)&lt;=0,"Qty must be above 0",IF($H2277="","No price on menu","OK"))))))</f>
        <v/>
      </c>
      <c r="O2277" s="13">
        <f>IF($C2277="","",IFERROR(MATCH($C2277,'Menu Pricing'!$B$7:$B$56,0),""))</f>
        <v/>
      </c>
    </row>
    <row r="2278" ht="17" customHeight="1">
      <c r="B2278" s="66" t="n"/>
      <c r="C2278" s="60" t="n"/>
      <c r="D2278" s="86" t="n"/>
      <c r="E2278" s="63" t="n"/>
      <c r="F2278" s="60" t="n"/>
      <c r="G2278" s="60" t="n"/>
      <c r="H2278" s="71">
        <f>IF(OR($C2278="",$D2278=""),"",IF(ISNUMBER($E2278),$E2278,IF($O2278="","",IF(N(INDEX('Menu Pricing'!$O$7:$O$56,$O2278))&gt;0,INDEX('Menu Pricing'!$O$7:$O$56,$O2278),""))))</f>
        <v/>
      </c>
      <c r="I2278" s="71">
        <f>IF($N2278&lt;&gt;"OK","",$D2278*$H2278)</f>
        <v/>
      </c>
      <c r="J2278" s="71">
        <f>IF($N2278&lt;&gt;"OK","",N(INDEX('Menu Pricing'!$F$7:$F$56,$O2278))+N(INDEX('Menu Pricing'!$G$7:$G$56,$O2278))+N(INDEX('Menu Pricing'!$J$7:$J$56,$O2278)))</f>
        <v/>
      </c>
      <c r="K2278" s="71">
        <f>IF($N2278&lt;&gt;"OK","",$D2278*$J2278)</f>
        <v/>
      </c>
      <c r="L2278" s="71">
        <f>IF($N2278&lt;&gt;"OK","",$I2278-$K2278)</f>
        <v/>
      </c>
      <c r="M2278" s="71">
        <f>IF($N2278&lt;&gt;"OK","",$D2278*N(INDEX('Menu Pricing'!$F$7:$F$56,$O2278)))</f>
        <v/>
      </c>
      <c r="N2278" s="80">
        <f>IF(AND($B2278="",$C2278="",$D2278=""),"",IF(NOT(ISNUMBER($B2278)),"Enter a valid date",IF($C2278="","Pick a menu item",IF($O2278="","Item not on Menu Pricing",IF(N($D2278)&lt;=0,"Qty must be above 0",IF($H2278="","No price on menu","OK"))))))</f>
        <v/>
      </c>
      <c r="O2278" s="13">
        <f>IF($C2278="","",IFERROR(MATCH($C2278,'Menu Pricing'!$B$7:$B$56,0),""))</f>
        <v/>
      </c>
    </row>
    <row r="2279" ht="17" customHeight="1">
      <c r="B2279" s="66" t="n"/>
      <c r="C2279" s="60" t="n"/>
      <c r="D2279" s="86" t="n"/>
      <c r="E2279" s="63" t="n"/>
      <c r="F2279" s="60" t="n"/>
      <c r="G2279" s="60" t="n"/>
      <c r="H2279" s="71">
        <f>IF(OR($C2279="",$D2279=""),"",IF(ISNUMBER($E2279),$E2279,IF($O2279="","",IF(N(INDEX('Menu Pricing'!$O$7:$O$56,$O2279))&gt;0,INDEX('Menu Pricing'!$O$7:$O$56,$O2279),""))))</f>
        <v/>
      </c>
      <c r="I2279" s="71">
        <f>IF($N2279&lt;&gt;"OK","",$D2279*$H2279)</f>
        <v/>
      </c>
      <c r="J2279" s="71">
        <f>IF($N2279&lt;&gt;"OK","",N(INDEX('Menu Pricing'!$F$7:$F$56,$O2279))+N(INDEX('Menu Pricing'!$G$7:$G$56,$O2279))+N(INDEX('Menu Pricing'!$J$7:$J$56,$O2279)))</f>
        <v/>
      </c>
      <c r="K2279" s="71">
        <f>IF($N2279&lt;&gt;"OK","",$D2279*$J2279)</f>
        <v/>
      </c>
      <c r="L2279" s="71">
        <f>IF($N2279&lt;&gt;"OK","",$I2279-$K2279)</f>
        <v/>
      </c>
      <c r="M2279" s="71">
        <f>IF($N2279&lt;&gt;"OK","",$D2279*N(INDEX('Menu Pricing'!$F$7:$F$56,$O2279)))</f>
        <v/>
      </c>
      <c r="N2279" s="80">
        <f>IF(AND($B2279="",$C2279="",$D2279=""),"",IF(NOT(ISNUMBER($B2279)),"Enter a valid date",IF($C2279="","Pick a menu item",IF($O2279="","Item not on Menu Pricing",IF(N($D2279)&lt;=0,"Qty must be above 0",IF($H2279="","No price on menu","OK"))))))</f>
        <v/>
      </c>
      <c r="O2279" s="13">
        <f>IF($C2279="","",IFERROR(MATCH($C2279,'Menu Pricing'!$B$7:$B$56,0),""))</f>
        <v/>
      </c>
    </row>
    <row r="2280" ht="17" customHeight="1">
      <c r="B2280" s="66" t="n"/>
      <c r="C2280" s="60" t="n"/>
      <c r="D2280" s="86" t="n"/>
      <c r="E2280" s="63" t="n"/>
      <c r="F2280" s="60" t="n"/>
      <c r="G2280" s="60" t="n"/>
      <c r="H2280" s="71">
        <f>IF(OR($C2280="",$D2280=""),"",IF(ISNUMBER($E2280),$E2280,IF($O2280="","",IF(N(INDEX('Menu Pricing'!$O$7:$O$56,$O2280))&gt;0,INDEX('Menu Pricing'!$O$7:$O$56,$O2280),""))))</f>
        <v/>
      </c>
      <c r="I2280" s="71">
        <f>IF($N2280&lt;&gt;"OK","",$D2280*$H2280)</f>
        <v/>
      </c>
      <c r="J2280" s="71">
        <f>IF($N2280&lt;&gt;"OK","",N(INDEX('Menu Pricing'!$F$7:$F$56,$O2280))+N(INDEX('Menu Pricing'!$G$7:$G$56,$O2280))+N(INDEX('Menu Pricing'!$J$7:$J$56,$O2280)))</f>
        <v/>
      </c>
      <c r="K2280" s="71">
        <f>IF($N2280&lt;&gt;"OK","",$D2280*$J2280)</f>
        <v/>
      </c>
      <c r="L2280" s="71">
        <f>IF($N2280&lt;&gt;"OK","",$I2280-$K2280)</f>
        <v/>
      </c>
      <c r="M2280" s="71">
        <f>IF($N2280&lt;&gt;"OK","",$D2280*N(INDEX('Menu Pricing'!$F$7:$F$56,$O2280)))</f>
        <v/>
      </c>
      <c r="N2280" s="80">
        <f>IF(AND($B2280="",$C2280="",$D2280=""),"",IF(NOT(ISNUMBER($B2280)),"Enter a valid date",IF($C2280="","Pick a menu item",IF($O2280="","Item not on Menu Pricing",IF(N($D2280)&lt;=0,"Qty must be above 0",IF($H2280="","No price on menu","OK"))))))</f>
        <v/>
      </c>
      <c r="O2280" s="13">
        <f>IF($C2280="","",IFERROR(MATCH($C2280,'Menu Pricing'!$B$7:$B$56,0),""))</f>
        <v/>
      </c>
    </row>
    <row r="2281" ht="17" customHeight="1">
      <c r="B2281" s="66" t="n"/>
      <c r="C2281" s="60" t="n"/>
      <c r="D2281" s="86" t="n"/>
      <c r="E2281" s="63" t="n"/>
      <c r="F2281" s="60" t="n"/>
      <c r="G2281" s="60" t="n"/>
      <c r="H2281" s="71">
        <f>IF(OR($C2281="",$D2281=""),"",IF(ISNUMBER($E2281),$E2281,IF($O2281="","",IF(N(INDEX('Menu Pricing'!$O$7:$O$56,$O2281))&gt;0,INDEX('Menu Pricing'!$O$7:$O$56,$O2281),""))))</f>
        <v/>
      </c>
      <c r="I2281" s="71">
        <f>IF($N2281&lt;&gt;"OK","",$D2281*$H2281)</f>
        <v/>
      </c>
      <c r="J2281" s="71">
        <f>IF($N2281&lt;&gt;"OK","",N(INDEX('Menu Pricing'!$F$7:$F$56,$O2281))+N(INDEX('Menu Pricing'!$G$7:$G$56,$O2281))+N(INDEX('Menu Pricing'!$J$7:$J$56,$O2281)))</f>
        <v/>
      </c>
      <c r="K2281" s="71">
        <f>IF($N2281&lt;&gt;"OK","",$D2281*$J2281)</f>
        <v/>
      </c>
      <c r="L2281" s="71">
        <f>IF($N2281&lt;&gt;"OK","",$I2281-$K2281)</f>
        <v/>
      </c>
      <c r="M2281" s="71">
        <f>IF($N2281&lt;&gt;"OK","",$D2281*N(INDEX('Menu Pricing'!$F$7:$F$56,$O2281)))</f>
        <v/>
      </c>
      <c r="N2281" s="80">
        <f>IF(AND($B2281="",$C2281="",$D2281=""),"",IF(NOT(ISNUMBER($B2281)),"Enter a valid date",IF($C2281="","Pick a menu item",IF($O2281="","Item not on Menu Pricing",IF(N($D2281)&lt;=0,"Qty must be above 0",IF($H2281="","No price on menu","OK"))))))</f>
        <v/>
      </c>
      <c r="O2281" s="13">
        <f>IF($C2281="","",IFERROR(MATCH($C2281,'Menu Pricing'!$B$7:$B$56,0),""))</f>
        <v/>
      </c>
    </row>
    <row r="2282" ht="17" customHeight="1">
      <c r="B2282" s="66" t="n"/>
      <c r="C2282" s="60" t="n"/>
      <c r="D2282" s="86" t="n"/>
      <c r="E2282" s="63" t="n"/>
      <c r="F2282" s="60" t="n"/>
      <c r="G2282" s="60" t="n"/>
      <c r="H2282" s="71">
        <f>IF(OR($C2282="",$D2282=""),"",IF(ISNUMBER($E2282),$E2282,IF($O2282="","",IF(N(INDEX('Menu Pricing'!$O$7:$O$56,$O2282))&gt;0,INDEX('Menu Pricing'!$O$7:$O$56,$O2282),""))))</f>
        <v/>
      </c>
      <c r="I2282" s="71">
        <f>IF($N2282&lt;&gt;"OK","",$D2282*$H2282)</f>
        <v/>
      </c>
      <c r="J2282" s="71">
        <f>IF($N2282&lt;&gt;"OK","",N(INDEX('Menu Pricing'!$F$7:$F$56,$O2282))+N(INDEX('Menu Pricing'!$G$7:$G$56,$O2282))+N(INDEX('Menu Pricing'!$J$7:$J$56,$O2282)))</f>
        <v/>
      </c>
      <c r="K2282" s="71">
        <f>IF($N2282&lt;&gt;"OK","",$D2282*$J2282)</f>
        <v/>
      </c>
      <c r="L2282" s="71">
        <f>IF($N2282&lt;&gt;"OK","",$I2282-$K2282)</f>
        <v/>
      </c>
      <c r="M2282" s="71">
        <f>IF($N2282&lt;&gt;"OK","",$D2282*N(INDEX('Menu Pricing'!$F$7:$F$56,$O2282)))</f>
        <v/>
      </c>
      <c r="N2282" s="80">
        <f>IF(AND($B2282="",$C2282="",$D2282=""),"",IF(NOT(ISNUMBER($B2282)),"Enter a valid date",IF($C2282="","Pick a menu item",IF($O2282="","Item not on Menu Pricing",IF(N($D2282)&lt;=0,"Qty must be above 0",IF($H2282="","No price on menu","OK"))))))</f>
        <v/>
      </c>
      <c r="O2282" s="13">
        <f>IF($C2282="","",IFERROR(MATCH($C2282,'Menu Pricing'!$B$7:$B$56,0),""))</f>
        <v/>
      </c>
    </row>
    <row r="2283" ht="17" customHeight="1">
      <c r="B2283" s="66" t="n"/>
      <c r="C2283" s="60" t="n"/>
      <c r="D2283" s="86" t="n"/>
      <c r="E2283" s="63" t="n"/>
      <c r="F2283" s="60" t="n"/>
      <c r="G2283" s="60" t="n"/>
      <c r="H2283" s="71">
        <f>IF(OR($C2283="",$D2283=""),"",IF(ISNUMBER($E2283),$E2283,IF($O2283="","",IF(N(INDEX('Menu Pricing'!$O$7:$O$56,$O2283))&gt;0,INDEX('Menu Pricing'!$O$7:$O$56,$O2283),""))))</f>
        <v/>
      </c>
      <c r="I2283" s="71">
        <f>IF($N2283&lt;&gt;"OK","",$D2283*$H2283)</f>
        <v/>
      </c>
      <c r="J2283" s="71">
        <f>IF($N2283&lt;&gt;"OK","",N(INDEX('Menu Pricing'!$F$7:$F$56,$O2283))+N(INDEX('Menu Pricing'!$G$7:$G$56,$O2283))+N(INDEX('Menu Pricing'!$J$7:$J$56,$O2283)))</f>
        <v/>
      </c>
      <c r="K2283" s="71">
        <f>IF($N2283&lt;&gt;"OK","",$D2283*$J2283)</f>
        <v/>
      </c>
      <c r="L2283" s="71">
        <f>IF($N2283&lt;&gt;"OK","",$I2283-$K2283)</f>
        <v/>
      </c>
      <c r="M2283" s="71">
        <f>IF($N2283&lt;&gt;"OK","",$D2283*N(INDEX('Menu Pricing'!$F$7:$F$56,$O2283)))</f>
        <v/>
      </c>
      <c r="N2283" s="80">
        <f>IF(AND($B2283="",$C2283="",$D2283=""),"",IF(NOT(ISNUMBER($B2283)),"Enter a valid date",IF($C2283="","Pick a menu item",IF($O2283="","Item not on Menu Pricing",IF(N($D2283)&lt;=0,"Qty must be above 0",IF($H2283="","No price on menu","OK"))))))</f>
        <v/>
      </c>
      <c r="O2283" s="13">
        <f>IF($C2283="","",IFERROR(MATCH($C2283,'Menu Pricing'!$B$7:$B$56,0),""))</f>
        <v/>
      </c>
    </row>
    <row r="2284" ht="17" customHeight="1">
      <c r="B2284" s="66" t="n"/>
      <c r="C2284" s="60" t="n"/>
      <c r="D2284" s="86" t="n"/>
      <c r="E2284" s="63" t="n"/>
      <c r="F2284" s="60" t="n"/>
      <c r="G2284" s="60" t="n"/>
      <c r="H2284" s="71">
        <f>IF(OR($C2284="",$D2284=""),"",IF(ISNUMBER($E2284),$E2284,IF($O2284="","",IF(N(INDEX('Menu Pricing'!$O$7:$O$56,$O2284))&gt;0,INDEX('Menu Pricing'!$O$7:$O$56,$O2284),""))))</f>
        <v/>
      </c>
      <c r="I2284" s="71">
        <f>IF($N2284&lt;&gt;"OK","",$D2284*$H2284)</f>
        <v/>
      </c>
      <c r="J2284" s="71">
        <f>IF($N2284&lt;&gt;"OK","",N(INDEX('Menu Pricing'!$F$7:$F$56,$O2284))+N(INDEX('Menu Pricing'!$G$7:$G$56,$O2284))+N(INDEX('Menu Pricing'!$J$7:$J$56,$O2284)))</f>
        <v/>
      </c>
      <c r="K2284" s="71">
        <f>IF($N2284&lt;&gt;"OK","",$D2284*$J2284)</f>
        <v/>
      </c>
      <c r="L2284" s="71">
        <f>IF($N2284&lt;&gt;"OK","",$I2284-$K2284)</f>
        <v/>
      </c>
      <c r="M2284" s="71">
        <f>IF($N2284&lt;&gt;"OK","",$D2284*N(INDEX('Menu Pricing'!$F$7:$F$56,$O2284)))</f>
        <v/>
      </c>
      <c r="N2284" s="80">
        <f>IF(AND($B2284="",$C2284="",$D2284=""),"",IF(NOT(ISNUMBER($B2284)),"Enter a valid date",IF($C2284="","Pick a menu item",IF($O2284="","Item not on Menu Pricing",IF(N($D2284)&lt;=0,"Qty must be above 0",IF($H2284="","No price on menu","OK"))))))</f>
        <v/>
      </c>
      <c r="O2284" s="13">
        <f>IF($C2284="","",IFERROR(MATCH($C2284,'Menu Pricing'!$B$7:$B$56,0),""))</f>
        <v/>
      </c>
    </row>
    <row r="2285" ht="17" customHeight="1">
      <c r="B2285" s="66" t="n"/>
      <c r="C2285" s="60" t="n"/>
      <c r="D2285" s="86" t="n"/>
      <c r="E2285" s="63" t="n"/>
      <c r="F2285" s="60" t="n"/>
      <c r="G2285" s="60" t="n"/>
      <c r="H2285" s="71">
        <f>IF(OR($C2285="",$D2285=""),"",IF(ISNUMBER($E2285),$E2285,IF($O2285="","",IF(N(INDEX('Menu Pricing'!$O$7:$O$56,$O2285))&gt;0,INDEX('Menu Pricing'!$O$7:$O$56,$O2285),""))))</f>
        <v/>
      </c>
      <c r="I2285" s="71">
        <f>IF($N2285&lt;&gt;"OK","",$D2285*$H2285)</f>
        <v/>
      </c>
      <c r="J2285" s="71">
        <f>IF($N2285&lt;&gt;"OK","",N(INDEX('Menu Pricing'!$F$7:$F$56,$O2285))+N(INDEX('Menu Pricing'!$G$7:$G$56,$O2285))+N(INDEX('Menu Pricing'!$J$7:$J$56,$O2285)))</f>
        <v/>
      </c>
      <c r="K2285" s="71">
        <f>IF($N2285&lt;&gt;"OK","",$D2285*$J2285)</f>
        <v/>
      </c>
      <c r="L2285" s="71">
        <f>IF($N2285&lt;&gt;"OK","",$I2285-$K2285)</f>
        <v/>
      </c>
      <c r="M2285" s="71">
        <f>IF($N2285&lt;&gt;"OK","",$D2285*N(INDEX('Menu Pricing'!$F$7:$F$56,$O2285)))</f>
        <v/>
      </c>
      <c r="N2285" s="80">
        <f>IF(AND($B2285="",$C2285="",$D2285=""),"",IF(NOT(ISNUMBER($B2285)),"Enter a valid date",IF($C2285="","Pick a menu item",IF($O2285="","Item not on Menu Pricing",IF(N($D2285)&lt;=0,"Qty must be above 0",IF($H2285="","No price on menu","OK"))))))</f>
        <v/>
      </c>
      <c r="O2285" s="13">
        <f>IF($C2285="","",IFERROR(MATCH($C2285,'Menu Pricing'!$B$7:$B$56,0),""))</f>
        <v/>
      </c>
    </row>
    <row r="2286" ht="17" customHeight="1">
      <c r="B2286" s="66" t="n"/>
      <c r="C2286" s="60" t="n"/>
      <c r="D2286" s="86" t="n"/>
      <c r="E2286" s="63" t="n"/>
      <c r="F2286" s="60" t="n"/>
      <c r="G2286" s="60" t="n"/>
      <c r="H2286" s="71">
        <f>IF(OR($C2286="",$D2286=""),"",IF(ISNUMBER($E2286),$E2286,IF($O2286="","",IF(N(INDEX('Menu Pricing'!$O$7:$O$56,$O2286))&gt;0,INDEX('Menu Pricing'!$O$7:$O$56,$O2286),""))))</f>
        <v/>
      </c>
      <c r="I2286" s="71">
        <f>IF($N2286&lt;&gt;"OK","",$D2286*$H2286)</f>
        <v/>
      </c>
      <c r="J2286" s="71">
        <f>IF($N2286&lt;&gt;"OK","",N(INDEX('Menu Pricing'!$F$7:$F$56,$O2286))+N(INDEX('Menu Pricing'!$G$7:$G$56,$O2286))+N(INDEX('Menu Pricing'!$J$7:$J$56,$O2286)))</f>
        <v/>
      </c>
      <c r="K2286" s="71">
        <f>IF($N2286&lt;&gt;"OK","",$D2286*$J2286)</f>
        <v/>
      </c>
      <c r="L2286" s="71">
        <f>IF($N2286&lt;&gt;"OK","",$I2286-$K2286)</f>
        <v/>
      </c>
      <c r="M2286" s="71">
        <f>IF($N2286&lt;&gt;"OK","",$D2286*N(INDEX('Menu Pricing'!$F$7:$F$56,$O2286)))</f>
        <v/>
      </c>
      <c r="N2286" s="80">
        <f>IF(AND($B2286="",$C2286="",$D2286=""),"",IF(NOT(ISNUMBER($B2286)),"Enter a valid date",IF($C2286="","Pick a menu item",IF($O2286="","Item not on Menu Pricing",IF(N($D2286)&lt;=0,"Qty must be above 0",IF($H2286="","No price on menu","OK"))))))</f>
        <v/>
      </c>
      <c r="O2286" s="13">
        <f>IF($C2286="","",IFERROR(MATCH($C2286,'Menu Pricing'!$B$7:$B$56,0),""))</f>
        <v/>
      </c>
    </row>
    <row r="2287" ht="17" customHeight="1">
      <c r="B2287" s="66" t="n"/>
      <c r="C2287" s="60" t="n"/>
      <c r="D2287" s="86" t="n"/>
      <c r="E2287" s="63" t="n"/>
      <c r="F2287" s="60" t="n"/>
      <c r="G2287" s="60" t="n"/>
      <c r="H2287" s="71">
        <f>IF(OR($C2287="",$D2287=""),"",IF(ISNUMBER($E2287),$E2287,IF($O2287="","",IF(N(INDEX('Menu Pricing'!$O$7:$O$56,$O2287))&gt;0,INDEX('Menu Pricing'!$O$7:$O$56,$O2287),""))))</f>
        <v/>
      </c>
      <c r="I2287" s="71">
        <f>IF($N2287&lt;&gt;"OK","",$D2287*$H2287)</f>
        <v/>
      </c>
      <c r="J2287" s="71">
        <f>IF($N2287&lt;&gt;"OK","",N(INDEX('Menu Pricing'!$F$7:$F$56,$O2287))+N(INDEX('Menu Pricing'!$G$7:$G$56,$O2287))+N(INDEX('Menu Pricing'!$J$7:$J$56,$O2287)))</f>
        <v/>
      </c>
      <c r="K2287" s="71">
        <f>IF($N2287&lt;&gt;"OK","",$D2287*$J2287)</f>
        <v/>
      </c>
      <c r="L2287" s="71">
        <f>IF($N2287&lt;&gt;"OK","",$I2287-$K2287)</f>
        <v/>
      </c>
      <c r="M2287" s="71">
        <f>IF($N2287&lt;&gt;"OK","",$D2287*N(INDEX('Menu Pricing'!$F$7:$F$56,$O2287)))</f>
        <v/>
      </c>
      <c r="N2287" s="80">
        <f>IF(AND($B2287="",$C2287="",$D2287=""),"",IF(NOT(ISNUMBER($B2287)),"Enter a valid date",IF($C2287="","Pick a menu item",IF($O2287="","Item not on Menu Pricing",IF(N($D2287)&lt;=0,"Qty must be above 0",IF($H2287="","No price on menu","OK"))))))</f>
        <v/>
      </c>
      <c r="O2287" s="13">
        <f>IF($C2287="","",IFERROR(MATCH($C2287,'Menu Pricing'!$B$7:$B$56,0),""))</f>
        <v/>
      </c>
    </row>
    <row r="2288" ht="17" customHeight="1">
      <c r="B2288" s="66" t="n"/>
      <c r="C2288" s="60" t="n"/>
      <c r="D2288" s="86" t="n"/>
      <c r="E2288" s="63" t="n"/>
      <c r="F2288" s="60" t="n"/>
      <c r="G2288" s="60" t="n"/>
      <c r="H2288" s="71">
        <f>IF(OR($C2288="",$D2288=""),"",IF(ISNUMBER($E2288),$E2288,IF($O2288="","",IF(N(INDEX('Menu Pricing'!$O$7:$O$56,$O2288))&gt;0,INDEX('Menu Pricing'!$O$7:$O$56,$O2288),""))))</f>
        <v/>
      </c>
      <c r="I2288" s="71">
        <f>IF($N2288&lt;&gt;"OK","",$D2288*$H2288)</f>
        <v/>
      </c>
      <c r="J2288" s="71">
        <f>IF($N2288&lt;&gt;"OK","",N(INDEX('Menu Pricing'!$F$7:$F$56,$O2288))+N(INDEX('Menu Pricing'!$G$7:$G$56,$O2288))+N(INDEX('Menu Pricing'!$J$7:$J$56,$O2288)))</f>
        <v/>
      </c>
      <c r="K2288" s="71">
        <f>IF($N2288&lt;&gt;"OK","",$D2288*$J2288)</f>
        <v/>
      </c>
      <c r="L2288" s="71">
        <f>IF($N2288&lt;&gt;"OK","",$I2288-$K2288)</f>
        <v/>
      </c>
      <c r="M2288" s="71">
        <f>IF($N2288&lt;&gt;"OK","",$D2288*N(INDEX('Menu Pricing'!$F$7:$F$56,$O2288)))</f>
        <v/>
      </c>
      <c r="N2288" s="80">
        <f>IF(AND($B2288="",$C2288="",$D2288=""),"",IF(NOT(ISNUMBER($B2288)),"Enter a valid date",IF($C2288="","Pick a menu item",IF($O2288="","Item not on Menu Pricing",IF(N($D2288)&lt;=0,"Qty must be above 0",IF($H2288="","No price on menu","OK"))))))</f>
        <v/>
      </c>
      <c r="O2288" s="13">
        <f>IF($C2288="","",IFERROR(MATCH($C2288,'Menu Pricing'!$B$7:$B$56,0),""))</f>
        <v/>
      </c>
    </row>
    <row r="2289" ht="17" customHeight="1">
      <c r="B2289" s="66" t="n"/>
      <c r="C2289" s="60" t="n"/>
      <c r="D2289" s="86" t="n"/>
      <c r="E2289" s="63" t="n"/>
      <c r="F2289" s="60" t="n"/>
      <c r="G2289" s="60" t="n"/>
      <c r="H2289" s="71">
        <f>IF(OR($C2289="",$D2289=""),"",IF(ISNUMBER($E2289),$E2289,IF($O2289="","",IF(N(INDEX('Menu Pricing'!$O$7:$O$56,$O2289))&gt;0,INDEX('Menu Pricing'!$O$7:$O$56,$O2289),""))))</f>
        <v/>
      </c>
      <c r="I2289" s="71">
        <f>IF($N2289&lt;&gt;"OK","",$D2289*$H2289)</f>
        <v/>
      </c>
      <c r="J2289" s="71">
        <f>IF($N2289&lt;&gt;"OK","",N(INDEX('Menu Pricing'!$F$7:$F$56,$O2289))+N(INDEX('Menu Pricing'!$G$7:$G$56,$O2289))+N(INDEX('Menu Pricing'!$J$7:$J$56,$O2289)))</f>
        <v/>
      </c>
      <c r="K2289" s="71">
        <f>IF($N2289&lt;&gt;"OK","",$D2289*$J2289)</f>
        <v/>
      </c>
      <c r="L2289" s="71">
        <f>IF($N2289&lt;&gt;"OK","",$I2289-$K2289)</f>
        <v/>
      </c>
      <c r="M2289" s="71">
        <f>IF($N2289&lt;&gt;"OK","",$D2289*N(INDEX('Menu Pricing'!$F$7:$F$56,$O2289)))</f>
        <v/>
      </c>
      <c r="N2289" s="80">
        <f>IF(AND($B2289="",$C2289="",$D2289=""),"",IF(NOT(ISNUMBER($B2289)),"Enter a valid date",IF($C2289="","Pick a menu item",IF($O2289="","Item not on Menu Pricing",IF(N($D2289)&lt;=0,"Qty must be above 0",IF($H2289="","No price on menu","OK"))))))</f>
        <v/>
      </c>
      <c r="O2289" s="13">
        <f>IF($C2289="","",IFERROR(MATCH($C2289,'Menu Pricing'!$B$7:$B$56,0),""))</f>
        <v/>
      </c>
    </row>
    <row r="2290" ht="17" customHeight="1">
      <c r="B2290" s="66" t="n"/>
      <c r="C2290" s="60" t="n"/>
      <c r="D2290" s="86" t="n"/>
      <c r="E2290" s="63" t="n"/>
      <c r="F2290" s="60" t="n"/>
      <c r="G2290" s="60" t="n"/>
      <c r="H2290" s="71">
        <f>IF(OR($C2290="",$D2290=""),"",IF(ISNUMBER($E2290),$E2290,IF($O2290="","",IF(N(INDEX('Menu Pricing'!$O$7:$O$56,$O2290))&gt;0,INDEX('Menu Pricing'!$O$7:$O$56,$O2290),""))))</f>
        <v/>
      </c>
      <c r="I2290" s="71">
        <f>IF($N2290&lt;&gt;"OK","",$D2290*$H2290)</f>
        <v/>
      </c>
      <c r="J2290" s="71">
        <f>IF($N2290&lt;&gt;"OK","",N(INDEX('Menu Pricing'!$F$7:$F$56,$O2290))+N(INDEX('Menu Pricing'!$G$7:$G$56,$O2290))+N(INDEX('Menu Pricing'!$J$7:$J$56,$O2290)))</f>
        <v/>
      </c>
      <c r="K2290" s="71">
        <f>IF($N2290&lt;&gt;"OK","",$D2290*$J2290)</f>
        <v/>
      </c>
      <c r="L2290" s="71">
        <f>IF($N2290&lt;&gt;"OK","",$I2290-$K2290)</f>
        <v/>
      </c>
      <c r="M2290" s="71">
        <f>IF($N2290&lt;&gt;"OK","",$D2290*N(INDEX('Menu Pricing'!$F$7:$F$56,$O2290)))</f>
        <v/>
      </c>
      <c r="N2290" s="80">
        <f>IF(AND($B2290="",$C2290="",$D2290=""),"",IF(NOT(ISNUMBER($B2290)),"Enter a valid date",IF($C2290="","Pick a menu item",IF($O2290="","Item not on Menu Pricing",IF(N($D2290)&lt;=0,"Qty must be above 0",IF($H2290="","No price on menu","OK"))))))</f>
        <v/>
      </c>
      <c r="O2290" s="13">
        <f>IF($C2290="","",IFERROR(MATCH($C2290,'Menu Pricing'!$B$7:$B$56,0),""))</f>
        <v/>
      </c>
    </row>
    <row r="2291" ht="17" customHeight="1">
      <c r="B2291" s="66" t="n"/>
      <c r="C2291" s="60" t="n"/>
      <c r="D2291" s="86" t="n"/>
      <c r="E2291" s="63" t="n"/>
      <c r="F2291" s="60" t="n"/>
      <c r="G2291" s="60" t="n"/>
      <c r="H2291" s="71">
        <f>IF(OR($C2291="",$D2291=""),"",IF(ISNUMBER($E2291),$E2291,IF($O2291="","",IF(N(INDEX('Menu Pricing'!$O$7:$O$56,$O2291))&gt;0,INDEX('Menu Pricing'!$O$7:$O$56,$O2291),""))))</f>
        <v/>
      </c>
      <c r="I2291" s="71">
        <f>IF($N2291&lt;&gt;"OK","",$D2291*$H2291)</f>
        <v/>
      </c>
      <c r="J2291" s="71">
        <f>IF($N2291&lt;&gt;"OK","",N(INDEX('Menu Pricing'!$F$7:$F$56,$O2291))+N(INDEX('Menu Pricing'!$G$7:$G$56,$O2291))+N(INDEX('Menu Pricing'!$J$7:$J$56,$O2291)))</f>
        <v/>
      </c>
      <c r="K2291" s="71">
        <f>IF($N2291&lt;&gt;"OK","",$D2291*$J2291)</f>
        <v/>
      </c>
      <c r="L2291" s="71">
        <f>IF($N2291&lt;&gt;"OK","",$I2291-$K2291)</f>
        <v/>
      </c>
      <c r="M2291" s="71">
        <f>IF($N2291&lt;&gt;"OK","",$D2291*N(INDEX('Menu Pricing'!$F$7:$F$56,$O2291)))</f>
        <v/>
      </c>
      <c r="N2291" s="80">
        <f>IF(AND($B2291="",$C2291="",$D2291=""),"",IF(NOT(ISNUMBER($B2291)),"Enter a valid date",IF($C2291="","Pick a menu item",IF($O2291="","Item not on Menu Pricing",IF(N($D2291)&lt;=0,"Qty must be above 0",IF($H2291="","No price on menu","OK"))))))</f>
        <v/>
      </c>
      <c r="O2291" s="13">
        <f>IF($C2291="","",IFERROR(MATCH($C2291,'Menu Pricing'!$B$7:$B$56,0),""))</f>
        <v/>
      </c>
    </row>
    <row r="2292" ht="17" customHeight="1">
      <c r="B2292" s="66" t="n"/>
      <c r="C2292" s="60" t="n"/>
      <c r="D2292" s="86" t="n"/>
      <c r="E2292" s="63" t="n"/>
      <c r="F2292" s="60" t="n"/>
      <c r="G2292" s="60" t="n"/>
      <c r="H2292" s="71">
        <f>IF(OR($C2292="",$D2292=""),"",IF(ISNUMBER($E2292),$E2292,IF($O2292="","",IF(N(INDEX('Menu Pricing'!$O$7:$O$56,$O2292))&gt;0,INDEX('Menu Pricing'!$O$7:$O$56,$O2292),""))))</f>
        <v/>
      </c>
      <c r="I2292" s="71">
        <f>IF($N2292&lt;&gt;"OK","",$D2292*$H2292)</f>
        <v/>
      </c>
      <c r="J2292" s="71">
        <f>IF($N2292&lt;&gt;"OK","",N(INDEX('Menu Pricing'!$F$7:$F$56,$O2292))+N(INDEX('Menu Pricing'!$G$7:$G$56,$O2292))+N(INDEX('Menu Pricing'!$J$7:$J$56,$O2292)))</f>
        <v/>
      </c>
      <c r="K2292" s="71">
        <f>IF($N2292&lt;&gt;"OK","",$D2292*$J2292)</f>
        <v/>
      </c>
      <c r="L2292" s="71">
        <f>IF($N2292&lt;&gt;"OK","",$I2292-$K2292)</f>
        <v/>
      </c>
      <c r="M2292" s="71">
        <f>IF($N2292&lt;&gt;"OK","",$D2292*N(INDEX('Menu Pricing'!$F$7:$F$56,$O2292)))</f>
        <v/>
      </c>
      <c r="N2292" s="80">
        <f>IF(AND($B2292="",$C2292="",$D2292=""),"",IF(NOT(ISNUMBER($B2292)),"Enter a valid date",IF($C2292="","Pick a menu item",IF($O2292="","Item not on Menu Pricing",IF(N($D2292)&lt;=0,"Qty must be above 0",IF($H2292="","No price on menu","OK"))))))</f>
        <v/>
      </c>
      <c r="O2292" s="13">
        <f>IF($C2292="","",IFERROR(MATCH($C2292,'Menu Pricing'!$B$7:$B$56,0),""))</f>
        <v/>
      </c>
    </row>
    <row r="2293" ht="17" customHeight="1">
      <c r="B2293" s="66" t="n"/>
      <c r="C2293" s="60" t="n"/>
      <c r="D2293" s="86" t="n"/>
      <c r="E2293" s="63" t="n"/>
      <c r="F2293" s="60" t="n"/>
      <c r="G2293" s="60" t="n"/>
      <c r="H2293" s="71">
        <f>IF(OR($C2293="",$D2293=""),"",IF(ISNUMBER($E2293),$E2293,IF($O2293="","",IF(N(INDEX('Menu Pricing'!$O$7:$O$56,$O2293))&gt;0,INDEX('Menu Pricing'!$O$7:$O$56,$O2293),""))))</f>
        <v/>
      </c>
      <c r="I2293" s="71">
        <f>IF($N2293&lt;&gt;"OK","",$D2293*$H2293)</f>
        <v/>
      </c>
      <c r="J2293" s="71">
        <f>IF($N2293&lt;&gt;"OK","",N(INDEX('Menu Pricing'!$F$7:$F$56,$O2293))+N(INDEX('Menu Pricing'!$G$7:$G$56,$O2293))+N(INDEX('Menu Pricing'!$J$7:$J$56,$O2293)))</f>
        <v/>
      </c>
      <c r="K2293" s="71">
        <f>IF($N2293&lt;&gt;"OK","",$D2293*$J2293)</f>
        <v/>
      </c>
      <c r="L2293" s="71">
        <f>IF($N2293&lt;&gt;"OK","",$I2293-$K2293)</f>
        <v/>
      </c>
      <c r="M2293" s="71">
        <f>IF($N2293&lt;&gt;"OK","",$D2293*N(INDEX('Menu Pricing'!$F$7:$F$56,$O2293)))</f>
        <v/>
      </c>
      <c r="N2293" s="80">
        <f>IF(AND($B2293="",$C2293="",$D2293=""),"",IF(NOT(ISNUMBER($B2293)),"Enter a valid date",IF($C2293="","Pick a menu item",IF($O2293="","Item not on Menu Pricing",IF(N($D2293)&lt;=0,"Qty must be above 0",IF($H2293="","No price on menu","OK"))))))</f>
        <v/>
      </c>
      <c r="O2293" s="13">
        <f>IF($C2293="","",IFERROR(MATCH($C2293,'Menu Pricing'!$B$7:$B$56,0),""))</f>
        <v/>
      </c>
    </row>
    <row r="2294" ht="17" customHeight="1">
      <c r="B2294" s="66" t="n"/>
      <c r="C2294" s="60" t="n"/>
      <c r="D2294" s="86" t="n"/>
      <c r="E2294" s="63" t="n"/>
      <c r="F2294" s="60" t="n"/>
      <c r="G2294" s="60" t="n"/>
      <c r="H2294" s="71">
        <f>IF(OR($C2294="",$D2294=""),"",IF(ISNUMBER($E2294),$E2294,IF($O2294="","",IF(N(INDEX('Menu Pricing'!$O$7:$O$56,$O2294))&gt;0,INDEX('Menu Pricing'!$O$7:$O$56,$O2294),""))))</f>
        <v/>
      </c>
      <c r="I2294" s="71">
        <f>IF($N2294&lt;&gt;"OK","",$D2294*$H2294)</f>
        <v/>
      </c>
      <c r="J2294" s="71">
        <f>IF($N2294&lt;&gt;"OK","",N(INDEX('Menu Pricing'!$F$7:$F$56,$O2294))+N(INDEX('Menu Pricing'!$G$7:$G$56,$O2294))+N(INDEX('Menu Pricing'!$J$7:$J$56,$O2294)))</f>
        <v/>
      </c>
      <c r="K2294" s="71">
        <f>IF($N2294&lt;&gt;"OK","",$D2294*$J2294)</f>
        <v/>
      </c>
      <c r="L2294" s="71">
        <f>IF($N2294&lt;&gt;"OK","",$I2294-$K2294)</f>
        <v/>
      </c>
      <c r="M2294" s="71">
        <f>IF($N2294&lt;&gt;"OK","",$D2294*N(INDEX('Menu Pricing'!$F$7:$F$56,$O2294)))</f>
        <v/>
      </c>
      <c r="N2294" s="80">
        <f>IF(AND($B2294="",$C2294="",$D2294=""),"",IF(NOT(ISNUMBER($B2294)),"Enter a valid date",IF($C2294="","Pick a menu item",IF($O2294="","Item not on Menu Pricing",IF(N($D2294)&lt;=0,"Qty must be above 0",IF($H2294="","No price on menu","OK"))))))</f>
        <v/>
      </c>
      <c r="O2294" s="13">
        <f>IF($C2294="","",IFERROR(MATCH($C2294,'Menu Pricing'!$B$7:$B$56,0),""))</f>
        <v/>
      </c>
    </row>
    <row r="2295" ht="17" customHeight="1">
      <c r="B2295" s="66" t="n"/>
      <c r="C2295" s="60" t="n"/>
      <c r="D2295" s="86" t="n"/>
      <c r="E2295" s="63" t="n"/>
      <c r="F2295" s="60" t="n"/>
      <c r="G2295" s="60" t="n"/>
      <c r="H2295" s="71">
        <f>IF(OR($C2295="",$D2295=""),"",IF(ISNUMBER($E2295),$E2295,IF($O2295="","",IF(N(INDEX('Menu Pricing'!$O$7:$O$56,$O2295))&gt;0,INDEX('Menu Pricing'!$O$7:$O$56,$O2295),""))))</f>
        <v/>
      </c>
      <c r="I2295" s="71">
        <f>IF($N2295&lt;&gt;"OK","",$D2295*$H2295)</f>
        <v/>
      </c>
      <c r="J2295" s="71">
        <f>IF($N2295&lt;&gt;"OK","",N(INDEX('Menu Pricing'!$F$7:$F$56,$O2295))+N(INDEX('Menu Pricing'!$G$7:$G$56,$O2295))+N(INDEX('Menu Pricing'!$J$7:$J$56,$O2295)))</f>
        <v/>
      </c>
      <c r="K2295" s="71">
        <f>IF($N2295&lt;&gt;"OK","",$D2295*$J2295)</f>
        <v/>
      </c>
      <c r="L2295" s="71">
        <f>IF($N2295&lt;&gt;"OK","",$I2295-$K2295)</f>
        <v/>
      </c>
      <c r="M2295" s="71">
        <f>IF($N2295&lt;&gt;"OK","",$D2295*N(INDEX('Menu Pricing'!$F$7:$F$56,$O2295)))</f>
        <v/>
      </c>
      <c r="N2295" s="80">
        <f>IF(AND($B2295="",$C2295="",$D2295=""),"",IF(NOT(ISNUMBER($B2295)),"Enter a valid date",IF($C2295="","Pick a menu item",IF($O2295="","Item not on Menu Pricing",IF(N($D2295)&lt;=0,"Qty must be above 0",IF($H2295="","No price on menu","OK"))))))</f>
        <v/>
      </c>
      <c r="O2295" s="13">
        <f>IF($C2295="","",IFERROR(MATCH($C2295,'Menu Pricing'!$B$7:$B$56,0),""))</f>
        <v/>
      </c>
    </row>
    <row r="2296" ht="17" customHeight="1">
      <c r="B2296" s="66" t="n"/>
      <c r="C2296" s="60" t="n"/>
      <c r="D2296" s="86" t="n"/>
      <c r="E2296" s="63" t="n"/>
      <c r="F2296" s="60" t="n"/>
      <c r="G2296" s="60" t="n"/>
      <c r="H2296" s="71">
        <f>IF(OR($C2296="",$D2296=""),"",IF(ISNUMBER($E2296),$E2296,IF($O2296="","",IF(N(INDEX('Menu Pricing'!$O$7:$O$56,$O2296))&gt;0,INDEX('Menu Pricing'!$O$7:$O$56,$O2296),""))))</f>
        <v/>
      </c>
      <c r="I2296" s="71">
        <f>IF($N2296&lt;&gt;"OK","",$D2296*$H2296)</f>
        <v/>
      </c>
      <c r="J2296" s="71">
        <f>IF($N2296&lt;&gt;"OK","",N(INDEX('Menu Pricing'!$F$7:$F$56,$O2296))+N(INDEX('Menu Pricing'!$G$7:$G$56,$O2296))+N(INDEX('Menu Pricing'!$J$7:$J$56,$O2296)))</f>
        <v/>
      </c>
      <c r="K2296" s="71">
        <f>IF($N2296&lt;&gt;"OK","",$D2296*$J2296)</f>
        <v/>
      </c>
      <c r="L2296" s="71">
        <f>IF($N2296&lt;&gt;"OK","",$I2296-$K2296)</f>
        <v/>
      </c>
      <c r="M2296" s="71">
        <f>IF($N2296&lt;&gt;"OK","",$D2296*N(INDEX('Menu Pricing'!$F$7:$F$56,$O2296)))</f>
        <v/>
      </c>
      <c r="N2296" s="80">
        <f>IF(AND($B2296="",$C2296="",$D2296=""),"",IF(NOT(ISNUMBER($B2296)),"Enter a valid date",IF($C2296="","Pick a menu item",IF($O2296="","Item not on Menu Pricing",IF(N($D2296)&lt;=0,"Qty must be above 0",IF($H2296="","No price on menu","OK"))))))</f>
        <v/>
      </c>
      <c r="O2296" s="13">
        <f>IF($C2296="","",IFERROR(MATCH($C2296,'Menu Pricing'!$B$7:$B$56,0),""))</f>
        <v/>
      </c>
    </row>
    <row r="2297" ht="17" customHeight="1">
      <c r="B2297" s="66" t="n"/>
      <c r="C2297" s="60" t="n"/>
      <c r="D2297" s="86" t="n"/>
      <c r="E2297" s="63" t="n"/>
      <c r="F2297" s="60" t="n"/>
      <c r="G2297" s="60" t="n"/>
      <c r="H2297" s="71">
        <f>IF(OR($C2297="",$D2297=""),"",IF(ISNUMBER($E2297),$E2297,IF($O2297="","",IF(N(INDEX('Menu Pricing'!$O$7:$O$56,$O2297))&gt;0,INDEX('Menu Pricing'!$O$7:$O$56,$O2297),""))))</f>
        <v/>
      </c>
      <c r="I2297" s="71">
        <f>IF($N2297&lt;&gt;"OK","",$D2297*$H2297)</f>
        <v/>
      </c>
      <c r="J2297" s="71">
        <f>IF($N2297&lt;&gt;"OK","",N(INDEX('Menu Pricing'!$F$7:$F$56,$O2297))+N(INDEX('Menu Pricing'!$G$7:$G$56,$O2297))+N(INDEX('Menu Pricing'!$J$7:$J$56,$O2297)))</f>
        <v/>
      </c>
      <c r="K2297" s="71">
        <f>IF($N2297&lt;&gt;"OK","",$D2297*$J2297)</f>
        <v/>
      </c>
      <c r="L2297" s="71">
        <f>IF($N2297&lt;&gt;"OK","",$I2297-$K2297)</f>
        <v/>
      </c>
      <c r="M2297" s="71">
        <f>IF($N2297&lt;&gt;"OK","",$D2297*N(INDEX('Menu Pricing'!$F$7:$F$56,$O2297)))</f>
        <v/>
      </c>
      <c r="N2297" s="80">
        <f>IF(AND($B2297="",$C2297="",$D2297=""),"",IF(NOT(ISNUMBER($B2297)),"Enter a valid date",IF($C2297="","Pick a menu item",IF($O2297="","Item not on Menu Pricing",IF(N($D2297)&lt;=0,"Qty must be above 0",IF($H2297="","No price on menu","OK"))))))</f>
        <v/>
      </c>
      <c r="O2297" s="13">
        <f>IF($C2297="","",IFERROR(MATCH($C2297,'Menu Pricing'!$B$7:$B$56,0),""))</f>
        <v/>
      </c>
    </row>
    <row r="2298" ht="17" customHeight="1">
      <c r="B2298" s="66" t="n"/>
      <c r="C2298" s="60" t="n"/>
      <c r="D2298" s="86" t="n"/>
      <c r="E2298" s="63" t="n"/>
      <c r="F2298" s="60" t="n"/>
      <c r="G2298" s="60" t="n"/>
      <c r="H2298" s="71">
        <f>IF(OR($C2298="",$D2298=""),"",IF(ISNUMBER($E2298),$E2298,IF($O2298="","",IF(N(INDEX('Menu Pricing'!$O$7:$O$56,$O2298))&gt;0,INDEX('Menu Pricing'!$O$7:$O$56,$O2298),""))))</f>
        <v/>
      </c>
      <c r="I2298" s="71">
        <f>IF($N2298&lt;&gt;"OK","",$D2298*$H2298)</f>
        <v/>
      </c>
      <c r="J2298" s="71">
        <f>IF($N2298&lt;&gt;"OK","",N(INDEX('Menu Pricing'!$F$7:$F$56,$O2298))+N(INDEX('Menu Pricing'!$G$7:$G$56,$O2298))+N(INDEX('Menu Pricing'!$J$7:$J$56,$O2298)))</f>
        <v/>
      </c>
      <c r="K2298" s="71">
        <f>IF($N2298&lt;&gt;"OK","",$D2298*$J2298)</f>
        <v/>
      </c>
      <c r="L2298" s="71">
        <f>IF($N2298&lt;&gt;"OK","",$I2298-$K2298)</f>
        <v/>
      </c>
      <c r="M2298" s="71">
        <f>IF($N2298&lt;&gt;"OK","",$D2298*N(INDEX('Menu Pricing'!$F$7:$F$56,$O2298)))</f>
        <v/>
      </c>
      <c r="N2298" s="80">
        <f>IF(AND($B2298="",$C2298="",$D2298=""),"",IF(NOT(ISNUMBER($B2298)),"Enter a valid date",IF($C2298="","Pick a menu item",IF($O2298="","Item not on Menu Pricing",IF(N($D2298)&lt;=0,"Qty must be above 0",IF($H2298="","No price on menu","OK"))))))</f>
        <v/>
      </c>
      <c r="O2298" s="13">
        <f>IF($C2298="","",IFERROR(MATCH($C2298,'Menu Pricing'!$B$7:$B$56,0),""))</f>
        <v/>
      </c>
    </row>
    <row r="2299" ht="17" customHeight="1">
      <c r="B2299" s="66" t="n"/>
      <c r="C2299" s="60" t="n"/>
      <c r="D2299" s="86" t="n"/>
      <c r="E2299" s="63" t="n"/>
      <c r="F2299" s="60" t="n"/>
      <c r="G2299" s="60" t="n"/>
      <c r="H2299" s="71">
        <f>IF(OR($C2299="",$D2299=""),"",IF(ISNUMBER($E2299),$E2299,IF($O2299="","",IF(N(INDEX('Menu Pricing'!$O$7:$O$56,$O2299))&gt;0,INDEX('Menu Pricing'!$O$7:$O$56,$O2299),""))))</f>
        <v/>
      </c>
      <c r="I2299" s="71">
        <f>IF($N2299&lt;&gt;"OK","",$D2299*$H2299)</f>
        <v/>
      </c>
      <c r="J2299" s="71">
        <f>IF($N2299&lt;&gt;"OK","",N(INDEX('Menu Pricing'!$F$7:$F$56,$O2299))+N(INDEX('Menu Pricing'!$G$7:$G$56,$O2299))+N(INDEX('Menu Pricing'!$J$7:$J$56,$O2299)))</f>
        <v/>
      </c>
      <c r="K2299" s="71">
        <f>IF($N2299&lt;&gt;"OK","",$D2299*$J2299)</f>
        <v/>
      </c>
      <c r="L2299" s="71">
        <f>IF($N2299&lt;&gt;"OK","",$I2299-$K2299)</f>
        <v/>
      </c>
      <c r="M2299" s="71">
        <f>IF($N2299&lt;&gt;"OK","",$D2299*N(INDEX('Menu Pricing'!$F$7:$F$56,$O2299)))</f>
        <v/>
      </c>
      <c r="N2299" s="80">
        <f>IF(AND($B2299="",$C2299="",$D2299=""),"",IF(NOT(ISNUMBER($B2299)),"Enter a valid date",IF($C2299="","Pick a menu item",IF($O2299="","Item not on Menu Pricing",IF(N($D2299)&lt;=0,"Qty must be above 0",IF($H2299="","No price on menu","OK"))))))</f>
        <v/>
      </c>
      <c r="O2299" s="13">
        <f>IF($C2299="","",IFERROR(MATCH($C2299,'Menu Pricing'!$B$7:$B$56,0),""))</f>
        <v/>
      </c>
    </row>
    <row r="2300" ht="17" customHeight="1">
      <c r="B2300" s="66" t="n"/>
      <c r="C2300" s="60" t="n"/>
      <c r="D2300" s="86" t="n"/>
      <c r="E2300" s="63" t="n"/>
      <c r="F2300" s="60" t="n"/>
      <c r="G2300" s="60" t="n"/>
      <c r="H2300" s="71">
        <f>IF(OR($C2300="",$D2300=""),"",IF(ISNUMBER($E2300),$E2300,IF($O2300="","",IF(N(INDEX('Menu Pricing'!$O$7:$O$56,$O2300))&gt;0,INDEX('Menu Pricing'!$O$7:$O$56,$O2300),""))))</f>
        <v/>
      </c>
      <c r="I2300" s="71">
        <f>IF($N2300&lt;&gt;"OK","",$D2300*$H2300)</f>
        <v/>
      </c>
      <c r="J2300" s="71">
        <f>IF($N2300&lt;&gt;"OK","",N(INDEX('Menu Pricing'!$F$7:$F$56,$O2300))+N(INDEX('Menu Pricing'!$G$7:$G$56,$O2300))+N(INDEX('Menu Pricing'!$J$7:$J$56,$O2300)))</f>
        <v/>
      </c>
      <c r="K2300" s="71">
        <f>IF($N2300&lt;&gt;"OK","",$D2300*$J2300)</f>
        <v/>
      </c>
      <c r="L2300" s="71">
        <f>IF($N2300&lt;&gt;"OK","",$I2300-$K2300)</f>
        <v/>
      </c>
      <c r="M2300" s="71">
        <f>IF($N2300&lt;&gt;"OK","",$D2300*N(INDEX('Menu Pricing'!$F$7:$F$56,$O2300)))</f>
        <v/>
      </c>
      <c r="N2300" s="80">
        <f>IF(AND($B2300="",$C2300="",$D2300=""),"",IF(NOT(ISNUMBER($B2300)),"Enter a valid date",IF($C2300="","Pick a menu item",IF($O2300="","Item not on Menu Pricing",IF(N($D2300)&lt;=0,"Qty must be above 0",IF($H2300="","No price on menu","OK"))))))</f>
        <v/>
      </c>
      <c r="O2300" s="13">
        <f>IF($C2300="","",IFERROR(MATCH($C2300,'Menu Pricing'!$B$7:$B$56,0),""))</f>
        <v/>
      </c>
    </row>
    <row r="2301" ht="17" customHeight="1">
      <c r="B2301" s="66" t="n"/>
      <c r="C2301" s="60" t="n"/>
      <c r="D2301" s="86" t="n"/>
      <c r="E2301" s="63" t="n"/>
      <c r="F2301" s="60" t="n"/>
      <c r="G2301" s="60" t="n"/>
      <c r="H2301" s="71">
        <f>IF(OR($C2301="",$D2301=""),"",IF(ISNUMBER($E2301),$E2301,IF($O2301="","",IF(N(INDEX('Menu Pricing'!$O$7:$O$56,$O2301))&gt;0,INDEX('Menu Pricing'!$O$7:$O$56,$O2301),""))))</f>
        <v/>
      </c>
      <c r="I2301" s="71">
        <f>IF($N2301&lt;&gt;"OK","",$D2301*$H2301)</f>
        <v/>
      </c>
      <c r="J2301" s="71">
        <f>IF($N2301&lt;&gt;"OK","",N(INDEX('Menu Pricing'!$F$7:$F$56,$O2301))+N(INDEX('Menu Pricing'!$G$7:$G$56,$O2301))+N(INDEX('Menu Pricing'!$J$7:$J$56,$O2301)))</f>
        <v/>
      </c>
      <c r="K2301" s="71">
        <f>IF($N2301&lt;&gt;"OK","",$D2301*$J2301)</f>
        <v/>
      </c>
      <c r="L2301" s="71">
        <f>IF($N2301&lt;&gt;"OK","",$I2301-$K2301)</f>
        <v/>
      </c>
      <c r="M2301" s="71">
        <f>IF($N2301&lt;&gt;"OK","",$D2301*N(INDEX('Menu Pricing'!$F$7:$F$56,$O2301)))</f>
        <v/>
      </c>
      <c r="N2301" s="80">
        <f>IF(AND($B2301="",$C2301="",$D2301=""),"",IF(NOT(ISNUMBER($B2301)),"Enter a valid date",IF($C2301="","Pick a menu item",IF($O2301="","Item not on Menu Pricing",IF(N($D2301)&lt;=0,"Qty must be above 0",IF($H2301="","No price on menu","OK"))))))</f>
        <v/>
      </c>
      <c r="O2301" s="13">
        <f>IF($C2301="","",IFERROR(MATCH($C2301,'Menu Pricing'!$B$7:$B$56,0),""))</f>
        <v/>
      </c>
    </row>
    <row r="2302" ht="17" customHeight="1">
      <c r="B2302" s="66" t="n"/>
      <c r="C2302" s="60" t="n"/>
      <c r="D2302" s="86" t="n"/>
      <c r="E2302" s="63" t="n"/>
      <c r="F2302" s="60" t="n"/>
      <c r="G2302" s="60" t="n"/>
      <c r="H2302" s="71">
        <f>IF(OR($C2302="",$D2302=""),"",IF(ISNUMBER($E2302),$E2302,IF($O2302="","",IF(N(INDEX('Menu Pricing'!$O$7:$O$56,$O2302))&gt;0,INDEX('Menu Pricing'!$O$7:$O$56,$O2302),""))))</f>
        <v/>
      </c>
      <c r="I2302" s="71">
        <f>IF($N2302&lt;&gt;"OK","",$D2302*$H2302)</f>
        <v/>
      </c>
      <c r="J2302" s="71">
        <f>IF($N2302&lt;&gt;"OK","",N(INDEX('Menu Pricing'!$F$7:$F$56,$O2302))+N(INDEX('Menu Pricing'!$G$7:$G$56,$O2302))+N(INDEX('Menu Pricing'!$J$7:$J$56,$O2302)))</f>
        <v/>
      </c>
      <c r="K2302" s="71">
        <f>IF($N2302&lt;&gt;"OK","",$D2302*$J2302)</f>
        <v/>
      </c>
      <c r="L2302" s="71">
        <f>IF($N2302&lt;&gt;"OK","",$I2302-$K2302)</f>
        <v/>
      </c>
      <c r="M2302" s="71">
        <f>IF($N2302&lt;&gt;"OK","",$D2302*N(INDEX('Menu Pricing'!$F$7:$F$56,$O2302)))</f>
        <v/>
      </c>
      <c r="N2302" s="80">
        <f>IF(AND($B2302="",$C2302="",$D2302=""),"",IF(NOT(ISNUMBER($B2302)),"Enter a valid date",IF($C2302="","Pick a menu item",IF($O2302="","Item not on Menu Pricing",IF(N($D2302)&lt;=0,"Qty must be above 0",IF($H2302="","No price on menu","OK"))))))</f>
        <v/>
      </c>
      <c r="O2302" s="13">
        <f>IF($C2302="","",IFERROR(MATCH($C2302,'Menu Pricing'!$B$7:$B$56,0),""))</f>
        <v/>
      </c>
    </row>
    <row r="2303" ht="17" customHeight="1">
      <c r="B2303" s="66" t="n"/>
      <c r="C2303" s="60" t="n"/>
      <c r="D2303" s="86" t="n"/>
      <c r="E2303" s="63" t="n"/>
      <c r="F2303" s="60" t="n"/>
      <c r="G2303" s="60" t="n"/>
      <c r="H2303" s="71">
        <f>IF(OR($C2303="",$D2303=""),"",IF(ISNUMBER($E2303),$E2303,IF($O2303="","",IF(N(INDEX('Menu Pricing'!$O$7:$O$56,$O2303))&gt;0,INDEX('Menu Pricing'!$O$7:$O$56,$O2303),""))))</f>
        <v/>
      </c>
      <c r="I2303" s="71">
        <f>IF($N2303&lt;&gt;"OK","",$D2303*$H2303)</f>
        <v/>
      </c>
      <c r="J2303" s="71">
        <f>IF($N2303&lt;&gt;"OK","",N(INDEX('Menu Pricing'!$F$7:$F$56,$O2303))+N(INDEX('Menu Pricing'!$G$7:$G$56,$O2303))+N(INDEX('Menu Pricing'!$J$7:$J$56,$O2303)))</f>
        <v/>
      </c>
      <c r="K2303" s="71">
        <f>IF($N2303&lt;&gt;"OK","",$D2303*$J2303)</f>
        <v/>
      </c>
      <c r="L2303" s="71">
        <f>IF($N2303&lt;&gt;"OK","",$I2303-$K2303)</f>
        <v/>
      </c>
      <c r="M2303" s="71">
        <f>IF($N2303&lt;&gt;"OK","",$D2303*N(INDEX('Menu Pricing'!$F$7:$F$56,$O2303)))</f>
        <v/>
      </c>
      <c r="N2303" s="80">
        <f>IF(AND($B2303="",$C2303="",$D2303=""),"",IF(NOT(ISNUMBER($B2303)),"Enter a valid date",IF($C2303="","Pick a menu item",IF($O2303="","Item not on Menu Pricing",IF(N($D2303)&lt;=0,"Qty must be above 0",IF($H2303="","No price on menu","OK"))))))</f>
        <v/>
      </c>
      <c r="O2303" s="13">
        <f>IF($C2303="","",IFERROR(MATCH($C2303,'Menu Pricing'!$B$7:$B$56,0),""))</f>
        <v/>
      </c>
    </row>
    <row r="2304" ht="17" customHeight="1">
      <c r="B2304" s="66" t="n"/>
      <c r="C2304" s="60" t="n"/>
      <c r="D2304" s="86" t="n"/>
      <c r="E2304" s="63" t="n"/>
      <c r="F2304" s="60" t="n"/>
      <c r="G2304" s="60" t="n"/>
      <c r="H2304" s="71">
        <f>IF(OR($C2304="",$D2304=""),"",IF(ISNUMBER($E2304),$E2304,IF($O2304="","",IF(N(INDEX('Menu Pricing'!$O$7:$O$56,$O2304))&gt;0,INDEX('Menu Pricing'!$O$7:$O$56,$O2304),""))))</f>
        <v/>
      </c>
      <c r="I2304" s="71">
        <f>IF($N2304&lt;&gt;"OK","",$D2304*$H2304)</f>
        <v/>
      </c>
      <c r="J2304" s="71">
        <f>IF($N2304&lt;&gt;"OK","",N(INDEX('Menu Pricing'!$F$7:$F$56,$O2304))+N(INDEX('Menu Pricing'!$G$7:$G$56,$O2304))+N(INDEX('Menu Pricing'!$J$7:$J$56,$O2304)))</f>
        <v/>
      </c>
      <c r="K2304" s="71">
        <f>IF($N2304&lt;&gt;"OK","",$D2304*$J2304)</f>
        <v/>
      </c>
      <c r="L2304" s="71">
        <f>IF($N2304&lt;&gt;"OK","",$I2304-$K2304)</f>
        <v/>
      </c>
      <c r="M2304" s="71">
        <f>IF($N2304&lt;&gt;"OK","",$D2304*N(INDEX('Menu Pricing'!$F$7:$F$56,$O2304)))</f>
        <v/>
      </c>
      <c r="N2304" s="80">
        <f>IF(AND($B2304="",$C2304="",$D2304=""),"",IF(NOT(ISNUMBER($B2304)),"Enter a valid date",IF($C2304="","Pick a menu item",IF($O2304="","Item not on Menu Pricing",IF(N($D2304)&lt;=0,"Qty must be above 0",IF($H2304="","No price on menu","OK"))))))</f>
        <v/>
      </c>
      <c r="O2304" s="13">
        <f>IF($C2304="","",IFERROR(MATCH($C2304,'Menu Pricing'!$B$7:$B$56,0),""))</f>
        <v/>
      </c>
    </row>
    <row r="2305" ht="17" customHeight="1">
      <c r="B2305" s="66" t="n"/>
      <c r="C2305" s="60" t="n"/>
      <c r="D2305" s="86" t="n"/>
      <c r="E2305" s="63" t="n"/>
      <c r="F2305" s="60" t="n"/>
      <c r="G2305" s="60" t="n"/>
      <c r="H2305" s="71">
        <f>IF(OR($C2305="",$D2305=""),"",IF(ISNUMBER($E2305),$E2305,IF($O2305="","",IF(N(INDEX('Menu Pricing'!$O$7:$O$56,$O2305))&gt;0,INDEX('Menu Pricing'!$O$7:$O$56,$O2305),""))))</f>
        <v/>
      </c>
      <c r="I2305" s="71">
        <f>IF($N2305&lt;&gt;"OK","",$D2305*$H2305)</f>
        <v/>
      </c>
      <c r="J2305" s="71">
        <f>IF($N2305&lt;&gt;"OK","",N(INDEX('Menu Pricing'!$F$7:$F$56,$O2305))+N(INDEX('Menu Pricing'!$G$7:$G$56,$O2305))+N(INDEX('Menu Pricing'!$J$7:$J$56,$O2305)))</f>
        <v/>
      </c>
      <c r="K2305" s="71">
        <f>IF($N2305&lt;&gt;"OK","",$D2305*$J2305)</f>
        <v/>
      </c>
      <c r="L2305" s="71">
        <f>IF($N2305&lt;&gt;"OK","",$I2305-$K2305)</f>
        <v/>
      </c>
      <c r="M2305" s="71">
        <f>IF($N2305&lt;&gt;"OK","",$D2305*N(INDEX('Menu Pricing'!$F$7:$F$56,$O2305)))</f>
        <v/>
      </c>
      <c r="N2305" s="80">
        <f>IF(AND($B2305="",$C2305="",$D2305=""),"",IF(NOT(ISNUMBER($B2305)),"Enter a valid date",IF($C2305="","Pick a menu item",IF($O2305="","Item not on Menu Pricing",IF(N($D2305)&lt;=0,"Qty must be above 0",IF($H2305="","No price on menu","OK"))))))</f>
        <v/>
      </c>
      <c r="O2305" s="13">
        <f>IF($C2305="","",IFERROR(MATCH($C2305,'Menu Pricing'!$B$7:$B$56,0),""))</f>
        <v/>
      </c>
    </row>
    <row r="2306" ht="17" customHeight="1">
      <c r="B2306" s="66" t="n"/>
      <c r="C2306" s="60" t="n"/>
      <c r="D2306" s="86" t="n"/>
      <c r="E2306" s="63" t="n"/>
      <c r="F2306" s="60" t="n"/>
      <c r="G2306" s="60" t="n"/>
      <c r="H2306" s="71">
        <f>IF(OR($C2306="",$D2306=""),"",IF(ISNUMBER($E2306),$E2306,IF($O2306="","",IF(N(INDEX('Menu Pricing'!$O$7:$O$56,$O2306))&gt;0,INDEX('Menu Pricing'!$O$7:$O$56,$O2306),""))))</f>
        <v/>
      </c>
      <c r="I2306" s="71">
        <f>IF($N2306&lt;&gt;"OK","",$D2306*$H2306)</f>
        <v/>
      </c>
      <c r="J2306" s="71">
        <f>IF($N2306&lt;&gt;"OK","",N(INDEX('Menu Pricing'!$F$7:$F$56,$O2306))+N(INDEX('Menu Pricing'!$G$7:$G$56,$O2306))+N(INDEX('Menu Pricing'!$J$7:$J$56,$O2306)))</f>
        <v/>
      </c>
      <c r="K2306" s="71">
        <f>IF($N2306&lt;&gt;"OK","",$D2306*$J2306)</f>
        <v/>
      </c>
      <c r="L2306" s="71">
        <f>IF($N2306&lt;&gt;"OK","",$I2306-$K2306)</f>
        <v/>
      </c>
      <c r="M2306" s="71">
        <f>IF($N2306&lt;&gt;"OK","",$D2306*N(INDEX('Menu Pricing'!$F$7:$F$56,$O2306)))</f>
        <v/>
      </c>
      <c r="N2306" s="80">
        <f>IF(AND($B2306="",$C2306="",$D2306=""),"",IF(NOT(ISNUMBER($B2306)),"Enter a valid date",IF($C2306="","Pick a menu item",IF($O2306="","Item not on Menu Pricing",IF(N($D2306)&lt;=0,"Qty must be above 0",IF($H2306="","No price on menu","OK"))))))</f>
        <v/>
      </c>
      <c r="O2306" s="13">
        <f>IF($C2306="","",IFERROR(MATCH($C2306,'Menu Pricing'!$B$7:$B$56,0),""))</f>
        <v/>
      </c>
    </row>
    <row r="2307" ht="17" customHeight="1">
      <c r="B2307" s="66" t="n"/>
      <c r="C2307" s="60" t="n"/>
      <c r="D2307" s="86" t="n"/>
      <c r="E2307" s="63" t="n"/>
      <c r="F2307" s="60" t="n"/>
      <c r="G2307" s="60" t="n"/>
      <c r="H2307" s="71">
        <f>IF(OR($C2307="",$D2307=""),"",IF(ISNUMBER($E2307),$E2307,IF($O2307="","",IF(N(INDEX('Menu Pricing'!$O$7:$O$56,$O2307))&gt;0,INDEX('Menu Pricing'!$O$7:$O$56,$O2307),""))))</f>
        <v/>
      </c>
      <c r="I2307" s="71">
        <f>IF($N2307&lt;&gt;"OK","",$D2307*$H2307)</f>
        <v/>
      </c>
      <c r="J2307" s="71">
        <f>IF($N2307&lt;&gt;"OK","",N(INDEX('Menu Pricing'!$F$7:$F$56,$O2307))+N(INDEX('Menu Pricing'!$G$7:$G$56,$O2307))+N(INDEX('Menu Pricing'!$J$7:$J$56,$O2307)))</f>
        <v/>
      </c>
      <c r="K2307" s="71">
        <f>IF($N2307&lt;&gt;"OK","",$D2307*$J2307)</f>
        <v/>
      </c>
      <c r="L2307" s="71">
        <f>IF($N2307&lt;&gt;"OK","",$I2307-$K2307)</f>
        <v/>
      </c>
      <c r="M2307" s="71">
        <f>IF($N2307&lt;&gt;"OK","",$D2307*N(INDEX('Menu Pricing'!$F$7:$F$56,$O2307)))</f>
        <v/>
      </c>
      <c r="N2307" s="80">
        <f>IF(AND($B2307="",$C2307="",$D2307=""),"",IF(NOT(ISNUMBER($B2307)),"Enter a valid date",IF($C2307="","Pick a menu item",IF($O2307="","Item not on Menu Pricing",IF(N($D2307)&lt;=0,"Qty must be above 0",IF($H2307="","No price on menu","OK"))))))</f>
        <v/>
      </c>
      <c r="O2307" s="13">
        <f>IF($C2307="","",IFERROR(MATCH($C2307,'Menu Pricing'!$B$7:$B$56,0),""))</f>
        <v/>
      </c>
    </row>
    <row r="2308" ht="17" customHeight="1">
      <c r="B2308" s="66" t="n"/>
      <c r="C2308" s="60" t="n"/>
      <c r="D2308" s="86" t="n"/>
      <c r="E2308" s="63" t="n"/>
      <c r="F2308" s="60" t="n"/>
      <c r="G2308" s="60" t="n"/>
      <c r="H2308" s="71">
        <f>IF(OR($C2308="",$D2308=""),"",IF(ISNUMBER($E2308),$E2308,IF($O2308="","",IF(N(INDEX('Menu Pricing'!$O$7:$O$56,$O2308))&gt;0,INDEX('Menu Pricing'!$O$7:$O$56,$O2308),""))))</f>
        <v/>
      </c>
      <c r="I2308" s="71">
        <f>IF($N2308&lt;&gt;"OK","",$D2308*$H2308)</f>
        <v/>
      </c>
      <c r="J2308" s="71">
        <f>IF($N2308&lt;&gt;"OK","",N(INDEX('Menu Pricing'!$F$7:$F$56,$O2308))+N(INDEX('Menu Pricing'!$G$7:$G$56,$O2308))+N(INDEX('Menu Pricing'!$J$7:$J$56,$O2308)))</f>
        <v/>
      </c>
      <c r="K2308" s="71">
        <f>IF($N2308&lt;&gt;"OK","",$D2308*$J2308)</f>
        <v/>
      </c>
      <c r="L2308" s="71">
        <f>IF($N2308&lt;&gt;"OK","",$I2308-$K2308)</f>
        <v/>
      </c>
      <c r="M2308" s="71">
        <f>IF($N2308&lt;&gt;"OK","",$D2308*N(INDEX('Menu Pricing'!$F$7:$F$56,$O2308)))</f>
        <v/>
      </c>
      <c r="N2308" s="80">
        <f>IF(AND($B2308="",$C2308="",$D2308=""),"",IF(NOT(ISNUMBER($B2308)),"Enter a valid date",IF($C2308="","Pick a menu item",IF($O2308="","Item not on Menu Pricing",IF(N($D2308)&lt;=0,"Qty must be above 0",IF($H2308="","No price on menu","OK"))))))</f>
        <v/>
      </c>
      <c r="O2308" s="13">
        <f>IF($C2308="","",IFERROR(MATCH($C2308,'Menu Pricing'!$B$7:$B$56,0),""))</f>
        <v/>
      </c>
    </row>
    <row r="2309" ht="17" customHeight="1">
      <c r="B2309" s="66" t="n"/>
      <c r="C2309" s="60" t="n"/>
      <c r="D2309" s="86" t="n"/>
      <c r="E2309" s="63" t="n"/>
      <c r="F2309" s="60" t="n"/>
      <c r="G2309" s="60" t="n"/>
      <c r="H2309" s="71">
        <f>IF(OR($C2309="",$D2309=""),"",IF(ISNUMBER($E2309),$E2309,IF($O2309="","",IF(N(INDEX('Menu Pricing'!$O$7:$O$56,$O2309))&gt;0,INDEX('Menu Pricing'!$O$7:$O$56,$O2309),""))))</f>
        <v/>
      </c>
      <c r="I2309" s="71">
        <f>IF($N2309&lt;&gt;"OK","",$D2309*$H2309)</f>
        <v/>
      </c>
      <c r="J2309" s="71">
        <f>IF($N2309&lt;&gt;"OK","",N(INDEX('Menu Pricing'!$F$7:$F$56,$O2309))+N(INDEX('Menu Pricing'!$G$7:$G$56,$O2309))+N(INDEX('Menu Pricing'!$J$7:$J$56,$O2309)))</f>
        <v/>
      </c>
      <c r="K2309" s="71">
        <f>IF($N2309&lt;&gt;"OK","",$D2309*$J2309)</f>
        <v/>
      </c>
      <c r="L2309" s="71">
        <f>IF($N2309&lt;&gt;"OK","",$I2309-$K2309)</f>
        <v/>
      </c>
      <c r="M2309" s="71">
        <f>IF($N2309&lt;&gt;"OK","",$D2309*N(INDEX('Menu Pricing'!$F$7:$F$56,$O2309)))</f>
        <v/>
      </c>
      <c r="N2309" s="80">
        <f>IF(AND($B2309="",$C2309="",$D2309=""),"",IF(NOT(ISNUMBER($B2309)),"Enter a valid date",IF($C2309="","Pick a menu item",IF($O2309="","Item not on Menu Pricing",IF(N($D2309)&lt;=0,"Qty must be above 0",IF($H2309="","No price on menu","OK"))))))</f>
        <v/>
      </c>
      <c r="O2309" s="13">
        <f>IF($C2309="","",IFERROR(MATCH($C2309,'Menu Pricing'!$B$7:$B$56,0),""))</f>
        <v/>
      </c>
    </row>
    <row r="2310" ht="17" customHeight="1">
      <c r="B2310" s="66" t="n"/>
      <c r="C2310" s="60" t="n"/>
      <c r="D2310" s="86" t="n"/>
      <c r="E2310" s="63" t="n"/>
      <c r="F2310" s="60" t="n"/>
      <c r="G2310" s="60" t="n"/>
      <c r="H2310" s="71">
        <f>IF(OR($C2310="",$D2310=""),"",IF(ISNUMBER($E2310),$E2310,IF($O2310="","",IF(N(INDEX('Menu Pricing'!$O$7:$O$56,$O2310))&gt;0,INDEX('Menu Pricing'!$O$7:$O$56,$O2310),""))))</f>
        <v/>
      </c>
      <c r="I2310" s="71">
        <f>IF($N2310&lt;&gt;"OK","",$D2310*$H2310)</f>
        <v/>
      </c>
      <c r="J2310" s="71">
        <f>IF($N2310&lt;&gt;"OK","",N(INDEX('Menu Pricing'!$F$7:$F$56,$O2310))+N(INDEX('Menu Pricing'!$G$7:$G$56,$O2310))+N(INDEX('Menu Pricing'!$J$7:$J$56,$O2310)))</f>
        <v/>
      </c>
      <c r="K2310" s="71">
        <f>IF($N2310&lt;&gt;"OK","",$D2310*$J2310)</f>
        <v/>
      </c>
      <c r="L2310" s="71">
        <f>IF($N2310&lt;&gt;"OK","",$I2310-$K2310)</f>
        <v/>
      </c>
      <c r="M2310" s="71">
        <f>IF($N2310&lt;&gt;"OK","",$D2310*N(INDEX('Menu Pricing'!$F$7:$F$56,$O2310)))</f>
        <v/>
      </c>
      <c r="N2310" s="80">
        <f>IF(AND($B2310="",$C2310="",$D2310=""),"",IF(NOT(ISNUMBER($B2310)),"Enter a valid date",IF($C2310="","Pick a menu item",IF($O2310="","Item not on Menu Pricing",IF(N($D2310)&lt;=0,"Qty must be above 0",IF($H2310="","No price on menu","OK"))))))</f>
        <v/>
      </c>
      <c r="O2310" s="13">
        <f>IF($C2310="","",IFERROR(MATCH($C2310,'Menu Pricing'!$B$7:$B$56,0),""))</f>
        <v/>
      </c>
    </row>
    <row r="2311" ht="17" customHeight="1">
      <c r="B2311" s="66" t="n"/>
      <c r="C2311" s="60" t="n"/>
      <c r="D2311" s="86" t="n"/>
      <c r="E2311" s="63" t="n"/>
      <c r="F2311" s="60" t="n"/>
      <c r="G2311" s="60" t="n"/>
      <c r="H2311" s="71">
        <f>IF(OR($C2311="",$D2311=""),"",IF(ISNUMBER($E2311),$E2311,IF($O2311="","",IF(N(INDEX('Menu Pricing'!$O$7:$O$56,$O2311))&gt;0,INDEX('Menu Pricing'!$O$7:$O$56,$O2311),""))))</f>
        <v/>
      </c>
      <c r="I2311" s="71">
        <f>IF($N2311&lt;&gt;"OK","",$D2311*$H2311)</f>
        <v/>
      </c>
      <c r="J2311" s="71">
        <f>IF($N2311&lt;&gt;"OK","",N(INDEX('Menu Pricing'!$F$7:$F$56,$O2311))+N(INDEX('Menu Pricing'!$G$7:$G$56,$O2311))+N(INDEX('Menu Pricing'!$J$7:$J$56,$O2311)))</f>
        <v/>
      </c>
      <c r="K2311" s="71">
        <f>IF($N2311&lt;&gt;"OK","",$D2311*$J2311)</f>
        <v/>
      </c>
      <c r="L2311" s="71">
        <f>IF($N2311&lt;&gt;"OK","",$I2311-$K2311)</f>
        <v/>
      </c>
      <c r="M2311" s="71">
        <f>IF($N2311&lt;&gt;"OK","",$D2311*N(INDEX('Menu Pricing'!$F$7:$F$56,$O2311)))</f>
        <v/>
      </c>
      <c r="N2311" s="80">
        <f>IF(AND($B2311="",$C2311="",$D2311=""),"",IF(NOT(ISNUMBER($B2311)),"Enter a valid date",IF($C2311="","Pick a menu item",IF($O2311="","Item not on Menu Pricing",IF(N($D2311)&lt;=0,"Qty must be above 0",IF($H2311="","No price on menu","OK"))))))</f>
        <v/>
      </c>
      <c r="O2311" s="13">
        <f>IF($C2311="","",IFERROR(MATCH($C2311,'Menu Pricing'!$B$7:$B$56,0),""))</f>
        <v/>
      </c>
    </row>
    <row r="2312" ht="17" customHeight="1">
      <c r="B2312" s="66" t="n"/>
      <c r="C2312" s="60" t="n"/>
      <c r="D2312" s="86" t="n"/>
      <c r="E2312" s="63" t="n"/>
      <c r="F2312" s="60" t="n"/>
      <c r="G2312" s="60" t="n"/>
      <c r="H2312" s="71">
        <f>IF(OR($C2312="",$D2312=""),"",IF(ISNUMBER($E2312),$E2312,IF($O2312="","",IF(N(INDEX('Menu Pricing'!$O$7:$O$56,$O2312))&gt;0,INDEX('Menu Pricing'!$O$7:$O$56,$O2312),""))))</f>
        <v/>
      </c>
      <c r="I2312" s="71">
        <f>IF($N2312&lt;&gt;"OK","",$D2312*$H2312)</f>
        <v/>
      </c>
      <c r="J2312" s="71">
        <f>IF($N2312&lt;&gt;"OK","",N(INDEX('Menu Pricing'!$F$7:$F$56,$O2312))+N(INDEX('Menu Pricing'!$G$7:$G$56,$O2312))+N(INDEX('Menu Pricing'!$J$7:$J$56,$O2312)))</f>
        <v/>
      </c>
      <c r="K2312" s="71">
        <f>IF($N2312&lt;&gt;"OK","",$D2312*$J2312)</f>
        <v/>
      </c>
      <c r="L2312" s="71">
        <f>IF($N2312&lt;&gt;"OK","",$I2312-$K2312)</f>
        <v/>
      </c>
      <c r="M2312" s="71">
        <f>IF($N2312&lt;&gt;"OK","",$D2312*N(INDEX('Menu Pricing'!$F$7:$F$56,$O2312)))</f>
        <v/>
      </c>
      <c r="N2312" s="80">
        <f>IF(AND($B2312="",$C2312="",$D2312=""),"",IF(NOT(ISNUMBER($B2312)),"Enter a valid date",IF($C2312="","Pick a menu item",IF($O2312="","Item not on Menu Pricing",IF(N($D2312)&lt;=0,"Qty must be above 0",IF($H2312="","No price on menu","OK"))))))</f>
        <v/>
      </c>
      <c r="O2312" s="13">
        <f>IF($C2312="","",IFERROR(MATCH($C2312,'Menu Pricing'!$B$7:$B$56,0),""))</f>
        <v/>
      </c>
    </row>
    <row r="2313" ht="17" customHeight="1">
      <c r="B2313" s="66" t="n"/>
      <c r="C2313" s="60" t="n"/>
      <c r="D2313" s="86" t="n"/>
      <c r="E2313" s="63" t="n"/>
      <c r="F2313" s="60" t="n"/>
      <c r="G2313" s="60" t="n"/>
      <c r="H2313" s="71">
        <f>IF(OR($C2313="",$D2313=""),"",IF(ISNUMBER($E2313),$E2313,IF($O2313="","",IF(N(INDEX('Menu Pricing'!$O$7:$O$56,$O2313))&gt;0,INDEX('Menu Pricing'!$O$7:$O$56,$O2313),""))))</f>
        <v/>
      </c>
      <c r="I2313" s="71">
        <f>IF($N2313&lt;&gt;"OK","",$D2313*$H2313)</f>
        <v/>
      </c>
      <c r="J2313" s="71">
        <f>IF($N2313&lt;&gt;"OK","",N(INDEX('Menu Pricing'!$F$7:$F$56,$O2313))+N(INDEX('Menu Pricing'!$G$7:$G$56,$O2313))+N(INDEX('Menu Pricing'!$J$7:$J$56,$O2313)))</f>
        <v/>
      </c>
      <c r="K2313" s="71">
        <f>IF($N2313&lt;&gt;"OK","",$D2313*$J2313)</f>
        <v/>
      </c>
      <c r="L2313" s="71">
        <f>IF($N2313&lt;&gt;"OK","",$I2313-$K2313)</f>
        <v/>
      </c>
      <c r="M2313" s="71">
        <f>IF($N2313&lt;&gt;"OK","",$D2313*N(INDEX('Menu Pricing'!$F$7:$F$56,$O2313)))</f>
        <v/>
      </c>
      <c r="N2313" s="80">
        <f>IF(AND($B2313="",$C2313="",$D2313=""),"",IF(NOT(ISNUMBER($B2313)),"Enter a valid date",IF($C2313="","Pick a menu item",IF($O2313="","Item not on Menu Pricing",IF(N($D2313)&lt;=0,"Qty must be above 0",IF($H2313="","No price on menu","OK"))))))</f>
        <v/>
      </c>
      <c r="O2313" s="13">
        <f>IF($C2313="","",IFERROR(MATCH($C2313,'Menu Pricing'!$B$7:$B$56,0),""))</f>
        <v/>
      </c>
    </row>
    <row r="2314" ht="17" customHeight="1">
      <c r="B2314" s="66" t="n"/>
      <c r="C2314" s="60" t="n"/>
      <c r="D2314" s="86" t="n"/>
      <c r="E2314" s="63" t="n"/>
      <c r="F2314" s="60" t="n"/>
      <c r="G2314" s="60" t="n"/>
      <c r="H2314" s="71">
        <f>IF(OR($C2314="",$D2314=""),"",IF(ISNUMBER($E2314),$E2314,IF($O2314="","",IF(N(INDEX('Menu Pricing'!$O$7:$O$56,$O2314))&gt;0,INDEX('Menu Pricing'!$O$7:$O$56,$O2314),""))))</f>
        <v/>
      </c>
      <c r="I2314" s="71">
        <f>IF($N2314&lt;&gt;"OK","",$D2314*$H2314)</f>
        <v/>
      </c>
      <c r="J2314" s="71">
        <f>IF($N2314&lt;&gt;"OK","",N(INDEX('Menu Pricing'!$F$7:$F$56,$O2314))+N(INDEX('Menu Pricing'!$G$7:$G$56,$O2314))+N(INDEX('Menu Pricing'!$J$7:$J$56,$O2314)))</f>
        <v/>
      </c>
      <c r="K2314" s="71">
        <f>IF($N2314&lt;&gt;"OK","",$D2314*$J2314)</f>
        <v/>
      </c>
      <c r="L2314" s="71">
        <f>IF($N2314&lt;&gt;"OK","",$I2314-$K2314)</f>
        <v/>
      </c>
      <c r="M2314" s="71">
        <f>IF($N2314&lt;&gt;"OK","",$D2314*N(INDEX('Menu Pricing'!$F$7:$F$56,$O2314)))</f>
        <v/>
      </c>
      <c r="N2314" s="80">
        <f>IF(AND($B2314="",$C2314="",$D2314=""),"",IF(NOT(ISNUMBER($B2314)),"Enter a valid date",IF($C2314="","Pick a menu item",IF($O2314="","Item not on Menu Pricing",IF(N($D2314)&lt;=0,"Qty must be above 0",IF($H2314="","No price on menu","OK"))))))</f>
        <v/>
      </c>
      <c r="O2314" s="13">
        <f>IF($C2314="","",IFERROR(MATCH($C2314,'Menu Pricing'!$B$7:$B$56,0),""))</f>
        <v/>
      </c>
    </row>
    <row r="2315" ht="17" customHeight="1">
      <c r="B2315" s="66" t="n"/>
      <c r="C2315" s="60" t="n"/>
      <c r="D2315" s="86" t="n"/>
      <c r="E2315" s="63" t="n"/>
      <c r="F2315" s="60" t="n"/>
      <c r="G2315" s="60" t="n"/>
      <c r="H2315" s="71">
        <f>IF(OR($C2315="",$D2315=""),"",IF(ISNUMBER($E2315),$E2315,IF($O2315="","",IF(N(INDEX('Menu Pricing'!$O$7:$O$56,$O2315))&gt;0,INDEX('Menu Pricing'!$O$7:$O$56,$O2315),""))))</f>
        <v/>
      </c>
      <c r="I2315" s="71">
        <f>IF($N2315&lt;&gt;"OK","",$D2315*$H2315)</f>
        <v/>
      </c>
      <c r="J2315" s="71">
        <f>IF($N2315&lt;&gt;"OK","",N(INDEX('Menu Pricing'!$F$7:$F$56,$O2315))+N(INDEX('Menu Pricing'!$G$7:$G$56,$O2315))+N(INDEX('Menu Pricing'!$J$7:$J$56,$O2315)))</f>
        <v/>
      </c>
      <c r="K2315" s="71">
        <f>IF($N2315&lt;&gt;"OK","",$D2315*$J2315)</f>
        <v/>
      </c>
      <c r="L2315" s="71">
        <f>IF($N2315&lt;&gt;"OK","",$I2315-$K2315)</f>
        <v/>
      </c>
      <c r="M2315" s="71">
        <f>IF($N2315&lt;&gt;"OK","",$D2315*N(INDEX('Menu Pricing'!$F$7:$F$56,$O2315)))</f>
        <v/>
      </c>
      <c r="N2315" s="80">
        <f>IF(AND($B2315="",$C2315="",$D2315=""),"",IF(NOT(ISNUMBER($B2315)),"Enter a valid date",IF($C2315="","Pick a menu item",IF($O2315="","Item not on Menu Pricing",IF(N($D2315)&lt;=0,"Qty must be above 0",IF($H2315="","No price on menu","OK"))))))</f>
        <v/>
      </c>
      <c r="O2315" s="13">
        <f>IF($C2315="","",IFERROR(MATCH($C2315,'Menu Pricing'!$B$7:$B$56,0),""))</f>
        <v/>
      </c>
    </row>
    <row r="2316" ht="17" customHeight="1">
      <c r="B2316" s="66" t="n"/>
      <c r="C2316" s="60" t="n"/>
      <c r="D2316" s="86" t="n"/>
      <c r="E2316" s="63" t="n"/>
      <c r="F2316" s="60" t="n"/>
      <c r="G2316" s="60" t="n"/>
      <c r="H2316" s="71">
        <f>IF(OR($C2316="",$D2316=""),"",IF(ISNUMBER($E2316),$E2316,IF($O2316="","",IF(N(INDEX('Menu Pricing'!$O$7:$O$56,$O2316))&gt;0,INDEX('Menu Pricing'!$O$7:$O$56,$O2316),""))))</f>
        <v/>
      </c>
      <c r="I2316" s="71">
        <f>IF($N2316&lt;&gt;"OK","",$D2316*$H2316)</f>
        <v/>
      </c>
      <c r="J2316" s="71">
        <f>IF($N2316&lt;&gt;"OK","",N(INDEX('Menu Pricing'!$F$7:$F$56,$O2316))+N(INDEX('Menu Pricing'!$G$7:$G$56,$O2316))+N(INDEX('Menu Pricing'!$J$7:$J$56,$O2316)))</f>
        <v/>
      </c>
      <c r="K2316" s="71">
        <f>IF($N2316&lt;&gt;"OK","",$D2316*$J2316)</f>
        <v/>
      </c>
      <c r="L2316" s="71">
        <f>IF($N2316&lt;&gt;"OK","",$I2316-$K2316)</f>
        <v/>
      </c>
      <c r="M2316" s="71">
        <f>IF($N2316&lt;&gt;"OK","",$D2316*N(INDEX('Menu Pricing'!$F$7:$F$56,$O2316)))</f>
        <v/>
      </c>
      <c r="N2316" s="80">
        <f>IF(AND($B2316="",$C2316="",$D2316=""),"",IF(NOT(ISNUMBER($B2316)),"Enter a valid date",IF($C2316="","Pick a menu item",IF($O2316="","Item not on Menu Pricing",IF(N($D2316)&lt;=0,"Qty must be above 0",IF($H2316="","No price on menu","OK"))))))</f>
        <v/>
      </c>
      <c r="O2316" s="13">
        <f>IF($C2316="","",IFERROR(MATCH($C2316,'Menu Pricing'!$B$7:$B$56,0),""))</f>
        <v/>
      </c>
    </row>
    <row r="2317" ht="17" customHeight="1">
      <c r="B2317" s="66" t="n"/>
      <c r="C2317" s="60" t="n"/>
      <c r="D2317" s="86" t="n"/>
      <c r="E2317" s="63" t="n"/>
      <c r="F2317" s="60" t="n"/>
      <c r="G2317" s="60" t="n"/>
      <c r="H2317" s="71">
        <f>IF(OR($C2317="",$D2317=""),"",IF(ISNUMBER($E2317),$E2317,IF($O2317="","",IF(N(INDEX('Menu Pricing'!$O$7:$O$56,$O2317))&gt;0,INDEX('Menu Pricing'!$O$7:$O$56,$O2317),""))))</f>
        <v/>
      </c>
      <c r="I2317" s="71">
        <f>IF($N2317&lt;&gt;"OK","",$D2317*$H2317)</f>
        <v/>
      </c>
      <c r="J2317" s="71">
        <f>IF($N2317&lt;&gt;"OK","",N(INDEX('Menu Pricing'!$F$7:$F$56,$O2317))+N(INDEX('Menu Pricing'!$G$7:$G$56,$O2317))+N(INDEX('Menu Pricing'!$J$7:$J$56,$O2317)))</f>
        <v/>
      </c>
      <c r="K2317" s="71">
        <f>IF($N2317&lt;&gt;"OK","",$D2317*$J2317)</f>
        <v/>
      </c>
      <c r="L2317" s="71">
        <f>IF($N2317&lt;&gt;"OK","",$I2317-$K2317)</f>
        <v/>
      </c>
      <c r="M2317" s="71">
        <f>IF($N2317&lt;&gt;"OK","",$D2317*N(INDEX('Menu Pricing'!$F$7:$F$56,$O2317)))</f>
        <v/>
      </c>
      <c r="N2317" s="80">
        <f>IF(AND($B2317="",$C2317="",$D2317=""),"",IF(NOT(ISNUMBER($B2317)),"Enter a valid date",IF($C2317="","Pick a menu item",IF($O2317="","Item not on Menu Pricing",IF(N($D2317)&lt;=0,"Qty must be above 0",IF($H2317="","No price on menu","OK"))))))</f>
        <v/>
      </c>
      <c r="O2317" s="13">
        <f>IF($C2317="","",IFERROR(MATCH($C2317,'Menu Pricing'!$B$7:$B$56,0),""))</f>
        <v/>
      </c>
    </row>
    <row r="2318" ht="17" customHeight="1">
      <c r="B2318" s="66" t="n"/>
      <c r="C2318" s="60" t="n"/>
      <c r="D2318" s="86" t="n"/>
      <c r="E2318" s="63" t="n"/>
      <c r="F2318" s="60" t="n"/>
      <c r="G2318" s="60" t="n"/>
      <c r="H2318" s="71">
        <f>IF(OR($C2318="",$D2318=""),"",IF(ISNUMBER($E2318),$E2318,IF($O2318="","",IF(N(INDEX('Menu Pricing'!$O$7:$O$56,$O2318))&gt;0,INDEX('Menu Pricing'!$O$7:$O$56,$O2318),""))))</f>
        <v/>
      </c>
      <c r="I2318" s="71">
        <f>IF($N2318&lt;&gt;"OK","",$D2318*$H2318)</f>
        <v/>
      </c>
      <c r="J2318" s="71">
        <f>IF($N2318&lt;&gt;"OK","",N(INDEX('Menu Pricing'!$F$7:$F$56,$O2318))+N(INDEX('Menu Pricing'!$G$7:$G$56,$O2318))+N(INDEX('Menu Pricing'!$J$7:$J$56,$O2318)))</f>
        <v/>
      </c>
      <c r="K2318" s="71">
        <f>IF($N2318&lt;&gt;"OK","",$D2318*$J2318)</f>
        <v/>
      </c>
      <c r="L2318" s="71">
        <f>IF($N2318&lt;&gt;"OK","",$I2318-$K2318)</f>
        <v/>
      </c>
      <c r="M2318" s="71">
        <f>IF($N2318&lt;&gt;"OK","",$D2318*N(INDEX('Menu Pricing'!$F$7:$F$56,$O2318)))</f>
        <v/>
      </c>
      <c r="N2318" s="80">
        <f>IF(AND($B2318="",$C2318="",$D2318=""),"",IF(NOT(ISNUMBER($B2318)),"Enter a valid date",IF($C2318="","Pick a menu item",IF($O2318="","Item not on Menu Pricing",IF(N($D2318)&lt;=0,"Qty must be above 0",IF($H2318="","No price on menu","OK"))))))</f>
        <v/>
      </c>
      <c r="O2318" s="13">
        <f>IF($C2318="","",IFERROR(MATCH($C2318,'Menu Pricing'!$B$7:$B$56,0),""))</f>
        <v/>
      </c>
    </row>
    <row r="2319" ht="17" customHeight="1">
      <c r="B2319" s="66" t="n"/>
      <c r="C2319" s="60" t="n"/>
      <c r="D2319" s="86" t="n"/>
      <c r="E2319" s="63" t="n"/>
      <c r="F2319" s="60" t="n"/>
      <c r="G2319" s="60" t="n"/>
      <c r="H2319" s="71">
        <f>IF(OR($C2319="",$D2319=""),"",IF(ISNUMBER($E2319),$E2319,IF($O2319="","",IF(N(INDEX('Menu Pricing'!$O$7:$O$56,$O2319))&gt;0,INDEX('Menu Pricing'!$O$7:$O$56,$O2319),""))))</f>
        <v/>
      </c>
      <c r="I2319" s="71">
        <f>IF($N2319&lt;&gt;"OK","",$D2319*$H2319)</f>
        <v/>
      </c>
      <c r="J2319" s="71">
        <f>IF($N2319&lt;&gt;"OK","",N(INDEX('Menu Pricing'!$F$7:$F$56,$O2319))+N(INDEX('Menu Pricing'!$G$7:$G$56,$O2319))+N(INDEX('Menu Pricing'!$J$7:$J$56,$O2319)))</f>
        <v/>
      </c>
      <c r="K2319" s="71">
        <f>IF($N2319&lt;&gt;"OK","",$D2319*$J2319)</f>
        <v/>
      </c>
      <c r="L2319" s="71">
        <f>IF($N2319&lt;&gt;"OK","",$I2319-$K2319)</f>
        <v/>
      </c>
      <c r="M2319" s="71">
        <f>IF($N2319&lt;&gt;"OK","",$D2319*N(INDEX('Menu Pricing'!$F$7:$F$56,$O2319)))</f>
        <v/>
      </c>
      <c r="N2319" s="80">
        <f>IF(AND($B2319="",$C2319="",$D2319=""),"",IF(NOT(ISNUMBER($B2319)),"Enter a valid date",IF($C2319="","Pick a menu item",IF($O2319="","Item not on Menu Pricing",IF(N($D2319)&lt;=0,"Qty must be above 0",IF($H2319="","No price on menu","OK"))))))</f>
        <v/>
      </c>
      <c r="O2319" s="13">
        <f>IF($C2319="","",IFERROR(MATCH($C2319,'Menu Pricing'!$B$7:$B$56,0),""))</f>
        <v/>
      </c>
    </row>
    <row r="2320" ht="17" customHeight="1">
      <c r="B2320" s="66" t="n"/>
      <c r="C2320" s="60" t="n"/>
      <c r="D2320" s="86" t="n"/>
      <c r="E2320" s="63" t="n"/>
      <c r="F2320" s="60" t="n"/>
      <c r="G2320" s="60" t="n"/>
      <c r="H2320" s="71">
        <f>IF(OR($C2320="",$D2320=""),"",IF(ISNUMBER($E2320),$E2320,IF($O2320="","",IF(N(INDEX('Menu Pricing'!$O$7:$O$56,$O2320))&gt;0,INDEX('Menu Pricing'!$O$7:$O$56,$O2320),""))))</f>
        <v/>
      </c>
      <c r="I2320" s="71">
        <f>IF($N2320&lt;&gt;"OK","",$D2320*$H2320)</f>
        <v/>
      </c>
      <c r="J2320" s="71">
        <f>IF($N2320&lt;&gt;"OK","",N(INDEX('Menu Pricing'!$F$7:$F$56,$O2320))+N(INDEX('Menu Pricing'!$G$7:$G$56,$O2320))+N(INDEX('Menu Pricing'!$J$7:$J$56,$O2320)))</f>
        <v/>
      </c>
      <c r="K2320" s="71">
        <f>IF($N2320&lt;&gt;"OK","",$D2320*$J2320)</f>
        <v/>
      </c>
      <c r="L2320" s="71">
        <f>IF($N2320&lt;&gt;"OK","",$I2320-$K2320)</f>
        <v/>
      </c>
      <c r="M2320" s="71">
        <f>IF($N2320&lt;&gt;"OK","",$D2320*N(INDEX('Menu Pricing'!$F$7:$F$56,$O2320)))</f>
        <v/>
      </c>
      <c r="N2320" s="80">
        <f>IF(AND($B2320="",$C2320="",$D2320=""),"",IF(NOT(ISNUMBER($B2320)),"Enter a valid date",IF($C2320="","Pick a menu item",IF($O2320="","Item not on Menu Pricing",IF(N($D2320)&lt;=0,"Qty must be above 0",IF($H2320="","No price on menu","OK"))))))</f>
        <v/>
      </c>
      <c r="O2320" s="13">
        <f>IF($C2320="","",IFERROR(MATCH($C2320,'Menu Pricing'!$B$7:$B$56,0),""))</f>
        <v/>
      </c>
    </row>
    <row r="2321" ht="17" customHeight="1">
      <c r="B2321" s="66" t="n"/>
      <c r="C2321" s="60" t="n"/>
      <c r="D2321" s="86" t="n"/>
      <c r="E2321" s="63" t="n"/>
      <c r="F2321" s="60" t="n"/>
      <c r="G2321" s="60" t="n"/>
      <c r="H2321" s="71">
        <f>IF(OR($C2321="",$D2321=""),"",IF(ISNUMBER($E2321),$E2321,IF($O2321="","",IF(N(INDEX('Menu Pricing'!$O$7:$O$56,$O2321))&gt;0,INDEX('Menu Pricing'!$O$7:$O$56,$O2321),""))))</f>
        <v/>
      </c>
      <c r="I2321" s="71">
        <f>IF($N2321&lt;&gt;"OK","",$D2321*$H2321)</f>
        <v/>
      </c>
      <c r="J2321" s="71">
        <f>IF($N2321&lt;&gt;"OK","",N(INDEX('Menu Pricing'!$F$7:$F$56,$O2321))+N(INDEX('Menu Pricing'!$G$7:$G$56,$O2321))+N(INDEX('Menu Pricing'!$J$7:$J$56,$O2321)))</f>
        <v/>
      </c>
      <c r="K2321" s="71">
        <f>IF($N2321&lt;&gt;"OK","",$D2321*$J2321)</f>
        <v/>
      </c>
      <c r="L2321" s="71">
        <f>IF($N2321&lt;&gt;"OK","",$I2321-$K2321)</f>
        <v/>
      </c>
      <c r="M2321" s="71">
        <f>IF($N2321&lt;&gt;"OK","",$D2321*N(INDEX('Menu Pricing'!$F$7:$F$56,$O2321)))</f>
        <v/>
      </c>
      <c r="N2321" s="80">
        <f>IF(AND($B2321="",$C2321="",$D2321=""),"",IF(NOT(ISNUMBER($B2321)),"Enter a valid date",IF($C2321="","Pick a menu item",IF($O2321="","Item not on Menu Pricing",IF(N($D2321)&lt;=0,"Qty must be above 0",IF($H2321="","No price on menu","OK"))))))</f>
        <v/>
      </c>
      <c r="O2321" s="13">
        <f>IF($C2321="","",IFERROR(MATCH($C2321,'Menu Pricing'!$B$7:$B$56,0),""))</f>
        <v/>
      </c>
    </row>
    <row r="2322" ht="17" customHeight="1">
      <c r="B2322" s="66" t="n"/>
      <c r="C2322" s="60" t="n"/>
      <c r="D2322" s="86" t="n"/>
      <c r="E2322" s="63" t="n"/>
      <c r="F2322" s="60" t="n"/>
      <c r="G2322" s="60" t="n"/>
      <c r="H2322" s="71">
        <f>IF(OR($C2322="",$D2322=""),"",IF(ISNUMBER($E2322),$E2322,IF($O2322="","",IF(N(INDEX('Menu Pricing'!$O$7:$O$56,$O2322))&gt;0,INDEX('Menu Pricing'!$O$7:$O$56,$O2322),""))))</f>
        <v/>
      </c>
      <c r="I2322" s="71">
        <f>IF($N2322&lt;&gt;"OK","",$D2322*$H2322)</f>
        <v/>
      </c>
      <c r="J2322" s="71">
        <f>IF($N2322&lt;&gt;"OK","",N(INDEX('Menu Pricing'!$F$7:$F$56,$O2322))+N(INDEX('Menu Pricing'!$G$7:$G$56,$O2322))+N(INDEX('Menu Pricing'!$J$7:$J$56,$O2322)))</f>
        <v/>
      </c>
      <c r="K2322" s="71">
        <f>IF($N2322&lt;&gt;"OK","",$D2322*$J2322)</f>
        <v/>
      </c>
      <c r="L2322" s="71">
        <f>IF($N2322&lt;&gt;"OK","",$I2322-$K2322)</f>
        <v/>
      </c>
      <c r="M2322" s="71">
        <f>IF($N2322&lt;&gt;"OK","",$D2322*N(INDEX('Menu Pricing'!$F$7:$F$56,$O2322)))</f>
        <v/>
      </c>
      <c r="N2322" s="80">
        <f>IF(AND($B2322="",$C2322="",$D2322=""),"",IF(NOT(ISNUMBER($B2322)),"Enter a valid date",IF($C2322="","Pick a menu item",IF($O2322="","Item not on Menu Pricing",IF(N($D2322)&lt;=0,"Qty must be above 0",IF($H2322="","No price on menu","OK"))))))</f>
        <v/>
      </c>
      <c r="O2322" s="13">
        <f>IF($C2322="","",IFERROR(MATCH($C2322,'Menu Pricing'!$B$7:$B$56,0),""))</f>
        <v/>
      </c>
    </row>
    <row r="2323" ht="17" customHeight="1">
      <c r="B2323" s="66" t="n"/>
      <c r="C2323" s="60" t="n"/>
      <c r="D2323" s="86" t="n"/>
      <c r="E2323" s="63" t="n"/>
      <c r="F2323" s="60" t="n"/>
      <c r="G2323" s="60" t="n"/>
      <c r="H2323" s="71">
        <f>IF(OR($C2323="",$D2323=""),"",IF(ISNUMBER($E2323),$E2323,IF($O2323="","",IF(N(INDEX('Menu Pricing'!$O$7:$O$56,$O2323))&gt;0,INDEX('Menu Pricing'!$O$7:$O$56,$O2323),""))))</f>
        <v/>
      </c>
      <c r="I2323" s="71">
        <f>IF($N2323&lt;&gt;"OK","",$D2323*$H2323)</f>
        <v/>
      </c>
      <c r="J2323" s="71">
        <f>IF($N2323&lt;&gt;"OK","",N(INDEX('Menu Pricing'!$F$7:$F$56,$O2323))+N(INDEX('Menu Pricing'!$G$7:$G$56,$O2323))+N(INDEX('Menu Pricing'!$J$7:$J$56,$O2323)))</f>
        <v/>
      </c>
      <c r="K2323" s="71">
        <f>IF($N2323&lt;&gt;"OK","",$D2323*$J2323)</f>
        <v/>
      </c>
      <c r="L2323" s="71">
        <f>IF($N2323&lt;&gt;"OK","",$I2323-$K2323)</f>
        <v/>
      </c>
      <c r="M2323" s="71">
        <f>IF($N2323&lt;&gt;"OK","",$D2323*N(INDEX('Menu Pricing'!$F$7:$F$56,$O2323)))</f>
        <v/>
      </c>
      <c r="N2323" s="80">
        <f>IF(AND($B2323="",$C2323="",$D2323=""),"",IF(NOT(ISNUMBER($B2323)),"Enter a valid date",IF($C2323="","Pick a menu item",IF($O2323="","Item not on Menu Pricing",IF(N($D2323)&lt;=0,"Qty must be above 0",IF($H2323="","No price on menu","OK"))))))</f>
        <v/>
      </c>
      <c r="O2323" s="13">
        <f>IF($C2323="","",IFERROR(MATCH($C2323,'Menu Pricing'!$B$7:$B$56,0),""))</f>
        <v/>
      </c>
    </row>
    <row r="2324" ht="17" customHeight="1">
      <c r="B2324" s="66" t="n"/>
      <c r="C2324" s="60" t="n"/>
      <c r="D2324" s="86" t="n"/>
      <c r="E2324" s="63" t="n"/>
      <c r="F2324" s="60" t="n"/>
      <c r="G2324" s="60" t="n"/>
      <c r="H2324" s="71">
        <f>IF(OR($C2324="",$D2324=""),"",IF(ISNUMBER($E2324),$E2324,IF($O2324="","",IF(N(INDEX('Menu Pricing'!$O$7:$O$56,$O2324))&gt;0,INDEX('Menu Pricing'!$O$7:$O$56,$O2324),""))))</f>
        <v/>
      </c>
      <c r="I2324" s="71">
        <f>IF($N2324&lt;&gt;"OK","",$D2324*$H2324)</f>
        <v/>
      </c>
      <c r="J2324" s="71">
        <f>IF($N2324&lt;&gt;"OK","",N(INDEX('Menu Pricing'!$F$7:$F$56,$O2324))+N(INDEX('Menu Pricing'!$G$7:$G$56,$O2324))+N(INDEX('Menu Pricing'!$J$7:$J$56,$O2324)))</f>
        <v/>
      </c>
      <c r="K2324" s="71">
        <f>IF($N2324&lt;&gt;"OK","",$D2324*$J2324)</f>
        <v/>
      </c>
      <c r="L2324" s="71">
        <f>IF($N2324&lt;&gt;"OK","",$I2324-$K2324)</f>
        <v/>
      </c>
      <c r="M2324" s="71">
        <f>IF($N2324&lt;&gt;"OK","",$D2324*N(INDEX('Menu Pricing'!$F$7:$F$56,$O2324)))</f>
        <v/>
      </c>
      <c r="N2324" s="80">
        <f>IF(AND($B2324="",$C2324="",$D2324=""),"",IF(NOT(ISNUMBER($B2324)),"Enter a valid date",IF($C2324="","Pick a menu item",IF($O2324="","Item not on Menu Pricing",IF(N($D2324)&lt;=0,"Qty must be above 0",IF($H2324="","No price on menu","OK"))))))</f>
        <v/>
      </c>
      <c r="O2324" s="13">
        <f>IF($C2324="","",IFERROR(MATCH($C2324,'Menu Pricing'!$B$7:$B$56,0),""))</f>
        <v/>
      </c>
    </row>
    <row r="2325" ht="17" customHeight="1">
      <c r="B2325" s="66" t="n"/>
      <c r="C2325" s="60" t="n"/>
      <c r="D2325" s="86" t="n"/>
      <c r="E2325" s="63" t="n"/>
      <c r="F2325" s="60" t="n"/>
      <c r="G2325" s="60" t="n"/>
      <c r="H2325" s="71">
        <f>IF(OR($C2325="",$D2325=""),"",IF(ISNUMBER($E2325),$E2325,IF($O2325="","",IF(N(INDEX('Menu Pricing'!$O$7:$O$56,$O2325))&gt;0,INDEX('Menu Pricing'!$O$7:$O$56,$O2325),""))))</f>
        <v/>
      </c>
      <c r="I2325" s="71">
        <f>IF($N2325&lt;&gt;"OK","",$D2325*$H2325)</f>
        <v/>
      </c>
      <c r="J2325" s="71">
        <f>IF($N2325&lt;&gt;"OK","",N(INDEX('Menu Pricing'!$F$7:$F$56,$O2325))+N(INDEX('Menu Pricing'!$G$7:$G$56,$O2325))+N(INDEX('Menu Pricing'!$J$7:$J$56,$O2325)))</f>
        <v/>
      </c>
      <c r="K2325" s="71">
        <f>IF($N2325&lt;&gt;"OK","",$D2325*$J2325)</f>
        <v/>
      </c>
      <c r="L2325" s="71">
        <f>IF($N2325&lt;&gt;"OK","",$I2325-$K2325)</f>
        <v/>
      </c>
      <c r="M2325" s="71">
        <f>IF($N2325&lt;&gt;"OK","",$D2325*N(INDEX('Menu Pricing'!$F$7:$F$56,$O2325)))</f>
        <v/>
      </c>
      <c r="N2325" s="80">
        <f>IF(AND($B2325="",$C2325="",$D2325=""),"",IF(NOT(ISNUMBER($B2325)),"Enter a valid date",IF($C2325="","Pick a menu item",IF($O2325="","Item not on Menu Pricing",IF(N($D2325)&lt;=0,"Qty must be above 0",IF($H2325="","No price on menu","OK"))))))</f>
        <v/>
      </c>
      <c r="O2325" s="13">
        <f>IF($C2325="","",IFERROR(MATCH($C2325,'Menu Pricing'!$B$7:$B$56,0),""))</f>
        <v/>
      </c>
    </row>
    <row r="2326" ht="17" customHeight="1">
      <c r="B2326" s="66" t="n"/>
      <c r="C2326" s="60" t="n"/>
      <c r="D2326" s="86" t="n"/>
      <c r="E2326" s="63" t="n"/>
      <c r="F2326" s="60" t="n"/>
      <c r="G2326" s="60" t="n"/>
      <c r="H2326" s="71">
        <f>IF(OR($C2326="",$D2326=""),"",IF(ISNUMBER($E2326),$E2326,IF($O2326="","",IF(N(INDEX('Menu Pricing'!$O$7:$O$56,$O2326))&gt;0,INDEX('Menu Pricing'!$O$7:$O$56,$O2326),""))))</f>
        <v/>
      </c>
      <c r="I2326" s="71">
        <f>IF($N2326&lt;&gt;"OK","",$D2326*$H2326)</f>
        <v/>
      </c>
      <c r="J2326" s="71">
        <f>IF($N2326&lt;&gt;"OK","",N(INDEX('Menu Pricing'!$F$7:$F$56,$O2326))+N(INDEX('Menu Pricing'!$G$7:$G$56,$O2326))+N(INDEX('Menu Pricing'!$J$7:$J$56,$O2326)))</f>
        <v/>
      </c>
      <c r="K2326" s="71">
        <f>IF($N2326&lt;&gt;"OK","",$D2326*$J2326)</f>
        <v/>
      </c>
      <c r="L2326" s="71">
        <f>IF($N2326&lt;&gt;"OK","",$I2326-$K2326)</f>
        <v/>
      </c>
      <c r="M2326" s="71">
        <f>IF($N2326&lt;&gt;"OK","",$D2326*N(INDEX('Menu Pricing'!$F$7:$F$56,$O2326)))</f>
        <v/>
      </c>
      <c r="N2326" s="80">
        <f>IF(AND($B2326="",$C2326="",$D2326=""),"",IF(NOT(ISNUMBER($B2326)),"Enter a valid date",IF($C2326="","Pick a menu item",IF($O2326="","Item not on Menu Pricing",IF(N($D2326)&lt;=0,"Qty must be above 0",IF($H2326="","No price on menu","OK"))))))</f>
        <v/>
      </c>
      <c r="O2326" s="13">
        <f>IF($C2326="","",IFERROR(MATCH($C2326,'Menu Pricing'!$B$7:$B$56,0),""))</f>
        <v/>
      </c>
    </row>
    <row r="2327" ht="17" customHeight="1">
      <c r="B2327" s="66" t="n"/>
      <c r="C2327" s="60" t="n"/>
      <c r="D2327" s="86" t="n"/>
      <c r="E2327" s="63" t="n"/>
      <c r="F2327" s="60" t="n"/>
      <c r="G2327" s="60" t="n"/>
      <c r="H2327" s="71">
        <f>IF(OR($C2327="",$D2327=""),"",IF(ISNUMBER($E2327),$E2327,IF($O2327="","",IF(N(INDEX('Menu Pricing'!$O$7:$O$56,$O2327))&gt;0,INDEX('Menu Pricing'!$O$7:$O$56,$O2327),""))))</f>
        <v/>
      </c>
      <c r="I2327" s="71">
        <f>IF($N2327&lt;&gt;"OK","",$D2327*$H2327)</f>
        <v/>
      </c>
      <c r="J2327" s="71">
        <f>IF($N2327&lt;&gt;"OK","",N(INDEX('Menu Pricing'!$F$7:$F$56,$O2327))+N(INDEX('Menu Pricing'!$G$7:$G$56,$O2327))+N(INDEX('Menu Pricing'!$J$7:$J$56,$O2327)))</f>
        <v/>
      </c>
      <c r="K2327" s="71">
        <f>IF($N2327&lt;&gt;"OK","",$D2327*$J2327)</f>
        <v/>
      </c>
      <c r="L2327" s="71">
        <f>IF($N2327&lt;&gt;"OK","",$I2327-$K2327)</f>
        <v/>
      </c>
      <c r="M2327" s="71">
        <f>IF($N2327&lt;&gt;"OK","",$D2327*N(INDEX('Menu Pricing'!$F$7:$F$56,$O2327)))</f>
        <v/>
      </c>
      <c r="N2327" s="80">
        <f>IF(AND($B2327="",$C2327="",$D2327=""),"",IF(NOT(ISNUMBER($B2327)),"Enter a valid date",IF($C2327="","Pick a menu item",IF($O2327="","Item not on Menu Pricing",IF(N($D2327)&lt;=0,"Qty must be above 0",IF($H2327="","No price on menu","OK"))))))</f>
        <v/>
      </c>
      <c r="O2327" s="13">
        <f>IF($C2327="","",IFERROR(MATCH($C2327,'Menu Pricing'!$B$7:$B$56,0),""))</f>
        <v/>
      </c>
    </row>
    <row r="2328" ht="17" customHeight="1">
      <c r="B2328" s="66" t="n"/>
      <c r="C2328" s="60" t="n"/>
      <c r="D2328" s="86" t="n"/>
      <c r="E2328" s="63" t="n"/>
      <c r="F2328" s="60" t="n"/>
      <c r="G2328" s="60" t="n"/>
      <c r="H2328" s="71">
        <f>IF(OR($C2328="",$D2328=""),"",IF(ISNUMBER($E2328),$E2328,IF($O2328="","",IF(N(INDEX('Menu Pricing'!$O$7:$O$56,$O2328))&gt;0,INDEX('Menu Pricing'!$O$7:$O$56,$O2328),""))))</f>
        <v/>
      </c>
      <c r="I2328" s="71">
        <f>IF($N2328&lt;&gt;"OK","",$D2328*$H2328)</f>
        <v/>
      </c>
      <c r="J2328" s="71">
        <f>IF($N2328&lt;&gt;"OK","",N(INDEX('Menu Pricing'!$F$7:$F$56,$O2328))+N(INDEX('Menu Pricing'!$G$7:$G$56,$O2328))+N(INDEX('Menu Pricing'!$J$7:$J$56,$O2328)))</f>
        <v/>
      </c>
      <c r="K2328" s="71">
        <f>IF($N2328&lt;&gt;"OK","",$D2328*$J2328)</f>
        <v/>
      </c>
      <c r="L2328" s="71">
        <f>IF($N2328&lt;&gt;"OK","",$I2328-$K2328)</f>
        <v/>
      </c>
      <c r="M2328" s="71">
        <f>IF($N2328&lt;&gt;"OK","",$D2328*N(INDEX('Menu Pricing'!$F$7:$F$56,$O2328)))</f>
        <v/>
      </c>
      <c r="N2328" s="80">
        <f>IF(AND($B2328="",$C2328="",$D2328=""),"",IF(NOT(ISNUMBER($B2328)),"Enter a valid date",IF($C2328="","Pick a menu item",IF($O2328="","Item not on Menu Pricing",IF(N($D2328)&lt;=0,"Qty must be above 0",IF($H2328="","No price on menu","OK"))))))</f>
        <v/>
      </c>
      <c r="O2328" s="13">
        <f>IF($C2328="","",IFERROR(MATCH($C2328,'Menu Pricing'!$B$7:$B$56,0),""))</f>
        <v/>
      </c>
    </row>
    <row r="2329" ht="17" customHeight="1">
      <c r="B2329" s="66" t="n"/>
      <c r="C2329" s="60" t="n"/>
      <c r="D2329" s="86" t="n"/>
      <c r="E2329" s="63" t="n"/>
      <c r="F2329" s="60" t="n"/>
      <c r="G2329" s="60" t="n"/>
      <c r="H2329" s="71">
        <f>IF(OR($C2329="",$D2329=""),"",IF(ISNUMBER($E2329),$E2329,IF($O2329="","",IF(N(INDEX('Menu Pricing'!$O$7:$O$56,$O2329))&gt;0,INDEX('Menu Pricing'!$O$7:$O$56,$O2329),""))))</f>
        <v/>
      </c>
      <c r="I2329" s="71">
        <f>IF($N2329&lt;&gt;"OK","",$D2329*$H2329)</f>
        <v/>
      </c>
      <c r="J2329" s="71">
        <f>IF($N2329&lt;&gt;"OK","",N(INDEX('Menu Pricing'!$F$7:$F$56,$O2329))+N(INDEX('Menu Pricing'!$G$7:$G$56,$O2329))+N(INDEX('Menu Pricing'!$J$7:$J$56,$O2329)))</f>
        <v/>
      </c>
      <c r="K2329" s="71">
        <f>IF($N2329&lt;&gt;"OK","",$D2329*$J2329)</f>
        <v/>
      </c>
      <c r="L2329" s="71">
        <f>IF($N2329&lt;&gt;"OK","",$I2329-$K2329)</f>
        <v/>
      </c>
      <c r="M2329" s="71">
        <f>IF($N2329&lt;&gt;"OK","",$D2329*N(INDEX('Menu Pricing'!$F$7:$F$56,$O2329)))</f>
        <v/>
      </c>
      <c r="N2329" s="80">
        <f>IF(AND($B2329="",$C2329="",$D2329=""),"",IF(NOT(ISNUMBER($B2329)),"Enter a valid date",IF($C2329="","Pick a menu item",IF($O2329="","Item not on Menu Pricing",IF(N($D2329)&lt;=0,"Qty must be above 0",IF($H2329="","No price on menu","OK"))))))</f>
        <v/>
      </c>
      <c r="O2329" s="13">
        <f>IF($C2329="","",IFERROR(MATCH($C2329,'Menu Pricing'!$B$7:$B$56,0),""))</f>
        <v/>
      </c>
    </row>
    <row r="2330" ht="17" customHeight="1">
      <c r="B2330" s="66" t="n"/>
      <c r="C2330" s="60" t="n"/>
      <c r="D2330" s="86" t="n"/>
      <c r="E2330" s="63" t="n"/>
      <c r="F2330" s="60" t="n"/>
      <c r="G2330" s="60" t="n"/>
      <c r="H2330" s="71">
        <f>IF(OR($C2330="",$D2330=""),"",IF(ISNUMBER($E2330),$E2330,IF($O2330="","",IF(N(INDEX('Menu Pricing'!$O$7:$O$56,$O2330))&gt;0,INDEX('Menu Pricing'!$O$7:$O$56,$O2330),""))))</f>
        <v/>
      </c>
      <c r="I2330" s="71">
        <f>IF($N2330&lt;&gt;"OK","",$D2330*$H2330)</f>
        <v/>
      </c>
      <c r="J2330" s="71">
        <f>IF($N2330&lt;&gt;"OK","",N(INDEX('Menu Pricing'!$F$7:$F$56,$O2330))+N(INDEX('Menu Pricing'!$G$7:$G$56,$O2330))+N(INDEX('Menu Pricing'!$J$7:$J$56,$O2330)))</f>
        <v/>
      </c>
      <c r="K2330" s="71">
        <f>IF($N2330&lt;&gt;"OK","",$D2330*$J2330)</f>
        <v/>
      </c>
      <c r="L2330" s="71">
        <f>IF($N2330&lt;&gt;"OK","",$I2330-$K2330)</f>
        <v/>
      </c>
      <c r="M2330" s="71">
        <f>IF($N2330&lt;&gt;"OK","",$D2330*N(INDEX('Menu Pricing'!$F$7:$F$56,$O2330)))</f>
        <v/>
      </c>
      <c r="N2330" s="80">
        <f>IF(AND($B2330="",$C2330="",$D2330=""),"",IF(NOT(ISNUMBER($B2330)),"Enter a valid date",IF($C2330="","Pick a menu item",IF($O2330="","Item not on Menu Pricing",IF(N($D2330)&lt;=0,"Qty must be above 0",IF($H2330="","No price on menu","OK"))))))</f>
        <v/>
      </c>
      <c r="O2330" s="13">
        <f>IF($C2330="","",IFERROR(MATCH($C2330,'Menu Pricing'!$B$7:$B$56,0),""))</f>
        <v/>
      </c>
    </row>
    <row r="2331" ht="17" customHeight="1">
      <c r="B2331" s="66" t="n"/>
      <c r="C2331" s="60" t="n"/>
      <c r="D2331" s="86" t="n"/>
      <c r="E2331" s="63" t="n"/>
      <c r="F2331" s="60" t="n"/>
      <c r="G2331" s="60" t="n"/>
      <c r="H2331" s="71">
        <f>IF(OR($C2331="",$D2331=""),"",IF(ISNUMBER($E2331),$E2331,IF($O2331="","",IF(N(INDEX('Menu Pricing'!$O$7:$O$56,$O2331))&gt;0,INDEX('Menu Pricing'!$O$7:$O$56,$O2331),""))))</f>
        <v/>
      </c>
      <c r="I2331" s="71">
        <f>IF($N2331&lt;&gt;"OK","",$D2331*$H2331)</f>
        <v/>
      </c>
      <c r="J2331" s="71">
        <f>IF($N2331&lt;&gt;"OK","",N(INDEX('Menu Pricing'!$F$7:$F$56,$O2331))+N(INDEX('Menu Pricing'!$G$7:$G$56,$O2331))+N(INDEX('Menu Pricing'!$J$7:$J$56,$O2331)))</f>
        <v/>
      </c>
      <c r="K2331" s="71">
        <f>IF($N2331&lt;&gt;"OK","",$D2331*$J2331)</f>
        <v/>
      </c>
      <c r="L2331" s="71">
        <f>IF($N2331&lt;&gt;"OK","",$I2331-$K2331)</f>
        <v/>
      </c>
      <c r="M2331" s="71">
        <f>IF($N2331&lt;&gt;"OK","",$D2331*N(INDEX('Menu Pricing'!$F$7:$F$56,$O2331)))</f>
        <v/>
      </c>
      <c r="N2331" s="80">
        <f>IF(AND($B2331="",$C2331="",$D2331=""),"",IF(NOT(ISNUMBER($B2331)),"Enter a valid date",IF($C2331="","Pick a menu item",IF($O2331="","Item not on Menu Pricing",IF(N($D2331)&lt;=0,"Qty must be above 0",IF($H2331="","No price on menu","OK"))))))</f>
        <v/>
      </c>
      <c r="O2331" s="13">
        <f>IF($C2331="","",IFERROR(MATCH($C2331,'Menu Pricing'!$B$7:$B$56,0),""))</f>
        <v/>
      </c>
    </row>
    <row r="2332" ht="17" customHeight="1">
      <c r="B2332" s="66" t="n"/>
      <c r="C2332" s="60" t="n"/>
      <c r="D2332" s="86" t="n"/>
      <c r="E2332" s="63" t="n"/>
      <c r="F2332" s="60" t="n"/>
      <c r="G2332" s="60" t="n"/>
      <c r="H2332" s="71">
        <f>IF(OR($C2332="",$D2332=""),"",IF(ISNUMBER($E2332),$E2332,IF($O2332="","",IF(N(INDEX('Menu Pricing'!$O$7:$O$56,$O2332))&gt;0,INDEX('Menu Pricing'!$O$7:$O$56,$O2332),""))))</f>
        <v/>
      </c>
      <c r="I2332" s="71">
        <f>IF($N2332&lt;&gt;"OK","",$D2332*$H2332)</f>
        <v/>
      </c>
      <c r="J2332" s="71">
        <f>IF($N2332&lt;&gt;"OK","",N(INDEX('Menu Pricing'!$F$7:$F$56,$O2332))+N(INDEX('Menu Pricing'!$G$7:$G$56,$O2332))+N(INDEX('Menu Pricing'!$J$7:$J$56,$O2332)))</f>
        <v/>
      </c>
      <c r="K2332" s="71">
        <f>IF($N2332&lt;&gt;"OK","",$D2332*$J2332)</f>
        <v/>
      </c>
      <c r="L2332" s="71">
        <f>IF($N2332&lt;&gt;"OK","",$I2332-$K2332)</f>
        <v/>
      </c>
      <c r="M2332" s="71">
        <f>IF($N2332&lt;&gt;"OK","",$D2332*N(INDEX('Menu Pricing'!$F$7:$F$56,$O2332)))</f>
        <v/>
      </c>
      <c r="N2332" s="80">
        <f>IF(AND($B2332="",$C2332="",$D2332=""),"",IF(NOT(ISNUMBER($B2332)),"Enter a valid date",IF($C2332="","Pick a menu item",IF($O2332="","Item not on Menu Pricing",IF(N($D2332)&lt;=0,"Qty must be above 0",IF($H2332="","No price on menu","OK"))))))</f>
        <v/>
      </c>
      <c r="O2332" s="13">
        <f>IF($C2332="","",IFERROR(MATCH($C2332,'Menu Pricing'!$B$7:$B$56,0),""))</f>
        <v/>
      </c>
    </row>
    <row r="2333" ht="17" customHeight="1">
      <c r="B2333" s="66" t="n"/>
      <c r="C2333" s="60" t="n"/>
      <c r="D2333" s="86" t="n"/>
      <c r="E2333" s="63" t="n"/>
      <c r="F2333" s="60" t="n"/>
      <c r="G2333" s="60" t="n"/>
      <c r="H2333" s="71">
        <f>IF(OR($C2333="",$D2333=""),"",IF(ISNUMBER($E2333),$E2333,IF($O2333="","",IF(N(INDEX('Menu Pricing'!$O$7:$O$56,$O2333))&gt;0,INDEX('Menu Pricing'!$O$7:$O$56,$O2333),""))))</f>
        <v/>
      </c>
      <c r="I2333" s="71">
        <f>IF($N2333&lt;&gt;"OK","",$D2333*$H2333)</f>
        <v/>
      </c>
      <c r="J2333" s="71">
        <f>IF($N2333&lt;&gt;"OK","",N(INDEX('Menu Pricing'!$F$7:$F$56,$O2333))+N(INDEX('Menu Pricing'!$G$7:$G$56,$O2333))+N(INDEX('Menu Pricing'!$J$7:$J$56,$O2333)))</f>
        <v/>
      </c>
      <c r="K2333" s="71">
        <f>IF($N2333&lt;&gt;"OK","",$D2333*$J2333)</f>
        <v/>
      </c>
      <c r="L2333" s="71">
        <f>IF($N2333&lt;&gt;"OK","",$I2333-$K2333)</f>
        <v/>
      </c>
      <c r="M2333" s="71">
        <f>IF($N2333&lt;&gt;"OK","",$D2333*N(INDEX('Menu Pricing'!$F$7:$F$56,$O2333)))</f>
        <v/>
      </c>
      <c r="N2333" s="80">
        <f>IF(AND($B2333="",$C2333="",$D2333=""),"",IF(NOT(ISNUMBER($B2333)),"Enter a valid date",IF($C2333="","Pick a menu item",IF($O2333="","Item not on Menu Pricing",IF(N($D2333)&lt;=0,"Qty must be above 0",IF($H2333="","No price on menu","OK"))))))</f>
        <v/>
      </c>
      <c r="O2333" s="13">
        <f>IF($C2333="","",IFERROR(MATCH($C2333,'Menu Pricing'!$B$7:$B$56,0),""))</f>
        <v/>
      </c>
    </row>
    <row r="2334" ht="17" customHeight="1">
      <c r="B2334" s="66" t="n"/>
      <c r="C2334" s="60" t="n"/>
      <c r="D2334" s="86" t="n"/>
      <c r="E2334" s="63" t="n"/>
      <c r="F2334" s="60" t="n"/>
      <c r="G2334" s="60" t="n"/>
      <c r="H2334" s="71">
        <f>IF(OR($C2334="",$D2334=""),"",IF(ISNUMBER($E2334),$E2334,IF($O2334="","",IF(N(INDEX('Menu Pricing'!$O$7:$O$56,$O2334))&gt;0,INDEX('Menu Pricing'!$O$7:$O$56,$O2334),""))))</f>
        <v/>
      </c>
      <c r="I2334" s="71">
        <f>IF($N2334&lt;&gt;"OK","",$D2334*$H2334)</f>
        <v/>
      </c>
      <c r="J2334" s="71">
        <f>IF($N2334&lt;&gt;"OK","",N(INDEX('Menu Pricing'!$F$7:$F$56,$O2334))+N(INDEX('Menu Pricing'!$G$7:$G$56,$O2334))+N(INDEX('Menu Pricing'!$J$7:$J$56,$O2334)))</f>
        <v/>
      </c>
      <c r="K2334" s="71">
        <f>IF($N2334&lt;&gt;"OK","",$D2334*$J2334)</f>
        <v/>
      </c>
      <c r="L2334" s="71">
        <f>IF($N2334&lt;&gt;"OK","",$I2334-$K2334)</f>
        <v/>
      </c>
      <c r="M2334" s="71">
        <f>IF($N2334&lt;&gt;"OK","",$D2334*N(INDEX('Menu Pricing'!$F$7:$F$56,$O2334)))</f>
        <v/>
      </c>
      <c r="N2334" s="80">
        <f>IF(AND($B2334="",$C2334="",$D2334=""),"",IF(NOT(ISNUMBER($B2334)),"Enter a valid date",IF($C2334="","Pick a menu item",IF($O2334="","Item not on Menu Pricing",IF(N($D2334)&lt;=0,"Qty must be above 0",IF($H2334="","No price on menu","OK"))))))</f>
        <v/>
      </c>
      <c r="O2334" s="13">
        <f>IF($C2334="","",IFERROR(MATCH($C2334,'Menu Pricing'!$B$7:$B$56,0),""))</f>
        <v/>
      </c>
    </row>
    <row r="2335" ht="17" customHeight="1">
      <c r="B2335" s="66" t="n"/>
      <c r="C2335" s="60" t="n"/>
      <c r="D2335" s="86" t="n"/>
      <c r="E2335" s="63" t="n"/>
      <c r="F2335" s="60" t="n"/>
      <c r="G2335" s="60" t="n"/>
      <c r="H2335" s="71">
        <f>IF(OR($C2335="",$D2335=""),"",IF(ISNUMBER($E2335),$E2335,IF($O2335="","",IF(N(INDEX('Menu Pricing'!$O$7:$O$56,$O2335))&gt;0,INDEX('Menu Pricing'!$O$7:$O$56,$O2335),""))))</f>
        <v/>
      </c>
      <c r="I2335" s="71">
        <f>IF($N2335&lt;&gt;"OK","",$D2335*$H2335)</f>
        <v/>
      </c>
      <c r="J2335" s="71">
        <f>IF($N2335&lt;&gt;"OK","",N(INDEX('Menu Pricing'!$F$7:$F$56,$O2335))+N(INDEX('Menu Pricing'!$G$7:$G$56,$O2335))+N(INDEX('Menu Pricing'!$J$7:$J$56,$O2335)))</f>
        <v/>
      </c>
      <c r="K2335" s="71">
        <f>IF($N2335&lt;&gt;"OK","",$D2335*$J2335)</f>
        <v/>
      </c>
      <c r="L2335" s="71">
        <f>IF($N2335&lt;&gt;"OK","",$I2335-$K2335)</f>
        <v/>
      </c>
      <c r="M2335" s="71">
        <f>IF($N2335&lt;&gt;"OK","",$D2335*N(INDEX('Menu Pricing'!$F$7:$F$56,$O2335)))</f>
        <v/>
      </c>
      <c r="N2335" s="80">
        <f>IF(AND($B2335="",$C2335="",$D2335=""),"",IF(NOT(ISNUMBER($B2335)),"Enter a valid date",IF($C2335="","Pick a menu item",IF($O2335="","Item not on Menu Pricing",IF(N($D2335)&lt;=0,"Qty must be above 0",IF($H2335="","No price on menu","OK"))))))</f>
        <v/>
      </c>
      <c r="O2335" s="13">
        <f>IF($C2335="","",IFERROR(MATCH($C2335,'Menu Pricing'!$B$7:$B$56,0),""))</f>
        <v/>
      </c>
    </row>
    <row r="2336" ht="17" customHeight="1">
      <c r="B2336" s="66" t="n"/>
      <c r="C2336" s="60" t="n"/>
      <c r="D2336" s="86" t="n"/>
      <c r="E2336" s="63" t="n"/>
      <c r="F2336" s="60" t="n"/>
      <c r="G2336" s="60" t="n"/>
      <c r="H2336" s="71">
        <f>IF(OR($C2336="",$D2336=""),"",IF(ISNUMBER($E2336),$E2336,IF($O2336="","",IF(N(INDEX('Menu Pricing'!$O$7:$O$56,$O2336))&gt;0,INDEX('Menu Pricing'!$O$7:$O$56,$O2336),""))))</f>
        <v/>
      </c>
      <c r="I2336" s="71">
        <f>IF($N2336&lt;&gt;"OK","",$D2336*$H2336)</f>
        <v/>
      </c>
      <c r="J2336" s="71">
        <f>IF($N2336&lt;&gt;"OK","",N(INDEX('Menu Pricing'!$F$7:$F$56,$O2336))+N(INDEX('Menu Pricing'!$G$7:$G$56,$O2336))+N(INDEX('Menu Pricing'!$J$7:$J$56,$O2336)))</f>
        <v/>
      </c>
      <c r="K2336" s="71">
        <f>IF($N2336&lt;&gt;"OK","",$D2336*$J2336)</f>
        <v/>
      </c>
      <c r="L2336" s="71">
        <f>IF($N2336&lt;&gt;"OK","",$I2336-$K2336)</f>
        <v/>
      </c>
      <c r="M2336" s="71">
        <f>IF($N2336&lt;&gt;"OK","",$D2336*N(INDEX('Menu Pricing'!$F$7:$F$56,$O2336)))</f>
        <v/>
      </c>
      <c r="N2336" s="80">
        <f>IF(AND($B2336="",$C2336="",$D2336=""),"",IF(NOT(ISNUMBER($B2336)),"Enter a valid date",IF($C2336="","Pick a menu item",IF($O2336="","Item not on Menu Pricing",IF(N($D2336)&lt;=0,"Qty must be above 0",IF($H2336="","No price on menu","OK"))))))</f>
        <v/>
      </c>
      <c r="O2336" s="13">
        <f>IF($C2336="","",IFERROR(MATCH($C2336,'Menu Pricing'!$B$7:$B$56,0),""))</f>
        <v/>
      </c>
    </row>
    <row r="2337" ht="17" customHeight="1">
      <c r="B2337" s="66" t="n"/>
      <c r="C2337" s="60" t="n"/>
      <c r="D2337" s="86" t="n"/>
      <c r="E2337" s="63" t="n"/>
      <c r="F2337" s="60" t="n"/>
      <c r="G2337" s="60" t="n"/>
      <c r="H2337" s="71">
        <f>IF(OR($C2337="",$D2337=""),"",IF(ISNUMBER($E2337),$E2337,IF($O2337="","",IF(N(INDEX('Menu Pricing'!$O$7:$O$56,$O2337))&gt;0,INDEX('Menu Pricing'!$O$7:$O$56,$O2337),""))))</f>
        <v/>
      </c>
      <c r="I2337" s="71">
        <f>IF($N2337&lt;&gt;"OK","",$D2337*$H2337)</f>
        <v/>
      </c>
      <c r="J2337" s="71">
        <f>IF($N2337&lt;&gt;"OK","",N(INDEX('Menu Pricing'!$F$7:$F$56,$O2337))+N(INDEX('Menu Pricing'!$G$7:$G$56,$O2337))+N(INDEX('Menu Pricing'!$J$7:$J$56,$O2337)))</f>
        <v/>
      </c>
      <c r="K2337" s="71">
        <f>IF($N2337&lt;&gt;"OK","",$D2337*$J2337)</f>
        <v/>
      </c>
      <c r="L2337" s="71">
        <f>IF($N2337&lt;&gt;"OK","",$I2337-$K2337)</f>
        <v/>
      </c>
      <c r="M2337" s="71">
        <f>IF($N2337&lt;&gt;"OK","",$D2337*N(INDEX('Menu Pricing'!$F$7:$F$56,$O2337)))</f>
        <v/>
      </c>
      <c r="N2337" s="80">
        <f>IF(AND($B2337="",$C2337="",$D2337=""),"",IF(NOT(ISNUMBER($B2337)),"Enter a valid date",IF($C2337="","Pick a menu item",IF($O2337="","Item not on Menu Pricing",IF(N($D2337)&lt;=0,"Qty must be above 0",IF($H2337="","No price on menu","OK"))))))</f>
        <v/>
      </c>
      <c r="O2337" s="13">
        <f>IF($C2337="","",IFERROR(MATCH($C2337,'Menu Pricing'!$B$7:$B$56,0),""))</f>
        <v/>
      </c>
    </row>
    <row r="2338" ht="17" customHeight="1">
      <c r="B2338" s="66" t="n"/>
      <c r="C2338" s="60" t="n"/>
      <c r="D2338" s="86" t="n"/>
      <c r="E2338" s="63" t="n"/>
      <c r="F2338" s="60" t="n"/>
      <c r="G2338" s="60" t="n"/>
      <c r="H2338" s="71">
        <f>IF(OR($C2338="",$D2338=""),"",IF(ISNUMBER($E2338),$E2338,IF($O2338="","",IF(N(INDEX('Menu Pricing'!$O$7:$O$56,$O2338))&gt;0,INDEX('Menu Pricing'!$O$7:$O$56,$O2338),""))))</f>
        <v/>
      </c>
      <c r="I2338" s="71">
        <f>IF($N2338&lt;&gt;"OK","",$D2338*$H2338)</f>
        <v/>
      </c>
      <c r="J2338" s="71">
        <f>IF($N2338&lt;&gt;"OK","",N(INDEX('Menu Pricing'!$F$7:$F$56,$O2338))+N(INDEX('Menu Pricing'!$G$7:$G$56,$O2338))+N(INDEX('Menu Pricing'!$J$7:$J$56,$O2338)))</f>
        <v/>
      </c>
      <c r="K2338" s="71">
        <f>IF($N2338&lt;&gt;"OK","",$D2338*$J2338)</f>
        <v/>
      </c>
      <c r="L2338" s="71">
        <f>IF($N2338&lt;&gt;"OK","",$I2338-$K2338)</f>
        <v/>
      </c>
      <c r="M2338" s="71">
        <f>IF($N2338&lt;&gt;"OK","",$D2338*N(INDEX('Menu Pricing'!$F$7:$F$56,$O2338)))</f>
        <v/>
      </c>
      <c r="N2338" s="80">
        <f>IF(AND($B2338="",$C2338="",$D2338=""),"",IF(NOT(ISNUMBER($B2338)),"Enter a valid date",IF($C2338="","Pick a menu item",IF($O2338="","Item not on Menu Pricing",IF(N($D2338)&lt;=0,"Qty must be above 0",IF($H2338="","No price on menu","OK"))))))</f>
        <v/>
      </c>
      <c r="O2338" s="13">
        <f>IF($C2338="","",IFERROR(MATCH($C2338,'Menu Pricing'!$B$7:$B$56,0),""))</f>
        <v/>
      </c>
    </row>
    <row r="2339" ht="17" customHeight="1">
      <c r="B2339" s="66" t="n"/>
      <c r="C2339" s="60" t="n"/>
      <c r="D2339" s="86" t="n"/>
      <c r="E2339" s="63" t="n"/>
      <c r="F2339" s="60" t="n"/>
      <c r="G2339" s="60" t="n"/>
      <c r="H2339" s="71">
        <f>IF(OR($C2339="",$D2339=""),"",IF(ISNUMBER($E2339),$E2339,IF($O2339="","",IF(N(INDEX('Menu Pricing'!$O$7:$O$56,$O2339))&gt;0,INDEX('Menu Pricing'!$O$7:$O$56,$O2339),""))))</f>
        <v/>
      </c>
      <c r="I2339" s="71">
        <f>IF($N2339&lt;&gt;"OK","",$D2339*$H2339)</f>
        <v/>
      </c>
      <c r="J2339" s="71">
        <f>IF($N2339&lt;&gt;"OK","",N(INDEX('Menu Pricing'!$F$7:$F$56,$O2339))+N(INDEX('Menu Pricing'!$G$7:$G$56,$O2339))+N(INDEX('Menu Pricing'!$J$7:$J$56,$O2339)))</f>
        <v/>
      </c>
      <c r="K2339" s="71">
        <f>IF($N2339&lt;&gt;"OK","",$D2339*$J2339)</f>
        <v/>
      </c>
      <c r="L2339" s="71">
        <f>IF($N2339&lt;&gt;"OK","",$I2339-$K2339)</f>
        <v/>
      </c>
      <c r="M2339" s="71">
        <f>IF($N2339&lt;&gt;"OK","",$D2339*N(INDEX('Menu Pricing'!$F$7:$F$56,$O2339)))</f>
        <v/>
      </c>
      <c r="N2339" s="80">
        <f>IF(AND($B2339="",$C2339="",$D2339=""),"",IF(NOT(ISNUMBER($B2339)),"Enter a valid date",IF($C2339="","Pick a menu item",IF($O2339="","Item not on Menu Pricing",IF(N($D2339)&lt;=0,"Qty must be above 0",IF($H2339="","No price on menu","OK"))))))</f>
        <v/>
      </c>
      <c r="O2339" s="13">
        <f>IF($C2339="","",IFERROR(MATCH($C2339,'Menu Pricing'!$B$7:$B$56,0),""))</f>
        <v/>
      </c>
    </row>
    <row r="2340" ht="17" customHeight="1">
      <c r="B2340" s="66" t="n"/>
      <c r="C2340" s="60" t="n"/>
      <c r="D2340" s="86" t="n"/>
      <c r="E2340" s="63" t="n"/>
      <c r="F2340" s="60" t="n"/>
      <c r="G2340" s="60" t="n"/>
      <c r="H2340" s="71">
        <f>IF(OR($C2340="",$D2340=""),"",IF(ISNUMBER($E2340),$E2340,IF($O2340="","",IF(N(INDEX('Menu Pricing'!$O$7:$O$56,$O2340))&gt;0,INDEX('Menu Pricing'!$O$7:$O$56,$O2340),""))))</f>
        <v/>
      </c>
      <c r="I2340" s="71">
        <f>IF($N2340&lt;&gt;"OK","",$D2340*$H2340)</f>
        <v/>
      </c>
      <c r="J2340" s="71">
        <f>IF($N2340&lt;&gt;"OK","",N(INDEX('Menu Pricing'!$F$7:$F$56,$O2340))+N(INDEX('Menu Pricing'!$G$7:$G$56,$O2340))+N(INDEX('Menu Pricing'!$J$7:$J$56,$O2340)))</f>
        <v/>
      </c>
      <c r="K2340" s="71">
        <f>IF($N2340&lt;&gt;"OK","",$D2340*$J2340)</f>
        <v/>
      </c>
      <c r="L2340" s="71">
        <f>IF($N2340&lt;&gt;"OK","",$I2340-$K2340)</f>
        <v/>
      </c>
      <c r="M2340" s="71">
        <f>IF($N2340&lt;&gt;"OK","",$D2340*N(INDEX('Menu Pricing'!$F$7:$F$56,$O2340)))</f>
        <v/>
      </c>
      <c r="N2340" s="80">
        <f>IF(AND($B2340="",$C2340="",$D2340=""),"",IF(NOT(ISNUMBER($B2340)),"Enter a valid date",IF($C2340="","Pick a menu item",IF($O2340="","Item not on Menu Pricing",IF(N($D2340)&lt;=0,"Qty must be above 0",IF($H2340="","No price on menu","OK"))))))</f>
        <v/>
      </c>
      <c r="O2340" s="13">
        <f>IF($C2340="","",IFERROR(MATCH($C2340,'Menu Pricing'!$B$7:$B$56,0),""))</f>
        <v/>
      </c>
    </row>
    <row r="2341" ht="17" customHeight="1">
      <c r="B2341" s="66" t="n"/>
      <c r="C2341" s="60" t="n"/>
      <c r="D2341" s="86" t="n"/>
      <c r="E2341" s="63" t="n"/>
      <c r="F2341" s="60" t="n"/>
      <c r="G2341" s="60" t="n"/>
      <c r="H2341" s="71">
        <f>IF(OR($C2341="",$D2341=""),"",IF(ISNUMBER($E2341),$E2341,IF($O2341="","",IF(N(INDEX('Menu Pricing'!$O$7:$O$56,$O2341))&gt;0,INDEX('Menu Pricing'!$O$7:$O$56,$O2341),""))))</f>
        <v/>
      </c>
      <c r="I2341" s="71">
        <f>IF($N2341&lt;&gt;"OK","",$D2341*$H2341)</f>
        <v/>
      </c>
      <c r="J2341" s="71">
        <f>IF($N2341&lt;&gt;"OK","",N(INDEX('Menu Pricing'!$F$7:$F$56,$O2341))+N(INDEX('Menu Pricing'!$G$7:$G$56,$O2341))+N(INDEX('Menu Pricing'!$J$7:$J$56,$O2341)))</f>
        <v/>
      </c>
      <c r="K2341" s="71">
        <f>IF($N2341&lt;&gt;"OK","",$D2341*$J2341)</f>
        <v/>
      </c>
      <c r="L2341" s="71">
        <f>IF($N2341&lt;&gt;"OK","",$I2341-$K2341)</f>
        <v/>
      </c>
      <c r="M2341" s="71">
        <f>IF($N2341&lt;&gt;"OK","",$D2341*N(INDEX('Menu Pricing'!$F$7:$F$56,$O2341)))</f>
        <v/>
      </c>
      <c r="N2341" s="80">
        <f>IF(AND($B2341="",$C2341="",$D2341=""),"",IF(NOT(ISNUMBER($B2341)),"Enter a valid date",IF($C2341="","Pick a menu item",IF($O2341="","Item not on Menu Pricing",IF(N($D2341)&lt;=0,"Qty must be above 0",IF($H2341="","No price on menu","OK"))))))</f>
        <v/>
      </c>
      <c r="O2341" s="13">
        <f>IF($C2341="","",IFERROR(MATCH($C2341,'Menu Pricing'!$B$7:$B$56,0),""))</f>
        <v/>
      </c>
    </row>
    <row r="2342" ht="17" customHeight="1">
      <c r="B2342" s="66" t="n"/>
      <c r="C2342" s="60" t="n"/>
      <c r="D2342" s="86" t="n"/>
      <c r="E2342" s="63" t="n"/>
      <c r="F2342" s="60" t="n"/>
      <c r="G2342" s="60" t="n"/>
      <c r="H2342" s="71">
        <f>IF(OR($C2342="",$D2342=""),"",IF(ISNUMBER($E2342),$E2342,IF($O2342="","",IF(N(INDEX('Menu Pricing'!$O$7:$O$56,$O2342))&gt;0,INDEX('Menu Pricing'!$O$7:$O$56,$O2342),""))))</f>
        <v/>
      </c>
      <c r="I2342" s="71">
        <f>IF($N2342&lt;&gt;"OK","",$D2342*$H2342)</f>
        <v/>
      </c>
      <c r="J2342" s="71">
        <f>IF($N2342&lt;&gt;"OK","",N(INDEX('Menu Pricing'!$F$7:$F$56,$O2342))+N(INDEX('Menu Pricing'!$G$7:$G$56,$O2342))+N(INDEX('Menu Pricing'!$J$7:$J$56,$O2342)))</f>
        <v/>
      </c>
      <c r="K2342" s="71">
        <f>IF($N2342&lt;&gt;"OK","",$D2342*$J2342)</f>
        <v/>
      </c>
      <c r="L2342" s="71">
        <f>IF($N2342&lt;&gt;"OK","",$I2342-$K2342)</f>
        <v/>
      </c>
      <c r="M2342" s="71">
        <f>IF($N2342&lt;&gt;"OK","",$D2342*N(INDEX('Menu Pricing'!$F$7:$F$56,$O2342)))</f>
        <v/>
      </c>
      <c r="N2342" s="80">
        <f>IF(AND($B2342="",$C2342="",$D2342=""),"",IF(NOT(ISNUMBER($B2342)),"Enter a valid date",IF($C2342="","Pick a menu item",IF($O2342="","Item not on Menu Pricing",IF(N($D2342)&lt;=0,"Qty must be above 0",IF($H2342="","No price on menu","OK"))))))</f>
        <v/>
      </c>
      <c r="O2342" s="13">
        <f>IF($C2342="","",IFERROR(MATCH($C2342,'Menu Pricing'!$B$7:$B$56,0),""))</f>
        <v/>
      </c>
    </row>
    <row r="2343" ht="17" customHeight="1">
      <c r="B2343" s="66" t="n"/>
      <c r="C2343" s="60" t="n"/>
      <c r="D2343" s="86" t="n"/>
      <c r="E2343" s="63" t="n"/>
      <c r="F2343" s="60" t="n"/>
      <c r="G2343" s="60" t="n"/>
      <c r="H2343" s="71">
        <f>IF(OR($C2343="",$D2343=""),"",IF(ISNUMBER($E2343),$E2343,IF($O2343="","",IF(N(INDEX('Menu Pricing'!$O$7:$O$56,$O2343))&gt;0,INDEX('Menu Pricing'!$O$7:$O$56,$O2343),""))))</f>
        <v/>
      </c>
      <c r="I2343" s="71">
        <f>IF($N2343&lt;&gt;"OK","",$D2343*$H2343)</f>
        <v/>
      </c>
      <c r="J2343" s="71">
        <f>IF($N2343&lt;&gt;"OK","",N(INDEX('Menu Pricing'!$F$7:$F$56,$O2343))+N(INDEX('Menu Pricing'!$G$7:$G$56,$O2343))+N(INDEX('Menu Pricing'!$J$7:$J$56,$O2343)))</f>
        <v/>
      </c>
      <c r="K2343" s="71">
        <f>IF($N2343&lt;&gt;"OK","",$D2343*$J2343)</f>
        <v/>
      </c>
      <c r="L2343" s="71">
        <f>IF($N2343&lt;&gt;"OK","",$I2343-$K2343)</f>
        <v/>
      </c>
      <c r="M2343" s="71">
        <f>IF($N2343&lt;&gt;"OK","",$D2343*N(INDEX('Menu Pricing'!$F$7:$F$56,$O2343)))</f>
        <v/>
      </c>
      <c r="N2343" s="80">
        <f>IF(AND($B2343="",$C2343="",$D2343=""),"",IF(NOT(ISNUMBER($B2343)),"Enter a valid date",IF($C2343="","Pick a menu item",IF($O2343="","Item not on Menu Pricing",IF(N($D2343)&lt;=0,"Qty must be above 0",IF($H2343="","No price on menu","OK"))))))</f>
        <v/>
      </c>
      <c r="O2343" s="13">
        <f>IF($C2343="","",IFERROR(MATCH($C2343,'Menu Pricing'!$B$7:$B$56,0),""))</f>
        <v/>
      </c>
    </row>
    <row r="2344" ht="17" customHeight="1">
      <c r="B2344" s="66" t="n"/>
      <c r="C2344" s="60" t="n"/>
      <c r="D2344" s="86" t="n"/>
      <c r="E2344" s="63" t="n"/>
      <c r="F2344" s="60" t="n"/>
      <c r="G2344" s="60" t="n"/>
      <c r="H2344" s="71">
        <f>IF(OR($C2344="",$D2344=""),"",IF(ISNUMBER($E2344),$E2344,IF($O2344="","",IF(N(INDEX('Menu Pricing'!$O$7:$O$56,$O2344))&gt;0,INDEX('Menu Pricing'!$O$7:$O$56,$O2344),""))))</f>
        <v/>
      </c>
      <c r="I2344" s="71">
        <f>IF($N2344&lt;&gt;"OK","",$D2344*$H2344)</f>
        <v/>
      </c>
      <c r="J2344" s="71">
        <f>IF($N2344&lt;&gt;"OK","",N(INDEX('Menu Pricing'!$F$7:$F$56,$O2344))+N(INDEX('Menu Pricing'!$G$7:$G$56,$O2344))+N(INDEX('Menu Pricing'!$J$7:$J$56,$O2344)))</f>
        <v/>
      </c>
      <c r="K2344" s="71">
        <f>IF($N2344&lt;&gt;"OK","",$D2344*$J2344)</f>
        <v/>
      </c>
      <c r="L2344" s="71">
        <f>IF($N2344&lt;&gt;"OK","",$I2344-$K2344)</f>
        <v/>
      </c>
      <c r="M2344" s="71">
        <f>IF($N2344&lt;&gt;"OK","",$D2344*N(INDEX('Menu Pricing'!$F$7:$F$56,$O2344)))</f>
        <v/>
      </c>
      <c r="N2344" s="80">
        <f>IF(AND($B2344="",$C2344="",$D2344=""),"",IF(NOT(ISNUMBER($B2344)),"Enter a valid date",IF($C2344="","Pick a menu item",IF($O2344="","Item not on Menu Pricing",IF(N($D2344)&lt;=0,"Qty must be above 0",IF($H2344="","No price on menu","OK"))))))</f>
        <v/>
      </c>
      <c r="O2344" s="13">
        <f>IF($C2344="","",IFERROR(MATCH($C2344,'Menu Pricing'!$B$7:$B$56,0),""))</f>
        <v/>
      </c>
    </row>
    <row r="2345" ht="17" customHeight="1">
      <c r="B2345" s="66" t="n"/>
      <c r="C2345" s="60" t="n"/>
      <c r="D2345" s="86" t="n"/>
      <c r="E2345" s="63" t="n"/>
      <c r="F2345" s="60" t="n"/>
      <c r="G2345" s="60" t="n"/>
      <c r="H2345" s="71">
        <f>IF(OR($C2345="",$D2345=""),"",IF(ISNUMBER($E2345),$E2345,IF($O2345="","",IF(N(INDEX('Menu Pricing'!$O$7:$O$56,$O2345))&gt;0,INDEX('Menu Pricing'!$O$7:$O$56,$O2345),""))))</f>
        <v/>
      </c>
      <c r="I2345" s="71">
        <f>IF($N2345&lt;&gt;"OK","",$D2345*$H2345)</f>
        <v/>
      </c>
      <c r="J2345" s="71">
        <f>IF($N2345&lt;&gt;"OK","",N(INDEX('Menu Pricing'!$F$7:$F$56,$O2345))+N(INDEX('Menu Pricing'!$G$7:$G$56,$O2345))+N(INDEX('Menu Pricing'!$J$7:$J$56,$O2345)))</f>
        <v/>
      </c>
      <c r="K2345" s="71">
        <f>IF($N2345&lt;&gt;"OK","",$D2345*$J2345)</f>
        <v/>
      </c>
      <c r="L2345" s="71">
        <f>IF($N2345&lt;&gt;"OK","",$I2345-$K2345)</f>
        <v/>
      </c>
      <c r="M2345" s="71">
        <f>IF($N2345&lt;&gt;"OK","",$D2345*N(INDEX('Menu Pricing'!$F$7:$F$56,$O2345)))</f>
        <v/>
      </c>
      <c r="N2345" s="80">
        <f>IF(AND($B2345="",$C2345="",$D2345=""),"",IF(NOT(ISNUMBER($B2345)),"Enter a valid date",IF($C2345="","Pick a menu item",IF($O2345="","Item not on Menu Pricing",IF(N($D2345)&lt;=0,"Qty must be above 0",IF($H2345="","No price on menu","OK"))))))</f>
        <v/>
      </c>
      <c r="O2345" s="13">
        <f>IF($C2345="","",IFERROR(MATCH($C2345,'Menu Pricing'!$B$7:$B$56,0),""))</f>
        <v/>
      </c>
    </row>
    <row r="2346" ht="17" customHeight="1">
      <c r="B2346" s="66" t="n"/>
      <c r="C2346" s="60" t="n"/>
      <c r="D2346" s="86" t="n"/>
      <c r="E2346" s="63" t="n"/>
      <c r="F2346" s="60" t="n"/>
      <c r="G2346" s="60" t="n"/>
      <c r="H2346" s="71">
        <f>IF(OR($C2346="",$D2346=""),"",IF(ISNUMBER($E2346),$E2346,IF($O2346="","",IF(N(INDEX('Menu Pricing'!$O$7:$O$56,$O2346))&gt;0,INDEX('Menu Pricing'!$O$7:$O$56,$O2346),""))))</f>
        <v/>
      </c>
      <c r="I2346" s="71">
        <f>IF($N2346&lt;&gt;"OK","",$D2346*$H2346)</f>
        <v/>
      </c>
      <c r="J2346" s="71">
        <f>IF($N2346&lt;&gt;"OK","",N(INDEX('Menu Pricing'!$F$7:$F$56,$O2346))+N(INDEX('Menu Pricing'!$G$7:$G$56,$O2346))+N(INDEX('Menu Pricing'!$J$7:$J$56,$O2346)))</f>
        <v/>
      </c>
      <c r="K2346" s="71">
        <f>IF($N2346&lt;&gt;"OK","",$D2346*$J2346)</f>
        <v/>
      </c>
      <c r="L2346" s="71">
        <f>IF($N2346&lt;&gt;"OK","",$I2346-$K2346)</f>
        <v/>
      </c>
      <c r="M2346" s="71">
        <f>IF($N2346&lt;&gt;"OK","",$D2346*N(INDEX('Menu Pricing'!$F$7:$F$56,$O2346)))</f>
        <v/>
      </c>
      <c r="N2346" s="80">
        <f>IF(AND($B2346="",$C2346="",$D2346=""),"",IF(NOT(ISNUMBER($B2346)),"Enter a valid date",IF($C2346="","Pick a menu item",IF($O2346="","Item not on Menu Pricing",IF(N($D2346)&lt;=0,"Qty must be above 0",IF($H2346="","No price on menu","OK"))))))</f>
        <v/>
      </c>
      <c r="O2346" s="13">
        <f>IF($C2346="","",IFERROR(MATCH($C2346,'Menu Pricing'!$B$7:$B$56,0),""))</f>
        <v/>
      </c>
    </row>
    <row r="2347" ht="17" customHeight="1">
      <c r="B2347" s="66" t="n"/>
      <c r="C2347" s="60" t="n"/>
      <c r="D2347" s="86" t="n"/>
      <c r="E2347" s="63" t="n"/>
      <c r="F2347" s="60" t="n"/>
      <c r="G2347" s="60" t="n"/>
      <c r="H2347" s="71">
        <f>IF(OR($C2347="",$D2347=""),"",IF(ISNUMBER($E2347),$E2347,IF($O2347="","",IF(N(INDEX('Menu Pricing'!$O$7:$O$56,$O2347))&gt;0,INDEX('Menu Pricing'!$O$7:$O$56,$O2347),""))))</f>
        <v/>
      </c>
      <c r="I2347" s="71">
        <f>IF($N2347&lt;&gt;"OK","",$D2347*$H2347)</f>
        <v/>
      </c>
      <c r="J2347" s="71">
        <f>IF($N2347&lt;&gt;"OK","",N(INDEX('Menu Pricing'!$F$7:$F$56,$O2347))+N(INDEX('Menu Pricing'!$G$7:$G$56,$O2347))+N(INDEX('Menu Pricing'!$J$7:$J$56,$O2347)))</f>
        <v/>
      </c>
      <c r="K2347" s="71">
        <f>IF($N2347&lt;&gt;"OK","",$D2347*$J2347)</f>
        <v/>
      </c>
      <c r="L2347" s="71">
        <f>IF($N2347&lt;&gt;"OK","",$I2347-$K2347)</f>
        <v/>
      </c>
      <c r="M2347" s="71">
        <f>IF($N2347&lt;&gt;"OK","",$D2347*N(INDEX('Menu Pricing'!$F$7:$F$56,$O2347)))</f>
        <v/>
      </c>
      <c r="N2347" s="80">
        <f>IF(AND($B2347="",$C2347="",$D2347=""),"",IF(NOT(ISNUMBER($B2347)),"Enter a valid date",IF($C2347="","Pick a menu item",IF($O2347="","Item not on Menu Pricing",IF(N($D2347)&lt;=0,"Qty must be above 0",IF($H2347="","No price on menu","OK"))))))</f>
        <v/>
      </c>
      <c r="O2347" s="13">
        <f>IF($C2347="","",IFERROR(MATCH($C2347,'Menu Pricing'!$B$7:$B$56,0),""))</f>
        <v/>
      </c>
    </row>
    <row r="2348" ht="17" customHeight="1">
      <c r="B2348" s="66" t="n"/>
      <c r="C2348" s="60" t="n"/>
      <c r="D2348" s="86" t="n"/>
      <c r="E2348" s="63" t="n"/>
      <c r="F2348" s="60" t="n"/>
      <c r="G2348" s="60" t="n"/>
      <c r="H2348" s="71">
        <f>IF(OR($C2348="",$D2348=""),"",IF(ISNUMBER($E2348),$E2348,IF($O2348="","",IF(N(INDEX('Menu Pricing'!$O$7:$O$56,$O2348))&gt;0,INDEX('Menu Pricing'!$O$7:$O$56,$O2348),""))))</f>
        <v/>
      </c>
      <c r="I2348" s="71">
        <f>IF($N2348&lt;&gt;"OK","",$D2348*$H2348)</f>
        <v/>
      </c>
      <c r="J2348" s="71">
        <f>IF($N2348&lt;&gt;"OK","",N(INDEX('Menu Pricing'!$F$7:$F$56,$O2348))+N(INDEX('Menu Pricing'!$G$7:$G$56,$O2348))+N(INDEX('Menu Pricing'!$J$7:$J$56,$O2348)))</f>
        <v/>
      </c>
      <c r="K2348" s="71">
        <f>IF($N2348&lt;&gt;"OK","",$D2348*$J2348)</f>
        <v/>
      </c>
      <c r="L2348" s="71">
        <f>IF($N2348&lt;&gt;"OK","",$I2348-$K2348)</f>
        <v/>
      </c>
      <c r="M2348" s="71">
        <f>IF($N2348&lt;&gt;"OK","",$D2348*N(INDEX('Menu Pricing'!$F$7:$F$56,$O2348)))</f>
        <v/>
      </c>
      <c r="N2348" s="80">
        <f>IF(AND($B2348="",$C2348="",$D2348=""),"",IF(NOT(ISNUMBER($B2348)),"Enter a valid date",IF($C2348="","Pick a menu item",IF($O2348="","Item not on Menu Pricing",IF(N($D2348)&lt;=0,"Qty must be above 0",IF($H2348="","No price on menu","OK"))))))</f>
        <v/>
      </c>
      <c r="O2348" s="13">
        <f>IF($C2348="","",IFERROR(MATCH($C2348,'Menu Pricing'!$B$7:$B$56,0),""))</f>
        <v/>
      </c>
    </row>
    <row r="2349" ht="17" customHeight="1">
      <c r="B2349" s="66" t="n"/>
      <c r="C2349" s="60" t="n"/>
      <c r="D2349" s="86" t="n"/>
      <c r="E2349" s="63" t="n"/>
      <c r="F2349" s="60" t="n"/>
      <c r="G2349" s="60" t="n"/>
      <c r="H2349" s="71">
        <f>IF(OR($C2349="",$D2349=""),"",IF(ISNUMBER($E2349),$E2349,IF($O2349="","",IF(N(INDEX('Menu Pricing'!$O$7:$O$56,$O2349))&gt;0,INDEX('Menu Pricing'!$O$7:$O$56,$O2349),""))))</f>
        <v/>
      </c>
      <c r="I2349" s="71">
        <f>IF($N2349&lt;&gt;"OK","",$D2349*$H2349)</f>
        <v/>
      </c>
      <c r="J2349" s="71">
        <f>IF($N2349&lt;&gt;"OK","",N(INDEX('Menu Pricing'!$F$7:$F$56,$O2349))+N(INDEX('Menu Pricing'!$G$7:$G$56,$O2349))+N(INDEX('Menu Pricing'!$J$7:$J$56,$O2349)))</f>
        <v/>
      </c>
      <c r="K2349" s="71">
        <f>IF($N2349&lt;&gt;"OK","",$D2349*$J2349)</f>
        <v/>
      </c>
      <c r="L2349" s="71">
        <f>IF($N2349&lt;&gt;"OK","",$I2349-$K2349)</f>
        <v/>
      </c>
      <c r="M2349" s="71">
        <f>IF($N2349&lt;&gt;"OK","",$D2349*N(INDEX('Menu Pricing'!$F$7:$F$56,$O2349)))</f>
        <v/>
      </c>
      <c r="N2349" s="80">
        <f>IF(AND($B2349="",$C2349="",$D2349=""),"",IF(NOT(ISNUMBER($B2349)),"Enter a valid date",IF($C2349="","Pick a menu item",IF($O2349="","Item not on Menu Pricing",IF(N($D2349)&lt;=0,"Qty must be above 0",IF($H2349="","No price on menu","OK"))))))</f>
        <v/>
      </c>
      <c r="O2349" s="13">
        <f>IF($C2349="","",IFERROR(MATCH($C2349,'Menu Pricing'!$B$7:$B$56,0),""))</f>
        <v/>
      </c>
    </row>
    <row r="2350" ht="17" customHeight="1">
      <c r="B2350" s="66" t="n"/>
      <c r="C2350" s="60" t="n"/>
      <c r="D2350" s="86" t="n"/>
      <c r="E2350" s="63" t="n"/>
      <c r="F2350" s="60" t="n"/>
      <c r="G2350" s="60" t="n"/>
      <c r="H2350" s="71">
        <f>IF(OR($C2350="",$D2350=""),"",IF(ISNUMBER($E2350),$E2350,IF($O2350="","",IF(N(INDEX('Menu Pricing'!$O$7:$O$56,$O2350))&gt;0,INDEX('Menu Pricing'!$O$7:$O$56,$O2350),""))))</f>
        <v/>
      </c>
      <c r="I2350" s="71">
        <f>IF($N2350&lt;&gt;"OK","",$D2350*$H2350)</f>
        <v/>
      </c>
      <c r="J2350" s="71">
        <f>IF($N2350&lt;&gt;"OK","",N(INDEX('Menu Pricing'!$F$7:$F$56,$O2350))+N(INDEX('Menu Pricing'!$G$7:$G$56,$O2350))+N(INDEX('Menu Pricing'!$J$7:$J$56,$O2350)))</f>
        <v/>
      </c>
      <c r="K2350" s="71">
        <f>IF($N2350&lt;&gt;"OK","",$D2350*$J2350)</f>
        <v/>
      </c>
      <c r="L2350" s="71">
        <f>IF($N2350&lt;&gt;"OK","",$I2350-$K2350)</f>
        <v/>
      </c>
      <c r="M2350" s="71">
        <f>IF($N2350&lt;&gt;"OK","",$D2350*N(INDEX('Menu Pricing'!$F$7:$F$56,$O2350)))</f>
        <v/>
      </c>
      <c r="N2350" s="80">
        <f>IF(AND($B2350="",$C2350="",$D2350=""),"",IF(NOT(ISNUMBER($B2350)),"Enter a valid date",IF($C2350="","Pick a menu item",IF($O2350="","Item not on Menu Pricing",IF(N($D2350)&lt;=0,"Qty must be above 0",IF($H2350="","No price on menu","OK"))))))</f>
        <v/>
      </c>
      <c r="O2350" s="13">
        <f>IF($C2350="","",IFERROR(MATCH($C2350,'Menu Pricing'!$B$7:$B$56,0),""))</f>
        <v/>
      </c>
    </row>
    <row r="2351" ht="17" customHeight="1">
      <c r="B2351" s="66" t="n"/>
      <c r="C2351" s="60" t="n"/>
      <c r="D2351" s="86" t="n"/>
      <c r="E2351" s="63" t="n"/>
      <c r="F2351" s="60" t="n"/>
      <c r="G2351" s="60" t="n"/>
      <c r="H2351" s="71">
        <f>IF(OR($C2351="",$D2351=""),"",IF(ISNUMBER($E2351),$E2351,IF($O2351="","",IF(N(INDEX('Menu Pricing'!$O$7:$O$56,$O2351))&gt;0,INDEX('Menu Pricing'!$O$7:$O$56,$O2351),""))))</f>
        <v/>
      </c>
      <c r="I2351" s="71">
        <f>IF($N2351&lt;&gt;"OK","",$D2351*$H2351)</f>
        <v/>
      </c>
      <c r="J2351" s="71">
        <f>IF($N2351&lt;&gt;"OK","",N(INDEX('Menu Pricing'!$F$7:$F$56,$O2351))+N(INDEX('Menu Pricing'!$G$7:$G$56,$O2351))+N(INDEX('Menu Pricing'!$J$7:$J$56,$O2351)))</f>
        <v/>
      </c>
      <c r="K2351" s="71">
        <f>IF($N2351&lt;&gt;"OK","",$D2351*$J2351)</f>
        <v/>
      </c>
      <c r="L2351" s="71">
        <f>IF($N2351&lt;&gt;"OK","",$I2351-$K2351)</f>
        <v/>
      </c>
      <c r="M2351" s="71">
        <f>IF($N2351&lt;&gt;"OK","",$D2351*N(INDEX('Menu Pricing'!$F$7:$F$56,$O2351)))</f>
        <v/>
      </c>
      <c r="N2351" s="80">
        <f>IF(AND($B2351="",$C2351="",$D2351=""),"",IF(NOT(ISNUMBER($B2351)),"Enter a valid date",IF($C2351="","Pick a menu item",IF($O2351="","Item not on Menu Pricing",IF(N($D2351)&lt;=0,"Qty must be above 0",IF($H2351="","No price on menu","OK"))))))</f>
        <v/>
      </c>
      <c r="O2351" s="13">
        <f>IF($C2351="","",IFERROR(MATCH($C2351,'Menu Pricing'!$B$7:$B$56,0),""))</f>
        <v/>
      </c>
    </row>
    <row r="2352" ht="17" customHeight="1">
      <c r="B2352" s="66" t="n"/>
      <c r="C2352" s="60" t="n"/>
      <c r="D2352" s="86" t="n"/>
      <c r="E2352" s="63" t="n"/>
      <c r="F2352" s="60" t="n"/>
      <c r="G2352" s="60" t="n"/>
      <c r="H2352" s="71">
        <f>IF(OR($C2352="",$D2352=""),"",IF(ISNUMBER($E2352),$E2352,IF($O2352="","",IF(N(INDEX('Menu Pricing'!$O$7:$O$56,$O2352))&gt;0,INDEX('Menu Pricing'!$O$7:$O$56,$O2352),""))))</f>
        <v/>
      </c>
      <c r="I2352" s="71">
        <f>IF($N2352&lt;&gt;"OK","",$D2352*$H2352)</f>
        <v/>
      </c>
      <c r="J2352" s="71">
        <f>IF($N2352&lt;&gt;"OK","",N(INDEX('Menu Pricing'!$F$7:$F$56,$O2352))+N(INDEX('Menu Pricing'!$G$7:$G$56,$O2352))+N(INDEX('Menu Pricing'!$J$7:$J$56,$O2352)))</f>
        <v/>
      </c>
      <c r="K2352" s="71">
        <f>IF($N2352&lt;&gt;"OK","",$D2352*$J2352)</f>
        <v/>
      </c>
      <c r="L2352" s="71">
        <f>IF($N2352&lt;&gt;"OK","",$I2352-$K2352)</f>
        <v/>
      </c>
      <c r="M2352" s="71">
        <f>IF($N2352&lt;&gt;"OK","",$D2352*N(INDEX('Menu Pricing'!$F$7:$F$56,$O2352)))</f>
        <v/>
      </c>
      <c r="N2352" s="80">
        <f>IF(AND($B2352="",$C2352="",$D2352=""),"",IF(NOT(ISNUMBER($B2352)),"Enter a valid date",IF($C2352="","Pick a menu item",IF($O2352="","Item not on Menu Pricing",IF(N($D2352)&lt;=0,"Qty must be above 0",IF($H2352="","No price on menu","OK"))))))</f>
        <v/>
      </c>
      <c r="O2352" s="13">
        <f>IF($C2352="","",IFERROR(MATCH($C2352,'Menu Pricing'!$B$7:$B$56,0),""))</f>
        <v/>
      </c>
    </row>
    <row r="2353" ht="17" customHeight="1">
      <c r="B2353" s="66" t="n"/>
      <c r="C2353" s="60" t="n"/>
      <c r="D2353" s="86" t="n"/>
      <c r="E2353" s="63" t="n"/>
      <c r="F2353" s="60" t="n"/>
      <c r="G2353" s="60" t="n"/>
      <c r="H2353" s="71">
        <f>IF(OR($C2353="",$D2353=""),"",IF(ISNUMBER($E2353),$E2353,IF($O2353="","",IF(N(INDEX('Menu Pricing'!$O$7:$O$56,$O2353))&gt;0,INDEX('Menu Pricing'!$O$7:$O$56,$O2353),""))))</f>
        <v/>
      </c>
      <c r="I2353" s="71">
        <f>IF($N2353&lt;&gt;"OK","",$D2353*$H2353)</f>
        <v/>
      </c>
      <c r="J2353" s="71">
        <f>IF($N2353&lt;&gt;"OK","",N(INDEX('Menu Pricing'!$F$7:$F$56,$O2353))+N(INDEX('Menu Pricing'!$G$7:$G$56,$O2353))+N(INDEX('Menu Pricing'!$J$7:$J$56,$O2353)))</f>
        <v/>
      </c>
      <c r="K2353" s="71">
        <f>IF($N2353&lt;&gt;"OK","",$D2353*$J2353)</f>
        <v/>
      </c>
      <c r="L2353" s="71">
        <f>IF($N2353&lt;&gt;"OK","",$I2353-$K2353)</f>
        <v/>
      </c>
      <c r="M2353" s="71">
        <f>IF($N2353&lt;&gt;"OK","",$D2353*N(INDEX('Menu Pricing'!$F$7:$F$56,$O2353)))</f>
        <v/>
      </c>
      <c r="N2353" s="80">
        <f>IF(AND($B2353="",$C2353="",$D2353=""),"",IF(NOT(ISNUMBER($B2353)),"Enter a valid date",IF($C2353="","Pick a menu item",IF($O2353="","Item not on Menu Pricing",IF(N($D2353)&lt;=0,"Qty must be above 0",IF($H2353="","No price on menu","OK"))))))</f>
        <v/>
      </c>
      <c r="O2353" s="13">
        <f>IF($C2353="","",IFERROR(MATCH($C2353,'Menu Pricing'!$B$7:$B$56,0),""))</f>
        <v/>
      </c>
    </row>
    <row r="2354" ht="17" customHeight="1">
      <c r="B2354" s="66" t="n"/>
      <c r="C2354" s="60" t="n"/>
      <c r="D2354" s="86" t="n"/>
      <c r="E2354" s="63" t="n"/>
      <c r="F2354" s="60" t="n"/>
      <c r="G2354" s="60" t="n"/>
      <c r="H2354" s="71">
        <f>IF(OR($C2354="",$D2354=""),"",IF(ISNUMBER($E2354),$E2354,IF($O2354="","",IF(N(INDEX('Menu Pricing'!$O$7:$O$56,$O2354))&gt;0,INDEX('Menu Pricing'!$O$7:$O$56,$O2354),""))))</f>
        <v/>
      </c>
      <c r="I2354" s="71">
        <f>IF($N2354&lt;&gt;"OK","",$D2354*$H2354)</f>
        <v/>
      </c>
      <c r="J2354" s="71">
        <f>IF($N2354&lt;&gt;"OK","",N(INDEX('Menu Pricing'!$F$7:$F$56,$O2354))+N(INDEX('Menu Pricing'!$G$7:$G$56,$O2354))+N(INDEX('Menu Pricing'!$J$7:$J$56,$O2354)))</f>
        <v/>
      </c>
      <c r="K2354" s="71">
        <f>IF($N2354&lt;&gt;"OK","",$D2354*$J2354)</f>
        <v/>
      </c>
      <c r="L2354" s="71">
        <f>IF($N2354&lt;&gt;"OK","",$I2354-$K2354)</f>
        <v/>
      </c>
      <c r="M2354" s="71">
        <f>IF($N2354&lt;&gt;"OK","",$D2354*N(INDEX('Menu Pricing'!$F$7:$F$56,$O2354)))</f>
        <v/>
      </c>
      <c r="N2354" s="80">
        <f>IF(AND($B2354="",$C2354="",$D2354=""),"",IF(NOT(ISNUMBER($B2354)),"Enter a valid date",IF($C2354="","Pick a menu item",IF($O2354="","Item not on Menu Pricing",IF(N($D2354)&lt;=0,"Qty must be above 0",IF($H2354="","No price on menu","OK"))))))</f>
        <v/>
      </c>
      <c r="O2354" s="13">
        <f>IF($C2354="","",IFERROR(MATCH($C2354,'Menu Pricing'!$B$7:$B$56,0),""))</f>
        <v/>
      </c>
    </row>
    <row r="2355" ht="17" customHeight="1">
      <c r="B2355" s="66" t="n"/>
      <c r="C2355" s="60" t="n"/>
      <c r="D2355" s="86" t="n"/>
      <c r="E2355" s="63" t="n"/>
      <c r="F2355" s="60" t="n"/>
      <c r="G2355" s="60" t="n"/>
      <c r="H2355" s="71">
        <f>IF(OR($C2355="",$D2355=""),"",IF(ISNUMBER($E2355),$E2355,IF($O2355="","",IF(N(INDEX('Menu Pricing'!$O$7:$O$56,$O2355))&gt;0,INDEX('Menu Pricing'!$O$7:$O$56,$O2355),""))))</f>
        <v/>
      </c>
      <c r="I2355" s="71">
        <f>IF($N2355&lt;&gt;"OK","",$D2355*$H2355)</f>
        <v/>
      </c>
      <c r="J2355" s="71">
        <f>IF($N2355&lt;&gt;"OK","",N(INDEX('Menu Pricing'!$F$7:$F$56,$O2355))+N(INDEX('Menu Pricing'!$G$7:$G$56,$O2355))+N(INDEX('Menu Pricing'!$J$7:$J$56,$O2355)))</f>
        <v/>
      </c>
      <c r="K2355" s="71">
        <f>IF($N2355&lt;&gt;"OK","",$D2355*$J2355)</f>
        <v/>
      </c>
      <c r="L2355" s="71">
        <f>IF($N2355&lt;&gt;"OK","",$I2355-$K2355)</f>
        <v/>
      </c>
      <c r="M2355" s="71">
        <f>IF($N2355&lt;&gt;"OK","",$D2355*N(INDEX('Menu Pricing'!$F$7:$F$56,$O2355)))</f>
        <v/>
      </c>
      <c r="N2355" s="80">
        <f>IF(AND($B2355="",$C2355="",$D2355=""),"",IF(NOT(ISNUMBER($B2355)),"Enter a valid date",IF($C2355="","Pick a menu item",IF($O2355="","Item not on Menu Pricing",IF(N($D2355)&lt;=0,"Qty must be above 0",IF($H2355="","No price on menu","OK"))))))</f>
        <v/>
      </c>
      <c r="O2355" s="13">
        <f>IF($C2355="","",IFERROR(MATCH($C2355,'Menu Pricing'!$B$7:$B$56,0),""))</f>
        <v/>
      </c>
    </row>
    <row r="2356" ht="17" customHeight="1">
      <c r="B2356" s="66" t="n"/>
      <c r="C2356" s="60" t="n"/>
      <c r="D2356" s="86" t="n"/>
      <c r="E2356" s="63" t="n"/>
      <c r="F2356" s="60" t="n"/>
      <c r="G2356" s="60" t="n"/>
      <c r="H2356" s="71">
        <f>IF(OR($C2356="",$D2356=""),"",IF(ISNUMBER($E2356),$E2356,IF($O2356="","",IF(N(INDEX('Menu Pricing'!$O$7:$O$56,$O2356))&gt;0,INDEX('Menu Pricing'!$O$7:$O$56,$O2356),""))))</f>
        <v/>
      </c>
      <c r="I2356" s="71">
        <f>IF($N2356&lt;&gt;"OK","",$D2356*$H2356)</f>
        <v/>
      </c>
      <c r="J2356" s="71">
        <f>IF($N2356&lt;&gt;"OK","",N(INDEX('Menu Pricing'!$F$7:$F$56,$O2356))+N(INDEX('Menu Pricing'!$G$7:$G$56,$O2356))+N(INDEX('Menu Pricing'!$J$7:$J$56,$O2356)))</f>
        <v/>
      </c>
      <c r="K2356" s="71">
        <f>IF($N2356&lt;&gt;"OK","",$D2356*$J2356)</f>
        <v/>
      </c>
      <c r="L2356" s="71">
        <f>IF($N2356&lt;&gt;"OK","",$I2356-$K2356)</f>
        <v/>
      </c>
      <c r="M2356" s="71">
        <f>IF($N2356&lt;&gt;"OK","",$D2356*N(INDEX('Menu Pricing'!$F$7:$F$56,$O2356)))</f>
        <v/>
      </c>
      <c r="N2356" s="80">
        <f>IF(AND($B2356="",$C2356="",$D2356=""),"",IF(NOT(ISNUMBER($B2356)),"Enter a valid date",IF($C2356="","Pick a menu item",IF($O2356="","Item not on Menu Pricing",IF(N($D2356)&lt;=0,"Qty must be above 0",IF($H2356="","No price on menu","OK"))))))</f>
        <v/>
      </c>
      <c r="O2356" s="13">
        <f>IF($C2356="","",IFERROR(MATCH($C2356,'Menu Pricing'!$B$7:$B$56,0),""))</f>
        <v/>
      </c>
    </row>
    <row r="2357" ht="17" customHeight="1">
      <c r="B2357" s="66" t="n"/>
      <c r="C2357" s="60" t="n"/>
      <c r="D2357" s="86" t="n"/>
      <c r="E2357" s="63" t="n"/>
      <c r="F2357" s="60" t="n"/>
      <c r="G2357" s="60" t="n"/>
      <c r="H2357" s="71">
        <f>IF(OR($C2357="",$D2357=""),"",IF(ISNUMBER($E2357),$E2357,IF($O2357="","",IF(N(INDEX('Menu Pricing'!$O$7:$O$56,$O2357))&gt;0,INDEX('Menu Pricing'!$O$7:$O$56,$O2357),""))))</f>
        <v/>
      </c>
      <c r="I2357" s="71">
        <f>IF($N2357&lt;&gt;"OK","",$D2357*$H2357)</f>
        <v/>
      </c>
      <c r="J2357" s="71">
        <f>IF($N2357&lt;&gt;"OK","",N(INDEX('Menu Pricing'!$F$7:$F$56,$O2357))+N(INDEX('Menu Pricing'!$G$7:$G$56,$O2357))+N(INDEX('Menu Pricing'!$J$7:$J$56,$O2357)))</f>
        <v/>
      </c>
      <c r="K2357" s="71">
        <f>IF($N2357&lt;&gt;"OK","",$D2357*$J2357)</f>
        <v/>
      </c>
      <c r="L2357" s="71">
        <f>IF($N2357&lt;&gt;"OK","",$I2357-$K2357)</f>
        <v/>
      </c>
      <c r="M2357" s="71">
        <f>IF($N2357&lt;&gt;"OK","",$D2357*N(INDEX('Menu Pricing'!$F$7:$F$56,$O2357)))</f>
        <v/>
      </c>
      <c r="N2357" s="80">
        <f>IF(AND($B2357="",$C2357="",$D2357=""),"",IF(NOT(ISNUMBER($B2357)),"Enter a valid date",IF($C2357="","Pick a menu item",IF($O2357="","Item not on Menu Pricing",IF(N($D2357)&lt;=0,"Qty must be above 0",IF($H2357="","No price on menu","OK"))))))</f>
        <v/>
      </c>
      <c r="O2357" s="13">
        <f>IF($C2357="","",IFERROR(MATCH($C2357,'Menu Pricing'!$B$7:$B$56,0),""))</f>
        <v/>
      </c>
    </row>
    <row r="2358" ht="17" customHeight="1">
      <c r="B2358" s="66" t="n"/>
      <c r="C2358" s="60" t="n"/>
      <c r="D2358" s="86" t="n"/>
      <c r="E2358" s="63" t="n"/>
      <c r="F2358" s="60" t="n"/>
      <c r="G2358" s="60" t="n"/>
      <c r="H2358" s="71">
        <f>IF(OR($C2358="",$D2358=""),"",IF(ISNUMBER($E2358),$E2358,IF($O2358="","",IF(N(INDEX('Menu Pricing'!$O$7:$O$56,$O2358))&gt;0,INDEX('Menu Pricing'!$O$7:$O$56,$O2358),""))))</f>
        <v/>
      </c>
      <c r="I2358" s="71">
        <f>IF($N2358&lt;&gt;"OK","",$D2358*$H2358)</f>
        <v/>
      </c>
      <c r="J2358" s="71">
        <f>IF($N2358&lt;&gt;"OK","",N(INDEX('Menu Pricing'!$F$7:$F$56,$O2358))+N(INDEX('Menu Pricing'!$G$7:$G$56,$O2358))+N(INDEX('Menu Pricing'!$J$7:$J$56,$O2358)))</f>
        <v/>
      </c>
      <c r="K2358" s="71">
        <f>IF($N2358&lt;&gt;"OK","",$D2358*$J2358)</f>
        <v/>
      </c>
      <c r="L2358" s="71">
        <f>IF($N2358&lt;&gt;"OK","",$I2358-$K2358)</f>
        <v/>
      </c>
      <c r="M2358" s="71">
        <f>IF($N2358&lt;&gt;"OK","",$D2358*N(INDEX('Menu Pricing'!$F$7:$F$56,$O2358)))</f>
        <v/>
      </c>
      <c r="N2358" s="80">
        <f>IF(AND($B2358="",$C2358="",$D2358=""),"",IF(NOT(ISNUMBER($B2358)),"Enter a valid date",IF($C2358="","Pick a menu item",IF($O2358="","Item not on Menu Pricing",IF(N($D2358)&lt;=0,"Qty must be above 0",IF($H2358="","No price on menu","OK"))))))</f>
        <v/>
      </c>
      <c r="O2358" s="13">
        <f>IF($C2358="","",IFERROR(MATCH($C2358,'Menu Pricing'!$B$7:$B$56,0),""))</f>
        <v/>
      </c>
    </row>
    <row r="2359" ht="17" customHeight="1">
      <c r="B2359" s="66" t="n"/>
      <c r="C2359" s="60" t="n"/>
      <c r="D2359" s="86" t="n"/>
      <c r="E2359" s="63" t="n"/>
      <c r="F2359" s="60" t="n"/>
      <c r="G2359" s="60" t="n"/>
      <c r="H2359" s="71">
        <f>IF(OR($C2359="",$D2359=""),"",IF(ISNUMBER($E2359),$E2359,IF($O2359="","",IF(N(INDEX('Menu Pricing'!$O$7:$O$56,$O2359))&gt;0,INDEX('Menu Pricing'!$O$7:$O$56,$O2359),""))))</f>
        <v/>
      </c>
      <c r="I2359" s="71">
        <f>IF($N2359&lt;&gt;"OK","",$D2359*$H2359)</f>
        <v/>
      </c>
      <c r="J2359" s="71">
        <f>IF($N2359&lt;&gt;"OK","",N(INDEX('Menu Pricing'!$F$7:$F$56,$O2359))+N(INDEX('Menu Pricing'!$G$7:$G$56,$O2359))+N(INDEX('Menu Pricing'!$J$7:$J$56,$O2359)))</f>
        <v/>
      </c>
      <c r="K2359" s="71">
        <f>IF($N2359&lt;&gt;"OK","",$D2359*$J2359)</f>
        <v/>
      </c>
      <c r="L2359" s="71">
        <f>IF($N2359&lt;&gt;"OK","",$I2359-$K2359)</f>
        <v/>
      </c>
      <c r="M2359" s="71">
        <f>IF($N2359&lt;&gt;"OK","",$D2359*N(INDEX('Menu Pricing'!$F$7:$F$56,$O2359)))</f>
        <v/>
      </c>
      <c r="N2359" s="80">
        <f>IF(AND($B2359="",$C2359="",$D2359=""),"",IF(NOT(ISNUMBER($B2359)),"Enter a valid date",IF($C2359="","Pick a menu item",IF($O2359="","Item not on Menu Pricing",IF(N($D2359)&lt;=0,"Qty must be above 0",IF($H2359="","No price on menu","OK"))))))</f>
        <v/>
      </c>
      <c r="O2359" s="13">
        <f>IF($C2359="","",IFERROR(MATCH($C2359,'Menu Pricing'!$B$7:$B$56,0),""))</f>
        <v/>
      </c>
    </row>
    <row r="2360" ht="17" customHeight="1">
      <c r="B2360" s="66" t="n"/>
      <c r="C2360" s="60" t="n"/>
      <c r="D2360" s="86" t="n"/>
      <c r="E2360" s="63" t="n"/>
      <c r="F2360" s="60" t="n"/>
      <c r="G2360" s="60" t="n"/>
      <c r="H2360" s="71">
        <f>IF(OR($C2360="",$D2360=""),"",IF(ISNUMBER($E2360),$E2360,IF($O2360="","",IF(N(INDEX('Menu Pricing'!$O$7:$O$56,$O2360))&gt;0,INDEX('Menu Pricing'!$O$7:$O$56,$O2360),""))))</f>
        <v/>
      </c>
      <c r="I2360" s="71">
        <f>IF($N2360&lt;&gt;"OK","",$D2360*$H2360)</f>
        <v/>
      </c>
      <c r="J2360" s="71">
        <f>IF($N2360&lt;&gt;"OK","",N(INDEX('Menu Pricing'!$F$7:$F$56,$O2360))+N(INDEX('Menu Pricing'!$G$7:$G$56,$O2360))+N(INDEX('Menu Pricing'!$J$7:$J$56,$O2360)))</f>
        <v/>
      </c>
      <c r="K2360" s="71">
        <f>IF($N2360&lt;&gt;"OK","",$D2360*$J2360)</f>
        <v/>
      </c>
      <c r="L2360" s="71">
        <f>IF($N2360&lt;&gt;"OK","",$I2360-$K2360)</f>
        <v/>
      </c>
      <c r="M2360" s="71">
        <f>IF($N2360&lt;&gt;"OK","",$D2360*N(INDEX('Menu Pricing'!$F$7:$F$56,$O2360)))</f>
        <v/>
      </c>
      <c r="N2360" s="80">
        <f>IF(AND($B2360="",$C2360="",$D2360=""),"",IF(NOT(ISNUMBER($B2360)),"Enter a valid date",IF($C2360="","Pick a menu item",IF($O2360="","Item not on Menu Pricing",IF(N($D2360)&lt;=0,"Qty must be above 0",IF($H2360="","No price on menu","OK"))))))</f>
        <v/>
      </c>
      <c r="O2360" s="13">
        <f>IF($C2360="","",IFERROR(MATCH($C2360,'Menu Pricing'!$B$7:$B$56,0),""))</f>
        <v/>
      </c>
    </row>
    <row r="2361" ht="17" customHeight="1">
      <c r="B2361" s="66" t="n"/>
      <c r="C2361" s="60" t="n"/>
      <c r="D2361" s="86" t="n"/>
      <c r="E2361" s="63" t="n"/>
      <c r="F2361" s="60" t="n"/>
      <c r="G2361" s="60" t="n"/>
      <c r="H2361" s="71">
        <f>IF(OR($C2361="",$D2361=""),"",IF(ISNUMBER($E2361),$E2361,IF($O2361="","",IF(N(INDEX('Menu Pricing'!$O$7:$O$56,$O2361))&gt;0,INDEX('Menu Pricing'!$O$7:$O$56,$O2361),""))))</f>
        <v/>
      </c>
      <c r="I2361" s="71">
        <f>IF($N2361&lt;&gt;"OK","",$D2361*$H2361)</f>
        <v/>
      </c>
      <c r="J2361" s="71">
        <f>IF($N2361&lt;&gt;"OK","",N(INDEX('Menu Pricing'!$F$7:$F$56,$O2361))+N(INDEX('Menu Pricing'!$G$7:$G$56,$O2361))+N(INDEX('Menu Pricing'!$J$7:$J$56,$O2361)))</f>
        <v/>
      </c>
      <c r="K2361" s="71">
        <f>IF($N2361&lt;&gt;"OK","",$D2361*$J2361)</f>
        <v/>
      </c>
      <c r="L2361" s="71">
        <f>IF($N2361&lt;&gt;"OK","",$I2361-$K2361)</f>
        <v/>
      </c>
      <c r="M2361" s="71">
        <f>IF($N2361&lt;&gt;"OK","",$D2361*N(INDEX('Menu Pricing'!$F$7:$F$56,$O2361)))</f>
        <v/>
      </c>
      <c r="N2361" s="80">
        <f>IF(AND($B2361="",$C2361="",$D2361=""),"",IF(NOT(ISNUMBER($B2361)),"Enter a valid date",IF($C2361="","Pick a menu item",IF($O2361="","Item not on Menu Pricing",IF(N($D2361)&lt;=0,"Qty must be above 0",IF($H2361="","No price on menu","OK"))))))</f>
        <v/>
      </c>
      <c r="O2361" s="13">
        <f>IF($C2361="","",IFERROR(MATCH($C2361,'Menu Pricing'!$B$7:$B$56,0),""))</f>
        <v/>
      </c>
    </row>
    <row r="2362" ht="17" customHeight="1">
      <c r="B2362" s="66" t="n"/>
      <c r="C2362" s="60" t="n"/>
      <c r="D2362" s="86" t="n"/>
      <c r="E2362" s="63" t="n"/>
      <c r="F2362" s="60" t="n"/>
      <c r="G2362" s="60" t="n"/>
      <c r="H2362" s="71">
        <f>IF(OR($C2362="",$D2362=""),"",IF(ISNUMBER($E2362),$E2362,IF($O2362="","",IF(N(INDEX('Menu Pricing'!$O$7:$O$56,$O2362))&gt;0,INDEX('Menu Pricing'!$O$7:$O$56,$O2362),""))))</f>
        <v/>
      </c>
      <c r="I2362" s="71">
        <f>IF($N2362&lt;&gt;"OK","",$D2362*$H2362)</f>
        <v/>
      </c>
      <c r="J2362" s="71">
        <f>IF($N2362&lt;&gt;"OK","",N(INDEX('Menu Pricing'!$F$7:$F$56,$O2362))+N(INDEX('Menu Pricing'!$G$7:$G$56,$O2362))+N(INDEX('Menu Pricing'!$J$7:$J$56,$O2362)))</f>
        <v/>
      </c>
      <c r="K2362" s="71">
        <f>IF($N2362&lt;&gt;"OK","",$D2362*$J2362)</f>
        <v/>
      </c>
      <c r="L2362" s="71">
        <f>IF($N2362&lt;&gt;"OK","",$I2362-$K2362)</f>
        <v/>
      </c>
      <c r="M2362" s="71">
        <f>IF($N2362&lt;&gt;"OK","",$D2362*N(INDEX('Menu Pricing'!$F$7:$F$56,$O2362)))</f>
        <v/>
      </c>
      <c r="N2362" s="80">
        <f>IF(AND($B2362="",$C2362="",$D2362=""),"",IF(NOT(ISNUMBER($B2362)),"Enter a valid date",IF($C2362="","Pick a menu item",IF($O2362="","Item not on Menu Pricing",IF(N($D2362)&lt;=0,"Qty must be above 0",IF($H2362="","No price on menu","OK"))))))</f>
        <v/>
      </c>
      <c r="O2362" s="13">
        <f>IF($C2362="","",IFERROR(MATCH($C2362,'Menu Pricing'!$B$7:$B$56,0),""))</f>
        <v/>
      </c>
    </row>
    <row r="2363" ht="17" customHeight="1">
      <c r="B2363" s="66" t="n"/>
      <c r="C2363" s="60" t="n"/>
      <c r="D2363" s="86" t="n"/>
      <c r="E2363" s="63" t="n"/>
      <c r="F2363" s="60" t="n"/>
      <c r="G2363" s="60" t="n"/>
      <c r="H2363" s="71">
        <f>IF(OR($C2363="",$D2363=""),"",IF(ISNUMBER($E2363),$E2363,IF($O2363="","",IF(N(INDEX('Menu Pricing'!$O$7:$O$56,$O2363))&gt;0,INDEX('Menu Pricing'!$O$7:$O$56,$O2363),""))))</f>
        <v/>
      </c>
      <c r="I2363" s="71">
        <f>IF($N2363&lt;&gt;"OK","",$D2363*$H2363)</f>
        <v/>
      </c>
      <c r="J2363" s="71">
        <f>IF($N2363&lt;&gt;"OK","",N(INDEX('Menu Pricing'!$F$7:$F$56,$O2363))+N(INDEX('Menu Pricing'!$G$7:$G$56,$O2363))+N(INDEX('Menu Pricing'!$J$7:$J$56,$O2363)))</f>
        <v/>
      </c>
      <c r="K2363" s="71">
        <f>IF($N2363&lt;&gt;"OK","",$D2363*$J2363)</f>
        <v/>
      </c>
      <c r="L2363" s="71">
        <f>IF($N2363&lt;&gt;"OK","",$I2363-$K2363)</f>
        <v/>
      </c>
      <c r="M2363" s="71">
        <f>IF($N2363&lt;&gt;"OK","",$D2363*N(INDEX('Menu Pricing'!$F$7:$F$56,$O2363)))</f>
        <v/>
      </c>
      <c r="N2363" s="80">
        <f>IF(AND($B2363="",$C2363="",$D2363=""),"",IF(NOT(ISNUMBER($B2363)),"Enter a valid date",IF($C2363="","Pick a menu item",IF($O2363="","Item not on Menu Pricing",IF(N($D2363)&lt;=0,"Qty must be above 0",IF($H2363="","No price on menu","OK"))))))</f>
        <v/>
      </c>
      <c r="O2363" s="13">
        <f>IF($C2363="","",IFERROR(MATCH($C2363,'Menu Pricing'!$B$7:$B$56,0),""))</f>
        <v/>
      </c>
    </row>
    <row r="2364" ht="17" customHeight="1">
      <c r="B2364" s="66" t="n"/>
      <c r="C2364" s="60" t="n"/>
      <c r="D2364" s="86" t="n"/>
      <c r="E2364" s="63" t="n"/>
      <c r="F2364" s="60" t="n"/>
      <c r="G2364" s="60" t="n"/>
      <c r="H2364" s="71">
        <f>IF(OR($C2364="",$D2364=""),"",IF(ISNUMBER($E2364),$E2364,IF($O2364="","",IF(N(INDEX('Menu Pricing'!$O$7:$O$56,$O2364))&gt;0,INDEX('Menu Pricing'!$O$7:$O$56,$O2364),""))))</f>
        <v/>
      </c>
      <c r="I2364" s="71">
        <f>IF($N2364&lt;&gt;"OK","",$D2364*$H2364)</f>
        <v/>
      </c>
      <c r="J2364" s="71">
        <f>IF($N2364&lt;&gt;"OK","",N(INDEX('Menu Pricing'!$F$7:$F$56,$O2364))+N(INDEX('Menu Pricing'!$G$7:$G$56,$O2364))+N(INDEX('Menu Pricing'!$J$7:$J$56,$O2364)))</f>
        <v/>
      </c>
      <c r="K2364" s="71">
        <f>IF($N2364&lt;&gt;"OK","",$D2364*$J2364)</f>
        <v/>
      </c>
      <c r="L2364" s="71">
        <f>IF($N2364&lt;&gt;"OK","",$I2364-$K2364)</f>
        <v/>
      </c>
      <c r="M2364" s="71">
        <f>IF($N2364&lt;&gt;"OK","",$D2364*N(INDEX('Menu Pricing'!$F$7:$F$56,$O2364)))</f>
        <v/>
      </c>
      <c r="N2364" s="80">
        <f>IF(AND($B2364="",$C2364="",$D2364=""),"",IF(NOT(ISNUMBER($B2364)),"Enter a valid date",IF($C2364="","Pick a menu item",IF($O2364="","Item not on Menu Pricing",IF(N($D2364)&lt;=0,"Qty must be above 0",IF($H2364="","No price on menu","OK"))))))</f>
        <v/>
      </c>
      <c r="O2364" s="13">
        <f>IF($C2364="","",IFERROR(MATCH($C2364,'Menu Pricing'!$B$7:$B$56,0),""))</f>
        <v/>
      </c>
    </row>
    <row r="2365" ht="17" customHeight="1">
      <c r="B2365" s="66" t="n"/>
      <c r="C2365" s="60" t="n"/>
      <c r="D2365" s="86" t="n"/>
      <c r="E2365" s="63" t="n"/>
      <c r="F2365" s="60" t="n"/>
      <c r="G2365" s="60" t="n"/>
      <c r="H2365" s="71">
        <f>IF(OR($C2365="",$D2365=""),"",IF(ISNUMBER($E2365),$E2365,IF($O2365="","",IF(N(INDEX('Menu Pricing'!$O$7:$O$56,$O2365))&gt;0,INDEX('Menu Pricing'!$O$7:$O$56,$O2365),""))))</f>
        <v/>
      </c>
      <c r="I2365" s="71">
        <f>IF($N2365&lt;&gt;"OK","",$D2365*$H2365)</f>
        <v/>
      </c>
      <c r="J2365" s="71">
        <f>IF($N2365&lt;&gt;"OK","",N(INDEX('Menu Pricing'!$F$7:$F$56,$O2365))+N(INDEX('Menu Pricing'!$G$7:$G$56,$O2365))+N(INDEX('Menu Pricing'!$J$7:$J$56,$O2365)))</f>
        <v/>
      </c>
      <c r="K2365" s="71">
        <f>IF($N2365&lt;&gt;"OK","",$D2365*$J2365)</f>
        <v/>
      </c>
      <c r="L2365" s="71">
        <f>IF($N2365&lt;&gt;"OK","",$I2365-$K2365)</f>
        <v/>
      </c>
      <c r="M2365" s="71">
        <f>IF($N2365&lt;&gt;"OK","",$D2365*N(INDEX('Menu Pricing'!$F$7:$F$56,$O2365)))</f>
        <v/>
      </c>
      <c r="N2365" s="80">
        <f>IF(AND($B2365="",$C2365="",$D2365=""),"",IF(NOT(ISNUMBER($B2365)),"Enter a valid date",IF($C2365="","Pick a menu item",IF($O2365="","Item not on Menu Pricing",IF(N($D2365)&lt;=0,"Qty must be above 0",IF($H2365="","No price on menu","OK"))))))</f>
        <v/>
      </c>
      <c r="O2365" s="13">
        <f>IF($C2365="","",IFERROR(MATCH($C2365,'Menu Pricing'!$B$7:$B$56,0),""))</f>
        <v/>
      </c>
    </row>
    <row r="2366" ht="17" customHeight="1">
      <c r="B2366" s="66" t="n"/>
      <c r="C2366" s="60" t="n"/>
      <c r="D2366" s="86" t="n"/>
      <c r="E2366" s="63" t="n"/>
      <c r="F2366" s="60" t="n"/>
      <c r="G2366" s="60" t="n"/>
      <c r="H2366" s="71">
        <f>IF(OR($C2366="",$D2366=""),"",IF(ISNUMBER($E2366),$E2366,IF($O2366="","",IF(N(INDEX('Menu Pricing'!$O$7:$O$56,$O2366))&gt;0,INDEX('Menu Pricing'!$O$7:$O$56,$O2366),""))))</f>
        <v/>
      </c>
      <c r="I2366" s="71">
        <f>IF($N2366&lt;&gt;"OK","",$D2366*$H2366)</f>
        <v/>
      </c>
      <c r="J2366" s="71">
        <f>IF($N2366&lt;&gt;"OK","",N(INDEX('Menu Pricing'!$F$7:$F$56,$O2366))+N(INDEX('Menu Pricing'!$G$7:$G$56,$O2366))+N(INDEX('Menu Pricing'!$J$7:$J$56,$O2366)))</f>
        <v/>
      </c>
      <c r="K2366" s="71">
        <f>IF($N2366&lt;&gt;"OK","",$D2366*$J2366)</f>
        <v/>
      </c>
      <c r="L2366" s="71">
        <f>IF($N2366&lt;&gt;"OK","",$I2366-$K2366)</f>
        <v/>
      </c>
      <c r="M2366" s="71">
        <f>IF($N2366&lt;&gt;"OK","",$D2366*N(INDEX('Menu Pricing'!$F$7:$F$56,$O2366)))</f>
        <v/>
      </c>
      <c r="N2366" s="80">
        <f>IF(AND($B2366="",$C2366="",$D2366=""),"",IF(NOT(ISNUMBER($B2366)),"Enter a valid date",IF($C2366="","Pick a menu item",IF($O2366="","Item not on Menu Pricing",IF(N($D2366)&lt;=0,"Qty must be above 0",IF($H2366="","No price on menu","OK"))))))</f>
        <v/>
      </c>
      <c r="O2366" s="13">
        <f>IF($C2366="","",IFERROR(MATCH($C2366,'Menu Pricing'!$B$7:$B$56,0),""))</f>
        <v/>
      </c>
    </row>
    <row r="2367" ht="17" customHeight="1">
      <c r="B2367" s="66" t="n"/>
      <c r="C2367" s="60" t="n"/>
      <c r="D2367" s="86" t="n"/>
      <c r="E2367" s="63" t="n"/>
      <c r="F2367" s="60" t="n"/>
      <c r="G2367" s="60" t="n"/>
      <c r="H2367" s="71">
        <f>IF(OR($C2367="",$D2367=""),"",IF(ISNUMBER($E2367),$E2367,IF($O2367="","",IF(N(INDEX('Menu Pricing'!$O$7:$O$56,$O2367))&gt;0,INDEX('Menu Pricing'!$O$7:$O$56,$O2367),""))))</f>
        <v/>
      </c>
      <c r="I2367" s="71">
        <f>IF($N2367&lt;&gt;"OK","",$D2367*$H2367)</f>
        <v/>
      </c>
      <c r="J2367" s="71">
        <f>IF($N2367&lt;&gt;"OK","",N(INDEX('Menu Pricing'!$F$7:$F$56,$O2367))+N(INDEX('Menu Pricing'!$G$7:$G$56,$O2367))+N(INDEX('Menu Pricing'!$J$7:$J$56,$O2367)))</f>
        <v/>
      </c>
      <c r="K2367" s="71">
        <f>IF($N2367&lt;&gt;"OK","",$D2367*$J2367)</f>
        <v/>
      </c>
      <c r="L2367" s="71">
        <f>IF($N2367&lt;&gt;"OK","",$I2367-$K2367)</f>
        <v/>
      </c>
      <c r="M2367" s="71">
        <f>IF($N2367&lt;&gt;"OK","",$D2367*N(INDEX('Menu Pricing'!$F$7:$F$56,$O2367)))</f>
        <v/>
      </c>
      <c r="N2367" s="80">
        <f>IF(AND($B2367="",$C2367="",$D2367=""),"",IF(NOT(ISNUMBER($B2367)),"Enter a valid date",IF($C2367="","Pick a menu item",IF($O2367="","Item not on Menu Pricing",IF(N($D2367)&lt;=0,"Qty must be above 0",IF($H2367="","No price on menu","OK"))))))</f>
        <v/>
      </c>
      <c r="O2367" s="13">
        <f>IF($C2367="","",IFERROR(MATCH($C2367,'Menu Pricing'!$B$7:$B$56,0),""))</f>
        <v/>
      </c>
    </row>
    <row r="2368" ht="17" customHeight="1">
      <c r="B2368" s="66" t="n"/>
      <c r="C2368" s="60" t="n"/>
      <c r="D2368" s="86" t="n"/>
      <c r="E2368" s="63" t="n"/>
      <c r="F2368" s="60" t="n"/>
      <c r="G2368" s="60" t="n"/>
      <c r="H2368" s="71">
        <f>IF(OR($C2368="",$D2368=""),"",IF(ISNUMBER($E2368),$E2368,IF($O2368="","",IF(N(INDEX('Menu Pricing'!$O$7:$O$56,$O2368))&gt;0,INDEX('Menu Pricing'!$O$7:$O$56,$O2368),""))))</f>
        <v/>
      </c>
      <c r="I2368" s="71">
        <f>IF($N2368&lt;&gt;"OK","",$D2368*$H2368)</f>
        <v/>
      </c>
      <c r="J2368" s="71">
        <f>IF($N2368&lt;&gt;"OK","",N(INDEX('Menu Pricing'!$F$7:$F$56,$O2368))+N(INDEX('Menu Pricing'!$G$7:$G$56,$O2368))+N(INDEX('Menu Pricing'!$J$7:$J$56,$O2368)))</f>
        <v/>
      </c>
      <c r="K2368" s="71">
        <f>IF($N2368&lt;&gt;"OK","",$D2368*$J2368)</f>
        <v/>
      </c>
      <c r="L2368" s="71">
        <f>IF($N2368&lt;&gt;"OK","",$I2368-$K2368)</f>
        <v/>
      </c>
      <c r="M2368" s="71">
        <f>IF($N2368&lt;&gt;"OK","",$D2368*N(INDEX('Menu Pricing'!$F$7:$F$56,$O2368)))</f>
        <v/>
      </c>
      <c r="N2368" s="80">
        <f>IF(AND($B2368="",$C2368="",$D2368=""),"",IF(NOT(ISNUMBER($B2368)),"Enter a valid date",IF($C2368="","Pick a menu item",IF($O2368="","Item not on Menu Pricing",IF(N($D2368)&lt;=0,"Qty must be above 0",IF($H2368="","No price on menu","OK"))))))</f>
        <v/>
      </c>
      <c r="O2368" s="13">
        <f>IF($C2368="","",IFERROR(MATCH($C2368,'Menu Pricing'!$B$7:$B$56,0),""))</f>
        <v/>
      </c>
    </row>
    <row r="2369" ht="17" customHeight="1">
      <c r="B2369" s="66" t="n"/>
      <c r="C2369" s="60" t="n"/>
      <c r="D2369" s="86" t="n"/>
      <c r="E2369" s="63" t="n"/>
      <c r="F2369" s="60" t="n"/>
      <c r="G2369" s="60" t="n"/>
      <c r="H2369" s="71">
        <f>IF(OR($C2369="",$D2369=""),"",IF(ISNUMBER($E2369),$E2369,IF($O2369="","",IF(N(INDEX('Menu Pricing'!$O$7:$O$56,$O2369))&gt;0,INDEX('Menu Pricing'!$O$7:$O$56,$O2369),""))))</f>
        <v/>
      </c>
      <c r="I2369" s="71">
        <f>IF($N2369&lt;&gt;"OK","",$D2369*$H2369)</f>
        <v/>
      </c>
      <c r="J2369" s="71">
        <f>IF($N2369&lt;&gt;"OK","",N(INDEX('Menu Pricing'!$F$7:$F$56,$O2369))+N(INDEX('Menu Pricing'!$G$7:$G$56,$O2369))+N(INDEX('Menu Pricing'!$J$7:$J$56,$O2369)))</f>
        <v/>
      </c>
      <c r="K2369" s="71">
        <f>IF($N2369&lt;&gt;"OK","",$D2369*$J2369)</f>
        <v/>
      </c>
      <c r="L2369" s="71">
        <f>IF($N2369&lt;&gt;"OK","",$I2369-$K2369)</f>
        <v/>
      </c>
      <c r="M2369" s="71">
        <f>IF($N2369&lt;&gt;"OK","",$D2369*N(INDEX('Menu Pricing'!$F$7:$F$56,$O2369)))</f>
        <v/>
      </c>
      <c r="N2369" s="80">
        <f>IF(AND($B2369="",$C2369="",$D2369=""),"",IF(NOT(ISNUMBER($B2369)),"Enter a valid date",IF($C2369="","Pick a menu item",IF($O2369="","Item not on Menu Pricing",IF(N($D2369)&lt;=0,"Qty must be above 0",IF($H2369="","No price on menu","OK"))))))</f>
        <v/>
      </c>
      <c r="O2369" s="13">
        <f>IF($C2369="","",IFERROR(MATCH($C2369,'Menu Pricing'!$B$7:$B$56,0),""))</f>
        <v/>
      </c>
    </row>
    <row r="2370" ht="17" customHeight="1">
      <c r="B2370" s="66" t="n"/>
      <c r="C2370" s="60" t="n"/>
      <c r="D2370" s="86" t="n"/>
      <c r="E2370" s="63" t="n"/>
      <c r="F2370" s="60" t="n"/>
      <c r="G2370" s="60" t="n"/>
      <c r="H2370" s="71">
        <f>IF(OR($C2370="",$D2370=""),"",IF(ISNUMBER($E2370),$E2370,IF($O2370="","",IF(N(INDEX('Menu Pricing'!$O$7:$O$56,$O2370))&gt;0,INDEX('Menu Pricing'!$O$7:$O$56,$O2370),""))))</f>
        <v/>
      </c>
      <c r="I2370" s="71">
        <f>IF($N2370&lt;&gt;"OK","",$D2370*$H2370)</f>
        <v/>
      </c>
      <c r="J2370" s="71">
        <f>IF($N2370&lt;&gt;"OK","",N(INDEX('Menu Pricing'!$F$7:$F$56,$O2370))+N(INDEX('Menu Pricing'!$G$7:$G$56,$O2370))+N(INDEX('Menu Pricing'!$J$7:$J$56,$O2370)))</f>
        <v/>
      </c>
      <c r="K2370" s="71">
        <f>IF($N2370&lt;&gt;"OK","",$D2370*$J2370)</f>
        <v/>
      </c>
      <c r="L2370" s="71">
        <f>IF($N2370&lt;&gt;"OK","",$I2370-$K2370)</f>
        <v/>
      </c>
      <c r="M2370" s="71">
        <f>IF($N2370&lt;&gt;"OK","",$D2370*N(INDEX('Menu Pricing'!$F$7:$F$56,$O2370)))</f>
        <v/>
      </c>
      <c r="N2370" s="80">
        <f>IF(AND($B2370="",$C2370="",$D2370=""),"",IF(NOT(ISNUMBER($B2370)),"Enter a valid date",IF($C2370="","Pick a menu item",IF($O2370="","Item not on Menu Pricing",IF(N($D2370)&lt;=0,"Qty must be above 0",IF($H2370="","No price on menu","OK"))))))</f>
        <v/>
      </c>
      <c r="O2370" s="13">
        <f>IF($C2370="","",IFERROR(MATCH($C2370,'Menu Pricing'!$B$7:$B$56,0),""))</f>
        <v/>
      </c>
    </row>
    <row r="2371" ht="17" customHeight="1">
      <c r="B2371" s="66" t="n"/>
      <c r="C2371" s="60" t="n"/>
      <c r="D2371" s="86" t="n"/>
      <c r="E2371" s="63" t="n"/>
      <c r="F2371" s="60" t="n"/>
      <c r="G2371" s="60" t="n"/>
      <c r="H2371" s="71">
        <f>IF(OR($C2371="",$D2371=""),"",IF(ISNUMBER($E2371),$E2371,IF($O2371="","",IF(N(INDEX('Menu Pricing'!$O$7:$O$56,$O2371))&gt;0,INDEX('Menu Pricing'!$O$7:$O$56,$O2371),""))))</f>
        <v/>
      </c>
      <c r="I2371" s="71">
        <f>IF($N2371&lt;&gt;"OK","",$D2371*$H2371)</f>
        <v/>
      </c>
      <c r="J2371" s="71">
        <f>IF($N2371&lt;&gt;"OK","",N(INDEX('Menu Pricing'!$F$7:$F$56,$O2371))+N(INDEX('Menu Pricing'!$G$7:$G$56,$O2371))+N(INDEX('Menu Pricing'!$J$7:$J$56,$O2371)))</f>
        <v/>
      </c>
      <c r="K2371" s="71">
        <f>IF($N2371&lt;&gt;"OK","",$D2371*$J2371)</f>
        <v/>
      </c>
      <c r="L2371" s="71">
        <f>IF($N2371&lt;&gt;"OK","",$I2371-$K2371)</f>
        <v/>
      </c>
      <c r="M2371" s="71">
        <f>IF($N2371&lt;&gt;"OK","",$D2371*N(INDEX('Menu Pricing'!$F$7:$F$56,$O2371)))</f>
        <v/>
      </c>
      <c r="N2371" s="80">
        <f>IF(AND($B2371="",$C2371="",$D2371=""),"",IF(NOT(ISNUMBER($B2371)),"Enter a valid date",IF($C2371="","Pick a menu item",IF($O2371="","Item not on Menu Pricing",IF(N($D2371)&lt;=0,"Qty must be above 0",IF($H2371="","No price on menu","OK"))))))</f>
        <v/>
      </c>
      <c r="O2371" s="13">
        <f>IF($C2371="","",IFERROR(MATCH($C2371,'Menu Pricing'!$B$7:$B$56,0),""))</f>
        <v/>
      </c>
    </row>
    <row r="2372" ht="17" customHeight="1">
      <c r="B2372" s="66" t="n"/>
      <c r="C2372" s="60" t="n"/>
      <c r="D2372" s="86" t="n"/>
      <c r="E2372" s="63" t="n"/>
      <c r="F2372" s="60" t="n"/>
      <c r="G2372" s="60" t="n"/>
      <c r="H2372" s="71">
        <f>IF(OR($C2372="",$D2372=""),"",IF(ISNUMBER($E2372),$E2372,IF($O2372="","",IF(N(INDEX('Menu Pricing'!$O$7:$O$56,$O2372))&gt;0,INDEX('Menu Pricing'!$O$7:$O$56,$O2372),""))))</f>
        <v/>
      </c>
      <c r="I2372" s="71">
        <f>IF($N2372&lt;&gt;"OK","",$D2372*$H2372)</f>
        <v/>
      </c>
      <c r="J2372" s="71">
        <f>IF($N2372&lt;&gt;"OK","",N(INDEX('Menu Pricing'!$F$7:$F$56,$O2372))+N(INDEX('Menu Pricing'!$G$7:$G$56,$O2372))+N(INDEX('Menu Pricing'!$J$7:$J$56,$O2372)))</f>
        <v/>
      </c>
      <c r="K2372" s="71">
        <f>IF($N2372&lt;&gt;"OK","",$D2372*$J2372)</f>
        <v/>
      </c>
      <c r="L2372" s="71">
        <f>IF($N2372&lt;&gt;"OK","",$I2372-$K2372)</f>
        <v/>
      </c>
      <c r="M2372" s="71">
        <f>IF($N2372&lt;&gt;"OK","",$D2372*N(INDEX('Menu Pricing'!$F$7:$F$56,$O2372)))</f>
        <v/>
      </c>
      <c r="N2372" s="80">
        <f>IF(AND($B2372="",$C2372="",$D2372=""),"",IF(NOT(ISNUMBER($B2372)),"Enter a valid date",IF($C2372="","Pick a menu item",IF($O2372="","Item not on Menu Pricing",IF(N($D2372)&lt;=0,"Qty must be above 0",IF($H2372="","No price on menu","OK"))))))</f>
        <v/>
      </c>
      <c r="O2372" s="13">
        <f>IF($C2372="","",IFERROR(MATCH($C2372,'Menu Pricing'!$B$7:$B$56,0),""))</f>
        <v/>
      </c>
    </row>
    <row r="2373" ht="17" customHeight="1">
      <c r="B2373" s="66" t="n"/>
      <c r="C2373" s="60" t="n"/>
      <c r="D2373" s="86" t="n"/>
      <c r="E2373" s="63" t="n"/>
      <c r="F2373" s="60" t="n"/>
      <c r="G2373" s="60" t="n"/>
      <c r="H2373" s="71">
        <f>IF(OR($C2373="",$D2373=""),"",IF(ISNUMBER($E2373),$E2373,IF($O2373="","",IF(N(INDEX('Menu Pricing'!$O$7:$O$56,$O2373))&gt;0,INDEX('Menu Pricing'!$O$7:$O$56,$O2373),""))))</f>
        <v/>
      </c>
      <c r="I2373" s="71">
        <f>IF($N2373&lt;&gt;"OK","",$D2373*$H2373)</f>
        <v/>
      </c>
      <c r="J2373" s="71">
        <f>IF($N2373&lt;&gt;"OK","",N(INDEX('Menu Pricing'!$F$7:$F$56,$O2373))+N(INDEX('Menu Pricing'!$G$7:$G$56,$O2373))+N(INDEX('Menu Pricing'!$J$7:$J$56,$O2373)))</f>
        <v/>
      </c>
      <c r="K2373" s="71">
        <f>IF($N2373&lt;&gt;"OK","",$D2373*$J2373)</f>
        <v/>
      </c>
      <c r="L2373" s="71">
        <f>IF($N2373&lt;&gt;"OK","",$I2373-$K2373)</f>
        <v/>
      </c>
      <c r="M2373" s="71">
        <f>IF($N2373&lt;&gt;"OK","",$D2373*N(INDEX('Menu Pricing'!$F$7:$F$56,$O2373)))</f>
        <v/>
      </c>
      <c r="N2373" s="80">
        <f>IF(AND($B2373="",$C2373="",$D2373=""),"",IF(NOT(ISNUMBER($B2373)),"Enter a valid date",IF($C2373="","Pick a menu item",IF($O2373="","Item not on Menu Pricing",IF(N($D2373)&lt;=0,"Qty must be above 0",IF($H2373="","No price on menu","OK"))))))</f>
        <v/>
      </c>
      <c r="O2373" s="13">
        <f>IF($C2373="","",IFERROR(MATCH($C2373,'Menu Pricing'!$B$7:$B$56,0),""))</f>
        <v/>
      </c>
    </row>
    <row r="2374" ht="17" customHeight="1">
      <c r="B2374" s="66" t="n"/>
      <c r="C2374" s="60" t="n"/>
      <c r="D2374" s="86" t="n"/>
      <c r="E2374" s="63" t="n"/>
      <c r="F2374" s="60" t="n"/>
      <c r="G2374" s="60" t="n"/>
      <c r="H2374" s="71">
        <f>IF(OR($C2374="",$D2374=""),"",IF(ISNUMBER($E2374),$E2374,IF($O2374="","",IF(N(INDEX('Menu Pricing'!$O$7:$O$56,$O2374))&gt;0,INDEX('Menu Pricing'!$O$7:$O$56,$O2374),""))))</f>
        <v/>
      </c>
      <c r="I2374" s="71">
        <f>IF($N2374&lt;&gt;"OK","",$D2374*$H2374)</f>
        <v/>
      </c>
      <c r="J2374" s="71">
        <f>IF($N2374&lt;&gt;"OK","",N(INDEX('Menu Pricing'!$F$7:$F$56,$O2374))+N(INDEX('Menu Pricing'!$G$7:$G$56,$O2374))+N(INDEX('Menu Pricing'!$J$7:$J$56,$O2374)))</f>
        <v/>
      </c>
      <c r="K2374" s="71">
        <f>IF($N2374&lt;&gt;"OK","",$D2374*$J2374)</f>
        <v/>
      </c>
      <c r="L2374" s="71">
        <f>IF($N2374&lt;&gt;"OK","",$I2374-$K2374)</f>
        <v/>
      </c>
      <c r="M2374" s="71">
        <f>IF($N2374&lt;&gt;"OK","",$D2374*N(INDEX('Menu Pricing'!$F$7:$F$56,$O2374)))</f>
        <v/>
      </c>
      <c r="N2374" s="80">
        <f>IF(AND($B2374="",$C2374="",$D2374=""),"",IF(NOT(ISNUMBER($B2374)),"Enter a valid date",IF($C2374="","Pick a menu item",IF($O2374="","Item not on Menu Pricing",IF(N($D2374)&lt;=0,"Qty must be above 0",IF($H2374="","No price on menu","OK"))))))</f>
        <v/>
      </c>
      <c r="O2374" s="13">
        <f>IF($C2374="","",IFERROR(MATCH($C2374,'Menu Pricing'!$B$7:$B$56,0),""))</f>
        <v/>
      </c>
    </row>
    <row r="2375" ht="17" customHeight="1">
      <c r="B2375" s="66" t="n"/>
      <c r="C2375" s="60" t="n"/>
      <c r="D2375" s="86" t="n"/>
      <c r="E2375" s="63" t="n"/>
      <c r="F2375" s="60" t="n"/>
      <c r="G2375" s="60" t="n"/>
      <c r="H2375" s="71">
        <f>IF(OR($C2375="",$D2375=""),"",IF(ISNUMBER($E2375),$E2375,IF($O2375="","",IF(N(INDEX('Menu Pricing'!$O$7:$O$56,$O2375))&gt;0,INDEX('Menu Pricing'!$O$7:$O$56,$O2375),""))))</f>
        <v/>
      </c>
      <c r="I2375" s="71">
        <f>IF($N2375&lt;&gt;"OK","",$D2375*$H2375)</f>
        <v/>
      </c>
      <c r="J2375" s="71">
        <f>IF($N2375&lt;&gt;"OK","",N(INDEX('Menu Pricing'!$F$7:$F$56,$O2375))+N(INDEX('Menu Pricing'!$G$7:$G$56,$O2375))+N(INDEX('Menu Pricing'!$J$7:$J$56,$O2375)))</f>
        <v/>
      </c>
      <c r="K2375" s="71">
        <f>IF($N2375&lt;&gt;"OK","",$D2375*$J2375)</f>
        <v/>
      </c>
      <c r="L2375" s="71">
        <f>IF($N2375&lt;&gt;"OK","",$I2375-$K2375)</f>
        <v/>
      </c>
      <c r="M2375" s="71">
        <f>IF($N2375&lt;&gt;"OK","",$D2375*N(INDEX('Menu Pricing'!$F$7:$F$56,$O2375)))</f>
        <v/>
      </c>
      <c r="N2375" s="80">
        <f>IF(AND($B2375="",$C2375="",$D2375=""),"",IF(NOT(ISNUMBER($B2375)),"Enter a valid date",IF($C2375="","Pick a menu item",IF($O2375="","Item not on Menu Pricing",IF(N($D2375)&lt;=0,"Qty must be above 0",IF($H2375="","No price on menu","OK"))))))</f>
        <v/>
      </c>
      <c r="O2375" s="13">
        <f>IF($C2375="","",IFERROR(MATCH($C2375,'Menu Pricing'!$B$7:$B$56,0),""))</f>
        <v/>
      </c>
    </row>
    <row r="2376" ht="17" customHeight="1">
      <c r="B2376" s="66" t="n"/>
      <c r="C2376" s="60" t="n"/>
      <c r="D2376" s="86" t="n"/>
      <c r="E2376" s="63" t="n"/>
      <c r="F2376" s="60" t="n"/>
      <c r="G2376" s="60" t="n"/>
      <c r="H2376" s="71">
        <f>IF(OR($C2376="",$D2376=""),"",IF(ISNUMBER($E2376),$E2376,IF($O2376="","",IF(N(INDEX('Menu Pricing'!$O$7:$O$56,$O2376))&gt;0,INDEX('Menu Pricing'!$O$7:$O$56,$O2376),""))))</f>
        <v/>
      </c>
      <c r="I2376" s="71">
        <f>IF($N2376&lt;&gt;"OK","",$D2376*$H2376)</f>
        <v/>
      </c>
      <c r="J2376" s="71">
        <f>IF($N2376&lt;&gt;"OK","",N(INDEX('Menu Pricing'!$F$7:$F$56,$O2376))+N(INDEX('Menu Pricing'!$G$7:$G$56,$O2376))+N(INDEX('Menu Pricing'!$J$7:$J$56,$O2376)))</f>
        <v/>
      </c>
      <c r="K2376" s="71">
        <f>IF($N2376&lt;&gt;"OK","",$D2376*$J2376)</f>
        <v/>
      </c>
      <c r="L2376" s="71">
        <f>IF($N2376&lt;&gt;"OK","",$I2376-$K2376)</f>
        <v/>
      </c>
      <c r="M2376" s="71">
        <f>IF($N2376&lt;&gt;"OK","",$D2376*N(INDEX('Menu Pricing'!$F$7:$F$56,$O2376)))</f>
        <v/>
      </c>
      <c r="N2376" s="80">
        <f>IF(AND($B2376="",$C2376="",$D2376=""),"",IF(NOT(ISNUMBER($B2376)),"Enter a valid date",IF($C2376="","Pick a menu item",IF($O2376="","Item not on Menu Pricing",IF(N($D2376)&lt;=0,"Qty must be above 0",IF($H2376="","No price on menu","OK"))))))</f>
        <v/>
      </c>
      <c r="O2376" s="13">
        <f>IF($C2376="","",IFERROR(MATCH($C2376,'Menu Pricing'!$B$7:$B$56,0),""))</f>
        <v/>
      </c>
    </row>
    <row r="2377" ht="17" customHeight="1">
      <c r="B2377" s="66" t="n"/>
      <c r="C2377" s="60" t="n"/>
      <c r="D2377" s="86" t="n"/>
      <c r="E2377" s="63" t="n"/>
      <c r="F2377" s="60" t="n"/>
      <c r="G2377" s="60" t="n"/>
      <c r="H2377" s="71">
        <f>IF(OR($C2377="",$D2377=""),"",IF(ISNUMBER($E2377),$E2377,IF($O2377="","",IF(N(INDEX('Menu Pricing'!$O$7:$O$56,$O2377))&gt;0,INDEX('Menu Pricing'!$O$7:$O$56,$O2377),""))))</f>
        <v/>
      </c>
      <c r="I2377" s="71">
        <f>IF($N2377&lt;&gt;"OK","",$D2377*$H2377)</f>
        <v/>
      </c>
      <c r="J2377" s="71">
        <f>IF($N2377&lt;&gt;"OK","",N(INDEX('Menu Pricing'!$F$7:$F$56,$O2377))+N(INDEX('Menu Pricing'!$G$7:$G$56,$O2377))+N(INDEX('Menu Pricing'!$J$7:$J$56,$O2377)))</f>
        <v/>
      </c>
      <c r="K2377" s="71">
        <f>IF($N2377&lt;&gt;"OK","",$D2377*$J2377)</f>
        <v/>
      </c>
      <c r="L2377" s="71">
        <f>IF($N2377&lt;&gt;"OK","",$I2377-$K2377)</f>
        <v/>
      </c>
      <c r="M2377" s="71">
        <f>IF($N2377&lt;&gt;"OK","",$D2377*N(INDEX('Menu Pricing'!$F$7:$F$56,$O2377)))</f>
        <v/>
      </c>
      <c r="N2377" s="80">
        <f>IF(AND($B2377="",$C2377="",$D2377=""),"",IF(NOT(ISNUMBER($B2377)),"Enter a valid date",IF($C2377="","Pick a menu item",IF($O2377="","Item not on Menu Pricing",IF(N($D2377)&lt;=0,"Qty must be above 0",IF($H2377="","No price on menu","OK"))))))</f>
        <v/>
      </c>
      <c r="O2377" s="13">
        <f>IF($C2377="","",IFERROR(MATCH($C2377,'Menu Pricing'!$B$7:$B$56,0),""))</f>
        <v/>
      </c>
    </row>
    <row r="2378" ht="17" customHeight="1">
      <c r="B2378" s="66" t="n"/>
      <c r="C2378" s="60" t="n"/>
      <c r="D2378" s="86" t="n"/>
      <c r="E2378" s="63" t="n"/>
      <c r="F2378" s="60" t="n"/>
      <c r="G2378" s="60" t="n"/>
      <c r="H2378" s="71">
        <f>IF(OR($C2378="",$D2378=""),"",IF(ISNUMBER($E2378),$E2378,IF($O2378="","",IF(N(INDEX('Menu Pricing'!$O$7:$O$56,$O2378))&gt;0,INDEX('Menu Pricing'!$O$7:$O$56,$O2378),""))))</f>
        <v/>
      </c>
      <c r="I2378" s="71">
        <f>IF($N2378&lt;&gt;"OK","",$D2378*$H2378)</f>
        <v/>
      </c>
      <c r="J2378" s="71">
        <f>IF($N2378&lt;&gt;"OK","",N(INDEX('Menu Pricing'!$F$7:$F$56,$O2378))+N(INDEX('Menu Pricing'!$G$7:$G$56,$O2378))+N(INDEX('Menu Pricing'!$J$7:$J$56,$O2378)))</f>
        <v/>
      </c>
      <c r="K2378" s="71">
        <f>IF($N2378&lt;&gt;"OK","",$D2378*$J2378)</f>
        <v/>
      </c>
      <c r="L2378" s="71">
        <f>IF($N2378&lt;&gt;"OK","",$I2378-$K2378)</f>
        <v/>
      </c>
      <c r="M2378" s="71">
        <f>IF($N2378&lt;&gt;"OK","",$D2378*N(INDEX('Menu Pricing'!$F$7:$F$56,$O2378)))</f>
        <v/>
      </c>
      <c r="N2378" s="80">
        <f>IF(AND($B2378="",$C2378="",$D2378=""),"",IF(NOT(ISNUMBER($B2378)),"Enter a valid date",IF($C2378="","Pick a menu item",IF($O2378="","Item not on Menu Pricing",IF(N($D2378)&lt;=0,"Qty must be above 0",IF($H2378="","No price on menu","OK"))))))</f>
        <v/>
      </c>
      <c r="O2378" s="13">
        <f>IF($C2378="","",IFERROR(MATCH($C2378,'Menu Pricing'!$B$7:$B$56,0),""))</f>
        <v/>
      </c>
    </row>
    <row r="2379" ht="17" customHeight="1">
      <c r="B2379" s="66" t="n"/>
      <c r="C2379" s="60" t="n"/>
      <c r="D2379" s="86" t="n"/>
      <c r="E2379" s="63" t="n"/>
      <c r="F2379" s="60" t="n"/>
      <c r="G2379" s="60" t="n"/>
      <c r="H2379" s="71">
        <f>IF(OR($C2379="",$D2379=""),"",IF(ISNUMBER($E2379),$E2379,IF($O2379="","",IF(N(INDEX('Menu Pricing'!$O$7:$O$56,$O2379))&gt;0,INDEX('Menu Pricing'!$O$7:$O$56,$O2379),""))))</f>
        <v/>
      </c>
      <c r="I2379" s="71">
        <f>IF($N2379&lt;&gt;"OK","",$D2379*$H2379)</f>
        <v/>
      </c>
      <c r="J2379" s="71">
        <f>IF($N2379&lt;&gt;"OK","",N(INDEX('Menu Pricing'!$F$7:$F$56,$O2379))+N(INDEX('Menu Pricing'!$G$7:$G$56,$O2379))+N(INDEX('Menu Pricing'!$J$7:$J$56,$O2379)))</f>
        <v/>
      </c>
      <c r="K2379" s="71">
        <f>IF($N2379&lt;&gt;"OK","",$D2379*$J2379)</f>
        <v/>
      </c>
      <c r="L2379" s="71">
        <f>IF($N2379&lt;&gt;"OK","",$I2379-$K2379)</f>
        <v/>
      </c>
      <c r="M2379" s="71">
        <f>IF($N2379&lt;&gt;"OK","",$D2379*N(INDEX('Menu Pricing'!$F$7:$F$56,$O2379)))</f>
        <v/>
      </c>
      <c r="N2379" s="80">
        <f>IF(AND($B2379="",$C2379="",$D2379=""),"",IF(NOT(ISNUMBER($B2379)),"Enter a valid date",IF($C2379="","Pick a menu item",IF($O2379="","Item not on Menu Pricing",IF(N($D2379)&lt;=0,"Qty must be above 0",IF($H2379="","No price on menu","OK"))))))</f>
        <v/>
      </c>
      <c r="O2379" s="13">
        <f>IF($C2379="","",IFERROR(MATCH($C2379,'Menu Pricing'!$B$7:$B$56,0),""))</f>
        <v/>
      </c>
    </row>
    <row r="2380" ht="17" customHeight="1">
      <c r="B2380" s="66" t="n"/>
      <c r="C2380" s="60" t="n"/>
      <c r="D2380" s="86" t="n"/>
      <c r="E2380" s="63" t="n"/>
      <c r="F2380" s="60" t="n"/>
      <c r="G2380" s="60" t="n"/>
      <c r="H2380" s="71">
        <f>IF(OR($C2380="",$D2380=""),"",IF(ISNUMBER($E2380),$E2380,IF($O2380="","",IF(N(INDEX('Menu Pricing'!$O$7:$O$56,$O2380))&gt;0,INDEX('Menu Pricing'!$O$7:$O$56,$O2380),""))))</f>
        <v/>
      </c>
      <c r="I2380" s="71">
        <f>IF($N2380&lt;&gt;"OK","",$D2380*$H2380)</f>
        <v/>
      </c>
      <c r="J2380" s="71">
        <f>IF($N2380&lt;&gt;"OK","",N(INDEX('Menu Pricing'!$F$7:$F$56,$O2380))+N(INDEX('Menu Pricing'!$G$7:$G$56,$O2380))+N(INDEX('Menu Pricing'!$J$7:$J$56,$O2380)))</f>
        <v/>
      </c>
      <c r="K2380" s="71">
        <f>IF($N2380&lt;&gt;"OK","",$D2380*$J2380)</f>
        <v/>
      </c>
      <c r="L2380" s="71">
        <f>IF($N2380&lt;&gt;"OK","",$I2380-$K2380)</f>
        <v/>
      </c>
      <c r="M2380" s="71">
        <f>IF($N2380&lt;&gt;"OK","",$D2380*N(INDEX('Menu Pricing'!$F$7:$F$56,$O2380)))</f>
        <v/>
      </c>
      <c r="N2380" s="80">
        <f>IF(AND($B2380="",$C2380="",$D2380=""),"",IF(NOT(ISNUMBER($B2380)),"Enter a valid date",IF($C2380="","Pick a menu item",IF($O2380="","Item not on Menu Pricing",IF(N($D2380)&lt;=0,"Qty must be above 0",IF($H2380="","No price on menu","OK"))))))</f>
        <v/>
      </c>
      <c r="O2380" s="13">
        <f>IF($C2380="","",IFERROR(MATCH($C2380,'Menu Pricing'!$B$7:$B$56,0),""))</f>
        <v/>
      </c>
    </row>
    <row r="2381" ht="17" customHeight="1">
      <c r="B2381" s="66" t="n"/>
      <c r="C2381" s="60" t="n"/>
      <c r="D2381" s="86" t="n"/>
      <c r="E2381" s="63" t="n"/>
      <c r="F2381" s="60" t="n"/>
      <c r="G2381" s="60" t="n"/>
      <c r="H2381" s="71">
        <f>IF(OR($C2381="",$D2381=""),"",IF(ISNUMBER($E2381),$E2381,IF($O2381="","",IF(N(INDEX('Menu Pricing'!$O$7:$O$56,$O2381))&gt;0,INDEX('Menu Pricing'!$O$7:$O$56,$O2381),""))))</f>
        <v/>
      </c>
      <c r="I2381" s="71">
        <f>IF($N2381&lt;&gt;"OK","",$D2381*$H2381)</f>
        <v/>
      </c>
      <c r="J2381" s="71">
        <f>IF($N2381&lt;&gt;"OK","",N(INDEX('Menu Pricing'!$F$7:$F$56,$O2381))+N(INDEX('Menu Pricing'!$G$7:$G$56,$O2381))+N(INDEX('Menu Pricing'!$J$7:$J$56,$O2381)))</f>
        <v/>
      </c>
      <c r="K2381" s="71">
        <f>IF($N2381&lt;&gt;"OK","",$D2381*$J2381)</f>
        <v/>
      </c>
      <c r="L2381" s="71">
        <f>IF($N2381&lt;&gt;"OK","",$I2381-$K2381)</f>
        <v/>
      </c>
      <c r="M2381" s="71">
        <f>IF($N2381&lt;&gt;"OK","",$D2381*N(INDEX('Menu Pricing'!$F$7:$F$56,$O2381)))</f>
        <v/>
      </c>
      <c r="N2381" s="80">
        <f>IF(AND($B2381="",$C2381="",$D2381=""),"",IF(NOT(ISNUMBER($B2381)),"Enter a valid date",IF($C2381="","Pick a menu item",IF($O2381="","Item not on Menu Pricing",IF(N($D2381)&lt;=0,"Qty must be above 0",IF($H2381="","No price on menu","OK"))))))</f>
        <v/>
      </c>
      <c r="O2381" s="13">
        <f>IF($C2381="","",IFERROR(MATCH($C2381,'Menu Pricing'!$B$7:$B$56,0),""))</f>
        <v/>
      </c>
    </row>
    <row r="2382" ht="17" customHeight="1">
      <c r="B2382" s="66" t="n"/>
      <c r="C2382" s="60" t="n"/>
      <c r="D2382" s="86" t="n"/>
      <c r="E2382" s="63" t="n"/>
      <c r="F2382" s="60" t="n"/>
      <c r="G2382" s="60" t="n"/>
      <c r="H2382" s="71">
        <f>IF(OR($C2382="",$D2382=""),"",IF(ISNUMBER($E2382),$E2382,IF($O2382="","",IF(N(INDEX('Menu Pricing'!$O$7:$O$56,$O2382))&gt;0,INDEX('Menu Pricing'!$O$7:$O$56,$O2382),""))))</f>
        <v/>
      </c>
      <c r="I2382" s="71">
        <f>IF($N2382&lt;&gt;"OK","",$D2382*$H2382)</f>
        <v/>
      </c>
      <c r="J2382" s="71">
        <f>IF($N2382&lt;&gt;"OK","",N(INDEX('Menu Pricing'!$F$7:$F$56,$O2382))+N(INDEX('Menu Pricing'!$G$7:$G$56,$O2382))+N(INDEX('Menu Pricing'!$J$7:$J$56,$O2382)))</f>
        <v/>
      </c>
      <c r="K2382" s="71">
        <f>IF($N2382&lt;&gt;"OK","",$D2382*$J2382)</f>
        <v/>
      </c>
      <c r="L2382" s="71">
        <f>IF($N2382&lt;&gt;"OK","",$I2382-$K2382)</f>
        <v/>
      </c>
      <c r="M2382" s="71">
        <f>IF($N2382&lt;&gt;"OK","",$D2382*N(INDEX('Menu Pricing'!$F$7:$F$56,$O2382)))</f>
        <v/>
      </c>
      <c r="N2382" s="80">
        <f>IF(AND($B2382="",$C2382="",$D2382=""),"",IF(NOT(ISNUMBER($B2382)),"Enter a valid date",IF($C2382="","Pick a menu item",IF($O2382="","Item not on Menu Pricing",IF(N($D2382)&lt;=0,"Qty must be above 0",IF($H2382="","No price on menu","OK"))))))</f>
        <v/>
      </c>
      <c r="O2382" s="13">
        <f>IF($C2382="","",IFERROR(MATCH($C2382,'Menu Pricing'!$B$7:$B$56,0),""))</f>
        <v/>
      </c>
    </row>
    <row r="2383" ht="17" customHeight="1">
      <c r="B2383" s="66" t="n"/>
      <c r="C2383" s="60" t="n"/>
      <c r="D2383" s="86" t="n"/>
      <c r="E2383" s="63" t="n"/>
      <c r="F2383" s="60" t="n"/>
      <c r="G2383" s="60" t="n"/>
      <c r="H2383" s="71">
        <f>IF(OR($C2383="",$D2383=""),"",IF(ISNUMBER($E2383),$E2383,IF($O2383="","",IF(N(INDEX('Menu Pricing'!$O$7:$O$56,$O2383))&gt;0,INDEX('Menu Pricing'!$O$7:$O$56,$O2383),""))))</f>
        <v/>
      </c>
      <c r="I2383" s="71">
        <f>IF($N2383&lt;&gt;"OK","",$D2383*$H2383)</f>
        <v/>
      </c>
      <c r="J2383" s="71">
        <f>IF($N2383&lt;&gt;"OK","",N(INDEX('Menu Pricing'!$F$7:$F$56,$O2383))+N(INDEX('Menu Pricing'!$G$7:$G$56,$O2383))+N(INDEX('Menu Pricing'!$J$7:$J$56,$O2383)))</f>
        <v/>
      </c>
      <c r="K2383" s="71">
        <f>IF($N2383&lt;&gt;"OK","",$D2383*$J2383)</f>
        <v/>
      </c>
      <c r="L2383" s="71">
        <f>IF($N2383&lt;&gt;"OK","",$I2383-$K2383)</f>
        <v/>
      </c>
      <c r="M2383" s="71">
        <f>IF($N2383&lt;&gt;"OK","",$D2383*N(INDEX('Menu Pricing'!$F$7:$F$56,$O2383)))</f>
        <v/>
      </c>
      <c r="N2383" s="80">
        <f>IF(AND($B2383="",$C2383="",$D2383=""),"",IF(NOT(ISNUMBER($B2383)),"Enter a valid date",IF($C2383="","Pick a menu item",IF($O2383="","Item not on Menu Pricing",IF(N($D2383)&lt;=0,"Qty must be above 0",IF($H2383="","No price on menu","OK"))))))</f>
        <v/>
      </c>
      <c r="O2383" s="13">
        <f>IF($C2383="","",IFERROR(MATCH($C2383,'Menu Pricing'!$B$7:$B$56,0),""))</f>
        <v/>
      </c>
    </row>
    <row r="2384" ht="17" customHeight="1">
      <c r="B2384" s="66" t="n"/>
      <c r="C2384" s="60" t="n"/>
      <c r="D2384" s="86" t="n"/>
      <c r="E2384" s="63" t="n"/>
      <c r="F2384" s="60" t="n"/>
      <c r="G2384" s="60" t="n"/>
      <c r="H2384" s="71">
        <f>IF(OR($C2384="",$D2384=""),"",IF(ISNUMBER($E2384),$E2384,IF($O2384="","",IF(N(INDEX('Menu Pricing'!$O$7:$O$56,$O2384))&gt;0,INDEX('Menu Pricing'!$O$7:$O$56,$O2384),""))))</f>
        <v/>
      </c>
      <c r="I2384" s="71">
        <f>IF($N2384&lt;&gt;"OK","",$D2384*$H2384)</f>
        <v/>
      </c>
      <c r="J2384" s="71">
        <f>IF($N2384&lt;&gt;"OK","",N(INDEX('Menu Pricing'!$F$7:$F$56,$O2384))+N(INDEX('Menu Pricing'!$G$7:$G$56,$O2384))+N(INDEX('Menu Pricing'!$J$7:$J$56,$O2384)))</f>
        <v/>
      </c>
      <c r="K2384" s="71">
        <f>IF($N2384&lt;&gt;"OK","",$D2384*$J2384)</f>
        <v/>
      </c>
      <c r="L2384" s="71">
        <f>IF($N2384&lt;&gt;"OK","",$I2384-$K2384)</f>
        <v/>
      </c>
      <c r="M2384" s="71">
        <f>IF($N2384&lt;&gt;"OK","",$D2384*N(INDEX('Menu Pricing'!$F$7:$F$56,$O2384)))</f>
        <v/>
      </c>
      <c r="N2384" s="80">
        <f>IF(AND($B2384="",$C2384="",$D2384=""),"",IF(NOT(ISNUMBER($B2384)),"Enter a valid date",IF($C2384="","Pick a menu item",IF($O2384="","Item not on Menu Pricing",IF(N($D2384)&lt;=0,"Qty must be above 0",IF($H2384="","No price on menu","OK"))))))</f>
        <v/>
      </c>
      <c r="O2384" s="13">
        <f>IF($C2384="","",IFERROR(MATCH($C2384,'Menu Pricing'!$B$7:$B$56,0),""))</f>
        <v/>
      </c>
    </row>
    <row r="2385" ht="17" customHeight="1">
      <c r="B2385" s="66" t="n"/>
      <c r="C2385" s="60" t="n"/>
      <c r="D2385" s="86" t="n"/>
      <c r="E2385" s="63" t="n"/>
      <c r="F2385" s="60" t="n"/>
      <c r="G2385" s="60" t="n"/>
      <c r="H2385" s="71">
        <f>IF(OR($C2385="",$D2385=""),"",IF(ISNUMBER($E2385),$E2385,IF($O2385="","",IF(N(INDEX('Menu Pricing'!$O$7:$O$56,$O2385))&gt;0,INDEX('Menu Pricing'!$O$7:$O$56,$O2385),""))))</f>
        <v/>
      </c>
      <c r="I2385" s="71">
        <f>IF($N2385&lt;&gt;"OK","",$D2385*$H2385)</f>
        <v/>
      </c>
      <c r="J2385" s="71">
        <f>IF($N2385&lt;&gt;"OK","",N(INDEX('Menu Pricing'!$F$7:$F$56,$O2385))+N(INDEX('Menu Pricing'!$G$7:$G$56,$O2385))+N(INDEX('Menu Pricing'!$J$7:$J$56,$O2385)))</f>
        <v/>
      </c>
      <c r="K2385" s="71">
        <f>IF($N2385&lt;&gt;"OK","",$D2385*$J2385)</f>
        <v/>
      </c>
      <c r="L2385" s="71">
        <f>IF($N2385&lt;&gt;"OK","",$I2385-$K2385)</f>
        <v/>
      </c>
      <c r="M2385" s="71">
        <f>IF($N2385&lt;&gt;"OK","",$D2385*N(INDEX('Menu Pricing'!$F$7:$F$56,$O2385)))</f>
        <v/>
      </c>
      <c r="N2385" s="80">
        <f>IF(AND($B2385="",$C2385="",$D2385=""),"",IF(NOT(ISNUMBER($B2385)),"Enter a valid date",IF($C2385="","Pick a menu item",IF($O2385="","Item not on Menu Pricing",IF(N($D2385)&lt;=0,"Qty must be above 0",IF($H2385="","No price on menu","OK"))))))</f>
        <v/>
      </c>
      <c r="O2385" s="13">
        <f>IF($C2385="","",IFERROR(MATCH($C2385,'Menu Pricing'!$B$7:$B$56,0),""))</f>
        <v/>
      </c>
    </row>
    <row r="2386" ht="17" customHeight="1">
      <c r="B2386" s="66" t="n"/>
      <c r="C2386" s="60" t="n"/>
      <c r="D2386" s="86" t="n"/>
      <c r="E2386" s="63" t="n"/>
      <c r="F2386" s="60" t="n"/>
      <c r="G2386" s="60" t="n"/>
      <c r="H2386" s="71">
        <f>IF(OR($C2386="",$D2386=""),"",IF(ISNUMBER($E2386),$E2386,IF($O2386="","",IF(N(INDEX('Menu Pricing'!$O$7:$O$56,$O2386))&gt;0,INDEX('Menu Pricing'!$O$7:$O$56,$O2386),""))))</f>
        <v/>
      </c>
      <c r="I2386" s="71">
        <f>IF($N2386&lt;&gt;"OK","",$D2386*$H2386)</f>
        <v/>
      </c>
      <c r="J2386" s="71">
        <f>IF($N2386&lt;&gt;"OK","",N(INDEX('Menu Pricing'!$F$7:$F$56,$O2386))+N(INDEX('Menu Pricing'!$G$7:$G$56,$O2386))+N(INDEX('Menu Pricing'!$J$7:$J$56,$O2386)))</f>
        <v/>
      </c>
      <c r="K2386" s="71">
        <f>IF($N2386&lt;&gt;"OK","",$D2386*$J2386)</f>
        <v/>
      </c>
      <c r="L2386" s="71">
        <f>IF($N2386&lt;&gt;"OK","",$I2386-$K2386)</f>
        <v/>
      </c>
      <c r="M2386" s="71">
        <f>IF($N2386&lt;&gt;"OK","",$D2386*N(INDEX('Menu Pricing'!$F$7:$F$56,$O2386)))</f>
        <v/>
      </c>
      <c r="N2386" s="80">
        <f>IF(AND($B2386="",$C2386="",$D2386=""),"",IF(NOT(ISNUMBER($B2386)),"Enter a valid date",IF($C2386="","Pick a menu item",IF($O2386="","Item not on Menu Pricing",IF(N($D2386)&lt;=0,"Qty must be above 0",IF($H2386="","No price on menu","OK"))))))</f>
        <v/>
      </c>
      <c r="O2386" s="13">
        <f>IF($C2386="","",IFERROR(MATCH($C2386,'Menu Pricing'!$B$7:$B$56,0),""))</f>
        <v/>
      </c>
    </row>
    <row r="2387" ht="17" customHeight="1">
      <c r="B2387" s="66" t="n"/>
      <c r="C2387" s="60" t="n"/>
      <c r="D2387" s="86" t="n"/>
      <c r="E2387" s="63" t="n"/>
      <c r="F2387" s="60" t="n"/>
      <c r="G2387" s="60" t="n"/>
      <c r="H2387" s="71">
        <f>IF(OR($C2387="",$D2387=""),"",IF(ISNUMBER($E2387),$E2387,IF($O2387="","",IF(N(INDEX('Menu Pricing'!$O$7:$O$56,$O2387))&gt;0,INDEX('Menu Pricing'!$O$7:$O$56,$O2387),""))))</f>
        <v/>
      </c>
      <c r="I2387" s="71">
        <f>IF($N2387&lt;&gt;"OK","",$D2387*$H2387)</f>
        <v/>
      </c>
      <c r="J2387" s="71">
        <f>IF($N2387&lt;&gt;"OK","",N(INDEX('Menu Pricing'!$F$7:$F$56,$O2387))+N(INDEX('Menu Pricing'!$G$7:$G$56,$O2387))+N(INDEX('Menu Pricing'!$J$7:$J$56,$O2387)))</f>
        <v/>
      </c>
      <c r="K2387" s="71">
        <f>IF($N2387&lt;&gt;"OK","",$D2387*$J2387)</f>
        <v/>
      </c>
      <c r="L2387" s="71">
        <f>IF($N2387&lt;&gt;"OK","",$I2387-$K2387)</f>
        <v/>
      </c>
      <c r="M2387" s="71">
        <f>IF($N2387&lt;&gt;"OK","",$D2387*N(INDEX('Menu Pricing'!$F$7:$F$56,$O2387)))</f>
        <v/>
      </c>
      <c r="N2387" s="80">
        <f>IF(AND($B2387="",$C2387="",$D2387=""),"",IF(NOT(ISNUMBER($B2387)),"Enter a valid date",IF($C2387="","Pick a menu item",IF($O2387="","Item not on Menu Pricing",IF(N($D2387)&lt;=0,"Qty must be above 0",IF($H2387="","No price on menu","OK"))))))</f>
        <v/>
      </c>
      <c r="O2387" s="13">
        <f>IF($C2387="","",IFERROR(MATCH($C2387,'Menu Pricing'!$B$7:$B$56,0),""))</f>
        <v/>
      </c>
    </row>
    <row r="2388" ht="17" customHeight="1">
      <c r="B2388" s="66" t="n"/>
      <c r="C2388" s="60" t="n"/>
      <c r="D2388" s="86" t="n"/>
      <c r="E2388" s="63" t="n"/>
      <c r="F2388" s="60" t="n"/>
      <c r="G2388" s="60" t="n"/>
      <c r="H2388" s="71">
        <f>IF(OR($C2388="",$D2388=""),"",IF(ISNUMBER($E2388),$E2388,IF($O2388="","",IF(N(INDEX('Menu Pricing'!$O$7:$O$56,$O2388))&gt;0,INDEX('Menu Pricing'!$O$7:$O$56,$O2388),""))))</f>
        <v/>
      </c>
      <c r="I2388" s="71">
        <f>IF($N2388&lt;&gt;"OK","",$D2388*$H2388)</f>
        <v/>
      </c>
      <c r="J2388" s="71">
        <f>IF($N2388&lt;&gt;"OK","",N(INDEX('Menu Pricing'!$F$7:$F$56,$O2388))+N(INDEX('Menu Pricing'!$G$7:$G$56,$O2388))+N(INDEX('Menu Pricing'!$J$7:$J$56,$O2388)))</f>
        <v/>
      </c>
      <c r="K2388" s="71">
        <f>IF($N2388&lt;&gt;"OK","",$D2388*$J2388)</f>
        <v/>
      </c>
      <c r="L2388" s="71">
        <f>IF($N2388&lt;&gt;"OK","",$I2388-$K2388)</f>
        <v/>
      </c>
      <c r="M2388" s="71">
        <f>IF($N2388&lt;&gt;"OK","",$D2388*N(INDEX('Menu Pricing'!$F$7:$F$56,$O2388)))</f>
        <v/>
      </c>
      <c r="N2388" s="80">
        <f>IF(AND($B2388="",$C2388="",$D2388=""),"",IF(NOT(ISNUMBER($B2388)),"Enter a valid date",IF($C2388="","Pick a menu item",IF($O2388="","Item not on Menu Pricing",IF(N($D2388)&lt;=0,"Qty must be above 0",IF($H2388="","No price on menu","OK"))))))</f>
        <v/>
      </c>
      <c r="O2388" s="13">
        <f>IF($C2388="","",IFERROR(MATCH($C2388,'Menu Pricing'!$B$7:$B$56,0),""))</f>
        <v/>
      </c>
    </row>
    <row r="2389" ht="17" customHeight="1">
      <c r="B2389" s="66" t="n"/>
      <c r="C2389" s="60" t="n"/>
      <c r="D2389" s="86" t="n"/>
      <c r="E2389" s="63" t="n"/>
      <c r="F2389" s="60" t="n"/>
      <c r="G2389" s="60" t="n"/>
      <c r="H2389" s="71">
        <f>IF(OR($C2389="",$D2389=""),"",IF(ISNUMBER($E2389),$E2389,IF($O2389="","",IF(N(INDEX('Menu Pricing'!$O$7:$O$56,$O2389))&gt;0,INDEX('Menu Pricing'!$O$7:$O$56,$O2389),""))))</f>
        <v/>
      </c>
      <c r="I2389" s="71">
        <f>IF($N2389&lt;&gt;"OK","",$D2389*$H2389)</f>
        <v/>
      </c>
      <c r="J2389" s="71">
        <f>IF($N2389&lt;&gt;"OK","",N(INDEX('Menu Pricing'!$F$7:$F$56,$O2389))+N(INDEX('Menu Pricing'!$G$7:$G$56,$O2389))+N(INDEX('Menu Pricing'!$J$7:$J$56,$O2389)))</f>
        <v/>
      </c>
      <c r="K2389" s="71">
        <f>IF($N2389&lt;&gt;"OK","",$D2389*$J2389)</f>
        <v/>
      </c>
      <c r="L2389" s="71">
        <f>IF($N2389&lt;&gt;"OK","",$I2389-$K2389)</f>
        <v/>
      </c>
      <c r="M2389" s="71">
        <f>IF($N2389&lt;&gt;"OK","",$D2389*N(INDEX('Menu Pricing'!$F$7:$F$56,$O2389)))</f>
        <v/>
      </c>
      <c r="N2389" s="80">
        <f>IF(AND($B2389="",$C2389="",$D2389=""),"",IF(NOT(ISNUMBER($B2389)),"Enter a valid date",IF($C2389="","Pick a menu item",IF($O2389="","Item not on Menu Pricing",IF(N($D2389)&lt;=0,"Qty must be above 0",IF($H2389="","No price on menu","OK"))))))</f>
        <v/>
      </c>
      <c r="O2389" s="13">
        <f>IF($C2389="","",IFERROR(MATCH($C2389,'Menu Pricing'!$B$7:$B$56,0),""))</f>
        <v/>
      </c>
    </row>
    <row r="2390" ht="17" customHeight="1">
      <c r="B2390" s="66" t="n"/>
      <c r="C2390" s="60" t="n"/>
      <c r="D2390" s="86" t="n"/>
      <c r="E2390" s="63" t="n"/>
      <c r="F2390" s="60" t="n"/>
      <c r="G2390" s="60" t="n"/>
      <c r="H2390" s="71">
        <f>IF(OR($C2390="",$D2390=""),"",IF(ISNUMBER($E2390),$E2390,IF($O2390="","",IF(N(INDEX('Menu Pricing'!$O$7:$O$56,$O2390))&gt;0,INDEX('Menu Pricing'!$O$7:$O$56,$O2390),""))))</f>
        <v/>
      </c>
      <c r="I2390" s="71">
        <f>IF($N2390&lt;&gt;"OK","",$D2390*$H2390)</f>
        <v/>
      </c>
      <c r="J2390" s="71">
        <f>IF($N2390&lt;&gt;"OK","",N(INDEX('Menu Pricing'!$F$7:$F$56,$O2390))+N(INDEX('Menu Pricing'!$G$7:$G$56,$O2390))+N(INDEX('Menu Pricing'!$J$7:$J$56,$O2390)))</f>
        <v/>
      </c>
      <c r="K2390" s="71">
        <f>IF($N2390&lt;&gt;"OK","",$D2390*$J2390)</f>
        <v/>
      </c>
      <c r="L2390" s="71">
        <f>IF($N2390&lt;&gt;"OK","",$I2390-$K2390)</f>
        <v/>
      </c>
      <c r="M2390" s="71">
        <f>IF($N2390&lt;&gt;"OK","",$D2390*N(INDEX('Menu Pricing'!$F$7:$F$56,$O2390)))</f>
        <v/>
      </c>
      <c r="N2390" s="80">
        <f>IF(AND($B2390="",$C2390="",$D2390=""),"",IF(NOT(ISNUMBER($B2390)),"Enter a valid date",IF($C2390="","Pick a menu item",IF($O2390="","Item not on Menu Pricing",IF(N($D2390)&lt;=0,"Qty must be above 0",IF($H2390="","No price on menu","OK"))))))</f>
        <v/>
      </c>
      <c r="O2390" s="13">
        <f>IF($C2390="","",IFERROR(MATCH($C2390,'Menu Pricing'!$B$7:$B$56,0),""))</f>
        <v/>
      </c>
    </row>
    <row r="2391" ht="17" customHeight="1">
      <c r="B2391" s="66" t="n"/>
      <c r="C2391" s="60" t="n"/>
      <c r="D2391" s="86" t="n"/>
      <c r="E2391" s="63" t="n"/>
      <c r="F2391" s="60" t="n"/>
      <c r="G2391" s="60" t="n"/>
      <c r="H2391" s="71">
        <f>IF(OR($C2391="",$D2391=""),"",IF(ISNUMBER($E2391),$E2391,IF($O2391="","",IF(N(INDEX('Menu Pricing'!$O$7:$O$56,$O2391))&gt;0,INDEX('Menu Pricing'!$O$7:$O$56,$O2391),""))))</f>
        <v/>
      </c>
      <c r="I2391" s="71">
        <f>IF($N2391&lt;&gt;"OK","",$D2391*$H2391)</f>
        <v/>
      </c>
      <c r="J2391" s="71">
        <f>IF($N2391&lt;&gt;"OK","",N(INDEX('Menu Pricing'!$F$7:$F$56,$O2391))+N(INDEX('Menu Pricing'!$G$7:$G$56,$O2391))+N(INDEX('Menu Pricing'!$J$7:$J$56,$O2391)))</f>
        <v/>
      </c>
      <c r="K2391" s="71">
        <f>IF($N2391&lt;&gt;"OK","",$D2391*$J2391)</f>
        <v/>
      </c>
      <c r="L2391" s="71">
        <f>IF($N2391&lt;&gt;"OK","",$I2391-$K2391)</f>
        <v/>
      </c>
      <c r="M2391" s="71">
        <f>IF($N2391&lt;&gt;"OK","",$D2391*N(INDEX('Menu Pricing'!$F$7:$F$56,$O2391)))</f>
        <v/>
      </c>
      <c r="N2391" s="80">
        <f>IF(AND($B2391="",$C2391="",$D2391=""),"",IF(NOT(ISNUMBER($B2391)),"Enter a valid date",IF($C2391="","Pick a menu item",IF($O2391="","Item not on Menu Pricing",IF(N($D2391)&lt;=0,"Qty must be above 0",IF($H2391="","No price on menu","OK"))))))</f>
        <v/>
      </c>
      <c r="O2391" s="13">
        <f>IF($C2391="","",IFERROR(MATCH($C2391,'Menu Pricing'!$B$7:$B$56,0),""))</f>
        <v/>
      </c>
    </row>
    <row r="2392" ht="17" customHeight="1">
      <c r="B2392" s="66" t="n"/>
      <c r="C2392" s="60" t="n"/>
      <c r="D2392" s="86" t="n"/>
      <c r="E2392" s="63" t="n"/>
      <c r="F2392" s="60" t="n"/>
      <c r="G2392" s="60" t="n"/>
      <c r="H2392" s="71">
        <f>IF(OR($C2392="",$D2392=""),"",IF(ISNUMBER($E2392),$E2392,IF($O2392="","",IF(N(INDEX('Menu Pricing'!$O$7:$O$56,$O2392))&gt;0,INDEX('Menu Pricing'!$O$7:$O$56,$O2392),""))))</f>
        <v/>
      </c>
      <c r="I2392" s="71">
        <f>IF($N2392&lt;&gt;"OK","",$D2392*$H2392)</f>
        <v/>
      </c>
      <c r="J2392" s="71">
        <f>IF($N2392&lt;&gt;"OK","",N(INDEX('Menu Pricing'!$F$7:$F$56,$O2392))+N(INDEX('Menu Pricing'!$G$7:$G$56,$O2392))+N(INDEX('Menu Pricing'!$J$7:$J$56,$O2392)))</f>
        <v/>
      </c>
      <c r="K2392" s="71">
        <f>IF($N2392&lt;&gt;"OK","",$D2392*$J2392)</f>
        <v/>
      </c>
      <c r="L2392" s="71">
        <f>IF($N2392&lt;&gt;"OK","",$I2392-$K2392)</f>
        <v/>
      </c>
      <c r="M2392" s="71">
        <f>IF($N2392&lt;&gt;"OK","",$D2392*N(INDEX('Menu Pricing'!$F$7:$F$56,$O2392)))</f>
        <v/>
      </c>
      <c r="N2392" s="80">
        <f>IF(AND($B2392="",$C2392="",$D2392=""),"",IF(NOT(ISNUMBER($B2392)),"Enter a valid date",IF($C2392="","Pick a menu item",IF($O2392="","Item not on Menu Pricing",IF(N($D2392)&lt;=0,"Qty must be above 0",IF($H2392="","No price on menu","OK"))))))</f>
        <v/>
      </c>
      <c r="O2392" s="13">
        <f>IF($C2392="","",IFERROR(MATCH($C2392,'Menu Pricing'!$B$7:$B$56,0),""))</f>
        <v/>
      </c>
    </row>
    <row r="2393" ht="17" customHeight="1">
      <c r="B2393" s="66" t="n"/>
      <c r="C2393" s="60" t="n"/>
      <c r="D2393" s="86" t="n"/>
      <c r="E2393" s="63" t="n"/>
      <c r="F2393" s="60" t="n"/>
      <c r="G2393" s="60" t="n"/>
      <c r="H2393" s="71">
        <f>IF(OR($C2393="",$D2393=""),"",IF(ISNUMBER($E2393),$E2393,IF($O2393="","",IF(N(INDEX('Menu Pricing'!$O$7:$O$56,$O2393))&gt;0,INDEX('Menu Pricing'!$O$7:$O$56,$O2393),""))))</f>
        <v/>
      </c>
      <c r="I2393" s="71">
        <f>IF($N2393&lt;&gt;"OK","",$D2393*$H2393)</f>
        <v/>
      </c>
      <c r="J2393" s="71">
        <f>IF($N2393&lt;&gt;"OK","",N(INDEX('Menu Pricing'!$F$7:$F$56,$O2393))+N(INDEX('Menu Pricing'!$G$7:$G$56,$O2393))+N(INDEX('Menu Pricing'!$J$7:$J$56,$O2393)))</f>
        <v/>
      </c>
      <c r="K2393" s="71">
        <f>IF($N2393&lt;&gt;"OK","",$D2393*$J2393)</f>
        <v/>
      </c>
      <c r="L2393" s="71">
        <f>IF($N2393&lt;&gt;"OK","",$I2393-$K2393)</f>
        <v/>
      </c>
      <c r="M2393" s="71">
        <f>IF($N2393&lt;&gt;"OK","",$D2393*N(INDEX('Menu Pricing'!$F$7:$F$56,$O2393)))</f>
        <v/>
      </c>
      <c r="N2393" s="80">
        <f>IF(AND($B2393="",$C2393="",$D2393=""),"",IF(NOT(ISNUMBER($B2393)),"Enter a valid date",IF($C2393="","Pick a menu item",IF($O2393="","Item not on Menu Pricing",IF(N($D2393)&lt;=0,"Qty must be above 0",IF($H2393="","No price on menu","OK"))))))</f>
        <v/>
      </c>
      <c r="O2393" s="13">
        <f>IF($C2393="","",IFERROR(MATCH($C2393,'Menu Pricing'!$B$7:$B$56,0),""))</f>
        <v/>
      </c>
    </row>
    <row r="2394" ht="17" customHeight="1">
      <c r="B2394" s="66" t="n"/>
      <c r="C2394" s="60" t="n"/>
      <c r="D2394" s="86" t="n"/>
      <c r="E2394" s="63" t="n"/>
      <c r="F2394" s="60" t="n"/>
      <c r="G2394" s="60" t="n"/>
      <c r="H2394" s="71">
        <f>IF(OR($C2394="",$D2394=""),"",IF(ISNUMBER($E2394),$E2394,IF($O2394="","",IF(N(INDEX('Menu Pricing'!$O$7:$O$56,$O2394))&gt;0,INDEX('Menu Pricing'!$O$7:$O$56,$O2394),""))))</f>
        <v/>
      </c>
      <c r="I2394" s="71">
        <f>IF($N2394&lt;&gt;"OK","",$D2394*$H2394)</f>
        <v/>
      </c>
      <c r="J2394" s="71">
        <f>IF($N2394&lt;&gt;"OK","",N(INDEX('Menu Pricing'!$F$7:$F$56,$O2394))+N(INDEX('Menu Pricing'!$G$7:$G$56,$O2394))+N(INDEX('Menu Pricing'!$J$7:$J$56,$O2394)))</f>
        <v/>
      </c>
      <c r="K2394" s="71">
        <f>IF($N2394&lt;&gt;"OK","",$D2394*$J2394)</f>
        <v/>
      </c>
      <c r="L2394" s="71">
        <f>IF($N2394&lt;&gt;"OK","",$I2394-$K2394)</f>
        <v/>
      </c>
      <c r="M2394" s="71">
        <f>IF($N2394&lt;&gt;"OK","",$D2394*N(INDEX('Menu Pricing'!$F$7:$F$56,$O2394)))</f>
        <v/>
      </c>
      <c r="N2394" s="80">
        <f>IF(AND($B2394="",$C2394="",$D2394=""),"",IF(NOT(ISNUMBER($B2394)),"Enter a valid date",IF($C2394="","Pick a menu item",IF($O2394="","Item not on Menu Pricing",IF(N($D2394)&lt;=0,"Qty must be above 0",IF($H2394="","No price on menu","OK"))))))</f>
        <v/>
      </c>
      <c r="O2394" s="13">
        <f>IF($C2394="","",IFERROR(MATCH($C2394,'Menu Pricing'!$B$7:$B$56,0),""))</f>
        <v/>
      </c>
    </row>
    <row r="2395" ht="17" customHeight="1">
      <c r="B2395" s="66" t="n"/>
      <c r="C2395" s="60" t="n"/>
      <c r="D2395" s="86" t="n"/>
      <c r="E2395" s="63" t="n"/>
      <c r="F2395" s="60" t="n"/>
      <c r="G2395" s="60" t="n"/>
      <c r="H2395" s="71">
        <f>IF(OR($C2395="",$D2395=""),"",IF(ISNUMBER($E2395),$E2395,IF($O2395="","",IF(N(INDEX('Menu Pricing'!$O$7:$O$56,$O2395))&gt;0,INDEX('Menu Pricing'!$O$7:$O$56,$O2395),""))))</f>
        <v/>
      </c>
      <c r="I2395" s="71">
        <f>IF($N2395&lt;&gt;"OK","",$D2395*$H2395)</f>
        <v/>
      </c>
      <c r="J2395" s="71">
        <f>IF($N2395&lt;&gt;"OK","",N(INDEX('Menu Pricing'!$F$7:$F$56,$O2395))+N(INDEX('Menu Pricing'!$G$7:$G$56,$O2395))+N(INDEX('Menu Pricing'!$J$7:$J$56,$O2395)))</f>
        <v/>
      </c>
      <c r="K2395" s="71">
        <f>IF($N2395&lt;&gt;"OK","",$D2395*$J2395)</f>
        <v/>
      </c>
      <c r="L2395" s="71">
        <f>IF($N2395&lt;&gt;"OK","",$I2395-$K2395)</f>
        <v/>
      </c>
      <c r="M2395" s="71">
        <f>IF($N2395&lt;&gt;"OK","",$D2395*N(INDEX('Menu Pricing'!$F$7:$F$56,$O2395)))</f>
        <v/>
      </c>
      <c r="N2395" s="80">
        <f>IF(AND($B2395="",$C2395="",$D2395=""),"",IF(NOT(ISNUMBER($B2395)),"Enter a valid date",IF($C2395="","Pick a menu item",IF($O2395="","Item not on Menu Pricing",IF(N($D2395)&lt;=0,"Qty must be above 0",IF($H2395="","No price on menu","OK"))))))</f>
        <v/>
      </c>
      <c r="O2395" s="13">
        <f>IF($C2395="","",IFERROR(MATCH($C2395,'Menu Pricing'!$B$7:$B$56,0),""))</f>
        <v/>
      </c>
    </row>
    <row r="2396" ht="17" customHeight="1">
      <c r="B2396" s="66" t="n"/>
      <c r="C2396" s="60" t="n"/>
      <c r="D2396" s="86" t="n"/>
      <c r="E2396" s="63" t="n"/>
      <c r="F2396" s="60" t="n"/>
      <c r="G2396" s="60" t="n"/>
      <c r="H2396" s="71">
        <f>IF(OR($C2396="",$D2396=""),"",IF(ISNUMBER($E2396),$E2396,IF($O2396="","",IF(N(INDEX('Menu Pricing'!$O$7:$O$56,$O2396))&gt;0,INDEX('Menu Pricing'!$O$7:$O$56,$O2396),""))))</f>
        <v/>
      </c>
      <c r="I2396" s="71">
        <f>IF($N2396&lt;&gt;"OK","",$D2396*$H2396)</f>
        <v/>
      </c>
      <c r="J2396" s="71">
        <f>IF($N2396&lt;&gt;"OK","",N(INDEX('Menu Pricing'!$F$7:$F$56,$O2396))+N(INDEX('Menu Pricing'!$G$7:$G$56,$O2396))+N(INDEX('Menu Pricing'!$J$7:$J$56,$O2396)))</f>
        <v/>
      </c>
      <c r="K2396" s="71">
        <f>IF($N2396&lt;&gt;"OK","",$D2396*$J2396)</f>
        <v/>
      </c>
      <c r="L2396" s="71">
        <f>IF($N2396&lt;&gt;"OK","",$I2396-$K2396)</f>
        <v/>
      </c>
      <c r="M2396" s="71">
        <f>IF($N2396&lt;&gt;"OK","",$D2396*N(INDEX('Menu Pricing'!$F$7:$F$56,$O2396)))</f>
        <v/>
      </c>
      <c r="N2396" s="80">
        <f>IF(AND($B2396="",$C2396="",$D2396=""),"",IF(NOT(ISNUMBER($B2396)),"Enter a valid date",IF($C2396="","Pick a menu item",IF($O2396="","Item not on Menu Pricing",IF(N($D2396)&lt;=0,"Qty must be above 0",IF($H2396="","No price on menu","OK"))))))</f>
        <v/>
      </c>
      <c r="O2396" s="13">
        <f>IF($C2396="","",IFERROR(MATCH($C2396,'Menu Pricing'!$B$7:$B$56,0),""))</f>
        <v/>
      </c>
    </row>
    <row r="2397" ht="17" customHeight="1">
      <c r="B2397" s="66" t="n"/>
      <c r="C2397" s="60" t="n"/>
      <c r="D2397" s="86" t="n"/>
      <c r="E2397" s="63" t="n"/>
      <c r="F2397" s="60" t="n"/>
      <c r="G2397" s="60" t="n"/>
      <c r="H2397" s="71">
        <f>IF(OR($C2397="",$D2397=""),"",IF(ISNUMBER($E2397),$E2397,IF($O2397="","",IF(N(INDEX('Menu Pricing'!$O$7:$O$56,$O2397))&gt;0,INDEX('Menu Pricing'!$O$7:$O$56,$O2397),""))))</f>
        <v/>
      </c>
      <c r="I2397" s="71">
        <f>IF($N2397&lt;&gt;"OK","",$D2397*$H2397)</f>
        <v/>
      </c>
      <c r="J2397" s="71">
        <f>IF($N2397&lt;&gt;"OK","",N(INDEX('Menu Pricing'!$F$7:$F$56,$O2397))+N(INDEX('Menu Pricing'!$G$7:$G$56,$O2397))+N(INDEX('Menu Pricing'!$J$7:$J$56,$O2397)))</f>
        <v/>
      </c>
      <c r="K2397" s="71">
        <f>IF($N2397&lt;&gt;"OK","",$D2397*$J2397)</f>
        <v/>
      </c>
      <c r="L2397" s="71">
        <f>IF($N2397&lt;&gt;"OK","",$I2397-$K2397)</f>
        <v/>
      </c>
      <c r="M2397" s="71">
        <f>IF($N2397&lt;&gt;"OK","",$D2397*N(INDEX('Menu Pricing'!$F$7:$F$56,$O2397)))</f>
        <v/>
      </c>
      <c r="N2397" s="80">
        <f>IF(AND($B2397="",$C2397="",$D2397=""),"",IF(NOT(ISNUMBER($B2397)),"Enter a valid date",IF($C2397="","Pick a menu item",IF($O2397="","Item not on Menu Pricing",IF(N($D2397)&lt;=0,"Qty must be above 0",IF($H2397="","No price on menu","OK"))))))</f>
        <v/>
      </c>
      <c r="O2397" s="13">
        <f>IF($C2397="","",IFERROR(MATCH($C2397,'Menu Pricing'!$B$7:$B$56,0),""))</f>
        <v/>
      </c>
    </row>
    <row r="2398" ht="17" customHeight="1">
      <c r="B2398" s="66" t="n"/>
      <c r="C2398" s="60" t="n"/>
      <c r="D2398" s="86" t="n"/>
      <c r="E2398" s="63" t="n"/>
      <c r="F2398" s="60" t="n"/>
      <c r="G2398" s="60" t="n"/>
      <c r="H2398" s="71">
        <f>IF(OR($C2398="",$D2398=""),"",IF(ISNUMBER($E2398),$E2398,IF($O2398="","",IF(N(INDEX('Menu Pricing'!$O$7:$O$56,$O2398))&gt;0,INDEX('Menu Pricing'!$O$7:$O$56,$O2398),""))))</f>
        <v/>
      </c>
      <c r="I2398" s="71">
        <f>IF($N2398&lt;&gt;"OK","",$D2398*$H2398)</f>
        <v/>
      </c>
      <c r="J2398" s="71">
        <f>IF($N2398&lt;&gt;"OK","",N(INDEX('Menu Pricing'!$F$7:$F$56,$O2398))+N(INDEX('Menu Pricing'!$G$7:$G$56,$O2398))+N(INDEX('Menu Pricing'!$J$7:$J$56,$O2398)))</f>
        <v/>
      </c>
      <c r="K2398" s="71">
        <f>IF($N2398&lt;&gt;"OK","",$D2398*$J2398)</f>
        <v/>
      </c>
      <c r="L2398" s="71">
        <f>IF($N2398&lt;&gt;"OK","",$I2398-$K2398)</f>
        <v/>
      </c>
      <c r="M2398" s="71">
        <f>IF($N2398&lt;&gt;"OK","",$D2398*N(INDEX('Menu Pricing'!$F$7:$F$56,$O2398)))</f>
        <v/>
      </c>
      <c r="N2398" s="80">
        <f>IF(AND($B2398="",$C2398="",$D2398=""),"",IF(NOT(ISNUMBER($B2398)),"Enter a valid date",IF($C2398="","Pick a menu item",IF($O2398="","Item not on Menu Pricing",IF(N($D2398)&lt;=0,"Qty must be above 0",IF($H2398="","No price on menu","OK"))))))</f>
        <v/>
      </c>
      <c r="O2398" s="13">
        <f>IF($C2398="","",IFERROR(MATCH($C2398,'Menu Pricing'!$B$7:$B$56,0),""))</f>
        <v/>
      </c>
    </row>
    <row r="2399" ht="17" customHeight="1">
      <c r="B2399" s="66" t="n"/>
      <c r="C2399" s="60" t="n"/>
      <c r="D2399" s="86" t="n"/>
      <c r="E2399" s="63" t="n"/>
      <c r="F2399" s="60" t="n"/>
      <c r="G2399" s="60" t="n"/>
      <c r="H2399" s="71">
        <f>IF(OR($C2399="",$D2399=""),"",IF(ISNUMBER($E2399),$E2399,IF($O2399="","",IF(N(INDEX('Menu Pricing'!$O$7:$O$56,$O2399))&gt;0,INDEX('Menu Pricing'!$O$7:$O$56,$O2399),""))))</f>
        <v/>
      </c>
      <c r="I2399" s="71">
        <f>IF($N2399&lt;&gt;"OK","",$D2399*$H2399)</f>
        <v/>
      </c>
      <c r="J2399" s="71">
        <f>IF($N2399&lt;&gt;"OK","",N(INDEX('Menu Pricing'!$F$7:$F$56,$O2399))+N(INDEX('Menu Pricing'!$G$7:$G$56,$O2399))+N(INDEX('Menu Pricing'!$J$7:$J$56,$O2399)))</f>
        <v/>
      </c>
      <c r="K2399" s="71">
        <f>IF($N2399&lt;&gt;"OK","",$D2399*$J2399)</f>
        <v/>
      </c>
      <c r="L2399" s="71">
        <f>IF($N2399&lt;&gt;"OK","",$I2399-$K2399)</f>
        <v/>
      </c>
      <c r="M2399" s="71">
        <f>IF($N2399&lt;&gt;"OK","",$D2399*N(INDEX('Menu Pricing'!$F$7:$F$56,$O2399)))</f>
        <v/>
      </c>
      <c r="N2399" s="80">
        <f>IF(AND($B2399="",$C2399="",$D2399=""),"",IF(NOT(ISNUMBER($B2399)),"Enter a valid date",IF($C2399="","Pick a menu item",IF($O2399="","Item not on Menu Pricing",IF(N($D2399)&lt;=0,"Qty must be above 0",IF($H2399="","No price on menu","OK"))))))</f>
        <v/>
      </c>
      <c r="O2399" s="13">
        <f>IF($C2399="","",IFERROR(MATCH($C2399,'Menu Pricing'!$B$7:$B$56,0),""))</f>
        <v/>
      </c>
    </row>
    <row r="2400" ht="17" customHeight="1">
      <c r="B2400" s="66" t="n"/>
      <c r="C2400" s="60" t="n"/>
      <c r="D2400" s="86" t="n"/>
      <c r="E2400" s="63" t="n"/>
      <c r="F2400" s="60" t="n"/>
      <c r="G2400" s="60" t="n"/>
      <c r="H2400" s="71">
        <f>IF(OR($C2400="",$D2400=""),"",IF(ISNUMBER($E2400),$E2400,IF($O2400="","",IF(N(INDEX('Menu Pricing'!$O$7:$O$56,$O2400))&gt;0,INDEX('Menu Pricing'!$O$7:$O$56,$O2400),""))))</f>
        <v/>
      </c>
      <c r="I2400" s="71">
        <f>IF($N2400&lt;&gt;"OK","",$D2400*$H2400)</f>
        <v/>
      </c>
      <c r="J2400" s="71">
        <f>IF($N2400&lt;&gt;"OK","",N(INDEX('Menu Pricing'!$F$7:$F$56,$O2400))+N(INDEX('Menu Pricing'!$G$7:$G$56,$O2400))+N(INDEX('Menu Pricing'!$J$7:$J$56,$O2400)))</f>
        <v/>
      </c>
      <c r="K2400" s="71">
        <f>IF($N2400&lt;&gt;"OK","",$D2400*$J2400)</f>
        <v/>
      </c>
      <c r="L2400" s="71">
        <f>IF($N2400&lt;&gt;"OK","",$I2400-$K2400)</f>
        <v/>
      </c>
      <c r="M2400" s="71">
        <f>IF($N2400&lt;&gt;"OK","",$D2400*N(INDEX('Menu Pricing'!$F$7:$F$56,$O2400)))</f>
        <v/>
      </c>
      <c r="N2400" s="80">
        <f>IF(AND($B2400="",$C2400="",$D2400=""),"",IF(NOT(ISNUMBER($B2400)),"Enter a valid date",IF($C2400="","Pick a menu item",IF($O2400="","Item not on Menu Pricing",IF(N($D2400)&lt;=0,"Qty must be above 0",IF($H2400="","No price on menu","OK"))))))</f>
        <v/>
      </c>
      <c r="O2400" s="13">
        <f>IF($C2400="","",IFERROR(MATCH($C2400,'Menu Pricing'!$B$7:$B$56,0),""))</f>
        <v/>
      </c>
    </row>
    <row r="2401" ht="17" customHeight="1">
      <c r="B2401" s="66" t="n"/>
      <c r="C2401" s="60" t="n"/>
      <c r="D2401" s="86" t="n"/>
      <c r="E2401" s="63" t="n"/>
      <c r="F2401" s="60" t="n"/>
      <c r="G2401" s="60" t="n"/>
      <c r="H2401" s="71">
        <f>IF(OR($C2401="",$D2401=""),"",IF(ISNUMBER($E2401),$E2401,IF($O2401="","",IF(N(INDEX('Menu Pricing'!$O$7:$O$56,$O2401))&gt;0,INDEX('Menu Pricing'!$O$7:$O$56,$O2401),""))))</f>
        <v/>
      </c>
      <c r="I2401" s="71">
        <f>IF($N2401&lt;&gt;"OK","",$D2401*$H2401)</f>
        <v/>
      </c>
      <c r="J2401" s="71">
        <f>IF($N2401&lt;&gt;"OK","",N(INDEX('Menu Pricing'!$F$7:$F$56,$O2401))+N(INDEX('Menu Pricing'!$G$7:$G$56,$O2401))+N(INDEX('Menu Pricing'!$J$7:$J$56,$O2401)))</f>
        <v/>
      </c>
      <c r="K2401" s="71">
        <f>IF($N2401&lt;&gt;"OK","",$D2401*$J2401)</f>
        <v/>
      </c>
      <c r="L2401" s="71">
        <f>IF($N2401&lt;&gt;"OK","",$I2401-$K2401)</f>
        <v/>
      </c>
      <c r="M2401" s="71">
        <f>IF($N2401&lt;&gt;"OK","",$D2401*N(INDEX('Menu Pricing'!$F$7:$F$56,$O2401)))</f>
        <v/>
      </c>
      <c r="N2401" s="80">
        <f>IF(AND($B2401="",$C2401="",$D2401=""),"",IF(NOT(ISNUMBER($B2401)),"Enter a valid date",IF($C2401="","Pick a menu item",IF($O2401="","Item not on Menu Pricing",IF(N($D2401)&lt;=0,"Qty must be above 0",IF($H2401="","No price on menu","OK"))))))</f>
        <v/>
      </c>
      <c r="O2401" s="13">
        <f>IF($C2401="","",IFERROR(MATCH($C2401,'Menu Pricing'!$B$7:$B$56,0),""))</f>
        <v/>
      </c>
    </row>
    <row r="2402" ht="17" customHeight="1">
      <c r="B2402" s="66" t="n"/>
      <c r="C2402" s="60" t="n"/>
      <c r="D2402" s="86" t="n"/>
      <c r="E2402" s="63" t="n"/>
      <c r="F2402" s="60" t="n"/>
      <c r="G2402" s="60" t="n"/>
      <c r="H2402" s="71">
        <f>IF(OR($C2402="",$D2402=""),"",IF(ISNUMBER($E2402),$E2402,IF($O2402="","",IF(N(INDEX('Menu Pricing'!$O$7:$O$56,$O2402))&gt;0,INDEX('Menu Pricing'!$O$7:$O$56,$O2402),""))))</f>
        <v/>
      </c>
      <c r="I2402" s="71">
        <f>IF($N2402&lt;&gt;"OK","",$D2402*$H2402)</f>
        <v/>
      </c>
      <c r="J2402" s="71">
        <f>IF($N2402&lt;&gt;"OK","",N(INDEX('Menu Pricing'!$F$7:$F$56,$O2402))+N(INDEX('Menu Pricing'!$G$7:$G$56,$O2402))+N(INDEX('Menu Pricing'!$J$7:$J$56,$O2402)))</f>
        <v/>
      </c>
      <c r="K2402" s="71">
        <f>IF($N2402&lt;&gt;"OK","",$D2402*$J2402)</f>
        <v/>
      </c>
      <c r="L2402" s="71">
        <f>IF($N2402&lt;&gt;"OK","",$I2402-$K2402)</f>
        <v/>
      </c>
      <c r="M2402" s="71">
        <f>IF($N2402&lt;&gt;"OK","",$D2402*N(INDEX('Menu Pricing'!$F$7:$F$56,$O2402)))</f>
        <v/>
      </c>
      <c r="N2402" s="80">
        <f>IF(AND($B2402="",$C2402="",$D2402=""),"",IF(NOT(ISNUMBER($B2402)),"Enter a valid date",IF($C2402="","Pick a menu item",IF($O2402="","Item not on Menu Pricing",IF(N($D2402)&lt;=0,"Qty must be above 0",IF($H2402="","No price on menu","OK"))))))</f>
        <v/>
      </c>
      <c r="O2402" s="13">
        <f>IF($C2402="","",IFERROR(MATCH($C2402,'Menu Pricing'!$B$7:$B$56,0),""))</f>
        <v/>
      </c>
    </row>
    <row r="2403" ht="17" customHeight="1">
      <c r="B2403" s="66" t="n"/>
      <c r="C2403" s="60" t="n"/>
      <c r="D2403" s="86" t="n"/>
      <c r="E2403" s="63" t="n"/>
      <c r="F2403" s="60" t="n"/>
      <c r="G2403" s="60" t="n"/>
      <c r="H2403" s="71">
        <f>IF(OR($C2403="",$D2403=""),"",IF(ISNUMBER($E2403),$E2403,IF($O2403="","",IF(N(INDEX('Menu Pricing'!$O$7:$O$56,$O2403))&gt;0,INDEX('Menu Pricing'!$O$7:$O$56,$O2403),""))))</f>
        <v/>
      </c>
      <c r="I2403" s="71">
        <f>IF($N2403&lt;&gt;"OK","",$D2403*$H2403)</f>
        <v/>
      </c>
      <c r="J2403" s="71">
        <f>IF($N2403&lt;&gt;"OK","",N(INDEX('Menu Pricing'!$F$7:$F$56,$O2403))+N(INDEX('Menu Pricing'!$G$7:$G$56,$O2403))+N(INDEX('Menu Pricing'!$J$7:$J$56,$O2403)))</f>
        <v/>
      </c>
      <c r="K2403" s="71">
        <f>IF($N2403&lt;&gt;"OK","",$D2403*$J2403)</f>
        <v/>
      </c>
      <c r="L2403" s="71">
        <f>IF($N2403&lt;&gt;"OK","",$I2403-$K2403)</f>
        <v/>
      </c>
      <c r="M2403" s="71">
        <f>IF($N2403&lt;&gt;"OK","",$D2403*N(INDEX('Menu Pricing'!$F$7:$F$56,$O2403)))</f>
        <v/>
      </c>
      <c r="N2403" s="80">
        <f>IF(AND($B2403="",$C2403="",$D2403=""),"",IF(NOT(ISNUMBER($B2403)),"Enter a valid date",IF($C2403="","Pick a menu item",IF($O2403="","Item not on Menu Pricing",IF(N($D2403)&lt;=0,"Qty must be above 0",IF($H2403="","No price on menu","OK"))))))</f>
        <v/>
      </c>
      <c r="O2403" s="13">
        <f>IF($C2403="","",IFERROR(MATCH($C2403,'Menu Pricing'!$B$7:$B$56,0),""))</f>
        <v/>
      </c>
    </row>
    <row r="2404" ht="17" customHeight="1">
      <c r="B2404" s="66" t="n"/>
      <c r="C2404" s="60" t="n"/>
      <c r="D2404" s="86" t="n"/>
      <c r="E2404" s="63" t="n"/>
      <c r="F2404" s="60" t="n"/>
      <c r="G2404" s="60" t="n"/>
      <c r="H2404" s="71">
        <f>IF(OR($C2404="",$D2404=""),"",IF(ISNUMBER($E2404),$E2404,IF($O2404="","",IF(N(INDEX('Menu Pricing'!$O$7:$O$56,$O2404))&gt;0,INDEX('Menu Pricing'!$O$7:$O$56,$O2404),""))))</f>
        <v/>
      </c>
      <c r="I2404" s="71">
        <f>IF($N2404&lt;&gt;"OK","",$D2404*$H2404)</f>
        <v/>
      </c>
      <c r="J2404" s="71">
        <f>IF($N2404&lt;&gt;"OK","",N(INDEX('Menu Pricing'!$F$7:$F$56,$O2404))+N(INDEX('Menu Pricing'!$G$7:$G$56,$O2404))+N(INDEX('Menu Pricing'!$J$7:$J$56,$O2404)))</f>
        <v/>
      </c>
      <c r="K2404" s="71">
        <f>IF($N2404&lt;&gt;"OK","",$D2404*$J2404)</f>
        <v/>
      </c>
      <c r="L2404" s="71">
        <f>IF($N2404&lt;&gt;"OK","",$I2404-$K2404)</f>
        <v/>
      </c>
      <c r="M2404" s="71">
        <f>IF($N2404&lt;&gt;"OK","",$D2404*N(INDEX('Menu Pricing'!$F$7:$F$56,$O2404)))</f>
        <v/>
      </c>
      <c r="N2404" s="80">
        <f>IF(AND($B2404="",$C2404="",$D2404=""),"",IF(NOT(ISNUMBER($B2404)),"Enter a valid date",IF($C2404="","Pick a menu item",IF($O2404="","Item not on Menu Pricing",IF(N($D2404)&lt;=0,"Qty must be above 0",IF($H2404="","No price on menu","OK"))))))</f>
        <v/>
      </c>
      <c r="O2404" s="13">
        <f>IF($C2404="","",IFERROR(MATCH($C2404,'Menu Pricing'!$B$7:$B$56,0),""))</f>
        <v/>
      </c>
    </row>
    <row r="2405" ht="17" customHeight="1">
      <c r="B2405" s="66" t="n"/>
      <c r="C2405" s="60" t="n"/>
      <c r="D2405" s="86" t="n"/>
      <c r="E2405" s="63" t="n"/>
      <c r="F2405" s="60" t="n"/>
      <c r="G2405" s="60" t="n"/>
      <c r="H2405" s="71">
        <f>IF(OR($C2405="",$D2405=""),"",IF(ISNUMBER($E2405),$E2405,IF($O2405="","",IF(N(INDEX('Menu Pricing'!$O$7:$O$56,$O2405))&gt;0,INDEX('Menu Pricing'!$O$7:$O$56,$O2405),""))))</f>
        <v/>
      </c>
      <c r="I2405" s="71">
        <f>IF($N2405&lt;&gt;"OK","",$D2405*$H2405)</f>
        <v/>
      </c>
      <c r="J2405" s="71">
        <f>IF($N2405&lt;&gt;"OK","",N(INDEX('Menu Pricing'!$F$7:$F$56,$O2405))+N(INDEX('Menu Pricing'!$G$7:$G$56,$O2405))+N(INDEX('Menu Pricing'!$J$7:$J$56,$O2405)))</f>
        <v/>
      </c>
      <c r="K2405" s="71">
        <f>IF($N2405&lt;&gt;"OK","",$D2405*$J2405)</f>
        <v/>
      </c>
      <c r="L2405" s="71">
        <f>IF($N2405&lt;&gt;"OK","",$I2405-$K2405)</f>
        <v/>
      </c>
      <c r="M2405" s="71">
        <f>IF($N2405&lt;&gt;"OK","",$D2405*N(INDEX('Menu Pricing'!$F$7:$F$56,$O2405)))</f>
        <v/>
      </c>
      <c r="N2405" s="80">
        <f>IF(AND($B2405="",$C2405="",$D2405=""),"",IF(NOT(ISNUMBER($B2405)),"Enter a valid date",IF($C2405="","Pick a menu item",IF($O2405="","Item not on Menu Pricing",IF(N($D2405)&lt;=0,"Qty must be above 0",IF($H2405="","No price on menu","OK"))))))</f>
        <v/>
      </c>
      <c r="O2405" s="13">
        <f>IF($C2405="","",IFERROR(MATCH($C2405,'Menu Pricing'!$B$7:$B$56,0),""))</f>
        <v/>
      </c>
    </row>
    <row r="2406" ht="17" customHeight="1">
      <c r="B2406" s="66" t="n"/>
      <c r="C2406" s="60" t="n"/>
      <c r="D2406" s="86" t="n"/>
      <c r="E2406" s="63" t="n"/>
      <c r="F2406" s="60" t="n"/>
      <c r="G2406" s="60" t="n"/>
      <c r="H2406" s="71">
        <f>IF(OR($C2406="",$D2406=""),"",IF(ISNUMBER($E2406),$E2406,IF($O2406="","",IF(N(INDEX('Menu Pricing'!$O$7:$O$56,$O2406))&gt;0,INDEX('Menu Pricing'!$O$7:$O$56,$O2406),""))))</f>
        <v/>
      </c>
      <c r="I2406" s="71">
        <f>IF($N2406&lt;&gt;"OK","",$D2406*$H2406)</f>
        <v/>
      </c>
      <c r="J2406" s="71">
        <f>IF($N2406&lt;&gt;"OK","",N(INDEX('Menu Pricing'!$F$7:$F$56,$O2406))+N(INDEX('Menu Pricing'!$G$7:$G$56,$O2406))+N(INDEX('Menu Pricing'!$J$7:$J$56,$O2406)))</f>
        <v/>
      </c>
      <c r="K2406" s="71">
        <f>IF($N2406&lt;&gt;"OK","",$D2406*$J2406)</f>
        <v/>
      </c>
      <c r="L2406" s="71">
        <f>IF($N2406&lt;&gt;"OK","",$I2406-$K2406)</f>
        <v/>
      </c>
      <c r="M2406" s="71">
        <f>IF($N2406&lt;&gt;"OK","",$D2406*N(INDEX('Menu Pricing'!$F$7:$F$56,$O2406)))</f>
        <v/>
      </c>
      <c r="N2406" s="80">
        <f>IF(AND($B2406="",$C2406="",$D2406=""),"",IF(NOT(ISNUMBER($B2406)),"Enter a valid date",IF($C2406="","Pick a menu item",IF($O2406="","Item not on Menu Pricing",IF(N($D2406)&lt;=0,"Qty must be above 0",IF($H2406="","No price on menu","OK"))))))</f>
        <v/>
      </c>
      <c r="O2406" s="13">
        <f>IF($C2406="","",IFERROR(MATCH($C2406,'Menu Pricing'!$B$7:$B$56,0),""))</f>
        <v/>
      </c>
    </row>
    <row r="2407" ht="17" customHeight="1">
      <c r="B2407" s="66" t="n"/>
      <c r="C2407" s="60" t="n"/>
      <c r="D2407" s="86" t="n"/>
      <c r="E2407" s="63" t="n"/>
      <c r="F2407" s="60" t="n"/>
      <c r="G2407" s="60" t="n"/>
      <c r="H2407" s="71">
        <f>IF(OR($C2407="",$D2407=""),"",IF(ISNUMBER($E2407),$E2407,IF($O2407="","",IF(N(INDEX('Menu Pricing'!$O$7:$O$56,$O2407))&gt;0,INDEX('Menu Pricing'!$O$7:$O$56,$O2407),""))))</f>
        <v/>
      </c>
      <c r="I2407" s="71">
        <f>IF($N2407&lt;&gt;"OK","",$D2407*$H2407)</f>
        <v/>
      </c>
      <c r="J2407" s="71">
        <f>IF($N2407&lt;&gt;"OK","",N(INDEX('Menu Pricing'!$F$7:$F$56,$O2407))+N(INDEX('Menu Pricing'!$G$7:$G$56,$O2407))+N(INDEX('Menu Pricing'!$J$7:$J$56,$O2407)))</f>
        <v/>
      </c>
      <c r="K2407" s="71">
        <f>IF($N2407&lt;&gt;"OK","",$D2407*$J2407)</f>
        <v/>
      </c>
      <c r="L2407" s="71">
        <f>IF($N2407&lt;&gt;"OK","",$I2407-$K2407)</f>
        <v/>
      </c>
      <c r="M2407" s="71">
        <f>IF($N2407&lt;&gt;"OK","",$D2407*N(INDEX('Menu Pricing'!$F$7:$F$56,$O2407)))</f>
        <v/>
      </c>
      <c r="N2407" s="80">
        <f>IF(AND($B2407="",$C2407="",$D2407=""),"",IF(NOT(ISNUMBER($B2407)),"Enter a valid date",IF($C2407="","Pick a menu item",IF($O2407="","Item not on Menu Pricing",IF(N($D2407)&lt;=0,"Qty must be above 0",IF($H2407="","No price on menu","OK"))))))</f>
        <v/>
      </c>
      <c r="O2407" s="13">
        <f>IF($C2407="","",IFERROR(MATCH($C2407,'Menu Pricing'!$B$7:$B$56,0),""))</f>
        <v/>
      </c>
    </row>
    <row r="2408" ht="17" customHeight="1">
      <c r="B2408" s="66" t="n"/>
      <c r="C2408" s="60" t="n"/>
      <c r="D2408" s="86" t="n"/>
      <c r="E2408" s="63" t="n"/>
      <c r="F2408" s="60" t="n"/>
      <c r="G2408" s="60" t="n"/>
      <c r="H2408" s="71">
        <f>IF(OR($C2408="",$D2408=""),"",IF(ISNUMBER($E2408),$E2408,IF($O2408="","",IF(N(INDEX('Menu Pricing'!$O$7:$O$56,$O2408))&gt;0,INDEX('Menu Pricing'!$O$7:$O$56,$O2408),""))))</f>
        <v/>
      </c>
      <c r="I2408" s="71">
        <f>IF($N2408&lt;&gt;"OK","",$D2408*$H2408)</f>
        <v/>
      </c>
      <c r="J2408" s="71">
        <f>IF($N2408&lt;&gt;"OK","",N(INDEX('Menu Pricing'!$F$7:$F$56,$O2408))+N(INDEX('Menu Pricing'!$G$7:$G$56,$O2408))+N(INDEX('Menu Pricing'!$J$7:$J$56,$O2408)))</f>
        <v/>
      </c>
      <c r="K2408" s="71">
        <f>IF($N2408&lt;&gt;"OK","",$D2408*$J2408)</f>
        <v/>
      </c>
      <c r="L2408" s="71">
        <f>IF($N2408&lt;&gt;"OK","",$I2408-$K2408)</f>
        <v/>
      </c>
      <c r="M2408" s="71">
        <f>IF($N2408&lt;&gt;"OK","",$D2408*N(INDEX('Menu Pricing'!$F$7:$F$56,$O2408)))</f>
        <v/>
      </c>
      <c r="N2408" s="80">
        <f>IF(AND($B2408="",$C2408="",$D2408=""),"",IF(NOT(ISNUMBER($B2408)),"Enter a valid date",IF($C2408="","Pick a menu item",IF($O2408="","Item not on Menu Pricing",IF(N($D2408)&lt;=0,"Qty must be above 0",IF($H2408="","No price on menu","OK"))))))</f>
        <v/>
      </c>
      <c r="O2408" s="13">
        <f>IF($C2408="","",IFERROR(MATCH($C2408,'Menu Pricing'!$B$7:$B$56,0),""))</f>
        <v/>
      </c>
    </row>
    <row r="2409" ht="17" customHeight="1">
      <c r="B2409" s="66" t="n"/>
      <c r="C2409" s="60" t="n"/>
      <c r="D2409" s="86" t="n"/>
      <c r="E2409" s="63" t="n"/>
      <c r="F2409" s="60" t="n"/>
      <c r="G2409" s="60" t="n"/>
      <c r="H2409" s="71">
        <f>IF(OR($C2409="",$D2409=""),"",IF(ISNUMBER($E2409),$E2409,IF($O2409="","",IF(N(INDEX('Menu Pricing'!$O$7:$O$56,$O2409))&gt;0,INDEX('Menu Pricing'!$O$7:$O$56,$O2409),""))))</f>
        <v/>
      </c>
      <c r="I2409" s="71">
        <f>IF($N2409&lt;&gt;"OK","",$D2409*$H2409)</f>
        <v/>
      </c>
      <c r="J2409" s="71">
        <f>IF($N2409&lt;&gt;"OK","",N(INDEX('Menu Pricing'!$F$7:$F$56,$O2409))+N(INDEX('Menu Pricing'!$G$7:$G$56,$O2409))+N(INDEX('Menu Pricing'!$J$7:$J$56,$O2409)))</f>
        <v/>
      </c>
      <c r="K2409" s="71">
        <f>IF($N2409&lt;&gt;"OK","",$D2409*$J2409)</f>
        <v/>
      </c>
      <c r="L2409" s="71">
        <f>IF($N2409&lt;&gt;"OK","",$I2409-$K2409)</f>
        <v/>
      </c>
      <c r="M2409" s="71">
        <f>IF($N2409&lt;&gt;"OK","",$D2409*N(INDEX('Menu Pricing'!$F$7:$F$56,$O2409)))</f>
        <v/>
      </c>
      <c r="N2409" s="80">
        <f>IF(AND($B2409="",$C2409="",$D2409=""),"",IF(NOT(ISNUMBER($B2409)),"Enter a valid date",IF($C2409="","Pick a menu item",IF($O2409="","Item not on Menu Pricing",IF(N($D2409)&lt;=0,"Qty must be above 0",IF($H2409="","No price on menu","OK"))))))</f>
        <v/>
      </c>
      <c r="O2409" s="13">
        <f>IF($C2409="","",IFERROR(MATCH($C2409,'Menu Pricing'!$B$7:$B$56,0),""))</f>
        <v/>
      </c>
    </row>
    <row r="2410" ht="17" customHeight="1">
      <c r="B2410" s="66" t="n"/>
      <c r="C2410" s="60" t="n"/>
      <c r="D2410" s="86" t="n"/>
      <c r="E2410" s="63" t="n"/>
      <c r="F2410" s="60" t="n"/>
      <c r="G2410" s="60" t="n"/>
      <c r="H2410" s="71">
        <f>IF(OR($C2410="",$D2410=""),"",IF(ISNUMBER($E2410),$E2410,IF($O2410="","",IF(N(INDEX('Menu Pricing'!$O$7:$O$56,$O2410))&gt;0,INDEX('Menu Pricing'!$O$7:$O$56,$O2410),""))))</f>
        <v/>
      </c>
      <c r="I2410" s="71">
        <f>IF($N2410&lt;&gt;"OK","",$D2410*$H2410)</f>
        <v/>
      </c>
      <c r="J2410" s="71">
        <f>IF($N2410&lt;&gt;"OK","",N(INDEX('Menu Pricing'!$F$7:$F$56,$O2410))+N(INDEX('Menu Pricing'!$G$7:$G$56,$O2410))+N(INDEX('Menu Pricing'!$J$7:$J$56,$O2410)))</f>
        <v/>
      </c>
      <c r="K2410" s="71">
        <f>IF($N2410&lt;&gt;"OK","",$D2410*$J2410)</f>
        <v/>
      </c>
      <c r="L2410" s="71">
        <f>IF($N2410&lt;&gt;"OK","",$I2410-$K2410)</f>
        <v/>
      </c>
      <c r="M2410" s="71">
        <f>IF($N2410&lt;&gt;"OK","",$D2410*N(INDEX('Menu Pricing'!$F$7:$F$56,$O2410)))</f>
        <v/>
      </c>
      <c r="N2410" s="80">
        <f>IF(AND($B2410="",$C2410="",$D2410=""),"",IF(NOT(ISNUMBER($B2410)),"Enter a valid date",IF($C2410="","Pick a menu item",IF($O2410="","Item not on Menu Pricing",IF(N($D2410)&lt;=0,"Qty must be above 0",IF($H2410="","No price on menu","OK"))))))</f>
        <v/>
      </c>
      <c r="O2410" s="13">
        <f>IF($C2410="","",IFERROR(MATCH($C2410,'Menu Pricing'!$B$7:$B$56,0),""))</f>
        <v/>
      </c>
    </row>
    <row r="2411" ht="17" customHeight="1">
      <c r="B2411" s="66" t="n"/>
      <c r="C2411" s="60" t="n"/>
      <c r="D2411" s="86" t="n"/>
      <c r="E2411" s="63" t="n"/>
      <c r="F2411" s="60" t="n"/>
      <c r="G2411" s="60" t="n"/>
      <c r="H2411" s="71">
        <f>IF(OR($C2411="",$D2411=""),"",IF(ISNUMBER($E2411),$E2411,IF($O2411="","",IF(N(INDEX('Menu Pricing'!$O$7:$O$56,$O2411))&gt;0,INDEX('Menu Pricing'!$O$7:$O$56,$O2411),""))))</f>
        <v/>
      </c>
      <c r="I2411" s="71">
        <f>IF($N2411&lt;&gt;"OK","",$D2411*$H2411)</f>
        <v/>
      </c>
      <c r="J2411" s="71">
        <f>IF($N2411&lt;&gt;"OK","",N(INDEX('Menu Pricing'!$F$7:$F$56,$O2411))+N(INDEX('Menu Pricing'!$G$7:$G$56,$O2411))+N(INDEX('Menu Pricing'!$J$7:$J$56,$O2411)))</f>
        <v/>
      </c>
      <c r="K2411" s="71">
        <f>IF($N2411&lt;&gt;"OK","",$D2411*$J2411)</f>
        <v/>
      </c>
      <c r="L2411" s="71">
        <f>IF($N2411&lt;&gt;"OK","",$I2411-$K2411)</f>
        <v/>
      </c>
      <c r="M2411" s="71">
        <f>IF($N2411&lt;&gt;"OK","",$D2411*N(INDEX('Menu Pricing'!$F$7:$F$56,$O2411)))</f>
        <v/>
      </c>
      <c r="N2411" s="80">
        <f>IF(AND($B2411="",$C2411="",$D2411=""),"",IF(NOT(ISNUMBER($B2411)),"Enter a valid date",IF($C2411="","Pick a menu item",IF($O2411="","Item not on Menu Pricing",IF(N($D2411)&lt;=0,"Qty must be above 0",IF($H2411="","No price on menu","OK"))))))</f>
        <v/>
      </c>
      <c r="O2411" s="13">
        <f>IF($C2411="","",IFERROR(MATCH($C2411,'Menu Pricing'!$B$7:$B$56,0),""))</f>
        <v/>
      </c>
    </row>
    <row r="2412" ht="17" customHeight="1">
      <c r="B2412" s="66" t="n"/>
      <c r="C2412" s="60" t="n"/>
      <c r="D2412" s="86" t="n"/>
      <c r="E2412" s="63" t="n"/>
      <c r="F2412" s="60" t="n"/>
      <c r="G2412" s="60" t="n"/>
      <c r="H2412" s="71">
        <f>IF(OR($C2412="",$D2412=""),"",IF(ISNUMBER($E2412),$E2412,IF($O2412="","",IF(N(INDEX('Menu Pricing'!$O$7:$O$56,$O2412))&gt;0,INDEX('Menu Pricing'!$O$7:$O$56,$O2412),""))))</f>
        <v/>
      </c>
      <c r="I2412" s="71">
        <f>IF($N2412&lt;&gt;"OK","",$D2412*$H2412)</f>
        <v/>
      </c>
      <c r="J2412" s="71">
        <f>IF($N2412&lt;&gt;"OK","",N(INDEX('Menu Pricing'!$F$7:$F$56,$O2412))+N(INDEX('Menu Pricing'!$G$7:$G$56,$O2412))+N(INDEX('Menu Pricing'!$J$7:$J$56,$O2412)))</f>
        <v/>
      </c>
      <c r="K2412" s="71">
        <f>IF($N2412&lt;&gt;"OK","",$D2412*$J2412)</f>
        <v/>
      </c>
      <c r="L2412" s="71">
        <f>IF($N2412&lt;&gt;"OK","",$I2412-$K2412)</f>
        <v/>
      </c>
      <c r="M2412" s="71">
        <f>IF($N2412&lt;&gt;"OK","",$D2412*N(INDEX('Menu Pricing'!$F$7:$F$56,$O2412)))</f>
        <v/>
      </c>
      <c r="N2412" s="80">
        <f>IF(AND($B2412="",$C2412="",$D2412=""),"",IF(NOT(ISNUMBER($B2412)),"Enter a valid date",IF($C2412="","Pick a menu item",IF($O2412="","Item not on Menu Pricing",IF(N($D2412)&lt;=0,"Qty must be above 0",IF($H2412="","No price on menu","OK"))))))</f>
        <v/>
      </c>
      <c r="O2412" s="13">
        <f>IF($C2412="","",IFERROR(MATCH($C2412,'Menu Pricing'!$B$7:$B$56,0),""))</f>
        <v/>
      </c>
    </row>
    <row r="2413" ht="17" customHeight="1">
      <c r="B2413" s="66" t="n"/>
      <c r="C2413" s="60" t="n"/>
      <c r="D2413" s="86" t="n"/>
      <c r="E2413" s="63" t="n"/>
      <c r="F2413" s="60" t="n"/>
      <c r="G2413" s="60" t="n"/>
      <c r="H2413" s="71">
        <f>IF(OR($C2413="",$D2413=""),"",IF(ISNUMBER($E2413),$E2413,IF($O2413="","",IF(N(INDEX('Menu Pricing'!$O$7:$O$56,$O2413))&gt;0,INDEX('Menu Pricing'!$O$7:$O$56,$O2413),""))))</f>
        <v/>
      </c>
      <c r="I2413" s="71">
        <f>IF($N2413&lt;&gt;"OK","",$D2413*$H2413)</f>
        <v/>
      </c>
      <c r="J2413" s="71">
        <f>IF($N2413&lt;&gt;"OK","",N(INDEX('Menu Pricing'!$F$7:$F$56,$O2413))+N(INDEX('Menu Pricing'!$G$7:$G$56,$O2413))+N(INDEX('Menu Pricing'!$J$7:$J$56,$O2413)))</f>
        <v/>
      </c>
      <c r="K2413" s="71">
        <f>IF($N2413&lt;&gt;"OK","",$D2413*$J2413)</f>
        <v/>
      </c>
      <c r="L2413" s="71">
        <f>IF($N2413&lt;&gt;"OK","",$I2413-$K2413)</f>
        <v/>
      </c>
      <c r="M2413" s="71">
        <f>IF($N2413&lt;&gt;"OK","",$D2413*N(INDEX('Menu Pricing'!$F$7:$F$56,$O2413)))</f>
        <v/>
      </c>
      <c r="N2413" s="80">
        <f>IF(AND($B2413="",$C2413="",$D2413=""),"",IF(NOT(ISNUMBER($B2413)),"Enter a valid date",IF($C2413="","Pick a menu item",IF($O2413="","Item not on Menu Pricing",IF(N($D2413)&lt;=0,"Qty must be above 0",IF($H2413="","No price on menu","OK"))))))</f>
        <v/>
      </c>
      <c r="O2413" s="13">
        <f>IF($C2413="","",IFERROR(MATCH($C2413,'Menu Pricing'!$B$7:$B$56,0),""))</f>
        <v/>
      </c>
    </row>
    <row r="2414" ht="17" customHeight="1">
      <c r="B2414" s="66" t="n"/>
      <c r="C2414" s="60" t="n"/>
      <c r="D2414" s="86" t="n"/>
      <c r="E2414" s="63" t="n"/>
      <c r="F2414" s="60" t="n"/>
      <c r="G2414" s="60" t="n"/>
      <c r="H2414" s="71">
        <f>IF(OR($C2414="",$D2414=""),"",IF(ISNUMBER($E2414),$E2414,IF($O2414="","",IF(N(INDEX('Menu Pricing'!$O$7:$O$56,$O2414))&gt;0,INDEX('Menu Pricing'!$O$7:$O$56,$O2414),""))))</f>
        <v/>
      </c>
      <c r="I2414" s="71">
        <f>IF($N2414&lt;&gt;"OK","",$D2414*$H2414)</f>
        <v/>
      </c>
      <c r="J2414" s="71">
        <f>IF($N2414&lt;&gt;"OK","",N(INDEX('Menu Pricing'!$F$7:$F$56,$O2414))+N(INDEX('Menu Pricing'!$G$7:$G$56,$O2414))+N(INDEX('Menu Pricing'!$J$7:$J$56,$O2414)))</f>
        <v/>
      </c>
      <c r="K2414" s="71">
        <f>IF($N2414&lt;&gt;"OK","",$D2414*$J2414)</f>
        <v/>
      </c>
      <c r="L2414" s="71">
        <f>IF($N2414&lt;&gt;"OK","",$I2414-$K2414)</f>
        <v/>
      </c>
      <c r="M2414" s="71">
        <f>IF($N2414&lt;&gt;"OK","",$D2414*N(INDEX('Menu Pricing'!$F$7:$F$56,$O2414)))</f>
        <v/>
      </c>
      <c r="N2414" s="80">
        <f>IF(AND($B2414="",$C2414="",$D2414=""),"",IF(NOT(ISNUMBER($B2414)),"Enter a valid date",IF($C2414="","Pick a menu item",IF($O2414="","Item not on Menu Pricing",IF(N($D2414)&lt;=0,"Qty must be above 0",IF($H2414="","No price on menu","OK"))))))</f>
        <v/>
      </c>
      <c r="O2414" s="13">
        <f>IF($C2414="","",IFERROR(MATCH($C2414,'Menu Pricing'!$B$7:$B$56,0),""))</f>
        <v/>
      </c>
    </row>
    <row r="2415" ht="17" customHeight="1">
      <c r="B2415" s="66" t="n"/>
      <c r="C2415" s="60" t="n"/>
      <c r="D2415" s="86" t="n"/>
      <c r="E2415" s="63" t="n"/>
      <c r="F2415" s="60" t="n"/>
      <c r="G2415" s="60" t="n"/>
      <c r="H2415" s="71">
        <f>IF(OR($C2415="",$D2415=""),"",IF(ISNUMBER($E2415),$E2415,IF($O2415="","",IF(N(INDEX('Menu Pricing'!$O$7:$O$56,$O2415))&gt;0,INDEX('Menu Pricing'!$O$7:$O$56,$O2415),""))))</f>
        <v/>
      </c>
      <c r="I2415" s="71">
        <f>IF($N2415&lt;&gt;"OK","",$D2415*$H2415)</f>
        <v/>
      </c>
      <c r="J2415" s="71">
        <f>IF($N2415&lt;&gt;"OK","",N(INDEX('Menu Pricing'!$F$7:$F$56,$O2415))+N(INDEX('Menu Pricing'!$G$7:$G$56,$O2415))+N(INDEX('Menu Pricing'!$J$7:$J$56,$O2415)))</f>
        <v/>
      </c>
      <c r="K2415" s="71">
        <f>IF($N2415&lt;&gt;"OK","",$D2415*$J2415)</f>
        <v/>
      </c>
      <c r="L2415" s="71">
        <f>IF($N2415&lt;&gt;"OK","",$I2415-$K2415)</f>
        <v/>
      </c>
      <c r="M2415" s="71">
        <f>IF($N2415&lt;&gt;"OK","",$D2415*N(INDEX('Menu Pricing'!$F$7:$F$56,$O2415)))</f>
        <v/>
      </c>
      <c r="N2415" s="80">
        <f>IF(AND($B2415="",$C2415="",$D2415=""),"",IF(NOT(ISNUMBER($B2415)),"Enter a valid date",IF($C2415="","Pick a menu item",IF($O2415="","Item not on Menu Pricing",IF(N($D2415)&lt;=0,"Qty must be above 0",IF($H2415="","No price on menu","OK"))))))</f>
        <v/>
      </c>
      <c r="O2415" s="13">
        <f>IF($C2415="","",IFERROR(MATCH($C2415,'Menu Pricing'!$B$7:$B$56,0),""))</f>
        <v/>
      </c>
    </row>
    <row r="2416" ht="17" customHeight="1">
      <c r="B2416" s="66" t="n"/>
      <c r="C2416" s="60" t="n"/>
      <c r="D2416" s="86" t="n"/>
      <c r="E2416" s="63" t="n"/>
      <c r="F2416" s="60" t="n"/>
      <c r="G2416" s="60" t="n"/>
      <c r="H2416" s="71">
        <f>IF(OR($C2416="",$D2416=""),"",IF(ISNUMBER($E2416),$E2416,IF($O2416="","",IF(N(INDEX('Menu Pricing'!$O$7:$O$56,$O2416))&gt;0,INDEX('Menu Pricing'!$O$7:$O$56,$O2416),""))))</f>
        <v/>
      </c>
      <c r="I2416" s="71">
        <f>IF($N2416&lt;&gt;"OK","",$D2416*$H2416)</f>
        <v/>
      </c>
      <c r="J2416" s="71">
        <f>IF($N2416&lt;&gt;"OK","",N(INDEX('Menu Pricing'!$F$7:$F$56,$O2416))+N(INDEX('Menu Pricing'!$G$7:$G$56,$O2416))+N(INDEX('Menu Pricing'!$J$7:$J$56,$O2416)))</f>
        <v/>
      </c>
      <c r="K2416" s="71">
        <f>IF($N2416&lt;&gt;"OK","",$D2416*$J2416)</f>
        <v/>
      </c>
      <c r="L2416" s="71">
        <f>IF($N2416&lt;&gt;"OK","",$I2416-$K2416)</f>
        <v/>
      </c>
      <c r="M2416" s="71">
        <f>IF($N2416&lt;&gt;"OK","",$D2416*N(INDEX('Menu Pricing'!$F$7:$F$56,$O2416)))</f>
        <v/>
      </c>
      <c r="N2416" s="80">
        <f>IF(AND($B2416="",$C2416="",$D2416=""),"",IF(NOT(ISNUMBER($B2416)),"Enter a valid date",IF($C2416="","Pick a menu item",IF($O2416="","Item not on Menu Pricing",IF(N($D2416)&lt;=0,"Qty must be above 0",IF($H2416="","No price on menu","OK"))))))</f>
        <v/>
      </c>
      <c r="O2416" s="13">
        <f>IF($C2416="","",IFERROR(MATCH($C2416,'Menu Pricing'!$B$7:$B$56,0),""))</f>
        <v/>
      </c>
    </row>
    <row r="2417" ht="17" customHeight="1">
      <c r="B2417" s="66" t="n"/>
      <c r="C2417" s="60" t="n"/>
      <c r="D2417" s="86" t="n"/>
      <c r="E2417" s="63" t="n"/>
      <c r="F2417" s="60" t="n"/>
      <c r="G2417" s="60" t="n"/>
      <c r="H2417" s="71">
        <f>IF(OR($C2417="",$D2417=""),"",IF(ISNUMBER($E2417),$E2417,IF($O2417="","",IF(N(INDEX('Menu Pricing'!$O$7:$O$56,$O2417))&gt;0,INDEX('Menu Pricing'!$O$7:$O$56,$O2417),""))))</f>
        <v/>
      </c>
      <c r="I2417" s="71">
        <f>IF($N2417&lt;&gt;"OK","",$D2417*$H2417)</f>
        <v/>
      </c>
      <c r="J2417" s="71">
        <f>IF($N2417&lt;&gt;"OK","",N(INDEX('Menu Pricing'!$F$7:$F$56,$O2417))+N(INDEX('Menu Pricing'!$G$7:$G$56,$O2417))+N(INDEX('Menu Pricing'!$J$7:$J$56,$O2417)))</f>
        <v/>
      </c>
      <c r="K2417" s="71">
        <f>IF($N2417&lt;&gt;"OK","",$D2417*$J2417)</f>
        <v/>
      </c>
      <c r="L2417" s="71">
        <f>IF($N2417&lt;&gt;"OK","",$I2417-$K2417)</f>
        <v/>
      </c>
      <c r="M2417" s="71">
        <f>IF($N2417&lt;&gt;"OK","",$D2417*N(INDEX('Menu Pricing'!$F$7:$F$56,$O2417)))</f>
        <v/>
      </c>
      <c r="N2417" s="80">
        <f>IF(AND($B2417="",$C2417="",$D2417=""),"",IF(NOT(ISNUMBER($B2417)),"Enter a valid date",IF($C2417="","Pick a menu item",IF($O2417="","Item not on Menu Pricing",IF(N($D2417)&lt;=0,"Qty must be above 0",IF($H2417="","No price on menu","OK"))))))</f>
        <v/>
      </c>
      <c r="O2417" s="13">
        <f>IF($C2417="","",IFERROR(MATCH($C2417,'Menu Pricing'!$B$7:$B$56,0),""))</f>
        <v/>
      </c>
    </row>
    <row r="2418" ht="17" customHeight="1">
      <c r="B2418" s="66" t="n"/>
      <c r="C2418" s="60" t="n"/>
      <c r="D2418" s="86" t="n"/>
      <c r="E2418" s="63" t="n"/>
      <c r="F2418" s="60" t="n"/>
      <c r="G2418" s="60" t="n"/>
      <c r="H2418" s="71">
        <f>IF(OR($C2418="",$D2418=""),"",IF(ISNUMBER($E2418),$E2418,IF($O2418="","",IF(N(INDEX('Menu Pricing'!$O$7:$O$56,$O2418))&gt;0,INDEX('Menu Pricing'!$O$7:$O$56,$O2418),""))))</f>
        <v/>
      </c>
      <c r="I2418" s="71">
        <f>IF($N2418&lt;&gt;"OK","",$D2418*$H2418)</f>
        <v/>
      </c>
      <c r="J2418" s="71">
        <f>IF($N2418&lt;&gt;"OK","",N(INDEX('Menu Pricing'!$F$7:$F$56,$O2418))+N(INDEX('Menu Pricing'!$G$7:$G$56,$O2418))+N(INDEX('Menu Pricing'!$J$7:$J$56,$O2418)))</f>
        <v/>
      </c>
      <c r="K2418" s="71">
        <f>IF($N2418&lt;&gt;"OK","",$D2418*$J2418)</f>
        <v/>
      </c>
      <c r="L2418" s="71">
        <f>IF($N2418&lt;&gt;"OK","",$I2418-$K2418)</f>
        <v/>
      </c>
      <c r="M2418" s="71">
        <f>IF($N2418&lt;&gt;"OK","",$D2418*N(INDEX('Menu Pricing'!$F$7:$F$56,$O2418)))</f>
        <v/>
      </c>
      <c r="N2418" s="80">
        <f>IF(AND($B2418="",$C2418="",$D2418=""),"",IF(NOT(ISNUMBER($B2418)),"Enter a valid date",IF($C2418="","Pick a menu item",IF($O2418="","Item not on Menu Pricing",IF(N($D2418)&lt;=0,"Qty must be above 0",IF($H2418="","No price on menu","OK"))))))</f>
        <v/>
      </c>
      <c r="O2418" s="13">
        <f>IF($C2418="","",IFERROR(MATCH($C2418,'Menu Pricing'!$B$7:$B$56,0),""))</f>
        <v/>
      </c>
    </row>
    <row r="2419" ht="17" customHeight="1">
      <c r="B2419" s="66" t="n"/>
      <c r="C2419" s="60" t="n"/>
      <c r="D2419" s="86" t="n"/>
      <c r="E2419" s="63" t="n"/>
      <c r="F2419" s="60" t="n"/>
      <c r="G2419" s="60" t="n"/>
      <c r="H2419" s="71">
        <f>IF(OR($C2419="",$D2419=""),"",IF(ISNUMBER($E2419),$E2419,IF($O2419="","",IF(N(INDEX('Menu Pricing'!$O$7:$O$56,$O2419))&gt;0,INDEX('Menu Pricing'!$O$7:$O$56,$O2419),""))))</f>
        <v/>
      </c>
      <c r="I2419" s="71">
        <f>IF($N2419&lt;&gt;"OK","",$D2419*$H2419)</f>
        <v/>
      </c>
      <c r="J2419" s="71">
        <f>IF($N2419&lt;&gt;"OK","",N(INDEX('Menu Pricing'!$F$7:$F$56,$O2419))+N(INDEX('Menu Pricing'!$G$7:$G$56,$O2419))+N(INDEX('Menu Pricing'!$J$7:$J$56,$O2419)))</f>
        <v/>
      </c>
      <c r="K2419" s="71">
        <f>IF($N2419&lt;&gt;"OK","",$D2419*$J2419)</f>
        <v/>
      </c>
      <c r="L2419" s="71">
        <f>IF($N2419&lt;&gt;"OK","",$I2419-$K2419)</f>
        <v/>
      </c>
      <c r="M2419" s="71">
        <f>IF($N2419&lt;&gt;"OK","",$D2419*N(INDEX('Menu Pricing'!$F$7:$F$56,$O2419)))</f>
        <v/>
      </c>
      <c r="N2419" s="80">
        <f>IF(AND($B2419="",$C2419="",$D2419=""),"",IF(NOT(ISNUMBER($B2419)),"Enter a valid date",IF($C2419="","Pick a menu item",IF($O2419="","Item not on Menu Pricing",IF(N($D2419)&lt;=0,"Qty must be above 0",IF($H2419="","No price on menu","OK"))))))</f>
        <v/>
      </c>
      <c r="O2419" s="13">
        <f>IF($C2419="","",IFERROR(MATCH($C2419,'Menu Pricing'!$B$7:$B$56,0),""))</f>
        <v/>
      </c>
    </row>
    <row r="2420" ht="17" customHeight="1">
      <c r="B2420" s="66" t="n"/>
      <c r="C2420" s="60" t="n"/>
      <c r="D2420" s="86" t="n"/>
      <c r="E2420" s="63" t="n"/>
      <c r="F2420" s="60" t="n"/>
      <c r="G2420" s="60" t="n"/>
      <c r="H2420" s="71">
        <f>IF(OR($C2420="",$D2420=""),"",IF(ISNUMBER($E2420),$E2420,IF($O2420="","",IF(N(INDEX('Menu Pricing'!$O$7:$O$56,$O2420))&gt;0,INDEX('Menu Pricing'!$O$7:$O$56,$O2420),""))))</f>
        <v/>
      </c>
      <c r="I2420" s="71">
        <f>IF($N2420&lt;&gt;"OK","",$D2420*$H2420)</f>
        <v/>
      </c>
      <c r="J2420" s="71">
        <f>IF($N2420&lt;&gt;"OK","",N(INDEX('Menu Pricing'!$F$7:$F$56,$O2420))+N(INDEX('Menu Pricing'!$G$7:$G$56,$O2420))+N(INDEX('Menu Pricing'!$J$7:$J$56,$O2420)))</f>
        <v/>
      </c>
      <c r="K2420" s="71">
        <f>IF($N2420&lt;&gt;"OK","",$D2420*$J2420)</f>
        <v/>
      </c>
      <c r="L2420" s="71">
        <f>IF($N2420&lt;&gt;"OK","",$I2420-$K2420)</f>
        <v/>
      </c>
      <c r="M2420" s="71">
        <f>IF($N2420&lt;&gt;"OK","",$D2420*N(INDEX('Menu Pricing'!$F$7:$F$56,$O2420)))</f>
        <v/>
      </c>
      <c r="N2420" s="80">
        <f>IF(AND($B2420="",$C2420="",$D2420=""),"",IF(NOT(ISNUMBER($B2420)),"Enter a valid date",IF($C2420="","Pick a menu item",IF($O2420="","Item not on Menu Pricing",IF(N($D2420)&lt;=0,"Qty must be above 0",IF($H2420="","No price on menu","OK"))))))</f>
        <v/>
      </c>
      <c r="O2420" s="13">
        <f>IF($C2420="","",IFERROR(MATCH($C2420,'Menu Pricing'!$B$7:$B$56,0),""))</f>
        <v/>
      </c>
    </row>
    <row r="2421" ht="17" customHeight="1">
      <c r="B2421" s="66" t="n"/>
      <c r="C2421" s="60" t="n"/>
      <c r="D2421" s="86" t="n"/>
      <c r="E2421" s="63" t="n"/>
      <c r="F2421" s="60" t="n"/>
      <c r="G2421" s="60" t="n"/>
      <c r="H2421" s="71">
        <f>IF(OR($C2421="",$D2421=""),"",IF(ISNUMBER($E2421),$E2421,IF($O2421="","",IF(N(INDEX('Menu Pricing'!$O$7:$O$56,$O2421))&gt;0,INDEX('Menu Pricing'!$O$7:$O$56,$O2421),""))))</f>
        <v/>
      </c>
      <c r="I2421" s="71">
        <f>IF($N2421&lt;&gt;"OK","",$D2421*$H2421)</f>
        <v/>
      </c>
      <c r="J2421" s="71">
        <f>IF($N2421&lt;&gt;"OK","",N(INDEX('Menu Pricing'!$F$7:$F$56,$O2421))+N(INDEX('Menu Pricing'!$G$7:$G$56,$O2421))+N(INDEX('Menu Pricing'!$J$7:$J$56,$O2421)))</f>
        <v/>
      </c>
      <c r="K2421" s="71">
        <f>IF($N2421&lt;&gt;"OK","",$D2421*$J2421)</f>
        <v/>
      </c>
      <c r="L2421" s="71">
        <f>IF($N2421&lt;&gt;"OK","",$I2421-$K2421)</f>
        <v/>
      </c>
      <c r="M2421" s="71">
        <f>IF($N2421&lt;&gt;"OK","",$D2421*N(INDEX('Menu Pricing'!$F$7:$F$56,$O2421)))</f>
        <v/>
      </c>
      <c r="N2421" s="80">
        <f>IF(AND($B2421="",$C2421="",$D2421=""),"",IF(NOT(ISNUMBER($B2421)),"Enter a valid date",IF($C2421="","Pick a menu item",IF($O2421="","Item not on Menu Pricing",IF(N($D2421)&lt;=0,"Qty must be above 0",IF($H2421="","No price on menu","OK"))))))</f>
        <v/>
      </c>
      <c r="O2421" s="13">
        <f>IF($C2421="","",IFERROR(MATCH($C2421,'Menu Pricing'!$B$7:$B$56,0),""))</f>
        <v/>
      </c>
    </row>
    <row r="2422" ht="17" customHeight="1">
      <c r="B2422" s="66" t="n"/>
      <c r="C2422" s="60" t="n"/>
      <c r="D2422" s="86" t="n"/>
      <c r="E2422" s="63" t="n"/>
      <c r="F2422" s="60" t="n"/>
      <c r="G2422" s="60" t="n"/>
      <c r="H2422" s="71">
        <f>IF(OR($C2422="",$D2422=""),"",IF(ISNUMBER($E2422),$E2422,IF($O2422="","",IF(N(INDEX('Menu Pricing'!$O$7:$O$56,$O2422))&gt;0,INDEX('Menu Pricing'!$O$7:$O$56,$O2422),""))))</f>
        <v/>
      </c>
      <c r="I2422" s="71">
        <f>IF($N2422&lt;&gt;"OK","",$D2422*$H2422)</f>
        <v/>
      </c>
      <c r="J2422" s="71">
        <f>IF($N2422&lt;&gt;"OK","",N(INDEX('Menu Pricing'!$F$7:$F$56,$O2422))+N(INDEX('Menu Pricing'!$G$7:$G$56,$O2422))+N(INDEX('Menu Pricing'!$J$7:$J$56,$O2422)))</f>
        <v/>
      </c>
      <c r="K2422" s="71">
        <f>IF($N2422&lt;&gt;"OK","",$D2422*$J2422)</f>
        <v/>
      </c>
      <c r="L2422" s="71">
        <f>IF($N2422&lt;&gt;"OK","",$I2422-$K2422)</f>
        <v/>
      </c>
      <c r="M2422" s="71">
        <f>IF($N2422&lt;&gt;"OK","",$D2422*N(INDEX('Menu Pricing'!$F$7:$F$56,$O2422)))</f>
        <v/>
      </c>
      <c r="N2422" s="80">
        <f>IF(AND($B2422="",$C2422="",$D2422=""),"",IF(NOT(ISNUMBER($B2422)),"Enter a valid date",IF($C2422="","Pick a menu item",IF($O2422="","Item not on Menu Pricing",IF(N($D2422)&lt;=0,"Qty must be above 0",IF($H2422="","No price on menu","OK"))))))</f>
        <v/>
      </c>
      <c r="O2422" s="13">
        <f>IF($C2422="","",IFERROR(MATCH($C2422,'Menu Pricing'!$B$7:$B$56,0),""))</f>
        <v/>
      </c>
    </row>
    <row r="2423" ht="17" customHeight="1">
      <c r="B2423" s="66" t="n"/>
      <c r="C2423" s="60" t="n"/>
      <c r="D2423" s="86" t="n"/>
      <c r="E2423" s="63" t="n"/>
      <c r="F2423" s="60" t="n"/>
      <c r="G2423" s="60" t="n"/>
      <c r="H2423" s="71">
        <f>IF(OR($C2423="",$D2423=""),"",IF(ISNUMBER($E2423),$E2423,IF($O2423="","",IF(N(INDEX('Menu Pricing'!$O$7:$O$56,$O2423))&gt;0,INDEX('Menu Pricing'!$O$7:$O$56,$O2423),""))))</f>
        <v/>
      </c>
      <c r="I2423" s="71">
        <f>IF($N2423&lt;&gt;"OK","",$D2423*$H2423)</f>
        <v/>
      </c>
      <c r="J2423" s="71">
        <f>IF($N2423&lt;&gt;"OK","",N(INDEX('Menu Pricing'!$F$7:$F$56,$O2423))+N(INDEX('Menu Pricing'!$G$7:$G$56,$O2423))+N(INDEX('Menu Pricing'!$J$7:$J$56,$O2423)))</f>
        <v/>
      </c>
      <c r="K2423" s="71">
        <f>IF($N2423&lt;&gt;"OK","",$D2423*$J2423)</f>
        <v/>
      </c>
      <c r="L2423" s="71">
        <f>IF($N2423&lt;&gt;"OK","",$I2423-$K2423)</f>
        <v/>
      </c>
      <c r="M2423" s="71">
        <f>IF($N2423&lt;&gt;"OK","",$D2423*N(INDEX('Menu Pricing'!$F$7:$F$56,$O2423)))</f>
        <v/>
      </c>
      <c r="N2423" s="80">
        <f>IF(AND($B2423="",$C2423="",$D2423=""),"",IF(NOT(ISNUMBER($B2423)),"Enter a valid date",IF($C2423="","Pick a menu item",IF($O2423="","Item not on Menu Pricing",IF(N($D2423)&lt;=0,"Qty must be above 0",IF($H2423="","No price on menu","OK"))))))</f>
        <v/>
      </c>
      <c r="O2423" s="13">
        <f>IF($C2423="","",IFERROR(MATCH($C2423,'Menu Pricing'!$B$7:$B$56,0),""))</f>
        <v/>
      </c>
    </row>
    <row r="2424" ht="17" customHeight="1">
      <c r="B2424" s="66" t="n"/>
      <c r="C2424" s="60" t="n"/>
      <c r="D2424" s="86" t="n"/>
      <c r="E2424" s="63" t="n"/>
      <c r="F2424" s="60" t="n"/>
      <c r="G2424" s="60" t="n"/>
      <c r="H2424" s="71">
        <f>IF(OR($C2424="",$D2424=""),"",IF(ISNUMBER($E2424),$E2424,IF($O2424="","",IF(N(INDEX('Menu Pricing'!$O$7:$O$56,$O2424))&gt;0,INDEX('Menu Pricing'!$O$7:$O$56,$O2424),""))))</f>
        <v/>
      </c>
      <c r="I2424" s="71">
        <f>IF($N2424&lt;&gt;"OK","",$D2424*$H2424)</f>
        <v/>
      </c>
      <c r="J2424" s="71">
        <f>IF($N2424&lt;&gt;"OK","",N(INDEX('Menu Pricing'!$F$7:$F$56,$O2424))+N(INDEX('Menu Pricing'!$G$7:$G$56,$O2424))+N(INDEX('Menu Pricing'!$J$7:$J$56,$O2424)))</f>
        <v/>
      </c>
      <c r="K2424" s="71">
        <f>IF($N2424&lt;&gt;"OK","",$D2424*$J2424)</f>
        <v/>
      </c>
      <c r="L2424" s="71">
        <f>IF($N2424&lt;&gt;"OK","",$I2424-$K2424)</f>
        <v/>
      </c>
      <c r="M2424" s="71">
        <f>IF($N2424&lt;&gt;"OK","",$D2424*N(INDEX('Menu Pricing'!$F$7:$F$56,$O2424)))</f>
        <v/>
      </c>
      <c r="N2424" s="80">
        <f>IF(AND($B2424="",$C2424="",$D2424=""),"",IF(NOT(ISNUMBER($B2424)),"Enter a valid date",IF($C2424="","Pick a menu item",IF($O2424="","Item not on Menu Pricing",IF(N($D2424)&lt;=0,"Qty must be above 0",IF($H2424="","No price on menu","OK"))))))</f>
        <v/>
      </c>
      <c r="O2424" s="13">
        <f>IF($C2424="","",IFERROR(MATCH($C2424,'Menu Pricing'!$B$7:$B$56,0),""))</f>
        <v/>
      </c>
    </row>
    <row r="2425" ht="17" customHeight="1">
      <c r="B2425" s="66" t="n"/>
      <c r="C2425" s="60" t="n"/>
      <c r="D2425" s="86" t="n"/>
      <c r="E2425" s="63" t="n"/>
      <c r="F2425" s="60" t="n"/>
      <c r="G2425" s="60" t="n"/>
      <c r="H2425" s="71">
        <f>IF(OR($C2425="",$D2425=""),"",IF(ISNUMBER($E2425),$E2425,IF($O2425="","",IF(N(INDEX('Menu Pricing'!$O$7:$O$56,$O2425))&gt;0,INDEX('Menu Pricing'!$O$7:$O$56,$O2425),""))))</f>
        <v/>
      </c>
      <c r="I2425" s="71">
        <f>IF($N2425&lt;&gt;"OK","",$D2425*$H2425)</f>
        <v/>
      </c>
      <c r="J2425" s="71">
        <f>IF($N2425&lt;&gt;"OK","",N(INDEX('Menu Pricing'!$F$7:$F$56,$O2425))+N(INDEX('Menu Pricing'!$G$7:$G$56,$O2425))+N(INDEX('Menu Pricing'!$J$7:$J$56,$O2425)))</f>
        <v/>
      </c>
      <c r="K2425" s="71">
        <f>IF($N2425&lt;&gt;"OK","",$D2425*$J2425)</f>
        <v/>
      </c>
      <c r="L2425" s="71">
        <f>IF($N2425&lt;&gt;"OK","",$I2425-$K2425)</f>
        <v/>
      </c>
      <c r="M2425" s="71">
        <f>IF($N2425&lt;&gt;"OK","",$D2425*N(INDEX('Menu Pricing'!$F$7:$F$56,$O2425)))</f>
        <v/>
      </c>
      <c r="N2425" s="80">
        <f>IF(AND($B2425="",$C2425="",$D2425=""),"",IF(NOT(ISNUMBER($B2425)),"Enter a valid date",IF($C2425="","Pick a menu item",IF($O2425="","Item not on Menu Pricing",IF(N($D2425)&lt;=0,"Qty must be above 0",IF($H2425="","No price on menu","OK"))))))</f>
        <v/>
      </c>
      <c r="O2425" s="13">
        <f>IF($C2425="","",IFERROR(MATCH($C2425,'Menu Pricing'!$B$7:$B$56,0),""))</f>
        <v/>
      </c>
    </row>
    <row r="2426" ht="17" customHeight="1">
      <c r="B2426" s="66" t="n"/>
      <c r="C2426" s="60" t="n"/>
      <c r="D2426" s="86" t="n"/>
      <c r="E2426" s="63" t="n"/>
      <c r="F2426" s="60" t="n"/>
      <c r="G2426" s="60" t="n"/>
      <c r="H2426" s="71">
        <f>IF(OR($C2426="",$D2426=""),"",IF(ISNUMBER($E2426),$E2426,IF($O2426="","",IF(N(INDEX('Menu Pricing'!$O$7:$O$56,$O2426))&gt;0,INDEX('Menu Pricing'!$O$7:$O$56,$O2426),""))))</f>
        <v/>
      </c>
      <c r="I2426" s="71">
        <f>IF($N2426&lt;&gt;"OK","",$D2426*$H2426)</f>
        <v/>
      </c>
      <c r="J2426" s="71">
        <f>IF($N2426&lt;&gt;"OK","",N(INDEX('Menu Pricing'!$F$7:$F$56,$O2426))+N(INDEX('Menu Pricing'!$G$7:$G$56,$O2426))+N(INDEX('Menu Pricing'!$J$7:$J$56,$O2426)))</f>
        <v/>
      </c>
      <c r="K2426" s="71">
        <f>IF($N2426&lt;&gt;"OK","",$D2426*$J2426)</f>
        <v/>
      </c>
      <c r="L2426" s="71">
        <f>IF($N2426&lt;&gt;"OK","",$I2426-$K2426)</f>
        <v/>
      </c>
      <c r="M2426" s="71">
        <f>IF($N2426&lt;&gt;"OK","",$D2426*N(INDEX('Menu Pricing'!$F$7:$F$56,$O2426)))</f>
        <v/>
      </c>
      <c r="N2426" s="80">
        <f>IF(AND($B2426="",$C2426="",$D2426=""),"",IF(NOT(ISNUMBER($B2426)),"Enter a valid date",IF($C2426="","Pick a menu item",IF($O2426="","Item not on Menu Pricing",IF(N($D2426)&lt;=0,"Qty must be above 0",IF($H2426="","No price on menu","OK"))))))</f>
        <v/>
      </c>
      <c r="O2426" s="13">
        <f>IF($C2426="","",IFERROR(MATCH($C2426,'Menu Pricing'!$B$7:$B$56,0),""))</f>
        <v/>
      </c>
    </row>
    <row r="2427" ht="17" customHeight="1">
      <c r="B2427" s="66" t="n"/>
      <c r="C2427" s="60" t="n"/>
      <c r="D2427" s="86" t="n"/>
      <c r="E2427" s="63" t="n"/>
      <c r="F2427" s="60" t="n"/>
      <c r="G2427" s="60" t="n"/>
      <c r="H2427" s="71">
        <f>IF(OR($C2427="",$D2427=""),"",IF(ISNUMBER($E2427),$E2427,IF($O2427="","",IF(N(INDEX('Menu Pricing'!$O$7:$O$56,$O2427))&gt;0,INDEX('Menu Pricing'!$O$7:$O$56,$O2427),""))))</f>
        <v/>
      </c>
      <c r="I2427" s="71">
        <f>IF($N2427&lt;&gt;"OK","",$D2427*$H2427)</f>
        <v/>
      </c>
      <c r="J2427" s="71">
        <f>IF($N2427&lt;&gt;"OK","",N(INDEX('Menu Pricing'!$F$7:$F$56,$O2427))+N(INDEX('Menu Pricing'!$G$7:$G$56,$O2427))+N(INDEX('Menu Pricing'!$J$7:$J$56,$O2427)))</f>
        <v/>
      </c>
      <c r="K2427" s="71">
        <f>IF($N2427&lt;&gt;"OK","",$D2427*$J2427)</f>
        <v/>
      </c>
      <c r="L2427" s="71">
        <f>IF($N2427&lt;&gt;"OK","",$I2427-$K2427)</f>
        <v/>
      </c>
      <c r="M2427" s="71">
        <f>IF($N2427&lt;&gt;"OK","",$D2427*N(INDEX('Menu Pricing'!$F$7:$F$56,$O2427)))</f>
        <v/>
      </c>
      <c r="N2427" s="80">
        <f>IF(AND($B2427="",$C2427="",$D2427=""),"",IF(NOT(ISNUMBER($B2427)),"Enter a valid date",IF($C2427="","Pick a menu item",IF($O2427="","Item not on Menu Pricing",IF(N($D2427)&lt;=0,"Qty must be above 0",IF($H2427="","No price on menu","OK"))))))</f>
        <v/>
      </c>
      <c r="O2427" s="13">
        <f>IF($C2427="","",IFERROR(MATCH($C2427,'Menu Pricing'!$B$7:$B$56,0),""))</f>
        <v/>
      </c>
    </row>
    <row r="2428" ht="17" customHeight="1">
      <c r="B2428" s="66" t="n"/>
      <c r="C2428" s="60" t="n"/>
      <c r="D2428" s="86" t="n"/>
      <c r="E2428" s="63" t="n"/>
      <c r="F2428" s="60" t="n"/>
      <c r="G2428" s="60" t="n"/>
      <c r="H2428" s="71">
        <f>IF(OR($C2428="",$D2428=""),"",IF(ISNUMBER($E2428),$E2428,IF($O2428="","",IF(N(INDEX('Menu Pricing'!$O$7:$O$56,$O2428))&gt;0,INDEX('Menu Pricing'!$O$7:$O$56,$O2428),""))))</f>
        <v/>
      </c>
      <c r="I2428" s="71">
        <f>IF($N2428&lt;&gt;"OK","",$D2428*$H2428)</f>
        <v/>
      </c>
      <c r="J2428" s="71">
        <f>IF($N2428&lt;&gt;"OK","",N(INDEX('Menu Pricing'!$F$7:$F$56,$O2428))+N(INDEX('Menu Pricing'!$G$7:$G$56,$O2428))+N(INDEX('Menu Pricing'!$J$7:$J$56,$O2428)))</f>
        <v/>
      </c>
      <c r="K2428" s="71">
        <f>IF($N2428&lt;&gt;"OK","",$D2428*$J2428)</f>
        <v/>
      </c>
      <c r="L2428" s="71">
        <f>IF($N2428&lt;&gt;"OK","",$I2428-$K2428)</f>
        <v/>
      </c>
      <c r="M2428" s="71">
        <f>IF($N2428&lt;&gt;"OK","",$D2428*N(INDEX('Menu Pricing'!$F$7:$F$56,$O2428)))</f>
        <v/>
      </c>
      <c r="N2428" s="80">
        <f>IF(AND($B2428="",$C2428="",$D2428=""),"",IF(NOT(ISNUMBER($B2428)),"Enter a valid date",IF($C2428="","Pick a menu item",IF($O2428="","Item not on Menu Pricing",IF(N($D2428)&lt;=0,"Qty must be above 0",IF($H2428="","No price on menu","OK"))))))</f>
        <v/>
      </c>
      <c r="O2428" s="13">
        <f>IF($C2428="","",IFERROR(MATCH($C2428,'Menu Pricing'!$B$7:$B$56,0),""))</f>
        <v/>
      </c>
    </row>
    <row r="2429" ht="17" customHeight="1">
      <c r="B2429" s="66" t="n"/>
      <c r="C2429" s="60" t="n"/>
      <c r="D2429" s="86" t="n"/>
      <c r="E2429" s="63" t="n"/>
      <c r="F2429" s="60" t="n"/>
      <c r="G2429" s="60" t="n"/>
      <c r="H2429" s="71">
        <f>IF(OR($C2429="",$D2429=""),"",IF(ISNUMBER($E2429),$E2429,IF($O2429="","",IF(N(INDEX('Menu Pricing'!$O$7:$O$56,$O2429))&gt;0,INDEX('Menu Pricing'!$O$7:$O$56,$O2429),""))))</f>
        <v/>
      </c>
      <c r="I2429" s="71">
        <f>IF($N2429&lt;&gt;"OK","",$D2429*$H2429)</f>
        <v/>
      </c>
      <c r="J2429" s="71">
        <f>IF($N2429&lt;&gt;"OK","",N(INDEX('Menu Pricing'!$F$7:$F$56,$O2429))+N(INDEX('Menu Pricing'!$G$7:$G$56,$O2429))+N(INDEX('Menu Pricing'!$J$7:$J$56,$O2429)))</f>
        <v/>
      </c>
      <c r="K2429" s="71">
        <f>IF($N2429&lt;&gt;"OK","",$D2429*$J2429)</f>
        <v/>
      </c>
      <c r="L2429" s="71">
        <f>IF($N2429&lt;&gt;"OK","",$I2429-$K2429)</f>
        <v/>
      </c>
      <c r="M2429" s="71">
        <f>IF($N2429&lt;&gt;"OK","",$D2429*N(INDEX('Menu Pricing'!$F$7:$F$56,$O2429)))</f>
        <v/>
      </c>
      <c r="N2429" s="80">
        <f>IF(AND($B2429="",$C2429="",$D2429=""),"",IF(NOT(ISNUMBER($B2429)),"Enter a valid date",IF($C2429="","Pick a menu item",IF($O2429="","Item not on Menu Pricing",IF(N($D2429)&lt;=0,"Qty must be above 0",IF($H2429="","No price on menu","OK"))))))</f>
        <v/>
      </c>
      <c r="O2429" s="13">
        <f>IF($C2429="","",IFERROR(MATCH($C2429,'Menu Pricing'!$B$7:$B$56,0),""))</f>
        <v/>
      </c>
    </row>
    <row r="2430" ht="17" customHeight="1">
      <c r="B2430" s="66" t="n"/>
      <c r="C2430" s="60" t="n"/>
      <c r="D2430" s="86" t="n"/>
      <c r="E2430" s="63" t="n"/>
      <c r="F2430" s="60" t="n"/>
      <c r="G2430" s="60" t="n"/>
      <c r="H2430" s="71">
        <f>IF(OR($C2430="",$D2430=""),"",IF(ISNUMBER($E2430),$E2430,IF($O2430="","",IF(N(INDEX('Menu Pricing'!$O$7:$O$56,$O2430))&gt;0,INDEX('Menu Pricing'!$O$7:$O$56,$O2430),""))))</f>
        <v/>
      </c>
      <c r="I2430" s="71">
        <f>IF($N2430&lt;&gt;"OK","",$D2430*$H2430)</f>
        <v/>
      </c>
      <c r="J2430" s="71">
        <f>IF($N2430&lt;&gt;"OK","",N(INDEX('Menu Pricing'!$F$7:$F$56,$O2430))+N(INDEX('Menu Pricing'!$G$7:$G$56,$O2430))+N(INDEX('Menu Pricing'!$J$7:$J$56,$O2430)))</f>
        <v/>
      </c>
      <c r="K2430" s="71">
        <f>IF($N2430&lt;&gt;"OK","",$D2430*$J2430)</f>
        <v/>
      </c>
      <c r="L2430" s="71">
        <f>IF($N2430&lt;&gt;"OK","",$I2430-$K2430)</f>
        <v/>
      </c>
      <c r="M2430" s="71">
        <f>IF($N2430&lt;&gt;"OK","",$D2430*N(INDEX('Menu Pricing'!$F$7:$F$56,$O2430)))</f>
        <v/>
      </c>
      <c r="N2430" s="80">
        <f>IF(AND($B2430="",$C2430="",$D2430=""),"",IF(NOT(ISNUMBER($B2430)),"Enter a valid date",IF($C2430="","Pick a menu item",IF($O2430="","Item not on Menu Pricing",IF(N($D2430)&lt;=0,"Qty must be above 0",IF($H2430="","No price on menu","OK"))))))</f>
        <v/>
      </c>
      <c r="O2430" s="13">
        <f>IF($C2430="","",IFERROR(MATCH($C2430,'Menu Pricing'!$B$7:$B$56,0),""))</f>
        <v/>
      </c>
    </row>
    <row r="2431" ht="17" customHeight="1">
      <c r="B2431" s="66" t="n"/>
      <c r="C2431" s="60" t="n"/>
      <c r="D2431" s="86" t="n"/>
      <c r="E2431" s="63" t="n"/>
      <c r="F2431" s="60" t="n"/>
      <c r="G2431" s="60" t="n"/>
      <c r="H2431" s="71">
        <f>IF(OR($C2431="",$D2431=""),"",IF(ISNUMBER($E2431),$E2431,IF($O2431="","",IF(N(INDEX('Menu Pricing'!$O$7:$O$56,$O2431))&gt;0,INDEX('Menu Pricing'!$O$7:$O$56,$O2431),""))))</f>
        <v/>
      </c>
      <c r="I2431" s="71">
        <f>IF($N2431&lt;&gt;"OK","",$D2431*$H2431)</f>
        <v/>
      </c>
      <c r="J2431" s="71">
        <f>IF($N2431&lt;&gt;"OK","",N(INDEX('Menu Pricing'!$F$7:$F$56,$O2431))+N(INDEX('Menu Pricing'!$G$7:$G$56,$O2431))+N(INDEX('Menu Pricing'!$J$7:$J$56,$O2431)))</f>
        <v/>
      </c>
      <c r="K2431" s="71">
        <f>IF($N2431&lt;&gt;"OK","",$D2431*$J2431)</f>
        <v/>
      </c>
      <c r="L2431" s="71">
        <f>IF($N2431&lt;&gt;"OK","",$I2431-$K2431)</f>
        <v/>
      </c>
      <c r="M2431" s="71">
        <f>IF($N2431&lt;&gt;"OK","",$D2431*N(INDEX('Menu Pricing'!$F$7:$F$56,$O2431)))</f>
        <v/>
      </c>
      <c r="N2431" s="80">
        <f>IF(AND($B2431="",$C2431="",$D2431=""),"",IF(NOT(ISNUMBER($B2431)),"Enter a valid date",IF($C2431="","Pick a menu item",IF($O2431="","Item not on Menu Pricing",IF(N($D2431)&lt;=0,"Qty must be above 0",IF($H2431="","No price on menu","OK"))))))</f>
        <v/>
      </c>
      <c r="O2431" s="13">
        <f>IF($C2431="","",IFERROR(MATCH($C2431,'Menu Pricing'!$B$7:$B$56,0),""))</f>
        <v/>
      </c>
    </row>
    <row r="2432" ht="17" customHeight="1">
      <c r="B2432" s="66" t="n"/>
      <c r="C2432" s="60" t="n"/>
      <c r="D2432" s="86" t="n"/>
      <c r="E2432" s="63" t="n"/>
      <c r="F2432" s="60" t="n"/>
      <c r="G2432" s="60" t="n"/>
      <c r="H2432" s="71">
        <f>IF(OR($C2432="",$D2432=""),"",IF(ISNUMBER($E2432),$E2432,IF($O2432="","",IF(N(INDEX('Menu Pricing'!$O$7:$O$56,$O2432))&gt;0,INDEX('Menu Pricing'!$O$7:$O$56,$O2432),""))))</f>
        <v/>
      </c>
      <c r="I2432" s="71">
        <f>IF($N2432&lt;&gt;"OK","",$D2432*$H2432)</f>
        <v/>
      </c>
      <c r="J2432" s="71">
        <f>IF($N2432&lt;&gt;"OK","",N(INDEX('Menu Pricing'!$F$7:$F$56,$O2432))+N(INDEX('Menu Pricing'!$G$7:$G$56,$O2432))+N(INDEX('Menu Pricing'!$J$7:$J$56,$O2432)))</f>
        <v/>
      </c>
      <c r="K2432" s="71">
        <f>IF($N2432&lt;&gt;"OK","",$D2432*$J2432)</f>
        <v/>
      </c>
      <c r="L2432" s="71">
        <f>IF($N2432&lt;&gt;"OK","",$I2432-$K2432)</f>
        <v/>
      </c>
      <c r="M2432" s="71">
        <f>IF($N2432&lt;&gt;"OK","",$D2432*N(INDEX('Menu Pricing'!$F$7:$F$56,$O2432)))</f>
        <v/>
      </c>
      <c r="N2432" s="80">
        <f>IF(AND($B2432="",$C2432="",$D2432=""),"",IF(NOT(ISNUMBER($B2432)),"Enter a valid date",IF($C2432="","Pick a menu item",IF($O2432="","Item not on Menu Pricing",IF(N($D2432)&lt;=0,"Qty must be above 0",IF($H2432="","No price on menu","OK"))))))</f>
        <v/>
      </c>
      <c r="O2432" s="13">
        <f>IF($C2432="","",IFERROR(MATCH($C2432,'Menu Pricing'!$B$7:$B$56,0),""))</f>
        <v/>
      </c>
    </row>
    <row r="2433" ht="17" customHeight="1">
      <c r="B2433" s="66" t="n"/>
      <c r="C2433" s="60" t="n"/>
      <c r="D2433" s="86" t="n"/>
      <c r="E2433" s="63" t="n"/>
      <c r="F2433" s="60" t="n"/>
      <c r="G2433" s="60" t="n"/>
      <c r="H2433" s="71">
        <f>IF(OR($C2433="",$D2433=""),"",IF(ISNUMBER($E2433),$E2433,IF($O2433="","",IF(N(INDEX('Menu Pricing'!$O$7:$O$56,$O2433))&gt;0,INDEX('Menu Pricing'!$O$7:$O$56,$O2433),""))))</f>
        <v/>
      </c>
      <c r="I2433" s="71">
        <f>IF($N2433&lt;&gt;"OK","",$D2433*$H2433)</f>
        <v/>
      </c>
      <c r="J2433" s="71">
        <f>IF($N2433&lt;&gt;"OK","",N(INDEX('Menu Pricing'!$F$7:$F$56,$O2433))+N(INDEX('Menu Pricing'!$G$7:$G$56,$O2433))+N(INDEX('Menu Pricing'!$J$7:$J$56,$O2433)))</f>
        <v/>
      </c>
      <c r="K2433" s="71">
        <f>IF($N2433&lt;&gt;"OK","",$D2433*$J2433)</f>
        <v/>
      </c>
      <c r="L2433" s="71">
        <f>IF($N2433&lt;&gt;"OK","",$I2433-$K2433)</f>
        <v/>
      </c>
      <c r="M2433" s="71">
        <f>IF($N2433&lt;&gt;"OK","",$D2433*N(INDEX('Menu Pricing'!$F$7:$F$56,$O2433)))</f>
        <v/>
      </c>
      <c r="N2433" s="80">
        <f>IF(AND($B2433="",$C2433="",$D2433=""),"",IF(NOT(ISNUMBER($B2433)),"Enter a valid date",IF($C2433="","Pick a menu item",IF($O2433="","Item not on Menu Pricing",IF(N($D2433)&lt;=0,"Qty must be above 0",IF($H2433="","No price on menu","OK"))))))</f>
        <v/>
      </c>
      <c r="O2433" s="13">
        <f>IF($C2433="","",IFERROR(MATCH($C2433,'Menu Pricing'!$B$7:$B$56,0),""))</f>
        <v/>
      </c>
    </row>
    <row r="2434" ht="17" customHeight="1">
      <c r="B2434" s="66" t="n"/>
      <c r="C2434" s="60" t="n"/>
      <c r="D2434" s="86" t="n"/>
      <c r="E2434" s="63" t="n"/>
      <c r="F2434" s="60" t="n"/>
      <c r="G2434" s="60" t="n"/>
      <c r="H2434" s="71">
        <f>IF(OR($C2434="",$D2434=""),"",IF(ISNUMBER($E2434),$E2434,IF($O2434="","",IF(N(INDEX('Menu Pricing'!$O$7:$O$56,$O2434))&gt;0,INDEX('Menu Pricing'!$O$7:$O$56,$O2434),""))))</f>
        <v/>
      </c>
      <c r="I2434" s="71">
        <f>IF($N2434&lt;&gt;"OK","",$D2434*$H2434)</f>
        <v/>
      </c>
      <c r="J2434" s="71">
        <f>IF($N2434&lt;&gt;"OK","",N(INDEX('Menu Pricing'!$F$7:$F$56,$O2434))+N(INDEX('Menu Pricing'!$G$7:$G$56,$O2434))+N(INDEX('Menu Pricing'!$J$7:$J$56,$O2434)))</f>
        <v/>
      </c>
      <c r="K2434" s="71">
        <f>IF($N2434&lt;&gt;"OK","",$D2434*$J2434)</f>
        <v/>
      </c>
      <c r="L2434" s="71">
        <f>IF($N2434&lt;&gt;"OK","",$I2434-$K2434)</f>
        <v/>
      </c>
      <c r="M2434" s="71">
        <f>IF($N2434&lt;&gt;"OK","",$D2434*N(INDEX('Menu Pricing'!$F$7:$F$56,$O2434)))</f>
        <v/>
      </c>
      <c r="N2434" s="80">
        <f>IF(AND($B2434="",$C2434="",$D2434=""),"",IF(NOT(ISNUMBER($B2434)),"Enter a valid date",IF($C2434="","Pick a menu item",IF($O2434="","Item not on Menu Pricing",IF(N($D2434)&lt;=0,"Qty must be above 0",IF($H2434="","No price on menu","OK"))))))</f>
        <v/>
      </c>
      <c r="O2434" s="13">
        <f>IF($C2434="","",IFERROR(MATCH($C2434,'Menu Pricing'!$B$7:$B$56,0),""))</f>
        <v/>
      </c>
    </row>
    <row r="2435" ht="17" customHeight="1">
      <c r="B2435" s="66" t="n"/>
      <c r="C2435" s="60" t="n"/>
      <c r="D2435" s="86" t="n"/>
      <c r="E2435" s="63" t="n"/>
      <c r="F2435" s="60" t="n"/>
      <c r="G2435" s="60" t="n"/>
      <c r="H2435" s="71">
        <f>IF(OR($C2435="",$D2435=""),"",IF(ISNUMBER($E2435),$E2435,IF($O2435="","",IF(N(INDEX('Menu Pricing'!$O$7:$O$56,$O2435))&gt;0,INDEX('Menu Pricing'!$O$7:$O$56,$O2435),""))))</f>
        <v/>
      </c>
      <c r="I2435" s="71">
        <f>IF($N2435&lt;&gt;"OK","",$D2435*$H2435)</f>
        <v/>
      </c>
      <c r="J2435" s="71">
        <f>IF($N2435&lt;&gt;"OK","",N(INDEX('Menu Pricing'!$F$7:$F$56,$O2435))+N(INDEX('Menu Pricing'!$G$7:$G$56,$O2435))+N(INDEX('Menu Pricing'!$J$7:$J$56,$O2435)))</f>
        <v/>
      </c>
      <c r="K2435" s="71">
        <f>IF($N2435&lt;&gt;"OK","",$D2435*$J2435)</f>
        <v/>
      </c>
      <c r="L2435" s="71">
        <f>IF($N2435&lt;&gt;"OK","",$I2435-$K2435)</f>
        <v/>
      </c>
      <c r="M2435" s="71">
        <f>IF($N2435&lt;&gt;"OK","",$D2435*N(INDEX('Menu Pricing'!$F$7:$F$56,$O2435)))</f>
        <v/>
      </c>
      <c r="N2435" s="80">
        <f>IF(AND($B2435="",$C2435="",$D2435=""),"",IF(NOT(ISNUMBER($B2435)),"Enter a valid date",IF($C2435="","Pick a menu item",IF($O2435="","Item not on Menu Pricing",IF(N($D2435)&lt;=0,"Qty must be above 0",IF($H2435="","No price on menu","OK"))))))</f>
        <v/>
      </c>
      <c r="O2435" s="13">
        <f>IF($C2435="","",IFERROR(MATCH($C2435,'Menu Pricing'!$B$7:$B$56,0),""))</f>
        <v/>
      </c>
    </row>
    <row r="2436" ht="17" customHeight="1">
      <c r="B2436" s="66" t="n"/>
      <c r="C2436" s="60" t="n"/>
      <c r="D2436" s="86" t="n"/>
      <c r="E2436" s="63" t="n"/>
      <c r="F2436" s="60" t="n"/>
      <c r="G2436" s="60" t="n"/>
      <c r="H2436" s="71">
        <f>IF(OR($C2436="",$D2436=""),"",IF(ISNUMBER($E2436),$E2436,IF($O2436="","",IF(N(INDEX('Menu Pricing'!$O$7:$O$56,$O2436))&gt;0,INDEX('Menu Pricing'!$O$7:$O$56,$O2436),""))))</f>
        <v/>
      </c>
      <c r="I2436" s="71">
        <f>IF($N2436&lt;&gt;"OK","",$D2436*$H2436)</f>
        <v/>
      </c>
      <c r="J2436" s="71">
        <f>IF($N2436&lt;&gt;"OK","",N(INDEX('Menu Pricing'!$F$7:$F$56,$O2436))+N(INDEX('Menu Pricing'!$G$7:$G$56,$O2436))+N(INDEX('Menu Pricing'!$J$7:$J$56,$O2436)))</f>
        <v/>
      </c>
      <c r="K2436" s="71">
        <f>IF($N2436&lt;&gt;"OK","",$D2436*$J2436)</f>
        <v/>
      </c>
      <c r="L2436" s="71">
        <f>IF($N2436&lt;&gt;"OK","",$I2436-$K2436)</f>
        <v/>
      </c>
      <c r="M2436" s="71">
        <f>IF($N2436&lt;&gt;"OK","",$D2436*N(INDEX('Menu Pricing'!$F$7:$F$56,$O2436)))</f>
        <v/>
      </c>
      <c r="N2436" s="80">
        <f>IF(AND($B2436="",$C2436="",$D2436=""),"",IF(NOT(ISNUMBER($B2436)),"Enter a valid date",IF($C2436="","Pick a menu item",IF($O2436="","Item not on Menu Pricing",IF(N($D2436)&lt;=0,"Qty must be above 0",IF($H2436="","No price on menu","OK"))))))</f>
        <v/>
      </c>
      <c r="O2436" s="13">
        <f>IF($C2436="","",IFERROR(MATCH($C2436,'Menu Pricing'!$B$7:$B$56,0),""))</f>
        <v/>
      </c>
    </row>
    <row r="2437" ht="17" customHeight="1">
      <c r="B2437" s="66" t="n"/>
      <c r="C2437" s="60" t="n"/>
      <c r="D2437" s="86" t="n"/>
      <c r="E2437" s="63" t="n"/>
      <c r="F2437" s="60" t="n"/>
      <c r="G2437" s="60" t="n"/>
      <c r="H2437" s="71">
        <f>IF(OR($C2437="",$D2437=""),"",IF(ISNUMBER($E2437),$E2437,IF($O2437="","",IF(N(INDEX('Menu Pricing'!$O$7:$O$56,$O2437))&gt;0,INDEX('Menu Pricing'!$O$7:$O$56,$O2437),""))))</f>
        <v/>
      </c>
      <c r="I2437" s="71">
        <f>IF($N2437&lt;&gt;"OK","",$D2437*$H2437)</f>
        <v/>
      </c>
      <c r="J2437" s="71">
        <f>IF($N2437&lt;&gt;"OK","",N(INDEX('Menu Pricing'!$F$7:$F$56,$O2437))+N(INDEX('Menu Pricing'!$G$7:$G$56,$O2437))+N(INDEX('Menu Pricing'!$J$7:$J$56,$O2437)))</f>
        <v/>
      </c>
      <c r="K2437" s="71">
        <f>IF($N2437&lt;&gt;"OK","",$D2437*$J2437)</f>
        <v/>
      </c>
      <c r="L2437" s="71">
        <f>IF($N2437&lt;&gt;"OK","",$I2437-$K2437)</f>
        <v/>
      </c>
      <c r="M2437" s="71">
        <f>IF($N2437&lt;&gt;"OK","",$D2437*N(INDEX('Menu Pricing'!$F$7:$F$56,$O2437)))</f>
        <v/>
      </c>
      <c r="N2437" s="80">
        <f>IF(AND($B2437="",$C2437="",$D2437=""),"",IF(NOT(ISNUMBER($B2437)),"Enter a valid date",IF($C2437="","Pick a menu item",IF($O2437="","Item not on Menu Pricing",IF(N($D2437)&lt;=0,"Qty must be above 0",IF($H2437="","No price on menu","OK"))))))</f>
        <v/>
      </c>
      <c r="O2437" s="13">
        <f>IF($C2437="","",IFERROR(MATCH($C2437,'Menu Pricing'!$B$7:$B$56,0),""))</f>
        <v/>
      </c>
    </row>
    <row r="2438" ht="17" customHeight="1">
      <c r="B2438" s="66" t="n"/>
      <c r="C2438" s="60" t="n"/>
      <c r="D2438" s="86" t="n"/>
      <c r="E2438" s="63" t="n"/>
      <c r="F2438" s="60" t="n"/>
      <c r="G2438" s="60" t="n"/>
      <c r="H2438" s="71">
        <f>IF(OR($C2438="",$D2438=""),"",IF(ISNUMBER($E2438),$E2438,IF($O2438="","",IF(N(INDEX('Menu Pricing'!$O$7:$O$56,$O2438))&gt;0,INDEX('Menu Pricing'!$O$7:$O$56,$O2438),""))))</f>
        <v/>
      </c>
      <c r="I2438" s="71">
        <f>IF($N2438&lt;&gt;"OK","",$D2438*$H2438)</f>
        <v/>
      </c>
      <c r="J2438" s="71">
        <f>IF($N2438&lt;&gt;"OK","",N(INDEX('Menu Pricing'!$F$7:$F$56,$O2438))+N(INDEX('Menu Pricing'!$G$7:$G$56,$O2438))+N(INDEX('Menu Pricing'!$J$7:$J$56,$O2438)))</f>
        <v/>
      </c>
      <c r="K2438" s="71">
        <f>IF($N2438&lt;&gt;"OK","",$D2438*$J2438)</f>
        <v/>
      </c>
      <c r="L2438" s="71">
        <f>IF($N2438&lt;&gt;"OK","",$I2438-$K2438)</f>
        <v/>
      </c>
      <c r="M2438" s="71">
        <f>IF($N2438&lt;&gt;"OK","",$D2438*N(INDEX('Menu Pricing'!$F$7:$F$56,$O2438)))</f>
        <v/>
      </c>
      <c r="N2438" s="80">
        <f>IF(AND($B2438="",$C2438="",$D2438=""),"",IF(NOT(ISNUMBER($B2438)),"Enter a valid date",IF($C2438="","Pick a menu item",IF($O2438="","Item not on Menu Pricing",IF(N($D2438)&lt;=0,"Qty must be above 0",IF($H2438="","No price on menu","OK"))))))</f>
        <v/>
      </c>
      <c r="O2438" s="13">
        <f>IF($C2438="","",IFERROR(MATCH($C2438,'Menu Pricing'!$B$7:$B$56,0),""))</f>
        <v/>
      </c>
    </row>
    <row r="2439" ht="17" customHeight="1">
      <c r="B2439" s="66" t="n"/>
      <c r="C2439" s="60" t="n"/>
      <c r="D2439" s="86" t="n"/>
      <c r="E2439" s="63" t="n"/>
      <c r="F2439" s="60" t="n"/>
      <c r="G2439" s="60" t="n"/>
      <c r="H2439" s="71">
        <f>IF(OR($C2439="",$D2439=""),"",IF(ISNUMBER($E2439),$E2439,IF($O2439="","",IF(N(INDEX('Menu Pricing'!$O$7:$O$56,$O2439))&gt;0,INDEX('Menu Pricing'!$O$7:$O$56,$O2439),""))))</f>
        <v/>
      </c>
      <c r="I2439" s="71">
        <f>IF($N2439&lt;&gt;"OK","",$D2439*$H2439)</f>
        <v/>
      </c>
      <c r="J2439" s="71">
        <f>IF($N2439&lt;&gt;"OK","",N(INDEX('Menu Pricing'!$F$7:$F$56,$O2439))+N(INDEX('Menu Pricing'!$G$7:$G$56,$O2439))+N(INDEX('Menu Pricing'!$J$7:$J$56,$O2439)))</f>
        <v/>
      </c>
      <c r="K2439" s="71">
        <f>IF($N2439&lt;&gt;"OK","",$D2439*$J2439)</f>
        <v/>
      </c>
      <c r="L2439" s="71">
        <f>IF($N2439&lt;&gt;"OK","",$I2439-$K2439)</f>
        <v/>
      </c>
      <c r="M2439" s="71">
        <f>IF($N2439&lt;&gt;"OK","",$D2439*N(INDEX('Menu Pricing'!$F$7:$F$56,$O2439)))</f>
        <v/>
      </c>
      <c r="N2439" s="80">
        <f>IF(AND($B2439="",$C2439="",$D2439=""),"",IF(NOT(ISNUMBER($B2439)),"Enter a valid date",IF($C2439="","Pick a menu item",IF($O2439="","Item not on Menu Pricing",IF(N($D2439)&lt;=0,"Qty must be above 0",IF($H2439="","No price on menu","OK"))))))</f>
        <v/>
      </c>
      <c r="O2439" s="13">
        <f>IF($C2439="","",IFERROR(MATCH($C2439,'Menu Pricing'!$B$7:$B$56,0),""))</f>
        <v/>
      </c>
    </row>
    <row r="2440" ht="17" customHeight="1">
      <c r="B2440" s="66" t="n"/>
      <c r="C2440" s="60" t="n"/>
      <c r="D2440" s="86" t="n"/>
      <c r="E2440" s="63" t="n"/>
      <c r="F2440" s="60" t="n"/>
      <c r="G2440" s="60" t="n"/>
      <c r="H2440" s="71">
        <f>IF(OR($C2440="",$D2440=""),"",IF(ISNUMBER($E2440),$E2440,IF($O2440="","",IF(N(INDEX('Menu Pricing'!$O$7:$O$56,$O2440))&gt;0,INDEX('Menu Pricing'!$O$7:$O$56,$O2440),""))))</f>
        <v/>
      </c>
      <c r="I2440" s="71">
        <f>IF($N2440&lt;&gt;"OK","",$D2440*$H2440)</f>
        <v/>
      </c>
      <c r="J2440" s="71">
        <f>IF($N2440&lt;&gt;"OK","",N(INDEX('Menu Pricing'!$F$7:$F$56,$O2440))+N(INDEX('Menu Pricing'!$G$7:$G$56,$O2440))+N(INDEX('Menu Pricing'!$J$7:$J$56,$O2440)))</f>
        <v/>
      </c>
      <c r="K2440" s="71">
        <f>IF($N2440&lt;&gt;"OK","",$D2440*$J2440)</f>
        <v/>
      </c>
      <c r="L2440" s="71">
        <f>IF($N2440&lt;&gt;"OK","",$I2440-$K2440)</f>
        <v/>
      </c>
      <c r="M2440" s="71">
        <f>IF($N2440&lt;&gt;"OK","",$D2440*N(INDEX('Menu Pricing'!$F$7:$F$56,$O2440)))</f>
        <v/>
      </c>
      <c r="N2440" s="80">
        <f>IF(AND($B2440="",$C2440="",$D2440=""),"",IF(NOT(ISNUMBER($B2440)),"Enter a valid date",IF($C2440="","Pick a menu item",IF($O2440="","Item not on Menu Pricing",IF(N($D2440)&lt;=0,"Qty must be above 0",IF($H2440="","No price on menu","OK"))))))</f>
        <v/>
      </c>
      <c r="O2440" s="13">
        <f>IF($C2440="","",IFERROR(MATCH($C2440,'Menu Pricing'!$B$7:$B$56,0),""))</f>
        <v/>
      </c>
    </row>
    <row r="2441" ht="17" customHeight="1">
      <c r="B2441" s="66" t="n"/>
      <c r="C2441" s="60" t="n"/>
      <c r="D2441" s="86" t="n"/>
      <c r="E2441" s="63" t="n"/>
      <c r="F2441" s="60" t="n"/>
      <c r="G2441" s="60" t="n"/>
      <c r="H2441" s="71">
        <f>IF(OR($C2441="",$D2441=""),"",IF(ISNUMBER($E2441),$E2441,IF($O2441="","",IF(N(INDEX('Menu Pricing'!$O$7:$O$56,$O2441))&gt;0,INDEX('Menu Pricing'!$O$7:$O$56,$O2441),""))))</f>
        <v/>
      </c>
      <c r="I2441" s="71">
        <f>IF($N2441&lt;&gt;"OK","",$D2441*$H2441)</f>
        <v/>
      </c>
      <c r="J2441" s="71">
        <f>IF($N2441&lt;&gt;"OK","",N(INDEX('Menu Pricing'!$F$7:$F$56,$O2441))+N(INDEX('Menu Pricing'!$G$7:$G$56,$O2441))+N(INDEX('Menu Pricing'!$J$7:$J$56,$O2441)))</f>
        <v/>
      </c>
      <c r="K2441" s="71">
        <f>IF($N2441&lt;&gt;"OK","",$D2441*$J2441)</f>
        <v/>
      </c>
      <c r="L2441" s="71">
        <f>IF($N2441&lt;&gt;"OK","",$I2441-$K2441)</f>
        <v/>
      </c>
      <c r="M2441" s="71">
        <f>IF($N2441&lt;&gt;"OK","",$D2441*N(INDEX('Menu Pricing'!$F$7:$F$56,$O2441)))</f>
        <v/>
      </c>
      <c r="N2441" s="80">
        <f>IF(AND($B2441="",$C2441="",$D2441=""),"",IF(NOT(ISNUMBER($B2441)),"Enter a valid date",IF($C2441="","Pick a menu item",IF($O2441="","Item not on Menu Pricing",IF(N($D2441)&lt;=0,"Qty must be above 0",IF($H2441="","No price on menu","OK"))))))</f>
        <v/>
      </c>
      <c r="O2441" s="13">
        <f>IF($C2441="","",IFERROR(MATCH($C2441,'Menu Pricing'!$B$7:$B$56,0),""))</f>
        <v/>
      </c>
    </row>
    <row r="2442" ht="17" customHeight="1">
      <c r="B2442" s="66" t="n"/>
      <c r="C2442" s="60" t="n"/>
      <c r="D2442" s="86" t="n"/>
      <c r="E2442" s="63" t="n"/>
      <c r="F2442" s="60" t="n"/>
      <c r="G2442" s="60" t="n"/>
      <c r="H2442" s="71">
        <f>IF(OR($C2442="",$D2442=""),"",IF(ISNUMBER($E2442),$E2442,IF($O2442="","",IF(N(INDEX('Menu Pricing'!$O$7:$O$56,$O2442))&gt;0,INDEX('Menu Pricing'!$O$7:$O$56,$O2442),""))))</f>
        <v/>
      </c>
      <c r="I2442" s="71">
        <f>IF($N2442&lt;&gt;"OK","",$D2442*$H2442)</f>
        <v/>
      </c>
      <c r="J2442" s="71">
        <f>IF($N2442&lt;&gt;"OK","",N(INDEX('Menu Pricing'!$F$7:$F$56,$O2442))+N(INDEX('Menu Pricing'!$G$7:$G$56,$O2442))+N(INDEX('Menu Pricing'!$J$7:$J$56,$O2442)))</f>
        <v/>
      </c>
      <c r="K2442" s="71">
        <f>IF($N2442&lt;&gt;"OK","",$D2442*$J2442)</f>
        <v/>
      </c>
      <c r="L2442" s="71">
        <f>IF($N2442&lt;&gt;"OK","",$I2442-$K2442)</f>
        <v/>
      </c>
      <c r="M2442" s="71">
        <f>IF($N2442&lt;&gt;"OK","",$D2442*N(INDEX('Menu Pricing'!$F$7:$F$56,$O2442)))</f>
        <v/>
      </c>
      <c r="N2442" s="80">
        <f>IF(AND($B2442="",$C2442="",$D2442=""),"",IF(NOT(ISNUMBER($B2442)),"Enter a valid date",IF($C2442="","Pick a menu item",IF($O2442="","Item not on Menu Pricing",IF(N($D2442)&lt;=0,"Qty must be above 0",IF($H2442="","No price on menu","OK"))))))</f>
        <v/>
      </c>
      <c r="O2442" s="13">
        <f>IF($C2442="","",IFERROR(MATCH($C2442,'Menu Pricing'!$B$7:$B$56,0),""))</f>
        <v/>
      </c>
    </row>
    <row r="2443" ht="17" customHeight="1">
      <c r="B2443" s="66" t="n"/>
      <c r="C2443" s="60" t="n"/>
      <c r="D2443" s="86" t="n"/>
      <c r="E2443" s="63" t="n"/>
      <c r="F2443" s="60" t="n"/>
      <c r="G2443" s="60" t="n"/>
      <c r="H2443" s="71">
        <f>IF(OR($C2443="",$D2443=""),"",IF(ISNUMBER($E2443),$E2443,IF($O2443="","",IF(N(INDEX('Menu Pricing'!$O$7:$O$56,$O2443))&gt;0,INDEX('Menu Pricing'!$O$7:$O$56,$O2443),""))))</f>
        <v/>
      </c>
      <c r="I2443" s="71">
        <f>IF($N2443&lt;&gt;"OK","",$D2443*$H2443)</f>
        <v/>
      </c>
      <c r="J2443" s="71">
        <f>IF($N2443&lt;&gt;"OK","",N(INDEX('Menu Pricing'!$F$7:$F$56,$O2443))+N(INDEX('Menu Pricing'!$G$7:$G$56,$O2443))+N(INDEX('Menu Pricing'!$J$7:$J$56,$O2443)))</f>
        <v/>
      </c>
      <c r="K2443" s="71">
        <f>IF($N2443&lt;&gt;"OK","",$D2443*$J2443)</f>
        <v/>
      </c>
      <c r="L2443" s="71">
        <f>IF($N2443&lt;&gt;"OK","",$I2443-$K2443)</f>
        <v/>
      </c>
      <c r="M2443" s="71">
        <f>IF($N2443&lt;&gt;"OK","",$D2443*N(INDEX('Menu Pricing'!$F$7:$F$56,$O2443)))</f>
        <v/>
      </c>
      <c r="N2443" s="80">
        <f>IF(AND($B2443="",$C2443="",$D2443=""),"",IF(NOT(ISNUMBER($B2443)),"Enter a valid date",IF($C2443="","Pick a menu item",IF($O2443="","Item not on Menu Pricing",IF(N($D2443)&lt;=0,"Qty must be above 0",IF($H2443="","No price on menu","OK"))))))</f>
        <v/>
      </c>
      <c r="O2443" s="13">
        <f>IF($C2443="","",IFERROR(MATCH($C2443,'Menu Pricing'!$B$7:$B$56,0),""))</f>
        <v/>
      </c>
    </row>
    <row r="2444" ht="17" customHeight="1">
      <c r="B2444" s="66" t="n"/>
      <c r="C2444" s="60" t="n"/>
      <c r="D2444" s="86" t="n"/>
      <c r="E2444" s="63" t="n"/>
      <c r="F2444" s="60" t="n"/>
      <c r="G2444" s="60" t="n"/>
      <c r="H2444" s="71">
        <f>IF(OR($C2444="",$D2444=""),"",IF(ISNUMBER($E2444),$E2444,IF($O2444="","",IF(N(INDEX('Menu Pricing'!$O$7:$O$56,$O2444))&gt;0,INDEX('Menu Pricing'!$O$7:$O$56,$O2444),""))))</f>
        <v/>
      </c>
      <c r="I2444" s="71">
        <f>IF($N2444&lt;&gt;"OK","",$D2444*$H2444)</f>
        <v/>
      </c>
      <c r="J2444" s="71">
        <f>IF($N2444&lt;&gt;"OK","",N(INDEX('Menu Pricing'!$F$7:$F$56,$O2444))+N(INDEX('Menu Pricing'!$G$7:$G$56,$O2444))+N(INDEX('Menu Pricing'!$J$7:$J$56,$O2444)))</f>
        <v/>
      </c>
      <c r="K2444" s="71">
        <f>IF($N2444&lt;&gt;"OK","",$D2444*$J2444)</f>
        <v/>
      </c>
      <c r="L2444" s="71">
        <f>IF($N2444&lt;&gt;"OK","",$I2444-$K2444)</f>
        <v/>
      </c>
      <c r="M2444" s="71">
        <f>IF($N2444&lt;&gt;"OK","",$D2444*N(INDEX('Menu Pricing'!$F$7:$F$56,$O2444)))</f>
        <v/>
      </c>
      <c r="N2444" s="80">
        <f>IF(AND($B2444="",$C2444="",$D2444=""),"",IF(NOT(ISNUMBER($B2444)),"Enter a valid date",IF($C2444="","Pick a menu item",IF($O2444="","Item not on Menu Pricing",IF(N($D2444)&lt;=0,"Qty must be above 0",IF($H2444="","No price on menu","OK"))))))</f>
        <v/>
      </c>
      <c r="O2444" s="13">
        <f>IF($C2444="","",IFERROR(MATCH($C2444,'Menu Pricing'!$B$7:$B$56,0),""))</f>
        <v/>
      </c>
    </row>
    <row r="2445" ht="17" customHeight="1">
      <c r="B2445" s="66" t="n"/>
      <c r="C2445" s="60" t="n"/>
      <c r="D2445" s="86" t="n"/>
      <c r="E2445" s="63" t="n"/>
      <c r="F2445" s="60" t="n"/>
      <c r="G2445" s="60" t="n"/>
      <c r="H2445" s="71">
        <f>IF(OR($C2445="",$D2445=""),"",IF(ISNUMBER($E2445),$E2445,IF($O2445="","",IF(N(INDEX('Menu Pricing'!$O$7:$O$56,$O2445))&gt;0,INDEX('Menu Pricing'!$O$7:$O$56,$O2445),""))))</f>
        <v/>
      </c>
      <c r="I2445" s="71">
        <f>IF($N2445&lt;&gt;"OK","",$D2445*$H2445)</f>
        <v/>
      </c>
      <c r="J2445" s="71">
        <f>IF($N2445&lt;&gt;"OK","",N(INDEX('Menu Pricing'!$F$7:$F$56,$O2445))+N(INDEX('Menu Pricing'!$G$7:$G$56,$O2445))+N(INDEX('Menu Pricing'!$J$7:$J$56,$O2445)))</f>
        <v/>
      </c>
      <c r="K2445" s="71">
        <f>IF($N2445&lt;&gt;"OK","",$D2445*$J2445)</f>
        <v/>
      </c>
      <c r="L2445" s="71">
        <f>IF($N2445&lt;&gt;"OK","",$I2445-$K2445)</f>
        <v/>
      </c>
      <c r="M2445" s="71">
        <f>IF($N2445&lt;&gt;"OK","",$D2445*N(INDEX('Menu Pricing'!$F$7:$F$56,$O2445)))</f>
        <v/>
      </c>
      <c r="N2445" s="80">
        <f>IF(AND($B2445="",$C2445="",$D2445=""),"",IF(NOT(ISNUMBER($B2445)),"Enter a valid date",IF($C2445="","Pick a menu item",IF($O2445="","Item not on Menu Pricing",IF(N($D2445)&lt;=0,"Qty must be above 0",IF($H2445="","No price on menu","OK"))))))</f>
        <v/>
      </c>
      <c r="O2445" s="13">
        <f>IF($C2445="","",IFERROR(MATCH($C2445,'Menu Pricing'!$B$7:$B$56,0),""))</f>
        <v/>
      </c>
    </row>
    <row r="2446" ht="17" customHeight="1">
      <c r="B2446" s="66" t="n"/>
      <c r="C2446" s="60" t="n"/>
      <c r="D2446" s="86" t="n"/>
      <c r="E2446" s="63" t="n"/>
      <c r="F2446" s="60" t="n"/>
      <c r="G2446" s="60" t="n"/>
      <c r="H2446" s="71">
        <f>IF(OR($C2446="",$D2446=""),"",IF(ISNUMBER($E2446),$E2446,IF($O2446="","",IF(N(INDEX('Menu Pricing'!$O$7:$O$56,$O2446))&gt;0,INDEX('Menu Pricing'!$O$7:$O$56,$O2446),""))))</f>
        <v/>
      </c>
      <c r="I2446" s="71">
        <f>IF($N2446&lt;&gt;"OK","",$D2446*$H2446)</f>
        <v/>
      </c>
      <c r="J2446" s="71">
        <f>IF($N2446&lt;&gt;"OK","",N(INDEX('Menu Pricing'!$F$7:$F$56,$O2446))+N(INDEX('Menu Pricing'!$G$7:$G$56,$O2446))+N(INDEX('Menu Pricing'!$J$7:$J$56,$O2446)))</f>
        <v/>
      </c>
      <c r="K2446" s="71">
        <f>IF($N2446&lt;&gt;"OK","",$D2446*$J2446)</f>
        <v/>
      </c>
      <c r="L2446" s="71">
        <f>IF($N2446&lt;&gt;"OK","",$I2446-$K2446)</f>
        <v/>
      </c>
      <c r="M2446" s="71">
        <f>IF($N2446&lt;&gt;"OK","",$D2446*N(INDEX('Menu Pricing'!$F$7:$F$56,$O2446)))</f>
        <v/>
      </c>
      <c r="N2446" s="80">
        <f>IF(AND($B2446="",$C2446="",$D2446=""),"",IF(NOT(ISNUMBER($B2446)),"Enter a valid date",IF($C2446="","Pick a menu item",IF($O2446="","Item not on Menu Pricing",IF(N($D2446)&lt;=0,"Qty must be above 0",IF($H2446="","No price on menu","OK"))))))</f>
        <v/>
      </c>
      <c r="O2446" s="13">
        <f>IF($C2446="","",IFERROR(MATCH($C2446,'Menu Pricing'!$B$7:$B$56,0),""))</f>
        <v/>
      </c>
    </row>
    <row r="2447" ht="17" customHeight="1">
      <c r="B2447" s="66" t="n"/>
      <c r="C2447" s="60" t="n"/>
      <c r="D2447" s="86" t="n"/>
      <c r="E2447" s="63" t="n"/>
      <c r="F2447" s="60" t="n"/>
      <c r="G2447" s="60" t="n"/>
      <c r="H2447" s="71">
        <f>IF(OR($C2447="",$D2447=""),"",IF(ISNUMBER($E2447),$E2447,IF($O2447="","",IF(N(INDEX('Menu Pricing'!$O$7:$O$56,$O2447))&gt;0,INDEX('Menu Pricing'!$O$7:$O$56,$O2447),""))))</f>
        <v/>
      </c>
      <c r="I2447" s="71">
        <f>IF($N2447&lt;&gt;"OK","",$D2447*$H2447)</f>
        <v/>
      </c>
      <c r="J2447" s="71">
        <f>IF($N2447&lt;&gt;"OK","",N(INDEX('Menu Pricing'!$F$7:$F$56,$O2447))+N(INDEX('Menu Pricing'!$G$7:$G$56,$O2447))+N(INDEX('Menu Pricing'!$J$7:$J$56,$O2447)))</f>
        <v/>
      </c>
      <c r="K2447" s="71">
        <f>IF($N2447&lt;&gt;"OK","",$D2447*$J2447)</f>
        <v/>
      </c>
      <c r="L2447" s="71">
        <f>IF($N2447&lt;&gt;"OK","",$I2447-$K2447)</f>
        <v/>
      </c>
      <c r="M2447" s="71">
        <f>IF($N2447&lt;&gt;"OK","",$D2447*N(INDEX('Menu Pricing'!$F$7:$F$56,$O2447)))</f>
        <v/>
      </c>
      <c r="N2447" s="80">
        <f>IF(AND($B2447="",$C2447="",$D2447=""),"",IF(NOT(ISNUMBER($B2447)),"Enter a valid date",IF($C2447="","Pick a menu item",IF($O2447="","Item not on Menu Pricing",IF(N($D2447)&lt;=0,"Qty must be above 0",IF($H2447="","No price on menu","OK"))))))</f>
        <v/>
      </c>
      <c r="O2447" s="13">
        <f>IF($C2447="","",IFERROR(MATCH($C2447,'Menu Pricing'!$B$7:$B$56,0),""))</f>
        <v/>
      </c>
    </row>
    <row r="2448" ht="17" customHeight="1">
      <c r="B2448" s="66" t="n"/>
      <c r="C2448" s="60" t="n"/>
      <c r="D2448" s="86" t="n"/>
      <c r="E2448" s="63" t="n"/>
      <c r="F2448" s="60" t="n"/>
      <c r="G2448" s="60" t="n"/>
      <c r="H2448" s="71">
        <f>IF(OR($C2448="",$D2448=""),"",IF(ISNUMBER($E2448),$E2448,IF($O2448="","",IF(N(INDEX('Menu Pricing'!$O$7:$O$56,$O2448))&gt;0,INDEX('Menu Pricing'!$O$7:$O$56,$O2448),""))))</f>
        <v/>
      </c>
      <c r="I2448" s="71">
        <f>IF($N2448&lt;&gt;"OK","",$D2448*$H2448)</f>
        <v/>
      </c>
      <c r="J2448" s="71">
        <f>IF($N2448&lt;&gt;"OK","",N(INDEX('Menu Pricing'!$F$7:$F$56,$O2448))+N(INDEX('Menu Pricing'!$G$7:$G$56,$O2448))+N(INDEX('Menu Pricing'!$J$7:$J$56,$O2448)))</f>
        <v/>
      </c>
      <c r="K2448" s="71">
        <f>IF($N2448&lt;&gt;"OK","",$D2448*$J2448)</f>
        <v/>
      </c>
      <c r="L2448" s="71">
        <f>IF($N2448&lt;&gt;"OK","",$I2448-$K2448)</f>
        <v/>
      </c>
      <c r="M2448" s="71">
        <f>IF($N2448&lt;&gt;"OK","",$D2448*N(INDEX('Menu Pricing'!$F$7:$F$56,$O2448)))</f>
        <v/>
      </c>
      <c r="N2448" s="80">
        <f>IF(AND($B2448="",$C2448="",$D2448=""),"",IF(NOT(ISNUMBER($B2448)),"Enter a valid date",IF($C2448="","Pick a menu item",IF($O2448="","Item not on Menu Pricing",IF(N($D2448)&lt;=0,"Qty must be above 0",IF($H2448="","No price on menu","OK"))))))</f>
        <v/>
      </c>
      <c r="O2448" s="13">
        <f>IF($C2448="","",IFERROR(MATCH($C2448,'Menu Pricing'!$B$7:$B$56,0),""))</f>
        <v/>
      </c>
    </row>
    <row r="2449" ht="17" customHeight="1">
      <c r="B2449" s="66" t="n"/>
      <c r="C2449" s="60" t="n"/>
      <c r="D2449" s="86" t="n"/>
      <c r="E2449" s="63" t="n"/>
      <c r="F2449" s="60" t="n"/>
      <c r="G2449" s="60" t="n"/>
      <c r="H2449" s="71">
        <f>IF(OR($C2449="",$D2449=""),"",IF(ISNUMBER($E2449),$E2449,IF($O2449="","",IF(N(INDEX('Menu Pricing'!$O$7:$O$56,$O2449))&gt;0,INDEX('Menu Pricing'!$O$7:$O$56,$O2449),""))))</f>
        <v/>
      </c>
      <c r="I2449" s="71">
        <f>IF($N2449&lt;&gt;"OK","",$D2449*$H2449)</f>
        <v/>
      </c>
      <c r="J2449" s="71">
        <f>IF($N2449&lt;&gt;"OK","",N(INDEX('Menu Pricing'!$F$7:$F$56,$O2449))+N(INDEX('Menu Pricing'!$G$7:$G$56,$O2449))+N(INDEX('Menu Pricing'!$J$7:$J$56,$O2449)))</f>
        <v/>
      </c>
      <c r="K2449" s="71">
        <f>IF($N2449&lt;&gt;"OK","",$D2449*$J2449)</f>
        <v/>
      </c>
      <c r="L2449" s="71">
        <f>IF($N2449&lt;&gt;"OK","",$I2449-$K2449)</f>
        <v/>
      </c>
      <c r="M2449" s="71">
        <f>IF($N2449&lt;&gt;"OK","",$D2449*N(INDEX('Menu Pricing'!$F$7:$F$56,$O2449)))</f>
        <v/>
      </c>
      <c r="N2449" s="80">
        <f>IF(AND($B2449="",$C2449="",$D2449=""),"",IF(NOT(ISNUMBER($B2449)),"Enter a valid date",IF($C2449="","Pick a menu item",IF($O2449="","Item not on Menu Pricing",IF(N($D2449)&lt;=0,"Qty must be above 0",IF($H2449="","No price on menu","OK"))))))</f>
        <v/>
      </c>
      <c r="O2449" s="13">
        <f>IF($C2449="","",IFERROR(MATCH($C2449,'Menu Pricing'!$B$7:$B$56,0),""))</f>
        <v/>
      </c>
    </row>
    <row r="2450" ht="17" customHeight="1">
      <c r="B2450" s="66" t="n"/>
      <c r="C2450" s="60" t="n"/>
      <c r="D2450" s="86" t="n"/>
      <c r="E2450" s="63" t="n"/>
      <c r="F2450" s="60" t="n"/>
      <c r="G2450" s="60" t="n"/>
      <c r="H2450" s="71">
        <f>IF(OR($C2450="",$D2450=""),"",IF(ISNUMBER($E2450),$E2450,IF($O2450="","",IF(N(INDEX('Menu Pricing'!$O$7:$O$56,$O2450))&gt;0,INDEX('Menu Pricing'!$O$7:$O$56,$O2450),""))))</f>
        <v/>
      </c>
      <c r="I2450" s="71">
        <f>IF($N2450&lt;&gt;"OK","",$D2450*$H2450)</f>
        <v/>
      </c>
      <c r="J2450" s="71">
        <f>IF($N2450&lt;&gt;"OK","",N(INDEX('Menu Pricing'!$F$7:$F$56,$O2450))+N(INDEX('Menu Pricing'!$G$7:$G$56,$O2450))+N(INDEX('Menu Pricing'!$J$7:$J$56,$O2450)))</f>
        <v/>
      </c>
      <c r="K2450" s="71">
        <f>IF($N2450&lt;&gt;"OK","",$D2450*$J2450)</f>
        <v/>
      </c>
      <c r="L2450" s="71">
        <f>IF($N2450&lt;&gt;"OK","",$I2450-$K2450)</f>
        <v/>
      </c>
      <c r="M2450" s="71">
        <f>IF($N2450&lt;&gt;"OK","",$D2450*N(INDEX('Menu Pricing'!$F$7:$F$56,$O2450)))</f>
        <v/>
      </c>
      <c r="N2450" s="80">
        <f>IF(AND($B2450="",$C2450="",$D2450=""),"",IF(NOT(ISNUMBER($B2450)),"Enter a valid date",IF($C2450="","Pick a menu item",IF($O2450="","Item not on Menu Pricing",IF(N($D2450)&lt;=0,"Qty must be above 0",IF($H2450="","No price on menu","OK"))))))</f>
        <v/>
      </c>
      <c r="O2450" s="13">
        <f>IF($C2450="","",IFERROR(MATCH($C2450,'Menu Pricing'!$B$7:$B$56,0),""))</f>
        <v/>
      </c>
    </row>
    <row r="2451" ht="17" customHeight="1">
      <c r="B2451" s="66" t="n"/>
      <c r="C2451" s="60" t="n"/>
      <c r="D2451" s="86" t="n"/>
      <c r="E2451" s="63" t="n"/>
      <c r="F2451" s="60" t="n"/>
      <c r="G2451" s="60" t="n"/>
      <c r="H2451" s="71">
        <f>IF(OR($C2451="",$D2451=""),"",IF(ISNUMBER($E2451),$E2451,IF($O2451="","",IF(N(INDEX('Menu Pricing'!$O$7:$O$56,$O2451))&gt;0,INDEX('Menu Pricing'!$O$7:$O$56,$O2451),""))))</f>
        <v/>
      </c>
      <c r="I2451" s="71">
        <f>IF($N2451&lt;&gt;"OK","",$D2451*$H2451)</f>
        <v/>
      </c>
      <c r="J2451" s="71">
        <f>IF($N2451&lt;&gt;"OK","",N(INDEX('Menu Pricing'!$F$7:$F$56,$O2451))+N(INDEX('Menu Pricing'!$G$7:$G$56,$O2451))+N(INDEX('Menu Pricing'!$J$7:$J$56,$O2451)))</f>
        <v/>
      </c>
      <c r="K2451" s="71">
        <f>IF($N2451&lt;&gt;"OK","",$D2451*$J2451)</f>
        <v/>
      </c>
      <c r="L2451" s="71">
        <f>IF($N2451&lt;&gt;"OK","",$I2451-$K2451)</f>
        <v/>
      </c>
      <c r="M2451" s="71">
        <f>IF($N2451&lt;&gt;"OK","",$D2451*N(INDEX('Menu Pricing'!$F$7:$F$56,$O2451)))</f>
        <v/>
      </c>
      <c r="N2451" s="80">
        <f>IF(AND($B2451="",$C2451="",$D2451=""),"",IF(NOT(ISNUMBER($B2451)),"Enter a valid date",IF($C2451="","Pick a menu item",IF($O2451="","Item not on Menu Pricing",IF(N($D2451)&lt;=0,"Qty must be above 0",IF($H2451="","No price on menu","OK"))))))</f>
        <v/>
      </c>
      <c r="O2451" s="13">
        <f>IF($C2451="","",IFERROR(MATCH($C2451,'Menu Pricing'!$B$7:$B$56,0),""))</f>
        <v/>
      </c>
    </row>
    <row r="2452" ht="17" customHeight="1">
      <c r="B2452" s="66" t="n"/>
      <c r="C2452" s="60" t="n"/>
      <c r="D2452" s="86" t="n"/>
      <c r="E2452" s="63" t="n"/>
      <c r="F2452" s="60" t="n"/>
      <c r="G2452" s="60" t="n"/>
      <c r="H2452" s="71">
        <f>IF(OR($C2452="",$D2452=""),"",IF(ISNUMBER($E2452),$E2452,IF($O2452="","",IF(N(INDEX('Menu Pricing'!$O$7:$O$56,$O2452))&gt;0,INDEX('Menu Pricing'!$O$7:$O$56,$O2452),""))))</f>
        <v/>
      </c>
      <c r="I2452" s="71">
        <f>IF($N2452&lt;&gt;"OK","",$D2452*$H2452)</f>
        <v/>
      </c>
      <c r="J2452" s="71">
        <f>IF($N2452&lt;&gt;"OK","",N(INDEX('Menu Pricing'!$F$7:$F$56,$O2452))+N(INDEX('Menu Pricing'!$G$7:$G$56,$O2452))+N(INDEX('Menu Pricing'!$J$7:$J$56,$O2452)))</f>
        <v/>
      </c>
      <c r="K2452" s="71">
        <f>IF($N2452&lt;&gt;"OK","",$D2452*$J2452)</f>
        <v/>
      </c>
      <c r="L2452" s="71">
        <f>IF($N2452&lt;&gt;"OK","",$I2452-$K2452)</f>
        <v/>
      </c>
      <c r="M2452" s="71">
        <f>IF($N2452&lt;&gt;"OK","",$D2452*N(INDEX('Menu Pricing'!$F$7:$F$56,$O2452)))</f>
        <v/>
      </c>
      <c r="N2452" s="80">
        <f>IF(AND($B2452="",$C2452="",$D2452=""),"",IF(NOT(ISNUMBER($B2452)),"Enter a valid date",IF($C2452="","Pick a menu item",IF($O2452="","Item not on Menu Pricing",IF(N($D2452)&lt;=0,"Qty must be above 0",IF($H2452="","No price on menu","OK"))))))</f>
        <v/>
      </c>
      <c r="O2452" s="13">
        <f>IF($C2452="","",IFERROR(MATCH($C2452,'Menu Pricing'!$B$7:$B$56,0),""))</f>
        <v/>
      </c>
    </row>
    <row r="2453" ht="17" customHeight="1">
      <c r="B2453" s="66" t="n"/>
      <c r="C2453" s="60" t="n"/>
      <c r="D2453" s="86" t="n"/>
      <c r="E2453" s="63" t="n"/>
      <c r="F2453" s="60" t="n"/>
      <c r="G2453" s="60" t="n"/>
      <c r="H2453" s="71">
        <f>IF(OR($C2453="",$D2453=""),"",IF(ISNUMBER($E2453),$E2453,IF($O2453="","",IF(N(INDEX('Menu Pricing'!$O$7:$O$56,$O2453))&gt;0,INDEX('Menu Pricing'!$O$7:$O$56,$O2453),""))))</f>
        <v/>
      </c>
      <c r="I2453" s="71">
        <f>IF($N2453&lt;&gt;"OK","",$D2453*$H2453)</f>
        <v/>
      </c>
      <c r="J2453" s="71">
        <f>IF($N2453&lt;&gt;"OK","",N(INDEX('Menu Pricing'!$F$7:$F$56,$O2453))+N(INDEX('Menu Pricing'!$G$7:$G$56,$O2453))+N(INDEX('Menu Pricing'!$J$7:$J$56,$O2453)))</f>
        <v/>
      </c>
      <c r="K2453" s="71">
        <f>IF($N2453&lt;&gt;"OK","",$D2453*$J2453)</f>
        <v/>
      </c>
      <c r="L2453" s="71">
        <f>IF($N2453&lt;&gt;"OK","",$I2453-$K2453)</f>
        <v/>
      </c>
      <c r="M2453" s="71">
        <f>IF($N2453&lt;&gt;"OK","",$D2453*N(INDEX('Menu Pricing'!$F$7:$F$56,$O2453)))</f>
        <v/>
      </c>
      <c r="N2453" s="80">
        <f>IF(AND($B2453="",$C2453="",$D2453=""),"",IF(NOT(ISNUMBER($B2453)),"Enter a valid date",IF($C2453="","Pick a menu item",IF($O2453="","Item not on Menu Pricing",IF(N($D2453)&lt;=0,"Qty must be above 0",IF($H2453="","No price on menu","OK"))))))</f>
        <v/>
      </c>
      <c r="O2453" s="13">
        <f>IF($C2453="","",IFERROR(MATCH($C2453,'Menu Pricing'!$B$7:$B$56,0),""))</f>
        <v/>
      </c>
    </row>
    <row r="2454" ht="17" customHeight="1">
      <c r="B2454" s="66" t="n"/>
      <c r="C2454" s="60" t="n"/>
      <c r="D2454" s="86" t="n"/>
      <c r="E2454" s="63" t="n"/>
      <c r="F2454" s="60" t="n"/>
      <c r="G2454" s="60" t="n"/>
      <c r="H2454" s="71">
        <f>IF(OR($C2454="",$D2454=""),"",IF(ISNUMBER($E2454),$E2454,IF($O2454="","",IF(N(INDEX('Menu Pricing'!$O$7:$O$56,$O2454))&gt;0,INDEX('Menu Pricing'!$O$7:$O$56,$O2454),""))))</f>
        <v/>
      </c>
      <c r="I2454" s="71">
        <f>IF($N2454&lt;&gt;"OK","",$D2454*$H2454)</f>
        <v/>
      </c>
      <c r="J2454" s="71">
        <f>IF($N2454&lt;&gt;"OK","",N(INDEX('Menu Pricing'!$F$7:$F$56,$O2454))+N(INDEX('Menu Pricing'!$G$7:$G$56,$O2454))+N(INDEX('Menu Pricing'!$J$7:$J$56,$O2454)))</f>
        <v/>
      </c>
      <c r="K2454" s="71">
        <f>IF($N2454&lt;&gt;"OK","",$D2454*$J2454)</f>
        <v/>
      </c>
      <c r="L2454" s="71">
        <f>IF($N2454&lt;&gt;"OK","",$I2454-$K2454)</f>
        <v/>
      </c>
      <c r="M2454" s="71">
        <f>IF($N2454&lt;&gt;"OK","",$D2454*N(INDEX('Menu Pricing'!$F$7:$F$56,$O2454)))</f>
        <v/>
      </c>
      <c r="N2454" s="80">
        <f>IF(AND($B2454="",$C2454="",$D2454=""),"",IF(NOT(ISNUMBER($B2454)),"Enter a valid date",IF($C2454="","Pick a menu item",IF($O2454="","Item not on Menu Pricing",IF(N($D2454)&lt;=0,"Qty must be above 0",IF($H2454="","No price on menu","OK"))))))</f>
        <v/>
      </c>
      <c r="O2454" s="13">
        <f>IF($C2454="","",IFERROR(MATCH($C2454,'Menu Pricing'!$B$7:$B$56,0),""))</f>
        <v/>
      </c>
    </row>
    <row r="2455" ht="17" customHeight="1">
      <c r="B2455" s="66" t="n"/>
      <c r="C2455" s="60" t="n"/>
      <c r="D2455" s="86" t="n"/>
      <c r="E2455" s="63" t="n"/>
      <c r="F2455" s="60" t="n"/>
      <c r="G2455" s="60" t="n"/>
      <c r="H2455" s="71">
        <f>IF(OR($C2455="",$D2455=""),"",IF(ISNUMBER($E2455),$E2455,IF($O2455="","",IF(N(INDEX('Menu Pricing'!$O$7:$O$56,$O2455))&gt;0,INDEX('Menu Pricing'!$O$7:$O$56,$O2455),""))))</f>
        <v/>
      </c>
      <c r="I2455" s="71">
        <f>IF($N2455&lt;&gt;"OK","",$D2455*$H2455)</f>
        <v/>
      </c>
      <c r="J2455" s="71">
        <f>IF($N2455&lt;&gt;"OK","",N(INDEX('Menu Pricing'!$F$7:$F$56,$O2455))+N(INDEX('Menu Pricing'!$G$7:$G$56,$O2455))+N(INDEX('Menu Pricing'!$J$7:$J$56,$O2455)))</f>
        <v/>
      </c>
      <c r="K2455" s="71">
        <f>IF($N2455&lt;&gt;"OK","",$D2455*$J2455)</f>
        <v/>
      </c>
      <c r="L2455" s="71">
        <f>IF($N2455&lt;&gt;"OK","",$I2455-$K2455)</f>
        <v/>
      </c>
      <c r="M2455" s="71">
        <f>IF($N2455&lt;&gt;"OK","",$D2455*N(INDEX('Menu Pricing'!$F$7:$F$56,$O2455)))</f>
        <v/>
      </c>
      <c r="N2455" s="80">
        <f>IF(AND($B2455="",$C2455="",$D2455=""),"",IF(NOT(ISNUMBER($B2455)),"Enter a valid date",IF($C2455="","Pick a menu item",IF($O2455="","Item not on Menu Pricing",IF(N($D2455)&lt;=0,"Qty must be above 0",IF($H2455="","No price on menu","OK"))))))</f>
        <v/>
      </c>
      <c r="O2455" s="13">
        <f>IF($C2455="","",IFERROR(MATCH($C2455,'Menu Pricing'!$B$7:$B$56,0),""))</f>
        <v/>
      </c>
    </row>
    <row r="2456" ht="17" customHeight="1">
      <c r="B2456" s="66" t="n"/>
      <c r="C2456" s="60" t="n"/>
      <c r="D2456" s="86" t="n"/>
      <c r="E2456" s="63" t="n"/>
      <c r="F2456" s="60" t="n"/>
      <c r="G2456" s="60" t="n"/>
      <c r="H2456" s="71">
        <f>IF(OR($C2456="",$D2456=""),"",IF(ISNUMBER($E2456),$E2456,IF($O2456="","",IF(N(INDEX('Menu Pricing'!$O$7:$O$56,$O2456))&gt;0,INDEX('Menu Pricing'!$O$7:$O$56,$O2456),""))))</f>
        <v/>
      </c>
      <c r="I2456" s="71">
        <f>IF($N2456&lt;&gt;"OK","",$D2456*$H2456)</f>
        <v/>
      </c>
      <c r="J2456" s="71">
        <f>IF($N2456&lt;&gt;"OK","",N(INDEX('Menu Pricing'!$F$7:$F$56,$O2456))+N(INDEX('Menu Pricing'!$G$7:$G$56,$O2456))+N(INDEX('Menu Pricing'!$J$7:$J$56,$O2456)))</f>
        <v/>
      </c>
      <c r="K2456" s="71">
        <f>IF($N2456&lt;&gt;"OK","",$D2456*$J2456)</f>
        <v/>
      </c>
      <c r="L2456" s="71">
        <f>IF($N2456&lt;&gt;"OK","",$I2456-$K2456)</f>
        <v/>
      </c>
      <c r="M2456" s="71">
        <f>IF($N2456&lt;&gt;"OK","",$D2456*N(INDEX('Menu Pricing'!$F$7:$F$56,$O2456)))</f>
        <v/>
      </c>
      <c r="N2456" s="80">
        <f>IF(AND($B2456="",$C2456="",$D2456=""),"",IF(NOT(ISNUMBER($B2456)),"Enter a valid date",IF($C2456="","Pick a menu item",IF($O2456="","Item not on Menu Pricing",IF(N($D2456)&lt;=0,"Qty must be above 0",IF($H2456="","No price on menu","OK"))))))</f>
        <v/>
      </c>
      <c r="O2456" s="13">
        <f>IF($C2456="","",IFERROR(MATCH($C2456,'Menu Pricing'!$B$7:$B$56,0),""))</f>
        <v/>
      </c>
    </row>
    <row r="2457" ht="17" customHeight="1">
      <c r="B2457" s="66" t="n"/>
      <c r="C2457" s="60" t="n"/>
      <c r="D2457" s="86" t="n"/>
      <c r="E2457" s="63" t="n"/>
      <c r="F2457" s="60" t="n"/>
      <c r="G2457" s="60" t="n"/>
      <c r="H2457" s="71">
        <f>IF(OR($C2457="",$D2457=""),"",IF(ISNUMBER($E2457),$E2457,IF($O2457="","",IF(N(INDEX('Menu Pricing'!$O$7:$O$56,$O2457))&gt;0,INDEX('Menu Pricing'!$O$7:$O$56,$O2457),""))))</f>
        <v/>
      </c>
      <c r="I2457" s="71">
        <f>IF($N2457&lt;&gt;"OK","",$D2457*$H2457)</f>
        <v/>
      </c>
      <c r="J2457" s="71">
        <f>IF($N2457&lt;&gt;"OK","",N(INDEX('Menu Pricing'!$F$7:$F$56,$O2457))+N(INDEX('Menu Pricing'!$G$7:$G$56,$O2457))+N(INDEX('Menu Pricing'!$J$7:$J$56,$O2457)))</f>
        <v/>
      </c>
      <c r="K2457" s="71">
        <f>IF($N2457&lt;&gt;"OK","",$D2457*$J2457)</f>
        <v/>
      </c>
      <c r="L2457" s="71">
        <f>IF($N2457&lt;&gt;"OK","",$I2457-$K2457)</f>
        <v/>
      </c>
      <c r="M2457" s="71">
        <f>IF($N2457&lt;&gt;"OK","",$D2457*N(INDEX('Menu Pricing'!$F$7:$F$56,$O2457)))</f>
        <v/>
      </c>
      <c r="N2457" s="80">
        <f>IF(AND($B2457="",$C2457="",$D2457=""),"",IF(NOT(ISNUMBER($B2457)),"Enter a valid date",IF($C2457="","Pick a menu item",IF($O2457="","Item not on Menu Pricing",IF(N($D2457)&lt;=0,"Qty must be above 0",IF($H2457="","No price on menu","OK"))))))</f>
        <v/>
      </c>
      <c r="O2457" s="13">
        <f>IF($C2457="","",IFERROR(MATCH($C2457,'Menu Pricing'!$B$7:$B$56,0),""))</f>
        <v/>
      </c>
    </row>
    <row r="2458" ht="17" customHeight="1">
      <c r="B2458" s="66" t="n"/>
      <c r="C2458" s="60" t="n"/>
      <c r="D2458" s="86" t="n"/>
      <c r="E2458" s="63" t="n"/>
      <c r="F2458" s="60" t="n"/>
      <c r="G2458" s="60" t="n"/>
      <c r="H2458" s="71">
        <f>IF(OR($C2458="",$D2458=""),"",IF(ISNUMBER($E2458),$E2458,IF($O2458="","",IF(N(INDEX('Menu Pricing'!$O$7:$O$56,$O2458))&gt;0,INDEX('Menu Pricing'!$O$7:$O$56,$O2458),""))))</f>
        <v/>
      </c>
      <c r="I2458" s="71">
        <f>IF($N2458&lt;&gt;"OK","",$D2458*$H2458)</f>
        <v/>
      </c>
      <c r="J2458" s="71">
        <f>IF($N2458&lt;&gt;"OK","",N(INDEX('Menu Pricing'!$F$7:$F$56,$O2458))+N(INDEX('Menu Pricing'!$G$7:$G$56,$O2458))+N(INDEX('Menu Pricing'!$J$7:$J$56,$O2458)))</f>
        <v/>
      </c>
      <c r="K2458" s="71">
        <f>IF($N2458&lt;&gt;"OK","",$D2458*$J2458)</f>
        <v/>
      </c>
      <c r="L2458" s="71">
        <f>IF($N2458&lt;&gt;"OK","",$I2458-$K2458)</f>
        <v/>
      </c>
      <c r="M2458" s="71">
        <f>IF($N2458&lt;&gt;"OK","",$D2458*N(INDEX('Menu Pricing'!$F$7:$F$56,$O2458)))</f>
        <v/>
      </c>
      <c r="N2458" s="80">
        <f>IF(AND($B2458="",$C2458="",$D2458=""),"",IF(NOT(ISNUMBER($B2458)),"Enter a valid date",IF($C2458="","Pick a menu item",IF($O2458="","Item not on Menu Pricing",IF(N($D2458)&lt;=0,"Qty must be above 0",IF($H2458="","No price on menu","OK"))))))</f>
        <v/>
      </c>
      <c r="O2458" s="13">
        <f>IF($C2458="","",IFERROR(MATCH($C2458,'Menu Pricing'!$B$7:$B$56,0),""))</f>
        <v/>
      </c>
    </row>
    <row r="2459" ht="17" customHeight="1">
      <c r="B2459" s="66" t="n"/>
      <c r="C2459" s="60" t="n"/>
      <c r="D2459" s="86" t="n"/>
      <c r="E2459" s="63" t="n"/>
      <c r="F2459" s="60" t="n"/>
      <c r="G2459" s="60" t="n"/>
      <c r="H2459" s="71">
        <f>IF(OR($C2459="",$D2459=""),"",IF(ISNUMBER($E2459),$E2459,IF($O2459="","",IF(N(INDEX('Menu Pricing'!$O$7:$O$56,$O2459))&gt;0,INDEX('Menu Pricing'!$O$7:$O$56,$O2459),""))))</f>
        <v/>
      </c>
      <c r="I2459" s="71">
        <f>IF($N2459&lt;&gt;"OK","",$D2459*$H2459)</f>
        <v/>
      </c>
      <c r="J2459" s="71">
        <f>IF($N2459&lt;&gt;"OK","",N(INDEX('Menu Pricing'!$F$7:$F$56,$O2459))+N(INDEX('Menu Pricing'!$G$7:$G$56,$O2459))+N(INDEX('Menu Pricing'!$J$7:$J$56,$O2459)))</f>
        <v/>
      </c>
      <c r="K2459" s="71">
        <f>IF($N2459&lt;&gt;"OK","",$D2459*$J2459)</f>
        <v/>
      </c>
      <c r="L2459" s="71">
        <f>IF($N2459&lt;&gt;"OK","",$I2459-$K2459)</f>
        <v/>
      </c>
      <c r="M2459" s="71">
        <f>IF($N2459&lt;&gt;"OK","",$D2459*N(INDEX('Menu Pricing'!$F$7:$F$56,$O2459)))</f>
        <v/>
      </c>
      <c r="N2459" s="80">
        <f>IF(AND($B2459="",$C2459="",$D2459=""),"",IF(NOT(ISNUMBER($B2459)),"Enter a valid date",IF($C2459="","Pick a menu item",IF($O2459="","Item not on Menu Pricing",IF(N($D2459)&lt;=0,"Qty must be above 0",IF($H2459="","No price on menu","OK"))))))</f>
        <v/>
      </c>
      <c r="O2459" s="13">
        <f>IF($C2459="","",IFERROR(MATCH($C2459,'Menu Pricing'!$B$7:$B$56,0),""))</f>
        <v/>
      </c>
    </row>
    <row r="2460" ht="17" customHeight="1">
      <c r="B2460" s="66" t="n"/>
      <c r="C2460" s="60" t="n"/>
      <c r="D2460" s="86" t="n"/>
      <c r="E2460" s="63" t="n"/>
      <c r="F2460" s="60" t="n"/>
      <c r="G2460" s="60" t="n"/>
      <c r="H2460" s="71">
        <f>IF(OR($C2460="",$D2460=""),"",IF(ISNUMBER($E2460),$E2460,IF($O2460="","",IF(N(INDEX('Menu Pricing'!$O$7:$O$56,$O2460))&gt;0,INDEX('Menu Pricing'!$O$7:$O$56,$O2460),""))))</f>
        <v/>
      </c>
      <c r="I2460" s="71">
        <f>IF($N2460&lt;&gt;"OK","",$D2460*$H2460)</f>
        <v/>
      </c>
      <c r="J2460" s="71">
        <f>IF($N2460&lt;&gt;"OK","",N(INDEX('Menu Pricing'!$F$7:$F$56,$O2460))+N(INDEX('Menu Pricing'!$G$7:$G$56,$O2460))+N(INDEX('Menu Pricing'!$J$7:$J$56,$O2460)))</f>
        <v/>
      </c>
      <c r="K2460" s="71">
        <f>IF($N2460&lt;&gt;"OK","",$D2460*$J2460)</f>
        <v/>
      </c>
      <c r="L2460" s="71">
        <f>IF($N2460&lt;&gt;"OK","",$I2460-$K2460)</f>
        <v/>
      </c>
      <c r="M2460" s="71">
        <f>IF($N2460&lt;&gt;"OK","",$D2460*N(INDEX('Menu Pricing'!$F$7:$F$56,$O2460)))</f>
        <v/>
      </c>
      <c r="N2460" s="80">
        <f>IF(AND($B2460="",$C2460="",$D2460=""),"",IF(NOT(ISNUMBER($B2460)),"Enter a valid date",IF($C2460="","Pick a menu item",IF($O2460="","Item not on Menu Pricing",IF(N($D2460)&lt;=0,"Qty must be above 0",IF($H2460="","No price on menu","OK"))))))</f>
        <v/>
      </c>
      <c r="O2460" s="13">
        <f>IF($C2460="","",IFERROR(MATCH($C2460,'Menu Pricing'!$B$7:$B$56,0),""))</f>
        <v/>
      </c>
    </row>
    <row r="2461" ht="17" customHeight="1">
      <c r="B2461" s="66" t="n"/>
      <c r="C2461" s="60" t="n"/>
      <c r="D2461" s="86" t="n"/>
      <c r="E2461" s="63" t="n"/>
      <c r="F2461" s="60" t="n"/>
      <c r="G2461" s="60" t="n"/>
      <c r="H2461" s="71">
        <f>IF(OR($C2461="",$D2461=""),"",IF(ISNUMBER($E2461),$E2461,IF($O2461="","",IF(N(INDEX('Menu Pricing'!$O$7:$O$56,$O2461))&gt;0,INDEX('Menu Pricing'!$O$7:$O$56,$O2461),""))))</f>
        <v/>
      </c>
      <c r="I2461" s="71">
        <f>IF($N2461&lt;&gt;"OK","",$D2461*$H2461)</f>
        <v/>
      </c>
      <c r="J2461" s="71">
        <f>IF($N2461&lt;&gt;"OK","",N(INDEX('Menu Pricing'!$F$7:$F$56,$O2461))+N(INDEX('Menu Pricing'!$G$7:$G$56,$O2461))+N(INDEX('Menu Pricing'!$J$7:$J$56,$O2461)))</f>
        <v/>
      </c>
      <c r="K2461" s="71">
        <f>IF($N2461&lt;&gt;"OK","",$D2461*$J2461)</f>
        <v/>
      </c>
      <c r="L2461" s="71">
        <f>IF($N2461&lt;&gt;"OK","",$I2461-$K2461)</f>
        <v/>
      </c>
      <c r="M2461" s="71">
        <f>IF($N2461&lt;&gt;"OK","",$D2461*N(INDEX('Menu Pricing'!$F$7:$F$56,$O2461)))</f>
        <v/>
      </c>
      <c r="N2461" s="80">
        <f>IF(AND($B2461="",$C2461="",$D2461=""),"",IF(NOT(ISNUMBER($B2461)),"Enter a valid date",IF($C2461="","Pick a menu item",IF($O2461="","Item not on Menu Pricing",IF(N($D2461)&lt;=0,"Qty must be above 0",IF($H2461="","No price on menu","OK"))))))</f>
        <v/>
      </c>
      <c r="O2461" s="13">
        <f>IF($C2461="","",IFERROR(MATCH($C2461,'Menu Pricing'!$B$7:$B$56,0),""))</f>
        <v/>
      </c>
    </row>
    <row r="2462" ht="17" customHeight="1">
      <c r="B2462" s="66" t="n"/>
      <c r="C2462" s="60" t="n"/>
      <c r="D2462" s="86" t="n"/>
      <c r="E2462" s="63" t="n"/>
      <c r="F2462" s="60" t="n"/>
      <c r="G2462" s="60" t="n"/>
      <c r="H2462" s="71">
        <f>IF(OR($C2462="",$D2462=""),"",IF(ISNUMBER($E2462),$E2462,IF($O2462="","",IF(N(INDEX('Menu Pricing'!$O$7:$O$56,$O2462))&gt;0,INDEX('Menu Pricing'!$O$7:$O$56,$O2462),""))))</f>
        <v/>
      </c>
      <c r="I2462" s="71">
        <f>IF($N2462&lt;&gt;"OK","",$D2462*$H2462)</f>
        <v/>
      </c>
      <c r="J2462" s="71">
        <f>IF($N2462&lt;&gt;"OK","",N(INDEX('Menu Pricing'!$F$7:$F$56,$O2462))+N(INDEX('Menu Pricing'!$G$7:$G$56,$O2462))+N(INDEX('Menu Pricing'!$J$7:$J$56,$O2462)))</f>
        <v/>
      </c>
      <c r="K2462" s="71">
        <f>IF($N2462&lt;&gt;"OK","",$D2462*$J2462)</f>
        <v/>
      </c>
      <c r="L2462" s="71">
        <f>IF($N2462&lt;&gt;"OK","",$I2462-$K2462)</f>
        <v/>
      </c>
      <c r="M2462" s="71">
        <f>IF($N2462&lt;&gt;"OK","",$D2462*N(INDEX('Menu Pricing'!$F$7:$F$56,$O2462)))</f>
        <v/>
      </c>
      <c r="N2462" s="80">
        <f>IF(AND($B2462="",$C2462="",$D2462=""),"",IF(NOT(ISNUMBER($B2462)),"Enter a valid date",IF($C2462="","Pick a menu item",IF($O2462="","Item not on Menu Pricing",IF(N($D2462)&lt;=0,"Qty must be above 0",IF($H2462="","No price on menu","OK"))))))</f>
        <v/>
      </c>
      <c r="O2462" s="13">
        <f>IF($C2462="","",IFERROR(MATCH($C2462,'Menu Pricing'!$B$7:$B$56,0),""))</f>
        <v/>
      </c>
    </row>
    <row r="2463" ht="17" customHeight="1">
      <c r="B2463" s="66" t="n"/>
      <c r="C2463" s="60" t="n"/>
      <c r="D2463" s="86" t="n"/>
      <c r="E2463" s="63" t="n"/>
      <c r="F2463" s="60" t="n"/>
      <c r="G2463" s="60" t="n"/>
      <c r="H2463" s="71">
        <f>IF(OR($C2463="",$D2463=""),"",IF(ISNUMBER($E2463),$E2463,IF($O2463="","",IF(N(INDEX('Menu Pricing'!$O$7:$O$56,$O2463))&gt;0,INDEX('Menu Pricing'!$O$7:$O$56,$O2463),""))))</f>
        <v/>
      </c>
      <c r="I2463" s="71">
        <f>IF($N2463&lt;&gt;"OK","",$D2463*$H2463)</f>
        <v/>
      </c>
      <c r="J2463" s="71">
        <f>IF($N2463&lt;&gt;"OK","",N(INDEX('Menu Pricing'!$F$7:$F$56,$O2463))+N(INDEX('Menu Pricing'!$G$7:$G$56,$O2463))+N(INDEX('Menu Pricing'!$J$7:$J$56,$O2463)))</f>
        <v/>
      </c>
      <c r="K2463" s="71">
        <f>IF($N2463&lt;&gt;"OK","",$D2463*$J2463)</f>
        <v/>
      </c>
      <c r="L2463" s="71">
        <f>IF($N2463&lt;&gt;"OK","",$I2463-$K2463)</f>
        <v/>
      </c>
      <c r="M2463" s="71">
        <f>IF($N2463&lt;&gt;"OK","",$D2463*N(INDEX('Menu Pricing'!$F$7:$F$56,$O2463)))</f>
        <v/>
      </c>
      <c r="N2463" s="80">
        <f>IF(AND($B2463="",$C2463="",$D2463=""),"",IF(NOT(ISNUMBER($B2463)),"Enter a valid date",IF($C2463="","Pick a menu item",IF($O2463="","Item not on Menu Pricing",IF(N($D2463)&lt;=0,"Qty must be above 0",IF($H2463="","No price on menu","OK"))))))</f>
        <v/>
      </c>
      <c r="O2463" s="13">
        <f>IF($C2463="","",IFERROR(MATCH($C2463,'Menu Pricing'!$B$7:$B$56,0),""))</f>
        <v/>
      </c>
    </row>
    <row r="2464" ht="17" customHeight="1">
      <c r="B2464" s="66" t="n"/>
      <c r="C2464" s="60" t="n"/>
      <c r="D2464" s="86" t="n"/>
      <c r="E2464" s="63" t="n"/>
      <c r="F2464" s="60" t="n"/>
      <c r="G2464" s="60" t="n"/>
      <c r="H2464" s="71">
        <f>IF(OR($C2464="",$D2464=""),"",IF(ISNUMBER($E2464),$E2464,IF($O2464="","",IF(N(INDEX('Menu Pricing'!$O$7:$O$56,$O2464))&gt;0,INDEX('Menu Pricing'!$O$7:$O$56,$O2464),""))))</f>
        <v/>
      </c>
      <c r="I2464" s="71">
        <f>IF($N2464&lt;&gt;"OK","",$D2464*$H2464)</f>
        <v/>
      </c>
      <c r="J2464" s="71">
        <f>IF($N2464&lt;&gt;"OK","",N(INDEX('Menu Pricing'!$F$7:$F$56,$O2464))+N(INDEX('Menu Pricing'!$G$7:$G$56,$O2464))+N(INDEX('Menu Pricing'!$J$7:$J$56,$O2464)))</f>
        <v/>
      </c>
      <c r="K2464" s="71">
        <f>IF($N2464&lt;&gt;"OK","",$D2464*$J2464)</f>
        <v/>
      </c>
      <c r="L2464" s="71">
        <f>IF($N2464&lt;&gt;"OK","",$I2464-$K2464)</f>
        <v/>
      </c>
      <c r="M2464" s="71">
        <f>IF($N2464&lt;&gt;"OK","",$D2464*N(INDEX('Menu Pricing'!$F$7:$F$56,$O2464)))</f>
        <v/>
      </c>
      <c r="N2464" s="80">
        <f>IF(AND($B2464="",$C2464="",$D2464=""),"",IF(NOT(ISNUMBER($B2464)),"Enter a valid date",IF($C2464="","Pick a menu item",IF($O2464="","Item not on Menu Pricing",IF(N($D2464)&lt;=0,"Qty must be above 0",IF($H2464="","No price on menu","OK"))))))</f>
        <v/>
      </c>
      <c r="O2464" s="13">
        <f>IF($C2464="","",IFERROR(MATCH($C2464,'Menu Pricing'!$B$7:$B$56,0),""))</f>
        <v/>
      </c>
    </row>
    <row r="2465" ht="17" customHeight="1">
      <c r="B2465" s="66" t="n"/>
      <c r="C2465" s="60" t="n"/>
      <c r="D2465" s="86" t="n"/>
      <c r="E2465" s="63" t="n"/>
      <c r="F2465" s="60" t="n"/>
      <c r="G2465" s="60" t="n"/>
      <c r="H2465" s="71">
        <f>IF(OR($C2465="",$D2465=""),"",IF(ISNUMBER($E2465),$E2465,IF($O2465="","",IF(N(INDEX('Menu Pricing'!$O$7:$O$56,$O2465))&gt;0,INDEX('Menu Pricing'!$O$7:$O$56,$O2465),""))))</f>
        <v/>
      </c>
      <c r="I2465" s="71">
        <f>IF($N2465&lt;&gt;"OK","",$D2465*$H2465)</f>
        <v/>
      </c>
      <c r="J2465" s="71">
        <f>IF($N2465&lt;&gt;"OK","",N(INDEX('Menu Pricing'!$F$7:$F$56,$O2465))+N(INDEX('Menu Pricing'!$G$7:$G$56,$O2465))+N(INDEX('Menu Pricing'!$J$7:$J$56,$O2465)))</f>
        <v/>
      </c>
      <c r="K2465" s="71">
        <f>IF($N2465&lt;&gt;"OK","",$D2465*$J2465)</f>
        <v/>
      </c>
      <c r="L2465" s="71">
        <f>IF($N2465&lt;&gt;"OK","",$I2465-$K2465)</f>
        <v/>
      </c>
      <c r="M2465" s="71">
        <f>IF($N2465&lt;&gt;"OK","",$D2465*N(INDEX('Menu Pricing'!$F$7:$F$56,$O2465)))</f>
        <v/>
      </c>
      <c r="N2465" s="80">
        <f>IF(AND($B2465="",$C2465="",$D2465=""),"",IF(NOT(ISNUMBER($B2465)),"Enter a valid date",IF($C2465="","Pick a menu item",IF($O2465="","Item not on Menu Pricing",IF(N($D2465)&lt;=0,"Qty must be above 0",IF($H2465="","No price on menu","OK"))))))</f>
        <v/>
      </c>
      <c r="O2465" s="13">
        <f>IF($C2465="","",IFERROR(MATCH($C2465,'Menu Pricing'!$B$7:$B$56,0),""))</f>
        <v/>
      </c>
    </row>
    <row r="2466" ht="17" customHeight="1">
      <c r="B2466" s="66" t="n"/>
      <c r="C2466" s="60" t="n"/>
      <c r="D2466" s="86" t="n"/>
      <c r="E2466" s="63" t="n"/>
      <c r="F2466" s="60" t="n"/>
      <c r="G2466" s="60" t="n"/>
      <c r="H2466" s="71">
        <f>IF(OR($C2466="",$D2466=""),"",IF(ISNUMBER($E2466),$E2466,IF($O2466="","",IF(N(INDEX('Menu Pricing'!$O$7:$O$56,$O2466))&gt;0,INDEX('Menu Pricing'!$O$7:$O$56,$O2466),""))))</f>
        <v/>
      </c>
      <c r="I2466" s="71">
        <f>IF($N2466&lt;&gt;"OK","",$D2466*$H2466)</f>
        <v/>
      </c>
      <c r="J2466" s="71">
        <f>IF($N2466&lt;&gt;"OK","",N(INDEX('Menu Pricing'!$F$7:$F$56,$O2466))+N(INDEX('Menu Pricing'!$G$7:$G$56,$O2466))+N(INDEX('Menu Pricing'!$J$7:$J$56,$O2466)))</f>
        <v/>
      </c>
      <c r="K2466" s="71">
        <f>IF($N2466&lt;&gt;"OK","",$D2466*$J2466)</f>
        <v/>
      </c>
      <c r="L2466" s="71">
        <f>IF($N2466&lt;&gt;"OK","",$I2466-$K2466)</f>
        <v/>
      </c>
      <c r="M2466" s="71">
        <f>IF($N2466&lt;&gt;"OK","",$D2466*N(INDEX('Menu Pricing'!$F$7:$F$56,$O2466)))</f>
        <v/>
      </c>
      <c r="N2466" s="80">
        <f>IF(AND($B2466="",$C2466="",$D2466=""),"",IF(NOT(ISNUMBER($B2466)),"Enter a valid date",IF($C2466="","Pick a menu item",IF($O2466="","Item not on Menu Pricing",IF(N($D2466)&lt;=0,"Qty must be above 0",IF($H2466="","No price on menu","OK"))))))</f>
        <v/>
      </c>
      <c r="O2466" s="13">
        <f>IF($C2466="","",IFERROR(MATCH($C2466,'Menu Pricing'!$B$7:$B$56,0),""))</f>
        <v/>
      </c>
    </row>
    <row r="2467" ht="17" customHeight="1">
      <c r="B2467" s="66" t="n"/>
      <c r="C2467" s="60" t="n"/>
      <c r="D2467" s="86" t="n"/>
      <c r="E2467" s="63" t="n"/>
      <c r="F2467" s="60" t="n"/>
      <c r="G2467" s="60" t="n"/>
      <c r="H2467" s="71">
        <f>IF(OR($C2467="",$D2467=""),"",IF(ISNUMBER($E2467),$E2467,IF($O2467="","",IF(N(INDEX('Menu Pricing'!$O$7:$O$56,$O2467))&gt;0,INDEX('Menu Pricing'!$O$7:$O$56,$O2467),""))))</f>
        <v/>
      </c>
      <c r="I2467" s="71">
        <f>IF($N2467&lt;&gt;"OK","",$D2467*$H2467)</f>
        <v/>
      </c>
      <c r="J2467" s="71">
        <f>IF($N2467&lt;&gt;"OK","",N(INDEX('Menu Pricing'!$F$7:$F$56,$O2467))+N(INDEX('Menu Pricing'!$G$7:$G$56,$O2467))+N(INDEX('Menu Pricing'!$J$7:$J$56,$O2467)))</f>
        <v/>
      </c>
      <c r="K2467" s="71">
        <f>IF($N2467&lt;&gt;"OK","",$D2467*$J2467)</f>
        <v/>
      </c>
      <c r="L2467" s="71">
        <f>IF($N2467&lt;&gt;"OK","",$I2467-$K2467)</f>
        <v/>
      </c>
      <c r="M2467" s="71">
        <f>IF($N2467&lt;&gt;"OK","",$D2467*N(INDEX('Menu Pricing'!$F$7:$F$56,$O2467)))</f>
        <v/>
      </c>
      <c r="N2467" s="80">
        <f>IF(AND($B2467="",$C2467="",$D2467=""),"",IF(NOT(ISNUMBER($B2467)),"Enter a valid date",IF($C2467="","Pick a menu item",IF($O2467="","Item not on Menu Pricing",IF(N($D2467)&lt;=0,"Qty must be above 0",IF($H2467="","No price on menu","OK"))))))</f>
        <v/>
      </c>
      <c r="O2467" s="13">
        <f>IF($C2467="","",IFERROR(MATCH($C2467,'Menu Pricing'!$B$7:$B$56,0),""))</f>
        <v/>
      </c>
    </row>
    <row r="2468" ht="17" customHeight="1">
      <c r="B2468" s="66" t="n"/>
      <c r="C2468" s="60" t="n"/>
      <c r="D2468" s="86" t="n"/>
      <c r="E2468" s="63" t="n"/>
      <c r="F2468" s="60" t="n"/>
      <c r="G2468" s="60" t="n"/>
      <c r="H2468" s="71">
        <f>IF(OR($C2468="",$D2468=""),"",IF(ISNUMBER($E2468),$E2468,IF($O2468="","",IF(N(INDEX('Menu Pricing'!$O$7:$O$56,$O2468))&gt;0,INDEX('Menu Pricing'!$O$7:$O$56,$O2468),""))))</f>
        <v/>
      </c>
      <c r="I2468" s="71">
        <f>IF($N2468&lt;&gt;"OK","",$D2468*$H2468)</f>
        <v/>
      </c>
      <c r="J2468" s="71">
        <f>IF($N2468&lt;&gt;"OK","",N(INDEX('Menu Pricing'!$F$7:$F$56,$O2468))+N(INDEX('Menu Pricing'!$G$7:$G$56,$O2468))+N(INDEX('Menu Pricing'!$J$7:$J$56,$O2468)))</f>
        <v/>
      </c>
      <c r="K2468" s="71">
        <f>IF($N2468&lt;&gt;"OK","",$D2468*$J2468)</f>
        <v/>
      </c>
      <c r="L2468" s="71">
        <f>IF($N2468&lt;&gt;"OK","",$I2468-$K2468)</f>
        <v/>
      </c>
      <c r="M2468" s="71">
        <f>IF($N2468&lt;&gt;"OK","",$D2468*N(INDEX('Menu Pricing'!$F$7:$F$56,$O2468)))</f>
        <v/>
      </c>
      <c r="N2468" s="80">
        <f>IF(AND($B2468="",$C2468="",$D2468=""),"",IF(NOT(ISNUMBER($B2468)),"Enter a valid date",IF($C2468="","Pick a menu item",IF($O2468="","Item not on Menu Pricing",IF(N($D2468)&lt;=0,"Qty must be above 0",IF($H2468="","No price on menu","OK"))))))</f>
        <v/>
      </c>
      <c r="O2468" s="13">
        <f>IF($C2468="","",IFERROR(MATCH($C2468,'Menu Pricing'!$B$7:$B$56,0),""))</f>
        <v/>
      </c>
    </row>
    <row r="2469" ht="17" customHeight="1">
      <c r="B2469" s="66" t="n"/>
      <c r="C2469" s="60" t="n"/>
      <c r="D2469" s="86" t="n"/>
      <c r="E2469" s="63" t="n"/>
      <c r="F2469" s="60" t="n"/>
      <c r="G2469" s="60" t="n"/>
      <c r="H2469" s="71">
        <f>IF(OR($C2469="",$D2469=""),"",IF(ISNUMBER($E2469),$E2469,IF($O2469="","",IF(N(INDEX('Menu Pricing'!$O$7:$O$56,$O2469))&gt;0,INDEX('Menu Pricing'!$O$7:$O$56,$O2469),""))))</f>
        <v/>
      </c>
      <c r="I2469" s="71">
        <f>IF($N2469&lt;&gt;"OK","",$D2469*$H2469)</f>
        <v/>
      </c>
      <c r="J2469" s="71">
        <f>IF($N2469&lt;&gt;"OK","",N(INDEX('Menu Pricing'!$F$7:$F$56,$O2469))+N(INDEX('Menu Pricing'!$G$7:$G$56,$O2469))+N(INDEX('Menu Pricing'!$J$7:$J$56,$O2469)))</f>
        <v/>
      </c>
      <c r="K2469" s="71">
        <f>IF($N2469&lt;&gt;"OK","",$D2469*$J2469)</f>
        <v/>
      </c>
      <c r="L2469" s="71">
        <f>IF($N2469&lt;&gt;"OK","",$I2469-$K2469)</f>
        <v/>
      </c>
      <c r="M2469" s="71">
        <f>IF($N2469&lt;&gt;"OK","",$D2469*N(INDEX('Menu Pricing'!$F$7:$F$56,$O2469)))</f>
        <v/>
      </c>
      <c r="N2469" s="80">
        <f>IF(AND($B2469="",$C2469="",$D2469=""),"",IF(NOT(ISNUMBER($B2469)),"Enter a valid date",IF($C2469="","Pick a menu item",IF($O2469="","Item not on Menu Pricing",IF(N($D2469)&lt;=0,"Qty must be above 0",IF($H2469="","No price on menu","OK"))))))</f>
        <v/>
      </c>
      <c r="O2469" s="13">
        <f>IF($C2469="","",IFERROR(MATCH($C2469,'Menu Pricing'!$B$7:$B$56,0),""))</f>
        <v/>
      </c>
    </row>
    <row r="2470" ht="17" customHeight="1">
      <c r="B2470" s="66" t="n"/>
      <c r="C2470" s="60" t="n"/>
      <c r="D2470" s="86" t="n"/>
      <c r="E2470" s="63" t="n"/>
      <c r="F2470" s="60" t="n"/>
      <c r="G2470" s="60" t="n"/>
      <c r="H2470" s="71">
        <f>IF(OR($C2470="",$D2470=""),"",IF(ISNUMBER($E2470),$E2470,IF($O2470="","",IF(N(INDEX('Menu Pricing'!$O$7:$O$56,$O2470))&gt;0,INDEX('Menu Pricing'!$O$7:$O$56,$O2470),""))))</f>
        <v/>
      </c>
      <c r="I2470" s="71">
        <f>IF($N2470&lt;&gt;"OK","",$D2470*$H2470)</f>
        <v/>
      </c>
      <c r="J2470" s="71">
        <f>IF($N2470&lt;&gt;"OK","",N(INDEX('Menu Pricing'!$F$7:$F$56,$O2470))+N(INDEX('Menu Pricing'!$G$7:$G$56,$O2470))+N(INDEX('Menu Pricing'!$J$7:$J$56,$O2470)))</f>
        <v/>
      </c>
      <c r="K2470" s="71">
        <f>IF($N2470&lt;&gt;"OK","",$D2470*$J2470)</f>
        <v/>
      </c>
      <c r="L2470" s="71">
        <f>IF($N2470&lt;&gt;"OK","",$I2470-$K2470)</f>
        <v/>
      </c>
      <c r="M2470" s="71">
        <f>IF($N2470&lt;&gt;"OK","",$D2470*N(INDEX('Menu Pricing'!$F$7:$F$56,$O2470)))</f>
        <v/>
      </c>
      <c r="N2470" s="80">
        <f>IF(AND($B2470="",$C2470="",$D2470=""),"",IF(NOT(ISNUMBER($B2470)),"Enter a valid date",IF($C2470="","Pick a menu item",IF($O2470="","Item not on Menu Pricing",IF(N($D2470)&lt;=0,"Qty must be above 0",IF($H2470="","No price on menu","OK"))))))</f>
        <v/>
      </c>
      <c r="O2470" s="13">
        <f>IF($C2470="","",IFERROR(MATCH($C2470,'Menu Pricing'!$B$7:$B$56,0),""))</f>
        <v/>
      </c>
    </row>
    <row r="2471" ht="17" customHeight="1">
      <c r="B2471" s="66" t="n"/>
      <c r="C2471" s="60" t="n"/>
      <c r="D2471" s="86" t="n"/>
      <c r="E2471" s="63" t="n"/>
      <c r="F2471" s="60" t="n"/>
      <c r="G2471" s="60" t="n"/>
      <c r="H2471" s="71">
        <f>IF(OR($C2471="",$D2471=""),"",IF(ISNUMBER($E2471),$E2471,IF($O2471="","",IF(N(INDEX('Menu Pricing'!$O$7:$O$56,$O2471))&gt;0,INDEX('Menu Pricing'!$O$7:$O$56,$O2471),""))))</f>
        <v/>
      </c>
      <c r="I2471" s="71">
        <f>IF($N2471&lt;&gt;"OK","",$D2471*$H2471)</f>
        <v/>
      </c>
      <c r="J2471" s="71">
        <f>IF($N2471&lt;&gt;"OK","",N(INDEX('Menu Pricing'!$F$7:$F$56,$O2471))+N(INDEX('Menu Pricing'!$G$7:$G$56,$O2471))+N(INDEX('Menu Pricing'!$J$7:$J$56,$O2471)))</f>
        <v/>
      </c>
      <c r="K2471" s="71">
        <f>IF($N2471&lt;&gt;"OK","",$D2471*$J2471)</f>
        <v/>
      </c>
      <c r="L2471" s="71">
        <f>IF($N2471&lt;&gt;"OK","",$I2471-$K2471)</f>
        <v/>
      </c>
      <c r="M2471" s="71">
        <f>IF($N2471&lt;&gt;"OK","",$D2471*N(INDEX('Menu Pricing'!$F$7:$F$56,$O2471)))</f>
        <v/>
      </c>
      <c r="N2471" s="80">
        <f>IF(AND($B2471="",$C2471="",$D2471=""),"",IF(NOT(ISNUMBER($B2471)),"Enter a valid date",IF($C2471="","Pick a menu item",IF($O2471="","Item not on Menu Pricing",IF(N($D2471)&lt;=0,"Qty must be above 0",IF($H2471="","No price on menu","OK"))))))</f>
        <v/>
      </c>
      <c r="O2471" s="13">
        <f>IF($C2471="","",IFERROR(MATCH($C2471,'Menu Pricing'!$B$7:$B$56,0),""))</f>
        <v/>
      </c>
    </row>
    <row r="2472" ht="17" customHeight="1">
      <c r="B2472" s="66" t="n"/>
      <c r="C2472" s="60" t="n"/>
      <c r="D2472" s="86" t="n"/>
      <c r="E2472" s="63" t="n"/>
      <c r="F2472" s="60" t="n"/>
      <c r="G2472" s="60" t="n"/>
      <c r="H2472" s="71">
        <f>IF(OR($C2472="",$D2472=""),"",IF(ISNUMBER($E2472),$E2472,IF($O2472="","",IF(N(INDEX('Menu Pricing'!$O$7:$O$56,$O2472))&gt;0,INDEX('Menu Pricing'!$O$7:$O$56,$O2472),""))))</f>
        <v/>
      </c>
      <c r="I2472" s="71">
        <f>IF($N2472&lt;&gt;"OK","",$D2472*$H2472)</f>
        <v/>
      </c>
      <c r="J2472" s="71">
        <f>IF($N2472&lt;&gt;"OK","",N(INDEX('Menu Pricing'!$F$7:$F$56,$O2472))+N(INDEX('Menu Pricing'!$G$7:$G$56,$O2472))+N(INDEX('Menu Pricing'!$J$7:$J$56,$O2472)))</f>
        <v/>
      </c>
      <c r="K2472" s="71">
        <f>IF($N2472&lt;&gt;"OK","",$D2472*$J2472)</f>
        <v/>
      </c>
      <c r="L2472" s="71">
        <f>IF($N2472&lt;&gt;"OK","",$I2472-$K2472)</f>
        <v/>
      </c>
      <c r="M2472" s="71">
        <f>IF($N2472&lt;&gt;"OK","",$D2472*N(INDEX('Menu Pricing'!$F$7:$F$56,$O2472)))</f>
        <v/>
      </c>
      <c r="N2472" s="80">
        <f>IF(AND($B2472="",$C2472="",$D2472=""),"",IF(NOT(ISNUMBER($B2472)),"Enter a valid date",IF($C2472="","Pick a menu item",IF($O2472="","Item not on Menu Pricing",IF(N($D2472)&lt;=0,"Qty must be above 0",IF($H2472="","No price on menu","OK"))))))</f>
        <v/>
      </c>
      <c r="O2472" s="13">
        <f>IF($C2472="","",IFERROR(MATCH($C2472,'Menu Pricing'!$B$7:$B$56,0),""))</f>
        <v/>
      </c>
    </row>
    <row r="2473" ht="17" customHeight="1">
      <c r="B2473" s="66" t="n"/>
      <c r="C2473" s="60" t="n"/>
      <c r="D2473" s="86" t="n"/>
      <c r="E2473" s="63" t="n"/>
      <c r="F2473" s="60" t="n"/>
      <c r="G2473" s="60" t="n"/>
      <c r="H2473" s="71">
        <f>IF(OR($C2473="",$D2473=""),"",IF(ISNUMBER($E2473),$E2473,IF($O2473="","",IF(N(INDEX('Menu Pricing'!$O$7:$O$56,$O2473))&gt;0,INDEX('Menu Pricing'!$O$7:$O$56,$O2473),""))))</f>
        <v/>
      </c>
      <c r="I2473" s="71">
        <f>IF($N2473&lt;&gt;"OK","",$D2473*$H2473)</f>
        <v/>
      </c>
      <c r="J2473" s="71">
        <f>IF($N2473&lt;&gt;"OK","",N(INDEX('Menu Pricing'!$F$7:$F$56,$O2473))+N(INDEX('Menu Pricing'!$G$7:$G$56,$O2473))+N(INDEX('Menu Pricing'!$J$7:$J$56,$O2473)))</f>
        <v/>
      </c>
      <c r="K2473" s="71">
        <f>IF($N2473&lt;&gt;"OK","",$D2473*$J2473)</f>
        <v/>
      </c>
      <c r="L2473" s="71">
        <f>IF($N2473&lt;&gt;"OK","",$I2473-$K2473)</f>
        <v/>
      </c>
      <c r="M2473" s="71">
        <f>IF($N2473&lt;&gt;"OK","",$D2473*N(INDEX('Menu Pricing'!$F$7:$F$56,$O2473)))</f>
        <v/>
      </c>
      <c r="N2473" s="80">
        <f>IF(AND($B2473="",$C2473="",$D2473=""),"",IF(NOT(ISNUMBER($B2473)),"Enter a valid date",IF($C2473="","Pick a menu item",IF($O2473="","Item not on Menu Pricing",IF(N($D2473)&lt;=0,"Qty must be above 0",IF($H2473="","No price on menu","OK"))))))</f>
        <v/>
      </c>
      <c r="O2473" s="13">
        <f>IF($C2473="","",IFERROR(MATCH($C2473,'Menu Pricing'!$B$7:$B$56,0),""))</f>
        <v/>
      </c>
    </row>
    <row r="2474" ht="17" customHeight="1">
      <c r="B2474" s="66" t="n"/>
      <c r="C2474" s="60" t="n"/>
      <c r="D2474" s="86" t="n"/>
      <c r="E2474" s="63" t="n"/>
      <c r="F2474" s="60" t="n"/>
      <c r="G2474" s="60" t="n"/>
      <c r="H2474" s="71">
        <f>IF(OR($C2474="",$D2474=""),"",IF(ISNUMBER($E2474),$E2474,IF($O2474="","",IF(N(INDEX('Menu Pricing'!$O$7:$O$56,$O2474))&gt;0,INDEX('Menu Pricing'!$O$7:$O$56,$O2474),""))))</f>
        <v/>
      </c>
      <c r="I2474" s="71">
        <f>IF($N2474&lt;&gt;"OK","",$D2474*$H2474)</f>
        <v/>
      </c>
      <c r="J2474" s="71">
        <f>IF($N2474&lt;&gt;"OK","",N(INDEX('Menu Pricing'!$F$7:$F$56,$O2474))+N(INDEX('Menu Pricing'!$G$7:$G$56,$O2474))+N(INDEX('Menu Pricing'!$J$7:$J$56,$O2474)))</f>
        <v/>
      </c>
      <c r="K2474" s="71">
        <f>IF($N2474&lt;&gt;"OK","",$D2474*$J2474)</f>
        <v/>
      </c>
      <c r="L2474" s="71">
        <f>IF($N2474&lt;&gt;"OK","",$I2474-$K2474)</f>
        <v/>
      </c>
      <c r="M2474" s="71">
        <f>IF($N2474&lt;&gt;"OK","",$D2474*N(INDEX('Menu Pricing'!$F$7:$F$56,$O2474)))</f>
        <v/>
      </c>
      <c r="N2474" s="80">
        <f>IF(AND($B2474="",$C2474="",$D2474=""),"",IF(NOT(ISNUMBER($B2474)),"Enter a valid date",IF($C2474="","Pick a menu item",IF($O2474="","Item not on Menu Pricing",IF(N($D2474)&lt;=0,"Qty must be above 0",IF($H2474="","No price on menu","OK"))))))</f>
        <v/>
      </c>
      <c r="O2474" s="13">
        <f>IF($C2474="","",IFERROR(MATCH($C2474,'Menu Pricing'!$B$7:$B$56,0),""))</f>
        <v/>
      </c>
    </row>
    <row r="2475" ht="17" customHeight="1">
      <c r="B2475" s="66" t="n"/>
      <c r="C2475" s="60" t="n"/>
      <c r="D2475" s="86" t="n"/>
      <c r="E2475" s="63" t="n"/>
      <c r="F2475" s="60" t="n"/>
      <c r="G2475" s="60" t="n"/>
      <c r="H2475" s="71">
        <f>IF(OR($C2475="",$D2475=""),"",IF(ISNUMBER($E2475),$E2475,IF($O2475="","",IF(N(INDEX('Menu Pricing'!$O$7:$O$56,$O2475))&gt;0,INDEX('Menu Pricing'!$O$7:$O$56,$O2475),""))))</f>
        <v/>
      </c>
      <c r="I2475" s="71">
        <f>IF($N2475&lt;&gt;"OK","",$D2475*$H2475)</f>
        <v/>
      </c>
      <c r="J2475" s="71">
        <f>IF($N2475&lt;&gt;"OK","",N(INDEX('Menu Pricing'!$F$7:$F$56,$O2475))+N(INDEX('Menu Pricing'!$G$7:$G$56,$O2475))+N(INDEX('Menu Pricing'!$J$7:$J$56,$O2475)))</f>
        <v/>
      </c>
      <c r="K2475" s="71">
        <f>IF($N2475&lt;&gt;"OK","",$D2475*$J2475)</f>
        <v/>
      </c>
      <c r="L2475" s="71">
        <f>IF($N2475&lt;&gt;"OK","",$I2475-$K2475)</f>
        <v/>
      </c>
      <c r="M2475" s="71">
        <f>IF($N2475&lt;&gt;"OK","",$D2475*N(INDEX('Menu Pricing'!$F$7:$F$56,$O2475)))</f>
        <v/>
      </c>
      <c r="N2475" s="80">
        <f>IF(AND($B2475="",$C2475="",$D2475=""),"",IF(NOT(ISNUMBER($B2475)),"Enter a valid date",IF($C2475="","Pick a menu item",IF($O2475="","Item not on Menu Pricing",IF(N($D2475)&lt;=0,"Qty must be above 0",IF($H2475="","No price on menu","OK"))))))</f>
        <v/>
      </c>
      <c r="O2475" s="13">
        <f>IF($C2475="","",IFERROR(MATCH($C2475,'Menu Pricing'!$B$7:$B$56,0),""))</f>
        <v/>
      </c>
    </row>
    <row r="2476" ht="17" customHeight="1">
      <c r="B2476" s="66" t="n"/>
      <c r="C2476" s="60" t="n"/>
      <c r="D2476" s="86" t="n"/>
      <c r="E2476" s="63" t="n"/>
      <c r="F2476" s="60" t="n"/>
      <c r="G2476" s="60" t="n"/>
      <c r="H2476" s="71">
        <f>IF(OR($C2476="",$D2476=""),"",IF(ISNUMBER($E2476),$E2476,IF($O2476="","",IF(N(INDEX('Menu Pricing'!$O$7:$O$56,$O2476))&gt;0,INDEX('Menu Pricing'!$O$7:$O$56,$O2476),""))))</f>
        <v/>
      </c>
      <c r="I2476" s="71">
        <f>IF($N2476&lt;&gt;"OK","",$D2476*$H2476)</f>
        <v/>
      </c>
      <c r="J2476" s="71">
        <f>IF($N2476&lt;&gt;"OK","",N(INDEX('Menu Pricing'!$F$7:$F$56,$O2476))+N(INDEX('Menu Pricing'!$G$7:$G$56,$O2476))+N(INDEX('Menu Pricing'!$J$7:$J$56,$O2476)))</f>
        <v/>
      </c>
      <c r="K2476" s="71">
        <f>IF($N2476&lt;&gt;"OK","",$D2476*$J2476)</f>
        <v/>
      </c>
      <c r="L2476" s="71">
        <f>IF($N2476&lt;&gt;"OK","",$I2476-$K2476)</f>
        <v/>
      </c>
      <c r="M2476" s="71">
        <f>IF($N2476&lt;&gt;"OK","",$D2476*N(INDEX('Menu Pricing'!$F$7:$F$56,$O2476)))</f>
        <v/>
      </c>
      <c r="N2476" s="80">
        <f>IF(AND($B2476="",$C2476="",$D2476=""),"",IF(NOT(ISNUMBER($B2476)),"Enter a valid date",IF($C2476="","Pick a menu item",IF($O2476="","Item not on Menu Pricing",IF(N($D2476)&lt;=0,"Qty must be above 0",IF($H2476="","No price on menu","OK"))))))</f>
        <v/>
      </c>
      <c r="O2476" s="13">
        <f>IF($C2476="","",IFERROR(MATCH($C2476,'Menu Pricing'!$B$7:$B$56,0),""))</f>
        <v/>
      </c>
    </row>
    <row r="2477" ht="17" customHeight="1">
      <c r="B2477" s="66" t="n"/>
      <c r="C2477" s="60" t="n"/>
      <c r="D2477" s="86" t="n"/>
      <c r="E2477" s="63" t="n"/>
      <c r="F2477" s="60" t="n"/>
      <c r="G2477" s="60" t="n"/>
      <c r="H2477" s="71">
        <f>IF(OR($C2477="",$D2477=""),"",IF(ISNUMBER($E2477),$E2477,IF($O2477="","",IF(N(INDEX('Menu Pricing'!$O$7:$O$56,$O2477))&gt;0,INDEX('Menu Pricing'!$O$7:$O$56,$O2477),""))))</f>
        <v/>
      </c>
      <c r="I2477" s="71">
        <f>IF($N2477&lt;&gt;"OK","",$D2477*$H2477)</f>
        <v/>
      </c>
      <c r="J2477" s="71">
        <f>IF($N2477&lt;&gt;"OK","",N(INDEX('Menu Pricing'!$F$7:$F$56,$O2477))+N(INDEX('Menu Pricing'!$G$7:$G$56,$O2477))+N(INDEX('Menu Pricing'!$J$7:$J$56,$O2477)))</f>
        <v/>
      </c>
      <c r="K2477" s="71">
        <f>IF($N2477&lt;&gt;"OK","",$D2477*$J2477)</f>
        <v/>
      </c>
      <c r="L2477" s="71">
        <f>IF($N2477&lt;&gt;"OK","",$I2477-$K2477)</f>
        <v/>
      </c>
      <c r="M2477" s="71">
        <f>IF($N2477&lt;&gt;"OK","",$D2477*N(INDEX('Menu Pricing'!$F$7:$F$56,$O2477)))</f>
        <v/>
      </c>
      <c r="N2477" s="80">
        <f>IF(AND($B2477="",$C2477="",$D2477=""),"",IF(NOT(ISNUMBER($B2477)),"Enter a valid date",IF($C2477="","Pick a menu item",IF($O2477="","Item not on Menu Pricing",IF(N($D2477)&lt;=0,"Qty must be above 0",IF($H2477="","No price on menu","OK"))))))</f>
        <v/>
      </c>
      <c r="O2477" s="13">
        <f>IF($C2477="","",IFERROR(MATCH($C2477,'Menu Pricing'!$B$7:$B$56,0),""))</f>
        <v/>
      </c>
    </row>
    <row r="2478" ht="17" customHeight="1">
      <c r="B2478" s="66" t="n"/>
      <c r="C2478" s="60" t="n"/>
      <c r="D2478" s="86" t="n"/>
      <c r="E2478" s="63" t="n"/>
      <c r="F2478" s="60" t="n"/>
      <c r="G2478" s="60" t="n"/>
      <c r="H2478" s="71">
        <f>IF(OR($C2478="",$D2478=""),"",IF(ISNUMBER($E2478),$E2478,IF($O2478="","",IF(N(INDEX('Menu Pricing'!$O$7:$O$56,$O2478))&gt;0,INDEX('Menu Pricing'!$O$7:$O$56,$O2478),""))))</f>
        <v/>
      </c>
      <c r="I2478" s="71">
        <f>IF($N2478&lt;&gt;"OK","",$D2478*$H2478)</f>
        <v/>
      </c>
      <c r="J2478" s="71">
        <f>IF($N2478&lt;&gt;"OK","",N(INDEX('Menu Pricing'!$F$7:$F$56,$O2478))+N(INDEX('Menu Pricing'!$G$7:$G$56,$O2478))+N(INDEX('Menu Pricing'!$J$7:$J$56,$O2478)))</f>
        <v/>
      </c>
      <c r="K2478" s="71">
        <f>IF($N2478&lt;&gt;"OK","",$D2478*$J2478)</f>
        <v/>
      </c>
      <c r="L2478" s="71">
        <f>IF($N2478&lt;&gt;"OK","",$I2478-$K2478)</f>
        <v/>
      </c>
      <c r="M2478" s="71">
        <f>IF($N2478&lt;&gt;"OK","",$D2478*N(INDEX('Menu Pricing'!$F$7:$F$56,$O2478)))</f>
        <v/>
      </c>
      <c r="N2478" s="80">
        <f>IF(AND($B2478="",$C2478="",$D2478=""),"",IF(NOT(ISNUMBER($B2478)),"Enter a valid date",IF($C2478="","Pick a menu item",IF($O2478="","Item not on Menu Pricing",IF(N($D2478)&lt;=0,"Qty must be above 0",IF($H2478="","No price on menu","OK"))))))</f>
        <v/>
      </c>
      <c r="O2478" s="13">
        <f>IF($C2478="","",IFERROR(MATCH($C2478,'Menu Pricing'!$B$7:$B$56,0),""))</f>
        <v/>
      </c>
    </row>
    <row r="2479" ht="17" customHeight="1">
      <c r="B2479" s="66" t="n"/>
      <c r="C2479" s="60" t="n"/>
      <c r="D2479" s="86" t="n"/>
      <c r="E2479" s="63" t="n"/>
      <c r="F2479" s="60" t="n"/>
      <c r="G2479" s="60" t="n"/>
      <c r="H2479" s="71">
        <f>IF(OR($C2479="",$D2479=""),"",IF(ISNUMBER($E2479),$E2479,IF($O2479="","",IF(N(INDEX('Menu Pricing'!$O$7:$O$56,$O2479))&gt;0,INDEX('Menu Pricing'!$O$7:$O$56,$O2479),""))))</f>
        <v/>
      </c>
      <c r="I2479" s="71">
        <f>IF($N2479&lt;&gt;"OK","",$D2479*$H2479)</f>
        <v/>
      </c>
      <c r="J2479" s="71">
        <f>IF($N2479&lt;&gt;"OK","",N(INDEX('Menu Pricing'!$F$7:$F$56,$O2479))+N(INDEX('Menu Pricing'!$G$7:$G$56,$O2479))+N(INDEX('Menu Pricing'!$J$7:$J$56,$O2479)))</f>
        <v/>
      </c>
      <c r="K2479" s="71">
        <f>IF($N2479&lt;&gt;"OK","",$D2479*$J2479)</f>
        <v/>
      </c>
      <c r="L2479" s="71">
        <f>IF($N2479&lt;&gt;"OK","",$I2479-$K2479)</f>
        <v/>
      </c>
      <c r="M2479" s="71">
        <f>IF($N2479&lt;&gt;"OK","",$D2479*N(INDEX('Menu Pricing'!$F$7:$F$56,$O2479)))</f>
        <v/>
      </c>
      <c r="N2479" s="80">
        <f>IF(AND($B2479="",$C2479="",$D2479=""),"",IF(NOT(ISNUMBER($B2479)),"Enter a valid date",IF($C2479="","Pick a menu item",IF($O2479="","Item not on Menu Pricing",IF(N($D2479)&lt;=0,"Qty must be above 0",IF($H2479="","No price on menu","OK"))))))</f>
        <v/>
      </c>
      <c r="O2479" s="13">
        <f>IF($C2479="","",IFERROR(MATCH($C2479,'Menu Pricing'!$B$7:$B$56,0),""))</f>
        <v/>
      </c>
    </row>
    <row r="2480" ht="17" customHeight="1">
      <c r="B2480" s="66" t="n"/>
      <c r="C2480" s="60" t="n"/>
      <c r="D2480" s="86" t="n"/>
      <c r="E2480" s="63" t="n"/>
      <c r="F2480" s="60" t="n"/>
      <c r="G2480" s="60" t="n"/>
      <c r="H2480" s="71">
        <f>IF(OR($C2480="",$D2480=""),"",IF(ISNUMBER($E2480),$E2480,IF($O2480="","",IF(N(INDEX('Menu Pricing'!$O$7:$O$56,$O2480))&gt;0,INDEX('Menu Pricing'!$O$7:$O$56,$O2480),""))))</f>
        <v/>
      </c>
      <c r="I2480" s="71">
        <f>IF($N2480&lt;&gt;"OK","",$D2480*$H2480)</f>
        <v/>
      </c>
      <c r="J2480" s="71">
        <f>IF($N2480&lt;&gt;"OK","",N(INDEX('Menu Pricing'!$F$7:$F$56,$O2480))+N(INDEX('Menu Pricing'!$G$7:$G$56,$O2480))+N(INDEX('Menu Pricing'!$J$7:$J$56,$O2480)))</f>
        <v/>
      </c>
      <c r="K2480" s="71">
        <f>IF($N2480&lt;&gt;"OK","",$D2480*$J2480)</f>
        <v/>
      </c>
      <c r="L2480" s="71">
        <f>IF($N2480&lt;&gt;"OK","",$I2480-$K2480)</f>
        <v/>
      </c>
      <c r="M2480" s="71">
        <f>IF($N2480&lt;&gt;"OK","",$D2480*N(INDEX('Menu Pricing'!$F$7:$F$56,$O2480)))</f>
        <v/>
      </c>
      <c r="N2480" s="80">
        <f>IF(AND($B2480="",$C2480="",$D2480=""),"",IF(NOT(ISNUMBER($B2480)),"Enter a valid date",IF($C2480="","Pick a menu item",IF($O2480="","Item not on Menu Pricing",IF(N($D2480)&lt;=0,"Qty must be above 0",IF($H2480="","No price on menu","OK"))))))</f>
        <v/>
      </c>
      <c r="O2480" s="13">
        <f>IF($C2480="","",IFERROR(MATCH($C2480,'Menu Pricing'!$B$7:$B$56,0),""))</f>
        <v/>
      </c>
    </row>
    <row r="2481" ht="17" customHeight="1">
      <c r="B2481" s="66" t="n"/>
      <c r="C2481" s="60" t="n"/>
      <c r="D2481" s="86" t="n"/>
      <c r="E2481" s="63" t="n"/>
      <c r="F2481" s="60" t="n"/>
      <c r="G2481" s="60" t="n"/>
      <c r="H2481" s="71">
        <f>IF(OR($C2481="",$D2481=""),"",IF(ISNUMBER($E2481),$E2481,IF($O2481="","",IF(N(INDEX('Menu Pricing'!$O$7:$O$56,$O2481))&gt;0,INDEX('Menu Pricing'!$O$7:$O$56,$O2481),""))))</f>
        <v/>
      </c>
      <c r="I2481" s="71">
        <f>IF($N2481&lt;&gt;"OK","",$D2481*$H2481)</f>
        <v/>
      </c>
      <c r="J2481" s="71">
        <f>IF($N2481&lt;&gt;"OK","",N(INDEX('Menu Pricing'!$F$7:$F$56,$O2481))+N(INDEX('Menu Pricing'!$G$7:$G$56,$O2481))+N(INDEX('Menu Pricing'!$J$7:$J$56,$O2481)))</f>
        <v/>
      </c>
      <c r="K2481" s="71">
        <f>IF($N2481&lt;&gt;"OK","",$D2481*$J2481)</f>
        <v/>
      </c>
      <c r="L2481" s="71">
        <f>IF($N2481&lt;&gt;"OK","",$I2481-$K2481)</f>
        <v/>
      </c>
      <c r="M2481" s="71">
        <f>IF($N2481&lt;&gt;"OK","",$D2481*N(INDEX('Menu Pricing'!$F$7:$F$56,$O2481)))</f>
        <v/>
      </c>
      <c r="N2481" s="80">
        <f>IF(AND($B2481="",$C2481="",$D2481=""),"",IF(NOT(ISNUMBER($B2481)),"Enter a valid date",IF($C2481="","Pick a menu item",IF($O2481="","Item not on Menu Pricing",IF(N($D2481)&lt;=0,"Qty must be above 0",IF($H2481="","No price on menu","OK"))))))</f>
        <v/>
      </c>
      <c r="O2481" s="13">
        <f>IF($C2481="","",IFERROR(MATCH($C2481,'Menu Pricing'!$B$7:$B$56,0),""))</f>
        <v/>
      </c>
    </row>
    <row r="2482" ht="17" customHeight="1">
      <c r="B2482" s="66" t="n"/>
      <c r="C2482" s="60" t="n"/>
      <c r="D2482" s="86" t="n"/>
      <c r="E2482" s="63" t="n"/>
      <c r="F2482" s="60" t="n"/>
      <c r="G2482" s="60" t="n"/>
      <c r="H2482" s="71">
        <f>IF(OR($C2482="",$D2482=""),"",IF(ISNUMBER($E2482),$E2482,IF($O2482="","",IF(N(INDEX('Menu Pricing'!$O$7:$O$56,$O2482))&gt;0,INDEX('Menu Pricing'!$O$7:$O$56,$O2482),""))))</f>
        <v/>
      </c>
      <c r="I2482" s="71">
        <f>IF($N2482&lt;&gt;"OK","",$D2482*$H2482)</f>
        <v/>
      </c>
      <c r="J2482" s="71">
        <f>IF($N2482&lt;&gt;"OK","",N(INDEX('Menu Pricing'!$F$7:$F$56,$O2482))+N(INDEX('Menu Pricing'!$G$7:$G$56,$O2482))+N(INDEX('Menu Pricing'!$J$7:$J$56,$O2482)))</f>
        <v/>
      </c>
      <c r="K2482" s="71">
        <f>IF($N2482&lt;&gt;"OK","",$D2482*$J2482)</f>
        <v/>
      </c>
      <c r="L2482" s="71">
        <f>IF($N2482&lt;&gt;"OK","",$I2482-$K2482)</f>
        <v/>
      </c>
      <c r="M2482" s="71">
        <f>IF($N2482&lt;&gt;"OK","",$D2482*N(INDEX('Menu Pricing'!$F$7:$F$56,$O2482)))</f>
        <v/>
      </c>
      <c r="N2482" s="80">
        <f>IF(AND($B2482="",$C2482="",$D2482=""),"",IF(NOT(ISNUMBER($B2482)),"Enter a valid date",IF($C2482="","Pick a menu item",IF($O2482="","Item not on Menu Pricing",IF(N($D2482)&lt;=0,"Qty must be above 0",IF($H2482="","No price on menu","OK"))))))</f>
        <v/>
      </c>
      <c r="O2482" s="13">
        <f>IF($C2482="","",IFERROR(MATCH($C2482,'Menu Pricing'!$B$7:$B$56,0),""))</f>
        <v/>
      </c>
    </row>
    <row r="2483" ht="17" customHeight="1">
      <c r="B2483" s="66" t="n"/>
      <c r="C2483" s="60" t="n"/>
      <c r="D2483" s="86" t="n"/>
      <c r="E2483" s="63" t="n"/>
      <c r="F2483" s="60" t="n"/>
      <c r="G2483" s="60" t="n"/>
      <c r="H2483" s="71">
        <f>IF(OR($C2483="",$D2483=""),"",IF(ISNUMBER($E2483),$E2483,IF($O2483="","",IF(N(INDEX('Menu Pricing'!$O$7:$O$56,$O2483))&gt;0,INDEX('Menu Pricing'!$O$7:$O$56,$O2483),""))))</f>
        <v/>
      </c>
      <c r="I2483" s="71">
        <f>IF($N2483&lt;&gt;"OK","",$D2483*$H2483)</f>
        <v/>
      </c>
      <c r="J2483" s="71">
        <f>IF($N2483&lt;&gt;"OK","",N(INDEX('Menu Pricing'!$F$7:$F$56,$O2483))+N(INDEX('Menu Pricing'!$G$7:$G$56,$O2483))+N(INDEX('Menu Pricing'!$J$7:$J$56,$O2483)))</f>
        <v/>
      </c>
      <c r="K2483" s="71">
        <f>IF($N2483&lt;&gt;"OK","",$D2483*$J2483)</f>
        <v/>
      </c>
      <c r="L2483" s="71">
        <f>IF($N2483&lt;&gt;"OK","",$I2483-$K2483)</f>
        <v/>
      </c>
      <c r="M2483" s="71">
        <f>IF($N2483&lt;&gt;"OK","",$D2483*N(INDEX('Menu Pricing'!$F$7:$F$56,$O2483)))</f>
        <v/>
      </c>
      <c r="N2483" s="80">
        <f>IF(AND($B2483="",$C2483="",$D2483=""),"",IF(NOT(ISNUMBER($B2483)),"Enter a valid date",IF($C2483="","Pick a menu item",IF($O2483="","Item not on Menu Pricing",IF(N($D2483)&lt;=0,"Qty must be above 0",IF($H2483="","No price on menu","OK"))))))</f>
        <v/>
      </c>
      <c r="O2483" s="13">
        <f>IF($C2483="","",IFERROR(MATCH($C2483,'Menu Pricing'!$B$7:$B$56,0),""))</f>
        <v/>
      </c>
    </row>
    <row r="2484" ht="17" customHeight="1">
      <c r="B2484" s="66" t="n"/>
      <c r="C2484" s="60" t="n"/>
      <c r="D2484" s="86" t="n"/>
      <c r="E2484" s="63" t="n"/>
      <c r="F2484" s="60" t="n"/>
      <c r="G2484" s="60" t="n"/>
      <c r="H2484" s="71">
        <f>IF(OR($C2484="",$D2484=""),"",IF(ISNUMBER($E2484),$E2484,IF($O2484="","",IF(N(INDEX('Menu Pricing'!$O$7:$O$56,$O2484))&gt;0,INDEX('Menu Pricing'!$O$7:$O$56,$O2484),""))))</f>
        <v/>
      </c>
      <c r="I2484" s="71">
        <f>IF($N2484&lt;&gt;"OK","",$D2484*$H2484)</f>
        <v/>
      </c>
      <c r="J2484" s="71">
        <f>IF($N2484&lt;&gt;"OK","",N(INDEX('Menu Pricing'!$F$7:$F$56,$O2484))+N(INDEX('Menu Pricing'!$G$7:$G$56,$O2484))+N(INDEX('Menu Pricing'!$J$7:$J$56,$O2484)))</f>
        <v/>
      </c>
      <c r="K2484" s="71">
        <f>IF($N2484&lt;&gt;"OK","",$D2484*$J2484)</f>
        <v/>
      </c>
      <c r="L2484" s="71">
        <f>IF($N2484&lt;&gt;"OK","",$I2484-$K2484)</f>
        <v/>
      </c>
      <c r="M2484" s="71">
        <f>IF($N2484&lt;&gt;"OK","",$D2484*N(INDEX('Menu Pricing'!$F$7:$F$56,$O2484)))</f>
        <v/>
      </c>
      <c r="N2484" s="80">
        <f>IF(AND($B2484="",$C2484="",$D2484=""),"",IF(NOT(ISNUMBER($B2484)),"Enter a valid date",IF($C2484="","Pick a menu item",IF($O2484="","Item not on Menu Pricing",IF(N($D2484)&lt;=0,"Qty must be above 0",IF($H2484="","No price on menu","OK"))))))</f>
        <v/>
      </c>
      <c r="O2484" s="13">
        <f>IF($C2484="","",IFERROR(MATCH($C2484,'Menu Pricing'!$B$7:$B$56,0),""))</f>
        <v/>
      </c>
    </row>
    <row r="2485" ht="17" customHeight="1">
      <c r="B2485" s="66" t="n"/>
      <c r="C2485" s="60" t="n"/>
      <c r="D2485" s="86" t="n"/>
      <c r="E2485" s="63" t="n"/>
      <c r="F2485" s="60" t="n"/>
      <c r="G2485" s="60" t="n"/>
      <c r="H2485" s="71">
        <f>IF(OR($C2485="",$D2485=""),"",IF(ISNUMBER($E2485),$E2485,IF($O2485="","",IF(N(INDEX('Menu Pricing'!$O$7:$O$56,$O2485))&gt;0,INDEX('Menu Pricing'!$O$7:$O$56,$O2485),""))))</f>
        <v/>
      </c>
      <c r="I2485" s="71">
        <f>IF($N2485&lt;&gt;"OK","",$D2485*$H2485)</f>
        <v/>
      </c>
      <c r="J2485" s="71">
        <f>IF($N2485&lt;&gt;"OK","",N(INDEX('Menu Pricing'!$F$7:$F$56,$O2485))+N(INDEX('Menu Pricing'!$G$7:$G$56,$O2485))+N(INDEX('Menu Pricing'!$J$7:$J$56,$O2485)))</f>
        <v/>
      </c>
      <c r="K2485" s="71">
        <f>IF($N2485&lt;&gt;"OK","",$D2485*$J2485)</f>
        <v/>
      </c>
      <c r="L2485" s="71">
        <f>IF($N2485&lt;&gt;"OK","",$I2485-$K2485)</f>
        <v/>
      </c>
      <c r="M2485" s="71">
        <f>IF($N2485&lt;&gt;"OK","",$D2485*N(INDEX('Menu Pricing'!$F$7:$F$56,$O2485)))</f>
        <v/>
      </c>
      <c r="N2485" s="80">
        <f>IF(AND($B2485="",$C2485="",$D2485=""),"",IF(NOT(ISNUMBER($B2485)),"Enter a valid date",IF($C2485="","Pick a menu item",IF($O2485="","Item not on Menu Pricing",IF(N($D2485)&lt;=0,"Qty must be above 0",IF($H2485="","No price on menu","OK"))))))</f>
        <v/>
      </c>
      <c r="O2485" s="13">
        <f>IF($C2485="","",IFERROR(MATCH($C2485,'Menu Pricing'!$B$7:$B$56,0),""))</f>
        <v/>
      </c>
    </row>
    <row r="2486" ht="17" customHeight="1">
      <c r="B2486" s="66" t="n"/>
      <c r="C2486" s="60" t="n"/>
      <c r="D2486" s="86" t="n"/>
      <c r="E2486" s="63" t="n"/>
      <c r="F2486" s="60" t="n"/>
      <c r="G2486" s="60" t="n"/>
      <c r="H2486" s="71">
        <f>IF(OR($C2486="",$D2486=""),"",IF(ISNUMBER($E2486),$E2486,IF($O2486="","",IF(N(INDEX('Menu Pricing'!$O$7:$O$56,$O2486))&gt;0,INDEX('Menu Pricing'!$O$7:$O$56,$O2486),""))))</f>
        <v/>
      </c>
      <c r="I2486" s="71">
        <f>IF($N2486&lt;&gt;"OK","",$D2486*$H2486)</f>
        <v/>
      </c>
      <c r="J2486" s="71">
        <f>IF($N2486&lt;&gt;"OK","",N(INDEX('Menu Pricing'!$F$7:$F$56,$O2486))+N(INDEX('Menu Pricing'!$G$7:$G$56,$O2486))+N(INDEX('Menu Pricing'!$J$7:$J$56,$O2486)))</f>
        <v/>
      </c>
      <c r="K2486" s="71">
        <f>IF($N2486&lt;&gt;"OK","",$D2486*$J2486)</f>
        <v/>
      </c>
      <c r="L2486" s="71">
        <f>IF($N2486&lt;&gt;"OK","",$I2486-$K2486)</f>
        <v/>
      </c>
      <c r="M2486" s="71">
        <f>IF($N2486&lt;&gt;"OK","",$D2486*N(INDEX('Menu Pricing'!$F$7:$F$56,$O2486)))</f>
        <v/>
      </c>
      <c r="N2486" s="80">
        <f>IF(AND($B2486="",$C2486="",$D2486=""),"",IF(NOT(ISNUMBER($B2486)),"Enter a valid date",IF($C2486="","Pick a menu item",IF($O2486="","Item not on Menu Pricing",IF(N($D2486)&lt;=0,"Qty must be above 0",IF($H2486="","No price on menu","OK"))))))</f>
        <v/>
      </c>
      <c r="O2486" s="13">
        <f>IF($C2486="","",IFERROR(MATCH($C2486,'Menu Pricing'!$B$7:$B$56,0),""))</f>
        <v/>
      </c>
    </row>
    <row r="2487" ht="17" customHeight="1">
      <c r="B2487" s="66" t="n"/>
      <c r="C2487" s="60" t="n"/>
      <c r="D2487" s="86" t="n"/>
      <c r="E2487" s="63" t="n"/>
      <c r="F2487" s="60" t="n"/>
      <c r="G2487" s="60" t="n"/>
      <c r="H2487" s="71">
        <f>IF(OR($C2487="",$D2487=""),"",IF(ISNUMBER($E2487),$E2487,IF($O2487="","",IF(N(INDEX('Menu Pricing'!$O$7:$O$56,$O2487))&gt;0,INDEX('Menu Pricing'!$O$7:$O$56,$O2487),""))))</f>
        <v/>
      </c>
      <c r="I2487" s="71">
        <f>IF($N2487&lt;&gt;"OK","",$D2487*$H2487)</f>
        <v/>
      </c>
      <c r="J2487" s="71">
        <f>IF($N2487&lt;&gt;"OK","",N(INDEX('Menu Pricing'!$F$7:$F$56,$O2487))+N(INDEX('Menu Pricing'!$G$7:$G$56,$O2487))+N(INDEX('Menu Pricing'!$J$7:$J$56,$O2487)))</f>
        <v/>
      </c>
      <c r="K2487" s="71">
        <f>IF($N2487&lt;&gt;"OK","",$D2487*$J2487)</f>
        <v/>
      </c>
      <c r="L2487" s="71">
        <f>IF($N2487&lt;&gt;"OK","",$I2487-$K2487)</f>
        <v/>
      </c>
      <c r="M2487" s="71">
        <f>IF($N2487&lt;&gt;"OK","",$D2487*N(INDEX('Menu Pricing'!$F$7:$F$56,$O2487)))</f>
        <v/>
      </c>
      <c r="N2487" s="80">
        <f>IF(AND($B2487="",$C2487="",$D2487=""),"",IF(NOT(ISNUMBER($B2487)),"Enter a valid date",IF($C2487="","Pick a menu item",IF($O2487="","Item not on Menu Pricing",IF(N($D2487)&lt;=0,"Qty must be above 0",IF($H2487="","No price on menu","OK"))))))</f>
        <v/>
      </c>
      <c r="O2487" s="13">
        <f>IF($C2487="","",IFERROR(MATCH($C2487,'Menu Pricing'!$B$7:$B$56,0),""))</f>
        <v/>
      </c>
    </row>
    <row r="2488" ht="17" customHeight="1">
      <c r="B2488" s="66" t="n"/>
      <c r="C2488" s="60" t="n"/>
      <c r="D2488" s="86" t="n"/>
      <c r="E2488" s="63" t="n"/>
      <c r="F2488" s="60" t="n"/>
      <c r="G2488" s="60" t="n"/>
      <c r="H2488" s="71">
        <f>IF(OR($C2488="",$D2488=""),"",IF(ISNUMBER($E2488),$E2488,IF($O2488="","",IF(N(INDEX('Menu Pricing'!$O$7:$O$56,$O2488))&gt;0,INDEX('Menu Pricing'!$O$7:$O$56,$O2488),""))))</f>
        <v/>
      </c>
      <c r="I2488" s="71">
        <f>IF($N2488&lt;&gt;"OK","",$D2488*$H2488)</f>
        <v/>
      </c>
      <c r="J2488" s="71">
        <f>IF($N2488&lt;&gt;"OK","",N(INDEX('Menu Pricing'!$F$7:$F$56,$O2488))+N(INDEX('Menu Pricing'!$G$7:$G$56,$O2488))+N(INDEX('Menu Pricing'!$J$7:$J$56,$O2488)))</f>
        <v/>
      </c>
      <c r="K2488" s="71">
        <f>IF($N2488&lt;&gt;"OK","",$D2488*$J2488)</f>
        <v/>
      </c>
      <c r="L2488" s="71">
        <f>IF($N2488&lt;&gt;"OK","",$I2488-$K2488)</f>
        <v/>
      </c>
      <c r="M2488" s="71">
        <f>IF($N2488&lt;&gt;"OK","",$D2488*N(INDEX('Menu Pricing'!$F$7:$F$56,$O2488)))</f>
        <v/>
      </c>
      <c r="N2488" s="80">
        <f>IF(AND($B2488="",$C2488="",$D2488=""),"",IF(NOT(ISNUMBER($B2488)),"Enter a valid date",IF($C2488="","Pick a menu item",IF($O2488="","Item not on Menu Pricing",IF(N($D2488)&lt;=0,"Qty must be above 0",IF($H2488="","No price on menu","OK"))))))</f>
        <v/>
      </c>
      <c r="O2488" s="13">
        <f>IF($C2488="","",IFERROR(MATCH($C2488,'Menu Pricing'!$B$7:$B$56,0),""))</f>
        <v/>
      </c>
    </row>
    <row r="2489" ht="17" customHeight="1">
      <c r="B2489" s="66" t="n"/>
      <c r="C2489" s="60" t="n"/>
      <c r="D2489" s="86" t="n"/>
      <c r="E2489" s="63" t="n"/>
      <c r="F2489" s="60" t="n"/>
      <c r="G2489" s="60" t="n"/>
      <c r="H2489" s="71">
        <f>IF(OR($C2489="",$D2489=""),"",IF(ISNUMBER($E2489),$E2489,IF($O2489="","",IF(N(INDEX('Menu Pricing'!$O$7:$O$56,$O2489))&gt;0,INDEX('Menu Pricing'!$O$7:$O$56,$O2489),""))))</f>
        <v/>
      </c>
      <c r="I2489" s="71">
        <f>IF($N2489&lt;&gt;"OK","",$D2489*$H2489)</f>
        <v/>
      </c>
      <c r="J2489" s="71">
        <f>IF($N2489&lt;&gt;"OK","",N(INDEX('Menu Pricing'!$F$7:$F$56,$O2489))+N(INDEX('Menu Pricing'!$G$7:$G$56,$O2489))+N(INDEX('Menu Pricing'!$J$7:$J$56,$O2489)))</f>
        <v/>
      </c>
      <c r="K2489" s="71">
        <f>IF($N2489&lt;&gt;"OK","",$D2489*$J2489)</f>
        <v/>
      </c>
      <c r="L2489" s="71">
        <f>IF($N2489&lt;&gt;"OK","",$I2489-$K2489)</f>
        <v/>
      </c>
      <c r="M2489" s="71">
        <f>IF($N2489&lt;&gt;"OK","",$D2489*N(INDEX('Menu Pricing'!$F$7:$F$56,$O2489)))</f>
        <v/>
      </c>
      <c r="N2489" s="80">
        <f>IF(AND($B2489="",$C2489="",$D2489=""),"",IF(NOT(ISNUMBER($B2489)),"Enter a valid date",IF($C2489="","Pick a menu item",IF($O2489="","Item not on Menu Pricing",IF(N($D2489)&lt;=0,"Qty must be above 0",IF($H2489="","No price on menu","OK"))))))</f>
        <v/>
      </c>
      <c r="O2489" s="13">
        <f>IF($C2489="","",IFERROR(MATCH($C2489,'Menu Pricing'!$B$7:$B$56,0),""))</f>
        <v/>
      </c>
    </row>
    <row r="2490" ht="17" customHeight="1">
      <c r="B2490" s="66" t="n"/>
      <c r="C2490" s="60" t="n"/>
      <c r="D2490" s="86" t="n"/>
      <c r="E2490" s="63" t="n"/>
      <c r="F2490" s="60" t="n"/>
      <c r="G2490" s="60" t="n"/>
      <c r="H2490" s="71">
        <f>IF(OR($C2490="",$D2490=""),"",IF(ISNUMBER($E2490),$E2490,IF($O2490="","",IF(N(INDEX('Menu Pricing'!$O$7:$O$56,$O2490))&gt;0,INDEX('Menu Pricing'!$O$7:$O$56,$O2490),""))))</f>
        <v/>
      </c>
      <c r="I2490" s="71">
        <f>IF($N2490&lt;&gt;"OK","",$D2490*$H2490)</f>
        <v/>
      </c>
      <c r="J2490" s="71">
        <f>IF($N2490&lt;&gt;"OK","",N(INDEX('Menu Pricing'!$F$7:$F$56,$O2490))+N(INDEX('Menu Pricing'!$G$7:$G$56,$O2490))+N(INDEX('Menu Pricing'!$J$7:$J$56,$O2490)))</f>
        <v/>
      </c>
      <c r="K2490" s="71">
        <f>IF($N2490&lt;&gt;"OK","",$D2490*$J2490)</f>
        <v/>
      </c>
      <c r="L2490" s="71">
        <f>IF($N2490&lt;&gt;"OK","",$I2490-$K2490)</f>
        <v/>
      </c>
      <c r="M2490" s="71">
        <f>IF($N2490&lt;&gt;"OK","",$D2490*N(INDEX('Menu Pricing'!$F$7:$F$56,$O2490)))</f>
        <v/>
      </c>
      <c r="N2490" s="80">
        <f>IF(AND($B2490="",$C2490="",$D2490=""),"",IF(NOT(ISNUMBER($B2490)),"Enter a valid date",IF($C2490="","Pick a menu item",IF($O2490="","Item not on Menu Pricing",IF(N($D2490)&lt;=0,"Qty must be above 0",IF($H2490="","No price on menu","OK"))))))</f>
        <v/>
      </c>
      <c r="O2490" s="13">
        <f>IF($C2490="","",IFERROR(MATCH($C2490,'Menu Pricing'!$B$7:$B$56,0),""))</f>
        <v/>
      </c>
    </row>
    <row r="2491" ht="17" customHeight="1">
      <c r="B2491" s="66" t="n"/>
      <c r="C2491" s="60" t="n"/>
      <c r="D2491" s="86" t="n"/>
      <c r="E2491" s="63" t="n"/>
      <c r="F2491" s="60" t="n"/>
      <c r="G2491" s="60" t="n"/>
      <c r="H2491" s="71">
        <f>IF(OR($C2491="",$D2491=""),"",IF(ISNUMBER($E2491),$E2491,IF($O2491="","",IF(N(INDEX('Menu Pricing'!$O$7:$O$56,$O2491))&gt;0,INDEX('Menu Pricing'!$O$7:$O$56,$O2491),""))))</f>
        <v/>
      </c>
      <c r="I2491" s="71">
        <f>IF($N2491&lt;&gt;"OK","",$D2491*$H2491)</f>
        <v/>
      </c>
      <c r="J2491" s="71">
        <f>IF($N2491&lt;&gt;"OK","",N(INDEX('Menu Pricing'!$F$7:$F$56,$O2491))+N(INDEX('Menu Pricing'!$G$7:$G$56,$O2491))+N(INDEX('Menu Pricing'!$J$7:$J$56,$O2491)))</f>
        <v/>
      </c>
      <c r="K2491" s="71">
        <f>IF($N2491&lt;&gt;"OK","",$D2491*$J2491)</f>
        <v/>
      </c>
      <c r="L2491" s="71">
        <f>IF($N2491&lt;&gt;"OK","",$I2491-$K2491)</f>
        <v/>
      </c>
      <c r="M2491" s="71">
        <f>IF($N2491&lt;&gt;"OK","",$D2491*N(INDEX('Menu Pricing'!$F$7:$F$56,$O2491)))</f>
        <v/>
      </c>
      <c r="N2491" s="80">
        <f>IF(AND($B2491="",$C2491="",$D2491=""),"",IF(NOT(ISNUMBER($B2491)),"Enter a valid date",IF($C2491="","Pick a menu item",IF($O2491="","Item not on Menu Pricing",IF(N($D2491)&lt;=0,"Qty must be above 0",IF($H2491="","No price on menu","OK"))))))</f>
        <v/>
      </c>
      <c r="O2491" s="13">
        <f>IF($C2491="","",IFERROR(MATCH($C2491,'Menu Pricing'!$B$7:$B$56,0),""))</f>
        <v/>
      </c>
    </row>
    <row r="2492" ht="17" customHeight="1">
      <c r="B2492" s="66" t="n"/>
      <c r="C2492" s="60" t="n"/>
      <c r="D2492" s="86" t="n"/>
      <c r="E2492" s="63" t="n"/>
      <c r="F2492" s="60" t="n"/>
      <c r="G2492" s="60" t="n"/>
      <c r="H2492" s="71">
        <f>IF(OR($C2492="",$D2492=""),"",IF(ISNUMBER($E2492),$E2492,IF($O2492="","",IF(N(INDEX('Menu Pricing'!$O$7:$O$56,$O2492))&gt;0,INDEX('Menu Pricing'!$O$7:$O$56,$O2492),""))))</f>
        <v/>
      </c>
      <c r="I2492" s="71">
        <f>IF($N2492&lt;&gt;"OK","",$D2492*$H2492)</f>
        <v/>
      </c>
      <c r="J2492" s="71">
        <f>IF($N2492&lt;&gt;"OK","",N(INDEX('Menu Pricing'!$F$7:$F$56,$O2492))+N(INDEX('Menu Pricing'!$G$7:$G$56,$O2492))+N(INDEX('Menu Pricing'!$J$7:$J$56,$O2492)))</f>
        <v/>
      </c>
      <c r="K2492" s="71">
        <f>IF($N2492&lt;&gt;"OK","",$D2492*$J2492)</f>
        <v/>
      </c>
      <c r="L2492" s="71">
        <f>IF($N2492&lt;&gt;"OK","",$I2492-$K2492)</f>
        <v/>
      </c>
      <c r="M2492" s="71">
        <f>IF($N2492&lt;&gt;"OK","",$D2492*N(INDEX('Menu Pricing'!$F$7:$F$56,$O2492)))</f>
        <v/>
      </c>
      <c r="N2492" s="80">
        <f>IF(AND($B2492="",$C2492="",$D2492=""),"",IF(NOT(ISNUMBER($B2492)),"Enter a valid date",IF($C2492="","Pick a menu item",IF($O2492="","Item not on Menu Pricing",IF(N($D2492)&lt;=0,"Qty must be above 0",IF($H2492="","No price on menu","OK"))))))</f>
        <v/>
      </c>
      <c r="O2492" s="13">
        <f>IF($C2492="","",IFERROR(MATCH($C2492,'Menu Pricing'!$B$7:$B$56,0),""))</f>
        <v/>
      </c>
    </row>
    <row r="2493" ht="17" customHeight="1">
      <c r="B2493" s="66" t="n"/>
      <c r="C2493" s="60" t="n"/>
      <c r="D2493" s="86" t="n"/>
      <c r="E2493" s="63" t="n"/>
      <c r="F2493" s="60" t="n"/>
      <c r="G2493" s="60" t="n"/>
      <c r="H2493" s="71">
        <f>IF(OR($C2493="",$D2493=""),"",IF(ISNUMBER($E2493),$E2493,IF($O2493="","",IF(N(INDEX('Menu Pricing'!$O$7:$O$56,$O2493))&gt;0,INDEX('Menu Pricing'!$O$7:$O$56,$O2493),""))))</f>
        <v/>
      </c>
      <c r="I2493" s="71">
        <f>IF($N2493&lt;&gt;"OK","",$D2493*$H2493)</f>
        <v/>
      </c>
      <c r="J2493" s="71">
        <f>IF($N2493&lt;&gt;"OK","",N(INDEX('Menu Pricing'!$F$7:$F$56,$O2493))+N(INDEX('Menu Pricing'!$G$7:$G$56,$O2493))+N(INDEX('Menu Pricing'!$J$7:$J$56,$O2493)))</f>
        <v/>
      </c>
      <c r="K2493" s="71">
        <f>IF($N2493&lt;&gt;"OK","",$D2493*$J2493)</f>
        <v/>
      </c>
      <c r="L2493" s="71">
        <f>IF($N2493&lt;&gt;"OK","",$I2493-$K2493)</f>
        <v/>
      </c>
      <c r="M2493" s="71">
        <f>IF($N2493&lt;&gt;"OK","",$D2493*N(INDEX('Menu Pricing'!$F$7:$F$56,$O2493)))</f>
        <v/>
      </c>
      <c r="N2493" s="80">
        <f>IF(AND($B2493="",$C2493="",$D2493=""),"",IF(NOT(ISNUMBER($B2493)),"Enter a valid date",IF($C2493="","Pick a menu item",IF($O2493="","Item not on Menu Pricing",IF(N($D2493)&lt;=0,"Qty must be above 0",IF($H2493="","No price on menu","OK"))))))</f>
        <v/>
      </c>
      <c r="O2493" s="13">
        <f>IF($C2493="","",IFERROR(MATCH($C2493,'Menu Pricing'!$B$7:$B$56,0),""))</f>
        <v/>
      </c>
    </row>
    <row r="2494" ht="17" customHeight="1">
      <c r="B2494" s="66" t="n"/>
      <c r="C2494" s="60" t="n"/>
      <c r="D2494" s="86" t="n"/>
      <c r="E2494" s="63" t="n"/>
      <c r="F2494" s="60" t="n"/>
      <c r="G2494" s="60" t="n"/>
      <c r="H2494" s="71">
        <f>IF(OR($C2494="",$D2494=""),"",IF(ISNUMBER($E2494),$E2494,IF($O2494="","",IF(N(INDEX('Menu Pricing'!$O$7:$O$56,$O2494))&gt;0,INDEX('Menu Pricing'!$O$7:$O$56,$O2494),""))))</f>
        <v/>
      </c>
      <c r="I2494" s="71">
        <f>IF($N2494&lt;&gt;"OK","",$D2494*$H2494)</f>
        <v/>
      </c>
      <c r="J2494" s="71">
        <f>IF($N2494&lt;&gt;"OK","",N(INDEX('Menu Pricing'!$F$7:$F$56,$O2494))+N(INDEX('Menu Pricing'!$G$7:$G$56,$O2494))+N(INDEX('Menu Pricing'!$J$7:$J$56,$O2494)))</f>
        <v/>
      </c>
      <c r="K2494" s="71">
        <f>IF($N2494&lt;&gt;"OK","",$D2494*$J2494)</f>
        <v/>
      </c>
      <c r="L2494" s="71">
        <f>IF($N2494&lt;&gt;"OK","",$I2494-$K2494)</f>
        <v/>
      </c>
      <c r="M2494" s="71">
        <f>IF($N2494&lt;&gt;"OK","",$D2494*N(INDEX('Menu Pricing'!$F$7:$F$56,$O2494)))</f>
        <v/>
      </c>
      <c r="N2494" s="80">
        <f>IF(AND($B2494="",$C2494="",$D2494=""),"",IF(NOT(ISNUMBER($B2494)),"Enter a valid date",IF($C2494="","Pick a menu item",IF($O2494="","Item not on Menu Pricing",IF(N($D2494)&lt;=0,"Qty must be above 0",IF($H2494="","No price on menu","OK"))))))</f>
        <v/>
      </c>
      <c r="O2494" s="13">
        <f>IF($C2494="","",IFERROR(MATCH($C2494,'Menu Pricing'!$B$7:$B$56,0),""))</f>
        <v/>
      </c>
    </row>
    <row r="2495" ht="17" customHeight="1">
      <c r="B2495" s="66" t="n"/>
      <c r="C2495" s="60" t="n"/>
      <c r="D2495" s="86" t="n"/>
      <c r="E2495" s="63" t="n"/>
      <c r="F2495" s="60" t="n"/>
      <c r="G2495" s="60" t="n"/>
      <c r="H2495" s="71">
        <f>IF(OR($C2495="",$D2495=""),"",IF(ISNUMBER($E2495),$E2495,IF($O2495="","",IF(N(INDEX('Menu Pricing'!$O$7:$O$56,$O2495))&gt;0,INDEX('Menu Pricing'!$O$7:$O$56,$O2495),""))))</f>
        <v/>
      </c>
      <c r="I2495" s="71">
        <f>IF($N2495&lt;&gt;"OK","",$D2495*$H2495)</f>
        <v/>
      </c>
      <c r="J2495" s="71">
        <f>IF($N2495&lt;&gt;"OK","",N(INDEX('Menu Pricing'!$F$7:$F$56,$O2495))+N(INDEX('Menu Pricing'!$G$7:$G$56,$O2495))+N(INDEX('Menu Pricing'!$J$7:$J$56,$O2495)))</f>
        <v/>
      </c>
      <c r="K2495" s="71">
        <f>IF($N2495&lt;&gt;"OK","",$D2495*$J2495)</f>
        <v/>
      </c>
      <c r="L2495" s="71">
        <f>IF($N2495&lt;&gt;"OK","",$I2495-$K2495)</f>
        <v/>
      </c>
      <c r="M2495" s="71">
        <f>IF($N2495&lt;&gt;"OK","",$D2495*N(INDEX('Menu Pricing'!$F$7:$F$56,$O2495)))</f>
        <v/>
      </c>
      <c r="N2495" s="80">
        <f>IF(AND($B2495="",$C2495="",$D2495=""),"",IF(NOT(ISNUMBER($B2495)),"Enter a valid date",IF($C2495="","Pick a menu item",IF($O2495="","Item not on Menu Pricing",IF(N($D2495)&lt;=0,"Qty must be above 0",IF($H2495="","No price on menu","OK"))))))</f>
        <v/>
      </c>
      <c r="O2495" s="13">
        <f>IF($C2495="","",IFERROR(MATCH($C2495,'Menu Pricing'!$B$7:$B$56,0),""))</f>
        <v/>
      </c>
    </row>
    <row r="2496" ht="17" customHeight="1">
      <c r="B2496" s="66" t="n"/>
      <c r="C2496" s="60" t="n"/>
      <c r="D2496" s="86" t="n"/>
      <c r="E2496" s="63" t="n"/>
      <c r="F2496" s="60" t="n"/>
      <c r="G2496" s="60" t="n"/>
      <c r="H2496" s="71">
        <f>IF(OR($C2496="",$D2496=""),"",IF(ISNUMBER($E2496),$E2496,IF($O2496="","",IF(N(INDEX('Menu Pricing'!$O$7:$O$56,$O2496))&gt;0,INDEX('Menu Pricing'!$O$7:$O$56,$O2496),""))))</f>
        <v/>
      </c>
      <c r="I2496" s="71">
        <f>IF($N2496&lt;&gt;"OK","",$D2496*$H2496)</f>
        <v/>
      </c>
      <c r="J2496" s="71">
        <f>IF($N2496&lt;&gt;"OK","",N(INDEX('Menu Pricing'!$F$7:$F$56,$O2496))+N(INDEX('Menu Pricing'!$G$7:$G$56,$O2496))+N(INDEX('Menu Pricing'!$J$7:$J$56,$O2496)))</f>
        <v/>
      </c>
      <c r="K2496" s="71">
        <f>IF($N2496&lt;&gt;"OK","",$D2496*$J2496)</f>
        <v/>
      </c>
      <c r="L2496" s="71">
        <f>IF($N2496&lt;&gt;"OK","",$I2496-$K2496)</f>
        <v/>
      </c>
      <c r="M2496" s="71">
        <f>IF($N2496&lt;&gt;"OK","",$D2496*N(INDEX('Menu Pricing'!$F$7:$F$56,$O2496)))</f>
        <v/>
      </c>
      <c r="N2496" s="80">
        <f>IF(AND($B2496="",$C2496="",$D2496=""),"",IF(NOT(ISNUMBER($B2496)),"Enter a valid date",IF($C2496="","Pick a menu item",IF($O2496="","Item not on Menu Pricing",IF(N($D2496)&lt;=0,"Qty must be above 0",IF($H2496="","No price on menu","OK"))))))</f>
        <v/>
      </c>
      <c r="O2496" s="13">
        <f>IF($C2496="","",IFERROR(MATCH($C2496,'Menu Pricing'!$B$7:$B$56,0),""))</f>
        <v/>
      </c>
    </row>
    <row r="2497" ht="17" customHeight="1">
      <c r="B2497" s="66" t="n"/>
      <c r="C2497" s="60" t="n"/>
      <c r="D2497" s="86" t="n"/>
      <c r="E2497" s="63" t="n"/>
      <c r="F2497" s="60" t="n"/>
      <c r="G2497" s="60" t="n"/>
      <c r="H2497" s="71">
        <f>IF(OR($C2497="",$D2497=""),"",IF(ISNUMBER($E2497),$E2497,IF($O2497="","",IF(N(INDEX('Menu Pricing'!$O$7:$O$56,$O2497))&gt;0,INDEX('Menu Pricing'!$O$7:$O$56,$O2497),""))))</f>
        <v/>
      </c>
      <c r="I2497" s="71">
        <f>IF($N2497&lt;&gt;"OK","",$D2497*$H2497)</f>
        <v/>
      </c>
      <c r="J2497" s="71">
        <f>IF($N2497&lt;&gt;"OK","",N(INDEX('Menu Pricing'!$F$7:$F$56,$O2497))+N(INDEX('Menu Pricing'!$G$7:$G$56,$O2497))+N(INDEX('Menu Pricing'!$J$7:$J$56,$O2497)))</f>
        <v/>
      </c>
      <c r="K2497" s="71">
        <f>IF($N2497&lt;&gt;"OK","",$D2497*$J2497)</f>
        <v/>
      </c>
      <c r="L2497" s="71">
        <f>IF($N2497&lt;&gt;"OK","",$I2497-$K2497)</f>
        <v/>
      </c>
      <c r="M2497" s="71">
        <f>IF($N2497&lt;&gt;"OK","",$D2497*N(INDEX('Menu Pricing'!$F$7:$F$56,$O2497)))</f>
        <v/>
      </c>
      <c r="N2497" s="80">
        <f>IF(AND($B2497="",$C2497="",$D2497=""),"",IF(NOT(ISNUMBER($B2497)),"Enter a valid date",IF($C2497="","Pick a menu item",IF($O2497="","Item not on Menu Pricing",IF(N($D2497)&lt;=0,"Qty must be above 0",IF($H2497="","No price on menu","OK"))))))</f>
        <v/>
      </c>
      <c r="O2497" s="13">
        <f>IF($C2497="","",IFERROR(MATCH($C2497,'Menu Pricing'!$B$7:$B$56,0),""))</f>
        <v/>
      </c>
    </row>
    <row r="2498" ht="17" customHeight="1">
      <c r="B2498" s="66" t="n"/>
      <c r="C2498" s="60" t="n"/>
      <c r="D2498" s="86" t="n"/>
      <c r="E2498" s="63" t="n"/>
      <c r="F2498" s="60" t="n"/>
      <c r="G2498" s="60" t="n"/>
      <c r="H2498" s="71">
        <f>IF(OR($C2498="",$D2498=""),"",IF(ISNUMBER($E2498),$E2498,IF($O2498="","",IF(N(INDEX('Menu Pricing'!$O$7:$O$56,$O2498))&gt;0,INDEX('Menu Pricing'!$O$7:$O$56,$O2498),""))))</f>
        <v/>
      </c>
      <c r="I2498" s="71">
        <f>IF($N2498&lt;&gt;"OK","",$D2498*$H2498)</f>
        <v/>
      </c>
      <c r="J2498" s="71">
        <f>IF($N2498&lt;&gt;"OK","",N(INDEX('Menu Pricing'!$F$7:$F$56,$O2498))+N(INDEX('Menu Pricing'!$G$7:$G$56,$O2498))+N(INDEX('Menu Pricing'!$J$7:$J$56,$O2498)))</f>
        <v/>
      </c>
      <c r="K2498" s="71">
        <f>IF($N2498&lt;&gt;"OK","",$D2498*$J2498)</f>
        <v/>
      </c>
      <c r="L2498" s="71">
        <f>IF($N2498&lt;&gt;"OK","",$I2498-$K2498)</f>
        <v/>
      </c>
      <c r="M2498" s="71">
        <f>IF($N2498&lt;&gt;"OK","",$D2498*N(INDEX('Menu Pricing'!$F$7:$F$56,$O2498)))</f>
        <v/>
      </c>
      <c r="N2498" s="80">
        <f>IF(AND($B2498="",$C2498="",$D2498=""),"",IF(NOT(ISNUMBER($B2498)),"Enter a valid date",IF($C2498="","Pick a menu item",IF($O2498="","Item not on Menu Pricing",IF(N($D2498)&lt;=0,"Qty must be above 0",IF($H2498="","No price on menu","OK"))))))</f>
        <v/>
      </c>
      <c r="O2498" s="13">
        <f>IF($C2498="","",IFERROR(MATCH($C2498,'Menu Pricing'!$B$7:$B$56,0),""))</f>
        <v/>
      </c>
    </row>
    <row r="2499" ht="17" customHeight="1">
      <c r="B2499" s="66" t="n"/>
      <c r="C2499" s="60" t="n"/>
      <c r="D2499" s="86" t="n"/>
      <c r="E2499" s="63" t="n"/>
      <c r="F2499" s="60" t="n"/>
      <c r="G2499" s="60" t="n"/>
      <c r="H2499" s="71">
        <f>IF(OR($C2499="",$D2499=""),"",IF(ISNUMBER($E2499),$E2499,IF($O2499="","",IF(N(INDEX('Menu Pricing'!$O$7:$O$56,$O2499))&gt;0,INDEX('Menu Pricing'!$O$7:$O$56,$O2499),""))))</f>
        <v/>
      </c>
      <c r="I2499" s="71">
        <f>IF($N2499&lt;&gt;"OK","",$D2499*$H2499)</f>
        <v/>
      </c>
      <c r="J2499" s="71">
        <f>IF($N2499&lt;&gt;"OK","",N(INDEX('Menu Pricing'!$F$7:$F$56,$O2499))+N(INDEX('Menu Pricing'!$G$7:$G$56,$O2499))+N(INDEX('Menu Pricing'!$J$7:$J$56,$O2499)))</f>
        <v/>
      </c>
      <c r="K2499" s="71">
        <f>IF($N2499&lt;&gt;"OK","",$D2499*$J2499)</f>
        <v/>
      </c>
      <c r="L2499" s="71">
        <f>IF($N2499&lt;&gt;"OK","",$I2499-$K2499)</f>
        <v/>
      </c>
      <c r="M2499" s="71">
        <f>IF($N2499&lt;&gt;"OK","",$D2499*N(INDEX('Menu Pricing'!$F$7:$F$56,$O2499)))</f>
        <v/>
      </c>
      <c r="N2499" s="80">
        <f>IF(AND($B2499="",$C2499="",$D2499=""),"",IF(NOT(ISNUMBER($B2499)),"Enter a valid date",IF($C2499="","Pick a menu item",IF($O2499="","Item not on Menu Pricing",IF(N($D2499)&lt;=0,"Qty must be above 0",IF($H2499="","No price on menu","OK"))))))</f>
        <v/>
      </c>
      <c r="O2499" s="13">
        <f>IF($C2499="","",IFERROR(MATCH($C2499,'Menu Pricing'!$B$7:$B$56,0),""))</f>
        <v/>
      </c>
    </row>
    <row r="2500" ht="17" customHeight="1">
      <c r="B2500" s="66" t="n"/>
      <c r="C2500" s="60" t="n"/>
      <c r="D2500" s="86" t="n"/>
      <c r="E2500" s="63" t="n"/>
      <c r="F2500" s="60" t="n"/>
      <c r="G2500" s="60" t="n"/>
      <c r="H2500" s="71">
        <f>IF(OR($C2500="",$D2500=""),"",IF(ISNUMBER($E2500),$E2500,IF($O2500="","",IF(N(INDEX('Menu Pricing'!$O$7:$O$56,$O2500))&gt;0,INDEX('Menu Pricing'!$O$7:$O$56,$O2500),""))))</f>
        <v/>
      </c>
      <c r="I2500" s="71">
        <f>IF($N2500&lt;&gt;"OK","",$D2500*$H2500)</f>
        <v/>
      </c>
      <c r="J2500" s="71">
        <f>IF($N2500&lt;&gt;"OK","",N(INDEX('Menu Pricing'!$F$7:$F$56,$O2500))+N(INDEX('Menu Pricing'!$G$7:$G$56,$O2500))+N(INDEX('Menu Pricing'!$J$7:$J$56,$O2500)))</f>
        <v/>
      </c>
      <c r="K2500" s="71">
        <f>IF($N2500&lt;&gt;"OK","",$D2500*$J2500)</f>
        <v/>
      </c>
      <c r="L2500" s="71">
        <f>IF($N2500&lt;&gt;"OK","",$I2500-$K2500)</f>
        <v/>
      </c>
      <c r="M2500" s="71">
        <f>IF($N2500&lt;&gt;"OK","",$D2500*N(INDEX('Menu Pricing'!$F$7:$F$56,$O2500)))</f>
        <v/>
      </c>
      <c r="N2500" s="80">
        <f>IF(AND($B2500="",$C2500="",$D2500=""),"",IF(NOT(ISNUMBER($B2500)),"Enter a valid date",IF($C2500="","Pick a menu item",IF($O2500="","Item not on Menu Pricing",IF(N($D2500)&lt;=0,"Qty must be above 0",IF($H2500="","No price on menu","OK"))))))</f>
        <v/>
      </c>
      <c r="O2500" s="13">
        <f>IF($C2500="","",IFERROR(MATCH($C2500,'Menu Pricing'!$B$7:$B$56,0),""))</f>
        <v/>
      </c>
    </row>
    <row r="2501" ht="17" customHeight="1">
      <c r="B2501" s="66" t="n"/>
      <c r="C2501" s="60" t="n"/>
      <c r="D2501" s="86" t="n"/>
      <c r="E2501" s="63" t="n"/>
      <c r="F2501" s="60" t="n"/>
      <c r="G2501" s="60" t="n"/>
      <c r="H2501" s="71">
        <f>IF(OR($C2501="",$D2501=""),"",IF(ISNUMBER($E2501),$E2501,IF($O2501="","",IF(N(INDEX('Menu Pricing'!$O$7:$O$56,$O2501))&gt;0,INDEX('Menu Pricing'!$O$7:$O$56,$O2501),""))))</f>
        <v/>
      </c>
      <c r="I2501" s="71">
        <f>IF($N2501&lt;&gt;"OK","",$D2501*$H2501)</f>
        <v/>
      </c>
      <c r="J2501" s="71">
        <f>IF($N2501&lt;&gt;"OK","",N(INDEX('Menu Pricing'!$F$7:$F$56,$O2501))+N(INDEX('Menu Pricing'!$G$7:$G$56,$O2501))+N(INDEX('Menu Pricing'!$J$7:$J$56,$O2501)))</f>
        <v/>
      </c>
      <c r="K2501" s="71">
        <f>IF($N2501&lt;&gt;"OK","",$D2501*$J2501)</f>
        <v/>
      </c>
      <c r="L2501" s="71">
        <f>IF($N2501&lt;&gt;"OK","",$I2501-$K2501)</f>
        <v/>
      </c>
      <c r="M2501" s="71">
        <f>IF($N2501&lt;&gt;"OK","",$D2501*N(INDEX('Menu Pricing'!$F$7:$F$56,$O2501)))</f>
        <v/>
      </c>
      <c r="N2501" s="80">
        <f>IF(AND($B2501="",$C2501="",$D2501=""),"",IF(NOT(ISNUMBER($B2501)),"Enter a valid date",IF($C2501="","Pick a menu item",IF($O2501="","Item not on Menu Pricing",IF(N($D2501)&lt;=0,"Qty must be above 0",IF($H2501="","No price on menu","OK"))))))</f>
        <v/>
      </c>
      <c r="O2501" s="13">
        <f>IF($C2501="","",IFERROR(MATCH($C2501,'Menu Pricing'!$B$7:$B$56,0),""))</f>
        <v/>
      </c>
    </row>
    <row r="2502" ht="17" customHeight="1">
      <c r="B2502" s="66" t="n"/>
      <c r="C2502" s="60" t="n"/>
      <c r="D2502" s="86" t="n"/>
      <c r="E2502" s="63" t="n"/>
      <c r="F2502" s="60" t="n"/>
      <c r="G2502" s="60" t="n"/>
      <c r="H2502" s="71">
        <f>IF(OR($C2502="",$D2502=""),"",IF(ISNUMBER($E2502),$E2502,IF($O2502="","",IF(N(INDEX('Menu Pricing'!$O$7:$O$56,$O2502))&gt;0,INDEX('Menu Pricing'!$O$7:$O$56,$O2502),""))))</f>
        <v/>
      </c>
      <c r="I2502" s="71">
        <f>IF($N2502&lt;&gt;"OK","",$D2502*$H2502)</f>
        <v/>
      </c>
      <c r="J2502" s="71">
        <f>IF($N2502&lt;&gt;"OK","",N(INDEX('Menu Pricing'!$F$7:$F$56,$O2502))+N(INDEX('Menu Pricing'!$G$7:$G$56,$O2502))+N(INDEX('Menu Pricing'!$J$7:$J$56,$O2502)))</f>
        <v/>
      </c>
      <c r="K2502" s="71">
        <f>IF($N2502&lt;&gt;"OK","",$D2502*$J2502)</f>
        <v/>
      </c>
      <c r="L2502" s="71">
        <f>IF($N2502&lt;&gt;"OK","",$I2502-$K2502)</f>
        <v/>
      </c>
      <c r="M2502" s="71">
        <f>IF($N2502&lt;&gt;"OK","",$D2502*N(INDEX('Menu Pricing'!$F$7:$F$56,$O2502)))</f>
        <v/>
      </c>
      <c r="N2502" s="80">
        <f>IF(AND($B2502="",$C2502="",$D2502=""),"",IF(NOT(ISNUMBER($B2502)),"Enter a valid date",IF($C2502="","Pick a menu item",IF($O2502="","Item not on Menu Pricing",IF(N($D2502)&lt;=0,"Qty must be above 0",IF($H2502="","No price on menu","OK"))))))</f>
        <v/>
      </c>
      <c r="O2502" s="13">
        <f>IF($C2502="","",IFERROR(MATCH($C2502,'Menu Pricing'!$B$7:$B$56,0),""))</f>
        <v/>
      </c>
    </row>
    <row r="2503" ht="17" customHeight="1">
      <c r="B2503" s="66" t="n"/>
      <c r="C2503" s="60" t="n"/>
      <c r="D2503" s="86" t="n"/>
      <c r="E2503" s="63" t="n"/>
      <c r="F2503" s="60" t="n"/>
      <c r="G2503" s="60" t="n"/>
      <c r="H2503" s="71">
        <f>IF(OR($C2503="",$D2503=""),"",IF(ISNUMBER($E2503),$E2503,IF($O2503="","",IF(N(INDEX('Menu Pricing'!$O$7:$O$56,$O2503))&gt;0,INDEX('Menu Pricing'!$O$7:$O$56,$O2503),""))))</f>
        <v/>
      </c>
      <c r="I2503" s="71">
        <f>IF($N2503&lt;&gt;"OK","",$D2503*$H2503)</f>
        <v/>
      </c>
      <c r="J2503" s="71">
        <f>IF($N2503&lt;&gt;"OK","",N(INDEX('Menu Pricing'!$F$7:$F$56,$O2503))+N(INDEX('Menu Pricing'!$G$7:$G$56,$O2503))+N(INDEX('Menu Pricing'!$J$7:$J$56,$O2503)))</f>
        <v/>
      </c>
      <c r="K2503" s="71">
        <f>IF($N2503&lt;&gt;"OK","",$D2503*$J2503)</f>
        <v/>
      </c>
      <c r="L2503" s="71">
        <f>IF($N2503&lt;&gt;"OK","",$I2503-$K2503)</f>
        <v/>
      </c>
      <c r="M2503" s="71">
        <f>IF($N2503&lt;&gt;"OK","",$D2503*N(INDEX('Menu Pricing'!$F$7:$F$56,$O2503)))</f>
        <v/>
      </c>
      <c r="N2503" s="80">
        <f>IF(AND($B2503="",$C2503="",$D2503=""),"",IF(NOT(ISNUMBER($B2503)),"Enter a valid date",IF($C2503="","Pick a menu item",IF($O2503="","Item not on Menu Pricing",IF(N($D2503)&lt;=0,"Qty must be above 0",IF($H2503="","No price on menu","OK"))))))</f>
        <v/>
      </c>
      <c r="O2503" s="13">
        <f>IF($C2503="","",IFERROR(MATCH($C2503,'Menu Pricing'!$B$7:$B$56,0),""))</f>
        <v/>
      </c>
    </row>
    <row r="2504" ht="17" customHeight="1">
      <c r="B2504" s="66" t="n"/>
      <c r="C2504" s="60" t="n"/>
      <c r="D2504" s="86" t="n"/>
      <c r="E2504" s="63" t="n"/>
      <c r="F2504" s="60" t="n"/>
      <c r="G2504" s="60" t="n"/>
      <c r="H2504" s="71">
        <f>IF(OR($C2504="",$D2504=""),"",IF(ISNUMBER($E2504),$E2504,IF($O2504="","",IF(N(INDEX('Menu Pricing'!$O$7:$O$56,$O2504))&gt;0,INDEX('Menu Pricing'!$O$7:$O$56,$O2504),""))))</f>
        <v/>
      </c>
      <c r="I2504" s="71">
        <f>IF($N2504&lt;&gt;"OK","",$D2504*$H2504)</f>
        <v/>
      </c>
      <c r="J2504" s="71">
        <f>IF($N2504&lt;&gt;"OK","",N(INDEX('Menu Pricing'!$F$7:$F$56,$O2504))+N(INDEX('Menu Pricing'!$G$7:$G$56,$O2504))+N(INDEX('Menu Pricing'!$J$7:$J$56,$O2504)))</f>
        <v/>
      </c>
      <c r="K2504" s="71">
        <f>IF($N2504&lt;&gt;"OK","",$D2504*$J2504)</f>
        <v/>
      </c>
      <c r="L2504" s="71">
        <f>IF($N2504&lt;&gt;"OK","",$I2504-$K2504)</f>
        <v/>
      </c>
      <c r="M2504" s="71">
        <f>IF($N2504&lt;&gt;"OK","",$D2504*N(INDEX('Menu Pricing'!$F$7:$F$56,$O2504)))</f>
        <v/>
      </c>
      <c r="N2504" s="80">
        <f>IF(AND($B2504="",$C2504="",$D2504=""),"",IF(NOT(ISNUMBER($B2504)),"Enter a valid date",IF($C2504="","Pick a menu item",IF($O2504="","Item not on Menu Pricing",IF(N($D2504)&lt;=0,"Qty must be above 0",IF($H2504="","No price on menu","OK"))))))</f>
        <v/>
      </c>
      <c r="O2504" s="13">
        <f>IF($C2504="","",IFERROR(MATCH($C2504,'Menu Pricing'!$B$7:$B$56,0),""))</f>
        <v/>
      </c>
    </row>
    <row r="2505" ht="17" customHeight="1">
      <c r="B2505" s="66" t="n"/>
      <c r="C2505" s="60" t="n"/>
      <c r="D2505" s="86" t="n"/>
      <c r="E2505" s="63" t="n"/>
      <c r="F2505" s="60" t="n"/>
      <c r="G2505" s="60" t="n"/>
      <c r="H2505" s="71">
        <f>IF(OR($C2505="",$D2505=""),"",IF(ISNUMBER($E2505),$E2505,IF($O2505="","",IF(N(INDEX('Menu Pricing'!$O$7:$O$56,$O2505))&gt;0,INDEX('Menu Pricing'!$O$7:$O$56,$O2505),""))))</f>
        <v/>
      </c>
      <c r="I2505" s="71">
        <f>IF($N2505&lt;&gt;"OK","",$D2505*$H2505)</f>
        <v/>
      </c>
      <c r="J2505" s="71">
        <f>IF($N2505&lt;&gt;"OK","",N(INDEX('Menu Pricing'!$F$7:$F$56,$O2505))+N(INDEX('Menu Pricing'!$G$7:$G$56,$O2505))+N(INDEX('Menu Pricing'!$J$7:$J$56,$O2505)))</f>
        <v/>
      </c>
      <c r="K2505" s="71">
        <f>IF($N2505&lt;&gt;"OK","",$D2505*$J2505)</f>
        <v/>
      </c>
      <c r="L2505" s="71">
        <f>IF($N2505&lt;&gt;"OK","",$I2505-$K2505)</f>
        <v/>
      </c>
      <c r="M2505" s="71">
        <f>IF($N2505&lt;&gt;"OK","",$D2505*N(INDEX('Menu Pricing'!$F$7:$F$56,$O2505)))</f>
        <v/>
      </c>
      <c r="N2505" s="80">
        <f>IF(AND($B2505="",$C2505="",$D2505=""),"",IF(NOT(ISNUMBER($B2505)),"Enter a valid date",IF($C2505="","Pick a menu item",IF($O2505="","Item not on Menu Pricing",IF(N($D2505)&lt;=0,"Qty must be above 0",IF($H2505="","No price on menu","OK"))))))</f>
        <v/>
      </c>
      <c r="O2505" s="13">
        <f>IF($C2505="","",IFERROR(MATCH($C2505,'Menu Pricing'!$B$7:$B$56,0),""))</f>
        <v/>
      </c>
    </row>
    <row r="2506" ht="17" customHeight="1">
      <c r="B2506" s="66" t="n"/>
      <c r="C2506" s="60" t="n"/>
      <c r="D2506" s="86" t="n"/>
      <c r="E2506" s="63" t="n"/>
      <c r="F2506" s="60" t="n"/>
      <c r="G2506" s="60" t="n"/>
      <c r="H2506" s="71">
        <f>IF(OR($C2506="",$D2506=""),"",IF(ISNUMBER($E2506),$E2506,IF($O2506="","",IF(N(INDEX('Menu Pricing'!$O$7:$O$56,$O2506))&gt;0,INDEX('Menu Pricing'!$O$7:$O$56,$O2506),""))))</f>
        <v/>
      </c>
      <c r="I2506" s="71">
        <f>IF($N2506&lt;&gt;"OK","",$D2506*$H2506)</f>
        <v/>
      </c>
      <c r="J2506" s="71">
        <f>IF($N2506&lt;&gt;"OK","",N(INDEX('Menu Pricing'!$F$7:$F$56,$O2506))+N(INDEX('Menu Pricing'!$G$7:$G$56,$O2506))+N(INDEX('Menu Pricing'!$J$7:$J$56,$O2506)))</f>
        <v/>
      </c>
      <c r="K2506" s="71">
        <f>IF($N2506&lt;&gt;"OK","",$D2506*$J2506)</f>
        <v/>
      </c>
      <c r="L2506" s="71">
        <f>IF($N2506&lt;&gt;"OK","",$I2506-$K2506)</f>
        <v/>
      </c>
      <c r="M2506" s="71">
        <f>IF($N2506&lt;&gt;"OK","",$D2506*N(INDEX('Menu Pricing'!$F$7:$F$56,$O2506)))</f>
        <v/>
      </c>
      <c r="N2506" s="80">
        <f>IF(AND($B2506="",$C2506="",$D2506=""),"",IF(NOT(ISNUMBER($B2506)),"Enter a valid date",IF($C2506="","Pick a menu item",IF($O2506="","Item not on Menu Pricing",IF(N($D2506)&lt;=0,"Qty must be above 0",IF($H2506="","No price on menu","OK"))))))</f>
        <v/>
      </c>
      <c r="O2506" s="13">
        <f>IF($C2506="","",IFERROR(MATCH($C2506,'Menu Pricing'!$B$7:$B$56,0),""))</f>
        <v/>
      </c>
    </row>
    <row r="2507" ht="17" customHeight="1">
      <c r="B2507" s="66" t="n"/>
      <c r="C2507" s="60" t="n"/>
      <c r="D2507" s="86" t="n"/>
      <c r="E2507" s="63" t="n"/>
      <c r="F2507" s="60" t="n"/>
      <c r="G2507" s="60" t="n"/>
      <c r="H2507" s="71">
        <f>IF(OR($C2507="",$D2507=""),"",IF(ISNUMBER($E2507),$E2507,IF($O2507="","",IF(N(INDEX('Menu Pricing'!$O$7:$O$56,$O2507))&gt;0,INDEX('Menu Pricing'!$O$7:$O$56,$O2507),""))))</f>
        <v/>
      </c>
      <c r="I2507" s="71">
        <f>IF($N2507&lt;&gt;"OK","",$D2507*$H2507)</f>
        <v/>
      </c>
      <c r="J2507" s="71">
        <f>IF($N2507&lt;&gt;"OK","",N(INDEX('Menu Pricing'!$F$7:$F$56,$O2507))+N(INDEX('Menu Pricing'!$G$7:$G$56,$O2507))+N(INDEX('Menu Pricing'!$J$7:$J$56,$O2507)))</f>
        <v/>
      </c>
      <c r="K2507" s="71">
        <f>IF($N2507&lt;&gt;"OK","",$D2507*$J2507)</f>
        <v/>
      </c>
      <c r="L2507" s="71">
        <f>IF($N2507&lt;&gt;"OK","",$I2507-$K2507)</f>
        <v/>
      </c>
      <c r="M2507" s="71">
        <f>IF($N2507&lt;&gt;"OK","",$D2507*N(INDEX('Menu Pricing'!$F$7:$F$56,$O2507)))</f>
        <v/>
      </c>
      <c r="N2507" s="80">
        <f>IF(AND($B2507="",$C2507="",$D2507=""),"",IF(NOT(ISNUMBER($B2507)),"Enter a valid date",IF($C2507="","Pick a menu item",IF($O2507="","Item not on Menu Pricing",IF(N($D2507)&lt;=0,"Qty must be above 0",IF($H2507="","No price on menu","OK"))))))</f>
        <v/>
      </c>
      <c r="O2507" s="13">
        <f>IF($C2507="","",IFERROR(MATCH($C2507,'Menu Pricing'!$B$7:$B$56,0),""))</f>
        <v/>
      </c>
    </row>
    <row r="2508" ht="17" customHeight="1">
      <c r="B2508" s="66" t="n"/>
      <c r="C2508" s="60" t="n"/>
      <c r="D2508" s="86" t="n"/>
      <c r="E2508" s="63" t="n"/>
      <c r="F2508" s="60" t="n"/>
      <c r="G2508" s="60" t="n"/>
      <c r="H2508" s="71">
        <f>IF(OR($C2508="",$D2508=""),"",IF(ISNUMBER($E2508),$E2508,IF($O2508="","",IF(N(INDEX('Menu Pricing'!$O$7:$O$56,$O2508))&gt;0,INDEX('Menu Pricing'!$O$7:$O$56,$O2508),""))))</f>
        <v/>
      </c>
      <c r="I2508" s="71">
        <f>IF($N2508&lt;&gt;"OK","",$D2508*$H2508)</f>
        <v/>
      </c>
      <c r="J2508" s="71">
        <f>IF($N2508&lt;&gt;"OK","",N(INDEX('Menu Pricing'!$F$7:$F$56,$O2508))+N(INDEX('Menu Pricing'!$G$7:$G$56,$O2508))+N(INDEX('Menu Pricing'!$J$7:$J$56,$O2508)))</f>
        <v/>
      </c>
      <c r="K2508" s="71">
        <f>IF($N2508&lt;&gt;"OK","",$D2508*$J2508)</f>
        <v/>
      </c>
      <c r="L2508" s="71">
        <f>IF($N2508&lt;&gt;"OK","",$I2508-$K2508)</f>
        <v/>
      </c>
      <c r="M2508" s="71">
        <f>IF($N2508&lt;&gt;"OK","",$D2508*N(INDEX('Menu Pricing'!$F$7:$F$56,$O2508)))</f>
        <v/>
      </c>
      <c r="N2508" s="80">
        <f>IF(AND($B2508="",$C2508="",$D2508=""),"",IF(NOT(ISNUMBER($B2508)),"Enter a valid date",IF($C2508="","Pick a menu item",IF($O2508="","Item not on Menu Pricing",IF(N($D2508)&lt;=0,"Qty must be above 0",IF($H2508="","No price on menu","OK"))))))</f>
        <v/>
      </c>
      <c r="O2508" s="13">
        <f>IF($C2508="","",IFERROR(MATCH($C2508,'Menu Pricing'!$B$7:$B$56,0),""))</f>
        <v/>
      </c>
    </row>
    <row r="2509" ht="17" customHeight="1">
      <c r="B2509" s="66" t="n"/>
      <c r="C2509" s="60" t="n"/>
      <c r="D2509" s="86" t="n"/>
      <c r="E2509" s="63" t="n"/>
      <c r="F2509" s="60" t="n"/>
      <c r="G2509" s="60" t="n"/>
      <c r="H2509" s="71">
        <f>IF(OR($C2509="",$D2509=""),"",IF(ISNUMBER($E2509),$E2509,IF($O2509="","",IF(N(INDEX('Menu Pricing'!$O$7:$O$56,$O2509))&gt;0,INDEX('Menu Pricing'!$O$7:$O$56,$O2509),""))))</f>
        <v/>
      </c>
      <c r="I2509" s="71">
        <f>IF($N2509&lt;&gt;"OK","",$D2509*$H2509)</f>
        <v/>
      </c>
      <c r="J2509" s="71">
        <f>IF($N2509&lt;&gt;"OK","",N(INDEX('Menu Pricing'!$F$7:$F$56,$O2509))+N(INDEX('Menu Pricing'!$G$7:$G$56,$O2509))+N(INDEX('Menu Pricing'!$J$7:$J$56,$O2509)))</f>
        <v/>
      </c>
      <c r="K2509" s="71">
        <f>IF($N2509&lt;&gt;"OK","",$D2509*$J2509)</f>
        <v/>
      </c>
      <c r="L2509" s="71">
        <f>IF($N2509&lt;&gt;"OK","",$I2509-$K2509)</f>
        <v/>
      </c>
      <c r="M2509" s="71">
        <f>IF($N2509&lt;&gt;"OK","",$D2509*N(INDEX('Menu Pricing'!$F$7:$F$56,$O2509)))</f>
        <v/>
      </c>
      <c r="N2509" s="80">
        <f>IF(AND($B2509="",$C2509="",$D2509=""),"",IF(NOT(ISNUMBER($B2509)),"Enter a valid date",IF($C2509="","Pick a menu item",IF($O2509="","Item not on Menu Pricing",IF(N($D2509)&lt;=0,"Qty must be above 0",IF($H2509="","No price on menu","OK"))))))</f>
        <v/>
      </c>
      <c r="O2509" s="13">
        <f>IF($C2509="","",IFERROR(MATCH($C2509,'Menu Pricing'!$B$7:$B$56,0),""))</f>
        <v/>
      </c>
    </row>
    <row r="2510" ht="17" customHeight="1">
      <c r="B2510" s="66" t="n"/>
      <c r="C2510" s="60" t="n"/>
      <c r="D2510" s="86" t="n"/>
      <c r="E2510" s="63" t="n"/>
      <c r="F2510" s="60" t="n"/>
      <c r="G2510" s="60" t="n"/>
      <c r="H2510" s="71">
        <f>IF(OR($C2510="",$D2510=""),"",IF(ISNUMBER($E2510),$E2510,IF($O2510="","",IF(N(INDEX('Menu Pricing'!$O$7:$O$56,$O2510))&gt;0,INDEX('Menu Pricing'!$O$7:$O$56,$O2510),""))))</f>
        <v/>
      </c>
      <c r="I2510" s="71">
        <f>IF($N2510&lt;&gt;"OK","",$D2510*$H2510)</f>
        <v/>
      </c>
      <c r="J2510" s="71">
        <f>IF($N2510&lt;&gt;"OK","",N(INDEX('Menu Pricing'!$F$7:$F$56,$O2510))+N(INDEX('Menu Pricing'!$G$7:$G$56,$O2510))+N(INDEX('Menu Pricing'!$J$7:$J$56,$O2510)))</f>
        <v/>
      </c>
      <c r="K2510" s="71">
        <f>IF($N2510&lt;&gt;"OK","",$D2510*$J2510)</f>
        <v/>
      </c>
      <c r="L2510" s="71">
        <f>IF($N2510&lt;&gt;"OK","",$I2510-$K2510)</f>
        <v/>
      </c>
      <c r="M2510" s="71">
        <f>IF($N2510&lt;&gt;"OK","",$D2510*N(INDEX('Menu Pricing'!$F$7:$F$56,$O2510)))</f>
        <v/>
      </c>
      <c r="N2510" s="80">
        <f>IF(AND($B2510="",$C2510="",$D2510=""),"",IF(NOT(ISNUMBER($B2510)),"Enter a valid date",IF($C2510="","Pick a menu item",IF($O2510="","Item not on Menu Pricing",IF(N($D2510)&lt;=0,"Qty must be above 0",IF($H2510="","No price on menu","OK"))))))</f>
        <v/>
      </c>
      <c r="O2510" s="13">
        <f>IF($C2510="","",IFERROR(MATCH($C2510,'Menu Pricing'!$B$7:$B$56,0),""))</f>
        <v/>
      </c>
    </row>
    <row r="2511" ht="17" customHeight="1">
      <c r="B2511" s="66" t="n"/>
      <c r="C2511" s="60" t="n"/>
      <c r="D2511" s="86" t="n"/>
      <c r="E2511" s="63" t="n"/>
      <c r="F2511" s="60" t="n"/>
      <c r="G2511" s="60" t="n"/>
      <c r="H2511" s="71">
        <f>IF(OR($C2511="",$D2511=""),"",IF(ISNUMBER($E2511),$E2511,IF($O2511="","",IF(N(INDEX('Menu Pricing'!$O$7:$O$56,$O2511))&gt;0,INDEX('Menu Pricing'!$O$7:$O$56,$O2511),""))))</f>
        <v/>
      </c>
      <c r="I2511" s="71">
        <f>IF($N2511&lt;&gt;"OK","",$D2511*$H2511)</f>
        <v/>
      </c>
      <c r="J2511" s="71">
        <f>IF($N2511&lt;&gt;"OK","",N(INDEX('Menu Pricing'!$F$7:$F$56,$O2511))+N(INDEX('Menu Pricing'!$G$7:$G$56,$O2511))+N(INDEX('Menu Pricing'!$J$7:$J$56,$O2511)))</f>
        <v/>
      </c>
      <c r="K2511" s="71">
        <f>IF($N2511&lt;&gt;"OK","",$D2511*$J2511)</f>
        <v/>
      </c>
      <c r="L2511" s="71">
        <f>IF($N2511&lt;&gt;"OK","",$I2511-$K2511)</f>
        <v/>
      </c>
      <c r="M2511" s="71">
        <f>IF($N2511&lt;&gt;"OK","",$D2511*N(INDEX('Menu Pricing'!$F$7:$F$56,$O2511)))</f>
        <v/>
      </c>
      <c r="N2511" s="80">
        <f>IF(AND($B2511="",$C2511="",$D2511=""),"",IF(NOT(ISNUMBER($B2511)),"Enter a valid date",IF($C2511="","Pick a menu item",IF($O2511="","Item not on Menu Pricing",IF(N($D2511)&lt;=0,"Qty must be above 0",IF($H2511="","No price on menu","OK"))))))</f>
        <v/>
      </c>
      <c r="O2511" s="13">
        <f>IF($C2511="","",IFERROR(MATCH($C2511,'Menu Pricing'!$B$7:$B$56,0),""))</f>
        <v/>
      </c>
    </row>
    <row r="2512" ht="17" customHeight="1">
      <c r="B2512" s="66" t="n"/>
      <c r="C2512" s="60" t="n"/>
      <c r="D2512" s="86" t="n"/>
      <c r="E2512" s="63" t="n"/>
      <c r="F2512" s="60" t="n"/>
      <c r="G2512" s="60" t="n"/>
      <c r="H2512" s="71">
        <f>IF(OR($C2512="",$D2512=""),"",IF(ISNUMBER($E2512),$E2512,IF($O2512="","",IF(N(INDEX('Menu Pricing'!$O$7:$O$56,$O2512))&gt;0,INDEX('Menu Pricing'!$O$7:$O$56,$O2512),""))))</f>
        <v/>
      </c>
      <c r="I2512" s="71">
        <f>IF($N2512&lt;&gt;"OK","",$D2512*$H2512)</f>
        <v/>
      </c>
      <c r="J2512" s="71">
        <f>IF($N2512&lt;&gt;"OK","",N(INDEX('Menu Pricing'!$F$7:$F$56,$O2512))+N(INDEX('Menu Pricing'!$G$7:$G$56,$O2512))+N(INDEX('Menu Pricing'!$J$7:$J$56,$O2512)))</f>
        <v/>
      </c>
      <c r="K2512" s="71">
        <f>IF($N2512&lt;&gt;"OK","",$D2512*$J2512)</f>
        <v/>
      </c>
      <c r="L2512" s="71">
        <f>IF($N2512&lt;&gt;"OK","",$I2512-$K2512)</f>
        <v/>
      </c>
      <c r="M2512" s="71">
        <f>IF($N2512&lt;&gt;"OK","",$D2512*N(INDEX('Menu Pricing'!$F$7:$F$56,$O2512)))</f>
        <v/>
      </c>
      <c r="N2512" s="80">
        <f>IF(AND($B2512="",$C2512="",$D2512=""),"",IF(NOT(ISNUMBER($B2512)),"Enter a valid date",IF($C2512="","Pick a menu item",IF($O2512="","Item not on Menu Pricing",IF(N($D2512)&lt;=0,"Qty must be above 0",IF($H2512="","No price on menu","OK"))))))</f>
        <v/>
      </c>
      <c r="O2512" s="13">
        <f>IF($C2512="","",IFERROR(MATCH($C2512,'Menu Pricing'!$B$7:$B$56,0),""))</f>
        <v/>
      </c>
    </row>
    <row r="2513" ht="17" customHeight="1">
      <c r="B2513" s="66" t="n"/>
      <c r="C2513" s="60" t="n"/>
      <c r="D2513" s="86" t="n"/>
      <c r="E2513" s="63" t="n"/>
      <c r="F2513" s="60" t="n"/>
      <c r="G2513" s="60" t="n"/>
      <c r="H2513" s="71">
        <f>IF(OR($C2513="",$D2513=""),"",IF(ISNUMBER($E2513),$E2513,IF($O2513="","",IF(N(INDEX('Menu Pricing'!$O$7:$O$56,$O2513))&gt;0,INDEX('Menu Pricing'!$O$7:$O$56,$O2513),""))))</f>
        <v/>
      </c>
      <c r="I2513" s="71">
        <f>IF($N2513&lt;&gt;"OK","",$D2513*$H2513)</f>
        <v/>
      </c>
      <c r="J2513" s="71">
        <f>IF($N2513&lt;&gt;"OK","",N(INDEX('Menu Pricing'!$F$7:$F$56,$O2513))+N(INDEX('Menu Pricing'!$G$7:$G$56,$O2513))+N(INDEX('Menu Pricing'!$J$7:$J$56,$O2513)))</f>
        <v/>
      </c>
      <c r="K2513" s="71">
        <f>IF($N2513&lt;&gt;"OK","",$D2513*$J2513)</f>
        <v/>
      </c>
      <c r="L2513" s="71">
        <f>IF($N2513&lt;&gt;"OK","",$I2513-$K2513)</f>
        <v/>
      </c>
      <c r="M2513" s="71">
        <f>IF($N2513&lt;&gt;"OK","",$D2513*N(INDEX('Menu Pricing'!$F$7:$F$56,$O2513)))</f>
        <v/>
      </c>
      <c r="N2513" s="80">
        <f>IF(AND($B2513="",$C2513="",$D2513=""),"",IF(NOT(ISNUMBER($B2513)),"Enter a valid date",IF($C2513="","Pick a menu item",IF($O2513="","Item not on Menu Pricing",IF(N($D2513)&lt;=0,"Qty must be above 0",IF($H2513="","No price on menu","OK"))))))</f>
        <v/>
      </c>
      <c r="O2513" s="13">
        <f>IF($C2513="","",IFERROR(MATCH($C2513,'Menu Pricing'!$B$7:$B$56,0),""))</f>
        <v/>
      </c>
    </row>
    <row r="2514" ht="17" customHeight="1">
      <c r="B2514" s="66" t="n"/>
      <c r="C2514" s="60" t="n"/>
      <c r="D2514" s="86" t="n"/>
      <c r="E2514" s="63" t="n"/>
      <c r="F2514" s="60" t="n"/>
      <c r="G2514" s="60" t="n"/>
      <c r="H2514" s="71">
        <f>IF(OR($C2514="",$D2514=""),"",IF(ISNUMBER($E2514),$E2514,IF($O2514="","",IF(N(INDEX('Menu Pricing'!$O$7:$O$56,$O2514))&gt;0,INDEX('Menu Pricing'!$O$7:$O$56,$O2514),""))))</f>
        <v/>
      </c>
      <c r="I2514" s="71">
        <f>IF($N2514&lt;&gt;"OK","",$D2514*$H2514)</f>
        <v/>
      </c>
      <c r="J2514" s="71">
        <f>IF($N2514&lt;&gt;"OK","",N(INDEX('Menu Pricing'!$F$7:$F$56,$O2514))+N(INDEX('Menu Pricing'!$G$7:$G$56,$O2514))+N(INDEX('Menu Pricing'!$J$7:$J$56,$O2514)))</f>
        <v/>
      </c>
      <c r="K2514" s="71">
        <f>IF($N2514&lt;&gt;"OK","",$D2514*$J2514)</f>
        <v/>
      </c>
      <c r="L2514" s="71">
        <f>IF($N2514&lt;&gt;"OK","",$I2514-$K2514)</f>
        <v/>
      </c>
      <c r="M2514" s="71">
        <f>IF($N2514&lt;&gt;"OK","",$D2514*N(INDEX('Menu Pricing'!$F$7:$F$56,$O2514)))</f>
        <v/>
      </c>
      <c r="N2514" s="80">
        <f>IF(AND($B2514="",$C2514="",$D2514=""),"",IF(NOT(ISNUMBER($B2514)),"Enter a valid date",IF($C2514="","Pick a menu item",IF($O2514="","Item not on Menu Pricing",IF(N($D2514)&lt;=0,"Qty must be above 0",IF($H2514="","No price on menu","OK"))))))</f>
        <v/>
      </c>
      <c r="O2514" s="13">
        <f>IF($C2514="","",IFERROR(MATCH($C2514,'Menu Pricing'!$B$7:$B$56,0),""))</f>
        <v/>
      </c>
    </row>
    <row r="2515" ht="17" customHeight="1">
      <c r="B2515" s="66" t="n"/>
      <c r="C2515" s="60" t="n"/>
      <c r="D2515" s="86" t="n"/>
      <c r="E2515" s="63" t="n"/>
      <c r="F2515" s="60" t="n"/>
      <c r="G2515" s="60" t="n"/>
      <c r="H2515" s="71">
        <f>IF(OR($C2515="",$D2515=""),"",IF(ISNUMBER($E2515),$E2515,IF($O2515="","",IF(N(INDEX('Menu Pricing'!$O$7:$O$56,$O2515))&gt;0,INDEX('Menu Pricing'!$O$7:$O$56,$O2515),""))))</f>
        <v/>
      </c>
      <c r="I2515" s="71">
        <f>IF($N2515&lt;&gt;"OK","",$D2515*$H2515)</f>
        <v/>
      </c>
      <c r="J2515" s="71">
        <f>IF($N2515&lt;&gt;"OK","",N(INDEX('Menu Pricing'!$F$7:$F$56,$O2515))+N(INDEX('Menu Pricing'!$G$7:$G$56,$O2515))+N(INDEX('Menu Pricing'!$J$7:$J$56,$O2515)))</f>
        <v/>
      </c>
      <c r="K2515" s="71">
        <f>IF($N2515&lt;&gt;"OK","",$D2515*$J2515)</f>
        <v/>
      </c>
      <c r="L2515" s="71">
        <f>IF($N2515&lt;&gt;"OK","",$I2515-$K2515)</f>
        <v/>
      </c>
      <c r="M2515" s="71">
        <f>IF($N2515&lt;&gt;"OK","",$D2515*N(INDEX('Menu Pricing'!$F$7:$F$56,$O2515)))</f>
        <v/>
      </c>
      <c r="N2515" s="80">
        <f>IF(AND($B2515="",$C2515="",$D2515=""),"",IF(NOT(ISNUMBER($B2515)),"Enter a valid date",IF($C2515="","Pick a menu item",IF($O2515="","Item not on Menu Pricing",IF(N($D2515)&lt;=0,"Qty must be above 0",IF($H2515="","No price on menu","OK"))))))</f>
        <v/>
      </c>
      <c r="O2515" s="13">
        <f>IF($C2515="","",IFERROR(MATCH($C2515,'Menu Pricing'!$B$7:$B$56,0),""))</f>
        <v/>
      </c>
    </row>
    <row r="2516" ht="17" customHeight="1">
      <c r="B2516" s="66" t="n"/>
      <c r="C2516" s="60" t="n"/>
      <c r="D2516" s="86" t="n"/>
      <c r="E2516" s="63" t="n"/>
      <c r="F2516" s="60" t="n"/>
      <c r="G2516" s="60" t="n"/>
      <c r="H2516" s="71">
        <f>IF(OR($C2516="",$D2516=""),"",IF(ISNUMBER($E2516),$E2516,IF($O2516="","",IF(N(INDEX('Menu Pricing'!$O$7:$O$56,$O2516))&gt;0,INDEX('Menu Pricing'!$O$7:$O$56,$O2516),""))))</f>
        <v/>
      </c>
      <c r="I2516" s="71">
        <f>IF($N2516&lt;&gt;"OK","",$D2516*$H2516)</f>
        <v/>
      </c>
      <c r="J2516" s="71">
        <f>IF($N2516&lt;&gt;"OK","",N(INDEX('Menu Pricing'!$F$7:$F$56,$O2516))+N(INDEX('Menu Pricing'!$G$7:$G$56,$O2516))+N(INDEX('Menu Pricing'!$J$7:$J$56,$O2516)))</f>
        <v/>
      </c>
      <c r="K2516" s="71">
        <f>IF($N2516&lt;&gt;"OK","",$D2516*$J2516)</f>
        <v/>
      </c>
      <c r="L2516" s="71">
        <f>IF($N2516&lt;&gt;"OK","",$I2516-$K2516)</f>
        <v/>
      </c>
      <c r="M2516" s="71">
        <f>IF($N2516&lt;&gt;"OK","",$D2516*N(INDEX('Menu Pricing'!$F$7:$F$56,$O2516)))</f>
        <v/>
      </c>
      <c r="N2516" s="80">
        <f>IF(AND($B2516="",$C2516="",$D2516=""),"",IF(NOT(ISNUMBER($B2516)),"Enter a valid date",IF($C2516="","Pick a menu item",IF($O2516="","Item not on Menu Pricing",IF(N($D2516)&lt;=0,"Qty must be above 0",IF($H2516="","No price on menu","OK"))))))</f>
        <v/>
      </c>
      <c r="O2516" s="13">
        <f>IF($C2516="","",IFERROR(MATCH($C2516,'Menu Pricing'!$B$7:$B$56,0),""))</f>
        <v/>
      </c>
    </row>
    <row r="2517" ht="17" customHeight="1">
      <c r="B2517" s="66" t="n"/>
      <c r="C2517" s="60" t="n"/>
      <c r="D2517" s="86" t="n"/>
      <c r="E2517" s="63" t="n"/>
      <c r="F2517" s="60" t="n"/>
      <c r="G2517" s="60" t="n"/>
      <c r="H2517" s="71">
        <f>IF(OR($C2517="",$D2517=""),"",IF(ISNUMBER($E2517),$E2517,IF($O2517="","",IF(N(INDEX('Menu Pricing'!$O$7:$O$56,$O2517))&gt;0,INDEX('Menu Pricing'!$O$7:$O$56,$O2517),""))))</f>
        <v/>
      </c>
      <c r="I2517" s="71">
        <f>IF($N2517&lt;&gt;"OK","",$D2517*$H2517)</f>
        <v/>
      </c>
      <c r="J2517" s="71">
        <f>IF($N2517&lt;&gt;"OK","",N(INDEX('Menu Pricing'!$F$7:$F$56,$O2517))+N(INDEX('Menu Pricing'!$G$7:$G$56,$O2517))+N(INDEX('Menu Pricing'!$J$7:$J$56,$O2517)))</f>
        <v/>
      </c>
      <c r="K2517" s="71">
        <f>IF($N2517&lt;&gt;"OK","",$D2517*$J2517)</f>
        <v/>
      </c>
      <c r="L2517" s="71">
        <f>IF($N2517&lt;&gt;"OK","",$I2517-$K2517)</f>
        <v/>
      </c>
      <c r="M2517" s="71">
        <f>IF($N2517&lt;&gt;"OK","",$D2517*N(INDEX('Menu Pricing'!$F$7:$F$56,$O2517)))</f>
        <v/>
      </c>
      <c r="N2517" s="80">
        <f>IF(AND($B2517="",$C2517="",$D2517=""),"",IF(NOT(ISNUMBER($B2517)),"Enter a valid date",IF($C2517="","Pick a menu item",IF($O2517="","Item not on Menu Pricing",IF(N($D2517)&lt;=0,"Qty must be above 0",IF($H2517="","No price on menu","OK"))))))</f>
        <v/>
      </c>
      <c r="O2517" s="13">
        <f>IF($C2517="","",IFERROR(MATCH($C2517,'Menu Pricing'!$B$7:$B$56,0),""))</f>
        <v/>
      </c>
    </row>
    <row r="2518" ht="17" customHeight="1">
      <c r="B2518" s="66" t="n"/>
      <c r="C2518" s="60" t="n"/>
      <c r="D2518" s="86" t="n"/>
      <c r="E2518" s="63" t="n"/>
      <c r="F2518" s="60" t="n"/>
      <c r="G2518" s="60" t="n"/>
      <c r="H2518" s="71">
        <f>IF(OR($C2518="",$D2518=""),"",IF(ISNUMBER($E2518),$E2518,IF($O2518="","",IF(N(INDEX('Menu Pricing'!$O$7:$O$56,$O2518))&gt;0,INDEX('Menu Pricing'!$O$7:$O$56,$O2518),""))))</f>
        <v/>
      </c>
      <c r="I2518" s="71">
        <f>IF($N2518&lt;&gt;"OK","",$D2518*$H2518)</f>
        <v/>
      </c>
      <c r="J2518" s="71">
        <f>IF($N2518&lt;&gt;"OK","",N(INDEX('Menu Pricing'!$F$7:$F$56,$O2518))+N(INDEX('Menu Pricing'!$G$7:$G$56,$O2518))+N(INDEX('Menu Pricing'!$J$7:$J$56,$O2518)))</f>
        <v/>
      </c>
      <c r="K2518" s="71">
        <f>IF($N2518&lt;&gt;"OK","",$D2518*$J2518)</f>
        <v/>
      </c>
      <c r="L2518" s="71">
        <f>IF($N2518&lt;&gt;"OK","",$I2518-$K2518)</f>
        <v/>
      </c>
      <c r="M2518" s="71">
        <f>IF($N2518&lt;&gt;"OK","",$D2518*N(INDEX('Menu Pricing'!$F$7:$F$56,$O2518)))</f>
        <v/>
      </c>
      <c r="N2518" s="80">
        <f>IF(AND($B2518="",$C2518="",$D2518=""),"",IF(NOT(ISNUMBER($B2518)),"Enter a valid date",IF($C2518="","Pick a menu item",IF($O2518="","Item not on Menu Pricing",IF(N($D2518)&lt;=0,"Qty must be above 0",IF($H2518="","No price on menu","OK"))))))</f>
        <v/>
      </c>
      <c r="O2518" s="13">
        <f>IF($C2518="","",IFERROR(MATCH($C2518,'Menu Pricing'!$B$7:$B$56,0),""))</f>
        <v/>
      </c>
    </row>
    <row r="2519" ht="17" customHeight="1">
      <c r="B2519" s="66" t="n"/>
      <c r="C2519" s="60" t="n"/>
      <c r="D2519" s="86" t="n"/>
      <c r="E2519" s="63" t="n"/>
      <c r="F2519" s="60" t="n"/>
      <c r="G2519" s="60" t="n"/>
      <c r="H2519" s="71">
        <f>IF(OR($C2519="",$D2519=""),"",IF(ISNUMBER($E2519),$E2519,IF($O2519="","",IF(N(INDEX('Menu Pricing'!$O$7:$O$56,$O2519))&gt;0,INDEX('Menu Pricing'!$O$7:$O$56,$O2519),""))))</f>
        <v/>
      </c>
      <c r="I2519" s="71">
        <f>IF($N2519&lt;&gt;"OK","",$D2519*$H2519)</f>
        <v/>
      </c>
      <c r="J2519" s="71">
        <f>IF($N2519&lt;&gt;"OK","",N(INDEX('Menu Pricing'!$F$7:$F$56,$O2519))+N(INDEX('Menu Pricing'!$G$7:$G$56,$O2519))+N(INDEX('Menu Pricing'!$J$7:$J$56,$O2519)))</f>
        <v/>
      </c>
      <c r="K2519" s="71">
        <f>IF($N2519&lt;&gt;"OK","",$D2519*$J2519)</f>
        <v/>
      </c>
      <c r="L2519" s="71">
        <f>IF($N2519&lt;&gt;"OK","",$I2519-$K2519)</f>
        <v/>
      </c>
      <c r="M2519" s="71">
        <f>IF($N2519&lt;&gt;"OK","",$D2519*N(INDEX('Menu Pricing'!$F$7:$F$56,$O2519)))</f>
        <v/>
      </c>
      <c r="N2519" s="80">
        <f>IF(AND($B2519="",$C2519="",$D2519=""),"",IF(NOT(ISNUMBER($B2519)),"Enter a valid date",IF($C2519="","Pick a menu item",IF($O2519="","Item not on Menu Pricing",IF(N($D2519)&lt;=0,"Qty must be above 0",IF($H2519="","No price on menu","OK"))))))</f>
        <v/>
      </c>
      <c r="O2519" s="13">
        <f>IF($C2519="","",IFERROR(MATCH($C2519,'Menu Pricing'!$B$7:$B$56,0),""))</f>
        <v/>
      </c>
    </row>
    <row r="2520" ht="17" customHeight="1">
      <c r="B2520" s="66" t="n"/>
      <c r="C2520" s="60" t="n"/>
      <c r="D2520" s="86" t="n"/>
      <c r="E2520" s="63" t="n"/>
      <c r="F2520" s="60" t="n"/>
      <c r="G2520" s="60" t="n"/>
      <c r="H2520" s="71">
        <f>IF(OR($C2520="",$D2520=""),"",IF(ISNUMBER($E2520),$E2520,IF($O2520="","",IF(N(INDEX('Menu Pricing'!$O$7:$O$56,$O2520))&gt;0,INDEX('Menu Pricing'!$O$7:$O$56,$O2520),""))))</f>
        <v/>
      </c>
      <c r="I2520" s="71">
        <f>IF($N2520&lt;&gt;"OK","",$D2520*$H2520)</f>
        <v/>
      </c>
      <c r="J2520" s="71">
        <f>IF($N2520&lt;&gt;"OK","",N(INDEX('Menu Pricing'!$F$7:$F$56,$O2520))+N(INDEX('Menu Pricing'!$G$7:$G$56,$O2520))+N(INDEX('Menu Pricing'!$J$7:$J$56,$O2520)))</f>
        <v/>
      </c>
      <c r="K2520" s="71">
        <f>IF($N2520&lt;&gt;"OK","",$D2520*$J2520)</f>
        <v/>
      </c>
      <c r="L2520" s="71">
        <f>IF($N2520&lt;&gt;"OK","",$I2520-$K2520)</f>
        <v/>
      </c>
      <c r="M2520" s="71">
        <f>IF($N2520&lt;&gt;"OK","",$D2520*N(INDEX('Menu Pricing'!$F$7:$F$56,$O2520)))</f>
        <v/>
      </c>
      <c r="N2520" s="80">
        <f>IF(AND($B2520="",$C2520="",$D2520=""),"",IF(NOT(ISNUMBER($B2520)),"Enter a valid date",IF($C2520="","Pick a menu item",IF($O2520="","Item not on Menu Pricing",IF(N($D2520)&lt;=0,"Qty must be above 0",IF($H2520="","No price on menu","OK"))))))</f>
        <v/>
      </c>
      <c r="O2520" s="13">
        <f>IF($C2520="","",IFERROR(MATCH($C2520,'Menu Pricing'!$B$7:$B$56,0),""))</f>
        <v/>
      </c>
    </row>
    <row r="2521" ht="17" customHeight="1">
      <c r="B2521" s="66" t="n"/>
      <c r="C2521" s="60" t="n"/>
      <c r="D2521" s="86" t="n"/>
      <c r="E2521" s="63" t="n"/>
      <c r="F2521" s="60" t="n"/>
      <c r="G2521" s="60" t="n"/>
      <c r="H2521" s="71">
        <f>IF(OR($C2521="",$D2521=""),"",IF(ISNUMBER($E2521),$E2521,IF($O2521="","",IF(N(INDEX('Menu Pricing'!$O$7:$O$56,$O2521))&gt;0,INDEX('Menu Pricing'!$O$7:$O$56,$O2521),""))))</f>
        <v/>
      </c>
      <c r="I2521" s="71">
        <f>IF($N2521&lt;&gt;"OK","",$D2521*$H2521)</f>
        <v/>
      </c>
      <c r="J2521" s="71">
        <f>IF($N2521&lt;&gt;"OK","",N(INDEX('Menu Pricing'!$F$7:$F$56,$O2521))+N(INDEX('Menu Pricing'!$G$7:$G$56,$O2521))+N(INDEX('Menu Pricing'!$J$7:$J$56,$O2521)))</f>
        <v/>
      </c>
      <c r="K2521" s="71">
        <f>IF($N2521&lt;&gt;"OK","",$D2521*$J2521)</f>
        <v/>
      </c>
      <c r="L2521" s="71">
        <f>IF($N2521&lt;&gt;"OK","",$I2521-$K2521)</f>
        <v/>
      </c>
      <c r="M2521" s="71">
        <f>IF($N2521&lt;&gt;"OK","",$D2521*N(INDEX('Menu Pricing'!$F$7:$F$56,$O2521)))</f>
        <v/>
      </c>
      <c r="N2521" s="80">
        <f>IF(AND($B2521="",$C2521="",$D2521=""),"",IF(NOT(ISNUMBER($B2521)),"Enter a valid date",IF($C2521="","Pick a menu item",IF($O2521="","Item not on Menu Pricing",IF(N($D2521)&lt;=0,"Qty must be above 0",IF($H2521="","No price on menu","OK"))))))</f>
        <v/>
      </c>
      <c r="O2521" s="13">
        <f>IF($C2521="","",IFERROR(MATCH($C2521,'Menu Pricing'!$B$7:$B$56,0),""))</f>
        <v/>
      </c>
    </row>
    <row r="2522" ht="17" customHeight="1">
      <c r="B2522" s="66" t="n"/>
      <c r="C2522" s="60" t="n"/>
      <c r="D2522" s="86" t="n"/>
      <c r="E2522" s="63" t="n"/>
      <c r="F2522" s="60" t="n"/>
      <c r="G2522" s="60" t="n"/>
      <c r="H2522" s="71">
        <f>IF(OR($C2522="",$D2522=""),"",IF(ISNUMBER($E2522),$E2522,IF($O2522="","",IF(N(INDEX('Menu Pricing'!$O$7:$O$56,$O2522))&gt;0,INDEX('Menu Pricing'!$O$7:$O$56,$O2522),""))))</f>
        <v/>
      </c>
      <c r="I2522" s="71">
        <f>IF($N2522&lt;&gt;"OK","",$D2522*$H2522)</f>
        <v/>
      </c>
      <c r="J2522" s="71">
        <f>IF($N2522&lt;&gt;"OK","",N(INDEX('Menu Pricing'!$F$7:$F$56,$O2522))+N(INDEX('Menu Pricing'!$G$7:$G$56,$O2522))+N(INDEX('Menu Pricing'!$J$7:$J$56,$O2522)))</f>
        <v/>
      </c>
      <c r="K2522" s="71">
        <f>IF($N2522&lt;&gt;"OK","",$D2522*$J2522)</f>
        <v/>
      </c>
      <c r="L2522" s="71">
        <f>IF($N2522&lt;&gt;"OK","",$I2522-$K2522)</f>
        <v/>
      </c>
      <c r="M2522" s="71">
        <f>IF($N2522&lt;&gt;"OK","",$D2522*N(INDEX('Menu Pricing'!$F$7:$F$56,$O2522)))</f>
        <v/>
      </c>
      <c r="N2522" s="80">
        <f>IF(AND($B2522="",$C2522="",$D2522=""),"",IF(NOT(ISNUMBER($B2522)),"Enter a valid date",IF($C2522="","Pick a menu item",IF($O2522="","Item not on Menu Pricing",IF(N($D2522)&lt;=0,"Qty must be above 0",IF($H2522="","No price on menu","OK"))))))</f>
        <v/>
      </c>
      <c r="O2522" s="13">
        <f>IF($C2522="","",IFERROR(MATCH($C2522,'Menu Pricing'!$B$7:$B$56,0),""))</f>
        <v/>
      </c>
    </row>
    <row r="2523" ht="17" customHeight="1">
      <c r="B2523" s="66" t="n"/>
      <c r="C2523" s="60" t="n"/>
      <c r="D2523" s="86" t="n"/>
      <c r="E2523" s="63" t="n"/>
      <c r="F2523" s="60" t="n"/>
      <c r="G2523" s="60" t="n"/>
      <c r="H2523" s="71">
        <f>IF(OR($C2523="",$D2523=""),"",IF(ISNUMBER($E2523),$E2523,IF($O2523="","",IF(N(INDEX('Menu Pricing'!$O$7:$O$56,$O2523))&gt;0,INDEX('Menu Pricing'!$O$7:$O$56,$O2523),""))))</f>
        <v/>
      </c>
      <c r="I2523" s="71">
        <f>IF($N2523&lt;&gt;"OK","",$D2523*$H2523)</f>
        <v/>
      </c>
      <c r="J2523" s="71">
        <f>IF($N2523&lt;&gt;"OK","",N(INDEX('Menu Pricing'!$F$7:$F$56,$O2523))+N(INDEX('Menu Pricing'!$G$7:$G$56,$O2523))+N(INDEX('Menu Pricing'!$J$7:$J$56,$O2523)))</f>
        <v/>
      </c>
      <c r="K2523" s="71">
        <f>IF($N2523&lt;&gt;"OK","",$D2523*$J2523)</f>
        <v/>
      </c>
      <c r="L2523" s="71">
        <f>IF($N2523&lt;&gt;"OK","",$I2523-$K2523)</f>
        <v/>
      </c>
      <c r="M2523" s="71">
        <f>IF($N2523&lt;&gt;"OK","",$D2523*N(INDEX('Menu Pricing'!$F$7:$F$56,$O2523)))</f>
        <v/>
      </c>
      <c r="N2523" s="80">
        <f>IF(AND($B2523="",$C2523="",$D2523=""),"",IF(NOT(ISNUMBER($B2523)),"Enter a valid date",IF($C2523="","Pick a menu item",IF($O2523="","Item not on Menu Pricing",IF(N($D2523)&lt;=0,"Qty must be above 0",IF($H2523="","No price on menu","OK"))))))</f>
        <v/>
      </c>
      <c r="O2523" s="13">
        <f>IF($C2523="","",IFERROR(MATCH($C2523,'Menu Pricing'!$B$7:$B$56,0),""))</f>
        <v/>
      </c>
    </row>
    <row r="2524" ht="17" customHeight="1">
      <c r="B2524" s="66" t="n"/>
      <c r="C2524" s="60" t="n"/>
      <c r="D2524" s="86" t="n"/>
      <c r="E2524" s="63" t="n"/>
      <c r="F2524" s="60" t="n"/>
      <c r="G2524" s="60" t="n"/>
      <c r="H2524" s="71">
        <f>IF(OR($C2524="",$D2524=""),"",IF(ISNUMBER($E2524),$E2524,IF($O2524="","",IF(N(INDEX('Menu Pricing'!$O$7:$O$56,$O2524))&gt;0,INDEX('Menu Pricing'!$O$7:$O$56,$O2524),""))))</f>
        <v/>
      </c>
      <c r="I2524" s="71">
        <f>IF($N2524&lt;&gt;"OK","",$D2524*$H2524)</f>
        <v/>
      </c>
      <c r="J2524" s="71">
        <f>IF($N2524&lt;&gt;"OK","",N(INDEX('Menu Pricing'!$F$7:$F$56,$O2524))+N(INDEX('Menu Pricing'!$G$7:$G$56,$O2524))+N(INDEX('Menu Pricing'!$J$7:$J$56,$O2524)))</f>
        <v/>
      </c>
      <c r="K2524" s="71">
        <f>IF($N2524&lt;&gt;"OK","",$D2524*$J2524)</f>
        <v/>
      </c>
      <c r="L2524" s="71">
        <f>IF($N2524&lt;&gt;"OK","",$I2524-$K2524)</f>
        <v/>
      </c>
      <c r="M2524" s="71">
        <f>IF($N2524&lt;&gt;"OK","",$D2524*N(INDEX('Menu Pricing'!$F$7:$F$56,$O2524)))</f>
        <v/>
      </c>
      <c r="N2524" s="80">
        <f>IF(AND($B2524="",$C2524="",$D2524=""),"",IF(NOT(ISNUMBER($B2524)),"Enter a valid date",IF($C2524="","Pick a menu item",IF($O2524="","Item not on Menu Pricing",IF(N($D2524)&lt;=0,"Qty must be above 0",IF($H2524="","No price on menu","OK"))))))</f>
        <v/>
      </c>
      <c r="O2524" s="13">
        <f>IF($C2524="","",IFERROR(MATCH($C2524,'Menu Pricing'!$B$7:$B$56,0),""))</f>
        <v/>
      </c>
    </row>
    <row r="2525" ht="17" customHeight="1">
      <c r="B2525" s="66" t="n"/>
      <c r="C2525" s="60" t="n"/>
      <c r="D2525" s="86" t="n"/>
      <c r="E2525" s="63" t="n"/>
      <c r="F2525" s="60" t="n"/>
      <c r="G2525" s="60" t="n"/>
      <c r="H2525" s="71">
        <f>IF(OR($C2525="",$D2525=""),"",IF(ISNUMBER($E2525),$E2525,IF($O2525="","",IF(N(INDEX('Menu Pricing'!$O$7:$O$56,$O2525))&gt;0,INDEX('Menu Pricing'!$O$7:$O$56,$O2525),""))))</f>
        <v/>
      </c>
      <c r="I2525" s="71">
        <f>IF($N2525&lt;&gt;"OK","",$D2525*$H2525)</f>
        <v/>
      </c>
      <c r="J2525" s="71">
        <f>IF($N2525&lt;&gt;"OK","",N(INDEX('Menu Pricing'!$F$7:$F$56,$O2525))+N(INDEX('Menu Pricing'!$G$7:$G$56,$O2525))+N(INDEX('Menu Pricing'!$J$7:$J$56,$O2525)))</f>
        <v/>
      </c>
      <c r="K2525" s="71">
        <f>IF($N2525&lt;&gt;"OK","",$D2525*$J2525)</f>
        <v/>
      </c>
      <c r="L2525" s="71">
        <f>IF($N2525&lt;&gt;"OK","",$I2525-$K2525)</f>
        <v/>
      </c>
      <c r="M2525" s="71">
        <f>IF($N2525&lt;&gt;"OK","",$D2525*N(INDEX('Menu Pricing'!$F$7:$F$56,$O2525)))</f>
        <v/>
      </c>
      <c r="N2525" s="80">
        <f>IF(AND($B2525="",$C2525="",$D2525=""),"",IF(NOT(ISNUMBER($B2525)),"Enter a valid date",IF($C2525="","Pick a menu item",IF($O2525="","Item not on Menu Pricing",IF(N($D2525)&lt;=0,"Qty must be above 0",IF($H2525="","No price on menu","OK"))))))</f>
        <v/>
      </c>
      <c r="O2525" s="13">
        <f>IF($C2525="","",IFERROR(MATCH($C2525,'Menu Pricing'!$B$7:$B$56,0),""))</f>
        <v/>
      </c>
    </row>
    <row r="2526" ht="17" customHeight="1">
      <c r="B2526" s="66" t="n"/>
      <c r="C2526" s="60" t="n"/>
      <c r="D2526" s="86" t="n"/>
      <c r="E2526" s="63" t="n"/>
      <c r="F2526" s="60" t="n"/>
      <c r="G2526" s="60" t="n"/>
      <c r="H2526" s="71">
        <f>IF(OR($C2526="",$D2526=""),"",IF(ISNUMBER($E2526),$E2526,IF($O2526="","",IF(N(INDEX('Menu Pricing'!$O$7:$O$56,$O2526))&gt;0,INDEX('Menu Pricing'!$O$7:$O$56,$O2526),""))))</f>
        <v/>
      </c>
      <c r="I2526" s="71">
        <f>IF($N2526&lt;&gt;"OK","",$D2526*$H2526)</f>
        <v/>
      </c>
      <c r="J2526" s="71">
        <f>IF($N2526&lt;&gt;"OK","",N(INDEX('Menu Pricing'!$F$7:$F$56,$O2526))+N(INDEX('Menu Pricing'!$G$7:$G$56,$O2526))+N(INDEX('Menu Pricing'!$J$7:$J$56,$O2526)))</f>
        <v/>
      </c>
      <c r="K2526" s="71">
        <f>IF($N2526&lt;&gt;"OK","",$D2526*$J2526)</f>
        <v/>
      </c>
      <c r="L2526" s="71">
        <f>IF($N2526&lt;&gt;"OK","",$I2526-$K2526)</f>
        <v/>
      </c>
      <c r="M2526" s="71">
        <f>IF($N2526&lt;&gt;"OK","",$D2526*N(INDEX('Menu Pricing'!$F$7:$F$56,$O2526)))</f>
        <v/>
      </c>
      <c r="N2526" s="80">
        <f>IF(AND($B2526="",$C2526="",$D2526=""),"",IF(NOT(ISNUMBER($B2526)),"Enter a valid date",IF($C2526="","Pick a menu item",IF($O2526="","Item not on Menu Pricing",IF(N($D2526)&lt;=0,"Qty must be above 0",IF($H2526="","No price on menu","OK"))))))</f>
        <v/>
      </c>
      <c r="O2526" s="13">
        <f>IF($C2526="","",IFERROR(MATCH($C2526,'Menu Pricing'!$B$7:$B$56,0),""))</f>
        <v/>
      </c>
    </row>
    <row r="2527" ht="17" customHeight="1">
      <c r="B2527" s="66" t="n"/>
      <c r="C2527" s="60" t="n"/>
      <c r="D2527" s="86" t="n"/>
      <c r="E2527" s="63" t="n"/>
      <c r="F2527" s="60" t="n"/>
      <c r="G2527" s="60" t="n"/>
      <c r="H2527" s="71">
        <f>IF(OR($C2527="",$D2527=""),"",IF(ISNUMBER($E2527),$E2527,IF($O2527="","",IF(N(INDEX('Menu Pricing'!$O$7:$O$56,$O2527))&gt;0,INDEX('Menu Pricing'!$O$7:$O$56,$O2527),""))))</f>
        <v/>
      </c>
      <c r="I2527" s="71">
        <f>IF($N2527&lt;&gt;"OK","",$D2527*$H2527)</f>
        <v/>
      </c>
      <c r="J2527" s="71">
        <f>IF($N2527&lt;&gt;"OK","",N(INDEX('Menu Pricing'!$F$7:$F$56,$O2527))+N(INDEX('Menu Pricing'!$G$7:$G$56,$O2527))+N(INDEX('Menu Pricing'!$J$7:$J$56,$O2527)))</f>
        <v/>
      </c>
      <c r="K2527" s="71">
        <f>IF($N2527&lt;&gt;"OK","",$D2527*$J2527)</f>
        <v/>
      </c>
      <c r="L2527" s="71">
        <f>IF($N2527&lt;&gt;"OK","",$I2527-$K2527)</f>
        <v/>
      </c>
      <c r="M2527" s="71">
        <f>IF($N2527&lt;&gt;"OK","",$D2527*N(INDEX('Menu Pricing'!$F$7:$F$56,$O2527)))</f>
        <v/>
      </c>
      <c r="N2527" s="80">
        <f>IF(AND($B2527="",$C2527="",$D2527=""),"",IF(NOT(ISNUMBER($B2527)),"Enter a valid date",IF($C2527="","Pick a menu item",IF($O2527="","Item not on Menu Pricing",IF(N($D2527)&lt;=0,"Qty must be above 0",IF($H2527="","No price on menu","OK"))))))</f>
        <v/>
      </c>
      <c r="O2527" s="13">
        <f>IF($C2527="","",IFERROR(MATCH($C2527,'Menu Pricing'!$B$7:$B$56,0),""))</f>
        <v/>
      </c>
    </row>
    <row r="2528" ht="17" customHeight="1">
      <c r="B2528" s="66" t="n"/>
      <c r="C2528" s="60" t="n"/>
      <c r="D2528" s="86" t="n"/>
      <c r="E2528" s="63" t="n"/>
      <c r="F2528" s="60" t="n"/>
      <c r="G2528" s="60" t="n"/>
      <c r="H2528" s="71">
        <f>IF(OR($C2528="",$D2528=""),"",IF(ISNUMBER($E2528),$E2528,IF($O2528="","",IF(N(INDEX('Menu Pricing'!$O$7:$O$56,$O2528))&gt;0,INDEX('Menu Pricing'!$O$7:$O$56,$O2528),""))))</f>
        <v/>
      </c>
      <c r="I2528" s="71">
        <f>IF($N2528&lt;&gt;"OK","",$D2528*$H2528)</f>
        <v/>
      </c>
      <c r="J2528" s="71">
        <f>IF($N2528&lt;&gt;"OK","",N(INDEX('Menu Pricing'!$F$7:$F$56,$O2528))+N(INDEX('Menu Pricing'!$G$7:$G$56,$O2528))+N(INDEX('Menu Pricing'!$J$7:$J$56,$O2528)))</f>
        <v/>
      </c>
      <c r="K2528" s="71">
        <f>IF($N2528&lt;&gt;"OK","",$D2528*$J2528)</f>
        <v/>
      </c>
      <c r="L2528" s="71">
        <f>IF($N2528&lt;&gt;"OK","",$I2528-$K2528)</f>
        <v/>
      </c>
      <c r="M2528" s="71">
        <f>IF($N2528&lt;&gt;"OK","",$D2528*N(INDEX('Menu Pricing'!$F$7:$F$56,$O2528)))</f>
        <v/>
      </c>
      <c r="N2528" s="80">
        <f>IF(AND($B2528="",$C2528="",$D2528=""),"",IF(NOT(ISNUMBER($B2528)),"Enter a valid date",IF($C2528="","Pick a menu item",IF($O2528="","Item not on Menu Pricing",IF(N($D2528)&lt;=0,"Qty must be above 0",IF($H2528="","No price on menu","OK"))))))</f>
        <v/>
      </c>
      <c r="O2528" s="13">
        <f>IF($C2528="","",IFERROR(MATCH($C2528,'Menu Pricing'!$B$7:$B$56,0),""))</f>
        <v/>
      </c>
    </row>
    <row r="2529" ht="17" customHeight="1">
      <c r="B2529" s="66" t="n"/>
      <c r="C2529" s="60" t="n"/>
      <c r="D2529" s="86" t="n"/>
      <c r="E2529" s="63" t="n"/>
      <c r="F2529" s="60" t="n"/>
      <c r="G2529" s="60" t="n"/>
      <c r="H2529" s="71">
        <f>IF(OR($C2529="",$D2529=""),"",IF(ISNUMBER($E2529),$E2529,IF($O2529="","",IF(N(INDEX('Menu Pricing'!$O$7:$O$56,$O2529))&gt;0,INDEX('Menu Pricing'!$O$7:$O$56,$O2529),""))))</f>
        <v/>
      </c>
      <c r="I2529" s="71">
        <f>IF($N2529&lt;&gt;"OK","",$D2529*$H2529)</f>
        <v/>
      </c>
      <c r="J2529" s="71">
        <f>IF($N2529&lt;&gt;"OK","",N(INDEX('Menu Pricing'!$F$7:$F$56,$O2529))+N(INDEX('Menu Pricing'!$G$7:$G$56,$O2529))+N(INDEX('Menu Pricing'!$J$7:$J$56,$O2529)))</f>
        <v/>
      </c>
      <c r="K2529" s="71">
        <f>IF($N2529&lt;&gt;"OK","",$D2529*$J2529)</f>
        <v/>
      </c>
      <c r="L2529" s="71">
        <f>IF($N2529&lt;&gt;"OK","",$I2529-$K2529)</f>
        <v/>
      </c>
      <c r="M2529" s="71">
        <f>IF($N2529&lt;&gt;"OK","",$D2529*N(INDEX('Menu Pricing'!$F$7:$F$56,$O2529)))</f>
        <v/>
      </c>
      <c r="N2529" s="80">
        <f>IF(AND($B2529="",$C2529="",$D2529=""),"",IF(NOT(ISNUMBER($B2529)),"Enter a valid date",IF($C2529="","Pick a menu item",IF($O2529="","Item not on Menu Pricing",IF(N($D2529)&lt;=0,"Qty must be above 0",IF($H2529="","No price on menu","OK"))))))</f>
        <v/>
      </c>
      <c r="O2529" s="13">
        <f>IF($C2529="","",IFERROR(MATCH($C2529,'Menu Pricing'!$B$7:$B$56,0),""))</f>
        <v/>
      </c>
    </row>
    <row r="2530" ht="17" customHeight="1">
      <c r="B2530" s="66" t="n"/>
      <c r="C2530" s="60" t="n"/>
      <c r="D2530" s="86" t="n"/>
      <c r="E2530" s="63" t="n"/>
      <c r="F2530" s="60" t="n"/>
      <c r="G2530" s="60" t="n"/>
      <c r="H2530" s="71">
        <f>IF(OR($C2530="",$D2530=""),"",IF(ISNUMBER($E2530),$E2530,IF($O2530="","",IF(N(INDEX('Menu Pricing'!$O$7:$O$56,$O2530))&gt;0,INDEX('Menu Pricing'!$O$7:$O$56,$O2530),""))))</f>
        <v/>
      </c>
      <c r="I2530" s="71">
        <f>IF($N2530&lt;&gt;"OK","",$D2530*$H2530)</f>
        <v/>
      </c>
      <c r="J2530" s="71">
        <f>IF($N2530&lt;&gt;"OK","",N(INDEX('Menu Pricing'!$F$7:$F$56,$O2530))+N(INDEX('Menu Pricing'!$G$7:$G$56,$O2530))+N(INDEX('Menu Pricing'!$J$7:$J$56,$O2530)))</f>
        <v/>
      </c>
      <c r="K2530" s="71">
        <f>IF($N2530&lt;&gt;"OK","",$D2530*$J2530)</f>
        <v/>
      </c>
      <c r="L2530" s="71">
        <f>IF($N2530&lt;&gt;"OK","",$I2530-$K2530)</f>
        <v/>
      </c>
      <c r="M2530" s="71">
        <f>IF($N2530&lt;&gt;"OK","",$D2530*N(INDEX('Menu Pricing'!$F$7:$F$56,$O2530)))</f>
        <v/>
      </c>
      <c r="N2530" s="80">
        <f>IF(AND($B2530="",$C2530="",$D2530=""),"",IF(NOT(ISNUMBER($B2530)),"Enter a valid date",IF($C2530="","Pick a menu item",IF($O2530="","Item not on Menu Pricing",IF(N($D2530)&lt;=0,"Qty must be above 0",IF($H2530="","No price on menu","OK"))))))</f>
        <v/>
      </c>
      <c r="O2530" s="13">
        <f>IF($C2530="","",IFERROR(MATCH($C2530,'Menu Pricing'!$B$7:$B$56,0),""))</f>
        <v/>
      </c>
    </row>
    <row r="2531" ht="17" customHeight="1">
      <c r="B2531" s="66" t="n"/>
      <c r="C2531" s="60" t="n"/>
      <c r="D2531" s="86" t="n"/>
      <c r="E2531" s="63" t="n"/>
      <c r="F2531" s="60" t="n"/>
      <c r="G2531" s="60" t="n"/>
      <c r="H2531" s="71">
        <f>IF(OR($C2531="",$D2531=""),"",IF(ISNUMBER($E2531),$E2531,IF($O2531="","",IF(N(INDEX('Menu Pricing'!$O$7:$O$56,$O2531))&gt;0,INDEX('Menu Pricing'!$O$7:$O$56,$O2531),""))))</f>
        <v/>
      </c>
      <c r="I2531" s="71">
        <f>IF($N2531&lt;&gt;"OK","",$D2531*$H2531)</f>
        <v/>
      </c>
      <c r="J2531" s="71">
        <f>IF($N2531&lt;&gt;"OK","",N(INDEX('Menu Pricing'!$F$7:$F$56,$O2531))+N(INDEX('Menu Pricing'!$G$7:$G$56,$O2531))+N(INDEX('Menu Pricing'!$J$7:$J$56,$O2531)))</f>
        <v/>
      </c>
      <c r="K2531" s="71">
        <f>IF($N2531&lt;&gt;"OK","",$D2531*$J2531)</f>
        <v/>
      </c>
      <c r="L2531" s="71">
        <f>IF($N2531&lt;&gt;"OK","",$I2531-$K2531)</f>
        <v/>
      </c>
      <c r="M2531" s="71">
        <f>IF($N2531&lt;&gt;"OK","",$D2531*N(INDEX('Menu Pricing'!$F$7:$F$56,$O2531)))</f>
        <v/>
      </c>
      <c r="N2531" s="80">
        <f>IF(AND($B2531="",$C2531="",$D2531=""),"",IF(NOT(ISNUMBER($B2531)),"Enter a valid date",IF($C2531="","Pick a menu item",IF($O2531="","Item not on Menu Pricing",IF(N($D2531)&lt;=0,"Qty must be above 0",IF($H2531="","No price on menu","OK"))))))</f>
        <v/>
      </c>
      <c r="O2531" s="13">
        <f>IF($C2531="","",IFERROR(MATCH($C2531,'Menu Pricing'!$B$7:$B$56,0),""))</f>
        <v/>
      </c>
    </row>
    <row r="2532" ht="17" customHeight="1">
      <c r="B2532" s="66" t="n"/>
      <c r="C2532" s="60" t="n"/>
      <c r="D2532" s="86" t="n"/>
      <c r="E2532" s="63" t="n"/>
      <c r="F2532" s="60" t="n"/>
      <c r="G2532" s="60" t="n"/>
      <c r="H2532" s="71">
        <f>IF(OR($C2532="",$D2532=""),"",IF(ISNUMBER($E2532),$E2532,IF($O2532="","",IF(N(INDEX('Menu Pricing'!$O$7:$O$56,$O2532))&gt;0,INDEX('Menu Pricing'!$O$7:$O$56,$O2532),""))))</f>
        <v/>
      </c>
      <c r="I2532" s="71">
        <f>IF($N2532&lt;&gt;"OK","",$D2532*$H2532)</f>
        <v/>
      </c>
      <c r="J2532" s="71">
        <f>IF($N2532&lt;&gt;"OK","",N(INDEX('Menu Pricing'!$F$7:$F$56,$O2532))+N(INDEX('Menu Pricing'!$G$7:$G$56,$O2532))+N(INDEX('Menu Pricing'!$J$7:$J$56,$O2532)))</f>
        <v/>
      </c>
      <c r="K2532" s="71">
        <f>IF($N2532&lt;&gt;"OK","",$D2532*$J2532)</f>
        <v/>
      </c>
      <c r="L2532" s="71">
        <f>IF($N2532&lt;&gt;"OK","",$I2532-$K2532)</f>
        <v/>
      </c>
      <c r="M2532" s="71">
        <f>IF($N2532&lt;&gt;"OK","",$D2532*N(INDEX('Menu Pricing'!$F$7:$F$56,$O2532)))</f>
        <v/>
      </c>
      <c r="N2532" s="80">
        <f>IF(AND($B2532="",$C2532="",$D2532=""),"",IF(NOT(ISNUMBER($B2532)),"Enter a valid date",IF($C2532="","Pick a menu item",IF($O2532="","Item not on Menu Pricing",IF(N($D2532)&lt;=0,"Qty must be above 0",IF($H2532="","No price on menu","OK"))))))</f>
        <v/>
      </c>
      <c r="O2532" s="13">
        <f>IF($C2532="","",IFERROR(MATCH($C2532,'Menu Pricing'!$B$7:$B$56,0),""))</f>
        <v/>
      </c>
    </row>
    <row r="2533" ht="17" customHeight="1">
      <c r="B2533" s="66" t="n"/>
      <c r="C2533" s="60" t="n"/>
      <c r="D2533" s="86" t="n"/>
      <c r="E2533" s="63" t="n"/>
      <c r="F2533" s="60" t="n"/>
      <c r="G2533" s="60" t="n"/>
      <c r="H2533" s="71">
        <f>IF(OR($C2533="",$D2533=""),"",IF(ISNUMBER($E2533),$E2533,IF($O2533="","",IF(N(INDEX('Menu Pricing'!$O$7:$O$56,$O2533))&gt;0,INDEX('Menu Pricing'!$O$7:$O$56,$O2533),""))))</f>
        <v/>
      </c>
      <c r="I2533" s="71">
        <f>IF($N2533&lt;&gt;"OK","",$D2533*$H2533)</f>
        <v/>
      </c>
      <c r="J2533" s="71">
        <f>IF($N2533&lt;&gt;"OK","",N(INDEX('Menu Pricing'!$F$7:$F$56,$O2533))+N(INDEX('Menu Pricing'!$G$7:$G$56,$O2533))+N(INDEX('Menu Pricing'!$J$7:$J$56,$O2533)))</f>
        <v/>
      </c>
      <c r="K2533" s="71">
        <f>IF($N2533&lt;&gt;"OK","",$D2533*$J2533)</f>
        <v/>
      </c>
      <c r="L2533" s="71">
        <f>IF($N2533&lt;&gt;"OK","",$I2533-$K2533)</f>
        <v/>
      </c>
      <c r="M2533" s="71">
        <f>IF($N2533&lt;&gt;"OK","",$D2533*N(INDEX('Menu Pricing'!$F$7:$F$56,$O2533)))</f>
        <v/>
      </c>
      <c r="N2533" s="80">
        <f>IF(AND($B2533="",$C2533="",$D2533=""),"",IF(NOT(ISNUMBER($B2533)),"Enter a valid date",IF($C2533="","Pick a menu item",IF($O2533="","Item not on Menu Pricing",IF(N($D2533)&lt;=0,"Qty must be above 0",IF($H2533="","No price on menu","OK"))))))</f>
        <v/>
      </c>
      <c r="O2533" s="13">
        <f>IF($C2533="","",IFERROR(MATCH($C2533,'Menu Pricing'!$B$7:$B$56,0),""))</f>
        <v/>
      </c>
    </row>
    <row r="2534" ht="17" customHeight="1">
      <c r="B2534" s="66" t="n"/>
      <c r="C2534" s="60" t="n"/>
      <c r="D2534" s="86" t="n"/>
      <c r="E2534" s="63" t="n"/>
      <c r="F2534" s="60" t="n"/>
      <c r="G2534" s="60" t="n"/>
      <c r="H2534" s="71">
        <f>IF(OR($C2534="",$D2534=""),"",IF(ISNUMBER($E2534),$E2534,IF($O2534="","",IF(N(INDEX('Menu Pricing'!$O$7:$O$56,$O2534))&gt;0,INDEX('Menu Pricing'!$O$7:$O$56,$O2534),""))))</f>
        <v/>
      </c>
      <c r="I2534" s="71">
        <f>IF($N2534&lt;&gt;"OK","",$D2534*$H2534)</f>
        <v/>
      </c>
      <c r="J2534" s="71">
        <f>IF($N2534&lt;&gt;"OK","",N(INDEX('Menu Pricing'!$F$7:$F$56,$O2534))+N(INDEX('Menu Pricing'!$G$7:$G$56,$O2534))+N(INDEX('Menu Pricing'!$J$7:$J$56,$O2534)))</f>
        <v/>
      </c>
      <c r="K2534" s="71">
        <f>IF($N2534&lt;&gt;"OK","",$D2534*$J2534)</f>
        <v/>
      </c>
      <c r="L2534" s="71">
        <f>IF($N2534&lt;&gt;"OK","",$I2534-$K2534)</f>
        <v/>
      </c>
      <c r="M2534" s="71">
        <f>IF($N2534&lt;&gt;"OK","",$D2534*N(INDEX('Menu Pricing'!$F$7:$F$56,$O2534)))</f>
        <v/>
      </c>
      <c r="N2534" s="80">
        <f>IF(AND($B2534="",$C2534="",$D2534=""),"",IF(NOT(ISNUMBER($B2534)),"Enter a valid date",IF($C2534="","Pick a menu item",IF($O2534="","Item not on Menu Pricing",IF(N($D2534)&lt;=0,"Qty must be above 0",IF($H2534="","No price on menu","OK"))))))</f>
        <v/>
      </c>
      <c r="O2534" s="13">
        <f>IF($C2534="","",IFERROR(MATCH($C2534,'Menu Pricing'!$B$7:$B$56,0),""))</f>
        <v/>
      </c>
    </row>
    <row r="2535" ht="17" customHeight="1">
      <c r="B2535" s="66" t="n"/>
      <c r="C2535" s="60" t="n"/>
      <c r="D2535" s="86" t="n"/>
      <c r="E2535" s="63" t="n"/>
      <c r="F2535" s="60" t="n"/>
      <c r="G2535" s="60" t="n"/>
      <c r="H2535" s="71">
        <f>IF(OR($C2535="",$D2535=""),"",IF(ISNUMBER($E2535),$E2535,IF($O2535="","",IF(N(INDEX('Menu Pricing'!$O$7:$O$56,$O2535))&gt;0,INDEX('Menu Pricing'!$O$7:$O$56,$O2535),""))))</f>
        <v/>
      </c>
      <c r="I2535" s="71">
        <f>IF($N2535&lt;&gt;"OK","",$D2535*$H2535)</f>
        <v/>
      </c>
      <c r="J2535" s="71">
        <f>IF($N2535&lt;&gt;"OK","",N(INDEX('Menu Pricing'!$F$7:$F$56,$O2535))+N(INDEX('Menu Pricing'!$G$7:$G$56,$O2535))+N(INDEX('Menu Pricing'!$J$7:$J$56,$O2535)))</f>
        <v/>
      </c>
      <c r="K2535" s="71">
        <f>IF($N2535&lt;&gt;"OK","",$D2535*$J2535)</f>
        <v/>
      </c>
      <c r="L2535" s="71">
        <f>IF($N2535&lt;&gt;"OK","",$I2535-$K2535)</f>
        <v/>
      </c>
      <c r="M2535" s="71">
        <f>IF($N2535&lt;&gt;"OK","",$D2535*N(INDEX('Menu Pricing'!$F$7:$F$56,$O2535)))</f>
        <v/>
      </c>
      <c r="N2535" s="80">
        <f>IF(AND($B2535="",$C2535="",$D2535=""),"",IF(NOT(ISNUMBER($B2535)),"Enter a valid date",IF($C2535="","Pick a menu item",IF($O2535="","Item not on Menu Pricing",IF(N($D2535)&lt;=0,"Qty must be above 0",IF($H2535="","No price on menu","OK"))))))</f>
        <v/>
      </c>
      <c r="O2535" s="13">
        <f>IF($C2535="","",IFERROR(MATCH($C2535,'Menu Pricing'!$B$7:$B$56,0),""))</f>
        <v/>
      </c>
    </row>
    <row r="2536" ht="17" customHeight="1">
      <c r="B2536" s="66" t="n"/>
      <c r="C2536" s="60" t="n"/>
      <c r="D2536" s="86" t="n"/>
      <c r="E2536" s="63" t="n"/>
      <c r="F2536" s="60" t="n"/>
      <c r="G2536" s="60" t="n"/>
      <c r="H2536" s="71">
        <f>IF(OR($C2536="",$D2536=""),"",IF(ISNUMBER($E2536),$E2536,IF($O2536="","",IF(N(INDEX('Menu Pricing'!$O$7:$O$56,$O2536))&gt;0,INDEX('Menu Pricing'!$O$7:$O$56,$O2536),""))))</f>
        <v/>
      </c>
      <c r="I2536" s="71">
        <f>IF($N2536&lt;&gt;"OK","",$D2536*$H2536)</f>
        <v/>
      </c>
      <c r="J2536" s="71">
        <f>IF($N2536&lt;&gt;"OK","",N(INDEX('Menu Pricing'!$F$7:$F$56,$O2536))+N(INDEX('Menu Pricing'!$G$7:$G$56,$O2536))+N(INDEX('Menu Pricing'!$J$7:$J$56,$O2536)))</f>
        <v/>
      </c>
      <c r="K2536" s="71">
        <f>IF($N2536&lt;&gt;"OK","",$D2536*$J2536)</f>
        <v/>
      </c>
      <c r="L2536" s="71">
        <f>IF($N2536&lt;&gt;"OK","",$I2536-$K2536)</f>
        <v/>
      </c>
      <c r="M2536" s="71">
        <f>IF($N2536&lt;&gt;"OK","",$D2536*N(INDEX('Menu Pricing'!$F$7:$F$56,$O2536)))</f>
        <v/>
      </c>
      <c r="N2536" s="80">
        <f>IF(AND($B2536="",$C2536="",$D2536=""),"",IF(NOT(ISNUMBER($B2536)),"Enter a valid date",IF($C2536="","Pick a menu item",IF($O2536="","Item not on Menu Pricing",IF(N($D2536)&lt;=0,"Qty must be above 0",IF($H2536="","No price on menu","OK"))))))</f>
        <v/>
      </c>
      <c r="O2536" s="13">
        <f>IF($C2536="","",IFERROR(MATCH($C2536,'Menu Pricing'!$B$7:$B$56,0),""))</f>
        <v/>
      </c>
    </row>
    <row r="2537" ht="17" customHeight="1">
      <c r="B2537" s="66" t="n"/>
      <c r="C2537" s="60" t="n"/>
      <c r="D2537" s="86" t="n"/>
      <c r="E2537" s="63" t="n"/>
      <c r="F2537" s="60" t="n"/>
      <c r="G2537" s="60" t="n"/>
      <c r="H2537" s="71">
        <f>IF(OR($C2537="",$D2537=""),"",IF(ISNUMBER($E2537),$E2537,IF($O2537="","",IF(N(INDEX('Menu Pricing'!$O$7:$O$56,$O2537))&gt;0,INDEX('Menu Pricing'!$O$7:$O$56,$O2537),""))))</f>
        <v/>
      </c>
      <c r="I2537" s="71">
        <f>IF($N2537&lt;&gt;"OK","",$D2537*$H2537)</f>
        <v/>
      </c>
      <c r="J2537" s="71">
        <f>IF($N2537&lt;&gt;"OK","",N(INDEX('Menu Pricing'!$F$7:$F$56,$O2537))+N(INDEX('Menu Pricing'!$G$7:$G$56,$O2537))+N(INDEX('Menu Pricing'!$J$7:$J$56,$O2537)))</f>
        <v/>
      </c>
      <c r="K2537" s="71">
        <f>IF($N2537&lt;&gt;"OK","",$D2537*$J2537)</f>
        <v/>
      </c>
      <c r="L2537" s="71">
        <f>IF($N2537&lt;&gt;"OK","",$I2537-$K2537)</f>
        <v/>
      </c>
      <c r="M2537" s="71">
        <f>IF($N2537&lt;&gt;"OK","",$D2537*N(INDEX('Menu Pricing'!$F$7:$F$56,$O2537)))</f>
        <v/>
      </c>
      <c r="N2537" s="80">
        <f>IF(AND($B2537="",$C2537="",$D2537=""),"",IF(NOT(ISNUMBER($B2537)),"Enter a valid date",IF($C2537="","Pick a menu item",IF($O2537="","Item not on Menu Pricing",IF(N($D2537)&lt;=0,"Qty must be above 0",IF($H2537="","No price on menu","OK"))))))</f>
        <v/>
      </c>
      <c r="O2537" s="13">
        <f>IF($C2537="","",IFERROR(MATCH($C2537,'Menu Pricing'!$B$7:$B$56,0),""))</f>
        <v/>
      </c>
    </row>
    <row r="2538" ht="17" customHeight="1">
      <c r="B2538" s="66" t="n"/>
      <c r="C2538" s="60" t="n"/>
      <c r="D2538" s="86" t="n"/>
      <c r="E2538" s="63" t="n"/>
      <c r="F2538" s="60" t="n"/>
      <c r="G2538" s="60" t="n"/>
      <c r="H2538" s="71">
        <f>IF(OR($C2538="",$D2538=""),"",IF(ISNUMBER($E2538),$E2538,IF($O2538="","",IF(N(INDEX('Menu Pricing'!$O$7:$O$56,$O2538))&gt;0,INDEX('Menu Pricing'!$O$7:$O$56,$O2538),""))))</f>
        <v/>
      </c>
      <c r="I2538" s="71">
        <f>IF($N2538&lt;&gt;"OK","",$D2538*$H2538)</f>
        <v/>
      </c>
      <c r="J2538" s="71">
        <f>IF($N2538&lt;&gt;"OK","",N(INDEX('Menu Pricing'!$F$7:$F$56,$O2538))+N(INDEX('Menu Pricing'!$G$7:$G$56,$O2538))+N(INDEX('Menu Pricing'!$J$7:$J$56,$O2538)))</f>
        <v/>
      </c>
      <c r="K2538" s="71">
        <f>IF($N2538&lt;&gt;"OK","",$D2538*$J2538)</f>
        <v/>
      </c>
      <c r="L2538" s="71">
        <f>IF($N2538&lt;&gt;"OK","",$I2538-$K2538)</f>
        <v/>
      </c>
      <c r="M2538" s="71">
        <f>IF($N2538&lt;&gt;"OK","",$D2538*N(INDEX('Menu Pricing'!$F$7:$F$56,$O2538)))</f>
        <v/>
      </c>
      <c r="N2538" s="80">
        <f>IF(AND($B2538="",$C2538="",$D2538=""),"",IF(NOT(ISNUMBER($B2538)),"Enter a valid date",IF($C2538="","Pick a menu item",IF($O2538="","Item not on Menu Pricing",IF(N($D2538)&lt;=0,"Qty must be above 0",IF($H2538="","No price on menu","OK"))))))</f>
        <v/>
      </c>
      <c r="O2538" s="13">
        <f>IF($C2538="","",IFERROR(MATCH($C2538,'Menu Pricing'!$B$7:$B$56,0),""))</f>
        <v/>
      </c>
    </row>
    <row r="2539" ht="17" customHeight="1">
      <c r="B2539" s="66" t="n"/>
      <c r="C2539" s="60" t="n"/>
      <c r="D2539" s="86" t="n"/>
      <c r="E2539" s="63" t="n"/>
      <c r="F2539" s="60" t="n"/>
      <c r="G2539" s="60" t="n"/>
      <c r="H2539" s="71">
        <f>IF(OR($C2539="",$D2539=""),"",IF(ISNUMBER($E2539),$E2539,IF($O2539="","",IF(N(INDEX('Menu Pricing'!$O$7:$O$56,$O2539))&gt;0,INDEX('Menu Pricing'!$O$7:$O$56,$O2539),""))))</f>
        <v/>
      </c>
      <c r="I2539" s="71">
        <f>IF($N2539&lt;&gt;"OK","",$D2539*$H2539)</f>
        <v/>
      </c>
      <c r="J2539" s="71">
        <f>IF($N2539&lt;&gt;"OK","",N(INDEX('Menu Pricing'!$F$7:$F$56,$O2539))+N(INDEX('Menu Pricing'!$G$7:$G$56,$O2539))+N(INDEX('Menu Pricing'!$J$7:$J$56,$O2539)))</f>
        <v/>
      </c>
      <c r="K2539" s="71">
        <f>IF($N2539&lt;&gt;"OK","",$D2539*$J2539)</f>
        <v/>
      </c>
      <c r="L2539" s="71">
        <f>IF($N2539&lt;&gt;"OK","",$I2539-$K2539)</f>
        <v/>
      </c>
      <c r="M2539" s="71">
        <f>IF($N2539&lt;&gt;"OK","",$D2539*N(INDEX('Menu Pricing'!$F$7:$F$56,$O2539)))</f>
        <v/>
      </c>
      <c r="N2539" s="80">
        <f>IF(AND($B2539="",$C2539="",$D2539=""),"",IF(NOT(ISNUMBER($B2539)),"Enter a valid date",IF($C2539="","Pick a menu item",IF($O2539="","Item not on Menu Pricing",IF(N($D2539)&lt;=0,"Qty must be above 0",IF($H2539="","No price on menu","OK"))))))</f>
        <v/>
      </c>
      <c r="O2539" s="13">
        <f>IF($C2539="","",IFERROR(MATCH($C2539,'Menu Pricing'!$B$7:$B$56,0),""))</f>
        <v/>
      </c>
    </row>
    <row r="2540" ht="17" customHeight="1">
      <c r="B2540" s="66" t="n"/>
      <c r="C2540" s="60" t="n"/>
      <c r="D2540" s="86" t="n"/>
      <c r="E2540" s="63" t="n"/>
      <c r="F2540" s="60" t="n"/>
      <c r="G2540" s="60" t="n"/>
      <c r="H2540" s="71">
        <f>IF(OR($C2540="",$D2540=""),"",IF(ISNUMBER($E2540),$E2540,IF($O2540="","",IF(N(INDEX('Menu Pricing'!$O$7:$O$56,$O2540))&gt;0,INDEX('Menu Pricing'!$O$7:$O$56,$O2540),""))))</f>
        <v/>
      </c>
      <c r="I2540" s="71">
        <f>IF($N2540&lt;&gt;"OK","",$D2540*$H2540)</f>
        <v/>
      </c>
      <c r="J2540" s="71">
        <f>IF($N2540&lt;&gt;"OK","",N(INDEX('Menu Pricing'!$F$7:$F$56,$O2540))+N(INDEX('Menu Pricing'!$G$7:$G$56,$O2540))+N(INDEX('Menu Pricing'!$J$7:$J$56,$O2540)))</f>
        <v/>
      </c>
      <c r="K2540" s="71">
        <f>IF($N2540&lt;&gt;"OK","",$D2540*$J2540)</f>
        <v/>
      </c>
      <c r="L2540" s="71">
        <f>IF($N2540&lt;&gt;"OK","",$I2540-$K2540)</f>
        <v/>
      </c>
      <c r="M2540" s="71">
        <f>IF($N2540&lt;&gt;"OK","",$D2540*N(INDEX('Menu Pricing'!$F$7:$F$56,$O2540)))</f>
        <v/>
      </c>
      <c r="N2540" s="80">
        <f>IF(AND($B2540="",$C2540="",$D2540=""),"",IF(NOT(ISNUMBER($B2540)),"Enter a valid date",IF($C2540="","Pick a menu item",IF($O2540="","Item not on Menu Pricing",IF(N($D2540)&lt;=0,"Qty must be above 0",IF($H2540="","No price on menu","OK"))))))</f>
        <v/>
      </c>
      <c r="O2540" s="13">
        <f>IF($C2540="","",IFERROR(MATCH($C2540,'Menu Pricing'!$B$7:$B$56,0),""))</f>
        <v/>
      </c>
    </row>
    <row r="2541" ht="17" customHeight="1">
      <c r="B2541" s="66" t="n"/>
      <c r="C2541" s="60" t="n"/>
      <c r="D2541" s="86" t="n"/>
      <c r="E2541" s="63" t="n"/>
      <c r="F2541" s="60" t="n"/>
      <c r="G2541" s="60" t="n"/>
      <c r="H2541" s="71">
        <f>IF(OR($C2541="",$D2541=""),"",IF(ISNUMBER($E2541),$E2541,IF($O2541="","",IF(N(INDEX('Menu Pricing'!$O$7:$O$56,$O2541))&gt;0,INDEX('Menu Pricing'!$O$7:$O$56,$O2541),""))))</f>
        <v/>
      </c>
      <c r="I2541" s="71">
        <f>IF($N2541&lt;&gt;"OK","",$D2541*$H2541)</f>
        <v/>
      </c>
      <c r="J2541" s="71">
        <f>IF($N2541&lt;&gt;"OK","",N(INDEX('Menu Pricing'!$F$7:$F$56,$O2541))+N(INDEX('Menu Pricing'!$G$7:$G$56,$O2541))+N(INDEX('Menu Pricing'!$J$7:$J$56,$O2541)))</f>
        <v/>
      </c>
      <c r="K2541" s="71">
        <f>IF($N2541&lt;&gt;"OK","",$D2541*$J2541)</f>
        <v/>
      </c>
      <c r="L2541" s="71">
        <f>IF($N2541&lt;&gt;"OK","",$I2541-$K2541)</f>
        <v/>
      </c>
      <c r="M2541" s="71">
        <f>IF($N2541&lt;&gt;"OK","",$D2541*N(INDEX('Menu Pricing'!$F$7:$F$56,$O2541)))</f>
        <v/>
      </c>
      <c r="N2541" s="80">
        <f>IF(AND($B2541="",$C2541="",$D2541=""),"",IF(NOT(ISNUMBER($B2541)),"Enter a valid date",IF($C2541="","Pick a menu item",IF($O2541="","Item not on Menu Pricing",IF(N($D2541)&lt;=0,"Qty must be above 0",IF($H2541="","No price on menu","OK"))))))</f>
        <v/>
      </c>
      <c r="O2541" s="13">
        <f>IF($C2541="","",IFERROR(MATCH($C2541,'Menu Pricing'!$B$7:$B$56,0),""))</f>
        <v/>
      </c>
    </row>
    <row r="2542" ht="17" customHeight="1">
      <c r="B2542" s="66" t="n"/>
      <c r="C2542" s="60" t="n"/>
      <c r="D2542" s="86" t="n"/>
      <c r="E2542" s="63" t="n"/>
      <c r="F2542" s="60" t="n"/>
      <c r="G2542" s="60" t="n"/>
      <c r="H2542" s="71">
        <f>IF(OR($C2542="",$D2542=""),"",IF(ISNUMBER($E2542),$E2542,IF($O2542="","",IF(N(INDEX('Menu Pricing'!$O$7:$O$56,$O2542))&gt;0,INDEX('Menu Pricing'!$O$7:$O$56,$O2542),""))))</f>
        <v/>
      </c>
      <c r="I2542" s="71">
        <f>IF($N2542&lt;&gt;"OK","",$D2542*$H2542)</f>
        <v/>
      </c>
      <c r="J2542" s="71">
        <f>IF($N2542&lt;&gt;"OK","",N(INDEX('Menu Pricing'!$F$7:$F$56,$O2542))+N(INDEX('Menu Pricing'!$G$7:$G$56,$O2542))+N(INDEX('Menu Pricing'!$J$7:$J$56,$O2542)))</f>
        <v/>
      </c>
      <c r="K2542" s="71">
        <f>IF($N2542&lt;&gt;"OK","",$D2542*$J2542)</f>
        <v/>
      </c>
      <c r="L2542" s="71">
        <f>IF($N2542&lt;&gt;"OK","",$I2542-$K2542)</f>
        <v/>
      </c>
      <c r="M2542" s="71">
        <f>IF($N2542&lt;&gt;"OK","",$D2542*N(INDEX('Menu Pricing'!$F$7:$F$56,$O2542)))</f>
        <v/>
      </c>
      <c r="N2542" s="80">
        <f>IF(AND($B2542="",$C2542="",$D2542=""),"",IF(NOT(ISNUMBER($B2542)),"Enter a valid date",IF($C2542="","Pick a menu item",IF($O2542="","Item not on Menu Pricing",IF(N($D2542)&lt;=0,"Qty must be above 0",IF($H2542="","No price on menu","OK"))))))</f>
        <v/>
      </c>
      <c r="O2542" s="13">
        <f>IF($C2542="","",IFERROR(MATCH($C2542,'Menu Pricing'!$B$7:$B$56,0),""))</f>
        <v/>
      </c>
    </row>
    <row r="2543" ht="17" customHeight="1">
      <c r="B2543" s="66" t="n"/>
      <c r="C2543" s="60" t="n"/>
      <c r="D2543" s="86" t="n"/>
      <c r="E2543" s="63" t="n"/>
      <c r="F2543" s="60" t="n"/>
      <c r="G2543" s="60" t="n"/>
      <c r="H2543" s="71">
        <f>IF(OR($C2543="",$D2543=""),"",IF(ISNUMBER($E2543),$E2543,IF($O2543="","",IF(N(INDEX('Menu Pricing'!$O$7:$O$56,$O2543))&gt;0,INDEX('Menu Pricing'!$O$7:$O$56,$O2543),""))))</f>
        <v/>
      </c>
      <c r="I2543" s="71">
        <f>IF($N2543&lt;&gt;"OK","",$D2543*$H2543)</f>
        <v/>
      </c>
      <c r="J2543" s="71">
        <f>IF($N2543&lt;&gt;"OK","",N(INDEX('Menu Pricing'!$F$7:$F$56,$O2543))+N(INDEX('Menu Pricing'!$G$7:$G$56,$O2543))+N(INDEX('Menu Pricing'!$J$7:$J$56,$O2543)))</f>
        <v/>
      </c>
      <c r="K2543" s="71">
        <f>IF($N2543&lt;&gt;"OK","",$D2543*$J2543)</f>
        <v/>
      </c>
      <c r="L2543" s="71">
        <f>IF($N2543&lt;&gt;"OK","",$I2543-$K2543)</f>
        <v/>
      </c>
      <c r="M2543" s="71">
        <f>IF($N2543&lt;&gt;"OK","",$D2543*N(INDEX('Menu Pricing'!$F$7:$F$56,$O2543)))</f>
        <v/>
      </c>
      <c r="N2543" s="80">
        <f>IF(AND($B2543="",$C2543="",$D2543=""),"",IF(NOT(ISNUMBER($B2543)),"Enter a valid date",IF($C2543="","Pick a menu item",IF($O2543="","Item not on Menu Pricing",IF(N($D2543)&lt;=0,"Qty must be above 0",IF($H2543="","No price on menu","OK"))))))</f>
        <v/>
      </c>
      <c r="O2543" s="13">
        <f>IF($C2543="","",IFERROR(MATCH($C2543,'Menu Pricing'!$B$7:$B$56,0),""))</f>
        <v/>
      </c>
    </row>
    <row r="2544" ht="17" customHeight="1">
      <c r="B2544" s="66" t="n"/>
      <c r="C2544" s="60" t="n"/>
      <c r="D2544" s="86" t="n"/>
      <c r="E2544" s="63" t="n"/>
      <c r="F2544" s="60" t="n"/>
      <c r="G2544" s="60" t="n"/>
      <c r="H2544" s="71">
        <f>IF(OR($C2544="",$D2544=""),"",IF(ISNUMBER($E2544),$E2544,IF($O2544="","",IF(N(INDEX('Menu Pricing'!$O$7:$O$56,$O2544))&gt;0,INDEX('Menu Pricing'!$O$7:$O$56,$O2544),""))))</f>
        <v/>
      </c>
      <c r="I2544" s="71">
        <f>IF($N2544&lt;&gt;"OK","",$D2544*$H2544)</f>
        <v/>
      </c>
      <c r="J2544" s="71">
        <f>IF($N2544&lt;&gt;"OK","",N(INDEX('Menu Pricing'!$F$7:$F$56,$O2544))+N(INDEX('Menu Pricing'!$G$7:$G$56,$O2544))+N(INDEX('Menu Pricing'!$J$7:$J$56,$O2544)))</f>
        <v/>
      </c>
      <c r="K2544" s="71">
        <f>IF($N2544&lt;&gt;"OK","",$D2544*$J2544)</f>
        <v/>
      </c>
      <c r="L2544" s="71">
        <f>IF($N2544&lt;&gt;"OK","",$I2544-$K2544)</f>
        <v/>
      </c>
      <c r="M2544" s="71">
        <f>IF($N2544&lt;&gt;"OK","",$D2544*N(INDEX('Menu Pricing'!$F$7:$F$56,$O2544)))</f>
        <v/>
      </c>
      <c r="N2544" s="80">
        <f>IF(AND($B2544="",$C2544="",$D2544=""),"",IF(NOT(ISNUMBER($B2544)),"Enter a valid date",IF($C2544="","Pick a menu item",IF($O2544="","Item not on Menu Pricing",IF(N($D2544)&lt;=0,"Qty must be above 0",IF($H2544="","No price on menu","OK"))))))</f>
        <v/>
      </c>
      <c r="O2544" s="13">
        <f>IF($C2544="","",IFERROR(MATCH($C2544,'Menu Pricing'!$B$7:$B$56,0),""))</f>
        <v/>
      </c>
    </row>
    <row r="2545" ht="17" customHeight="1">
      <c r="B2545" s="66" t="n"/>
      <c r="C2545" s="60" t="n"/>
      <c r="D2545" s="86" t="n"/>
      <c r="E2545" s="63" t="n"/>
      <c r="F2545" s="60" t="n"/>
      <c r="G2545" s="60" t="n"/>
      <c r="H2545" s="71">
        <f>IF(OR($C2545="",$D2545=""),"",IF(ISNUMBER($E2545),$E2545,IF($O2545="","",IF(N(INDEX('Menu Pricing'!$O$7:$O$56,$O2545))&gt;0,INDEX('Menu Pricing'!$O$7:$O$56,$O2545),""))))</f>
        <v/>
      </c>
      <c r="I2545" s="71">
        <f>IF($N2545&lt;&gt;"OK","",$D2545*$H2545)</f>
        <v/>
      </c>
      <c r="J2545" s="71">
        <f>IF($N2545&lt;&gt;"OK","",N(INDEX('Menu Pricing'!$F$7:$F$56,$O2545))+N(INDEX('Menu Pricing'!$G$7:$G$56,$O2545))+N(INDEX('Menu Pricing'!$J$7:$J$56,$O2545)))</f>
        <v/>
      </c>
      <c r="K2545" s="71">
        <f>IF($N2545&lt;&gt;"OK","",$D2545*$J2545)</f>
        <v/>
      </c>
      <c r="L2545" s="71">
        <f>IF($N2545&lt;&gt;"OK","",$I2545-$K2545)</f>
        <v/>
      </c>
      <c r="M2545" s="71">
        <f>IF($N2545&lt;&gt;"OK","",$D2545*N(INDEX('Menu Pricing'!$F$7:$F$56,$O2545)))</f>
        <v/>
      </c>
      <c r="N2545" s="80">
        <f>IF(AND($B2545="",$C2545="",$D2545=""),"",IF(NOT(ISNUMBER($B2545)),"Enter a valid date",IF($C2545="","Pick a menu item",IF($O2545="","Item not on Menu Pricing",IF(N($D2545)&lt;=0,"Qty must be above 0",IF($H2545="","No price on menu","OK"))))))</f>
        <v/>
      </c>
      <c r="O2545" s="13">
        <f>IF($C2545="","",IFERROR(MATCH($C2545,'Menu Pricing'!$B$7:$B$56,0),""))</f>
        <v/>
      </c>
    </row>
    <row r="2546" ht="17" customHeight="1">
      <c r="B2546" s="66" t="n"/>
      <c r="C2546" s="60" t="n"/>
      <c r="D2546" s="86" t="n"/>
      <c r="E2546" s="63" t="n"/>
      <c r="F2546" s="60" t="n"/>
      <c r="G2546" s="60" t="n"/>
      <c r="H2546" s="71">
        <f>IF(OR($C2546="",$D2546=""),"",IF(ISNUMBER($E2546),$E2546,IF($O2546="","",IF(N(INDEX('Menu Pricing'!$O$7:$O$56,$O2546))&gt;0,INDEX('Menu Pricing'!$O$7:$O$56,$O2546),""))))</f>
        <v/>
      </c>
      <c r="I2546" s="71">
        <f>IF($N2546&lt;&gt;"OK","",$D2546*$H2546)</f>
        <v/>
      </c>
      <c r="J2546" s="71">
        <f>IF($N2546&lt;&gt;"OK","",N(INDEX('Menu Pricing'!$F$7:$F$56,$O2546))+N(INDEX('Menu Pricing'!$G$7:$G$56,$O2546))+N(INDEX('Menu Pricing'!$J$7:$J$56,$O2546)))</f>
        <v/>
      </c>
      <c r="K2546" s="71">
        <f>IF($N2546&lt;&gt;"OK","",$D2546*$J2546)</f>
        <v/>
      </c>
      <c r="L2546" s="71">
        <f>IF($N2546&lt;&gt;"OK","",$I2546-$K2546)</f>
        <v/>
      </c>
      <c r="M2546" s="71">
        <f>IF($N2546&lt;&gt;"OK","",$D2546*N(INDEX('Menu Pricing'!$F$7:$F$56,$O2546)))</f>
        <v/>
      </c>
      <c r="N2546" s="80">
        <f>IF(AND($B2546="",$C2546="",$D2546=""),"",IF(NOT(ISNUMBER($B2546)),"Enter a valid date",IF($C2546="","Pick a menu item",IF($O2546="","Item not on Menu Pricing",IF(N($D2546)&lt;=0,"Qty must be above 0",IF($H2546="","No price on menu","OK"))))))</f>
        <v/>
      </c>
      <c r="O2546" s="13">
        <f>IF($C2546="","",IFERROR(MATCH($C2546,'Menu Pricing'!$B$7:$B$56,0),""))</f>
        <v/>
      </c>
    </row>
    <row r="2547" ht="17" customHeight="1">
      <c r="B2547" s="66" t="n"/>
      <c r="C2547" s="60" t="n"/>
      <c r="D2547" s="86" t="n"/>
      <c r="E2547" s="63" t="n"/>
      <c r="F2547" s="60" t="n"/>
      <c r="G2547" s="60" t="n"/>
      <c r="H2547" s="71">
        <f>IF(OR($C2547="",$D2547=""),"",IF(ISNUMBER($E2547),$E2547,IF($O2547="","",IF(N(INDEX('Menu Pricing'!$O$7:$O$56,$O2547))&gt;0,INDEX('Menu Pricing'!$O$7:$O$56,$O2547),""))))</f>
        <v/>
      </c>
      <c r="I2547" s="71">
        <f>IF($N2547&lt;&gt;"OK","",$D2547*$H2547)</f>
        <v/>
      </c>
      <c r="J2547" s="71">
        <f>IF($N2547&lt;&gt;"OK","",N(INDEX('Menu Pricing'!$F$7:$F$56,$O2547))+N(INDEX('Menu Pricing'!$G$7:$G$56,$O2547))+N(INDEX('Menu Pricing'!$J$7:$J$56,$O2547)))</f>
        <v/>
      </c>
      <c r="K2547" s="71">
        <f>IF($N2547&lt;&gt;"OK","",$D2547*$J2547)</f>
        <v/>
      </c>
      <c r="L2547" s="71">
        <f>IF($N2547&lt;&gt;"OK","",$I2547-$K2547)</f>
        <v/>
      </c>
      <c r="M2547" s="71">
        <f>IF($N2547&lt;&gt;"OK","",$D2547*N(INDEX('Menu Pricing'!$F$7:$F$56,$O2547)))</f>
        <v/>
      </c>
      <c r="N2547" s="80">
        <f>IF(AND($B2547="",$C2547="",$D2547=""),"",IF(NOT(ISNUMBER($B2547)),"Enter a valid date",IF($C2547="","Pick a menu item",IF($O2547="","Item not on Menu Pricing",IF(N($D2547)&lt;=0,"Qty must be above 0",IF($H2547="","No price on menu","OK"))))))</f>
        <v/>
      </c>
      <c r="O2547" s="13">
        <f>IF($C2547="","",IFERROR(MATCH($C2547,'Menu Pricing'!$B$7:$B$56,0),""))</f>
        <v/>
      </c>
    </row>
    <row r="2548" ht="17" customHeight="1">
      <c r="B2548" s="66" t="n"/>
      <c r="C2548" s="60" t="n"/>
      <c r="D2548" s="86" t="n"/>
      <c r="E2548" s="63" t="n"/>
      <c r="F2548" s="60" t="n"/>
      <c r="G2548" s="60" t="n"/>
      <c r="H2548" s="71">
        <f>IF(OR($C2548="",$D2548=""),"",IF(ISNUMBER($E2548),$E2548,IF($O2548="","",IF(N(INDEX('Menu Pricing'!$O$7:$O$56,$O2548))&gt;0,INDEX('Menu Pricing'!$O$7:$O$56,$O2548),""))))</f>
        <v/>
      </c>
      <c r="I2548" s="71">
        <f>IF($N2548&lt;&gt;"OK","",$D2548*$H2548)</f>
        <v/>
      </c>
      <c r="J2548" s="71">
        <f>IF($N2548&lt;&gt;"OK","",N(INDEX('Menu Pricing'!$F$7:$F$56,$O2548))+N(INDEX('Menu Pricing'!$G$7:$G$56,$O2548))+N(INDEX('Menu Pricing'!$J$7:$J$56,$O2548)))</f>
        <v/>
      </c>
      <c r="K2548" s="71">
        <f>IF($N2548&lt;&gt;"OK","",$D2548*$J2548)</f>
        <v/>
      </c>
      <c r="L2548" s="71">
        <f>IF($N2548&lt;&gt;"OK","",$I2548-$K2548)</f>
        <v/>
      </c>
      <c r="M2548" s="71">
        <f>IF($N2548&lt;&gt;"OK","",$D2548*N(INDEX('Menu Pricing'!$F$7:$F$56,$O2548)))</f>
        <v/>
      </c>
      <c r="N2548" s="80">
        <f>IF(AND($B2548="",$C2548="",$D2548=""),"",IF(NOT(ISNUMBER($B2548)),"Enter a valid date",IF($C2548="","Pick a menu item",IF($O2548="","Item not on Menu Pricing",IF(N($D2548)&lt;=0,"Qty must be above 0",IF($H2548="","No price on menu","OK"))))))</f>
        <v/>
      </c>
      <c r="O2548" s="13">
        <f>IF($C2548="","",IFERROR(MATCH($C2548,'Menu Pricing'!$B$7:$B$56,0),""))</f>
        <v/>
      </c>
    </row>
    <row r="2549" ht="17" customHeight="1">
      <c r="B2549" s="66" t="n"/>
      <c r="C2549" s="60" t="n"/>
      <c r="D2549" s="86" t="n"/>
      <c r="E2549" s="63" t="n"/>
      <c r="F2549" s="60" t="n"/>
      <c r="G2549" s="60" t="n"/>
      <c r="H2549" s="71">
        <f>IF(OR($C2549="",$D2549=""),"",IF(ISNUMBER($E2549),$E2549,IF($O2549="","",IF(N(INDEX('Menu Pricing'!$O$7:$O$56,$O2549))&gt;0,INDEX('Menu Pricing'!$O$7:$O$56,$O2549),""))))</f>
        <v/>
      </c>
      <c r="I2549" s="71">
        <f>IF($N2549&lt;&gt;"OK","",$D2549*$H2549)</f>
        <v/>
      </c>
      <c r="J2549" s="71">
        <f>IF($N2549&lt;&gt;"OK","",N(INDEX('Menu Pricing'!$F$7:$F$56,$O2549))+N(INDEX('Menu Pricing'!$G$7:$G$56,$O2549))+N(INDEX('Menu Pricing'!$J$7:$J$56,$O2549)))</f>
        <v/>
      </c>
      <c r="K2549" s="71">
        <f>IF($N2549&lt;&gt;"OK","",$D2549*$J2549)</f>
        <v/>
      </c>
      <c r="L2549" s="71">
        <f>IF($N2549&lt;&gt;"OK","",$I2549-$K2549)</f>
        <v/>
      </c>
      <c r="M2549" s="71">
        <f>IF($N2549&lt;&gt;"OK","",$D2549*N(INDEX('Menu Pricing'!$F$7:$F$56,$O2549)))</f>
        <v/>
      </c>
      <c r="N2549" s="80">
        <f>IF(AND($B2549="",$C2549="",$D2549=""),"",IF(NOT(ISNUMBER($B2549)),"Enter a valid date",IF($C2549="","Pick a menu item",IF($O2549="","Item not on Menu Pricing",IF(N($D2549)&lt;=0,"Qty must be above 0",IF($H2549="","No price on menu","OK"))))))</f>
        <v/>
      </c>
      <c r="O2549" s="13">
        <f>IF($C2549="","",IFERROR(MATCH($C2549,'Menu Pricing'!$B$7:$B$56,0),""))</f>
        <v/>
      </c>
    </row>
    <row r="2550" ht="17" customHeight="1">
      <c r="B2550" s="66" t="n"/>
      <c r="C2550" s="60" t="n"/>
      <c r="D2550" s="86" t="n"/>
      <c r="E2550" s="63" t="n"/>
      <c r="F2550" s="60" t="n"/>
      <c r="G2550" s="60" t="n"/>
      <c r="H2550" s="71">
        <f>IF(OR($C2550="",$D2550=""),"",IF(ISNUMBER($E2550),$E2550,IF($O2550="","",IF(N(INDEX('Menu Pricing'!$O$7:$O$56,$O2550))&gt;0,INDEX('Menu Pricing'!$O$7:$O$56,$O2550),""))))</f>
        <v/>
      </c>
      <c r="I2550" s="71">
        <f>IF($N2550&lt;&gt;"OK","",$D2550*$H2550)</f>
        <v/>
      </c>
      <c r="J2550" s="71">
        <f>IF($N2550&lt;&gt;"OK","",N(INDEX('Menu Pricing'!$F$7:$F$56,$O2550))+N(INDEX('Menu Pricing'!$G$7:$G$56,$O2550))+N(INDEX('Menu Pricing'!$J$7:$J$56,$O2550)))</f>
        <v/>
      </c>
      <c r="K2550" s="71">
        <f>IF($N2550&lt;&gt;"OK","",$D2550*$J2550)</f>
        <v/>
      </c>
      <c r="L2550" s="71">
        <f>IF($N2550&lt;&gt;"OK","",$I2550-$K2550)</f>
        <v/>
      </c>
      <c r="M2550" s="71">
        <f>IF($N2550&lt;&gt;"OK","",$D2550*N(INDEX('Menu Pricing'!$F$7:$F$56,$O2550)))</f>
        <v/>
      </c>
      <c r="N2550" s="80">
        <f>IF(AND($B2550="",$C2550="",$D2550=""),"",IF(NOT(ISNUMBER($B2550)),"Enter a valid date",IF($C2550="","Pick a menu item",IF($O2550="","Item not on Menu Pricing",IF(N($D2550)&lt;=0,"Qty must be above 0",IF($H2550="","No price on menu","OK"))))))</f>
        <v/>
      </c>
      <c r="O2550" s="13">
        <f>IF($C2550="","",IFERROR(MATCH($C2550,'Menu Pricing'!$B$7:$B$56,0),""))</f>
        <v/>
      </c>
    </row>
    <row r="2551" ht="17" customHeight="1">
      <c r="B2551" s="66" t="n"/>
      <c r="C2551" s="60" t="n"/>
      <c r="D2551" s="86" t="n"/>
      <c r="E2551" s="63" t="n"/>
      <c r="F2551" s="60" t="n"/>
      <c r="G2551" s="60" t="n"/>
      <c r="H2551" s="71">
        <f>IF(OR($C2551="",$D2551=""),"",IF(ISNUMBER($E2551),$E2551,IF($O2551="","",IF(N(INDEX('Menu Pricing'!$O$7:$O$56,$O2551))&gt;0,INDEX('Menu Pricing'!$O$7:$O$56,$O2551),""))))</f>
        <v/>
      </c>
      <c r="I2551" s="71">
        <f>IF($N2551&lt;&gt;"OK","",$D2551*$H2551)</f>
        <v/>
      </c>
      <c r="J2551" s="71">
        <f>IF($N2551&lt;&gt;"OK","",N(INDEX('Menu Pricing'!$F$7:$F$56,$O2551))+N(INDEX('Menu Pricing'!$G$7:$G$56,$O2551))+N(INDEX('Menu Pricing'!$J$7:$J$56,$O2551)))</f>
        <v/>
      </c>
      <c r="K2551" s="71">
        <f>IF($N2551&lt;&gt;"OK","",$D2551*$J2551)</f>
        <v/>
      </c>
      <c r="L2551" s="71">
        <f>IF($N2551&lt;&gt;"OK","",$I2551-$K2551)</f>
        <v/>
      </c>
      <c r="M2551" s="71">
        <f>IF($N2551&lt;&gt;"OK","",$D2551*N(INDEX('Menu Pricing'!$F$7:$F$56,$O2551)))</f>
        <v/>
      </c>
      <c r="N2551" s="80">
        <f>IF(AND($B2551="",$C2551="",$D2551=""),"",IF(NOT(ISNUMBER($B2551)),"Enter a valid date",IF($C2551="","Pick a menu item",IF($O2551="","Item not on Menu Pricing",IF(N($D2551)&lt;=0,"Qty must be above 0",IF($H2551="","No price on menu","OK"))))))</f>
        <v/>
      </c>
      <c r="O2551" s="13">
        <f>IF($C2551="","",IFERROR(MATCH($C2551,'Menu Pricing'!$B$7:$B$56,0),""))</f>
        <v/>
      </c>
    </row>
    <row r="2552" ht="17" customHeight="1">
      <c r="B2552" s="66" t="n"/>
      <c r="C2552" s="60" t="n"/>
      <c r="D2552" s="86" t="n"/>
      <c r="E2552" s="63" t="n"/>
      <c r="F2552" s="60" t="n"/>
      <c r="G2552" s="60" t="n"/>
      <c r="H2552" s="71">
        <f>IF(OR($C2552="",$D2552=""),"",IF(ISNUMBER($E2552),$E2552,IF($O2552="","",IF(N(INDEX('Menu Pricing'!$O$7:$O$56,$O2552))&gt;0,INDEX('Menu Pricing'!$O$7:$O$56,$O2552),""))))</f>
        <v/>
      </c>
      <c r="I2552" s="71">
        <f>IF($N2552&lt;&gt;"OK","",$D2552*$H2552)</f>
        <v/>
      </c>
      <c r="J2552" s="71">
        <f>IF($N2552&lt;&gt;"OK","",N(INDEX('Menu Pricing'!$F$7:$F$56,$O2552))+N(INDEX('Menu Pricing'!$G$7:$G$56,$O2552))+N(INDEX('Menu Pricing'!$J$7:$J$56,$O2552)))</f>
        <v/>
      </c>
      <c r="K2552" s="71">
        <f>IF($N2552&lt;&gt;"OK","",$D2552*$J2552)</f>
        <v/>
      </c>
      <c r="L2552" s="71">
        <f>IF($N2552&lt;&gt;"OK","",$I2552-$K2552)</f>
        <v/>
      </c>
      <c r="M2552" s="71">
        <f>IF($N2552&lt;&gt;"OK","",$D2552*N(INDEX('Menu Pricing'!$F$7:$F$56,$O2552)))</f>
        <v/>
      </c>
      <c r="N2552" s="80">
        <f>IF(AND($B2552="",$C2552="",$D2552=""),"",IF(NOT(ISNUMBER($B2552)),"Enter a valid date",IF($C2552="","Pick a menu item",IF($O2552="","Item not on Menu Pricing",IF(N($D2552)&lt;=0,"Qty must be above 0",IF($H2552="","No price on menu","OK"))))))</f>
        <v/>
      </c>
      <c r="O2552" s="13">
        <f>IF($C2552="","",IFERROR(MATCH($C2552,'Menu Pricing'!$B$7:$B$56,0),""))</f>
        <v/>
      </c>
    </row>
    <row r="2553" ht="17" customHeight="1">
      <c r="B2553" s="66" t="n"/>
      <c r="C2553" s="60" t="n"/>
      <c r="D2553" s="86" t="n"/>
      <c r="E2553" s="63" t="n"/>
      <c r="F2553" s="60" t="n"/>
      <c r="G2553" s="60" t="n"/>
      <c r="H2553" s="71">
        <f>IF(OR($C2553="",$D2553=""),"",IF(ISNUMBER($E2553),$E2553,IF($O2553="","",IF(N(INDEX('Menu Pricing'!$O$7:$O$56,$O2553))&gt;0,INDEX('Menu Pricing'!$O$7:$O$56,$O2553),""))))</f>
        <v/>
      </c>
      <c r="I2553" s="71">
        <f>IF($N2553&lt;&gt;"OK","",$D2553*$H2553)</f>
        <v/>
      </c>
      <c r="J2553" s="71">
        <f>IF($N2553&lt;&gt;"OK","",N(INDEX('Menu Pricing'!$F$7:$F$56,$O2553))+N(INDEX('Menu Pricing'!$G$7:$G$56,$O2553))+N(INDEX('Menu Pricing'!$J$7:$J$56,$O2553)))</f>
        <v/>
      </c>
      <c r="K2553" s="71">
        <f>IF($N2553&lt;&gt;"OK","",$D2553*$J2553)</f>
        <v/>
      </c>
      <c r="L2553" s="71">
        <f>IF($N2553&lt;&gt;"OK","",$I2553-$K2553)</f>
        <v/>
      </c>
      <c r="M2553" s="71">
        <f>IF($N2553&lt;&gt;"OK","",$D2553*N(INDEX('Menu Pricing'!$F$7:$F$56,$O2553)))</f>
        <v/>
      </c>
      <c r="N2553" s="80">
        <f>IF(AND($B2553="",$C2553="",$D2553=""),"",IF(NOT(ISNUMBER($B2553)),"Enter a valid date",IF($C2553="","Pick a menu item",IF($O2553="","Item not on Menu Pricing",IF(N($D2553)&lt;=0,"Qty must be above 0",IF($H2553="","No price on menu","OK"))))))</f>
        <v/>
      </c>
      <c r="O2553" s="13">
        <f>IF($C2553="","",IFERROR(MATCH($C2553,'Menu Pricing'!$B$7:$B$56,0),""))</f>
        <v/>
      </c>
    </row>
    <row r="2554" ht="17" customHeight="1">
      <c r="B2554" s="66" t="n"/>
      <c r="C2554" s="60" t="n"/>
      <c r="D2554" s="86" t="n"/>
      <c r="E2554" s="63" t="n"/>
      <c r="F2554" s="60" t="n"/>
      <c r="G2554" s="60" t="n"/>
      <c r="H2554" s="71">
        <f>IF(OR($C2554="",$D2554=""),"",IF(ISNUMBER($E2554),$E2554,IF($O2554="","",IF(N(INDEX('Menu Pricing'!$O$7:$O$56,$O2554))&gt;0,INDEX('Menu Pricing'!$O$7:$O$56,$O2554),""))))</f>
        <v/>
      </c>
      <c r="I2554" s="71">
        <f>IF($N2554&lt;&gt;"OK","",$D2554*$H2554)</f>
        <v/>
      </c>
      <c r="J2554" s="71">
        <f>IF($N2554&lt;&gt;"OK","",N(INDEX('Menu Pricing'!$F$7:$F$56,$O2554))+N(INDEX('Menu Pricing'!$G$7:$G$56,$O2554))+N(INDEX('Menu Pricing'!$J$7:$J$56,$O2554)))</f>
        <v/>
      </c>
      <c r="K2554" s="71">
        <f>IF($N2554&lt;&gt;"OK","",$D2554*$J2554)</f>
        <v/>
      </c>
      <c r="L2554" s="71">
        <f>IF($N2554&lt;&gt;"OK","",$I2554-$K2554)</f>
        <v/>
      </c>
      <c r="M2554" s="71">
        <f>IF($N2554&lt;&gt;"OK","",$D2554*N(INDEX('Menu Pricing'!$F$7:$F$56,$O2554)))</f>
        <v/>
      </c>
      <c r="N2554" s="80">
        <f>IF(AND($B2554="",$C2554="",$D2554=""),"",IF(NOT(ISNUMBER($B2554)),"Enter a valid date",IF($C2554="","Pick a menu item",IF($O2554="","Item not on Menu Pricing",IF(N($D2554)&lt;=0,"Qty must be above 0",IF($H2554="","No price on menu","OK"))))))</f>
        <v/>
      </c>
      <c r="O2554" s="13">
        <f>IF($C2554="","",IFERROR(MATCH($C2554,'Menu Pricing'!$B$7:$B$56,0),""))</f>
        <v/>
      </c>
    </row>
    <row r="2555" ht="17" customHeight="1">
      <c r="B2555" s="66" t="n"/>
      <c r="C2555" s="60" t="n"/>
      <c r="D2555" s="86" t="n"/>
      <c r="E2555" s="63" t="n"/>
      <c r="F2555" s="60" t="n"/>
      <c r="G2555" s="60" t="n"/>
      <c r="H2555" s="71">
        <f>IF(OR($C2555="",$D2555=""),"",IF(ISNUMBER($E2555),$E2555,IF($O2555="","",IF(N(INDEX('Menu Pricing'!$O$7:$O$56,$O2555))&gt;0,INDEX('Menu Pricing'!$O$7:$O$56,$O2555),""))))</f>
        <v/>
      </c>
      <c r="I2555" s="71">
        <f>IF($N2555&lt;&gt;"OK","",$D2555*$H2555)</f>
        <v/>
      </c>
      <c r="J2555" s="71">
        <f>IF($N2555&lt;&gt;"OK","",N(INDEX('Menu Pricing'!$F$7:$F$56,$O2555))+N(INDEX('Menu Pricing'!$G$7:$G$56,$O2555))+N(INDEX('Menu Pricing'!$J$7:$J$56,$O2555)))</f>
        <v/>
      </c>
      <c r="K2555" s="71">
        <f>IF($N2555&lt;&gt;"OK","",$D2555*$J2555)</f>
        <v/>
      </c>
      <c r="L2555" s="71">
        <f>IF($N2555&lt;&gt;"OK","",$I2555-$K2555)</f>
        <v/>
      </c>
      <c r="M2555" s="71">
        <f>IF($N2555&lt;&gt;"OK","",$D2555*N(INDEX('Menu Pricing'!$F$7:$F$56,$O2555)))</f>
        <v/>
      </c>
      <c r="N2555" s="80">
        <f>IF(AND($B2555="",$C2555="",$D2555=""),"",IF(NOT(ISNUMBER($B2555)),"Enter a valid date",IF($C2555="","Pick a menu item",IF($O2555="","Item not on Menu Pricing",IF(N($D2555)&lt;=0,"Qty must be above 0",IF($H2555="","No price on menu","OK"))))))</f>
        <v/>
      </c>
      <c r="O2555" s="13">
        <f>IF($C2555="","",IFERROR(MATCH($C2555,'Menu Pricing'!$B$7:$B$56,0),""))</f>
        <v/>
      </c>
    </row>
    <row r="2556" ht="17" customHeight="1">
      <c r="B2556" s="66" t="n"/>
      <c r="C2556" s="60" t="n"/>
      <c r="D2556" s="86" t="n"/>
      <c r="E2556" s="63" t="n"/>
      <c r="F2556" s="60" t="n"/>
      <c r="G2556" s="60" t="n"/>
      <c r="H2556" s="71">
        <f>IF(OR($C2556="",$D2556=""),"",IF(ISNUMBER($E2556),$E2556,IF($O2556="","",IF(N(INDEX('Menu Pricing'!$O$7:$O$56,$O2556))&gt;0,INDEX('Menu Pricing'!$O$7:$O$56,$O2556),""))))</f>
        <v/>
      </c>
      <c r="I2556" s="71">
        <f>IF($N2556&lt;&gt;"OK","",$D2556*$H2556)</f>
        <v/>
      </c>
      <c r="J2556" s="71">
        <f>IF($N2556&lt;&gt;"OK","",N(INDEX('Menu Pricing'!$F$7:$F$56,$O2556))+N(INDEX('Menu Pricing'!$G$7:$G$56,$O2556))+N(INDEX('Menu Pricing'!$J$7:$J$56,$O2556)))</f>
        <v/>
      </c>
      <c r="K2556" s="71">
        <f>IF($N2556&lt;&gt;"OK","",$D2556*$J2556)</f>
        <v/>
      </c>
      <c r="L2556" s="71">
        <f>IF($N2556&lt;&gt;"OK","",$I2556-$K2556)</f>
        <v/>
      </c>
      <c r="M2556" s="71">
        <f>IF($N2556&lt;&gt;"OK","",$D2556*N(INDEX('Menu Pricing'!$F$7:$F$56,$O2556)))</f>
        <v/>
      </c>
      <c r="N2556" s="80">
        <f>IF(AND($B2556="",$C2556="",$D2556=""),"",IF(NOT(ISNUMBER($B2556)),"Enter a valid date",IF($C2556="","Pick a menu item",IF($O2556="","Item not on Menu Pricing",IF(N($D2556)&lt;=0,"Qty must be above 0",IF($H2556="","No price on menu","OK"))))))</f>
        <v/>
      </c>
      <c r="O2556" s="13">
        <f>IF($C2556="","",IFERROR(MATCH($C2556,'Menu Pricing'!$B$7:$B$56,0),""))</f>
        <v/>
      </c>
    </row>
    <row r="2557" ht="17" customHeight="1">
      <c r="B2557" s="66" t="n"/>
      <c r="C2557" s="60" t="n"/>
      <c r="D2557" s="86" t="n"/>
      <c r="E2557" s="63" t="n"/>
      <c r="F2557" s="60" t="n"/>
      <c r="G2557" s="60" t="n"/>
      <c r="H2557" s="71">
        <f>IF(OR($C2557="",$D2557=""),"",IF(ISNUMBER($E2557),$E2557,IF($O2557="","",IF(N(INDEX('Menu Pricing'!$O$7:$O$56,$O2557))&gt;0,INDEX('Menu Pricing'!$O$7:$O$56,$O2557),""))))</f>
        <v/>
      </c>
      <c r="I2557" s="71">
        <f>IF($N2557&lt;&gt;"OK","",$D2557*$H2557)</f>
        <v/>
      </c>
      <c r="J2557" s="71">
        <f>IF($N2557&lt;&gt;"OK","",N(INDEX('Menu Pricing'!$F$7:$F$56,$O2557))+N(INDEX('Menu Pricing'!$G$7:$G$56,$O2557))+N(INDEX('Menu Pricing'!$J$7:$J$56,$O2557)))</f>
        <v/>
      </c>
      <c r="K2557" s="71">
        <f>IF($N2557&lt;&gt;"OK","",$D2557*$J2557)</f>
        <v/>
      </c>
      <c r="L2557" s="71">
        <f>IF($N2557&lt;&gt;"OK","",$I2557-$K2557)</f>
        <v/>
      </c>
      <c r="M2557" s="71">
        <f>IF($N2557&lt;&gt;"OK","",$D2557*N(INDEX('Menu Pricing'!$F$7:$F$56,$O2557)))</f>
        <v/>
      </c>
      <c r="N2557" s="80">
        <f>IF(AND($B2557="",$C2557="",$D2557=""),"",IF(NOT(ISNUMBER($B2557)),"Enter a valid date",IF($C2557="","Pick a menu item",IF($O2557="","Item not on Menu Pricing",IF(N($D2557)&lt;=0,"Qty must be above 0",IF($H2557="","No price on menu","OK"))))))</f>
        <v/>
      </c>
      <c r="O2557" s="13">
        <f>IF($C2557="","",IFERROR(MATCH($C2557,'Menu Pricing'!$B$7:$B$56,0),""))</f>
        <v/>
      </c>
    </row>
    <row r="2558" ht="17" customHeight="1">
      <c r="B2558" s="66" t="n"/>
      <c r="C2558" s="60" t="n"/>
      <c r="D2558" s="86" t="n"/>
      <c r="E2558" s="63" t="n"/>
      <c r="F2558" s="60" t="n"/>
      <c r="G2558" s="60" t="n"/>
      <c r="H2558" s="71">
        <f>IF(OR($C2558="",$D2558=""),"",IF(ISNUMBER($E2558),$E2558,IF($O2558="","",IF(N(INDEX('Menu Pricing'!$O$7:$O$56,$O2558))&gt;0,INDEX('Menu Pricing'!$O$7:$O$56,$O2558),""))))</f>
        <v/>
      </c>
      <c r="I2558" s="71">
        <f>IF($N2558&lt;&gt;"OK","",$D2558*$H2558)</f>
        <v/>
      </c>
      <c r="J2558" s="71">
        <f>IF($N2558&lt;&gt;"OK","",N(INDEX('Menu Pricing'!$F$7:$F$56,$O2558))+N(INDEX('Menu Pricing'!$G$7:$G$56,$O2558))+N(INDEX('Menu Pricing'!$J$7:$J$56,$O2558)))</f>
        <v/>
      </c>
      <c r="K2558" s="71">
        <f>IF($N2558&lt;&gt;"OK","",$D2558*$J2558)</f>
        <v/>
      </c>
      <c r="L2558" s="71">
        <f>IF($N2558&lt;&gt;"OK","",$I2558-$K2558)</f>
        <v/>
      </c>
      <c r="M2558" s="71">
        <f>IF($N2558&lt;&gt;"OK","",$D2558*N(INDEX('Menu Pricing'!$F$7:$F$56,$O2558)))</f>
        <v/>
      </c>
      <c r="N2558" s="80">
        <f>IF(AND($B2558="",$C2558="",$D2558=""),"",IF(NOT(ISNUMBER($B2558)),"Enter a valid date",IF($C2558="","Pick a menu item",IF($O2558="","Item not on Menu Pricing",IF(N($D2558)&lt;=0,"Qty must be above 0",IF($H2558="","No price on menu","OK"))))))</f>
        <v/>
      </c>
      <c r="O2558" s="13">
        <f>IF($C2558="","",IFERROR(MATCH($C2558,'Menu Pricing'!$B$7:$B$56,0),""))</f>
        <v/>
      </c>
    </row>
    <row r="2559" ht="17" customHeight="1">
      <c r="B2559" s="66" t="n"/>
      <c r="C2559" s="60" t="n"/>
      <c r="D2559" s="86" t="n"/>
      <c r="E2559" s="63" t="n"/>
      <c r="F2559" s="60" t="n"/>
      <c r="G2559" s="60" t="n"/>
      <c r="H2559" s="71">
        <f>IF(OR($C2559="",$D2559=""),"",IF(ISNUMBER($E2559),$E2559,IF($O2559="","",IF(N(INDEX('Menu Pricing'!$O$7:$O$56,$O2559))&gt;0,INDEX('Menu Pricing'!$O$7:$O$56,$O2559),""))))</f>
        <v/>
      </c>
      <c r="I2559" s="71">
        <f>IF($N2559&lt;&gt;"OK","",$D2559*$H2559)</f>
        <v/>
      </c>
      <c r="J2559" s="71">
        <f>IF($N2559&lt;&gt;"OK","",N(INDEX('Menu Pricing'!$F$7:$F$56,$O2559))+N(INDEX('Menu Pricing'!$G$7:$G$56,$O2559))+N(INDEX('Menu Pricing'!$J$7:$J$56,$O2559)))</f>
        <v/>
      </c>
      <c r="K2559" s="71">
        <f>IF($N2559&lt;&gt;"OK","",$D2559*$J2559)</f>
        <v/>
      </c>
      <c r="L2559" s="71">
        <f>IF($N2559&lt;&gt;"OK","",$I2559-$K2559)</f>
        <v/>
      </c>
      <c r="M2559" s="71">
        <f>IF($N2559&lt;&gt;"OK","",$D2559*N(INDEX('Menu Pricing'!$F$7:$F$56,$O2559)))</f>
        <v/>
      </c>
      <c r="N2559" s="80">
        <f>IF(AND($B2559="",$C2559="",$D2559=""),"",IF(NOT(ISNUMBER($B2559)),"Enter a valid date",IF($C2559="","Pick a menu item",IF($O2559="","Item not on Menu Pricing",IF(N($D2559)&lt;=0,"Qty must be above 0",IF($H2559="","No price on menu","OK"))))))</f>
        <v/>
      </c>
      <c r="O2559" s="13">
        <f>IF($C2559="","",IFERROR(MATCH($C2559,'Menu Pricing'!$B$7:$B$56,0),""))</f>
        <v/>
      </c>
    </row>
    <row r="2560" ht="17" customHeight="1">
      <c r="B2560" s="66" t="n"/>
      <c r="C2560" s="60" t="n"/>
      <c r="D2560" s="86" t="n"/>
      <c r="E2560" s="63" t="n"/>
      <c r="F2560" s="60" t="n"/>
      <c r="G2560" s="60" t="n"/>
      <c r="H2560" s="71">
        <f>IF(OR($C2560="",$D2560=""),"",IF(ISNUMBER($E2560),$E2560,IF($O2560="","",IF(N(INDEX('Menu Pricing'!$O$7:$O$56,$O2560))&gt;0,INDEX('Menu Pricing'!$O$7:$O$56,$O2560),""))))</f>
        <v/>
      </c>
      <c r="I2560" s="71">
        <f>IF($N2560&lt;&gt;"OK","",$D2560*$H2560)</f>
        <v/>
      </c>
      <c r="J2560" s="71">
        <f>IF($N2560&lt;&gt;"OK","",N(INDEX('Menu Pricing'!$F$7:$F$56,$O2560))+N(INDEX('Menu Pricing'!$G$7:$G$56,$O2560))+N(INDEX('Menu Pricing'!$J$7:$J$56,$O2560)))</f>
        <v/>
      </c>
      <c r="K2560" s="71">
        <f>IF($N2560&lt;&gt;"OK","",$D2560*$J2560)</f>
        <v/>
      </c>
      <c r="L2560" s="71">
        <f>IF($N2560&lt;&gt;"OK","",$I2560-$K2560)</f>
        <v/>
      </c>
      <c r="M2560" s="71">
        <f>IF($N2560&lt;&gt;"OK","",$D2560*N(INDEX('Menu Pricing'!$F$7:$F$56,$O2560)))</f>
        <v/>
      </c>
      <c r="N2560" s="80">
        <f>IF(AND($B2560="",$C2560="",$D2560=""),"",IF(NOT(ISNUMBER($B2560)),"Enter a valid date",IF($C2560="","Pick a menu item",IF($O2560="","Item not on Menu Pricing",IF(N($D2560)&lt;=0,"Qty must be above 0",IF($H2560="","No price on menu","OK"))))))</f>
        <v/>
      </c>
      <c r="O2560" s="13">
        <f>IF($C2560="","",IFERROR(MATCH($C2560,'Menu Pricing'!$B$7:$B$56,0),""))</f>
        <v/>
      </c>
    </row>
    <row r="2561" ht="17" customHeight="1">
      <c r="B2561" s="66" t="n"/>
      <c r="C2561" s="60" t="n"/>
      <c r="D2561" s="86" t="n"/>
      <c r="E2561" s="63" t="n"/>
      <c r="F2561" s="60" t="n"/>
      <c r="G2561" s="60" t="n"/>
      <c r="H2561" s="71">
        <f>IF(OR($C2561="",$D2561=""),"",IF(ISNUMBER($E2561),$E2561,IF($O2561="","",IF(N(INDEX('Menu Pricing'!$O$7:$O$56,$O2561))&gt;0,INDEX('Menu Pricing'!$O$7:$O$56,$O2561),""))))</f>
        <v/>
      </c>
      <c r="I2561" s="71">
        <f>IF($N2561&lt;&gt;"OK","",$D2561*$H2561)</f>
        <v/>
      </c>
      <c r="J2561" s="71">
        <f>IF($N2561&lt;&gt;"OK","",N(INDEX('Menu Pricing'!$F$7:$F$56,$O2561))+N(INDEX('Menu Pricing'!$G$7:$G$56,$O2561))+N(INDEX('Menu Pricing'!$J$7:$J$56,$O2561)))</f>
        <v/>
      </c>
      <c r="K2561" s="71">
        <f>IF($N2561&lt;&gt;"OK","",$D2561*$J2561)</f>
        <v/>
      </c>
      <c r="L2561" s="71">
        <f>IF($N2561&lt;&gt;"OK","",$I2561-$K2561)</f>
        <v/>
      </c>
      <c r="M2561" s="71">
        <f>IF($N2561&lt;&gt;"OK","",$D2561*N(INDEX('Menu Pricing'!$F$7:$F$56,$O2561)))</f>
        <v/>
      </c>
      <c r="N2561" s="80">
        <f>IF(AND($B2561="",$C2561="",$D2561=""),"",IF(NOT(ISNUMBER($B2561)),"Enter a valid date",IF($C2561="","Pick a menu item",IF($O2561="","Item not on Menu Pricing",IF(N($D2561)&lt;=0,"Qty must be above 0",IF($H2561="","No price on menu","OK"))))))</f>
        <v/>
      </c>
      <c r="O2561" s="13">
        <f>IF($C2561="","",IFERROR(MATCH($C2561,'Menu Pricing'!$B$7:$B$56,0),""))</f>
        <v/>
      </c>
    </row>
    <row r="2562" ht="17" customHeight="1">
      <c r="B2562" s="66" t="n"/>
      <c r="C2562" s="60" t="n"/>
      <c r="D2562" s="86" t="n"/>
      <c r="E2562" s="63" t="n"/>
      <c r="F2562" s="60" t="n"/>
      <c r="G2562" s="60" t="n"/>
      <c r="H2562" s="71">
        <f>IF(OR($C2562="",$D2562=""),"",IF(ISNUMBER($E2562),$E2562,IF($O2562="","",IF(N(INDEX('Menu Pricing'!$O$7:$O$56,$O2562))&gt;0,INDEX('Menu Pricing'!$O$7:$O$56,$O2562),""))))</f>
        <v/>
      </c>
      <c r="I2562" s="71">
        <f>IF($N2562&lt;&gt;"OK","",$D2562*$H2562)</f>
        <v/>
      </c>
      <c r="J2562" s="71">
        <f>IF($N2562&lt;&gt;"OK","",N(INDEX('Menu Pricing'!$F$7:$F$56,$O2562))+N(INDEX('Menu Pricing'!$G$7:$G$56,$O2562))+N(INDEX('Menu Pricing'!$J$7:$J$56,$O2562)))</f>
        <v/>
      </c>
      <c r="K2562" s="71">
        <f>IF($N2562&lt;&gt;"OK","",$D2562*$J2562)</f>
        <v/>
      </c>
      <c r="L2562" s="71">
        <f>IF($N2562&lt;&gt;"OK","",$I2562-$K2562)</f>
        <v/>
      </c>
      <c r="M2562" s="71">
        <f>IF($N2562&lt;&gt;"OK","",$D2562*N(INDEX('Menu Pricing'!$F$7:$F$56,$O2562)))</f>
        <v/>
      </c>
      <c r="N2562" s="80">
        <f>IF(AND($B2562="",$C2562="",$D2562=""),"",IF(NOT(ISNUMBER($B2562)),"Enter a valid date",IF($C2562="","Pick a menu item",IF($O2562="","Item not on Menu Pricing",IF(N($D2562)&lt;=0,"Qty must be above 0",IF($H2562="","No price on menu","OK"))))))</f>
        <v/>
      </c>
      <c r="O2562" s="13">
        <f>IF($C2562="","",IFERROR(MATCH($C2562,'Menu Pricing'!$B$7:$B$56,0),""))</f>
        <v/>
      </c>
    </row>
    <row r="2563" ht="17" customHeight="1">
      <c r="B2563" s="66" t="n"/>
      <c r="C2563" s="60" t="n"/>
      <c r="D2563" s="86" t="n"/>
      <c r="E2563" s="63" t="n"/>
      <c r="F2563" s="60" t="n"/>
      <c r="G2563" s="60" t="n"/>
      <c r="H2563" s="71">
        <f>IF(OR($C2563="",$D2563=""),"",IF(ISNUMBER($E2563),$E2563,IF($O2563="","",IF(N(INDEX('Menu Pricing'!$O$7:$O$56,$O2563))&gt;0,INDEX('Menu Pricing'!$O$7:$O$56,$O2563),""))))</f>
        <v/>
      </c>
      <c r="I2563" s="71">
        <f>IF($N2563&lt;&gt;"OK","",$D2563*$H2563)</f>
        <v/>
      </c>
      <c r="J2563" s="71">
        <f>IF($N2563&lt;&gt;"OK","",N(INDEX('Menu Pricing'!$F$7:$F$56,$O2563))+N(INDEX('Menu Pricing'!$G$7:$G$56,$O2563))+N(INDEX('Menu Pricing'!$J$7:$J$56,$O2563)))</f>
        <v/>
      </c>
      <c r="K2563" s="71">
        <f>IF($N2563&lt;&gt;"OK","",$D2563*$J2563)</f>
        <v/>
      </c>
      <c r="L2563" s="71">
        <f>IF($N2563&lt;&gt;"OK","",$I2563-$K2563)</f>
        <v/>
      </c>
      <c r="M2563" s="71">
        <f>IF($N2563&lt;&gt;"OK","",$D2563*N(INDEX('Menu Pricing'!$F$7:$F$56,$O2563)))</f>
        <v/>
      </c>
      <c r="N2563" s="80">
        <f>IF(AND($B2563="",$C2563="",$D2563=""),"",IF(NOT(ISNUMBER($B2563)),"Enter a valid date",IF($C2563="","Pick a menu item",IF($O2563="","Item not on Menu Pricing",IF(N($D2563)&lt;=0,"Qty must be above 0",IF($H2563="","No price on menu","OK"))))))</f>
        <v/>
      </c>
      <c r="O2563" s="13">
        <f>IF($C2563="","",IFERROR(MATCH($C2563,'Menu Pricing'!$B$7:$B$56,0),""))</f>
        <v/>
      </c>
    </row>
    <row r="2564" ht="17" customHeight="1">
      <c r="B2564" s="66" t="n"/>
      <c r="C2564" s="60" t="n"/>
      <c r="D2564" s="86" t="n"/>
      <c r="E2564" s="63" t="n"/>
      <c r="F2564" s="60" t="n"/>
      <c r="G2564" s="60" t="n"/>
      <c r="H2564" s="71">
        <f>IF(OR($C2564="",$D2564=""),"",IF(ISNUMBER($E2564),$E2564,IF($O2564="","",IF(N(INDEX('Menu Pricing'!$O$7:$O$56,$O2564))&gt;0,INDEX('Menu Pricing'!$O$7:$O$56,$O2564),""))))</f>
        <v/>
      </c>
      <c r="I2564" s="71">
        <f>IF($N2564&lt;&gt;"OK","",$D2564*$H2564)</f>
        <v/>
      </c>
      <c r="J2564" s="71">
        <f>IF($N2564&lt;&gt;"OK","",N(INDEX('Menu Pricing'!$F$7:$F$56,$O2564))+N(INDEX('Menu Pricing'!$G$7:$G$56,$O2564))+N(INDEX('Menu Pricing'!$J$7:$J$56,$O2564)))</f>
        <v/>
      </c>
      <c r="K2564" s="71">
        <f>IF($N2564&lt;&gt;"OK","",$D2564*$J2564)</f>
        <v/>
      </c>
      <c r="L2564" s="71">
        <f>IF($N2564&lt;&gt;"OK","",$I2564-$K2564)</f>
        <v/>
      </c>
      <c r="M2564" s="71">
        <f>IF($N2564&lt;&gt;"OK","",$D2564*N(INDEX('Menu Pricing'!$F$7:$F$56,$O2564)))</f>
        <v/>
      </c>
      <c r="N2564" s="80">
        <f>IF(AND($B2564="",$C2564="",$D2564=""),"",IF(NOT(ISNUMBER($B2564)),"Enter a valid date",IF($C2564="","Pick a menu item",IF($O2564="","Item not on Menu Pricing",IF(N($D2564)&lt;=0,"Qty must be above 0",IF($H2564="","No price on menu","OK"))))))</f>
        <v/>
      </c>
      <c r="O2564" s="13">
        <f>IF($C2564="","",IFERROR(MATCH($C2564,'Menu Pricing'!$B$7:$B$56,0),""))</f>
        <v/>
      </c>
    </row>
    <row r="2565" ht="17" customHeight="1">
      <c r="B2565" s="66" t="n"/>
      <c r="C2565" s="60" t="n"/>
      <c r="D2565" s="86" t="n"/>
      <c r="E2565" s="63" t="n"/>
      <c r="F2565" s="60" t="n"/>
      <c r="G2565" s="60" t="n"/>
      <c r="H2565" s="71">
        <f>IF(OR($C2565="",$D2565=""),"",IF(ISNUMBER($E2565),$E2565,IF($O2565="","",IF(N(INDEX('Menu Pricing'!$O$7:$O$56,$O2565))&gt;0,INDEX('Menu Pricing'!$O$7:$O$56,$O2565),""))))</f>
        <v/>
      </c>
      <c r="I2565" s="71">
        <f>IF($N2565&lt;&gt;"OK","",$D2565*$H2565)</f>
        <v/>
      </c>
      <c r="J2565" s="71">
        <f>IF($N2565&lt;&gt;"OK","",N(INDEX('Menu Pricing'!$F$7:$F$56,$O2565))+N(INDEX('Menu Pricing'!$G$7:$G$56,$O2565))+N(INDEX('Menu Pricing'!$J$7:$J$56,$O2565)))</f>
        <v/>
      </c>
      <c r="K2565" s="71">
        <f>IF($N2565&lt;&gt;"OK","",$D2565*$J2565)</f>
        <v/>
      </c>
      <c r="L2565" s="71">
        <f>IF($N2565&lt;&gt;"OK","",$I2565-$K2565)</f>
        <v/>
      </c>
      <c r="M2565" s="71">
        <f>IF($N2565&lt;&gt;"OK","",$D2565*N(INDEX('Menu Pricing'!$F$7:$F$56,$O2565)))</f>
        <v/>
      </c>
      <c r="N2565" s="80">
        <f>IF(AND($B2565="",$C2565="",$D2565=""),"",IF(NOT(ISNUMBER($B2565)),"Enter a valid date",IF($C2565="","Pick a menu item",IF($O2565="","Item not on Menu Pricing",IF(N($D2565)&lt;=0,"Qty must be above 0",IF($H2565="","No price on menu","OK"))))))</f>
        <v/>
      </c>
      <c r="O2565" s="13">
        <f>IF($C2565="","",IFERROR(MATCH($C2565,'Menu Pricing'!$B$7:$B$56,0),""))</f>
        <v/>
      </c>
    </row>
    <row r="2566" ht="17" customHeight="1">
      <c r="B2566" s="66" t="n"/>
      <c r="C2566" s="60" t="n"/>
      <c r="D2566" s="86" t="n"/>
      <c r="E2566" s="63" t="n"/>
      <c r="F2566" s="60" t="n"/>
      <c r="G2566" s="60" t="n"/>
      <c r="H2566" s="71">
        <f>IF(OR($C2566="",$D2566=""),"",IF(ISNUMBER($E2566),$E2566,IF($O2566="","",IF(N(INDEX('Menu Pricing'!$O$7:$O$56,$O2566))&gt;0,INDEX('Menu Pricing'!$O$7:$O$56,$O2566),""))))</f>
        <v/>
      </c>
      <c r="I2566" s="71">
        <f>IF($N2566&lt;&gt;"OK","",$D2566*$H2566)</f>
        <v/>
      </c>
      <c r="J2566" s="71">
        <f>IF($N2566&lt;&gt;"OK","",N(INDEX('Menu Pricing'!$F$7:$F$56,$O2566))+N(INDEX('Menu Pricing'!$G$7:$G$56,$O2566))+N(INDEX('Menu Pricing'!$J$7:$J$56,$O2566)))</f>
        <v/>
      </c>
      <c r="K2566" s="71">
        <f>IF($N2566&lt;&gt;"OK","",$D2566*$J2566)</f>
        <v/>
      </c>
      <c r="L2566" s="71">
        <f>IF($N2566&lt;&gt;"OK","",$I2566-$K2566)</f>
        <v/>
      </c>
      <c r="M2566" s="71">
        <f>IF($N2566&lt;&gt;"OK","",$D2566*N(INDEX('Menu Pricing'!$F$7:$F$56,$O2566)))</f>
        <v/>
      </c>
      <c r="N2566" s="80">
        <f>IF(AND($B2566="",$C2566="",$D2566=""),"",IF(NOT(ISNUMBER($B2566)),"Enter a valid date",IF($C2566="","Pick a menu item",IF($O2566="","Item not on Menu Pricing",IF(N($D2566)&lt;=0,"Qty must be above 0",IF($H2566="","No price on menu","OK"))))))</f>
        <v/>
      </c>
      <c r="O2566" s="13">
        <f>IF($C2566="","",IFERROR(MATCH($C2566,'Menu Pricing'!$B$7:$B$56,0),""))</f>
        <v/>
      </c>
    </row>
    <row r="2567" ht="17" customHeight="1">
      <c r="B2567" s="66" t="n"/>
      <c r="C2567" s="60" t="n"/>
      <c r="D2567" s="86" t="n"/>
      <c r="E2567" s="63" t="n"/>
      <c r="F2567" s="60" t="n"/>
      <c r="G2567" s="60" t="n"/>
      <c r="H2567" s="71">
        <f>IF(OR($C2567="",$D2567=""),"",IF(ISNUMBER($E2567),$E2567,IF($O2567="","",IF(N(INDEX('Menu Pricing'!$O$7:$O$56,$O2567))&gt;0,INDEX('Menu Pricing'!$O$7:$O$56,$O2567),""))))</f>
        <v/>
      </c>
      <c r="I2567" s="71">
        <f>IF($N2567&lt;&gt;"OK","",$D2567*$H2567)</f>
        <v/>
      </c>
      <c r="J2567" s="71">
        <f>IF($N2567&lt;&gt;"OK","",N(INDEX('Menu Pricing'!$F$7:$F$56,$O2567))+N(INDEX('Menu Pricing'!$G$7:$G$56,$O2567))+N(INDEX('Menu Pricing'!$J$7:$J$56,$O2567)))</f>
        <v/>
      </c>
      <c r="K2567" s="71">
        <f>IF($N2567&lt;&gt;"OK","",$D2567*$J2567)</f>
        <v/>
      </c>
      <c r="L2567" s="71">
        <f>IF($N2567&lt;&gt;"OK","",$I2567-$K2567)</f>
        <v/>
      </c>
      <c r="M2567" s="71">
        <f>IF($N2567&lt;&gt;"OK","",$D2567*N(INDEX('Menu Pricing'!$F$7:$F$56,$O2567)))</f>
        <v/>
      </c>
      <c r="N2567" s="80">
        <f>IF(AND($B2567="",$C2567="",$D2567=""),"",IF(NOT(ISNUMBER($B2567)),"Enter a valid date",IF($C2567="","Pick a menu item",IF($O2567="","Item not on Menu Pricing",IF(N($D2567)&lt;=0,"Qty must be above 0",IF($H2567="","No price on menu","OK"))))))</f>
        <v/>
      </c>
      <c r="O2567" s="13">
        <f>IF($C2567="","",IFERROR(MATCH($C2567,'Menu Pricing'!$B$7:$B$56,0),""))</f>
        <v/>
      </c>
    </row>
    <row r="2568" ht="17" customHeight="1">
      <c r="B2568" s="66" t="n"/>
      <c r="C2568" s="60" t="n"/>
      <c r="D2568" s="86" t="n"/>
      <c r="E2568" s="63" t="n"/>
      <c r="F2568" s="60" t="n"/>
      <c r="G2568" s="60" t="n"/>
      <c r="H2568" s="71">
        <f>IF(OR($C2568="",$D2568=""),"",IF(ISNUMBER($E2568),$E2568,IF($O2568="","",IF(N(INDEX('Menu Pricing'!$O$7:$O$56,$O2568))&gt;0,INDEX('Menu Pricing'!$O$7:$O$56,$O2568),""))))</f>
        <v/>
      </c>
      <c r="I2568" s="71">
        <f>IF($N2568&lt;&gt;"OK","",$D2568*$H2568)</f>
        <v/>
      </c>
      <c r="J2568" s="71">
        <f>IF($N2568&lt;&gt;"OK","",N(INDEX('Menu Pricing'!$F$7:$F$56,$O2568))+N(INDEX('Menu Pricing'!$G$7:$G$56,$O2568))+N(INDEX('Menu Pricing'!$J$7:$J$56,$O2568)))</f>
        <v/>
      </c>
      <c r="K2568" s="71">
        <f>IF($N2568&lt;&gt;"OK","",$D2568*$J2568)</f>
        <v/>
      </c>
      <c r="L2568" s="71">
        <f>IF($N2568&lt;&gt;"OK","",$I2568-$K2568)</f>
        <v/>
      </c>
      <c r="M2568" s="71">
        <f>IF($N2568&lt;&gt;"OK","",$D2568*N(INDEX('Menu Pricing'!$F$7:$F$56,$O2568)))</f>
        <v/>
      </c>
      <c r="N2568" s="80">
        <f>IF(AND($B2568="",$C2568="",$D2568=""),"",IF(NOT(ISNUMBER($B2568)),"Enter a valid date",IF($C2568="","Pick a menu item",IF($O2568="","Item not on Menu Pricing",IF(N($D2568)&lt;=0,"Qty must be above 0",IF($H2568="","No price on menu","OK"))))))</f>
        <v/>
      </c>
      <c r="O2568" s="13">
        <f>IF($C2568="","",IFERROR(MATCH($C2568,'Menu Pricing'!$B$7:$B$56,0),""))</f>
        <v/>
      </c>
    </row>
    <row r="2569" ht="17" customHeight="1">
      <c r="B2569" s="66" t="n"/>
      <c r="C2569" s="60" t="n"/>
      <c r="D2569" s="86" t="n"/>
      <c r="E2569" s="63" t="n"/>
      <c r="F2569" s="60" t="n"/>
      <c r="G2569" s="60" t="n"/>
      <c r="H2569" s="71">
        <f>IF(OR($C2569="",$D2569=""),"",IF(ISNUMBER($E2569),$E2569,IF($O2569="","",IF(N(INDEX('Menu Pricing'!$O$7:$O$56,$O2569))&gt;0,INDEX('Menu Pricing'!$O$7:$O$56,$O2569),""))))</f>
        <v/>
      </c>
      <c r="I2569" s="71">
        <f>IF($N2569&lt;&gt;"OK","",$D2569*$H2569)</f>
        <v/>
      </c>
      <c r="J2569" s="71">
        <f>IF($N2569&lt;&gt;"OK","",N(INDEX('Menu Pricing'!$F$7:$F$56,$O2569))+N(INDEX('Menu Pricing'!$G$7:$G$56,$O2569))+N(INDEX('Menu Pricing'!$J$7:$J$56,$O2569)))</f>
        <v/>
      </c>
      <c r="K2569" s="71">
        <f>IF($N2569&lt;&gt;"OK","",$D2569*$J2569)</f>
        <v/>
      </c>
      <c r="L2569" s="71">
        <f>IF($N2569&lt;&gt;"OK","",$I2569-$K2569)</f>
        <v/>
      </c>
      <c r="M2569" s="71">
        <f>IF($N2569&lt;&gt;"OK","",$D2569*N(INDEX('Menu Pricing'!$F$7:$F$56,$O2569)))</f>
        <v/>
      </c>
      <c r="N2569" s="80">
        <f>IF(AND($B2569="",$C2569="",$D2569=""),"",IF(NOT(ISNUMBER($B2569)),"Enter a valid date",IF($C2569="","Pick a menu item",IF($O2569="","Item not on Menu Pricing",IF(N($D2569)&lt;=0,"Qty must be above 0",IF($H2569="","No price on menu","OK"))))))</f>
        <v/>
      </c>
      <c r="O2569" s="13">
        <f>IF($C2569="","",IFERROR(MATCH($C2569,'Menu Pricing'!$B$7:$B$56,0),""))</f>
        <v/>
      </c>
    </row>
    <row r="2570" ht="17" customHeight="1">
      <c r="B2570" s="66" t="n"/>
      <c r="C2570" s="60" t="n"/>
      <c r="D2570" s="86" t="n"/>
      <c r="E2570" s="63" t="n"/>
      <c r="F2570" s="60" t="n"/>
      <c r="G2570" s="60" t="n"/>
      <c r="H2570" s="71">
        <f>IF(OR($C2570="",$D2570=""),"",IF(ISNUMBER($E2570),$E2570,IF($O2570="","",IF(N(INDEX('Menu Pricing'!$O$7:$O$56,$O2570))&gt;0,INDEX('Menu Pricing'!$O$7:$O$56,$O2570),""))))</f>
        <v/>
      </c>
      <c r="I2570" s="71">
        <f>IF($N2570&lt;&gt;"OK","",$D2570*$H2570)</f>
        <v/>
      </c>
      <c r="J2570" s="71">
        <f>IF($N2570&lt;&gt;"OK","",N(INDEX('Menu Pricing'!$F$7:$F$56,$O2570))+N(INDEX('Menu Pricing'!$G$7:$G$56,$O2570))+N(INDEX('Menu Pricing'!$J$7:$J$56,$O2570)))</f>
        <v/>
      </c>
      <c r="K2570" s="71">
        <f>IF($N2570&lt;&gt;"OK","",$D2570*$J2570)</f>
        <v/>
      </c>
      <c r="L2570" s="71">
        <f>IF($N2570&lt;&gt;"OK","",$I2570-$K2570)</f>
        <v/>
      </c>
      <c r="M2570" s="71">
        <f>IF($N2570&lt;&gt;"OK","",$D2570*N(INDEX('Menu Pricing'!$F$7:$F$56,$O2570)))</f>
        <v/>
      </c>
      <c r="N2570" s="80">
        <f>IF(AND($B2570="",$C2570="",$D2570=""),"",IF(NOT(ISNUMBER($B2570)),"Enter a valid date",IF($C2570="","Pick a menu item",IF($O2570="","Item not on Menu Pricing",IF(N($D2570)&lt;=0,"Qty must be above 0",IF($H2570="","No price on menu","OK"))))))</f>
        <v/>
      </c>
      <c r="O2570" s="13">
        <f>IF($C2570="","",IFERROR(MATCH($C2570,'Menu Pricing'!$B$7:$B$56,0),""))</f>
        <v/>
      </c>
    </row>
    <row r="2571" ht="17" customHeight="1">
      <c r="B2571" s="66" t="n"/>
      <c r="C2571" s="60" t="n"/>
      <c r="D2571" s="86" t="n"/>
      <c r="E2571" s="63" t="n"/>
      <c r="F2571" s="60" t="n"/>
      <c r="G2571" s="60" t="n"/>
      <c r="H2571" s="71">
        <f>IF(OR($C2571="",$D2571=""),"",IF(ISNUMBER($E2571),$E2571,IF($O2571="","",IF(N(INDEX('Menu Pricing'!$O$7:$O$56,$O2571))&gt;0,INDEX('Menu Pricing'!$O$7:$O$56,$O2571),""))))</f>
        <v/>
      </c>
      <c r="I2571" s="71">
        <f>IF($N2571&lt;&gt;"OK","",$D2571*$H2571)</f>
        <v/>
      </c>
      <c r="J2571" s="71">
        <f>IF($N2571&lt;&gt;"OK","",N(INDEX('Menu Pricing'!$F$7:$F$56,$O2571))+N(INDEX('Menu Pricing'!$G$7:$G$56,$O2571))+N(INDEX('Menu Pricing'!$J$7:$J$56,$O2571)))</f>
        <v/>
      </c>
      <c r="K2571" s="71">
        <f>IF($N2571&lt;&gt;"OK","",$D2571*$J2571)</f>
        <v/>
      </c>
      <c r="L2571" s="71">
        <f>IF($N2571&lt;&gt;"OK","",$I2571-$K2571)</f>
        <v/>
      </c>
      <c r="M2571" s="71">
        <f>IF($N2571&lt;&gt;"OK","",$D2571*N(INDEX('Menu Pricing'!$F$7:$F$56,$O2571)))</f>
        <v/>
      </c>
      <c r="N2571" s="80">
        <f>IF(AND($B2571="",$C2571="",$D2571=""),"",IF(NOT(ISNUMBER($B2571)),"Enter a valid date",IF($C2571="","Pick a menu item",IF($O2571="","Item not on Menu Pricing",IF(N($D2571)&lt;=0,"Qty must be above 0",IF($H2571="","No price on menu","OK"))))))</f>
        <v/>
      </c>
      <c r="O2571" s="13">
        <f>IF($C2571="","",IFERROR(MATCH($C2571,'Menu Pricing'!$B$7:$B$56,0),""))</f>
        <v/>
      </c>
    </row>
    <row r="2572" ht="17" customHeight="1">
      <c r="B2572" s="66" t="n"/>
      <c r="C2572" s="60" t="n"/>
      <c r="D2572" s="86" t="n"/>
      <c r="E2572" s="63" t="n"/>
      <c r="F2572" s="60" t="n"/>
      <c r="G2572" s="60" t="n"/>
      <c r="H2572" s="71">
        <f>IF(OR($C2572="",$D2572=""),"",IF(ISNUMBER($E2572),$E2572,IF($O2572="","",IF(N(INDEX('Menu Pricing'!$O$7:$O$56,$O2572))&gt;0,INDEX('Menu Pricing'!$O$7:$O$56,$O2572),""))))</f>
        <v/>
      </c>
      <c r="I2572" s="71">
        <f>IF($N2572&lt;&gt;"OK","",$D2572*$H2572)</f>
        <v/>
      </c>
      <c r="J2572" s="71">
        <f>IF($N2572&lt;&gt;"OK","",N(INDEX('Menu Pricing'!$F$7:$F$56,$O2572))+N(INDEX('Menu Pricing'!$G$7:$G$56,$O2572))+N(INDEX('Menu Pricing'!$J$7:$J$56,$O2572)))</f>
        <v/>
      </c>
      <c r="K2572" s="71">
        <f>IF($N2572&lt;&gt;"OK","",$D2572*$J2572)</f>
        <v/>
      </c>
      <c r="L2572" s="71">
        <f>IF($N2572&lt;&gt;"OK","",$I2572-$K2572)</f>
        <v/>
      </c>
      <c r="M2572" s="71">
        <f>IF($N2572&lt;&gt;"OK","",$D2572*N(INDEX('Menu Pricing'!$F$7:$F$56,$O2572)))</f>
        <v/>
      </c>
      <c r="N2572" s="80">
        <f>IF(AND($B2572="",$C2572="",$D2572=""),"",IF(NOT(ISNUMBER($B2572)),"Enter a valid date",IF($C2572="","Pick a menu item",IF($O2572="","Item not on Menu Pricing",IF(N($D2572)&lt;=0,"Qty must be above 0",IF($H2572="","No price on menu","OK"))))))</f>
        <v/>
      </c>
      <c r="O2572" s="13">
        <f>IF($C2572="","",IFERROR(MATCH($C2572,'Menu Pricing'!$B$7:$B$56,0),""))</f>
        <v/>
      </c>
    </row>
    <row r="2573" ht="17" customHeight="1">
      <c r="B2573" s="66" t="n"/>
      <c r="C2573" s="60" t="n"/>
      <c r="D2573" s="86" t="n"/>
      <c r="E2573" s="63" t="n"/>
      <c r="F2573" s="60" t="n"/>
      <c r="G2573" s="60" t="n"/>
      <c r="H2573" s="71">
        <f>IF(OR($C2573="",$D2573=""),"",IF(ISNUMBER($E2573),$E2573,IF($O2573="","",IF(N(INDEX('Menu Pricing'!$O$7:$O$56,$O2573))&gt;0,INDEX('Menu Pricing'!$O$7:$O$56,$O2573),""))))</f>
        <v/>
      </c>
      <c r="I2573" s="71">
        <f>IF($N2573&lt;&gt;"OK","",$D2573*$H2573)</f>
        <v/>
      </c>
      <c r="J2573" s="71">
        <f>IF($N2573&lt;&gt;"OK","",N(INDEX('Menu Pricing'!$F$7:$F$56,$O2573))+N(INDEX('Menu Pricing'!$G$7:$G$56,$O2573))+N(INDEX('Menu Pricing'!$J$7:$J$56,$O2573)))</f>
        <v/>
      </c>
      <c r="K2573" s="71">
        <f>IF($N2573&lt;&gt;"OK","",$D2573*$J2573)</f>
        <v/>
      </c>
      <c r="L2573" s="71">
        <f>IF($N2573&lt;&gt;"OK","",$I2573-$K2573)</f>
        <v/>
      </c>
      <c r="M2573" s="71">
        <f>IF($N2573&lt;&gt;"OK","",$D2573*N(INDEX('Menu Pricing'!$F$7:$F$56,$O2573)))</f>
        <v/>
      </c>
      <c r="N2573" s="80">
        <f>IF(AND($B2573="",$C2573="",$D2573=""),"",IF(NOT(ISNUMBER($B2573)),"Enter a valid date",IF($C2573="","Pick a menu item",IF($O2573="","Item not on Menu Pricing",IF(N($D2573)&lt;=0,"Qty must be above 0",IF($H2573="","No price on menu","OK"))))))</f>
        <v/>
      </c>
      <c r="O2573" s="13">
        <f>IF($C2573="","",IFERROR(MATCH($C2573,'Menu Pricing'!$B$7:$B$56,0),""))</f>
        <v/>
      </c>
    </row>
    <row r="2574" ht="17" customHeight="1">
      <c r="B2574" s="66" t="n"/>
      <c r="C2574" s="60" t="n"/>
      <c r="D2574" s="86" t="n"/>
      <c r="E2574" s="63" t="n"/>
      <c r="F2574" s="60" t="n"/>
      <c r="G2574" s="60" t="n"/>
      <c r="H2574" s="71">
        <f>IF(OR($C2574="",$D2574=""),"",IF(ISNUMBER($E2574),$E2574,IF($O2574="","",IF(N(INDEX('Menu Pricing'!$O$7:$O$56,$O2574))&gt;0,INDEX('Menu Pricing'!$O$7:$O$56,$O2574),""))))</f>
        <v/>
      </c>
      <c r="I2574" s="71">
        <f>IF($N2574&lt;&gt;"OK","",$D2574*$H2574)</f>
        <v/>
      </c>
      <c r="J2574" s="71">
        <f>IF($N2574&lt;&gt;"OK","",N(INDEX('Menu Pricing'!$F$7:$F$56,$O2574))+N(INDEX('Menu Pricing'!$G$7:$G$56,$O2574))+N(INDEX('Menu Pricing'!$J$7:$J$56,$O2574)))</f>
        <v/>
      </c>
      <c r="K2574" s="71">
        <f>IF($N2574&lt;&gt;"OK","",$D2574*$J2574)</f>
        <v/>
      </c>
      <c r="L2574" s="71">
        <f>IF($N2574&lt;&gt;"OK","",$I2574-$K2574)</f>
        <v/>
      </c>
      <c r="M2574" s="71">
        <f>IF($N2574&lt;&gt;"OK","",$D2574*N(INDEX('Menu Pricing'!$F$7:$F$56,$O2574)))</f>
        <v/>
      </c>
      <c r="N2574" s="80">
        <f>IF(AND($B2574="",$C2574="",$D2574=""),"",IF(NOT(ISNUMBER($B2574)),"Enter a valid date",IF($C2574="","Pick a menu item",IF($O2574="","Item not on Menu Pricing",IF(N($D2574)&lt;=0,"Qty must be above 0",IF($H2574="","No price on menu","OK"))))))</f>
        <v/>
      </c>
      <c r="O2574" s="13">
        <f>IF($C2574="","",IFERROR(MATCH($C2574,'Menu Pricing'!$B$7:$B$56,0),""))</f>
        <v/>
      </c>
    </row>
    <row r="2575" ht="17" customHeight="1">
      <c r="B2575" s="66" t="n"/>
      <c r="C2575" s="60" t="n"/>
      <c r="D2575" s="86" t="n"/>
      <c r="E2575" s="63" t="n"/>
      <c r="F2575" s="60" t="n"/>
      <c r="G2575" s="60" t="n"/>
      <c r="H2575" s="71">
        <f>IF(OR($C2575="",$D2575=""),"",IF(ISNUMBER($E2575),$E2575,IF($O2575="","",IF(N(INDEX('Menu Pricing'!$O$7:$O$56,$O2575))&gt;0,INDEX('Menu Pricing'!$O$7:$O$56,$O2575),""))))</f>
        <v/>
      </c>
      <c r="I2575" s="71">
        <f>IF($N2575&lt;&gt;"OK","",$D2575*$H2575)</f>
        <v/>
      </c>
      <c r="J2575" s="71">
        <f>IF($N2575&lt;&gt;"OK","",N(INDEX('Menu Pricing'!$F$7:$F$56,$O2575))+N(INDEX('Menu Pricing'!$G$7:$G$56,$O2575))+N(INDEX('Menu Pricing'!$J$7:$J$56,$O2575)))</f>
        <v/>
      </c>
      <c r="K2575" s="71">
        <f>IF($N2575&lt;&gt;"OK","",$D2575*$J2575)</f>
        <v/>
      </c>
      <c r="L2575" s="71">
        <f>IF($N2575&lt;&gt;"OK","",$I2575-$K2575)</f>
        <v/>
      </c>
      <c r="M2575" s="71">
        <f>IF($N2575&lt;&gt;"OK","",$D2575*N(INDEX('Menu Pricing'!$F$7:$F$56,$O2575)))</f>
        <v/>
      </c>
      <c r="N2575" s="80">
        <f>IF(AND($B2575="",$C2575="",$D2575=""),"",IF(NOT(ISNUMBER($B2575)),"Enter a valid date",IF($C2575="","Pick a menu item",IF($O2575="","Item not on Menu Pricing",IF(N($D2575)&lt;=0,"Qty must be above 0",IF($H2575="","No price on menu","OK"))))))</f>
        <v/>
      </c>
      <c r="O2575" s="13">
        <f>IF($C2575="","",IFERROR(MATCH($C2575,'Menu Pricing'!$B$7:$B$56,0),""))</f>
        <v/>
      </c>
    </row>
    <row r="2576" ht="17" customHeight="1">
      <c r="B2576" s="66" t="n"/>
      <c r="C2576" s="60" t="n"/>
      <c r="D2576" s="86" t="n"/>
      <c r="E2576" s="63" t="n"/>
      <c r="F2576" s="60" t="n"/>
      <c r="G2576" s="60" t="n"/>
      <c r="H2576" s="71">
        <f>IF(OR($C2576="",$D2576=""),"",IF(ISNUMBER($E2576),$E2576,IF($O2576="","",IF(N(INDEX('Menu Pricing'!$O$7:$O$56,$O2576))&gt;0,INDEX('Menu Pricing'!$O$7:$O$56,$O2576),""))))</f>
        <v/>
      </c>
      <c r="I2576" s="71">
        <f>IF($N2576&lt;&gt;"OK","",$D2576*$H2576)</f>
        <v/>
      </c>
      <c r="J2576" s="71">
        <f>IF($N2576&lt;&gt;"OK","",N(INDEX('Menu Pricing'!$F$7:$F$56,$O2576))+N(INDEX('Menu Pricing'!$G$7:$G$56,$O2576))+N(INDEX('Menu Pricing'!$J$7:$J$56,$O2576)))</f>
        <v/>
      </c>
      <c r="K2576" s="71">
        <f>IF($N2576&lt;&gt;"OK","",$D2576*$J2576)</f>
        <v/>
      </c>
      <c r="L2576" s="71">
        <f>IF($N2576&lt;&gt;"OK","",$I2576-$K2576)</f>
        <v/>
      </c>
      <c r="M2576" s="71">
        <f>IF($N2576&lt;&gt;"OK","",$D2576*N(INDEX('Menu Pricing'!$F$7:$F$56,$O2576)))</f>
        <v/>
      </c>
      <c r="N2576" s="80">
        <f>IF(AND($B2576="",$C2576="",$D2576=""),"",IF(NOT(ISNUMBER($B2576)),"Enter a valid date",IF($C2576="","Pick a menu item",IF($O2576="","Item not on Menu Pricing",IF(N($D2576)&lt;=0,"Qty must be above 0",IF($H2576="","No price on menu","OK"))))))</f>
        <v/>
      </c>
      <c r="O2576" s="13">
        <f>IF($C2576="","",IFERROR(MATCH($C2576,'Menu Pricing'!$B$7:$B$56,0),""))</f>
        <v/>
      </c>
    </row>
    <row r="2577" ht="17" customHeight="1">
      <c r="B2577" s="66" t="n"/>
      <c r="C2577" s="60" t="n"/>
      <c r="D2577" s="86" t="n"/>
      <c r="E2577" s="63" t="n"/>
      <c r="F2577" s="60" t="n"/>
      <c r="G2577" s="60" t="n"/>
      <c r="H2577" s="71">
        <f>IF(OR($C2577="",$D2577=""),"",IF(ISNUMBER($E2577),$E2577,IF($O2577="","",IF(N(INDEX('Menu Pricing'!$O$7:$O$56,$O2577))&gt;0,INDEX('Menu Pricing'!$O$7:$O$56,$O2577),""))))</f>
        <v/>
      </c>
      <c r="I2577" s="71">
        <f>IF($N2577&lt;&gt;"OK","",$D2577*$H2577)</f>
        <v/>
      </c>
      <c r="J2577" s="71">
        <f>IF($N2577&lt;&gt;"OK","",N(INDEX('Menu Pricing'!$F$7:$F$56,$O2577))+N(INDEX('Menu Pricing'!$G$7:$G$56,$O2577))+N(INDEX('Menu Pricing'!$J$7:$J$56,$O2577)))</f>
        <v/>
      </c>
      <c r="K2577" s="71">
        <f>IF($N2577&lt;&gt;"OK","",$D2577*$J2577)</f>
        <v/>
      </c>
      <c r="L2577" s="71">
        <f>IF($N2577&lt;&gt;"OK","",$I2577-$K2577)</f>
        <v/>
      </c>
      <c r="M2577" s="71">
        <f>IF($N2577&lt;&gt;"OK","",$D2577*N(INDEX('Menu Pricing'!$F$7:$F$56,$O2577)))</f>
        <v/>
      </c>
      <c r="N2577" s="80">
        <f>IF(AND($B2577="",$C2577="",$D2577=""),"",IF(NOT(ISNUMBER($B2577)),"Enter a valid date",IF($C2577="","Pick a menu item",IF($O2577="","Item not on Menu Pricing",IF(N($D2577)&lt;=0,"Qty must be above 0",IF($H2577="","No price on menu","OK"))))))</f>
        <v/>
      </c>
      <c r="O2577" s="13">
        <f>IF($C2577="","",IFERROR(MATCH($C2577,'Menu Pricing'!$B$7:$B$56,0),""))</f>
        <v/>
      </c>
    </row>
    <row r="2578" ht="17" customHeight="1">
      <c r="B2578" s="66" t="n"/>
      <c r="C2578" s="60" t="n"/>
      <c r="D2578" s="86" t="n"/>
      <c r="E2578" s="63" t="n"/>
      <c r="F2578" s="60" t="n"/>
      <c r="G2578" s="60" t="n"/>
      <c r="H2578" s="71">
        <f>IF(OR($C2578="",$D2578=""),"",IF(ISNUMBER($E2578),$E2578,IF($O2578="","",IF(N(INDEX('Menu Pricing'!$O$7:$O$56,$O2578))&gt;0,INDEX('Menu Pricing'!$O$7:$O$56,$O2578),""))))</f>
        <v/>
      </c>
      <c r="I2578" s="71">
        <f>IF($N2578&lt;&gt;"OK","",$D2578*$H2578)</f>
        <v/>
      </c>
      <c r="J2578" s="71">
        <f>IF($N2578&lt;&gt;"OK","",N(INDEX('Menu Pricing'!$F$7:$F$56,$O2578))+N(INDEX('Menu Pricing'!$G$7:$G$56,$O2578))+N(INDEX('Menu Pricing'!$J$7:$J$56,$O2578)))</f>
        <v/>
      </c>
      <c r="K2578" s="71">
        <f>IF($N2578&lt;&gt;"OK","",$D2578*$J2578)</f>
        <v/>
      </c>
      <c r="L2578" s="71">
        <f>IF($N2578&lt;&gt;"OK","",$I2578-$K2578)</f>
        <v/>
      </c>
      <c r="M2578" s="71">
        <f>IF($N2578&lt;&gt;"OK","",$D2578*N(INDEX('Menu Pricing'!$F$7:$F$56,$O2578)))</f>
        <v/>
      </c>
      <c r="N2578" s="80">
        <f>IF(AND($B2578="",$C2578="",$D2578=""),"",IF(NOT(ISNUMBER($B2578)),"Enter a valid date",IF($C2578="","Pick a menu item",IF($O2578="","Item not on Menu Pricing",IF(N($D2578)&lt;=0,"Qty must be above 0",IF($H2578="","No price on menu","OK"))))))</f>
        <v/>
      </c>
      <c r="O2578" s="13">
        <f>IF($C2578="","",IFERROR(MATCH($C2578,'Menu Pricing'!$B$7:$B$56,0),""))</f>
        <v/>
      </c>
    </row>
    <row r="2579" ht="17" customHeight="1">
      <c r="B2579" s="66" t="n"/>
      <c r="C2579" s="60" t="n"/>
      <c r="D2579" s="86" t="n"/>
      <c r="E2579" s="63" t="n"/>
      <c r="F2579" s="60" t="n"/>
      <c r="G2579" s="60" t="n"/>
      <c r="H2579" s="71">
        <f>IF(OR($C2579="",$D2579=""),"",IF(ISNUMBER($E2579),$E2579,IF($O2579="","",IF(N(INDEX('Menu Pricing'!$O$7:$O$56,$O2579))&gt;0,INDEX('Menu Pricing'!$O$7:$O$56,$O2579),""))))</f>
        <v/>
      </c>
      <c r="I2579" s="71">
        <f>IF($N2579&lt;&gt;"OK","",$D2579*$H2579)</f>
        <v/>
      </c>
      <c r="J2579" s="71">
        <f>IF($N2579&lt;&gt;"OK","",N(INDEX('Menu Pricing'!$F$7:$F$56,$O2579))+N(INDEX('Menu Pricing'!$G$7:$G$56,$O2579))+N(INDEX('Menu Pricing'!$J$7:$J$56,$O2579)))</f>
        <v/>
      </c>
      <c r="K2579" s="71">
        <f>IF($N2579&lt;&gt;"OK","",$D2579*$J2579)</f>
        <v/>
      </c>
      <c r="L2579" s="71">
        <f>IF($N2579&lt;&gt;"OK","",$I2579-$K2579)</f>
        <v/>
      </c>
      <c r="M2579" s="71">
        <f>IF($N2579&lt;&gt;"OK","",$D2579*N(INDEX('Menu Pricing'!$F$7:$F$56,$O2579)))</f>
        <v/>
      </c>
      <c r="N2579" s="80">
        <f>IF(AND($B2579="",$C2579="",$D2579=""),"",IF(NOT(ISNUMBER($B2579)),"Enter a valid date",IF($C2579="","Pick a menu item",IF($O2579="","Item not on Menu Pricing",IF(N($D2579)&lt;=0,"Qty must be above 0",IF($H2579="","No price on menu","OK"))))))</f>
        <v/>
      </c>
      <c r="O2579" s="13">
        <f>IF($C2579="","",IFERROR(MATCH($C2579,'Menu Pricing'!$B$7:$B$56,0),""))</f>
        <v/>
      </c>
    </row>
    <row r="2580" ht="17" customHeight="1">
      <c r="B2580" s="66" t="n"/>
      <c r="C2580" s="60" t="n"/>
      <c r="D2580" s="86" t="n"/>
      <c r="E2580" s="63" t="n"/>
      <c r="F2580" s="60" t="n"/>
      <c r="G2580" s="60" t="n"/>
      <c r="H2580" s="71">
        <f>IF(OR($C2580="",$D2580=""),"",IF(ISNUMBER($E2580),$E2580,IF($O2580="","",IF(N(INDEX('Menu Pricing'!$O$7:$O$56,$O2580))&gt;0,INDEX('Menu Pricing'!$O$7:$O$56,$O2580),""))))</f>
        <v/>
      </c>
      <c r="I2580" s="71">
        <f>IF($N2580&lt;&gt;"OK","",$D2580*$H2580)</f>
        <v/>
      </c>
      <c r="J2580" s="71">
        <f>IF($N2580&lt;&gt;"OK","",N(INDEX('Menu Pricing'!$F$7:$F$56,$O2580))+N(INDEX('Menu Pricing'!$G$7:$G$56,$O2580))+N(INDEX('Menu Pricing'!$J$7:$J$56,$O2580)))</f>
        <v/>
      </c>
      <c r="K2580" s="71">
        <f>IF($N2580&lt;&gt;"OK","",$D2580*$J2580)</f>
        <v/>
      </c>
      <c r="L2580" s="71">
        <f>IF($N2580&lt;&gt;"OK","",$I2580-$K2580)</f>
        <v/>
      </c>
      <c r="M2580" s="71">
        <f>IF($N2580&lt;&gt;"OK","",$D2580*N(INDEX('Menu Pricing'!$F$7:$F$56,$O2580)))</f>
        <v/>
      </c>
      <c r="N2580" s="80">
        <f>IF(AND($B2580="",$C2580="",$D2580=""),"",IF(NOT(ISNUMBER($B2580)),"Enter a valid date",IF($C2580="","Pick a menu item",IF($O2580="","Item not on Menu Pricing",IF(N($D2580)&lt;=0,"Qty must be above 0",IF($H2580="","No price on menu","OK"))))))</f>
        <v/>
      </c>
      <c r="O2580" s="13">
        <f>IF($C2580="","",IFERROR(MATCH($C2580,'Menu Pricing'!$B$7:$B$56,0),""))</f>
        <v/>
      </c>
    </row>
    <row r="2581" ht="17" customHeight="1">
      <c r="B2581" s="66" t="n"/>
      <c r="C2581" s="60" t="n"/>
      <c r="D2581" s="86" t="n"/>
      <c r="E2581" s="63" t="n"/>
      <c r="F2581" s="60" t="n"/>
      <c r="G2581" s="60" t="n"/>
      <c r="H2581" s="71">
        <f>IF(OR($C2581="",$D2581=""),"",IF(ISNUMBER($E2581),$E2581,IF($O2581="","",IF(N(INDEX('Menu Pricing'!$O$7:$O$56,$O2581))&gt;0,INDEX('Menu Pricing'!$O$7:$O$56,$O2581),""))))</f>
        <v/>
      </c>
      <c r="I2581" s="71">
        <f>IF($N2581&lt;&gt;"OK","",$D2581*$H2581)</f>
        <v/>
      </c>
      <c r="J2581" s="71">
        <f>IF($N2581&lt;&gt;"OK","",N(INDEX('Menu Pricing'!$F$7:$F$56,$O2581))+N(INDEX('Menu Pricing'!$G$7:$G$56,$O2581))+N(INDEX('Menu Pricing'!$J$7:$J$56,$O2581)))</f>
        <v/>
      </c>
      <c r="K2581" s="71">
        <f>IF($N2581&lt;&gt;"OK","",$D2581*$J2581)</f>
        <v/>
      </c>
      <c r="L2581" s="71">
        <f>IF($N2581&lt;&gt;"OK","",$I2581-$K2581)</f>
        <v/>
      </c>
      <c r="M2581" s="71">
        <f>IF($N2581&lt;&gt;"OK","",$D2581*N(INDEX('Menu Pricing'!$F$7:$F$56,$O2581)))</f>
        <v/>
      </c>
      <c r="N2581" s="80">
        <f>IF(AND($B2581="",$C2581="",$D2581=""),"",IF(NOT(ISNUMBER($B2581)),"Enter a valid date",IF($C2581="","Pick a menu item",IF($O2581="","Item not on Menu Pricing",IF(N($D2581)&lt;=0,"Qty must be above 0",IF($H2581="","No price on menu","OK"))))))</f>
        <v/>
      </c>
      <c r="O2581" s="13">
        <f>IF($C2581="","",IFERROR(MATCH($C2581,'Menu Pricing'!$B$7:$B$56,0),""))</f>
        <v/>
      </c>
    </row>
    <row r="2582" ht="17" customHeight="1">
      <c r="B2582" s="66" t="n"/>
      <c r="C2582" s="60" t="n"/>
      <c r="D2582" s="86" t="n"/>
      <c r="E2582" s="63" t="n"/>
      <c r="F2582" s="60" t="n"/>
      <c r="G2582" s="60" t="n"/>
      <c r="H2582" s="71">
        <f>IF(OR($C2582="",$D2582=""),"",IF(ISNUMBER($E2582),$E2582,IF($O2582="","",IF(N(INDEX('Menu Pricing'!$O$7:$O$56,$O2582))&gt;0,INDEX('Menu Pricing'!$O$7:$O$56,$O2582),""))))</f>
        <v/>
      </c>
      <c r="I2582" s="71">
        <f>IF($N2582&lt;&gt;"OK","",$D2582*$H2582)</f>
        <v/>
      </c>
      <c r="J2582" s="71">
        <f>IF($N2582&lt;&gt;"OK","",N(INDEX('Menu Pricing'!$F$7:$F$56,$O2582))+N(INDEX('Menu Pricing'!$G$7:$G$56,$O2582))+N(INDEX('Menu Pricing'!$J$7:$J$56,$O2582)))</f>
        <v/>
      </c>
      <c r="K2582" s="71">
        <f>IF($N2582&lt;&gt;"OK","",$D2582*$J2582)</f>
        <v/>
      </c>
      <c r="L2582" s="71">
        <f>IF($N2582&lt;&gt;"OK","",$I2582-$K2582)</f>
        <v/>
      </c>
      <c r="M2582" s="71">
        <f>IF($N2582&lt;&gt;"OK","",$D2582*N(INDEX('Menu Pricing'!$F$7:$F$56,$O2582)))</f>
        <v/>
      </c>
      <c r="N2582" s="80">
        <f>IF(AND($B2582="",$C2582="",$D2582=""),"",IF(NOT(ISNUMBER($B2582)),"Enter a valid date",IF($C2582="","Pick a menu item",IF($O2582="","Item not on Menu Pricing",IF(N($D2582)&lt;=0,"Qty must be above 0",IF($H2582="","No price on menu","OK"))))))</f>
        <v/>
      </c>
      <c r="O2582" s="13">
        <f>IF($C2582="","",IFERROR(MATCH($C2582,'Menu Pricing'!$B$7:$B$56,0),""))</f>
        <v/>
      </c>
    </row>
    <row r="2583" ht="17" customHeight="1">
      <c r="B2583" s="66" t="n"/>
      <c r="C2583" s="60" t="n"/>
      <c r="D2583" s="86" t="n"/>
      <c r="E2583" s="63" t="n"/>
      <c r="F2583" s="60" t="n"/>
      <c r="G2583" s="60" t="n"/>
      <c r="H2583" s="71">
        <f>IF(OR($C2583="",$D2583=""),"",IF(ISNUMBER($E2583),$E2583,IF($O2583="","",IF(N(INDEX('Menu Pricing'!$O$7:$O$56,$O2583))&gt;0,INDEX('Menu Pricing'!$O$7:$O$56,$O2583),""))))</f>
        <v/>
      </c>
      <c r="I2583" s="71">
        <f>IF($N2583&lt;&gt;"OK","",$D2583*$H2583)</f>
        <v/>
      </c>
      <c r="J2583" s="71">
        <f>IF($N2583&lt;&gt;"OK","",N(INDEX('Menu Pricing'!$F$7:$F$56,$O2583))+N(INDEX('Menu Pricing'!$G$7:$G$56,$O2583))+N(INDEX('Menu Pricing'!$J$7:$J$56,$O2583)))</f>
        <v/>
      </c>
      <c r="K2583" s="71">
        <f>IF($N2583&lt;&gt;"OK","",$D2583*$J2583)</f>
        <v/>
      </c>
      <c r="L2583" s="71">
        <f>IF($N2583&lt;&gt;"OK","",$I2583-$K2583)</f>
        <v/>
      </c>
      <c r="M2583" s="71">
        <f>IF($N2583&lt;&gt;"OK","",$D2583*N(INDEX('Menu Pricing'!$F$7:$F$56,$O2583)))</f>
        <v/>
      </c>
      <c r="N2583" s="80">
        <f>IF(AND($B2583="",$C2583="",$D2583=""),"",IF(NOT(ISNUMBER($B2583)),"Enter a valid date",IF($C2583="","Pick a menu item",IF($O2583="","Item not on Menu Pricing",IF(N($D2583)&lt;=0,"Qty must be above 0",IF($H2583="","No price on menu","OK"))))))</f>
        <v/>
      </c>
      <c r="O2583" s="13">
        <f>IF($C2583="","",IFERROR(MATCH($C2583,'Menu Pricing'!$B$7:$B$56,0),""))</f>
        <v/>
      </c>
    </row>
    <row r="2584" ht="17" customHeight="1">
      <c r="B2584" s="66" t="n"/>
      <c r="C2584" s="60" t="n"/>
      <c r="D2584" s="86" t="n"/>
      <c r="E2584" s="63" t="n"/>
      <c r="F2584" s="60" t="n"/>
      <c r="G2584" s="60" t="n"/>
      <c r="H2584" s="71">
        <f>IF(OR($C2584="",$D2584=""),"",IF(ISNUMBER($E2584),$E2584,IF($O2584="","",IF(N(INDEX('Menu Pricing'!$O$7:$O$56,$O2584))&gt;0,INDEX('Menu Pricing'!$O$7:$O$56,$O2584),""))))</f>
        <v/>
      </c>
      <c r="I2584" s="71">
        <f>IF($N2584&lt;&gt;"OK","",$D2584*$H2584)</f>
        <v/>
      </c>
      <c r="J2584" s="71">
        <f>IF($N2584&lt;&gt;"OK","",N(INDEX('Menu Pricing'!$F$7:$F$56,$O2584))+N(INDEX('Menu Pricing'!$G$7:$G$56,$O2584))+N(INDEX('Menu Pricing'!$J$7:$J$56,$O2584)))</f>
        <v/>
      </c>
      <c r="K2584" s="71">
        <f>IF($N2584&lt;&gt;"OK","",$D2584*$J2584)</f>
        <v/>
      </c>
      <c r="L2584" s="71">
        <f>IF($N2584&lt;&gt;"OK","",$I2584-$K2584)</f>
        <v/>
      </c>
      <c r="M2584" s="71">
        <f>IF($N2584&lt;&gt;"OK","",$D2584*N(INDEX('Menu Pricing'!$F$7:$F$56,$O2584)))</f>
        <v/>
      </c>
      <c r="N2584" s="80">
        <f>IF(AND($B2584="",$C2584="",$D2584=""),"",IF(NOT(ISNUMBER($B2584)),"Enter a valid date",IF($C2584="","Pick a menu item",IF($O2584="","Item not on Menu Pricing",IF(N($D2584)&lt;=0,"Qty must be above 0",IF($H2584="","No price on menu","OK"))))))</f>
        <v/>
      </c>
      <c r="O2584" s="13">
        <f>IF($C2584="","",IFERROR(MATCH($C2584,'Menu Pricing'!$B$7:$B$56,0),""))</f>
        <v/>
      </c>
    </row>
    <row r="2585" ht="17" customHeight="1">
      <c r="B2585" s="66" t="n"/>
      <c r="C2585" s="60" t="n"/>
      <c r="D2585" s="86" t="n"/>
      <c r="E2585" s="63" t="n"/>
      <c r="F2585" s="60" t="n"/>
      <c r="G2585" s="60" t="n"/>
      <c r="H2585" s="71">
        <f>IF(OR($C2585="",$D2585=""),"",IF(ISNUMBER($E2585),$E2585,IF($O2585="","",IF(N(INDEX('Menu Pricing'!$O$7:$O$56,$O2585))&gt;0,INDEX('Menu Pricing'!$O$7:$O$56,$O2585),""))))</f>
        <v/>
      </c>
      <c r="I2585" s="71">
        <f>IF($N2585&lt;&gt;"OK","",$D2585*$H2585)</f>
        <v/>
      </c>
      <c r="J2585" s="71">
        <f>IF($N2585&lt;&gt;"OK","",N(INDEX('Menu Pricing'!$F$7:$F$56,$O2585))+N(INDEX('Menu Pricing'!$G$7:$G$56,$O2585))+N(INDEX('Menu Pricing'!$J$7:$J$56,$O2585)))</f>
        <v/>
      </c>
      <c r="K2585" s="71">
        <f>IF($N2585&lt;&gt;"OK","",$D2585*$J2585)</f>
        <v/>
      </c>
      <c r="L2585" s="71">
        <f>IF($N2585&lt;&gt;"OK","",$I2585-$K2585)</f>
        <v/>
      </c>
      <c r="M2585" s="71">
        <f>IF($N2585&lt;&gt;"OK","",$D2585*N(INDEX('Menu Pricing'!$F$7:$F$56,$O2585)))</f>
        <v/>
      </c>
      <c r="N2585" s="80">
        <f>IF(AND($B2585="",$C2585="",$D2585=""),"",IF(NOT(ISNUMBER($B2585)),"Enter a valid date",IF($C2585="","Pick a menu item",IF($O2585="","Item not on Menu Pricing",IF(N($D2585)&lt;=0,"Qty must be above 0",IF($H2585="","No price on menu","OK"))))))</f>
        <v/>
      </c>
      <c r="O2585" s="13">
        <f>IF($C2585="","",IFERROR(MATCH($C2585,'Menu Pricing'!$B$7:$B$56,0),""))</f>
        <v/>
      </c>
    </row>
    <row r="2586" ht="17" customHeight="1">
      <c r="B2586" s="66" t="n"/>
      <c r="C2586" s="60" t="n"/>
      <c r="D2586" s="86" t="n"/>
      <c r="E2586" s="63" t="n"/>
      <c r="F2586" s="60" t="n"/>
      <c r="G2586" s="60" t="n"/>
      <c r="H2586" s="71">
        <f>IF(OR($C2586="",$D2586=""),"",IF(ISNUMBER($E2586),$E2586,IF($O2586="","",IF(N(INDEX('Menu Pricing'!$O$7:$O$56,$O2586))&gt;0,INDEX('Menu Pricing'!$O$7:$O$56,$O2586),""))))</f>
        <v/>
      </c>
      <c r="I2586" s="71">
        <f>IF($N2586&lt;&gt;"OK","",$D2586*$H2586)</f>
        <v/>
      </c>
      <c r="J2586" s="71">
        <f>IF($N2586&lt;&gt;"OK","",N(INDEX('Menu Pricing'!$F$7:$F$56,$O2586))+N(INDEX('Menu Pricing'!$G$7:$G$56,$O2586))+N(INDEX('Menu Pricing'!$J$7:$J$56,$O2586)))</f>
        <v/>
      </c>
      <c r="K2586" s="71">
        <f>IF($N2586&lt;&gt;"OK","",$D2586*$J2586)</f>
        <v/>
      </c>
      <c r="L2586" s="71">
        <f>IF($N2586&lt;&gt;"OK","",$I2586-$K2586)</f>
        <v/>
      </c>
      <c r="M2586" s="71">
        <f>IF($N2586&lt;&gt;"OK","",$D2586*N(INDEX('Menu Pricing'!$F$7:$F$56,$O2586)))</f>
        <v/>
      </c>
      <c r="N2586" s="80">
        <f>IF(AND($B2586="",$C2586="",$D2586=""),"",IF(NOT(ISNUMBER($B2586)),"Enter a valid date",IF($C2586="","Pick a menu item",IF($O2586="","Item not on Menu Pricing",IF(N($D2586)&lt;=0,"Qty must be above 0",IF($H2586="","No price on menu","OK"))))))</f>
        <v/>
      </c>
      <c r="O2586" s="13">
        <f>IF($C2586="","",IFERROR(MATCH($C2586,'Menu Pricing'!$B$7:$B$56,0),""))</f>
        <v/>
      </c>
    </row>
    <row r="2587" ht="17" customHeight="1">
      <c r="B2587" s="66" t="n"/>
      <c r="C2587" s="60" t="n"/>
      <c r="D2587" s="86" t="n"/>
      <c r="E2587" s="63" t="n"/>
      <c r="F2587" s="60" t="n"/>
      <c r="G2587" s="60" t="n"/>
      <c r="H2587" s="71">
        <f>IF(OR($C2587="",$D2587=""),"",IF(ISNUMBER($E2587),$E2587,IF($O2587="","",IF(N(INDEX('Menu Pricing'!$O$7:$O$56,$O2587))&gt;0,INDEX('Menu Pricing'!$O$7:$O$56,$O2587),""))))</f>
        <v/>
      </c>
      <c r="I2587" s="71">
        <f>IF($N2587&lt;&gt;"OK","",$D2587*$H2587)</f>
        <v/>
      </c>
      <c r="J2587" s="71">
        <f>IF($N2587&lt;&gt;"OK","",N(INDEX('Menu Pricing'!$F$7:$F$56,$O2587))+N(INDEX('Menu Pricing'!$G$7:$G$56,$O2587))+N(INDEX('Menu Pricing'!$J$7:$J$56,$O2587)))</f>
        <v/>
      </c>
      <c r="K2587" s="71">
        <f>IF($N2587&lt;&gt;"OK","",$D2587*$J2587)</f>
        <v/>
      </c>
      <c r="L2587" s="71">
        <f>IF($N2587&lt;&gt;"OK","",$I2587-$K2587)</f>
        <v/>
      </c>
      <c r="M2587" s="71">
        <f>IF($N2587&lt;&gt;"OK","",$D2587*N(INDEX('Menu Pricing'!$F$7:$F$56,$O2587)))</f>
        <v/>
      </c>
      <c r="N2587" s="80">
        <f>IF(AND($B2587="",$C2587="",$D2587=""),"",IF(NOT(ISNUMBER($B2587)),"Enter a valid date",IF($C2587="","Pick a menu item",IF($O2587="","Item not on Menu Pricing",IF(N($D2587)&lt;=0,"Qty must be above 0",IF($H2587="","No price on menu","OK"))))))</f>
        <v/>
      </c>
      <c r="O2587" s="13">
        <f>IF($C2587="","",IFERROR(MATCH($C2587,'Menu Pricing'!$B$7:$B$56,0),""))</f>
        <v/>
      </c>
    </row>
    <row r="2588" ht="17" customHeight="1">
      <c r="B2588" s="66" t="n"/>
      <c r="C2588" s="60" t="n"/>
      <c r="D2588" s="86" t="n"/>
      <c r="E2588" s="63" t="n"/>
      <c r="F2588" s="60" t="n"/>
      <c r="G2588" s="60" t="n"/>
      <c r="H2588" s="71">
        <f>IF(OR($C2588="",$D2588=""),"",IF(ISNUMBER($E2588),$E2588,IF($O2588="","",IF(N(INDEX('Menu Pricing'!$O$7:$O$56,$O2588))&gt;0,INDEX('Menu Pricing'!$O$7:$O$56,$O2588),""))))</f>
        <v/>
      </c>
      <c r="I2588" s="71">
        <f>IF($N2588&lt;&gt;"OK","",$D2588*$H2588)</f>
        <v/>
      </c>
      <c r="J2588" s="71">
        <f>IF($N2588&lt;&gt;"OK","",N(INDEX('Menu Pricing'!$F$7:$F$56,$O2588))+N(INDEX('Menu Pricing'!$G$7:$G$56,$O2588))+N(INDEX('Menu Pricing'!$J$7:$J$56,$O2588)))</f>
        <v/>
      </c>
      <c r="K2588" s="71">
        <f>IF($N2588&lt;&gt;"OK","",$D2588*$J2588)</f>
        <v/>
      </c>
      <c r="L2588" s="71">
        <f>IF($N2588&lt;&gt;"OK","",$I2588-$K2588)</f>
        <v/>
      </c>
      <c r="M2588" s="71">
        <f>IF($N2588&lt;&gt;"OK","",$D2588*N(INDEX('Menu Pricing'!$F$7:$F$56,$O2588)))</f>
        <v/>
      </c>
      <c r="N2588" s="80">
        <f>IF(AND($B2588="",$C2588="",$D2588=""),"",IF(NOT(ISNUMBER($B2588)),"Enter a valid date",IF($C2588="","Pick a menu item",IF($O2588="","Item not on Menu Pricing",IF(N($D2588)&lt;=0,"Qty must be above 0",IF($H2588="","No price on menu","OK"))))))</f>
        <v/>
      </c>
      <c r="O2588" s="13">
        <f>IF($C2588="","",IFERROR(MATCH($C2588,'Menu Pricing'!$B$7:$B$56,0),""))</f>
        <v/>
      </c>
    </row>
    <row r="2589" ht="17" customHeight="1">
      <c r="B2589" s="66" t="n"/>
      <c r="C2589" s="60" t="n"/>
      <c r="D2589" s="86" t="n"/>
      <c r="E2589" s="63" t="n"/>
      <c r="F2589" s="60" t="n"/>
      <c r="G2589" s="60" t="n"/>
      <c r="H2589" s="71">
        <f>IF(OR($C2589="",$D2589=""),"",IF(ISNUMBER($E2589),$E2589,IF($O2589="","",IF(N(INDEX('Menu Pricing'!$O$7:$O$56,$O2589))&gt;0,INDEX('Menu Pricing'!$O$7:$O$56,$O2589),""))))</f>
        <v/>
      </c>
      <c r="I2589" s="71">
        <f>IF($N2589&lt;&gt;"OK","",$D2589*$H2589)</f>
        <v/>
      </c>
      <c r="J2589" s="71">
        <f>IF($N2589&lt;&gt;"OK","",N(INDEX('Menu Pricing'!$F$7:$F$56,$O2589))+N(INDEX('Menu Pricing'!$G$7:$G$56,$O2589))+N(INDEX('Menu Pricing'!$J$7:$J$56,$O2589)))</f>
        <v/>
      </c>
      <c r="K2589" s="71">
        <f>IF($N2589&lt;&gt;"OK","",$D2589*$J2589)</f>
        <v/>
      </c>
      <c r="L2589" s="71">
        <f>IF($N2589&lt;&gt;"OK","",$I2589-$K2589)</f>
        <v/>
      </c>
      <c r="M2589" s="71">
        <f>IF($N2589&lt;&gt;"OK","",$D2589*N(INDEX('Menu Pricing'!$F$7:$F$56,$O2589)))</f>
        <v/>
      </c>
      <c r="N2589" s="80">
        <f>IF(AND($B2589="",$C2589="",$D2589=""),"",IF(NOT(ISNUMBER($B2589)),"Enter a valid date",IF($C2589="","Pick a menu item",IF($O2589="","Item not on Menu Pricing",IF(N($D2589)&lt;=0,"Qty must be above 0",IF($H2589="","No price on menu","OK"))))))</f>
        <v/>
      </c>
      <c r="O2589" s="13">
        <f>IF($C2589="","",IFERROR(MATCH($C2589,'Menu Pricing'!$B$7:$B$56,0),""))</f>
        <v/>
      </c>
    </row>
    <row r="2590" ht="17" customHeight="1">
      <c r="B2590" s="66" t="n"/>
      <c r="C2590" s="60" t="n"/>
      <c r="D2590" s="86" t="n"/>
      <c r="E2590" s="63" t="n"/>
      <c r="F2590" s="60" t="n"/>
      <c r="G2590" s="60" t="n"/>
      <c r="H2590" s="71">
        <f>IF(OR($C2590="",$D2590=""),"",IF(ISNUMBER($E2590),$E2590,IF($O2590="","",IF(N(INDEX('Menu Pricing'!$O$7:$O$56,$O2590))&gt;0,INDEX('Menu Pricing'!$O$7:$O$56,$O2590),""))))</f>
        <v/>
      </c>
      <c r="I2590" s="71">
        <f>IF($N2590&lt;&gt;"OK","",$D2590*$H2590)</f>
        <v/>
      </c>
      <c r="J2590" s="71">
        <f>IF($N2590&lt;&gt;"OK","",N(INDEX('Menu Pricing'!$F$7:$F$56,$O2590))+N(INDEX('Menu Pricing'!$G$7:$G$56,$O2590))+N(INDEX('Menu Pricing'!$J$7:$J$56,$O2590)))</f>
        <v/>
      </c>
      <c r="K2590" s="71">
        <f>IF($N2590&lt;&gt;"OK","",$D2590*$J2590)</f>
        <v/>
      </c>
      <c r="L2590" s="71">
        <f>IF($N2590&lt;&gt;"OK","",$I2590-$K2590)</f>
        <v/>
      </c>
      <c r="M2590" s="71">
        <f>IF($N2590&lt;&gt;"OK","",$D2590*N(INDEX('Menu Pricing'!$F$7:$F$56,$O2590)))</f>
        <v/>
      </c>
      <c r="N2590" s="80">
        <f>IF(AND($B2590="",$C2590="",$D2590=""),"",IF(NOT(ISNUMBER($B2590)),"Enter a valid date",IF($C2590="","Pick a menu item",IF($O2590="","Item not on Menu Pricing",IF(N($D2590)&lt;=0,"Qty must be above 0",IF($H2590="","No price on menu","OK"))))))</f>
        <v/>
      </c>
      <c r="O2590" s="13">
        <f>IF($C2590="","",IFERROR(MATCH($C2590,'Menu Pricing'!$B$7:$B$56,0),""))</f>
        <v/>
      </c>
    </row>
    <row r="2591" ht="17" customHeight="1">
      <c r="B2591" s="66" t="n"/>
      <c r="C2591" s="60" t="n"/>
      <c r="D2591" s="86" t="n"/>
      <c r="E2591" s="63" t="n"/>
      <c r="F2591" s="60" t="n"/>
      <c r="G2591" s="60" t="n"/>
      <c r="H2591" s="71">
        <f>IF(OR($C2591="",$D2591=""),"",IF(ISNUMBER($E2591),$E2591,IF($O2591="","",IF(N(INDEX('Menu Pricing'!$O$7:$O$56,$O2591))&gt;0,INDEX('Menu Pricing'!$O$7:$O$56,$O2591),""))))</f>
        <v/>
      </c>
      <c r="I2591" s="71">
        <f>IF($N2591&lt;&gt;"OK","",$D2591*$H2591)</f>
        <v/>
      </c>
      <c r="J2591" s="71">
        <f>IF($N2591&lt;&gt;"OK","",N(INDEX('Menu Pricing'!$F$7:$F$56,$O2591))+N(INDEX('Menu Pricing'!$G$7:$G$56,$O2591))+N(INDEX('Menu Pricing'!$J$7:$J$56,$O2591)))</f>
        <v/>
      </c>
      <c r="K2591" s="71">
        <f>IF($N2591&lt;&gt;"OK","",$D2591*$J2591)</f>
        <v/>
      </c>
      <c r="L2591" s="71">
        <f>IF($N2591&lt;&gt;"OK","",$I2591-$K2591)</f>
        <v/>
      </c>
      <c r="M2591" s="71">
        <f>IF($N2591&lt;&gt;"OK","",$D2591*N(INDEX('Menu Pricing'!$F$7:$F$56,$O2591)))</f>
        <v/>
      </c>
      <c r="N2591" s="80">
        <f>IF(AND($B2591="",$C2591="",$D2591=""),"",IF(NOT(ISNUMBER($B2591)),"Enter a valid date",IF($C2591="","Pick a menu item",IF($O2591="","Item not on Menu Pricing",IF(N($D2591)&lt;=0,"Qty must be above 0",IF($H2591="","No price on menu","OK"))))))</f>
        <v/>
      </c>
      <c r="O2591" s="13">
        <f>IF($C2591="","",IFERROR(MATCH($C2591,'Menu Pricing'!$B$7:$B$56,0),""))</f>
        <v/>
      </c>
    </row>
    <row r="2592" ht="17" customHeight="1">
      <c r="B2592" s="66" t="n"/>
      <c r="C2592" s="60" t="n"/>
      <c r="D2592" s="86" t="n"/>
      <c r="E2592" s="63" t="n"/>
      <c r="F2592" s="60" t="n"/>
      <c r="G2592" s="60" t="n"/>
      <c r="H2592" s="71">
        <f>IF(OR($C2592="",$D2592=""),"",IF(ISNUMBER($E2592),$E2592,IF($O2592="","",IF(N(INDEX('Menu Pricing'!$O$7:$O$56,$O2592))&gt;0,INDEX('Menu Pricing'!$O$7:$O$56,$O2592),""))))</f>
        <v/>
      </c>
      <c r="I2592" s="71">
        <f>IF($N2592&lt;&gt;"OK","",$D2592*$H2592)</f>
        <v/>
      </c>
      <c r="J2592" s="71">
        <f>IF($N2592&lt;&gt;"OK","",N(INDEX('Menu Pricing'!$F$7:$F$56,$O2592))+N(INDEX('Menu Pricing'!$G$7:$G$56,$O2592))+N(INDEX('Menu Pricing'!$J$7:$J$56,$O2592)))</f>
        <v/>
      </c>
      <c r="K2592" s="71">
        <f>IF($N2592&lt;&gt;"OK","",$D2592*$J2592)</f>
        <v/>
      </c>
      <c r="L2592" s="71">
        <f>IF($N2592&lt;&gt;"OK","",$I2592-$K2592)</f>
        <v/>
      </c>
      <c r="M2592" s="71">
        <f>IF($N2592&lt;&gt;"OK","",$D2592*N(INDEX('Menu Pricing'!$F$7:$F$56,$O2592)))</f>
        <v/>
      </c>
      <c r="N2592" s="80">
        <f>IF(AND($B2592="",$C2592="",$D2592=""),"",IF(NOT(ISNUMBER($B2592)),"Enter a valid date",IF($C2592="","Pick a menu item",IF($O2592="","Item not on Menu Pricing",IF(N($D2592)&lt;=0,"Qty must be above 0",IF($H2592="","No price on menu","OK"))))))</f>
        <v/>
      </c>
      <c r="O2592" s="13">
        <f>IF($C2592="","",IFERROR(MATCH($C2592,'Menu Pricing'!$B$7:$B$56,0),""))</f>
        <v/>
      </c>
    </row>
    <row r="2593" ht="17" customHeight="1">
      <c r="B2593" s="66" t="n"/>
      <c r="C2593" s="60" t="n"/>
      <c r="D2593" s="86" t="n"/>
      <c r="E2593" s="63" t="n"/>
      <c r="F2593" s="60" t="n"/>
      <c r="G2593" s="60" t="n"/>
      <c r="H2593" s="71">
        <f>IF(OR($C2593="",$D2593=""),"",IF(ISNUMBER($E2593),$E2593,IF($O2593="","",IF(N(INDEX('Menu Pricing'!$O$7:$O$56,$O2593))&gt;0,INDEX('Menu Pricing'!$O$7:$O$56,$O2593),""))))</f>
        <v/>
      </c>
      <c r="I2593" s="71">
        <f>IF($N2593&lt;&gt;"OK","",$D2593*$H2593)</f>
        <v/>
      </c>
      <c r="J2593" s="71">
        <f>IF($N2593&lt;&gt;"OK","",N(INDEX('Menu Pricing'!$F$7:$F$56,$O2593))+N(INDEX('Menu Pricing'!$G$7:$G$56,$O2593))+N(INDEX('Menu Pricing'!$J$7:$J$56,$O2593)))</f>
        <v/>
      </c>
      <c r="K2593" s="71">
        <f>IF($N2593&lt;&gt;"OK","",$D2593*$J2593)</f>
        <v/>
      </c>
      <c r="L2593" s="71">
        <f>IF($N2593&lt;&gt;"OK","",$I2593-$K2593)</f>
        <v/>
      </c>
      <c r="M2593" s="71">
        <f>IF($N2593&lt;&gt;"OK","",$D2593*N(INDEX('Menu Pricing'!$F$7:$F$56,$O2593)))</f>
        <v/>
      </c>
      <c r="N2593" s="80">
        <f>IF(AND($B2593="",$C2593="",$D2593=""),"",IF(NOT(ISNUMBER($B2593)),"Enter a valid date",IF($C2593="","Pick a menu item",IF($O2593="","Item not on Menu Pricing",IF(N($D2593)&lt;=0,"Qty must be above 0",IF($H2593="","No price on menu","OK"))))))</f>
        <v/>
      </c>
      <c r="O2593" s="13">
        <f>IF($C2593="","",IFERROR(MATCH($C2593,'Menu Pricing'!$B$7:$B$56,0),""))</f>
        <v/>
      </c>
    </row>
    <row r="2594" ht="17" customHeight="1">
      <c r="B2594" s="66" t="n"/>
      <c r="C2594" s="60" t="n"/>
      <c r="D2594" s="86" t="n"/>
      <c r="E2594" s="63" t="n"/>
      <c r="F2594" s="60" t="n"/>
      <c r="G2594" s="60" t="n"/>
      <c r="H2594" s="71">
        <f>IF(OR($C2594="",$D2594=""),"",IF(ISNUMBER($E2594),$E2594,IF($O2594="","",IF(N(INDEX('Menu Pricing'!$O$7:$O$56,$O2594))&gt;0,INDEX('Menu Pricing'!$O$7:$O$56,$O2594),""))))</f>
        <v/>
      </c>
      <c r="I2594" s="71">
        <f>IF($N2594&lt;&gt;"OK","",$D2594*$H2594)</f>
        <v/>
      </c>
      <c r="J2594" s="71">
        <f>IF($N2594&lt;&gt;"OK","",N(INDEX('Menu Pricing'!$F$7:$F$56,$O2594))+N(INDEX('Menu Pricing'!$G$7:$G$56,$O2594))+N(INDEX('Menu Pricing'!$J$7:$J$56,$O2594)))</f>
        <v/>
      </c>
      <c r="K2594" s="71">
        <f>IF($N2594&lt;&gt;"OK","",$D2594*$J2594)</f>
        <v/>
      </c>
      <c r="L2594" s="71">
        <f>IF($N2594&lt;&gt;"OK","",$I2594-$K2594)</f>
        <v/>
      </c>
      <c r="M2594" s="71">
        <f>IF($N2594&lt;&gt;"OK","",$D2594*N(INDEX('Menu Pricing'!$F$7:$F$56,$O2594)))</f>
        <v/>
      </c>
      <c r="N2594" s="80">
        <f>IF(AND($B2594="",$C2594="",$D2594=""),"",IF(NOT(ISNUMBER($B2594)),"Enter a valid date",IF($C2594="","Pick a menu item",IF($O2594="","Item not on Menu Pricing",IF(N($D2594)&lt;=0,"Qty must be above 0",IF($H2594="","No price on menu","OK"))))))</f>
        <v/>
      </c>
      <c r="O2594" s="13">
        <f>IF($C2594="","",IFERROR(MATCH($C2594,'Menu Pricing'!$B$7:$B$56,0),""))</f>
        <v/>
      </c>
    </row>
    <row r="2595" ht="17" customHeight="1">
      <c r="B2595" s="66" t="n"/>
      <c r="C2595" s="60" t="n"/>
      <c r="D2595" s="86" t="n"/>
      <c r="E2595" s="63" t="n"/>
      <c r="F2595" s="60" t="n"/>
      <c r="G2595" s="60" t="n"/>
      <c r="H2595" s="71">
        <f>IF(OR($C2595="",$D2595=""),"",IF(ISNUMBER($E2595),$E2595,IF($O2595="","",IF(N(INDEX('Menu Pricing'!$O$7:$O$56,$O2595))&gt;0,INDEX('Menu Pricing'!$O$7:$O$56,$O2595),""))))</f>
        <v/>
      </c>
      <c r="I2595" s="71">
        <f>IF($N2595&lt;&gt;"OK","",$D2595*$H2595)</f>
        <v/>
      </c>
      <c r="J2595" s="71">
        <f>IF($N2595&lt;&gt;"OK","",N(INDEX('Menu Pricing'!$F$7:$F$56,$O2595))+N(INDEX('Menu Pricing'!$G$7:$G$56,$O2595))+N(INDEX('Menu Pricing'!$J$7:$J$56,$O2595)))</f>
        <v/>
      </c>
      <c r="K2595" s="71">
        <f>IF($N2595&lt;&gt;"OK","",$D2595*$J2595)</f>
        <v/>
      </c>
      <c r="L2595" s="71">
        <f>IF($N2595&lt;&gt;"OK","",$I2595-$K2595)</f>
        <v/>
      </c>
      <c r="M2595" s="71">
        <f>IF($N2595&lt;&gt;"OK","",$D2595*N(INDEX('Menu Pricing'!$F$7:$F$56,$O2595)))</f>
        <v/>
      </c>
      <c r="N2595" s="80">
        <f>IF(AND($B2595="",$C2595="",$D2595=""),"",IF(NOT(ISNUMBER($B2595)),"Enter a valid date",IF($C2595="","Pick a menu item",IF($O2595="","Item not on Menu Pricing",IF(N($D2595)&lt;=0,"Qty must be above 0",IF($H2595="","No price on menu","OK"))))))</f>
        <v/>
      </c>
      <c r="O2595" s="13">
        <f>IF($C2595="","",IFERROR(MATCH($C2595,'Menu Pricing'!$B$7:$B$56,0),""))</f>
        <v/>
      </c>
    </row>
    <row r="2596" ht="17" customHeight="1">
      <c r="B2596" s="66" t="n"/>
      <c r="C2596" s="60" t="n"/>
      <c r="D2596" s="86" t="n"/>
      <c r="E2596" s="63" t="n"/>
      <c r="F2596" s="60" t="n"/>
      <c r="G2596" s="60" t="n"/>
      <c r="H2596" s="71">
        <f>IF(OR($C2596="",$D2596=""),"",IF(ISNUMBER($E2596),$E2596,IF($O2596="","",IF(N(INDEX('Menu Pricing'!$O$7:$O$56,$O2596))&gt;0,INDEX('Menu Pricing'!$O$7:$O$56,$O2596),""))))</f>
        <v/>
      </c>
      <c r="I2596" s="71">
        <f>IF($N2596&lt;&gt;"OK","",$D2596*$H2596)</f>
        <v/>
      </c>
      <c r="J2596" s="71">
        <f>IF($N2596&lt;&gt;"OK","",N(INDEX('Menu Pricing'!$F$7:$F$56,$O2596))+N(INDEX('Menu Pricing'!$G$7:$G$56,$O2596))+N(INDEX('Menu Pricing'!$J$7:$J$56,$O2596)))</f>
        <v/>
      </c>
      <c r="K2596" s="71">
        <f>IF($N2596&lt;&gt;"OK","",$D2596*$J2596)</f>
        <v/>
      </c>
      <c r="L2596" s="71">
        <f>IF($N2596&lt;&gt;"OK","",$I2596-$K2596)</f>
        <v/>
      </c>
      <c r="M2596" s="71">
        <f>IF($N2596&lt;&gt;"OK","",$D2596*N(INDEX('Menu Pricing'!$F$7:$F$56,$O2596)))</f>
        <v/>
      </c>
      <c r="N2596" s="80">
        <f>IF(AND($B2596="",$C2596="",$D2596=""),"",IF(NOT(ISNUMBER($B2596)),"Enter a valid date",IF($C2596="","Pick a menu item",IF($O2596="","Item not on Menu Pricing",IF(N($D2596)&lt;=0,"Qty must be above 0",IF($H2596="","No price on menu","OK"))))))</f>
        <v/>
      </c>
      <c r="O2596" s="13">
        <f>IF($C2596="","",IFERROR(MATCH($C2596,'Menu Pricing'!$B$7:$B$56,0),""))</f>
        <v/>
      </c>
    </row>
    <row r="2597" ht="17" customHeight="1">
      <c r="B2597" s="66" t="n"/>
      <c r="C2597" s="60" t="n"/>
      <c r="D2597" s="86" t="n"/>
      <c r="E2597" s="63" t="n"/>
      <c r="F2597" s="60" t="n"/>
      <c r="G2597" s="60" t="n"/>
      <c r="H2597" s="71">
        <f>IF(OR($C2597="",$D2597=""),"",IF(ISNUMBER($E2597),$E2597,IF($O2597="","",IF(N(INDEX('Menu Pricing'!$O$7:$O$56,$O2597))&gt;0,INDEX('Menu Pricing'!$O$7:$O$56,$O2597),""))))</f>
        <v/>
      </c>
      <c r="I2597" s="71">
        <f>IF($N2597&lt;&gt;"OK","",$D2597*$H2597)</f>
        <v/>
      </c>
      <c r="J2597" s="71">
        <f>IF($N2597&lt;&gt;"OK","",N(INDEX('Menu Pricing'!$F$7:$F$56,$O2597))+N(INDEX('Menu Pricing'!$G$7:$G$56,$O2597))+N(INDEX('Menu Pricing'!$J$7:$J$56,$O2597)))</f>
        <v/>
      </c>
      <c r="K2597" s="71">
        <f>IF($N2597&lt;&gt;"OK","",$D2597*$J2597)</f>
        <v/>
      </c>
      <c r="L2597" s="71">
        <f>IF($N2597&lt;&gt;"OK","",$I2597-$K2597)</f>
        <v/>
      </c>
      <c r="M2597" s="71">
        <f>IF($N2597&lt;&gt;"OK","",$D2597*N(INDEX('Menu Pricing'!$F$7:$F$56,$O2597)))</f>
        <v/>
      </c>
      <c r="N2597" s="80">
        <f>IF(AND($B2597="",$C2597="",$D2597=""),"",IF(NOT(ISNUMBER($B2597)),"Enter a valid date",IF($C2597="","Pick a menu item",IF($O2597="","Item not on Menu Pricing",IF(N($D2597)&lt;=0,"Qty must be above 0",IF($H2597="","No price on menu","OK"))))))</f>
        <v/>
      </c>
      <c r="O2597" s="13">
        <f>IF($C2597="","",IFERROR(MATCH($C2597,'Menu Pricing'!$B$7:$B$56,0),""))</f>
        <v/>
      </c>
    </row>
    <row r="2598" ht="17" customHeight="1">
      <c r="B2598" s="66" t="n"/>
      <c r="C2598" s="60" t="n"/>
      <c r="D2598" s="86" t="n"/>
      <c r="E2598" s="63" t="n"/>
      <c r="F2598" s="60" t="n"/>
      <c r="G2598" s="60" t="n"/>
      <c r="H2598" s="71">
        <f>IF(OR($C2598="",$D2598=""),"",IF(ISNUMBER($E2598),$E2598,IF($O2598="","",IF(N(INDEX('Menu Pricing'!$O$7:$O$56,$O2598))&gt;0,INDEX('Menu Pricing'!$O$7:$O$56,$O2598),""))))</f>
        <v/>
      </c>
      <c r="I2598" s="71">
        <f>IF($N2598&lt;&gt;"OK","",$D2598*$H2598)</f>
        <v/>
      </c>
      <c r="J2598" s="71">
        <f>IF($N2598&lt;&gt;"OK","",N(INDEX('Menu Pricing'!$F$7:$F$56,$O2598))+N(INDEX('Menu Pricing'!$G$7:$G$56,$O2598))+N(INDEX('Menu Pricing'!$J$7:$J$56,$O2598)))</f>
        <v/>
      </c>
      <c r="K2598" s="71">
        <f>IF($N2598&lt;&gt;"OK","",$D2598*$J2598)</f>
        <v/>
      </c>
      <c r="L2598" s="71">
        <f>IF($N2598&lt;&gt;"OK","",$I2598-$K2598)</f>
        <v/>
      </c>
      <c r="M2598" s="71">
        <f>IF($N2598&lt;&gt;"OK","",$D2598*N(INDEX('Menu Pricing'!$F$7:$F$56,$O2598)))</f>
        <v/>
      </c>
      <c r="N2598" s="80">
        <f>IF(AND($B2598="",$C2598="",$D2598=""),"",IF(NOT(ISNUMBER($B2598)),"Enter a valid date",IF($C2598="","Pick a menu item",IF($O2598="","Item not on Menu Pricing",IF(N($D2598)&lt;=0,"Qty must be above 0",IF($H2598="","No price on menu","OK"))))))</f>
        <v/>
      </c>
      <c r="O2598" s="13">
        <f>IF($C2598="","",IFERROR(MATCH($C2598,'Menu Pricing'!$B$7:$B$56,0),""))</f>
        <v/>
      </c>
    </row>
    <row r="2599" ht="17" customHeight="1">
      <c r="B2599" s="66" t="n"/>
      <c r="C2599" s="60" t="n"/>
      <c r="D2599" s="86" t="n"/>
      <c r="E2599" s="63" t="n"/>
      <c r="F2599" s="60" t="n"/>
      <c r="G2599" s="60" t="n"/>
      <c r="H2599" s="71">
        <f>IF(OR($C2599="",$D2599=""),"",IF(ISNUMBER($E2599),$E2599,IF($O2599="","",IF(N(INDEX('Menu Pricing'!$O$7:$O$56,$O2599))&gt;0,INDEX('Menu Pricing'!$O$7:$O$56,$O2599),""))))</f>
        <v/>
      </c>
      <c r="I2599" s="71">
        <f>IF($N2599&lt;&gt;"OK","",$D2599*$H2599)</f>
        <v/>
      </c>
      <c r="J2599" s="71">
        <f>IF($N2599&lt;&gt;"OK","",N(INDEX('Menu Pricing'!$F$7:$F$56,$O2599))+N(INDEX('Menu Pricing'!$G$7:$G$56,$O2599))+N(INDEX('Menu Pricing'!$J$7:$J$56,$O2599)))</f>
        <v/>
      </c>
      <c r="K2599" s="71">
        <f>IF($N2599&lt;&gt;"OK","",$D2599*$J2599)</f>
        <v/>
      </c>
      <c r="L2599" s="71">
        <f>IF($N2599&lt;&gt;"OK","",$I2599-$K2599)</f>
        <v/>
      </c>
      <c r="M2599" s="71">
        <f>IF($N2599&lt;&gt;"OK","",$D2599*N(INDEX('Menu Pricing'!$F$7:$F$56,$O2599)))</f>
        <v/>
      </c>
      <c r="N2599" s="80">
        <f>IF(AND($B2599="",$C2599="",$D2599=""),"",IF(NOT(ISNUMBER($B2599)),"Enter a valid date",IF($C2599="","Pick a menu item",IF($O2599="","Item not on Menu Pricing",IF(N($D2599)&lt;=0,"Qty must be above 0",IF($H2599="","No price on menu","OK"))))))</f>
        <v/>
      </c>
      <c r="O2599" s="13">
        <f>IF($C2599="","",IFERROR(MATCH($C2599,'Menu Pricing'!$B$7:$B$56,0),""))</f>
        <v/>
      </c>
    </row>
    <row r="2600" ht="17" customHeight="1">
      <c r="B2600" s="66" t="n"/>
      <c r="C2600" s="60" t="n"/>
      <c r="D2600" s="86" t="n"/>
      <c r="E2600" s="63" t="n"/>
      <c r="F2600" s="60" t="n"/>
      <c r="G2600" s="60" t="n"/>
      <c r="H2600" s="71">
        <f>IF(OR($C2600="",$D2600=""),"",IF(ISNUMBER($E2600),$E2600,IF($O2600="","",IF(N(INDEX('Menu Pricing'!$O$7:$O$56,$O2600))&gt;0,INDEX('Menu Pricing'!$O$7:$O$56,$O2600),""))))</f>
        <v/>
      </c>
      <c r="I2600" s="71">
        <f>IF($N2600&lt;&gt;"OK","",$D2600*$H2600)</f>
        <v/>
      </c>
      <c r="J2600" s="71">
        <f>IF($N2600&lt;&gt;"OK","",N(INDEX('Menu Pricing'!$F$7:$F$56,$O2600))+N(INDEX('Menu Pricing'!$G$7:$G$56,$O2600))+N(INDEX('Menu Pricing'!$J$7:$J$56,$O2600)))</f>
        <v/>
      </c>
      <c r="K2600" s="71">
        <f>IF($N2600&lt;&gt;"OK","",$D2600*$J2600)</f>
        <v/>
      </c>
      <c r="L2600" s="71">
        <f>IF($N2600&lt;&gt;"OK","",$I2600-$K2600)</f>
        <v/>
      </c>
      <c r="M2600" s="71">
        <f>IF($N2600&lt;&gt;"OK","",$D2600*N(INDEX('Menu Pricing'!$F$7:$F$56,$O2600)))</f>
        <v/>
      </c>
      <c r="N2600" s="80">
        <f>IF(AND($B2600="",$C2600="",$D2600=""),"",IF(NOT(ISNUMBER($B2600)),"Enter a valid date",IF($C2600="","Pick a menu item",IF($O2600="","Item not on Menu Pricing",IF(N($D2600)&lt;=0,"Qty must be above 0",IF($H2600="","No price on menu","OK"))))))</f>
        <v/>
      </c>
      <c r="O2600" s="13">
        <f>IF($C2600="","",IFERROR(MATCH($C2600,'Menu Pricing'!$B$7:$B$56,0),""))</f>
        <v/>
      </c>
    </row>
    <row r="2601" ht="17" customHeight="1">
      <c r="B2601" s="66" t="n"/>
      <c r="C2601" s="60" t="n"/>
      <c r="D2601" s="86" t="n"/>
      <c r="E2601" s="63" t="n"/>
      <c r="F2601" s="60" t="n"/>
      <c r="G2601" s="60" t="n"/>
      <c r="H2601" s="71">
        <f>IF(OR($C2601="",$D2601=""),"",IF(ISNUMBER($E2601),$E2601,IF($O2601="","",IF(N(INDEX('Menu Pricing'!$O$7:$O$56,$O2601))&gt;0,INDEX('Menu Pricing'!$O$7:$O$56,$O2601),""))))</f>
        <v/>
      </c>
      <c r="I2601" s="71">
        <f>IF($N2601&lt;&gt;"OK","",$D2601*$H2601)</f>
        <v/>
      </c>
      <c r="J2601" s="71">
        <f>IF($N2601&lt;&gt;"OK","",N(INDEX('Menu Pricing'!$F$7:$F$56,$O2601))+N(INDEX('Menu Pricing'!$G$7:$G$56,$O2601))+N(INDEX('Menu Pricing'!$J$7:$J$56,$O2601)))</f>
        <v/>
      </c>
      <c r="K2601" s="71">
        <f>IF($N2601&lt;&gt;"OK","",$D2601*$J2601)</f>
        <v/>
      </c>
      <c r="L2601" s="71">
        <f>IF($N2601&lt;&gt;"OK","",$I2601-$K2601)</f>
        <v/>
      </c>
      <c r="M2601" s="71">
        <f>IF($N2601&lt;&gt;"OK","",$D2601*N(INDEX('Menu Pricing'!$F$7:$F$56,$O2601)))</f>
        <v/>
      </c>
      <c r="N2601" s="80">
        <f>IF(AND($B2601="",$C2601="",$D2601=""),"",IF(NOT(ISNUMBER($B2601)),"Enter a valid date",IF($C2601="","Pick a menu item",IF($O2601="","Item not on Menu Pricing",IF(N($D2601)&lt;=0,"Qty must be above 0",IF($H2601="","No price on menu","OK"))))))</f>
        <v/>
      </c>
      <c r="O2601" s="13">
        <f>IF($C2601="","",IFERROR(MATCH($C2601,'Menu Pricing'!$B$7:$B$56,0),""))</f>
        <v/>
      </c>
    </row>
    <row r="2602" ht="17" customHeight="1">
      <c r="B2602" s="66" t="n"/>
      <c r="C2602" s="60" t="n"/>
      <c r="D2602" s="86" t="n"/>
      <c r="E2602" s="63" t="n"/>
      <c r="F2602" s="60" t="n"/>
      <c r="G2602" s="60" t="n"/>
      <c r="H2602" s="71">
        <f>IF(OR($C2602="",$D2602=""),"",IF(ISNUMBER($E2602),$E2602,IF($O2602="","",IF(N(INDEX('Menu Pricing'!$O$7:$O$56,$O2602))&gt;0,INDEX('Menu Pricing'!$O$7:$O$56,$O2602),""))))</f>
        <v/>
      </c>
      <c r="I2602" s="71">
        <f>IF($N2602&lt;&gt;"OK","",$D2602*$H2602)</f>
        <v/>
      </c>
      <c r="J2602" s="71">
        <f>IF($N2602&lt;&gt;"OK","",N(INDEX('Menu Pricing'!$F$7:$F$56,$O2602))+N(INDEX('Menu Pricing'!$G$7:$G$56,$O2602))+N(INDEX('Menu Pricing'!$J$7:$J$56,$O2602)))</f>
        <v/>
      </c>
      <c r="K2602" s="71">
        <f>IF($N2602&lt;&gt;"OK","",$D2602*$J2602)</f>
        <v/>
      </c>
      <c r="L2602" s="71">
        <f>IF($N2602&lt;&gt;"OK","",$I2602-$K2602)</f>
        <v/>
      </c>
      <c r="M2602" s="71">
        <f>IF($N2602&lt;&gt;"OK","",$D2602*N(INDEX('Menu Pricing'!$F$7:$F$56,$O2602)))</f>
        <v/>
      </c>
      <c r="N2602" s="80">
        <f>IF(AND($B2602="",$C2602="",$D2602=""),"",IF(NOT(ISNUMBER($B2602)),"Enter a valid date",IF($C2602="","Pick a menu item",IF($O2602="","Item not on Menu Pricing",IF(N($D2602)&lt;=0,"Qty must be above 0",IF($H2602="","No price on menu","OK"))))))</f>
        <v/>
      </c>
      <c r="O2602" s="13">
        <f>IF($C2602="","",IFERROR(MATCH($C2602,'Menu Pricing'!$B$7:$B$56,0),""))</f>
        <v/>
      </c>
    </row>
    <row r="2603" ht="17" customHeight="1">
      <c r="B2603" s="66" t="n"/>
      <c r="C2603" s="60" t="n"/>
      <c r="D2603" s="86" t="n"/>
      <c r="E2603" s="63" t="n"/>
      <c r="F2603" s="60" t="n"/>
      <c r="G2603" s="60" t="n"/>
      <c r="H2603" s="71">
        <f>IF(OR($C2603="",$D2603=""),"",IF(ISNUMBER($E2603),$E2603,IF($O2603="","",IF(N(INDEX('Menu Pricing'!$O$7:$O$56,$O2603))&gt;0,INDEX('Menu Pricing'!$O$7:$O$56,$O2603),""))))</f>
        <v/>
      </c>
      <c r="I2603" s="71">
        <f>IF($N2603&lt;&gt;"OK","",$D2603*$H2603)</f>
        <v/>
      </c>
      <c r="J2603" s="71">
        <f>IF($N2603&lt;&gt;"OK","",N(INDEX('Menu Pricing'!$F$7:$F$56,$O2603))+N(INDEX('Menu Pricing'!$G$7:$G$56,$O2603))+N(INDEX('Menu Pricing'!$J$7:$J$56,$O2603)))</f>
        <v/>
      </c>
      <c r="K2603" s="71">
        <f>IF($N2603&lt;&gt;"OK","",$D2603*$J2603)</f>
        <v/>
      </c>
      <c r="L2603" s="71">
        <f>IF($N2603&lt;&gt;"OK","",$I2603-$K2603)</f>
        <v/>
      </c>
      <c r="M2603" s="71">
        <f>IF($N2603&lt;&gt;"OK","",$D2603*N(INDEX('Menu Pricing'!$F$7:$F$56,$O2603)))</f>
        <v/>
      </c>
      <c r="N2603" s="80">
        <f>IF(AND($B2603="",$C2603="",$D2603=""),"",IF(NOT(ISNUMBER($B2603)),"Enter a valid date",IF($C2603="","Pick a menu item",IF($O2603="","Item not on Menu Pricing",IF(N($D2603)&lt;=0,"Qty must be above 0",IF($H2603="","No price on menu","OK"))))))</f>
        <v/>
      </c>
      <c r="O2603" s="13">
        <f>IF($C2603="","",IFERROR(MATCH($C2603,'Menu Pricing'!$B$7:$B$56,0),""))</f>
        <v/>
      </c>
    </row>
    <row r="2604" ht="17" customHeight="1">
      <c r="B2604" s="66" t="n"/>
      <c r="C2604" s="60" t="n"/>
      <c r="D2604" s="86" t="n"/>
      <c r="E2604" s="63" t="n"/>
      <c r="F2604" s="60" t="n"/>
      <c r="G2604" s="60" t="n"/>
      <c r="H2604" s="71">
        <f>IF(OR($C2604="",$D2604=""),"",IF(ISNUMBER($E2604),$E2604,IF($O2604="","",IF(N(INDEX('Menu Pricing'!$O$7:$O$56,$O2604))&gt;0,INDEX('Menu Pricing'!$O$7:$O$56,$O2604),""))))</f>
        <v/>
      </c>
      <c r="I2604" s="71">
        <f>IF($N2604&lt;&gt;"OK","",$D2604*$H2604)</f>
        <v/>
      </c>
      <c r="J2604" s="71">
        <f>IF($N2604&lt;&gt;"OK","",N(INDEX('Menu Pricing'!$F$7:$F$56,$O2604))+N(INDEX('Menu Pricing'!$G$7:$G$56,$O2604))+N(INDEX('Menu Pricing'!$J$7:$J$56,$O2604)))</f>
        <v/>
      </c>
      <c r="K2604" s="71">
        <f>IF($N2604&lt;&gt;"OK","",$D2604*$J2604)</f>
        <v/>
      </c>
      <c r="L2604" s="71">
        <f>IF($N2604&lt;&gt;"OK","",$I2604-$K2604)</f>
        <v/>
      </c>
      <c r="M2604" s="71">
        <f>IF($N2604&lt;&gt;"OK","",$D2604*N(INDEX('Menu Pricing'!$F$7:$F$56,$O2604)))</f>
        <v/>
      </c>
      <c r="N2604" s="80">
        <f>IF(AND($B2604="",$C2604="",$D2604=""),"",IF(NOT(ISNUMBER($B2604)),"Enter a valid date",IF($C2604="","Pick a menu item",IF($O2604="","Item not on Menu Pricing",IF(N($D2604)&lt;=0,"Qty must be above 0",IF($H2604="","No price on menu","OK"))))))</f>
        <v/>
      </c>
      <c r="O2604" s="13">
        <f>IF($C2604="","",IFERROR(MATCH($C2604,'Menu Pricing'!$B$7:$B$56,0),""))</f>
        <v/>
      </c>
    </row>
    <row r="2605" ht="17" customHeight="1">
      <c r="B2605" s="66" t="n"/>
      <c r="C2605" s="60" t="n"/>
      <c r="D2605" s="86" t="n"/>
      <c r="E2605" s="63" t="n"/>
      <c r="F2605" s="60" t="n"/>
      <c r="G2605" s="60" t="n"/>
      <c r="H2605" s="71">
        <f>IF(OR($C2605="",$D2605=""),"",IF(ISNUMBER($E2605),$E2605,IF($O2605="","",IF(N(INDEX('Menu Pricing'!$O$7:$O$56,$O2605))&gt;0,INDEX('Menu Pricing'!$O$7:$O$56,$O2605),""))))</f>
        <v/>
      </c>
      <c r="I2605" s="71">
        <f>IF($N2605&lt;&gt;"OK","",$D2605*$H2605)</f>
        <v/>
      </c>
      <c r="J2605" s="71">
        <f>IF($N2605&lt;&gt;"OK","",N(INDEX('Menu Pricing'!$F$7:$F$56,$O2605))+N(INDEX('Menu Pricing'!$G$7:$G$56,$O2605))+N(INDEX('Menu Pricing'!$J$7:$J$56,$O2605)))</f>
        <v/>
      </c>
      <c r="K2605" s="71">
        <f>IF($N2605&lt;&gt;"OK","",$D2605*$J2605)</f>
        <v/>
      </c>
      <c r="L2605" s="71">
        <f>IF($N2605&lt;&gt;"OK","",$I2605-$K2605)</f>
        <v/>
      </c>
      <c r="M2605" s="71">
        <f>IF($N2605&lt;&gt;"OK","",$D2605*N(INDEX('Menu Pricing'!$F$7:$F$56,$O2605)))</f>
        <v/>
      </c>
      <c r="N2605" s="80">
        <f>IF(AND($B2605="",$C2605="",$D2605=""),"",IF(NOT(ISNUMBER($B2605)),"Enter a valid date",IF($C2605="","Pick a menu item",IF($O2605="","Item not on Menu Pricing",IF(N($D2605)&lt;=0,"Qty must be above 0",IF($H2605="","No price on menu","OK"))))))</f>
        <v/>
      </c>
      <c r="O2605" s="13">
        <f>IF($C2605="","",IFERROR(MATCH($C2605,'Menu Pricing'!$B$7:$B$56,0),""))</f>
        <v/>
      </c>
    </row>
    <row r="2606" ht="17" customHeight="1">
      <c r="B2606" s="66" t="n"/>
      <c r="C2606" s="60" t="n"/>
      <c r="D2606" s="86" t="n"/>
      <c r="E2606" s="63" t="n"/>
      <c r="F2606" s="60" t="n"/>
      <c r="G2606" s="60" t="n"/>
      <c r="H2606" s="71">
        <f>IF(OR($C2606="",$D2606=""),"",IF(ISNUMBER($E2606),$E2606,IF($O2606="","",IF(N(INDEX('Menu Pricing'!$O$7:$O$56,$O2606))&gt;0,INDEX('Menu Pricing'!$O$7:$O$56,$O2606),""))))</f>
        <v/>
      </c>
      <c r="I2606" s="71">
        <f>IF($N2606&lt;&gt;"OK","",$D2606*$H2606)</f>
        <v/>
      </c>
      <c r="J2606" s="71">
        <f>IF($N2606&lt;&gt;"OK","",N(INDEX('Menu Pricing'!$F$7:$F$56,$O2606))+N(INDEX('Menu Pricing'!$G$7:$G$56,$O2606))+N(INDEX('Menu Pricing'!$J$7:$J$56,$O2606)))</f>
        <v/>
      </c>
      <c r="K2606" s="71">
        <f>IF($N2606&lt;&gt;"OK","",$D2606*$J2606)</f>
        <v/>
      </c>
      <c r="L2606" s="71">
        <f>IF($N2606&lt;&gt;"OK","",$I2606-$K2606)</f>
        <v/>
      </c>
      <c r="M2606" s="71">
        <f>IF($N2606&lt;&gt;"OK","",$D2606*N(INDEX('Menu Pricing'!$F$7:$F$56,$O2606)))</f>
        <v/>
      </c>
      <c r="N2606" s="80">
        <f>IF(AND($B2606="",$C2606="",$D2606=""),"",IF(NOT(ISNUMBER($B2606)),"Enter a valid date",IF($C2606="","Pick a menu item",IF($O2606="","Item not on Menu Pricing",IF(N($D2606)&lt;=0,"Qty must be above 0",IF($H2606="","No price on menu","OK"))))))</f>
        <v/>
      </c>
      <c r="O2606" s="13">
        <f>IF($C2606="","",IFERROR(MATCH($C2606,'Menu Pricing'!$B$7:$B$56,0),""))</f>
        <v/>
      </c>
    </row>
    <row r="2607" ht="17" customHeight="1">
      <c r="B2607" s="66" t="n"/>
      <c r="C2607" s="60" t="n"/>
      <c r="D2607" s="86" t="n"/>
      <c r="E2607" s="63" t="n"/>
      <c r="F2607" s="60" t="n"/>
      <c r="G2607" s="60" t="n"/>
      <c r="H2607" s="71">
        <f>IF(OR($C2607="",$D2607=""),"",IF(ISNUMBER($E2607),$E2607,IF($O2607="","",IF(N(INDEX('Menu Pricing'!$O$7:$O$56,$O2607))&gt;0,INDEX('Menu Pricing'!$O$7:$O$56,$O2607),""))))</f>
        <v/>
      </c>
      <c r="I2607" s="71">
        <f>IF($N2607&lt;&gt;"OK","",$D2607*$H2607)</f>
        <v/>
      </c>
      <c r="J2607" s="71">
        <f>IF($N2607&lt;&gt;"OK","",N(INDEX('Menu Pricing'!$F$7:$F$56,$O2607))+N(INDEX('Menu Pricing'!$G$7:$G$56,$O2607))+N(INDEX('Menu Pricing'!$J$7:$J$56,$O2607)))</f>
        <v/>
      </c>
      <c r="K2607" s="71">
        <f>IF($N2607&lt;&gt;"OK","",$D2607*$J2607)</f>
        <v/>
      </c>
      <c r="L2607" s="71">
        <f>IF($N2607&lt;&gt;"OK","",$I2607-$K2607)</f>
        <v/>
      </c>
      <c r="M2607" s="71">
        <f>IF($N2607&lt;&gt;"OK","",$D2607*N(INDEX('Menu Pricing'!$F$7:$F$56,$O2607)))</f>
        <v/>
      </c>
      <c r="N2607" s="80">
        <f>IF(AND($B2607="",$C2607="",$D2607=""),"",IF(NOT(ISNUMBER($B2607)),"Enter a valid date",IF($C2607="","Pick a menu item",IF($O2607="","Item not on Menu Pricing",IF(N($D2607)&lt;=0,"Qty must be above 0",IF($H2607="","No price on menu","OK"))))))</f>
        <v/>
      </c>
      <c r="O2607" s="13">
        <f>IF($C2607="","",IFERROR(MATCH($C2607,'Menu Pricing'!$B$7:$B$56,0),""))</f>
        <v/>
      </c>
    </row>
    <row r="2608" ht="17" customHeight="1">
      <c r="B2608" s="66" t="n"/>
      <c r="C2608" s="60" t="n"/>
      <c r="D2608" s="86" t="n"/>
      <c r="E2608" s="63" t="n"/>
      <c r="F2608" s="60" t="n"/>
      <c r="G2608" s="60" t="n"/>
      <c r="H2608" s="71">
        <f>IF(OR($C2608="",$D2608=""),"",IF(ISNUMBER($E2608),$E2608,IF($O2608="","",IF(N(INDEX('Menu Pricing'!$O$7:$O$56,$O2608))&gt;0,INDEX('Menu Pricing'!$O$7:$O$56,$O2608),""))))</f>
        <v/>
      </c>
      <c r="I2608" s="71">
        <f>IF($N2608&lt;&gt;"OK","",$D2608*$H2608)</f>
        <v/>
      </c>
      <c r="J2608" s="71">
        <f>IF($N2608&lt;&gt;"OK","",N(INDEX('Menu Pricing'!$F$7:$F$56,$O2608))+N(INDEX('Menu Pricing'!$G$7:$G$56,$O2608))+N(INDEX('Menu Pricing'!$J$7:$J$56,$O2608)))</f>
        <v/>
      </c>
      <c r="K2608" s="71">
        <f>IF($N2608&lt;&gt;"OK","",$D2608*$J2608)</f>
        <v/>
      </c>
      <c r="L2608" s="71">
        <f>IF($N2608&lt;&gt;"OK","",$I2608-$K2608)</f>
        <v/>
      </c>
      <c r="M2608" s="71">
        <f>IF($N2608&lt;&gt;"OK","",$D2608*N(INDEX('Menu Pricing'!$F$7:$F$56,$O2608)))</f>
        <v/>
      </c>
      <c r="N2608" s="80">
        <f>IF(AND($B2608="",$C2608="",$D2608=""),"",IF(NOT(ISNUMBER($B2608)),"Enter a valid date",IF($C2608="","Pick a menu item",IF($O2608="","Item not on Menu Pricing",IF(N($D2608)&lt;=0,"Qty must be above 0",IF($H2608="","No price on menu","OK"))))))</f>
        <v/>
      </c>
      <c r="O2608" s="13">
        <f>IF($C2608="","",IFERROR(MATCH($C2608,'Menu Pricing'!$B$7:$B$56,0),""))</f>
        <v/>
      </c>
    </row>
    <row r="2609" ht="17" customHeight="1">
      <c r="B2609" s="66" t="n"/>
      <c r="C2609" s="60" t="n"/>
      <c r="D2609" s="86" t="n"/>
      <c r="E2609" s="63" t="n"/>
      <c r="F2609" s="60" t="n"/>
      <c r="G2609" s="60" t="n"/>
      <c r="H2609" s="71">
        <f>IF(OR($C2609="",$D2609=""),"",IF(ISNUMBER($E2609),$E2609,IF($O2609="","",IF(N(INDEX('Menu Pricing'!$O$7:$O$56,$O2609))&gt;0,INDEX('Menu Pricing'!$O$7:$O$56,$O2609),""))))</f>
        <v/>
      </c>
      <c r="I2609" s="71">
        <f>IF($N2609&lt;&gt;"OK","",$D2609*$H2609)</f>
        <v/>
      </c>
      <c r="J2609" s="71">
        <f>IF($N2609&lt;&gt;"OK","",N(INDEX('Menu Pricing'!$F$7:$F$56,$O2609))+N(INDEX('Menu Pricing'!$G$7:$G$56,$O2609))+N(INDEX('Menu Pricing'!$J$7:$J$56,$O2609)))</f>
        <v/>
      </c>
      <c r="K2609" s="71">
        <f>IF($N2609&lt;&gt;"OK","",$D2609*$J2609)</f>
        <v/>
      </c>
      <c r="L2609" s="71">
        <f>IF($N2609&lt;&gt;"OK","",$I2609-$K2609)</f>
        <v/>
      </c>
      <c r="M2609" s="71">
        <f>IF($N2609&lt;&gt;"OK","",$D2609*N(INDEX('Menu Pricing'!$F$7:$F$56,$O2609)))</f>
        <v/>
      </c>
      <c r="N2609" s="80">
        <f>IF(AND($B2609="",$C2609="",$D2609=""),"",IF(NOT(ISNUMBER($B2609)),"Enter a valid date",IF($C2609="","Pick a menu item",IF($O2609="","Item not on Menu Pricing",IF(N($D2609)&lt;=0,"Qty must be above 0",IF($H2609="","No price on menu","OK"))))))</f>
        <v/>
      </c>
      <c r="O2609" s="13">
        <f>IF($C2609="","",IFERROR(MATCH($C2609,'Menu Pricing'!$B$7:$B$56,0),""))</f>
        <v/>
      </c>
    </row>
    <row r="2610" ht="17" customHeight="1">
      <c r="B2610" s="66" t="n"/>
      <c r="C2610" s="60" t="n"/>
      <c r="D2610" s="86" t="n"/>
      <c r="E2610" s="63" t="n"/>
      <c r="F2610" s="60" t="n"/>
      <c r="G2610" s="60" t="n"/>
      <c r="H2610" s="71">
        <f>IF(OR($C2610="",$D2610=""),"",IF(ISNUMBER($E2610),$E2610,IF($O2610="","",IF(N(INDEX('Menu Pricing'!$O$7:$O$56,$O2610))&gt;0,INDEX('Menu Pricing'!$O$7:$O$56,$O2610),""))))</f>
        <v/>
      </c>
      <c r="I2610" s="71">
        <f>IF($N2610&lt;&gt;"OK","",$D2610*$H2610)</f>
        <v/>
      </c>
      <c r="J2610" s="71">
        <f>IF($N2610&lt;&gt;"OK","",N(INDEX('Menu Pricing'!$F$7:$F$56,$O2610))+N(INDEX('Menu Pricing'!$G$7:$G$56,$O2610))+N(INDEX('Menu Pricing'!$J$7:$J$56,$O2610)))</f>
        <v/>
      </c>
      <c r="K2610" s="71">
        <f>IF($N2610&lt;&gt;"OK","",$D2610*$J2610)</f>
        <v/>
      </c>
      <c r="L2610" s="71">
        <f>IF($N2610&lt;&gt;"OK","",$I2610-$K2610)</f>
        <v/>
      </c>
      <c r="M2610" s="71">
        <f>IF($N2610&lt;&gt;"OK","",$D2610*N(INDEX('Menu Pricing'!$F$7:$F$56,$O2610)))</f>
        <v/>
      </c>
      <c r="N2610" s="80">
        <f>IF(AND($B2610="",$C2610="",$D2610=""),"",IF(NOT(ISNUMBER($B2610)),"Enter a valid date",IF($C2610="","Pick a menu item",IF($O2610="","Item not on Menu Pricing",IF(N($D2610)&lt;=0,"Qty must be above 0",IF($H2610="","No price on menu","OK"))))))</f>
        <v/>
      </c>
      <c r="O2610" s="13">
        <f>IF($C2610="","",IFERROR(MATCH($C2610,'Menu Pricing'!$B$7:$B$56,0),""))</f>
        <v/>
      </c>
    </row>
    <row r="2611" ht="17" customHeight="1">
      <c r="B2611" s="66" t="n"/>
      <c r="C2611" s="60" t="n"/>
      <c r="D2611" s="86" t="n"/>
      <c r="E2611" s="63" t="n"/>
      <c r="F2611" s="60" t="n"/>
      <c r="G2611" s="60" t="n"/>
      <c r="H2611" s="71">
        <f>IF(OR($C2611="",$D2611=""),"",IF(ISNUMBER($E2611),$E2611,IF($O2611="","",IF(N(INDEX('Menu Pricing'!$O$7:$O$56,$O2611))&gt;0,INDEX('Menu Pricing'!$O$7:$O$56,$O2611),""))))</f>
        <v/>
      </c>
      <c r="I2611" s="71">
        <f>IF($N2611&lt;&gt;"OK","",$D2611*$H2611)</f>
        <v/>
      </c>
      <c r="J2611" s="71">
        <f>IF($N2611&lt;&gt;"OK","",N(INDEX('Menu Pricing'!$F$7:$F$56,$O2611))+N(INDEX('Menu Pricing'!$G$7:$G$56,$O2611))+N(INDEX('Menu Pricing'!$J$7:$J$56,$O2611)))</f>
        <v/>
      </c>
      <c r="K2611" s="71">
        <f>IF($N2611&lt;&gt;"OK","",$D2611*$J2611)</f>
        <v/>
      </c>
      <c r="L2611" s="71">
        <f>IF($N2611&lt;&gt;"OK","",$I2611-$K2611)</f>
        <v/>
      </c>
      <c r="M2611" s="71">
        <f>IF($N2611&lt;&gt;"OK","",$D2611*N(INDEX('Menu Pricing'!$F$7:$F$56,$O2611)))</f>
        <v/>
      </c>
      <c r="N2611" s="80">
        <f>IF(AND($B2611="",$C2611="",$D2611=""),"",IF(NOT(ISNUMBER($B2611)),"Enter a valid date",IF($C2611="","Pick a menu item",IF($O2611="","Item not on Menu Pricing",IF(N($D2611)&lt;=0,"Qty must be above 0",IF($H2611="","No price on menu","OK"))))))</f>
        <v/>
      </c>
      <c r="O2611" s="13">
        <f>IF($C2611="","",IFERROR(MATCH($C2611,'Menu Pricing'!$B$7:$B$56,0),""))</f>
        <v/>
      </c>
    </row>
    <row r="2612" ht="17" customHeight="1">
      <c r="B2612" s="66" t="n"/>
      <c r="C2612" s="60" t="n"/>
      <c r="D2612" s="86" t="n"/>
      <c r="E2612" s="63" t="n"/>
      <c r="F2612" s="60" t="n"/>
      <c r="G2612" s="60" t="n"/>
      <c r="H2612" s="71">
        <f>IF(OR($C2612="",$D2612=""),"",IF(ISNUMBER($E2612),$E2612,IF($O2612="","",IF(N(INDEX('Menu Pricing'!$O$7:$O$56,$O2612))&gt;0,INDEX('Menu Pricing'!$O$7:$O$56,$O2612),""))))</f>
        <v/>
      </c>
      <c r="I2612" s="71">
        <f>IF($N2612&lt;&gt;"OK","",$D2612*$H2612)</f>
        <v/>
      </c>
      <c r="J2612" s="71">
        <f>IF($N2612&lt;&gt;"OK","",N(INDEX('Menu Pricing'!$F$7:$F$56,$O2612))+N(INDEX('Menu Pricing'!$G$7:$G$56,$O2612))+N(INDEX('Menu Pricing'!$J$7:$J$56,$O2612)))</f>
        <v/>
      </c>
      <c r="K2612" s="71">
        <f>IF($N2612&lt;&gt;"OK","",$D2612*$J2612)</f>
        <v/>
      </c>
      <c r="L2612" s="71">
        <f>IF($N2612&lt;&gt;"OK","",$I2612-$K2612)</f>
        <v/>
      </c>
      <c r="M2612" s="71">
        <f>IF($N2612&lt;&gt;"OK","",$D2612*N(INDEX('Menu Pricing'!$F$7:$F$56,$O2612)))</f>
        <v/>
      </c>
      <c r="N2612" s="80">
        <f>IF(AND($B2612="",$C2612="",$D2612=""),"",IF(NOT(ISNUMBER($B2612)),"Enter a valid date",IF($C2612="","Pick a menu item",IF($O2612="","Item not on Menu Pricing",IF(N($D2612)&lt;=0,"Qty must be above 0",IF($H2612="","No price on menu","OK"))))))</f>
        <v/>
      </c>
      <c r="O2612" s="13">
        <f>IF($C2612="","",IFERROR(MATCH($C2612,'Menu Pricing'!$B$7:$B$56,0),""))</f>
        <v/>
      </c>
    </row>
    <row r="2613" ht="17" customHeight="1">
      <c r="B2613" s="66" t="n"/>
      <c r="C2613" s="60" t="n"/>
      <c r="D2613" s="86" t="n"/>
      <c r="E2613" s="63" t="n"/>
      <c r="F2613" s="60" t="n"/>
      <c r="G2613" s="60" t="n"/>
      <c r="H2613" s="71">
        <f>IF(OR($C2613="",$D2613=""),"",IF(ISNUMBER($E2613),$E2613,IF($O2613="","",IF(N(INDEX('Menu Pricing'!$O$7:$O$56,$O2613))&gt;0,INDEX('Menu Pricing'!$O$7:$O$56,$O2613),""))))</f>
        <v/>
      </c>
      <c r="I2613" s="71">
        <f>IF($N2613&lt;&gt;"OK","",$D2613*$H2613)</f>
        <v/>
      </c>
      <c r="J2613" s="71">
        <f>IF($N2613&lt;&gt;"OK","",N(INDEX('Menu Pricing'!$F$7:$F$56,$O2613))+N(INDEX('Menu Pricing'!$G$7:$G$56,$O2613))+N(INDEX('Menu Pricing'!$J$7:$J$56,$O2613)))</f>
        <v/>
      </c>
      <c r="K2613" s="71">
        <f>IF($N2613&lt;&gt;"OK","",$D2613*$J2613)</f>
        <v/>
      </c>
      <c r="L2613" s="71">
        <f>IF($N2613&lt;&gt;"OK","",$I2613-$K2613)</f>
        <v/>
      </c>
      <c r="M2613" s="71">
        <f>IF($N2613&lt;&gt;"OK","",$D2613*N(INDEX('Menu Pricing'!$F$7:$F$56,$O2613)))</f>
        <v/>
      </c>
      <c r="N2613" s="80">
        <f>IF(AND($B2613="",$C2613="",$D2613=""),"",IF(NOT(ISNUMBER($B2613)),"Enter a valid date",IF($C2613="","Pick a menu item",IF($O2613="","Item not on Menu Pricing",IF(N($D2613)&lt;=0,"Qty must be above 0",IF($H2613="","No price on menu","OK"))))))</f>
        <v/>
      </c>
      <c r="O2613" s="13">
        <f>IF($C2613="","",IFERROR(MATCH($C2613,'Menu Pricing'!$B$7:$B$56,0),""))</f>
        <v/>
      </c>
    </row>
    <row r="2614" ht="17" customHeight="1">
      <c r="B2614" s="66" t="n"/>
      <c r="C2614" s="60" t="n"/>
      <c r="D2614" s="86" t="n"/>
      <c r="E2614" s="63" t="n"/>
      <c r="F2614" s="60" t="n"/>
      <c r="G2614" s="60" t="n"/>
      <c r="H2614" s="71">
        <f>IF(OR($C2614="",$D2614=""),"",IF(ISNUMBER($E2614),$E2614,IF($O2614="","",IF(N(INDEX('Menu Pricing'!$O$7:$O$56,$O2614))&gt;0,INDEX('Menu Pricing'!$O$7:$O$56,$O2614),""))))</f>
        <v/>
      </c>
      <c r="I2614" s="71">
        <f>IF($N2614&lt;&gt;"OK","",$D2614*$H2614)</f>
        <v/>
      </c>
      <c r="J2614" s="71">
        <f>IF($N2614&lt;&gt;"OK","",N(INDEX('Menu Pricing'!$F$7:$F$56,$O2614))+N(INDEX('Menu Pricing'!$G$7:$G$56,$O2614))+N(INDEX('Menu Pricing'!$J$7:$J$56,$O2614)))</f>
        <v/>
      </c>
      <c r="K2614" s="71">
        <f>IF($N2614&lt;&gt;"OK","",$D2614*$J2614)</f>
        <v/>
      </c>
      <c r="L2614" s="71">
        <f>IF($N2614&lt;&gt;"OK","",$I2614-$K2614)</f>
        <v/>
      </c>
      <c r="M2614" s="71">
        <f>IF($N2614&lt;&gt;"OK","",$D2614*N(INDEX('Menu Pricing'!$F$7:$F$56,$O2614)))</f>
        <v/>
      </c>
      <c r="N2614" s="80">
        <f>IF(AND($B2614="",$C2614="",$D2614=""),"",IF(NOT(ISNUMBER($B2614)),"Enter a valid date",IF($C2614="","Pick a menu item",IF($O2614="","Item not on Menu Pricing",IF(N($D2614)&lt;=0,"Qty must be above 0",IF($H2614="","No price on menu","OK"))))))</f>
        <v/>
      </c>
      <c r="O2614" s="13">
        <f>IF($C2614="","",IFERROR(MATCH($C2614,'Menu Pricing'!$B$7:$B$56,0),""))</f>
        <v/>
      </c>
    </row>
    <row r="2615" ht="17" customHeight="1">
      <c r="B2615" s="66" t="n"/>
      <c r="C2615" s="60" t="n"/>
      <c r="D2615" s="86" t="n"/>
      <c r="E2615" s="63" t="n"/>
      <c r="F2615" s="60" t="n"/>
      <c r="G2615" s="60" t="n"/>
      <c r="H2615" s="71">
        <f>IF(OR($C2615="",$D2615=""),"",IF(ISNUMBER($E2615),$E2615,IF($O2615="","",IF(N(INDEX('Menu Pricing'!$O$7:$O$56,$O2615))&gt;0,INDEX('Menu Pricing'!$O$7:$O$56,$O2615),""))))</f>
        <v/>
      </c>
      <c r="I2615" s="71">
        <f>IF($N2615&lt;&gt;"OK","",$D2615*$H2615)</f>
        <v/>
      </c>
      <c r="J2615" s="71">
        <f>IF($N2615&lt;&gt;"OK","",N(INDEX('Menu Pricing'!$F$7:$F$56,$O2615))+N(INDEX('Menu Pricing'!$G$7:$G$56,$O2615))+N(INDEX('Menu Pricing'!$J$7:$J$56,$O2615)))</f>
        <v/>
      </c>
      <c r="K2615" s="71">
        <f>IF($N2615&lt;&gt;"OK","",$D2615*$J2615)</f>
        <v/>
      </c>
      <c r="L2615" s="71">
        <f>IF($N2615&lt;&gt;"OK","",$I2615-$K2615)</f>
        <v/>
      </c>
      <c r="M2615" s="71">
        <f>IF($N2615&lt;&gt;"OK","",$D2615*N(INDEX('Menu Pricing'!$F$7:$F$56,$O2615)))</f>
        <v/>
      </c>
      <c r="N2615" s="80">
        <f>IF(AND($B2615="",$C2615="",$D2615=""),"",IF(NOT(ISNUMBER($B2615)),"Enter a valid date",IF($C2615="","Pick a menu item",IF($O2615="","Item not on Menu Pricing",IF(N($D2615)&lt;=0,"Qty must be above 0",IF($H2615="","No price on menu","OK"))))))</f>
        <v/>
      </c>
      <c r="O2615" s="13">
        <f>IF($C2615="","",IFERROR(MATCH($C2615,'Menu Pricing'!$B$7:$B$56,0),""))</f>
        <v/>
      </c>
    </row>
    <row r="2616" ht="17" customHeight="1">
      <c r="B2616" s="66" t="n"/>
      <c r="C2616" s="60" t="n"/>
      <c r="D2616" s="86" t="n"/>
      <c r="E2616" s="63" t="n"/>
      <c r="F2616" s="60" t="n"/>
      <c r="G2616" s="60" t="n"/>
      <c r="H2616" s="71">
        <f>IF(OR($C2616="",$D2616=""),"",IF(ISNUMBER($E2616),$E2616,IF($O2616="","",IF(N(INDEX('Menu Pricing'!$O$7:$O$56,$O2616))&gt;0,INDEX('Menu Pricing'!$O$7:$O$56,$O2616),""))))</f>
        <v/>
      </c>
      <c r="I2616" s="71">
        <f>IF($N2616&lt;&gt;"OK","",$D2616*$H2616)</f>
        <v/>
      </c>
      <c r="J2616" s="71">
        <f>IF($N2616&lt;&gt;"OK","",N(INDEX('Menu Pricing'!$F$7:$F$56,$O2616))+N(INDEX('Menu Pricing'!$G$7:$G$56,$O2616))+N(INDEX('Menu Pricing'!$J$7:$J$56,$O2616)))</f>
        <v/>
      </c>
      <c r="K2616" s="71">
        <f>IF($N2616&lt;&gt;"OK","",$D2616*$J2616)</f>
        <v/>
      </c>
      <c r="L2616" s="71">
        <f>IF($N2616&lt;&gt;"OK","",$I2616-$K2616)</f>
        <v/>
      </c>
      <c r="M2616" s="71">
        <f>IF($N2616&lt;&gt;"OK","",$D2616*N(INDEX('Menu Pricing'!$F$7:$F$56,$O2616)))</f>
        <v/>
      </c>
      <c r="N2616" s="80">
        <f>IF(AND($B2616="",$C2616="",$D2616=""),"",IF(NOT(ISNUMBER($B2616)),"Enter a valid date",IF($C2616="","Pick a menu item",IF($O2616="","Item not on Menu Pricing",IF(N($D2616)&lt;=0,"Qty must be above 0",IF($H2616="","No price on menu","OK"))))))</f>
        <v/>
      </c>
      <c r="O2616" s="13">
        <f>IF($C2616="","",IFERROR(MATCH($C2616,'Menu Pricing'!$B$7:$B$56,0),""))</f>
        <v/>
      </c>
    </row>
    <row r="2617" ht="17" customHeight="1">
      <c r="B2617" s="66" t="n"/>
      <c r="C2617" s="60" t="n"/>
      <c r="D2617" s="86" t="n"/>
      <c r="E2617" s="63" t="n"/>
      <c r="F2617" s="60" t="n"/>
      <c r="G2617" s="60" t="n"/>
      <c r="H2617" s="71">
        <f>IF(OR($C2617="",$D2617=""),"",IF(ISNUMBER($E2617),$E2617,IF($O2617="","",IF(N(INDEX('Menu Pricing'!$O$7:$O$56,$O2617))&gt;0,INDEX('Menu Pricing'!$O$7:$O$56,$O2617),""))))</f>
        <v/>
      </c>
      <c r="I2617" s="71">
        <f>IF($N2617&lt;&gt;"OK","",$D2617*$H2617)</f>
        <v/>
      </c>
      <c r="J2617" s="71">
        <f>IF($N2617&lt;&gt;"OK","",N(INDEX('Menu Pricing'!$F$7:$F$56,$O2617))+N(INDEX('Menu Pricing'!$G$7:$G$56,$O2617))+N(INDEX('Menu Pricing'!$J$7:$J$56,$O2617)))</f>
        <v/>
      </c>
      <c r="K2617" s="71">
        <f>IF($N2617&lt;&gt;"OK","",$D2617*$J2617)</f>
        <v/>
      </c>
      <c r="L2617" s="71">
        <f>IF($N2617&lt;&gt;"OK","",$I2617-$K2617)</f>
        <v/>
      </c>
      <c r="M2617" s="71">
        <f>IF($N2617&lt;&gt;"OK","",$D2617*N(INDEX('Menu Pricing'!$F$7:$F$56,$O2617)))</f>
        <v/>
      </c>
      <c r="N2617" s="80">
        <f>IF(AND($B2617="",$C2617="",$D2617=""),"",IF(NOT(ISNUMBER($B2617)),"Enter a valid date",IF($C2617="","Pick a menu item",IF($O2617="","Item not on Menu Pricing",IF(N($D2617)&lt;=0,"Qty must be above 0",IF($H2617="","No price on menu","OK"))))))</f>
        <v/>
      </c>
      <c r="O2617" s="13">
        <f>IF($C2617="","",IFERROR(MATCH($C2617,'Menu Pricing'!$B$7:$B$56,0),""))</f>
        <v/>
      </c>
    </row>
    <row r="2618" ht="17" customHeight="1">
      <c r="B2618" s="66" t="n"/>
      <c r="C2618" s="60" t="n"/>
      <c r="D2618" s="86" t="n"/>
      <c r="E2618" s="63" t="n"/>
      <c r="F2618" s="60" t="n"/>
      <c r="G2618" s="60" t="n"/>
      <c r="H2618" s="71">
        <f>IF(OR($C2618="",$D2618=""),"",IF(ISNUMBER($E2618),$E2618,IF($O2618="","",IF(N(INDEX('Menu Pricing'!$O$7:$O$56,$O2618))&gt;0,INDEX('Menu Pricing'!$O$7:$O$56,$O2618),""))))</f>
        <v/>
      </c>
      <c r="I2618" s="71">
        <f>IF($N2618&lt;&gt;"OK","",$D2618*$H2618)</f>
        <v/>
      </c>
      <c r="J2618" s="71">
        <f>IF($N2618&lt;&gt;"OK","",N(INDEX('Menu Pricing'!$F$7:$F$56,$O2618))+N(INDEX('Menu Pricing'!$G$7:$G$56,$O2618))+N(INDEX('Menu Pricing'!$J$7:$J$56,$O2618)))</f>
        <v/>
      </c>
      <c r="K2618" s="71">
        <f>IF($N2618&lt;&gt;"OK","",$D2618*$J2618)</f>
        <v/>
      </c>
      <c r="L2618" s="71">
        <f>IF($N2618&lt;&gt;"OK","",$I2618-$K2618)</f>
        <v/>
      </c>
      <c r="M2618" s="71">
        <f>IF($N2618&lt;&gt;"OK","",$D2618*N(INDEX('Menu Pricing'!$F$7:$F$56,$O2618)))</f>
        <v/>
      </c>
      <c r="N2618" s="80">
        <f>IF(AND($B2618="",$C2618="",$D2618=""),"",IF(NOT(ISNUMBER($B2618)),"Enter a valid date",IF($C2618="","Pick a menu item",IF($O2618="","Item not on Menu Pricing",IF(N($D2618)&lt;=0,"Qty must be above 0",IF($H2618="","No price on menu","OK"))))))</f>
        <v/>
      </c>
      <c r="O2618" s="13">
        <f>IF($C2618="","",IFERROR(MATCH($C2618,'Menu Pricing'!$B$7:$B$56,0),""))</f>
        <v/>
      </c>
    </row>
    <row r="2619" ht="17" customHeight="1">
      <c r="B2619" s="66" t="n"/>
      <c r="C2619" s="60" t="n"/>
      <c r="D2619" s="86" t="n"/>
      <c r="E2619" s="63" t="n"/>
      <c r="F2619" s="60" t="n"/>
      <c r="G2619" s="60" t="n"/>
      <c r="H2619" s="71">
        <f>IF(OR($C2619="",$D2619=""),"",IF(ISNUMBER($E2619),$E2619,IF($O2619="","",IF(N(INDEX('Menu Pricing'!$O$7:$O$56,$O2619))&gt;0,INDEX('Menu Pricing'!$O$7:$O$56,$O2619),""))))</f>
        <v/>
      </c>
      <c r="I2619" s="71">
        <f>IF($N2619&lt;&gt;"OK","",$D2619*$H2619)</f>
        <v/>
      </c>
      <c r="J2619" s="71">
        <f>IF($N2619&lt;&gt;"OK","",N(INDEX('Menu Pricing'!$F$7:$F$56,$O2619))+N(INDEX('Menu Pricing'!$G$7:$G$56,$O2619))+N(INDEX('Menu Pricing'!$J$7:$J$56,$O2619)))</f>
        <v/>
      </c>
      <c r="K2619" s="71">
        <f>IF($N2619&lt;&gt;"OK","",$D2619*$J2619)</f>
        <v/>
      </c>
      <c r="L2619" s="71">
        <f>IF($N2619&lt;&gt;"OK","",$I2619-$K2619)</f>
        <v/>
      </c>
      <c r="M2619" s="71">
        <f>IF($N2619&lt;&gt;"OK","",$D2619*N(INDEX('Menu Pricing'!$F$7:$F$56,$O2619)))</f>
        <v/>
      </c>
      <c r="N2619" s="80">
        <f>IF(AND($B2619="",$C2619="",$D2619=""),"",IF(NOT(ISNUMBER($B2619)),"Enter a valid date",IF($C2619="","Pick a menu item",IF($O2619="","Item not on Menu Pricing",IF(N($D2619)&lt;=0,"Qty must be above 0",IF($H2619="","No price on menu","OK"))))))</f>
        <v/>
      </c>
      <c r="O2619" s="13">
        <f>IF($C2619="","",IFERROR(MATCH($C2619,'Menu Pricing'!$B$7:$B$56,0),""))</f>
        <v/>
      </c>
    </row>
    <row r="2620" ht="17" customHeight="1">
      <c r="B2620" s="66" t="n"/>
      <c r="C2620" s="60" t="n"/>
      <c r="D2620" s="86" t="n"/>
      <c r="E2620" s="63" t="n"/>
      <c r="F2620" s="60" t="n"/>
      <c r="G2620" s="60" t="n"/>
      <c r="H2620" s="71">
        <f>IF(OR($C2620="",$D2620=""),"",IF(ISNUMBER($E2620),$E2620,IF($O2620="","",IF(N(INDEX('Menu Pricing'!$O$7:$O$56,$O2620))&gt;0,INDEX('Menu Pricing'!$O$7:$O$56,$O2620),""))))</f>
        <v/>
      </c>
      <c r="I2620" s="71">
        <f>IF($N2620&lt;&gt;"OK","",$D2620*$H2620)</f>
        <v/>
      </c>
      <c r="J2620" s="71">
        <f>IF($N2620&lt;&gt;"OK","",N(INDEX('Menu Pricing'!$F$7:$F$56,$O2620))+N(INDEX('Menu Pricing'!$G$7:$G$56,$O2620))+N(INDEX('Menu Pricing'!$J$7:$J$56,$O2620)))</f>
        <v/>
      </c>
      <c r="K2620" s="71">
        <f>IF($N2620&lt;&gt;"OK","",$D2620*$J2620)</f>
        <v/>
      </c>
      <c r="L2620" s="71">
        <f>IF($N2620&lt;&gt;"OK","",$I2620-$K2620)</f>
        <v/>
      </c>
      <c r="M2620" s="71">
        <f>IF($N2620&lt;&gt;"OK","",$D2620*N(INDEX('Menu Pricing'!$F$7:$F$56,$O2620)))</f>
        <v/>
      </c>
      <c r="N2620" s="80">
        <f>IF(AND($B2620="",$C2620="",$D2620=""),"",IF(NOT(ISNUMBER($B2620)),"Enter a valid date",IF($C2620="","Pick a menu item",IF($O2620="","Item not on Menu Pricing",IF(N($D2620)&lt;=0,"Qty must be above 0",IF($H2620="","No price on menu","OK"))))))</f>
        <v/>
      </c>
      <c r="O2620" s="13">
        <f>IF($C2620="","",IFERROR(MATCH($C2620,'Menu Pricing'!$B$7:$B$56,0),""))</f>
        <v/>
      </c>
    </row>
    <row r="2621" ht="17" customHeight="1">
      <c r="B2621" s="66" t="n"/>
      <c r="C2621" s="60" t="n"/>
      <c r="D2621" s="86" t="n"/>
      <c r="E2621" s="63" t="n"/>
      <c r="F2621" s="60" t="n"/>
      <c r="G2621" s="60" t="n"/>
      <c r="H2621" s="71">
        <f>IF(OR($C2621="",$D2621=""),"",IF(ISNUMBER($E2621),$E2621,IF($O2621="","",IF(N(INDEX('Menu Pricing'!$O$7:$O$56,$O2621))&gt;0,INDEX('Menu Pricing'!$O$7:$O$56,$O2621),""))))</f>
        <v/>
      </c>
      <c r="I2621" s="71">
        <f>IF($N2621&lt;&gt;"OK","",$D2621*$H2621)</f>
        <v/>
      </c>
      <c r="J2621" s="71">
        <f>IF($N2621&lt;&gt;"OK","",N(INDEX('Menu Pricing'!$F$7:$F$56,$O2621))+N(INDEX('Menu Pricing'!$G$7:$G$56,$O2621))+N(INDEX('Menu Pricing'!$J$7:$J$56,$O2621)))</f>
        <v/>
      </c>
      <c r="K2621" s="71">
        <f>IF($N2621&lt;&gt;"OK","",$D2621*$J2621)</f>
        <v/>
      </c>
      <c r="L2621" s="71">
        <f>IF($N2621&lt;&gt;"OK","",$I2621-$K2621)</f>
        <v/>
      </c>
      <c r="M2621" s="71">
        <f>IF($N2621&lt;&gt;"OK","",$D2621*N(INDEX('Menu Pricing'!$F$7:$F$56,$O2621)))</f>
        <v/>
      </c>
      <c r="N2621" s="80">
        <f>IF(AND($B2621="",$C2621="",$D2621=""),"",IF(NOT(ISNUMBER($B2621)),"Enter a valid date",IF($C2621="","Pick a menu item",IF($O2621="","Item not on Menu Pricing",IF(N($D2621)&lt;=0,"Qty must be above 0",IF($H2621="","No price on menu","OK"))))))</f>
        <v/>
      </c>
      <c r="O2621" s="13">
        <f>IF($C2621="","",IFERROR(MATCH($C2621,'Menu Pricing'!$B$7:$B$56,0),""))</f>
        <v/>
      </c>
    </row>
    <row r="2622" ht="17" customHeight="1">
      <c r="B2622" s="66" t="n"/>
      <c r="C2622" s="60" t="n"/>
      <c r="D2622" s="86" t="n"/>
      <c r="E2622" s="63" t="n"/>
      <c r="F2622" s="60" t="n"/>
      <c r="G2622" s="60" t="n"/>
      <c r="H2622" s="71">
        <f>IF(OR($C2622="",$D2622=""),"",IF(ISNUMBER($E2622),$E2622,IF($O2622="","",IF(N(INDEX('Menu Pricing'!$O$7:$O$56,$O2622))&gt;0,INDEX('Menu Pricing'!$O$7:$O$56,$O2622),""))))</f>
        <v/>
      </c>
      <c r="I2622" s="71">
        <f>IF($N2622&lt;&gt;"OK","",$D2622*$H2622)</f>
        <v/>
      </c>
      <c r="J2622" s="71">
        <f>IF($N2622&lt;&gt;"OK","",N(INDEX('Menu Pricing'!$F$7:$F$56,$O2622))+N(INDEX('Menu Pricing'!$G$7:$G$56,$O2622))+N(INDEX('Menu Pricing'!$J$7:$J$56,$O2622)))</f>
        <v/>
      </c>
      <c r="K2622" s="71">
        <f>IF($N2622&lt;&gt;"OK","",$D2622*$J2622)</f>
        <v/>
      </c>
      <c r="L2622" s="71">
        <f>IF($N2622&lt;&gt;"OK","",$I2622-$K2622)</f>
        <v/>
      </c>
      <c r="M2622" s="71">
        <f>IF($N2622&lt;&gt;"OK","",$D2622*N(INDEX('Menu Pricing'!$F$7:$F$56,$O2622)))</f>
        <v/>
      </c>
      <c r="N2622" s="80">
        <f>IF(AND($B2622="",$C2622="",$D2622=""),"",IF(NOT(ISNUMBER($B2622)),"Enter a valid date",IF($C2622="","Pick a menu item",IF($O2622="","Item not on Menu Pricing",IF(N($D2622)&lt;=0,"Qty must be above 0",IF($H2622="","No price on menu","OK"))))))</f>
        <v/>
      </c>
      <c r="O2622" s="13">
        <f>IF($C2622="","",IFERROR(MATCH($C2622,'Menu Pricing'!$B$7:$B$56,0),""))</f>
        <v/>
      </c>
    </row>
    <row r="2623" ht="17" customHeight="1">
      <c r="B2623" s="66" t="n"/>
      <c r="C2623" s="60" t="n"/>
      <c r="D2623" s="86" t="n"/>
      <c r="E2623" s="63" t="n"/>
      <c r="F2623" s="60" t="n"/>
      <c r="G2623" s="60" t="n"/>
      <c r="H2623" s="71">
        <f>IF(OR($C2623="",$D2623=""),"",IF(ISNUMBER($E2623),$E2623,IF($O2623="","",IF(N(INDEX('Menu Pricing'!$O$7:$O$56,$O2623))&gt;0,INDEX('Menu Pricing'!$O$7:$O$56,$O2623),""))))</f>
        <v/>
      </c>
      <c r="I2623" s="71">
        <f>IF($N2623&lt;&gt;"OK","",$D2623*$H2623)</f>
        <v/>
      </c>
      <c r="J2623" s="71">
        <f>IF($N2623&lt;&gt;"OK","",N(INDEX('Menu Pricing'!$F$7:$F$56,$O2623))+N(INDEX('Menu Pricing'!$G$7:$G$56,$O2623))+N(INDEX('Menu Pricing'!$J$7:$J$56,$O2623)))</f>
        <v/>
      </c>
      <c r="K2623" s="71">
        <f>IF($N2623&lt;&gt;"OK","",$D2623*$J2623)</f>
        <v/>
      </c>
      <c r="L2623" s="71">
        <f>IF($N2623&lt;&gt;"OK","",$I2623-$K2623)</f>
        <v/>
      </c>
      <c r="M2623" s="71">
        <f>IF($N2623&lt;&gt;"OK","",$D2623*N(INDEX('Menu Pricing'!$F$7:$F$56,$O2623)))</f>
        <v/>
      </c>
      <c r="N2623" s="80">
        <f>IF(AND($B2623="",$C2623="",$D2623=""),"",IF(NOT(ISNUMBER($B2623)),"Enter a valid date",IF($C2623="","Pick a menu item",IF($O2623="","Item not on Menu Pricing",IF(N($D2623)&lt;=0,"Qty must be above 0",IF($H2623="","No price on menu","OK"))))))</f>
        <v/>
      </c>
      <c r="O2623" s="13">
        <f>IF($C2623="","",IFERROR(MATCH($C2623,'Menu Pricing'!$B$7:$B$56,0),""))</f>
        <v/>
      </c>
    </row>
    <row r="2624" ht="17" customHeight="1">
      <c r="B2624" s="66" t="n"/>
      <c r="C2624" s="60" t="n"/>
      <c r="D2624" s="86" t="n"/>
      <c r="E2624" s="63" t="n"/>
      <c r="F2624" s="60" t="n"/>
      <c r="G2624" s="60" t="n"/>
      <c r="H2624" s="71">
        <f>IF(OR($C2624="",$D2624=""),"",IF(ISNUMBER($E2624),$E2624,IF($O2624="","",IF(N(INDEX('Menu Pricing'!$O$7:$O$56,$O2624))&gt;0,INDEX('Menu Pricing'!$O$7:$O$56,$O2624),""))))</f>
        <v/>
      </c>
      <c r="I2624" s="71">
        <f>IF($N2624&lt;&gt;"OK","",$D2624*$H2624)</f>
        <v/>
      </c>
      <c r="J2624" s="71">
        <f>IF($N2624&lt;&gt;"OK","",N(INDEX('Menu Pricing'!$F$7:$F$56,$O2624))+N(INDEX('Menu Pricing'!$G$7:$G$56,$O2624))+N(INDEX('Menu Pricing'!$J$7:$J$56,$O2624)))</f>
        <v/>
      </c>
      <c r="K2624" s="71">
        <f>IF($N2624&lt;&gt;"OK","",$D2624*$J2624)</f>
        <v/>
      </c>
      <c r="L2624" s="71">
        <f>IF($N2624&lt;&gt;"OK","",$I2624-$K2624)</f>
        <v/>
      </c>
      <c r="M2624" s="71">
        <f>IF($N2624&lt;&gt;"OK","",$D2624*N(INDEX('Menu Pricing'!$F$7:$F$56,$O2624)))</f>
        <v/>
      </c>
      <c r="N2624" s="80">
        <f>IF(AND($B2624="",$C2624="",$D2624=""),"",IF(NOT(ISNUMBER($B2624)),"Enter a valid date",IF($C2624="","Pick a menu item",IF($O2624="","Item not on Menu Pricing",IF(N($D2624)&lt;=0,"Qty must be above 0",IF($H2624="","No price on menu","OK"))))))</f>
        <v/>
      </c>
      <c r="O2624" s="13">
        <f>IF($C2624="","",IFERROR(MATCH($C2624,'Menu Pricing'!$B$7:$B$56,0),""))</f>
        <v/>
      </c>
    </row>
    <row r="2625" ht="17" customHeight="1">
      <c r="B2625" s="66" t="n"/>
      <c r="C2625" s="60" t="n"/>
      <c r="D2625" s="86" t="n"/>
      <c r="E2625" s="63" t="n"/>
      <c r="F2625" s="60" t="n"/>
      <c r="G2625" s="60" t="n"/>
      <c r="H2625" s="71">
        <f>IF(OR($C2625="",$D2625=""),"",IF(ISNUMBER($E2625),$E2625,IF($O2625="","",IF(N(INDEX('Menu Pricing'!$O$7:$O$56,$O2625))&gt;0,INDEX('Menu Pricing'!$O$7:$O$56,$O2625),""))))</f>
        <v/>
      </c>
      <c r="I2625" s="71">
        <f>IF($N2625&lt;&gt;"OK","",$D2625*$H2625)</f>
        <v/>
      </c>
      <c r="J2625" s="71">
        <f>IF($N2625&lt;&gt;"OK","",N(INDEX('Menu Pricing'!$F$7:$F$56,$O2625))+N(INDEX('Menu Pricing'!$G$7:$G$56,$O2625))+N(INDEX('Menu Pricing'!$J$7:$J$56,$O2625)))</f>
        <v/>
      </c>
      <c r="K2625" s="71">
        <f>IF($N2625&lt;&gt;"OK","",$D2625*$J2625)</f>
        <v/>
      </c>
      <c r="L2625" s="71">
        <f>IF($N2625&lt;&gt;"OK","",$I2625-$K2625)</f>
        <v/>
      </c>
      <c r="M2625" s="71">
        <f>IF($N2625&lt;&gt;"OK","",$D2625*N(INDEX('Menu Pricing'!$F$7:$F$56,$O2625)))</f>
        <v/>
      </c>
      <c r="N2625" s="80">
        <f>IF(AND($B2625="",$C2625="",$D2625=""),"",IF(NOT(ISNUMBER($B2625)),"Enter a valid date",IF($C2625="","Pick a menu item",IF($O2625="","Item not on Menu Pricing",IF(N($D2625)&lt;=0,"Qty must be above 0",IF($H2625="","No price on menu","OK"))))))</f>
        <v/>
      </c>
      <c r="O2625" s="13">
        <f>IF($C2625="","",IFERROR(MATCH($C2625,'Menu Pricing'!$B$7:$B$56,0),""))</f>
        <v/>
      </c>
    </row>
    <row r="2626" ht="17" customHeight="1">
      <c r="B2626" s="66" t="n"/>
      <c r="C2626" s="60" t="n"/>
      <c r="D2626" s="86" t="n"/>
      <c r="E2626" s="63" t="n"/>
      <c r="F2626" s="60" t="n"/>
      <c r="G2626" s="60" t="n"/>
      <c r="H2626" s="71">
        <f>IF(OR($C2626="",$D2626=""),"",IF(ISNUMBER($E2626),$E2626,IF($O2626="","",IF(N(INDEX('Menu Pricing'!$O$7:$O$56,$O2626))&gt;0,INDEX('Menu Pricing'!$O$7:$O$56,$O2626),""))))</f>
        <v/>
      </c>
      <c r="I2626" s="71">
        <f>IF($N2626&lt;&gt;"OK","",$D2626*$H2626)</f>
        <v/>
      </c>
      <c r="J2626" s="71">
        <f>IF($N2626&lt;&gt;"OK","",N(INDEX('Menu Pricing'!$F$7:$F$56,$O2626))+N(INDEX('Menu Pricing'!$G$7:$G$56,$O2626))+N(INDEX('Menu Pricing'!$J$7:$J$56,$O2626)))</f>
        <v/>
      </c>
      <c r="K2626" s="71">
        <f>IF($N2626&lt;&gt;"OK","",$D2626*$J2626)</f>
        <v/>
      </c>
      <c r="L2626" s="71">
        <f>IF($N2626&lt;&gt;"OK","",$I2626-$K2626)</f>
        <v/>
      </c>
      <c r="M2626" s="71">
        <f>IF($N2626&lt;&gt;"OK","",$D2626*N(INDEX('Menu Pricing'!$F$7:$F$56,$O2626)))</f>
        <v/>
      </c>
      <c r="N2626" s="80">
        <f>IF(AND($B2626="",$C2626="",$D2626=""),"",IF(NOT(ISNUMBER($B2626)),"Enter a valid date",IF($C2626="","Pick a menu item",IF($O2626="","Item not on Menu Pricing",IF(N($D2626)&lt;=0,"Qty must be above 0",IF($H2626="","No price on menu","OK"))))))</f>
        <v/>
      </c>
      <c r="O2626" s="13">
        <f>IF($C2626="","",IFERROR(MATCH($C2626,'Menu Pricing'!$B$7:$B$56,0),""))</f>
        <v/>
      </c>
    </row>
    <row r="2627" ht="17" customHeight="1">
      <c r="B2627" s="66" t="n"/>
      <c r="C2627" s="60" t="n"/>
      <c r="D2627" s="86" t="n"/>
      <c r="E2627" s="63" t="n"/>
      <c r="F2627" s="60" t="n"/>
      <c r="G2627" s="60" t="n"/>
      <c r="H2627" s="71">
        <f>IF(OR($C2627="",$D2627=""),"",IF(ISNUMBER($E2627),$E2627,IF($O2627="","",IF(N(INDEX('Menu Pricing'!$O$7:$O$56,$O2627))&gt;0,INDEX('Menu Pricing'!$O$7:$O$56,$O2627),""))))</f>
        <v/>
      </c>
      <c r="I2627" s="71">
        <f>IF($N2627&lt;&gt;"OK","",$D2627*$H2627)</f>
        <v/>
      </c>
      <c r="J2627" s="71">
        <f>IF($N2627&lt;&gt;"OK","",N(INDEX('Menu Pricing'!$F$7:$F$56,$O2627))+N(INDEX('Menu Pricing'!$G$7:$G$56,$O2627))+N(INDEX('Menu Pricing'!$J$7:$J$56,$O2627)))</f>
        <v/>
      </c>
      <c r="K2627" s="71">
        <f>IF($N2627&lt;&gt;"OK","",$D2627*$J2627)</f>
        <v/>
      </c>
      <c r="L2627" s="71">
        <f>IF($N2627&lt;&gt;"OK","",$I2627-$K2627)</f>
        <v/>
      </c>
      <c r="M2627" s="71">
        <f>IF($N2627&lt;&gt;"OK","",$D2627*N(INDEX('Menu Pricing'!$F$7:$F$56,$O2627)))</f>
        <v/>
      </c>
      <c r="N2627" s="80">
        <f>IF(AND($B2627="",$C2627="",$D2627=""),"",IF(NOT(ISNUMBER($B2627)),"Enter a valid date",IF($C2627="","Pick a menu item",IF($O2627="","Item not on Menu Pricing",IF(N($D2627)&lt;=0,"Qty must be above 0",IF($H2627="","No price on menu","OK"))))))</f>
        <v/>
      </c>
      <c r="O2627" s="13">
        <f>IF($C2627="","",IFERROR(MATCH($C2627,'Menu Pricing'!$B$7:$B$56,0),""))</f>
        <v/>
      </c>
    </row>
    <row r="2628" ht="17" customHeight="1">
      <c r="B2628" s="66" t="n"/>
      <c r="C2628" s="60" t="n"/>
      <c r="D2628" s="86" t="n"/>
      <c r="E2628" s="63" t="n"/>
      <c r="F2628" s="60" t="n"/>
      <c r="G2628" s="60" t="n"/>
      <c r="H2628" s="71">
        <f>IF(OR($C2628="",$D2628=""),"",IF(ISNUMBER($E2628),$E2628,IF($O2628="","",IF(N(INDEX('Menu Pricing'!$O$7:$O$56,$O2628))&gt;0,INDEX('Menu Pricing'!$O$7:$O$56,$O2628),""))))</f>
        <v/>
      </c>
      <c r="I2628" s="71">
        <f>IF($N2628&lt;&gt;"OK","",$D2628*$H2628)</f>
        <v/>
      </c>
      <c r="J2628" s="71">
        <f>IF($N2628&lt;&gt;"OK","",N(INDEX('Menu Pricing'!$F$7:$F$56,$O2628))+N(INDEX('Menu Pricing'!$G$7:$G$56,$O2628))+N(INDEX('Menu Pricing'!$J$7:$J$56,$O2628)))</f>
        <v/>
      </c>
      <c r="K2628" s="71">
        <f>IF($N2628&lt;&gt;"OK","",$D2628*$J2628)</f>
        <v/>
      </c>
      <c r="L2628" s="71">
        <f>IF($N2628&lt;&gt;"OK","",$I2628-$K2628)</f>
        <v/>
      </c>
      <c r="M2628" s="71">
        <f>IF($N2628&lt;&gt;"OK","",$D2628*N(INDEX('Menu Pricing'!$F$7:$F$56,$O2628)))</f>
        <v/>
      </c>
      <c r="N2628" s="80">
        <f>IF(AND($B2628="",$C2628="",$D2628=""),"",IF(NOT(ISNUMBER($B2628)),"Enter a valid date",IF($C2628="","Pick a menu item",IF($O2628="","Item not on Menu Pricing",IF(N($D2628)&lt;=0,"Qty must be above 0",IF($H2628="","No price on menu","OK"))))))</f>
        <v/>
      </c>
      <c r="O2628" s="13">
        <f>IF($C2628="","",IFERROR(MATCH($C2628,'Menu Pricing'!$B$7:$B$56,0),""))</f>
        <v/>
      </c>
    </row>
    <row r="2629" ht="17" customHeight="1">
      <c r="B2629" s="66" t="n"/>
      <c r="C2629" s="60" t="n"/>
      <c r="D2629" s="86" t="n"/>
      <c r="E2629" s="63" t="n"/>
      <c r="F2629" s="60" t="n"/>
      <c r="G2629" s="60" t="n"/>
      <c r="H2629" s="71">
        <f>IF(OR($C2629="",$D2629=""),"",IF(ISNUMBER($E2629),$E2629,IF($O2629="","",IF(N(INDEX('Menu Pricing'!$O$7:$O$56,$O2629))&gt;0,INDEX('Menu Pricing'!$O$7:$O$56,$O2629),""))))</f>
        <v/>
      </c>
      <c r="I2629" s="71">
        <f>IF($N2629&lt;&gt;"OK","",$D2629*$H2629)</f>
        <v/>
      </c>
      <c r="J2629" s="71">
        <f>IF($N2629&lt;&gt;"OK","",N(INDEX('Menu Pricing'!$F$7:$F$56,$O2629))+N(INDEX('Menu Pricing'!$G$7:$G$56,$O2629))+N(INDEX('Menu Pricing'!$J$7:$J$56,$O2629)))</f>
        <v/>
      </c>
      <c r="K2629" s="71">
        <f>IF($N2629&lt;&gt;"OK","",$D2629*$J2629)</f>
        <v/>
      </c>
      <c r="L2629" s="71">
        <f>IF($N2629&lt;&gt;"OK","",$I2629-$K2629)</f>
        <v/>
      </c>
      <c r="M2629" s="71">
        <f>IF($N2629&lt;&gt;"OK","",$D2629*N(INDEX('Menu Pricing'!$F$7:$F$56,$O2629)))</f>
        <v/>
      </c>
      <c r="N2629" s="80">
        <f>IF(AND($B2629="",$C2629="",$D2629=""),"",IF(NOT(ISNUMBER($B2629)),"Enter a valid date",IF($C2629="","Pick a menu item",IF($O2629="","Item not on Menu Pricing",IF(N($D2629)&lt;=0,"Qty must be above 0",IF($H2629="","No price on menu","OK"))))))</f>
        <v/>
      </c>
      <c r="O2629" s="13">
        <f>IF($C2629="","",IFERROR(MATCH($C2629,'Menu Pricing'!$B$7:$B$56,0),""))</f>
        <v/>
      </c>
    </row>
    <row r="2630" ht="17" customHeight="1">
      <c r="B2630" s="66" t="n"/>
      <c r="C2630" s="60" t="n"/>
      <c r="D2630" s="86" t="n"/>
      <c r="E2630" s="63" t="n"/>
      <c r="F2630" s="60" t="n"/>
      <c r="G2630" s="60" t="n"/>
      <c r="H2630" s="71">
        <f>IF(OR($C2630="",$D2630=""),"",IF(ISNUMBER($E2630),$E2630,IF($O2630="","",IF(N(INDEX('Menu Pricing'!$O$7:$O$56,$O2630))&gt;0,INDEX('Menu Pricing'!$O$7:$O$56,$O2630),""))))</f>
        <v/>
      </c>
      <c r="I2630" s="71">
        <f>IF($N2630&lt;&gt;"OK","",$D2630*$H2630)</f>
        <v/>
      </c>
      <c r="J2630" s="71">
        <f>IF($N2630&lt;&gt;"OK","",N(INDEX('Menu Pricing'!$F$7:$F$56,$O2630))+N(INDEX('Menu Pricing'!$G$7:$G$56,$O2630))+N(INDEX('Menu Pricing'!$J$7:$J$56,$O2630)))</f>
        <v/>
      </c>
      <c r="K2630" s="71">
        <f>IF($N2630&lt;&gt;"OK","",$D2630*$J2630)</f>
        <v/>
      </c>
      <c r="L2630" s="71">
        <f>IF($N2630&lt;&gt;"OK","",$I2630-$K2630)</f>
        <v/>
      </c>
      <c r="M2630" s="71">
        <f>IF($N2630&lt;&gt;"OK","",$D2630*N(INDEX('Menu Pricing'!$F$7:$F$56,$O2630)))</f>
        <v/>
      </c>
      <c r="N2630" s="80">
        <f>IF(AND($B2630="",$C2630="",$D2630=""),"",IF(NOT(ISNUMBER($B2630)),"Enter a valid date",IF($C2630="","Pick a menu item",IF($O2630="","Item not on Menu Pricing",IF(N($D2630)&lt;=0,"Qty must be above 0",IF($H2630="","No price on menu","OK"))))))</f>
        <v/>
      </c>
      <c r="O2630" s="13">
        <f>IF($C2630="","",IFERROR(MATCH($C2630,'Menu Pricing'!$B$7:$B$56,0),""))</f>
        <v/>
      </c>
    </row>
    <row r="2631" ht="17" customHeight="1">
      <c r="B2631" s="66" t="n"/>
      <c r="C2631" s="60" t="n"/>
      <c r="D2631" s="86" t="n"/>
      <c r="E2631" s="63" t="n"/>
      <c r="F2631" s="60" t="n"/>
      <c r="G2631" s="60" t="n"/>
      <c r="H2631" s="71">
        <f>IF(OR($C2631="",$D2631=""),"",IF(ISNUMBER($E2631),$E2631,IF($O2631="","",IF(N(INDEX('Menu Pricing'!$O$7:$O$56,$O2631))&gt;0,INDEX('Menu Pricing'!$O$7:$O$56,$O2631),""))))</f>
        <v/>
      </c>
      <c r="I2631" s="71">
        <f>IF($N2631&lt;&gt;"OK","",$D2631*$H2631)</f>
        <v/>
      </c>
      <c r="J2631" s="71">
        <f>IF($N2631&lt;&gt;"OK","",N(INDEX('Menu Pricing'!$F$7:$F$56,$O2631))+N(INDEX('Menu Pricing'!$G$7:$G$56,$O2631))+N(INDEX('Menu Pricing'!$J$7:$J$56,$O2631)))</f>
        <v/>
      </c>
      <c r="K2631" s="71">
        <f>IF($N2631&lt;&gt;"OK","",$D2631*$J2631)</f>
        <v/>
      </c>
      <c r="L2631" s="71">
        <f>IF($N2631&lt;&gt;"OK","",$I2631-$K2631)</f>
        <v/>
      </c>
      <c r="M2631" s="71">
        <f>IF($N2631&lt;&gt;"OK","",$D2631*N(INDEX('Menu Pricing'!$F$7:$F$56,$O2631)))</f>
        <v/>
      </c>
      <c r="N2631" s="80">
        <f>IF(AND($B2631="",$C2631="",$D2631=""),"",IF(NOT(ISNUMBER($B2631)),"Enter a valid date",IF($C2631="","Pick a menu item",IF($O2631="","Item not on Menu Pricing",IF(N($D2631)&lt;=0,"Qty must be above 0",IF($H2631="","No price on menu","OK"))))))</f>
        <v/>
      </c>
      <c r="O2631" s="13">
        <f>IF($C2631="","",IFERROR(MATCH($C2631,'Menu Pricing'!$B$7:$B$56,0),""))</f>
        <v/>
      </c>
    </row>
    <row r="2632" ht="17" customHeight="1">
      <c r="B2632" s="66" t="n"/>
      <c r="C2632" s="60" t="n"/>
      <c r="D2632" s="86" t="n"/>
      <c r="E2632" s="63" t="n"/>
      <c r="F2632" s="60" t="n"/>
      <c r="G2632" s="60" t="n"/>
      <c r="H2632" s="71">
        <f>IF(OR($C2632="",$D2632=""),"",IF(ISNUMBER($E2632),$E2632,IF($O2632="","",IF(N(INDEX('Menu Pricing'!$O$7:$O$56,$O2632))&gt;0,INDEX('Menu Pricing'!$O$7:$O$56,$O2632),""))))</f>
        <v/>
      </c>
      <c r="I2632" s="71">
        <f>IF($N2632&lt;&gt;"OK","",$D2632*$H2632)</f>
        <v/>
      </c>
      <c r="J2632" s="71">
        <f>IF($N2632&lt;&gt;"OK","",N(INDEX('Menu Pricing'!$F$7:$F$56,$O2632))+N(INDEX('Menu Pricing'!$G$7:$G$56,$O2632))+N(INDEX('Menu Pricing'!$J$7:$J$56,$O2632)))</f>
        <v/>
      </c>
      <c r="K2632" s="71">
        <f>IF($N2632&lt;&gt;"OK","",$D2632*$J2632)</f>
        <v/>
      </c>
      <c r="L2632" s="71">
        <f>IF($N2632&lt;&gt;"OK","",$I2632-$K2632)</f>
        <v/>
      </c>
      <c r="M2632" s="71">
        <f>IF($N2632&lt;&gt;"OK","",$D2632*N(INDEX('Menu Pricing'!$F$7:$F$56,$O2632)))</f>
        <v/>
      </c>
      <c r="N2632" s="80">
        <f>IF(AND($B2632="",$C2632="",$D2632=""),"",IF(NOT(ISNUMBER($B2632)),"Enter a valid date",IF($C2632="","Pick a menu item",IF($O2632="","Item not on Menu Pricing",IF(N($D2632)&lt;=0,"Qty must be above 0",IF($H2632="","No price on menu","OK"))))))</f>
        <v/>
      </c>
      <c r="O2632" s="13">
        <f>IF($C2632="","",IFERROR(MATCH($C2632,'Menu Pricing'!$B$7:$B$56,0),""))</f>
        <v/>
      </c>
    </row>
    <row r="2633" ht="17" customHeight="1">
      <c r="B2633" s="66" t="n"/>
      <c r="C2633" s="60" t="n"/>
      <c r="D2633" s="86" t="n"/>
      <c r="E2633" s="63" t="n"/>
      <c r="F2633" s="60" t="n"/>
      <c r="G2633" s="60" t="n"/>
      <c r="H2633" s="71">
        <f>IF(OR($C2633="",$D2633=""),"",IF(ISNUMBER($E2633),$E2633,IF($O2633="","",IF(N(INDEX('Menu Pricing'!$O$7:$O$56,$O2633))&gt;0,INDEX('Menu Pricing'!$O$7:$O$56,$O2633),""))))</f>
        <v/>
      </c>
      <c r="I2633" s="71">
        <f>IF($N2633&lt;&gt;"OK","",$D2633*$H2633)</f>
        <v/>
      </c>
      <c r="J2633" s="71">
        <f>IF($N2633&lt;&gt;"OK","",N(INDEX('Menu Pricing'!$F$7:$F$56,$O2633))+N(INDEX('Menu Pricing'!$G$7:$G$56,$O2633))+N(INDEX('Menu Pricing'!$J$7:$J$56,$O2633)))</f>
        <v/>
      </c>
      <c r="K2633" s="71">
        <f>IF($N2633&lt;&gt;"OK","",$D2633*$J2633)</f>
        <v/>
      </c>
      <c r="L2633" s="71">
        <f>IF($N2633&lt;&gt;"OK","",$I2633-$K2633)</f>
        <v/>
      </c>
      <c r="M2633" s="71">
        <f>IF($N2633&lt;&gt;"OK","",$D2633*N(INDEX('Menu Pricing'!$F$7:$F$56,$O2633)))</f>
        <v/>
      </c>
      <c r="N2633" s="80">
        <f>IF(AND($B2633="",$C2633="",$D2633=""),"",IF(NOT(ISNUMBER($B2633)),"Enter a valid date",IF($C2633="","Pick a menu item",IF($O2633="","Item not on Menu Pricing",IF(N($D2633)&lt;=0,"Qty must be above 0",IF($H2633="","No price on menu","OK"))))))</f>
        <v/>
      </c>
      <c r="O2633" s="13">
        <f>IF($C2633="","",IFERROR(MATCH($C2633,'Menu Pricing'!$B$7:$B$56,0),""))</f>
        <v/>
      </c>
    </row>
    <row r="2634" ht="17" customHeight="1">
      <c r="B2634" s="66" t="n"/>
      <c r="C2634" s="60" t="n"/>
      <c r="D2634" s="86" t="n"/>
      <c r="E2634" s="63" t="n"/>
      <c r="F2634" s="60" t="n"/>
      <c r="G2634" s="60" t="n"/>
      <c r="H2634" s="71">
        <f>IF(OR($C2634="",$D2634=""),"",IF(ISNUMBER($E2634),$E2634,IF($O2634="","",IF(N(INDEX('Menu Pricing'!$O$7:$O$56,$O2634))&gt;0,INDEX('Menu Pricing'!$O$7:$O$56,$O2634),""))))</f>
        <v/>
      </c>
      <c r="I2634" s="71">
        <f>IF($N2634&lt;&gt;"OK","",$D2634*$H2634)</f>
        <v/>
      </c>
      <c r="J2634" s="71">
        <f>IF($N2634&lt;&gt;"OK","",N(INDEX('Menu Pricing'!$F$7:$F$56,$O2634))+N(INDEX('Menu Pricing'!$G$7:$G$56,$O2634))+N(INDEX('Menu Pricing'!$J$7:$J$56,$O2634)))</f>
        <v/>
      </c>
      <c r="K2634" s="71">
        <f>IF($N2634&lt;&gt;"OK","",$D2634*$J2634)</f>
        <v/>
      </c>
      <c r="L2634" s="71">
        <f>IF($N2634&lt;&gt;"OK","",$I2634-$K2634)</f>
        <v/>
      </c>
      <c r="M2634" s="71">
        <f>IF($N2634&lt;&gt;"OK","",$D2634*N(INDEX('Menu Pricing'!$F$7:$F$56,$O2634)))</f>
        <v/>
      </c>
      <c r="N2634" s="80">
        <f>IF(AND($B2634="",$C2634="",$D2634=""),"",IF(NOT(ISNUMBER($B2634)),"Enter a valid date",IF($C2634="","Pick a menu item",IF($O2634="","Item not on Menu Pricing",IF(N($D2634)&lt;=0,"Qty must be above 0",IF($H2634="","No price on menu","OK"))))))</f>
        <v/>
      </c>
      <c r="O2634" s="13">
        <f>IF($C2634="","",IFERROR(MATCH($C2634,'Menu Pricing'!$B$7:$B$56,0),""))</f>
        <v/>
      </c>
    </row>
    <row r="2635" ht="17" customHeight="1">
      <c r="B2635" s="66" t="n"/>
      <c r="C2635" s="60" t="n"/>
      <c r="D2635" s="86" t="n"/>
      <c r="E2635" s="63" t="n"/>
      <c r="F2635" s="60" t="n"/>
      <c r="G2635" s="60" t="n"/>
      <c r="H2635" s="71">
        <f>IF(OR($C2635="",$D2635=""),"",IF(ISNUMBER($E2635),$E2635,IF($O2635="","",IF(N(INDEX('Menu Pricing'!$O$7:$O$56,$O2635))&gt;0,INDEX('Menu Pricing'!$O$7:$O$56,$O2635),""))))</f>
        <v/>
      </c>
      <c r="I2635" s="71">
        <f>IF($N2635&lt;&gt;"OK","",$D2635*$H2635)</f>
        <v/>
      </c>
      <c r="J2635" s="71">
        <f>IF($N2635&lt;&gt;"OK","",N(INDEX('Menu Pricing'!$F$7:$F$56,$O2635))+N(INDEX('Menu Pricing'!$G$7:$G$56,$O2635))+N(INDEX('Menu Pricing'!$J$7:$J$56,$O2635)))</f>
        <v/>
      </c>
      <c r="K2635" s="71">
        <f>IF($N2635&lt;&gt;"OK","",$D2635*$J2635)</f>
        <v/>
      </c>
      <c r="L2635" s="71">
        <f>IF($N2635&lt;&gt;"OK","",$I2635-$K2635)</f>
        <v/>
      </c>
      <c r="M2635" s="71">
        <f>IF($N2635&lt;&gt;"OK","",$D2635*N(INDEX('Menu Pricing'!$F$7:$F$56,$O2635)))</f>
        <v/>
      </c>
      <c r="N2635" s="80">
        <f>IF(AND($B2635="",$C2635="",$D2635=""),"",IF(NOT(ISNUMBER($B2635)),"Enter a valid date",IF($C2635="","Pick a menu item",IF($O2635="","Item not on Menu Pricing",IF(N($D2635)&lt;=0,"Qty must be above 0",IF($H2635="","No price on menu","OK"))))))</f>
        <v/>
      </c>
      <c r="O2635" s="13">
        <f>IF($C2635="","",IFERROR(MATCH($C2635,'Menu Pricing'!$B$7:$B$56,0),""))</f>
        <v/>
      </c>
    </row>
    <row r="2636" ht="17" customHeight="1">
      <c r="B2636" s="66" t="n"/>
      <c r="C2636" s="60" t="n"/>
      <c r="D2636" s="86" t="n"/>
      <c r="E2636" s="63" t="n"/>
      <c r="F2636" s="60" t="n"/>
      <c r="G2636" s="60" t="n"/>
      <c r="H2636" s="71">
        <f>IF(OR($C2636="",$D2636=""),"",IF(ISNUMBER($E2636),$E2636,IF($O2636="","",IF(N(INDEX('Menu Pricing'!$O$7:$O$56,$O2636))&gt;0,INDEX('Menu Pricing'!$O$7:$O$56,$O2636),""))))</f>
        <v/>
      </c>
      <c r="I2636" s="71">
        <f>IF($N2636&lt;&gt;"OK","",$D2636*$H2636)</f>
        <v/>
      </c>
      <c r="J2636" s="71">
        <f>IF($N2636&lt;&gt;"OK","",N(INDEX('Menu Pricing'!$F$7:$F$56,$O2636))+N(INDEX('Menu Pricing'!$G$7:$G$56,$O2636))+N(INDEX('Menu Pricing'!$J$7:$J$56,$O2636)))</f>
        <v/>
      </c>
      <c r="K2636" s="71">
        <f>IF($N2636&lt;&gt;"OK","",$D2636*$J2636)</f>
        <v/>
      </c>
      <c r="L2636" s="71">
        <f>IF($N2636&lt;&gt;"OK","",$I2636-$K2636)</f>
        <v/>
      </c>
      <c r="M2636" s="71">
        <f>IF($N2636&lt;&gt;"OK","",$D2636*N(INDEX('Menu Pricing'!$F$7:$F$56,$O2636)))</f>
        <v/>
      </c>
      <c r="N2636" s="80">
        <f>IF(AND($B2636="",$C2636="",$D2636=""),"",IF(NOT(ISNUMBER($B2636)),"Enter a valid date",IF($C2636="","Pick a menu item",IF($O2636="","Item not on Menu Pricing",IF(N($D2636)&lt;=0,"Qty must be above 0",IF($H2636="","No price on menu","OK"))))))</f>
        <v/>
      </c>
      <c r="O2636" s="13">
        <f>IF($C2636="","",IFERROR(MATCH($C2636,'Menu Pricing'!$B$7:$B$56,0),""))</f>
        <v/>
      </c>
    </row>
    <row r="2637" ht="17" customHeight="1">
      <c r="B2637" s="66" t="n"/>
      <c r="C2637" s="60" t="n"/>
      <c r="D2637" s="86" t="n"/>
      <c r="E2637" s="63" t="n"/>
      <c r="F2637" s="60" t="n"/>
      <c r="G2637" s="60" t="n"/>
      <c r="H2637" s="71">
        <f>IF(OR($C2637="",$D2637=""),"",IF(ISNUMBER($E2637),$E2637,IF($O2637="","",IF(N(INDEX('Menu Pricing'!$O$7:$O$56,$O2637))&gt;0,INDEX('Menu Pricing'!$O$7:$O$56,$O2637),""))))</f>
        <v/>
      </c>
      <c r="I2637" s="71">
        <f>IF($N2637&lt;&gt;"OK","",$D2637*$H2637)</f>
        <v/>
      </c>
      <c r="J2637" s="71">
        <f>IF($N2637&lt;&gt;"OK","",N(INDEX('Menu Pricing'!$F$7:$F$56,$O2637))+N(INDEX('Menu Pricing'!$G$7:$G$56,$O2637))+N(INDEX('Menu Pricing'!$J$7:$J$56,$O2637)))</f>
        <v/>
      </c>
      <c r="K2637" s="71">
        <f>IF($N2637&lt;&gt;"OK","",$D2637*$J2637)</f>
        <v/>
      </c>
      <c r="L2637" s="71">
        <f>IF($N2637&lt;&gt;"OK","",$I2637-$K2637)</f>
        <v/>
      </c>
      <c r="M2637" s="71">
        <f>IF($N2637&lt;&gt;"OK","",$D2637*N(INDEX('Menu Pricing'!$F$7:$F$56,$O2637)))</f>
        <v/>
      </c>
      <c r="N2637" s="80">
        <f>IF(AND($B2637="",$C2637="",$D2637=""),"",IF(NOT(ISNUMBER($B2637)),"Enter a valid date",IF($C2637="","Pick a menu item",IF($O2637="","Item not on Menu Pricing",IF(N($D2637)&lt;=0,"Qty must be above 0",IF($H2637="","No price on menu","OK"))))))</f>
        <v/>
      </c>
      <c r="O2637" s="13">
        <f>IF($C2637="","",IFERROR(MATCH($C2637,'Menu Pricing'!$B$7:$B$56,0),""))</f>
        <v/>
      </c>
    </row>
    <row r="2638" ht="17" customHeight="1">
      <c r="B2638" s="66" t="n"/>
      <c r="C2638" s="60" t="n"/>
      <c r="D2638" s="86" t="n"/>
      <c r="E2638" s="63" t="n"/>
      <c r="F2638" s="60" t="n"/>
      <c r="G2638" s="60" t="n"/>
      <c r="H2638" s="71">
        <f>IF(OR($C2638="",$D2638=""),"",IF(ISNUMBER($E2638),$E2638,IF($O2638="","",IF(N(INDEX('Menu Pricing'!$O$7:$O$56,$O2638))&gt;0,INDEX('Menu Pricing'!$O$7:$O$56,$O2638),""))))</f>
        <v/>
      </c>
      <c r="I2638" s="71">
        <f>IF($N2638&lt;&gt;"OK","",$D2638*$H2638)</f>
        <v/>
      </c>
      <c r="J2638" s="71">
        <f>IF($N2638&lt;&gt;"OK","",N(INDEX('Menu Pricing'!$F$7:$F$56,$O2638))+N(INDEX('Menu Pricing'!$G$7:$G$56,$O2638))+N(INDEX('Menu Pricing'!$J$7:$J$56,$O2638)))</f>
        <v/>
      </c>
      <c r="K2638" s="71">
        <f>IF($N2638&lt;&gt;"OK","",$D2638*$J2638)</f>
        <v/>
      </c>
      <c r="L2638" s="71">
        <f>IF($N2638&lt;&gt;"OK","",$I2638-$K2638)</f>
        <v/>
      </c>
      <c r="M2638" s="71">
        <f>IF($N2638&lt;&gt;"OK","",$D2638*N(INDEX('Menu Pricing'!$F$7:$F$56,$O2638)))</f>
        <v/>
      </c>
      <c r="N2638" s="80">
        <f>IF(AND($B2638="",$C2638="",$D2638=""),"",IF(NOT(ISNUMBER($B2638)),"Enter a valid date",IF($C2638="","Pick a menu item",IF($O2638="","Item not on Menu Pricing",IF(N($D2638)&lt;=0,"Qty must be above 0",IF($H2638="","No price on menu","OK"))))))</f>
        <v/>
      </c>
      <c r="O2638" s="13">
        <f>IF($C2638="","",IFERROR(MATCH($C2638,'Menu Pricing'!$B$7:$B$56,0),""))</f>
        <v/>
      </c>
    </row>
    <row r="2639" ht="17" customHeight="1">
      <c r="B2639" s="66" t="n"/>
      <c r="C2639" s="60" t="n"/>
      <c r="D2639" s="86" t="n"/>
      <c r="E2639" s="63" t="n"/>
      <c r="F2639" s="60" t="n"/>
      <c r="G2639" s="60" t="n"/>
      <c r="H2639" s="71">
        <f>IF(OR($C2639="",$D2639=""),"",IF(ISNUMBER($E2639),$E2639,IF($O2639="","",IF(N(INDEX('Menu Pricing'!$O$7:$O$56,$O2639))&gt;0,INDEX('Menu Pricing'!$O$7:$O$56,$O2639),""))))</f>
        <v/>
      </c>
      <c r="I2639" s="71">
        <f>IF($N2639&lt;&gt;"OK","",$D2639*$H2639)</f>
        <v/>
      </c>
      <c r="J2639" s="71">
        <f>IF($N2639&lt;&gt;"OK","",N(INDEX('Menu Pricing'!$F$7:$F$56,$O2639))+N(INDEX('Menu Pricing'!$G$7:$G$56,$O2639))+N(INDEX('Menu Pricing'!$J$7:$J$56,$O2639)))</f>
        <v/>
      </c>
      <c r="K2639" s="71">
        <f>IF($N2639&lt;&gt;"OK","",$D2639*$J2639)</f>
        <v/>
      </c>
      <c r="L2639" s="71">
        <f>IF($N2639&lt;&gt;"OK","",$I2639-$K2639)</f>
        <v/>
      </c>
      <c r="M2639" s="71">
        <f>IF($N2639&lt;&gt;"OK","",$D2639*N(INDEX('Menu Pricing'!$F$7:$F$56,$O2639)))</f>
        <v/>
      </c>
      <c r="N2639" s="80">
        <f>IF(AND($B2639="",$C2639="",$D2639=""),"",IF(NOT(ISNUMBER($B2639)),"Enter a valid date",IF($C2639="","Pick a menu item",IF($O2639="","Item not on Menu Pricing",IF(N($D2639)&lt;=0,"Qty must be above 0",IF($H2639="","No price on menu","OK"))))))</f>
        <v/>
      </c>
      <c r="O2639" s="13">
        <f>IF($C2639="","",IFERROR(MATCH($C2639,'Menu Pricing'!$B$7:$B$56,0),""))</f>
        <v/>
      </c>
    </row>
    <row r="2640" ht="17" customHeight="1">
      <c r="B2640" s="66" t="n"/>
      <c r="C2640" s="60" t="n"/>
      <c r="D2640" s="86" t="n"/>
      <c r="E2640" s="63" t="n"/>
      <c r="F2640" s="60" t="n"/>
      <c r="G2640" s="60" t="n"/>
      <c r="H2640" s="71">
        <f>IF(OR($C2640="",$D2640=""),"",IF(ISNUMBER($E2640),$E2640,IF($O2640="","",IF(N(INDEX('Menu Pricing'!$O$7:$O$56,$O2640))&gt;0,INDEX('Menu Pricing'!$O$7:$O$56,$O2640),""))))</f>
        <v/>
      </c>
      <c r="I2640" s="71">
        <f>IF($N2640&lt;&gt;"OK","",$D2640*$H2640)</f>
        <v/>
      </c>
      <c r="J2640" s="71">
        <f>IF($N2640&lt;&gt;"OK","",N(INDEX('Menu Pricing'!$F$7:$F$56,$O2640))+N(INDEX('Menu Pricing'!$G$7:$G$56,$O2640))+N(INDEX('Menu Pricing'!$J$7:$J$56,$O2640)))</f>
        <v/>
      </c>
      <c r="K2640" s="71">
        <f>IF($N2640&lt;&gt;"OK","",$D2640*$J2640)</f>
        <v/>
      </c>
      <c r="L2640" s="71">
        <f>IF($N2640&lt;&gt;"OK","",$I2640-$K2640)</f>
        <v/>
      </c>
      <c r="M2640" s="71">
        <f>IF($N2640&lt;&gt;"OK","",$D2640*N(INDEX('Menu Pricing'!$F$7:$F$56,$O2640)))</f>
        <v/>
      </c>
      <c r="N2640" s="80">
        <f>IF(AND($B2640="",$C2640="",$D2640=""),"",IF(NOT(ISNUMBER($B2640)),"Enter a valid date",IF($C2640="","Pick a menu item",IF($O2640="","Item not on Menu Pricing",IF(N($D2640)&lt;=0,"Qty must be above 0",IF($H2640="","No price on menu","OK"))))))</f>
        <v/>
      </c>
      <c r="O2640" s="13">
        <f>IF($C2640="","",IFERROR(MATCH($C2640,'Menu Pricing'!$B$7:$B$56,0),""))</f>
        <v/>
      </c>
    </row>
    <row r="2641" ht="17" customHeight="1">
      <c r="B2641" s="66" t="n"/>
      <c r="C2641" s="60" t="n"/>
      <c r="D2641" s="86" t="n"/>
      <c r="E2641" s="63" t="n"/>
      <c r="F2641" s="60" t="n"/>
      <c r="G2641" s="60" t="n"/>
      <c r="H2641" s="71">
        <f>IF(OR($C2641="",$D2641=""),"",IF(ISNUMBER($E2641),$E2641,IF($O2641="","",IF(N(INDEX('Menu Pricing'!$O$7:$O$56,$O2641))&gt;0,INDEX('Menu Pricing'!$O$7:$O$56,$O2641),""))))</f>
        <v/>
      </c>
      <c r="I2641" s="71">
        <f>IF($N2641&lt;&gt;"OK","",$D2641*$H2641)</f>
        <v/>
      </c>
      <c r="J2641" s="71">
        <f>IF($N2641&lt;&gt;"OK","",N(INDEX('Menu Pricing'!$F$7:$F$56,$O2641))+N(INDEX('Menu Pricing'!$G$7:$G$56,$O2641))+N(INDEX('Menu Pricing'!$J$7:$J$56,$O2641)))</f>
        <v/>
      </c>
      <c r="K2641" s="71">
        <f>IF($N2641&lt;&gt;"OK","",$D2641*$J2641)</f>
        <v/>
      </c>
      <c r="L2641" s="71">
        <f>IF($N2641&lt;&gt;"OK","",$I2641-$K2641)</f>
        <v/>
      </c>
      <c r="M2641" s="71">
        <f>IF($N2641&lt;&gt;"OK","",$D2641*N(INDEX('Menu Pricing'!$F$7:$F$56,$O2641)))</f>
        <v/>
      </c>
      <c r="N2641" s="80">
        <f>IF(AND($B2641="",$C2641="",$D2641=""),"",IF(NOT(ISNUMBER($B2641)),"Enter a valid date",IF($C2641="","Pick a menu item",IF($O2641="","Item not on Menu Pricing",IF(N($D2641)&lt;=0,"Qty must be above 0",IF($H2641="","No price on menu","OK"))))))</f>
        <v/>
      </c>
      <c r="O2641" s="13">
        <f>IF($C2641="","",IFERROR(MATCH($C2641,'Menu Pricing'!$B$7:$B$56,0),""))</f>
        <v/>
      </c>
    </row>
    <row r="2642" ht="17" customHeight="1">
      <c r="B2642" s="66" t="n"/>
      <c r="C2642" s="60" t="n"/>
      <c r="D2642" s="86" t="n"/>
      <c r="E2642" s="63" t="n"/>
      <c r="F2642" s="60" t="n"/>
      <c r="G2642" s="60" t="n"/>
      <c r="H2642" s="71">
        <f>IF(OR($C2642="",$D2642=""),"",IF(ISNUMBER($E2642),$E2642,IF($O2642="","",IF(N(INDEX('Menu Pricing'!$O$7:$O$56,$O2642))&gt;0,INDEX('Menu Pricing'!$O$7:$O$56,$O2642),""))))</f>
        <v/>
      </c>
      <c r="I2642" s="71">
        <f>IF($N2642&lt;&gt;"OK","",$D2642*$H2642)</f>
        <v/>
      </c>
      <c r="J2642" s="71">
        <f>IF($N2642&lt;&gt;"OK","",N(INDEX('Menu Pricing'!$F$7:$F$56,$O2642))+N(INDEX('Menu Pricing'!$G$7:$G$56,$O2642))+N(INDEX('Menu Pricing'!$J$7:$J$56,$O2642)))</f>
        <v/>
      </c>
      <c r="K2642" s="71">
        <f>IF($N2642&lt;&gt;"OK","",$D2642*$J2642)</f>
        <v/>
      </c>
      <c r="L2642" s="71">
        <f>IF($N2642&lt;&gt;"OK","",$I2642-$K2642)</f>
        <v/>
      </c>
      <c r="M2642" s="71">
        <f>IF($N2642&lt;&gt;"OK","",$D2642*N(INDEX('Menu Pricing'!$F$7:$F$56,$O2642)))</f>
        <v/>
      </c>
      <c r="N2642" s="80">
        <f>IF(AND($B2642="",$C2642="",$D2642=""),"",IF(NOT(ISNUMBER($B2642)),"Enter a valid date",IF($C2642="","Pick a menu item",IF($O2642="","Item not on Menu Pricing",IF(N($D2642)&lt;=0,"Qty must be above 0",IF($H2642="","No price on menu","OK"))))))</f>
        <v/>
      </c>
      <c r="O2642" s="13">
        <f>IF($C2642="","",IFERROR(MATCH($C2642,'Menu Pricing'!$B$7:$B$56,0),""))</f>
        <v/>
      </c>
    </row>
    <row r="2643" ht="17" customHeight="1">
      <c r="B2643" s="66" t="n"/>
      <c r="C2643" s="60" t="n"/>
      <c r="D2643" s="86" t="n"/>
      <c r="E2643" s="63" t="n"/>
      <c r="F2643" s="60" t="n"/>
      <c r="G2643" s="60" t="n"/>
      <c r="H2643" s="71">
        <f>IF(OR($C2643="",$D2643=""),"",IF(ISNUMBER($E2643),$E2643,IF($O2643="","",IF(N(INDEX('Menu Pricing'!$O$7:$O$56,$O2643))&gt;0,INDEX('Menu Pricing'!$O$7:$O$56,$O2643),""))))</f>
        <v/>
      </c>
      <c r="I2643" s="71">
        <f>IF($N2643&lt;&gt;"OK","",$D2643*$H2643)</f>
        <v/>
      </c>
      <c r="J2643" s="71">
        <f>IF($N2643&lt;&gt;"OK","",N(INDEX('Menu Pricing'!$F$7:$F$56,$O2643))+N(INDEX('Menu Pricing'!$G$7:$G$56,$O2643))+N(INDEX('Menu Pricing'!$J$7:$J$56,$O2643)))</f>
        <v/>
      </c>
      <c r="K2643" s="71">
        <f>IF($N2643&lt;&gt;"OK","",$D2643*$J2643)</f>
        <v/>
      </c>
      <c r="L2643" s="71">
        <f>IF($N2643&lt;&gt;"OK","",$I2643-$K2643)</f>
        <v/>
      </c>
      <c r="M2643" s="71">
        <f>IF($N2643&lt;&gt;"OK","",$D2643*N(INDEX('Menu Pricing'!$F$7:$F$56,$O2643)))</f>
        <v/>
      </c>
      <c r="N2643" s="80">
        <f>IF(AND($B2643="",$C2643="",$D2643=""),"",IF(NOT(ISNUMBER($B2643)),"Enter a valid date",IF($C2643="","Pick a menu item",IF($O2643="","Item not on Menu Pricing",IF(N($D2643)&lt;=0,"Qty must be above 0",IF($H2643="","No price on menu","OK"))))))</f>
        <v/>
      </c>
      <c r="O2643" s="13">
        <f>IF($C2643="","",IFERROR(MATCH($C2643,'Menu Pricing'!$B$7:$B$56,0),""))</f>
        <v/>
      </c>
    </row>
    <row r="2644" ht="17" customHeight="1">
      <c r="B2644" s="66" t="n"/>
      <c r="C2644" s="60" t="n"/>
      <c r="D2644" s="86" t="n"/>
      <c r="E2644" s="63" t="n"/>
      <c r="F2644" s="60" t="n"/>
      <c r="G2644" s="60" t="n"/>
      <c r="H2644" s="71">
        <f>IF(OR($C2644="",$D2644=""),"",IF(ISNUMBER($E2644),$E2644,IF($O2644="","",IF(N(INDEX('Menu Pricing'!$O$7:$O$56,$O2644))&gt;0,INDEX('Menu Pricing'!$O$7:$O$56,$O2644),""))))</f>
        <v/>
      </c>
      <c r="I2644" s="71">
        <f>IF($N2644&lt;&gt;"OK","",$D2644*$H2644)</f>
        <v/>
      </c>
      <c r="J2644" s="71">
        <f>IF($N2644&lt;&gt;"OK","",N(INDEX('Menu Pricing'!$F$7:$F$56,$O2644))+N(INDEX('Menu Pricing'!$G$7:$G$56,$O2644))+N(INDEX('Menu Pricing'!$J$7:$J$56,$O2644)))</f>
        <v/>
      </c>
      <c r="K2644" s="71">
        <f>IF($N2644&lt;&gt;"OK","",$D2644*$J2644)</f>
        <v/>
      </c>
      <c r="L2644" s="71">
        <f>IF($N2644&lt;&gt;"OK","",$I2644-$K2644)</f>
        <v/>
      </c>
      <c r="M2644" s="71">
        <f>IF($N2644&lt;&gt;"OK","",$D2644*N(INDEX('Menu Pricing'!$F$7:$F$56,$O2644)))</f>
        <v/>
      </c>
      <c r="N2644" s="80">
        <f>IF(AND($B2644="",$C2644="",$D2644=""),"",IF(NOT(ISNUMBER($B2644)),"Enter a valid date",IF($C2644="","Pick a menu item",IF($O2644="","Item not on Menu Pricing",IF(N($D2644)&lt;=0,"Qty must be above 0",IF($H2644="","No price on menu","OK"))))))</f>
        <v/>
      </c>
      <c r="O2644" s="13">
        <f>IF($C2644="","",IFERROR(MATCH($C2644,'Menu Pricing'!$B$7:$B$56,0),""))</f>
        <v/>
      </c>
    </row>
    <row r="2645" ht="17" customHeight="1">
      <c r="B2645" s="66" t="n"/>
      <c r="C2645" s="60" t="n"/>
      <c r="D2645" s="86" t="n"/>
      <c r="E2645" s="63" t="n"/>
      <c r="F2645" s="60" t="n"/>
      <c r="G2645" s="60" t="n"/>
      <c r="H2645" s="71">
        <f>IF(OR($C2645="",$D2645=""),"",IF(ISNUMBER($E2645),$E2645,IF($O2645="","",IF(N(INDEX('Menu Pricing'!$O$7:$O$56,$O2645))&gt;0,INDEX('Menu Pricing'!$O$7:$O$56,$O2645),""))))</f>
        <v/>
      </c>
      <c r="I2645" s="71">
        <f>IF($N2645&lt;&gt;"OK","",$D2645*$H2645)</f>
        <v/>
      </c>
      <c r="J2645" s="71">
        <f>IF($N2645&lt;&gt;"OK","",N(INDEX('Menu Pricing'!$F$7:$F$56,$O2645))+N(INDEX('Menu Pricing'!$G$7:$G$56,$O2645))+N(INDEX('Menu Pricing'!$J$7:$J$56,$O2645)))</f>
        <v/>
      </c>
      <c r="K2645" s="71">
        <f>IF($N2645&lt;&gt;"OK","",$D2645*$J2645)</f>
        <v/>
      </c>
      <c r="L2645" s="71">
        <f>IF($N2645&lt;&gt;"OK","",$I2645-$K2645)</f>
        <v/>
      </c>
      <c r="M2645" s="71">
        <f>IF($N2645&lt;&gt;"OK","",$D2645*N(INDEX('Menu Pricing'!$F$7:$F$56,$O2645)))</f>
        <v/>
      </c>
      <c r="N2645" s="80">
        <f>IF(AND($B2645="",$C2645="",$D2645=""),"",IF(NOT(ISNUMBER($B2645)),"Enter a valid date",IF($C2645="","Pick a menu item",IF($O2645="","Item not on Menu Pricing",IF(N($D2645)&lt;=0,"Qty must be above 0",IF($H2645="","No price on menu","OK"))))))</f>
        <v/>
      </c>
      <c r="O2645" s="13">
        <f>IF($C2645="","",IFERROR(MATCH($C2645,'Menu Pricing'!$B$7:$B$56,0),""))</f>
        <v/>
      </c>
    </row>
    <row r="2646" ht="17" customHeight="1">
      <c r="B2646" s="66" t="n"/>
      <c r="C2646" s="60" t="n"/>
      <c r="D2646" s="86" t="n"/>
      <c r="E2646" s="63" t="n"/>
      <c r="F2646" s="60" t="n"/>
      <c r="G2646" s="60" t="n"/>
      <c r="H2646" s="71">
        <f>IF(OR($C2646="",$D2646=""),"",IF(ISNUMBER($E2646),$E2646,IF($O2646="","",IF(N(INDEX('Menu Pricing'!$O$7:$O$56,$O2646))&gt;0,INDEX('Menu Pricing'!$O$7:$O$56,$O2646),""))))</f>
        <v/>
      </c>
      <c r="I2646" s="71">
        <f>IF($N2646&lt;&gt;"OK","",$D2646*$H2646)</f>
        <v/>
      </c>
      <c r="J2646" s="71">
        <f>IF($N2646&lt;&gt;"OK","",N(INDEX('Menu Pricing'!$F$7:$F$56,$O2646))+N(INDEX('Menu Pricing'!$G$7:$G$56,$O2646))+N(INDEX('Menu Pricing'!$J$7:$J$56,$O2646)))</f>
        <v/>
      </c>
      <c r="K2646" s="71">
        <f>IF($N2646&lt;&gt;"OK","",$D2646*$J2646)</f>
        <v/>
      </c>
      <c r="L2646" s="71">
        <f>IF($N2646&lt;&gt;"OK","",$I2646-$K2646)</f>
        <v/>
      </c>
      <c r="M2646" s="71">
        <f>IF($N2646&lt;&gt;"OK","",$D2646*N(INDEX('Menu Pricing'!$F$7:$F$56,$O2646)))</f>
        <v/>
      </c>
      <c r="N2646" s="80">
        <f>IF(AND($B2646="",$C2646="",$D2646=""),"",IF(NOT(ISNUMBER($B2646)),"Enter a valid date",IF($C2646="","Pick a menu item",IF($O2646="","Item not on Menu Pricing",IF(N($D2646)&lt;=0,"Qty must be above 0",IF($H2646="","No price on menu","OK"))))))</f>
        <v/>
      </c>
      <c r="O2646" s="13">
        <f>IF($C2646="","",IFERROR(MATCH($C2646,'Menu Pricing'!$B$7:$B$56,0),""))</f>
        <v/>
      </c>
    </row>
    <row r="2647" ht="17" customHeight="1">
      <c r="B2647" s="66" t="n"/>
      <c r="C2647" s="60" t="n"/>
      <c r="D2647" s="86" t="n"/>
      <c r="E2647" s="63" t="n"/>
      <c r="F2647" s="60" t="n"/>
      <c r="G2647" s="60" t="n"/>
      <c r="H2647" s="71">
        <f>IF(OR($C2647="",$D2647=""),"",IF(ISNUMBER($E2647),$E2647,IF($O2647="","",IF(N(INDEX('Menu Pricing'!$O$7:$O$56,$O2647))&gt;0,INDEX('Menu Pricing'!$O$7:$O$56,$O2647),""))))</f>
        <v/>
      </c>
      <c r="I2647" s="71">
        <f>IF($N2647&lt;&gt;"OK","",$D2647*$H2647)</f>
        <v/>
      </c>
      <c r="J2647" s="71">
        <f>IF($N2647&lt;&gt;"OK","",N(INDEX('Menu Pricing'!$F$7:$F$56,$O2647))+N(INDEX('Menu Pricing'!$G$7:$G$56,$O2647))+N(INDEX('Menu Pricing'!$J$7:$J$56,$O2647)))</f>
        <v/>
      </c>
      <c r="K2647" s="71">
        <f>IF($N2647&lt;&gt;"OK","",$D2647*$J2647)</f>
        <v/>
      </c>
      <c r="L2647" s="71">
        <f>IF($N2647&lt;&gt;"OK","",$I2647-$K2647)</f>
        <v/>
      </c>
      <c r="M2647" s="71">
        <f>IF($N2647&lt;&gt;"OK","",$D2647*N(INDEX('Menu Pricing'!$F$7:$F$56,$O2647)))</f>
        <v/>
      </c>
      <c r="N2647" s="80">
        <f>IF(AND($B2647="",$C2647="",$D2647=""),"",IF(NOT(ISNUMBER($B2647)),"Enter a valid date",IF($C2647="","Pick a menu item",IF($O2647="","Item not on Menu Pricing",IF(N($D2647)&lt;=0,"Qty must be above 0",IF($H2647="","No price on menu","OK"))))))</f>
        <v/>
      </c>
      <c r="O2647" s="13">
        <f>IF($C2647="","",IFERROR(MATCH($C2647,'Menu Pricing'!$B$7:$B$56,0),""))</f>
        <v/>
      </c>
    </row>
    <row r="2648" ht="17" customHeight="1">
      <c r="B2648" s="66" t="n"/>
      <c r="C2648" s="60" t="n"/>
      <c r="D2648" s="86" t="n"/>
      <c r="E2648" s="63" t="n"/>
      <c r="F2648" s="60" t="n"/>
      <c r="G2648" s="60" t="n"/>
      <c r="H2648" s="71">
        <f>IF(OR($C2648="",$D2648=""),"",IF(ISNUMBER($E2648),$E2648,IF($O2648="","",IF(N(INDEX('Menu Pricing'!$O$7:$O$56,$O2648))&gt;0,INDEX('Menu Pricing'!$O$7:$O$56,$O2648),""))))</f>
        <v/>
      </c>
      <c r="I2648" s="71">
        <f>IF($N2648&lt;&gt;"OK","",$D2648*$H2648)</f>
        <v/>
      </c>
      <c r="J2648" s="71">
        <f>IF($N2648&lt;&gt;"OK","",N(INDEX('Menu Pricing'!$F$7:$F$56,$O2648))+N(INDEX('Menu Pricing'!$G$7:$G$56,$O2648))+N(INDEX('Menu Pricing'!$J$7:$J$56,$O2648)))</f>
        <v/>
      </c>
      <c r="K2648" s="71">
        <f>IF($N2648&lt;&gt;"OK","",$D2648*$J2648)</f>
        <v/>
      </c>
      <c r="L2648" s="71">
        <f>IF($N2648&lt;&gt;"OK","",$I2648-$K2648)</f>
        <v/>
      </c>
      <c r="M2648" s="71">
        <f>IF($N2648&lt;&gt;"OK","",$D2648*N(INDEX('Menu Pricing'!$F$7:$F$56,$O2648)))</f>
        <v/>
      </c>
      <c r="N2648" s="80">
        <f>IF(AND($B2648="",$C2648="",$D2648=""),"",IF(NOT(ISNUMBER($B2648)),"Enter a valid date",IF($C2648="","Pick a menu item",IF($O2648="","Item not on Menu Pricing",IF(N($D2648)&lt;=0,"Qty must be above 0",IF($H2648="","No price on menu","OK"))))))</f>
        <v/>
      </c>
      <c r="O2648" s="13">
        <f>IF($C2648="","",IFERROR(MATCH($C2648,'Menu Pricing'!$B$7:$B$56,0),""))</f>
        <v/>
      </c>
    </row>
    <row r="2649" ht="17" customHeight="1">
      <c r="B2649" s="66" t="n"/>
      <c r="C2649" s="60" t="n"/>
      <c r="D2649" s="86" t="n"/>
      <c r="E2649" s="63" t="n"/>
      <c r="F2649" s="60" t="n"/>
      <c r="G2649" s="60" t="n"/>
      <c r="H2649" s="71">
        <f>IF(OR($C2649="",$D2649=""),"",IF(ISNUMBER($E2649),$E2649,IF($O2649="","",IF(N(INDEX('Menu Pricing'!$O$7:$O$56,$O2649))&gt;0,INDEX('Menu Pricing'!$O$7:$O$56,$O2649),""))))</f>
        <v/>
      </c>
      <c r="I2649" s="71">
        <f>IF($N2649&lt;&gt;"OK","",$D2649*$H2649)</f>
        <v/>
      </c>
      <c r="J2649" s="71">
        <f>IF($N2649&lt;&gt;"OK","",N(INDEX('Menu Pricing'!$F$7:$F$56,$O2649))+N(INDEX('Menu Pricing'!$G$7:$G$56,$O2649))+N(INDEX('Menu Pricing'!$J$7:$J$56,$O2649)))</f>
        <v/>
      </c>
      <c r="K2649" s="71">
        <f>IF($N2649&lt;&gt;"OK","",$D2649*$J2649)</f>
        <v/>
      </c>
      <c r="L2649" s="71">
        <f>IF($N2649&lt;&gt;"OK","",$I2649-$K2649)</f>
        <v/>
      </c>
      <c r="M2649" s="71">
        <f>IF($N2649&lt;&gt;"OK","",$D2649*N(INDEX('Menu Pricing'!$F$7:$F$56,$O2649)))</f>
        <v/>
      </c>
      <c r="N2649" s="80">
        <f>IF(AND($B2649="",$C2649="",$D2649=""),"",IF(NOT(ISNUMBER($B2649)),"Enter a valid date",IF($C2649="","Pick a menu item",IF($O2649="","Item not on Menu Pricing",IF(N($D2649)&lt;=0,"Qty must be above 0",IF($H2649="","No price on menu","OK"))))))</f>
        <v/>
      </c>
      <c r="O2649" s="13">
        <f>IF($C2649="","",IFERROR(MATCH($C2649,'Menu Pricing'!$B$7:$B$56,0),""))</f>
        <v/>
      </c>
    </row>
    <row r="2650" ht="17" customHeight="1">
      <c r="B2650" s="66" t="n"/>
      <c r="C2650" s="60" t="n"/>
      <c r="D2650" s="86" t="n"/>
      <c r="E2650" s="63" t="n"/>
      <c r="F2650" s="60" t="n"/>
      <c r="G2650" s="60" t="n"/>
      <c r="H2650" s="71">
        <f>IF(OR($C2650="",$D2650=""),"",IF(ISNUMBER($E2650),$E2650,IF($O2650="","",IF(N(INDEX('Menu Pricing'!$O$7:$O$56,$O2650))&gt;0,INDEX('Menu Pricing'!$O$7:$O$56,$O2650),""))))</f>
        <v/>
      </c>
      <c r="I2650" s="71">
        <f>IF($N2650&lt;&gt;"OK","",$D2650*$H2650)</f>
        <v/>
      </c>
      <c r="J2650" s="71">
        <f>IF($N2650&lt;&gt;"OK","",N(INDEX('Menu Pricing'!$F$7:$F$56,$O2650))+N(INDEX('Menu Pricing'!$G$7:$G$56,$O2650))+N(INDEX('Menu Pricing'!$J$7:$J$56,$O2650)))</f>
        <v/>
      </c>
      <c r="K2650" s="71">
        <f>IF($N2650&lt;&gt;"OK","",$D2650*$J2650)</f>
        <v/>
      </c>
      <c r="L2650" s="71">
        <f>IF($N2650&lt;&gt;"OK","",$I2650-$K2650)</f>
        <v/>
      </c>
      <c r="M2650" s="71">
        <f>IF($N2650&lt;&gt;"OK","",$D2650*N(INDEX('Menu Pricing'!$F$7:$F$56,$O2650)))</f>
        <v/>
      </c>
      <c r="N2650" s="80">
        <f>IF(AND($B2650="",$C2650="",$D2650=""),"",IF(NOT(ISNUMBER($B2650)),"Enter a valid date",IF($C2650="","Pick a menu item",IF($O2650="","Item not on Menu Pricing",IF(N($D2650)&lt;=0,"Qty must be above 0",IF($H2650="","No price on menu","OK"))))))</f>
        <v/>
      </c>
      <c r="O2650" s="13">
        <f>IF($C2650="","",IFERROR(MATCH($C2650,'Menu Pricing'!$B$7:$B$56,0),""))</f>
        <v/>
      </c>
    </row>
    <row r="2651" ht="17" customHeight="1">
      <c r="B2651" s="66" t="n"/>
      <c r="C2651" s="60" t="n"/>
      <c r="D2651" s="86" t="n"/>
      <c r="E2651" s="63" t="n"/>
      <c r="F2651" s="60" t="n"/>
      <c r="G2651" s="60" t="n"/>
      <c r="H2651" s="71">
        <f>IF(OR($C2651="",$D2651=""),"",IF(ISNUMBER($E2651),$E2651,IF($O2651="","",IF(N(INDEX('Menu Pricing'!$O$7:$O$56,$O2651))&gt;0,INDEX('Menu Pricing'!$O$7:$O$56,$O2651),""))))</f>
        <v/>
      </c>
      <c r="I2651" s="71">
        <f>IF($N2651&lt;&gt;"OK","",$D2651*$H2651)</f>
        <v/>
      </c>
      <c r="J2651" s="71">
        <f>IF($N2651&lt;&gt;"OK","",N(INDEX('Menu Pricing'!$F$7:$F$56,$O2651))+N(INDEX('Menu Pricing'!$G$7:$G$56,$O2651))+N(INDEX('Menu Pricing'!$J$7:$J$56,$O2651)))</f>
        <v/>
      </c>
      <c r="K2651" s="71">
        <f>IF($N2651&lt;&gt;"OK","",$D2651*$J2651)</f>
        <v/>
      </c>
      <c r="L2651" s="71">
        <f>IF($N2651&lt;&gt;"OK","",$I2651-$K2651)</f>
        <v/>
      </c>
      <c r="M2651" s="71">
        <f>IF($N2651&lt;&gt;"OK","",$D2651*N(INDEX('Menu Pricing'!$F$7:$F$56,$O2651)))</f>
        <v/>
      </c>
      <c r="N2651" s="80">
        <f>IF(AND($B2651="",$C2651="",$D2651=""),"",IF(NOT(ISNUMBER($B2651)),"Enter a valid date",IF($C2651="","Pick a menu item",IF($O2651="","Item not on Menu Pricing",IF(N($D2651)&lt;=0,"Qty must be above 0",IF($H2651="","No price on menu","OK"))))))</f>
        <v/>
      </c>
      <c r="O2651" s="13">
        <f>IF($C2651="","",IFERROR(MATCH($C2651,'Menu Pricing'!$B$7:$B$56,0),""))</f>
        <v/>
      </c>
    </row>
    <row r="2652" ht="17" customHeight="1">
      <c r="B2652" s="66" t="n"/>
      <c r="C2652" s="60" t="n"/>
      <c r="D2652" s="86" t="n"/>
      <c r="E2652" s="63" t="n"/>
      <c r="F2652" s="60" t="n"/>
      <c r="G2652" s="60" t="n"/>
      <c r="H2652" s="71">
        <f>IF(OR($C2652="",$D2652=""),"",IF(ISNUMBER($E2652),$E2652,IF($O2652="","",IF(N(INDEX('Menu Pricing'!$O$7:$O$56,$O2652))&gt;0,INDEX('Menu Pricing'!$O$7:$O$56,$O2652),""))))</f>
        <v/>
      </c>
      <c r="I2652" s="71">
        <f>IF($N2652&lt;&gt;"OK","",$D2652*$H2652)</f>
        <v/>
      </c>
      <c r="J2652" s="71">
        <f>IF($N2652&lt;&gt;"OK","",N(INDEX('Menu Pricing'!$F$7:$F$56,$O2652))+N(INDEX('Menu Pricing'!$G$7:$G$56,$O2652))+N(INDEX('Menu Pricing'!$J$7:$J$56,$O2652)))</f>
        <v/>
      </c>
      <c r="K2652" s="71">
        <f>IF($N2652&lt;&gt;"OK","",$D2652*$J2652)</f>
        <v/>
      </c>
      <c r="L2652" s="71">
        <f>IF($N2652&lt;&gt;"OK","",$I2652-$K2652)</f>
        <v/>
      </c>
      <c r="M2652" s="71">
        <f>IF($N2652&lt;&gt;"OK","",$D2652*N(INDEX('Menu Pricing'!$F$7:$F$56,$O2652)))</f>
        <v/>
      </c>
      <c r="N2652" s="80">
        <f>IF(AND($B2652="",$C2652="",$D2652=""),"",IF(NOT(ISNUMBER($B2652)),"Enter a valid date",IF($C2652="","Pick a menu item",IF($O2652="","Item not on Menu Pricing",IF(N($D2652)&lt;=0,"Qty must be above 0",IF($H2652="","No price on menu","OK"))))))</f>
        <v/>
      </c>
      <c r="O2652" s="13">
        <f>IF($C2652="","",IFERROR(MATCH($C2652,'Menu Pricing'!$B$7:$B$56,0),""))</f>
        <v/>
      </c>
    </row>
    <row r="2653" ht="17" customHeight="1">
      <c r="B2653" s="66" t="n"/>
      <c r="C2653" s="60" t="n"/>
      <c r="D2653" s="86" t="n"/>
      <c r="E2653" s="63" t="n"/>
      <c r="F2653" s="60" t="n"/>
      <c r="G2653" s="60" t="n"/>
      <c r="H2653" s="71">
        <f>IF(OR($C2653="",$D2653=""),"",IF(ISNUMBER($E2653),$E2653,IF($O2653="","",IF(N(INDEX('Menu Pricing'!$O$7:$O$56,$O2653))&gt;0,INDEX('Menu Pricing'!$O$7:$O$56,$O2653),""))))</f>
        <v/>
      </c>
      <c r="I2653" s="71">
        <f>IF($N2653&lt;&gt;"OK","",$D2653*$H2653)</f>
        <v/>
      </c>
      <c r="J2653" s="71">
        <f>IF($N2653&lt;&gt;"OK","",N(INDEX('Menu Pricing'!$F$7:$F$56,$O2653))+N(INDEX('Menu Pricing'!$G$7:$G$56,$O2653))+N(INDEX('Menu Pricing'!$J$7:$J$56,$O2653)))</f>
        <v/>
      </c>
      <c r="K2653" s="71">
        <f>IF($N2653&lt;&gt;"OK","",$D2653*$J2653)</f>
        <v/>
      </c>
      <c r="L2653" s="71">
        <f>IF($N2653&lt;&gt;"OK","",$I2653-$K2653)</f>
        <v/>
      </c>
      <c r="M2653" s="71">
        <f>IF($N2653&lt;&gt;"OK","",$D2653*N(INDEX('Menu Pricing'!$F$7:$F$56,$O2653)))</f>
        <v/>
      </c>
      <c r="N2653" s="80">
        <f>IF(AND($B2653="",$C2653="",$D2653=""),"",IF(NOT(ISNUMBER($B2653)),"Enter a valid date",IF($C2653="","Pick a menu item",IF($O2653="","Item not on Menu Pricing",IF(N($D2653)&lt;=0,"Qty must be above 0",IF($H2653="","No price on menu","OK"))))))</f>
        <v/>
      </c>
      <c r="O2653" s="13">
        <f>IF($C2653="","",IFERROR(MATCH($C2653,'Menu Pricing'!$B$7:$B$56,0),""))</f>
        <v/>
      </c>
    </row>
    <row r="2654" ht="17" customHeight="1">
      <c r="B2654" s="66" t="n"/>
      <c r="C2654" s="60" t="n"/>
      <c r="D2654" s="86" t="n"/>
      <c r="E2654" s="63" t="n"/>
      <c r="F2654" s="60" t="n"/>
      <c r="G2654" s="60" t="n"/>
      <c r="H2654" s="71">
        <f>IF(OR($C2654="",$D2654=""),"",IF(ISNUMBER($E2654),$E2654,IF($O2654="","",IF(N(INDEX('Menu Pricing'!$O$7:$O$56,$O2654))&gt;0,INDEX('Menu Pricing'!$O$7:$O$56,$O2654),""))))</f>
        <v/>
      </c>
      <c r="I2654" s="71">
        <f>IF($N2654&lt;&gt;"OK","",$D2654*$H2654)</f>
        <v/>
      </c>
      <c r="J2654" s="71">
        <f>IF($N2654&lt;&gt;"OK","",N(INDEX('Menu Pricing'!$F$7:$F$56,$O2654))+N(INDEX('Menu Pricing'!$G$7:$G$56,$O2654))+N(INDEX('Menu Pricing'!$J$7:$J$56,$O2654)))</f>
        <v/>
      </c>
      <c r="K2654" s="71">
        <f>IF($N2654&lt;&gt;"OK","",$D2654*$J2654)</f>
        <v/>
      </c>
      <c r="L2654" s="71">
        <f>IF($N2654&lt;&gt;"OK","",$I2654-$K2654)</f>
        <v/>
      </c>
      <c r="M2654" s="71">
        <f>IF($N2654&lt;&gt;"OK","",$D2654*N(INDEX('Menu Pricing'!$F$7:$F$56,$O2654)))</f>
        <v/>
      </c>
      <c r="N2654" s="80">
        <f>IF(AND($B2654="",$C2654="",$D2654=""),"",IF(NOT(ISNUMBER($B2654)),"Enter a valid date",IF($C2654="","Pick a menu item",IF($O2654="","Item not on Menu Pricing",IF(N($D2654)&lt;=0,"Qty must be above 0",IF($H2654="","No price on menu","OK"))))))</f>
        <v/>
      </c>
      <c r="O2654" s="13">
        <f>IF($C2654="","",IFERROR(MATCH($C2654,'Menu Pricing'!$B$7:$B$56,0),""))</f>
        <v/>
      </c>
    </row>
    <row r="2655" ht="17" customHeight="1">
      <c r="B2655" s="66" t="n"/>
      <c r="C2655" s="60" t="n"/>
      <c r="D2655" s="86" t="n"/>
      <c r="E2655" s="63" t="n"/>
      <c r="F2655" s="60" t="n"/>
      <c r="G2655" s="60" t="n"/>
      <c r="H2655" s="71">
        <f>IF(OR($C2655="",$D2655=""),"",IF(ISNUMBER($E2655),$E2655,IF($O2655="","",IF(N(INDEX('Menu Pricing'!$O$7:$O$56,$O2655))&gt;0,INDEX('Menu Pricing'!$O$7:$O$56,$O2655),""))))</f>
        <v/>
      </c>
      <c r="I2655" s="71">
        <f>IF($N2655&lt;&gt;"OK","",$D2655*$H2655)</f>
        <v/>
      </c>
      <c r="J2655" s="71">
        <f>IF($N2655&lt;&gt;"OK","",N(INDEX('Menu Pricing'!$F$7:$F$56,$O2655))+N(INDEX('Menu Pricing'!$G$7:$G$56,$O2655))+N(INDEX('Menu Pricing'!$J$7:$J$56,$O2655)))</f>
        <v/>
      </c>
      <c r="K2655" s="71">
        <f>IF($N2655&lt;&gt;"OK","",$D2655*$J2655)</f>
        <v/>
      </c>
      <c r="L2655" s="71">
        <f>IF($N2655&lt;&gt;"OK","",$I2655-$K2655)</f>
        <v/>
      </c>
      <c r="M2655" s="71">
        <f>IF($N2655&lt;&gt;"OK","",$D2655*N(INDEX('Menu Pricing'!$F$7:$F$56,$O2655)))</f>
        <v/>
      </c>
      <c r="N2655" s="80">
        <f>IF(AND($B2655="",$C2655="",$D2655=""),"",IF(NOT(ISNUMBER($B2655)),"Enter a valid date",IF($C2655="","Pick a menu item",IF($O2655="","Item not on Menu Pricing",IF(N($D2655)&lt;=0,"Qty must be above 0",IF($H2655="","No price on menu","OK"))))))</f>
        <v/>
      </c>
      <c r="O2655" s="13">
        <f>IF($C2655="","",IFERROR(MATCH($C2655,'Menu Pricing'!$B$7:$B$56,0),""))</f>
        <v/>
      </c>
    </row>
    <row r="2656" ht="17" customHeight="1">
      <c r="B2656" s="66" t="n"/>
      <c r="C2656" s="60" t="n"/>
      <c r="D2656" s="86" t="n"/>
      <c r="E2656" s="63" t="n"/>
      <c r="F2656" s="60" t="n"/>
      <c r="G2656" s="60" t="n"/>
      <c r="H2656" s="71">
        <f>IF(OR($C2656="",$D2656=""),"",IF(ISNUMBER($E2656),$E2656,IF($O2656="","",IF(N(INDEX('Menu Pricing'!$O$7:$O$56,$O2656))&gt;0,INDEX('Menu Pricing'!$O$7:$O$56,$O2656),""))))</f>
        <v/>
      </c>
      <c r="I2656" s="71">
        <f>IF($N2656&lt;&gt;"OK","",$D2656*$H2656)</f>
        <v/>
      </c>
      <c r="J2656" s="71">
        <f>IF($N2656&lt;&gt;"OK","",N(INDEX('Menu Pricing'!$F$7:$F$56,$O2656))+N(INDEX('Menu Pricing'!$G$7:$G$56,$O2656))+N(INDEX('Menu Pricing'!$J$7:$J$56,$O2656)))</f>
        <v/>
      </c>
      <c r="K2656" s="71">
        <f>IF($N2656&lt;&gt;"OK","",$D2656*$J2656)</f>
        <v/>
      </c>
      <c r="L2656" s="71">
        <f>IF($N2656&lt;&gt;"OK","",$I2656-$K2656)</f>
        <v/>
      </c>
      <c r="M2656" s="71">
        <f>IF($N2656&lt;&gt;"OK","",$D2656*N(INDEX('Menu Pricing'!$F$7:$F$56,$O2656)))</f>
        <v/>
      </c>
      <c r="N2656" s="80">
        <f>IF(AND($B2656="",$C2656="",$D2656=""),"",IF(NOT(ISNUMBER($B2656)),"Enter a valid date",IF($C2656="","Pick a menu item",IF($O2656="","Item not on Menu Pricing",IF(N($D2656)&lt;=0,"Qty must be above 0",IF($H2656="","No price on menu","OK"))))))</f>
        <v/>
      </c>
      <c r="O2656" s="13">
        <f>IF($C2656="","",IFERROR(MATCH($C2656,'Menu Pricing'!$B$7:$B$56,0),""))</f>
        <v/>
      </c>
    </row>
    <row r="2657" ht="17" customHeight="1">
      <c r="B2657" s="66" t="n"/>
      <c r="C2657" s="60" t="n"/>
      <c r="D2657" s="86" t="n"/>
      <c r="E2657" s="63" t="n"/>
      <c r="F2657" s="60" t="n"/>
      <c r="G2657" s="60" t="n"/>
      <c r="H2657" s="71">
        <f>IF(OR($C2657="",$D2657=""),"",IF(ISNUMBER($E2657),$E2657,IF($O2657="","",IF(N(INDEX('Menu Pricing'!$O$7:$O$56,$O2657))&gt;0,INDEX('Menu Pricing'!$O$7:$O$56,$O2657),""))))</f>
        <v/>
      </c>
      <c r="I2657" s="71">
        <f>IF($N2657&lt;&gt;"OK","",$D2657*$H2657)</f>
        <v/>
      </c>
      <c r="J2657" s="71">
        <f>IF($N2657&lt;&gt;"OK","",N(INDEX('Menu Pricing'!$F$7:$F$56,$O2657))+N(INDEX('Menu Pricing'!$G$7:$G$56,$O2657))+N(INDEX('Menu Pricing'!$J$7:$J$56,$O2657)))</f>
        <v/>
      </c>
      <c r="K2657" s="71">
        <f>IF($N2657&lt;&gt;"OK","",$D2657*$J2657)</f>
        <v/>
      </c>
      <c r="L2657" s="71">
        <f>IF($N2657&lt;&gt;"OK","",$I2657-$K2657)</f>
        <v/>
      </c>
      <c r="M2657" s="71">
        <f>IF($N2657&lt;&gt;"OK","",$D2657*N(INDEX('Menu Pricing'!$F$7:$F$56,$O2657)))</f>
        <v/>
      </c>
      <c r="N2657" s="80">
        <f>IF(AND($B2657="",$C2657="",$D2657=""),"",IF(NOT(ISNUMBER($B2657)),"Enter a valid date",IF($C2657="","Pick a menu item",IF($O2657="","Item not on Menu Pricing",IF(N($D2657)&lt;=0,"Qty must be above 0",IF($H2657="","No price on menu","OK"))))))</f>
        <v/>
      </c>
      <c r="O2657" s="13">
        <f>IF($C2657="","",IFERROR(MATCH($C2657,'Menu Pricing'!$B$7:$B$56,0),""))</f>
        <v/>
      </c>
    </row>
    <row r="2658" ht="17" customHeight="1">
      <c r="B2658" s="66" t="n"/>
      <c r="C2658" s="60" t="n"/>
      <c r="D2658" s="86" t="n"/>
      <c r="E2658" s="63" t="n"/>
      <c r="F2658" s="60" t="n"/>
      <c r="G2658" s="60" t="n"/>
      <c r="H2658" s="71">
        <f>IF(OR($C2658="",$D2658=""),"",IF(ISNUMBER($E2658),$E2658,IF($O2658="","",IF(N(INDEX('Menu Pricing'!$O$7:$O$56,$O2658))&gt;0,INDEX('Menu Pricing'!$O$7:$O$56,$O2658),""))))</f>
        <v/>
      </c>
      <c r="I2658" s="71">
        <f>IF($N2658&lt;&gt;"OK","",$D2658*$H2658)</f>
        <v/>
      </c>
      <c r="J2658" s="71">
        <f>IF($N2658&lt;&gt;"OK","",N(INDEX('Menu Pricing'!$F$7:$F$56,$O2658))+N(INDEX('Menu Pricing'!$G$7:$G$56,$O2658))+N(INDEX('Menu Pricing'!$J$7:$J$56,$O2658)))</f>
        <v/>
      </c>
      <c r="K2658" s="71">
        <f>IF($N2658&lt;&gt;"OK","",$D2658*$J2658)</f>
        <v/>
      </c>
      <c r="L2658" s="71">
        <f>IF($N2658&lt;&gt;"OK","",$I2658-$K2658)</f>
        <v/>
      </c>
      <c r="M2658" s="71">
        <f>IF($N2658&lt;&gt;"OK","",$D2658*N(INDEX('Menu Pricing'!$F$7:$F$56,$O2658)))</f>
        <v/>
      </c>
      <c r="N2658" s="80">
        <f>IF(AND($B2658="",$C2658="",$D2658=""),"",IF(NOT(ISNUMBER($B2658)),"Enter a valid date",IF($C2658="","Pick a menu item",IF($O2658="","Item not on Menu Pricing",IF(N($D2658)&lt;=0,"Qty must be above 0",IF($H2658="","No price on menu","OK"))))))</f>
        <v/>
      </c>
      <c r="O2658" s="13">
        <f>IF($C2658="","",IFERROR(MATCH($C2658,'Menu Pricing'!$B$7:$B$56,0),""))</f>
        <v/>
      </c>
    </row>
    <row r="2659" ht="17" customHeight="1">
      <c r="B2659" s="66" t="n"/>
      <c r="C2659" s="60" t="n"/>
      <c r="D2659" s="86" t="n"/>
      <c r="E2659" s="63" t="n"/>
      <c r="F2659" s="60" t="n"/>
      <c r="G2659" s="60" t="n"/>
      <c r="H2659" s="71">
        <f>IF(OR($C2659="",$D2659=""),"",IF(ISNUMBER($E2659),$E2659,IF($O2659="","",IF(N(INDEX('Menu Pricing'!$O$7:$O$56,$O2659))&gt;0,INDEX('Menu Pricing'!$O$7:$O$56,$O2659),""))))</f>
        <v/>
      </c>
      <c r="I2659" s="71">
        <f>IF($N2659&lt;&gt;"OK","",$D2659*$H2659)</f>
        <v/>
      </c>
      <c r="J2659" s="71">
        <f>IF($N2659&lt;&gt;"OK","",N(INDEX('Menu Pricing'!$F$7:$F$56,$O2659))+N(INDEX('Menu Pricing'!$G$7:$G$56,$O2659))+N(INDEX('Menu Pricing'!$J$7:$J$56,$O2659)))</f>
        <v/>
      </c>
      <c r="K2659" s="71">
        <f>IF($N2659&lt;&gt;"OK","",$D2659*$J2659)</f>
        <v/>
      </c>
      <c r="L2659" s="71">
        <f>IF($N2659&lt;&gt;"OK","",$I2659-$K2659)</f>
        <v/>
      </c>
      <c r="M2659" s="71">
        <f>IF($N2659&lt;&gt;"OK","",$D2659*N(INDEX('Menu Pricing'!$F$7:$F$56,$O2659)))</f>
        <v/>
      </c>
      <c r="N2659" s="80">
        <f>IF(AND($B2659="",$C2659="",$D2659=""),"",IF(NOT(ISNUMBER($B2659)),"Enter a valid date",IF($C2659="","Pick a menu item",IF($O2659="","Item not on Menu Pricing",IF(N($D2659)&lt;=0,"Qty must be above 0",IF($H2659="","No price on menu","OK"))))))</f>
        <v/>
      </c>
      <c r="O2659" s="13">
        <f>IF($C2659="","",IFERROR(MATCH($C2659,'Menu Pricing'!$B$7:$B$56,0),""))</f>
        <v/>
      </c>
    </row>
    <row r="2660" ht="17" customHeight="1">
      <c r="B2660" s="66" t="n"/>
      <c r="C2660" s="60" t="n"/>
      <c r="D2660" s="86" t="n"/>
      <c r="E2660" s="63" t="n"/>
      <c r="F2660" s="60" t="n"/>
      <c r="G2660" s="60" t="n"/>
      <c r="H2660" s="71">
        <f>IF(OR($C2660="",$D2660=""),"",IF(ISNUMBER($E2660),$E2660,IF($O2660="","",IF(N(INDEX('Menu Pricing'!$O$7:$O$56,$O2660))&gt;0,INDEX('Menu Pricing'!$O$7:$O$56,$O2660),""))))</f>
        <v/>
      </c>
      <c r="I2660" s="71">
        <f>IF($N2660&lt;&gt;"OK","",$D2660*$H2660)</f>
        <v/>
      </c>
      <c r="J2660" s="71">
        <f>IF($N2660&lt;&gt;"OK","",N(INDEX('Menu Pricing'!$F$7:$F$56,$O2660))+N(INDEX('Menu Pricing'!$G$7:$G$56,$O2660))+N(INDEX('Menu Pricing'!$J$7:$J$56,$O2660)))</f>
        <v/>
      </c>
      <c r="K2660" s="71">
        <f>IF($N2660&lt;&gt;"OK","",$D2660*$J2660)</f>
        <v/>
      </c>
      <c r="L2660" s="71">
        <f>IF($N2660&lt;&gt;"OK","",$I2660-$K2660)</f>
        <v/>
      </c>
      <c r="M2660" s="71">
        <f>IF($N2660&lt;&gt;"OK","",$D2660*N(INDEX('Menu Pricing'!$F$7:$F$56,$O2660)))</f>
        <v/>
      </c>
      <c r="N2660" s="80">
        <f>IF(AND($B2660="",$C2660="",$D2660=""),"",IF(NOT(ISNUMBER($B2660)),"Enter a valid date",IF($C2660="","Pick a menu item",IF($O2660="","Item not on Menu Pricing",IF(N($D2660)&lt;=0,"Qty must be above 0",IF($H2660="","No price on menu","OK"))))))</f>
        <v/>
      </c>
      <c r="O2660" s="13">
        <f>IF($C2660="","",IFERROR(MATCH($C2660,'Menu Pricing'!$B$7:$B$56,0),""))</f>
        <v/>
      </c>
    </row>
    <row r="2661" ht="17" customHeight="1">
      <c r="B2661" s="66" t="n"/>
      <c r="C2661" s="60" t="n"/>
      <c r="D2661" s="86" t="n"/>
      <c r="E2661" s="63" t="n"/>
      <c r="F2661" s="60" t="n"/>
      <c r="G2661" s="60" t="n"/>
      <c r="H2661" s="71">
        <f>IF(OR($C2661="",$D2661=""),"",IF(ISNUMBER($E2661),$E2661,IF($O2661="","",IF(N(INDEX('Menu Pricing'!$O$7:$O$56,$O2661))&gt;0,INDEX('Menu Pricing'!$O$7:$O$56,$O2661),""))))</f>
        <v/>
      </c>
      <c r="I2661" s="71">
        <f>IF($N2661&lt;&gt;"OK","",$D2661*$H2661)</f>
        <v/>
      </c>
      <c r="J2661" s="71">
        <f>IF($N2661&lt;&gt;"OK","",N(INDEX('Menu Pricing'!$F$7:$F$56,$O2661))+N(INDEX('Menu Pricing'!$G$7:$G$56,$O2661))+N(INDEX('Menu Pricing'!$J$7:$J$56,$O2661)))</f>
        <v/>
      </c>
      <c r="K2661" s="71">
        <f>IF($N2661&lt;&gt;"OK","",$D2661*$J2661)</f>
        <v/>
      </c>
      <c r="L2661" s="71">
        <f>IF($N2661&lt;&gt;"OK","",$I2661-$K2661)</f>
        <v/>
      </c>
      <c r="M2661" s="71">
        <f>IF($N2661&lt;&gt;"OK","",$D2661*N(INDEX('Menu Pricing'!$F$7:$F$56,$O2661)))</f>
        <v/>
      </c>
      <c r="N2661" s="80">
        <f>IF(AND($B2661="",$C2661="",$D2661=""),"",IF(NOT(ISNUMBER($B2661)),"Enter a valid date",IF($C2661="","Pick a menu item",IF($O2661="","Item not on Menu Pricing",IF(N($D2661)&lt;=0,"Qty must be above 0",IF($H2661="","No price on menu","OK"))))))</f>
        <v/>
      </c>
      <c r="O2661" s="13">
        <f>IF($C2661="","",IFERROR(MATCH($C2661,'Menu Pricing'!$B$7:$B$56,0),""))</f>
        <v/>
      </c>
    </row>
    <row r="2662" ht="17" customHeight="1">
      <c r="B2662" s="66" t="n"/>
      <c r="C2662" s="60" t="n"/>
      <c r="D2662" s="86" t="n"/>
      <c r="E2662" s="63" t="n"/>
      <c r="F2662" s="60" t="n"/>
      <c r="G2662" s="60" t="n"/>
      <c r="H2662" s="71">
        <f>IF(OR($C2662="",$D2662=""),"",IF(ISNUMBER($E2662),$E2662,IF($O2662="","",IF(N(INDEX('Menu Pricing'!$O$7:$O$56,$O2662))&gt;0,INDEX('Menu Pricing'!$O$7:$O$56,$O2662),""))))</f>
        <v/>
      </c>
      <c r="I2662" s="71">
        <f>IF($N2662&lt;&gt;"OK","",$D2662*$H2662)</f>
        <v/>
      </c>
      <c r="J2662" s="71">
        <f>IF($N2662&lt;&gt;"OK","",N(INDEX('Menu Pricing'!$F$7:$F$56,$O2662))+N(INDEX('Menu Pricing'!$G$7:$G$56,$O2662))+N(INDEX('Menu Pricing'!$J$7:$J$56,$O2662)))</f>
        <v/>
      </c>
      <c r="K2662" s="71">
        <f>IF($N2662&lt;&gt;"OK","",$D2662*$J2662)</f>
        <v/>
      </c>
      <c r="L2662" s="71">
        <f>IF($N2662&lt;&gt;"OK","",$I2662-$K2662)</f>
        <v/>
      </c>
      <c r="M2662" s="71">
        <f>IF($N2662&lt;&gt;"OK","",$D2662*N(INDEX('Menu Pricing'!$F$7:$F$56,$O2662)))</f>
        <v/>
      </c>
      <c r="N2662" s="80">
        <f>IF(AND($B2662="",$C2662="",$D2662=""),"",IF(NOT(ISNUMBER($B2662)),"Enter a valid date",IF($C2662="","Pick a menu item",IF($O2662="","Item not on Menu Pricing",IF(N($D2662)&lt;=0,"Qty must be above 0",IF($H2662="","No price on menu","OK"))))))</f>
        <v/>
      </c>
      <c r="O2662" s="13">
        <f>IF($C2662="","",IFERROR(MATCH($C2662,'Menu Pricing'!$B$7:$B$56,0),""))</f>
        <v/>
      </c>
    </row>
    <row r="2663" ht="17" customHeight="1">
      <c r="B2663" s="66" t="n"/>
      <c r="C2663" s="60" t="n"/>
      <c r="D2663" s="86" t="n"/>
      <c r="E2663" s="63" t="n"/>
      <c r="F2663" s="60" t="n"/>
      <c r="G2663" s="60" t="n"/>
      <c r="H2663" s="71">
        <f>IF(OR($C2663="",$D2663=""),"",IF(ISNUMBER($E2663),$E2663,IF($O2663="","",IF(N(INDEX('Menu Pricing'!$O$7:$O$56,$O2663))&gt;0,INDEX('Menu Pricing'!$O$7:$O$56,$O2663),""))))</f>
        <v/>
      </c>
      <c r="I2663" s="71">
        <f>IF($N2663&lt;&gt;"OK","",$D2663*$H2663)</f>
        <v/>
      </c>
      <c r="J2663" s="71">
        <f>IF($N2663&lt;&gt;"OK","",N(INDEX('Menu Pricing'!$F$7:$F$56,$O2663))+N(INDEX('Menu Pricing'!$G$7:$G$56,$O2663))+N(INDEX('Menu Pricing'!$J$7:$J$56,$O2663)))</f>
        <v/>
      </c>
      <c r="K2663" s="71">
        <f>IF($N2663&lt;&gt;"OK","",$D2663*$J2663)</f>
        <v/>
      </c>
      <c r="L2663" s="71">
        <f>IF($N2663&lt;&gt;"OK","",$I2663-$K2663)</f>
        <v/>
      </c>
      <c r="M2663" s="71">
        <f>IF($N2663&lt;&gt;"OK","",$D2663*N(INDEX('Menu Pricing'!$F$7:$F$56,$O2663)))</f>
        <v/>
      </c>
      <c r="N2663" s="80">
        <f>IF(AND($B2663="",$C2663="",$D2663=""),"",IF(NOT(ISNUMBER($B2663)),"Enter a valid date",IF($C2663="","Pick a menu item",IF($O2663="","Item not on Menu Pricing",IF(N($D2663)&lt;=0,"Qty must be above 0",IF($H2663="","No price on menu","OK"))))))</f>
        <v/>
      </c>
      <c r="O2663" s="13">
        <f>IF($C2663="","",IFERROR(MATCH($C2663,'Menu Pricing'!$B$7:$B$56,0),""))</f>
        <v/>
      </c>
    </row>
    <row r="2664" ht="17" customHeight="1">
      <c r="B2664" s="66" t="n"/>
      <c r="C2664" s="60" t="n"/>
      <c r="D2664" s="86" t="n"/>
      <c r="E2664" s="63" t="n"/>
      <c r="F2664" s="60" t="n"/>
      <c r="G2664" s="60" t="n"/>
      <c r="H2664" s="71">
        <f>IF(OR($C2664="",$D2664=""),"",IF(ISNUMBER($E2664),$E2664,IF($O2664="","",IF(N(INDEX('Menu Pricing'!$O$7:$O$56,$O2664))&gt;0,INDEX('Menu Pricing'!$O$7:$O$56,$O2664),""))))</f>
        <v/>
      </c>
      <c r="I2664" s="71">
        <f>IF($N2664&lt;&gt;"OK","",$D2664*$H2664)</f>
        <v/>
      </c>
      <c r="J2664" s="71">
        <f>IF($N2664&lt;&gt;"OK","",N(INDEX('Menu Pricing'!$F$7:$F$56,$O2664))+N(INDEX('Menu Pricing'!$G$7:$G$56,$O2664))+N(INDEX('Menu Pricing'!$J$7:$J$56,$O2664)))</f>
        <v/>
      </c>
      <c r="K2664" s="71">
        <f>IF($N2664&lt;&gt;"OK","",$D2664*$J2664)</f>
        <v/>
      </c>
      <c r="L2664" s="71">
        <f>IF($N2664&lt;&gt;"OK","",$I2664-$K2664)</f>
        <v/>
      </c>
      <c r="M2664" s="71">
        <f>IF($N2664&lt;&gt;"OK","",$D2664*N(INDEX('Menu Pricing'!$F$7:$F$56,$O2664)))</f>
        <v/>
      </c>
      <c r="N2664" s="80">
        <f>IF(AND($B2664="",$C2664="",$D2664=""),"",IF(NOT(ISNUMBER($B2664)),"Enter a valid date",IF($C2664="","Pick a menu item",IF($O2664="","Item not on Menu Pricing",IF(N($D2664)&lt;=0,"Qty must be above 0",IF($H2664="","No price on menu","OK"))))))</f>
        <v/>
      </c>
      <c r="O2664" s="13">
        <f>IF($C2664="","",IFERROR(MATCH($C2664,'Menu Pricing'!$B$7:$B$56,0),""))</f>
        <v/>
      </c>
    </row>
    <row r="2665" ht="17" customHeight="1">
      <c r="B2665" s="66" t="n"/>
      <c r="C2665" s="60" t="n"/>
      <c r="D2665" s="86" t="n"/>
      <c r="E2665" s="63" t="n"/>
      <c r="F2665" s="60" t="n"/>
      <c r="G2665" s="60" t="n"/>
      <c r="H2665" s="71">
        <f>IF(OR($C2665="",$D2665=""),"",IF(ISNUMBER($E2665),$E2665,IF($O2665="","",IF(N(INDEX('Menu Pricing'!$O$7:$O$56,$O2665))&gt;0,INDEX('Menu Pricing'!$O$7:$O$56,$O2665),""))))</f>
        <v/>
      </c>
      <c r="I2665" s="71">
        <f>IF($N2665&lt;&gt;"OK","",$D2665*$H2665)</f>
        <v/>
      </c>
      <c r="J2665" s="71">
        <f>IF($N2665&lt;&gt;"OK","",N(INDEX('Menu Pricing'!$F$7:$F$56,$O2665))+N(INDEX('Menu Pricing'!$G$7:$G$56,$O2665))+N(INDEX('Menu Pricing'!$J$7:$J$56,$O2665)))</f>
        <v/>
      </c>
      <c r="K2665" s="71">
        <f>IF($N2665&lt;&gt;"OK","",$D2665*$J2665)</f>
        <v/>
      </c>
      <c r="L2665" s="71">
        <f>IF($N2665&lt;&gt;"OK","",$I2665-$K2665)</f>
        <v/>
      </c>
      <c r="M2665" s="71">
        <f>IF($N2665&lt;&gt;"OK","",$D2665*N(INDEX('Menu Pricing'!$F$7:$F$56,$O2665)))</f>
        <v/>
      </c>
      <c r="N2665" s="80">
        <f>IF(AND($B2665="",$C2665="",$D2665=""),"",IF(NOT(ISNUMBER($B2665)),"Enter a valid date",IF($C2665="","Pick a menu item",IF($O2665="","Item not on Menu Pricing",IF(N($D2665)&lt;=0,"Qty must be above 0",IF($H2665="","No price on menu","OK"))))))</f>
        <v/>
      </c>
      <c r="O2665" s="13">
        <f>IF($C2665="","",IFERROR(MATCH($C2665,'Menu Pricing'!$B$7:$B$56,0),""))</f>
        <v/>
      </c>
    </row>
    <row r="2666" ht="17" customHeight="1">
      <c r="B2666" s="66" t="n"/>
      <c r="C2666" s="60" t="n"/>
      <c r="D2666" s="86" t="n"/>
      <c r="E2666" s="63" t="n"/>
      <c r="F2666" s="60" t="n"/>
      <c r="G2666" s="60" t="n"/>
      <c r="H2666" s="71">
        <f>IF(OR($C2666="",$D2666=""),"",IF(ISNUMBER($E2666),$E2666,IF($O2666="","",IF(N(INDEX('Menu Pricing'!$O$7:$O$56,$O2666))&gt;0,INDEX('Menu Pricing'!$O$7:$O$56,$O2666),""))))</f>
        <v/>
      </c>
      <c r="I2666" s="71">
        <f>IF($N2666&lt;&gt;"OK","",$D2666*$H2666)</f>
        <v/>
      </c>
      <c r="J2666" s="71">
        <f>IF($N2666&lt;&gt;"OK","",N(INDEX('Menu Pricing'!$F$7:$F$56,$O2666))+N(INDEX('Menu Pricing'!$G$7:$G$56,$O2666))+N(INDEX('Menu Pricing'!$J$7:$J$56,$O2666)))</f>
        <v/>
      </c>
      <c r="K2666" s="71">
        <f>IF($N2666&lt;&gt;"OK","",$D2666*$J2666)</f>
        <v/>
      </c>
      <c r="L2666" s="71">
        <f>IF($N2666&lt;&gt;"OK","",$I2666-$K2666)</f>
        <v/>
      </c>
      <c r="M2666" s="71">
        <f>IF($N2666&lt;&gt;"OK","",$D2666*N(INDEX('Menu Pricing'!$F$7:$F$56,$O2666)))</f>
        <v/>
      </c>
      <c r="N2666" s="80">
        <f>IF(AND($B2666="",$C2666="",$D2666=""),"",IF(NOT(ISNUMBER($B2666)),"Enter a valid date",IF($C2666="","Pick a menu item",IF($O2666="","Item not on Menu Pricing",IF(N($D2666)&lt;=0,"Qty must be above 0",IF($H2666="","No price on menu","OK"))))))</f>
        <v/>
      </c>
      <c r="O2666" s="13">
        <f>IF($C2666="","",IFERROR(MATCH($C2666,'Menu Pricing'!$B$7:$B$56,0),""))</f>
        <v/>
      </c>
    </row>
    <row r="2667" ht="17" customHeight="1">
      <c r="B2667" s="66" t="n"/>
      <c r="C2667" s="60" t="n"/>
      <c r="D2667" s="86" t="n"/>
      <c r="E2667" s="63" t="n"/>
      <c r="F2667" s="60" t="n"/>
      <c r="G2667" s="60" t="n"/>
      <c r="H2667" s="71">
        <f>IF(OR($C2667="",$D2667=""),"",IF(ISNUMBER($E2667),$E2667,IF($O2667="","",IF(N(INDEX('Menu Pricing'!$O$7:$O$56,$O2667))&gt;0,INDEX('Menu Pricing'!$O$7:$O$56,$O2667),""))))</f>
        <v/>
      </c>
      <c r="I2667" s="71">
        <f>IF($N2667&lt;&gt;"OK","",$D2667*$H2667)</f>
        <v/>
      </c>
      <c r="J2667" s="71">
        <f>IF($N2667&lt;&gt;"OK","",N(INDEX('Menu Pricing'!$F$7:$F$56,$O2667))+N(INDEX('Menu Pricing'!$G$7:$G$56,$O2667))+N(INDEX('Menu Pricing'!$J$7:$J$56,$O2667)))</f>
        <v/>
      </c>
      <c r="K2667" s="71">
        <f>IF($N2667&lt;&gt;"OK","",$D2667*$J2667)</f>
        <v/>
      </c>
      <c r="L2667" s="71">
        <f>IF($N2667&lt;&gt;"OK","",$I2667-$K2667)</f>
        <v/>
      </c>
      <c r="M2667" s="71">
        <f>IF($N2667&lt;&gt;"OK","",$D2667*N(INDEX('Menu Pricing'!$F$7:$F$56,$O2667)))</f>
        <v/>
      </c>
      <c r="N2667" s="80">
        <f>IF(AND($B2667="",$C2667="",$D2667=""),"",IF(NOT(ISNUMBER($B2667)),"Enter a valid date",IF($C2667="","Pick a menu item",IF($O2667="","Item not on Menu Pricing",IF(N($D2667)&lt;=0,"Qty must be above 0",IF($H2667="","No price on menu","OK"))))))</f>
        <v/>
      </c>
      <c r="O2667" s="13">
        <f>IF($C2667="","",IFERROR(MATCH($C2667,'Menu Pricing'!$B$7:$B$56,0),""))</f>
        <v/>
      </c>
    </row>
    <row r="2668" ht="17" customHeight="1">
      <c r="B2668" s="66" t="n"/>
      <c r="C2668" s="60" t="n"/>
      <c r="D2668" s="86" t="n"/>
      <c r="E2668" s="63" t="n"/>
      <c r="F2668" s="60" t="n"/>
      <c r="G2668" s="60" t="n"/>
      <c r="H2668" s="71">
        <f>IF(OR($C2668="",$D2668=""),"",IF(ISNUMBER($E2668),$E2668,IF($O2668="","",IF(N(INDEX('Menu Pricing'!$O$7:$O$56,$O2668))&gt;0,INDEX('Menu Pricing'!$O$7:$O$56,$O2668),""))))</f>
        <v/>
      </c>
      <c r="I2668" s="71">
        <f>IF($N2668&lt;&gt;"OK","",$D2668*$H2668)</f>
        <v/>
      </c>
      <c r="J2668" s="71">
        <f>IF($N2668&lt;&gt;"OK","",N(INDEX('Menu Pricing'!$F$7:$F$56,$O2668))+N(INDEX('Menu Pricing'!$G$7:$G$56,$O2668))+N(INDEX('Menu Pricing'!$J$7:$J$56,$O2668)))</f>
        <v/>
      </c>
      <c r="K2668" s="71">
        <f>IF($N2668&lt;&gt;"OK","",$D2668*$J2668)</f>
        <v/>
      </c>
      <c r="L2668" s="71">
        <f>IF($N2668&lt;&gt;"OK","",$I2668-$K2668)</f>
        <v/>
      </c>
      <c r="M2668" s="71">
        <f>IF($N2668&lt;&gt;"OK","",$D2668*N(INDEX('Menu Pricing'!$F$7:$F$56,$O2668)))</f>
        <v/>
      </c>
      <c r="N2668" s="80">
        <f>IF(AND($B2668="",$C2668="",$D2668=""),"",IF(NOT(ISNUMBER($B2668)),"Enter a valid date",IF($C2668="","Pick a menu item",IF($O2668="","Item not on Menu Pricing",IF(N($D2668)&lt;=0,"Qty must be above 0",IF($H2668="","No price on menu","OK"))))))</f>
        <v/>
      </c>
      <c r="O2668" s="13">
        <f>IF($C2668="","",IFERROR(MATCH($C2668,'Menu Pricing'!$B$7:$B$56,0),""))</f>
        <v/>
      </c>
    </row>
    <row r="2669" ht="17" customHeight="1">
      <c r="B2669" s="66" t="n"/>
      <c r="C2669" s="60" t="n"/>
      <c r="D2669" s="86" t="n"/>
      <c r="E2669" s="63" t="n"/>
      <c r="F2669" s="60" t="n"/>
      <c r="G2669" s="60" t="n"/>
      <c r="H2669" s="71">
        <f>IF(OR($C2669="",$D2669=""),"",IF(ISNUMBER($E2669),$E2669,IF($O2669="","",IF(N(INDEX('Menu Pricing'!$O$7:$O$56,$O2669))&gt;0,INDEX('Menu Pricing'!$O$7:$O$56,$O2669),""))))</f>
        <v/>
      </c>
      <c r="I2669" s="71">
        <f>IF($N2669&lt;&gt;"OK","",$D2669*$H2669)</f>
        <v/>
      </c>
      <c r="J2669" s="71">
        <f>IF($N2669&lt;&gt;"OK","",N(INDEX('Menu Pricing'!$F$7:$F$56,$O2669))+N(INDEX('Menu Pricing'!$G$7:$G$56,$O2669))+N(INDEX('Menu Pricing'!$J$7:$J$56,$O2669)))</f>
        <v/>
      </c>
      <c r="K2669" s="71">
        <f>IF($N2669&lt;&gt;"OK","",$D2669*$J2669)</f>
        <v/>
      </c>
      <c r="L2669" s="71">
        <f>IF($N2669&lt;&gt;"OK","",$I2669-$K2669)</f>
        <v/>
      </c>
      <c r="M2669" s="71">
        <f>IF($N2669&lt;&gt;"OK","",$D2669*N(INDEX('Menu Pricing'!$F$7:$F$56,$O2669)))</f>
        <v/>
      </c>
      <c r="N2669" s="80">
        <f>IF(AND($B2669="",$C2669="",$D2669=""),"",IF(NOT(ISNUMBER($B2669)),"Enter a valid date",IF($C2669="","Pick a menu item",IF($O2669="","Item not on Menu Pricing",IF(N($D2669)&lt;=0,"Qty must be above 0",IF($H2669="","No price on menu","OK"))))))</f>
        <v/>
      </c>
      <c r="O2669" s="13">
        <f>IF($C2669="","",IFERROR(MATCH($C2669,'Menu Pricing'!$B$7:$B$56,0),""))</f>
        <v/>
      </c>
    </row>
    <row r="2670" ht="17" customHeight="1">
      <c r="B2670" s="66" t="n"/>
      <c r="C2670" s="60" t="n"/>
      <c r="D2670" s="86" t="n"/>
      <c r="E2670" s="63" t="n"/>
      <c r="F2670" s="60" t="n"/>
      <c r="G2670" s="60" t="n"/>
      <c r="H2670" s="71">
        <f>IF(OR($C2670="",$D2670=""),"",IF(ISNUMBER($E2670),$E2670,IF($O2670="","",IF(N(INDEX('Menu Pricing'!$O$7:$O$56,$O2670))&gt;0,INDEX('Menu Pricing'!$O$7:$O$56,$O2670),""))))</f>
        <v/>
      </c>
      <c r="I2670" s="71">
        <f>IF($N2670&lt;&gt;"OK","",$D2670*$H2670)</f>
        <v/>
      </c>
      <c r="J2670" s="71">
        <f>IF($N2670&lt;&gt;"OK","",N(INDEX('Menu Pricing'!$F$7:$F$56,$O2670))+N(INDEX('Menu Pricing'!$G$7:$G$56,$O2670))+N(INDEX('Menu Pricing'!$J$7:$J$56,$O2670)))</f>
        <v/>
      </c>
      <c r="K2670" s="71">
        <f>IF($N2670&lt;&gt;"OK","",$D2670*$J2670)</f>
        <v/>
      </c>
      <c r="L2670" s="71">
        <f>IF($N2670&lt;&gt;"OK","",$I2670-$K2670)</f>
        <v/>
      </c>
      <c r="M2670" s="71">
        <f>IF($N2670&lt;&gt;"OK","",$D2670*N(INDEX('Menu Pricing'!$F$7:$F$56,$O2670)))</f>
        <v/>
      </c>
      <c r="N2670" s="80">
        <f>IF(AND($B2670="",$C2670="",$D2670=""),"",IF(NOT(ISNUMBER($B2670)),"Enter a valid date",IF($C2670="","Pick a menu item",IF($O2670="","Item not on Menu Pricing",IF(N($D2670)&lt;=0,"Qty must be above 0",IF($H2670="","No price on menu","OK"))))))</f>
        <v/>
      </c>
      <c r="O2670" s="13">
        <f>IF($C2670="","",IFERROR(MATCH($C2670,'Menu Pricing'!$B$7:$B$56,0),""))</f>
        <v/>
      </c>
    </row>
    <row r="2671" ht="17" customHeight="1">
      <c r="B2671" s="66" t="n"/>
      <c r="C2671" s="60" t="n"/>
      <c r="D2671" s="86" t="n"/>
      <c r="E2671" s="63" t="n"/>
      <c r="F2671" s="60" t="n"/>
      <c r="G2671" s="60" t="n"/>
      <c r="H2671" s="71">
        <f>IF(OR($C2671="",$D2671=""),"",IF(ISNUMBER($E2671),$E2671,IF($O2671="","",IF(N(INDEX('Menu Pricing'!$O$7:$O$56,$O2671))&gt;0,INDEX('Menu Pricing'!$O$7:$O$56,$O2671),""))))</f>
        <v/>
      </c>
      <c r="I2671" s="71">
        <f>IF($N2671&lt;&gt;"OK","",$D2671*$H2671)</f>
        <v/>
      </c>
      <c r="J2671" s="71">
        <f>IF($N2671&lt;&gt;"OK","",N(INDEX('Menu Pricing'!$F$7:$F$56,$O2671))+N(INDEX('Menu Pricing'!$G$7:$G$56,$O2671))+N(INDEX('Menu Pricing'!$J$7:$J$56,$O2671)))</f>
        <v/>
      </c>
      <c r="K2671" s="71">
        <f>IF($N2671&lt;&gt;"OK","",$D2671*$J2671)</f>
        <v/>
      </c>
      <c r="L2671" s="71">
        <f>IF($N2671&lt;&gt;"OK","",$I2671-$K2671)</f>
        <v/>
      </c>
      <c r="M2671" s="71">
        <f>IF($N2671&lt;&gt;"OK","",$D2671*N(INDEX('Menu Pricing'!$F$7:$F$56,$O2671)))</f>
        <v/>
      </c>
      <c r="N2671" s="80">
        <f>IF(AND($B2671="",$C2671="",$D2671=""),"",IF(NOT(ISNUMBER($B2671)),"Enter a valid date",IF($C2671="","Pick a menu item",IF($O2671="","Item not on Menu Pricing",IF(N($D2671)&lt;=0,"Qty must be above 0",IF($H2671="","No price on menu","OK"))))))</f>
        <v/>
      </c>
      <c r="O2671" s="13">
        <f>IF($C2671="","",IFERROR(MATCH($C2671,'Menu Pricing'!$B$7:$B$56,0),""))</f>
        <v/>
      </c>
    </row>
    <row r="2672" ht="17" customHeight="1">
      <c r="B2672" s="66" t="n"/>
      <c r="C2672" s="60" t="n"/>
      <c r="D2672" s="86" t="n"/>
      <c r="E2672" s="63" t="n"/>
      <c r="F2672" s="60" t="n"/>
      <c r="G2672" s="60" t="n"/>
      <c r="H2672" s="71">
        <f>IF(OR($C2672="",$D2672=""),"",IF(ISNUMBER($E2672),$E2672,IF($O2672="","",IF(N(INDEX('Menu Pricing'!$O$7:$O$56,$O2672))&gt;0,INDEX('Menu Pricing'!$O$7:$O$56,$O2672),""))))</f>
        <v/>
      </c>
      <c r="I2672" s="71">
        <f>IF($N2672&lt;&gt;"OK","",$D2672*$H2672)</f>
        <v/>
      </c>
      <c r="J2672" s="71">
        <f>IF($N2672&lt;&gt;"OK","",N(INDEX('Menu Pricing'!$F$7:$F$56,$O2672))+N(INDEX('Menu Pricing'!$G$7:$G$56,$O2672))+N(INDEX('Menu Pricing'!$J$7:$J$56,$O2672)))</f>
        <v/>
      </c>
      <c r="K2672" s="71">
        <f>IF($N2672&lt;&gt;"OK","",$D2672*$J2672)</f>
        <v/>
      </c>
      <c r="L2672" s="71">
        <f>IF($N2672&lt;&gt;"OK","",$I2672-$K2672)</f>
        <v/>
      </c>
      <c r="M2672" s="71">
        <f>IF($N2672&lt;&gt;"OK","",$D2672*N(INDEX('Menu Pricing'!$F$7:$F$56,$O2672)))</f>
        <v/>
      </c>
      <c r="N2672" s="80">
        <f>IF(AND($B2672="",$C2672="",$D2672=""),"",IF(NOT(ISNUMBER($B2672)),"Enter a valid date",IF($C2672="","Pick a menu item",IF($O2672="","Item not on Menu Pricing",IF(N($D2672)&lt;=0,"Qty must be above 0",IF($H2672="","No price on menu","OK"))))))</f>
        <v/>
      </c>
      <c r="O2672" s="13">
        <f>IF($C2672="","",IFERROR(MATCH($C2672,'Menu Pricing'!$B$7:$B$56,0),""))</f>
        <v/>
      </c>
    </row>
    <row r="2673" ht="17" customHeight="1">
      <c r="B2673" s="66" t="n"/>
      <c r="C2673" s="60" t="n"/>
      <c r="D2673" s="86" t="n"/>
      <c r="E2673" s="63" t="n"/>
      <c r="F2673" s="60" t="n"/>
      <c r="G2673" s="60" t="n"/>
      <c r="H2673" s="71">
        <f>IF(OR($C2673="",$D2673=""),"",IF(ISNUMBER($E2673),$E2673,IF($O2673="","",IF(N(INDEX('Menu Pricing'!$O$7:$O$56,$O2673))&gt;0,INDEX('Menu Pricing'!$O$7:$O$56,$O2673),""))))</f>
        <v/>
      </c>
      <c r="I2673" s="71">
        <f>IF($N2673&lt;&gt;"OK","",$D2673*$H2673)</f>
        <v/>
      </c>
      <c r="J2673" s="71">
        <f>IF($N2673&lt;&gt;"OK","",N(INDEX('Menu Pricing'!$F$7:$F$56,$O2673))+N(INDEX('Menu Pricing'!$G$7:$G$56,$O2673))+N(INDEX('Menu Pricing'!$J$7:$J$56,$O2673)))</f>
        <v/>
      </c>
      <c r="K2673" s="71">
        <f>IF($N2673&lt;&gt;"OK","",$D2673*$J2673)</f>
        <v/>
      </c>
      <c r="L2673" s="71">
        <f>IF($N2673&lt;&gt;"OK","",$I2673-$K2673)</f>
        <v/>
      </c>
      <c r="M2673" s="71">
        <f>IF($N2673&lt;&gt;"OK","",$D2673*N(INDEX('Menu Pricing'!$F$7:$F$56,$O2673)))</f>
        <v/>
      </c>
      <c r="N2673" s="80">
        <f>IF(AND($B2673="",$C2673="",$D2673=""),"",IF(NOT(ISNUMBER($B2673)),"Enter a valid date",IF($C2673="","Pick a menu item",IF($O2673="","Item not on Menu Pricing",IF(N($D2673)&lt;=0,"Qty must be above 0",IF($H2673="","No price on menu","OK"))))))</f>
        <v/>
      </c>
      <c r="O2673" s="13">
        <f>IF($C2673="","",IFERROR(MATCH($C2673,'Menu Pricing'!$B$7:$B$56,0),""))</f>
        <v/>
      </c>
    </row>
    <row r="2674" ht="17" customHeight="1">
      <c r="B2674" s="66" t="n"/>
      <c r="C2674" s="60" t="n"/>
      <c r="D2674" s="86" t="n"/>
      <c r="E2674" s="63" t="n"/>
      <c r="F2674" s="60" t="n"/>
      <c r="G2674" s="60" t="n"/>
      <c r="H2674" s="71">
        <f>IF(OR($C2674="",$D2674=""),"",IF(ISNUMBER($E2674),$E2674,IF($O2674="","",IF(N(INDEX('Menu Pricing'!$O$7:$O$56,$O2674))&gt;0,INDEX('Menu Pricing'!$O$7:$O$56,$O2674),""))))</f>
        <v/>
      </c>
      <c r="I2674" s="71">
        <f>IF($N2674&lt;&gt;"OK","",$D2674*$H2674)</f>
        <v/>
      </c>
      <c r="J2674" s="71">
        <f>IF($N2674&lt;&gt;"OK","",N(INDEX('Menu Pricing'!$F$7:$F$56,$O2674))+N(INDEX('Menu Pricing'!$G$7:$G$56,$O2674))+N(INDEX('Menu Pricing'!$J$7:$J$56,$O2674)))</f>
        <v/>
      </c>
      <c r="K2674" s="71">
        <f>IF($N2674&lt;&gt;"OK","",$D2674*$J2674)</f>
        <v/>
      </c>
      <c r="L2674" s="71">
        <f>IF($N2674&lt;&gt;"OK","",$I2674-$K2674)</f>
        <v/>
      </c>
      <c r="M2674" s="71">
        <f>IF($N2674&lt;&gt;"OK","",$D2674*N(INDEX('Menu Pricing'!$F$7:$F$56,$O2674)))</f>
        <v/>
      </c>
      <c r="N2674" s="80">
        <f>IF(AND($B2674="",$C2674="",$D2674=""),"",IF(NOT(ISNUMBER($B2674)),"Enter a valid date",IF($C2674="","Pick a menu item",IF($O2674="","Item not on Menu Pricing",IF(N($D2674)&lt;=0,"Qty must be above 0",IF($H2674="","No price on menu","OK"))))))</f>
        <v/>
      </c>
      <c r="O2674" s="13">
        <f>IF($C2674="","",IFERROR(MATCH($C2674,'Menu Pricing'!$B$7:$B$56,0),""))</f>
        <v/>
      </c>
    </row>
    <row r="2675" ht="17" customHeight="1">
      <c r="B2675" s="66" t="n"/>
      <c r="C2675" s="60" t="n"/>
      <c r="D2675" s="86" t="n"/>
      <c r="E2675" s="63" t="n"/>
      <c r="F2675" s="60" t="n"/>
      <c r="G2675" s="60" t="n"/>
      <c r="H2675" s="71">
        <f>IF(OR($C2675="",$D2675=""),"",IF(ISNUMBER($E2675),$E2675,IF($O2675="","",IF(N(INDEX('Menu Pricing'!$O$7:$O$56,$O2675))&gt;0,INDEX('Menu Pricing'!$O$7:$O$56,$O2675),""))))</f>
        <v/>
      </c>
      <c r="I2675" s="71">
        <f>IF($N2675&lt;&gt;"OK","",$D2675*$H2675)</f>
        <v/>
      </c>
      <c r="J2675" s="71">
        <f>IF($N2675&lt;&gt;"OK","",N(INDEX('Menu Pricing'!$F$7:$F$56,$O2675))+N(INDEX('Menu Pricing'!$G$7:$G$56,$O2675))+N(INDEX('Menu Pricing'!$J$7:$J$56,$O2675)))</f>
        <v/>
      </c>
      <c r="K2675" s="71">
        <f>IF($N2675&lt;&gt;"OK","",$D2675*$J2675)</f>
        <v/>
      </c>
      <c r="L2675" s="71">
        <f>IF($N2675&lt;&gt;"OK","",$I2675-$K2675)</f>
        <v/>
      </c>
      <c r="M2675" s="71">
        <f>IF($N2675&lt;&gt;"OK","",$D2675*N(INDEX('Menu Pricing'!$F$7:$F$56,$O2675)))</f>
        <v/>
      </c>
      <c r="N2675" s="80">
        <f>IF(AND($B2675="",$C2675="",$D2675=""),"",IF(NOT(ISNUMBER($B2675)),"Enter a valid date",IF($C2675="","Pick a menu item",IF($O2675="","Item not on Menu Pricing",IF(N($D2675)&lt;=0,"Qty must be above 0",IF($H2675="","No price on menu","OK"))))))</f>
        <v/>
      </c>
      <c r="O2675" s="13">
        <f>IF($C2675="","",IFERROR(MATCH($C2675,'Menu Pricing'!$B$7:$B$56,0),""))</f>
        <v/>
      </c>
    </row>
    <row r="2676" ht="17" customHeight="1">
      <c r="B2676" s="66" t="n"/>
      <c r="C2676" s="60" t="n"/>
      <c r="D2676" s="86" t="n"/>
      <c r="E2676" s="63" t="n"/>
      <c r="F2676" s="60" t="n"/>
      <c r="G2676" s="60" t="n"/>
      <c r="H2676" s="71">
        <f>IF(OR($C2676="",$D2676=""),"",IF(ISNUMBER($E2676),$E2676,IF($O2676="","",IF(N(INDEX('Menu Pricing'!$O$7:$O$56,$O2676))&gt;0,INDEX('Menu Pricing'!$O$7:$O$56,$O2676),""))))</f>
        <v/>
      </c>
      <c r="I2676" s="71">
        <f>IF($N2676&lt;&gt;"OK","",$D2676*$H2676)</f>
        <v/>
      </c>
      <c r="J2676" s="71">
        <f>IF($N2676&lt;&gt;"OK","",N(INDEX('Menu Pricing'!$F$7:$F$56,$O2676))+N(INDEX('Menu Pricing'!$G$7:$G$56,$O2676))+N(INDEX('Menu Pricing'!$J$7:$J$56,$O2676)))</f>
        <v/>
      </c>
      <c r="K2676" s="71">
        <f>IF($N2676&lt;&gt;"OK","",$D2676*$J2676)</f>
        <v/>
      </c>
      <c r="L2676" s="71">
        <f>IF($N2676&lt;&gt;"OK","",$I2676-$K2676)</f>
        <v/>
      </c>
      <c r="M2676" s="71">
        <f>IF($N2676&lt;&gt;"OK","",$D2676*N(INDEX('Menu Pricing'!$F$7:$F$56,$O2676)))</f>
        <v/>
      </c>
      <c r="N2676" s="80">
        <f>IF(AND($B2676="",$C2676="",$D2676=""),"",IF(NOT(ISNUMBER($B2676)),"Enter a valid date",IF($C2676="","Pick a menu item",IF($O2676="","Item not on Menu Pricing",IF(N($D2676)&lt;=0,"Qty must be above 0",IF($H2676="","No price on menu","OK"))))))</f>
        <v/>
      </c>
      <c r="O2676" s="13">
        <f>IF($C2676="","",IFERROR(MATCH($C2676,'Menu Pricing'!$B$7:$B$56,0),""))</f>
        <v/>
      </c>
    </row>
    <row r="2677" ht="17" customHeight="1">
      <c r="B2677" s="66" t="n"/>
      <c r="C2677" s="60" t="n"/>
      <c r="D2677" s="86" t="n"/>
      <c r="E2677" s="63" t="n"/>
      <c r="F2677" s="60" t="n"/>
      <c r="G2677" s="60" t="n"/>
      <c r="H2677" s="71">
        <f>IF(OR($C2677="",$D2677=""),"",IF(ISNUMBER($E2677),$E2677,IF($O2677="","",IF(N(INDEX('Menu Pricing'!$O$7:$O$56,$O2677))&gt;0,INDEX('Menu Pricing'!$O$7:$O$56,$O2677),""))))</f>
        <v/>
      </c>
      <c r="I2677" s="71">
        <f>IF($N2677&lt;&gt;"OK","",$D2677*$H2677)</f>
        <v/>
      </c>
      <c r="J2677" s="71">
        <f>IF($N2677&lt;&gt;"OK","",N(INDEX('Menu Pricing'!$F$7:$F$56,$O2677))+N(INDEX('Menu Pricing'!$G$7:$G$56,$O2677))+N(INDEX('Menu Pricing'!$J$7:$J$56,$O2677)))</f>
        <v/>
      </c>
      <c r="K2677" s="71">
        <f>IF($N2677&lt;&gt;"OK","",$D2677*$J2677)</f>
        <v/>
      </c>
      <c r="L2677" s="71">
        <f>IF($N2677&lt;&gt;"OK","",$I2677-$K2677)</f>
        <v/>
      </c>
      <c r="M2677" s="71">
        <f>IF($N2677&lt;&gt;"OK","",$D2677*N(INDEX('Menu Pricing'!$F$7:$F$56,$O2677)))</f>
        <v/>
      </c>
      <c r="N2677" s="80">
        <f>IF(AND($B2677="",$C2677="",$D2677=""),"",IF(NOT(ISNUMBER($B2677)),"Enter a valid date",IF($C2677="","Pick a menu item",IF($O2677="","Item not on Menu Pricing",IF(N($D2677)&lt;=0,"Qty must be above 0",IF($H2677="","No price on menu","OK"))))))</f>
        <v/>
      </c>
      <c r="O2677" s="13">
        <f>IF($C2677="","",IFERROR(MATCH($C2677,'Menu Pricing'!$B$7:$B$56,0),""))</f>
        <v/>
      </c>
    </row>
    <row r="2678" ht="17" customHeight="1">
      <c r="B2678" s="66" t="n"/>
      <c r="C2678" s="60" t="n"/>
      <c r="D2678" s="86" t="n"/>
      <c r="E2678" s="63" t="n"/>
      <c r="F2678" s="60" t="n"/>
      <c r="G2678" s="60" t="n"/>
      <c r="H2678" s="71">
        <f>IF(OR($C2678="",$D2678=""),"",IF(ISNUMBER($E2678),$E2678,IF($O2678="","",IF(N(INDEX('Menu Pricing'!$O$7:$O$56,$O2678))&gt;0,INDEX('Menu Pricing'!$O$7:$O$56,$O2678),""))))</f>
        <v/>
      </c>
      <c r="I2678" s="71">
        <f>IF($N2678&lt;&gt;"OK","",$D2678*$H2678)</f>
        <v/>
      </c>
      <c r="J2678" s="71">
        <f>IF($N2678&lt;&gt;"OK","",N(INDEX('Menu Pricing'!$F$7:$F$56,$O2678))+N(INDEX('Menu Pricing'!$G$7:$G$56,$O2678))+N(INDEX('Menu Pricing'!$J$7:$J$56,$O2678)))</f>
        <v/>
      </c>
      <c r="K2678" s="71">
        <f>IF($N2678&lt;&gt;"OK","",$D2678*$J2678)</f>
        <v/>
      </c>
      <c r="L2678" s="71">
        <f>IF($N2678&lt;&gt;"OK","",$I2678-$K2678)</f>
        <v/>
      </c>
      <c r="M2678" s="71">
        <f>IF($N2678&lt;&gt;"OK","",$D2678*N(INDEX('Menu Pricing'!$F$7:$F$56,$O2678)))</f>
        <v/>
      </c>
      <c r="N2678" s="80">
        <f>IF(AND($B2678="",$C2678="",$D2678=""),"",IF(NOT(ISNUMBER($B2678)),"Enter a valid date",IF($C2678="","Pick a menu item",IF($O2678="","Item not on Menu Pricing",IF(N($D2678)&lt;=0,"Qty must be above 0",IF($H2678="","No price on menu","OK"))))))</f>
        <v/>
      </c>
      <c r="O2678" s="13">
        <f>IF($C2678="","",IFERROR(MATCH($C2678,'Menu Pricing'!$B$7:$B$56,0),""))</f>
        <v/>
      </c>
    </row>
    <row r="2679" ht="17" customHeight="1">
      <c r="B2679" s="66" t="n"/>
      <c r="C2679" s="60" t="n"/>
      <c r="D2679" s="86" t="n"/>
      <c r="E2679" s="63" t="n"/>
      <c r="F2679" s="60" t="n"/>
      <c r="G2679" s="60" t="n"/>
      <c r="H2679" s="71">
        <f>IF(OR($C2679="",$D2679=""),"",IF(ISNUMBER($E2679),$E2679,IF($O2679="","",IF(N(INDEX('Menu Pricing'!$O$7:$O$56,$O2679))&gt;0,INDEX('Menu Pricing'!$O$7:$O$56,$O2679),""))))</f>
        <v/>
      </c>
      <c r="I2679" s="71">
        <f>IF($N2679&lt;&gt;"OK","",$D2679*$H2679)</f>
        <v/>
      </c>
      <c r="J2679" s="71">
        <f>IF($N2679&lt;&gt;"OK","",N(INDEX('Menu Pricing'!$F$7:$F$56,$O2679))+N(INDEX('Menu Pricing'!$G$7:$G$56,$O2679))+N(INDEX('Menu Pricing'!$J$7:$J$56,$O2679)))</f>
        <v/>
      </c>
      <c r="K2679" s="71">
        <f>IF($N2679&lt;&gt;"OK","",$D2679*$J2679)</f>
        <v/>
      </c>
      <c r="L2679" s="71">
        <f>IF($N2679&lt;&gt;"OK","",$I2679-$K2679)</f>
        <v/>
      </c>
      <c r="M2679" s="71">
        <f>IF($N2679&lt;&gt;"OK","",$D2679*N(INDEX('Menu Pricing'!$F$7:$F$56,$O2679)))</f>
        <v/>
      </c>
      <c r="N2679" s="80">
        <f>IF(AND($B2679="",$C2679="",$D2679=""),"",IF(NOT(ISNUMBER($B2679)),"Enter a valid date",IF($C2679="","Pick a menu item",IF($O2679="","Item not on Menu Pricing",IF(N($D2679)&lt;=0,"Qty must be above 0",IF($H2679="","No price on menu","OK"))))))</f>
        <v/>
      </c>
      <c r="O2679" s="13">
        <f>IF($C2679="","",IFERROR(MATCH($C2679,'Menu Pricing'!$B$7:$B$56,0),""))</f>
        <v/>
      </c>
    </row>
    <row r="2680" ht="17" customHeight="1">
      <c r="B2680" s="66" t="n"/>
      <c r="C2680" s="60" t="n"/>
      <c r="D2680" s="86" t="n"/>
      <c r="E2680" s="63" t="n"/>
      <c r="F2680" s="60" t="n"/>
      <c r="G2680" s="60" t="n"/>
      <c r="H2680" s="71">
        <f>IF(OR($C2680="",$D2680=""),"",IF(ISNUMBER($E2680),$E2680,IF($O2680="","",IF(N(INDEX('Menu Pricing'!$O$7:$O$56,$O2680))&gt;0,INDEX('Menu Pricing'!$O$7:$O$56,$O2680),""))))</f>
        <v/>
      </c>
      <c r="I2680" s="71">
        <f>IF($N2680&lt;&gt;"OK","",$D2680*$H2680)</f>
        <v/>
      </c>
      <c r="J2680" s="71">
        <f>IF($N2680&lt;&gt;"OK","",N(INDEX('Menu Pricing'!$F$7:$F$56,$O2680))+N(INDEX('Menu Pricing'!$G$7:$G$56,$O2680))+N(INDEX('Menu Pricing'!$J$7:$J$56,$O2680)))</f>
        <v/>
      </c>
      <c r="K2680" s="71">
        <f>IF($N2680&lt;&gt;"OK","",$D2680*$J2680)</f>
        <v/>
      </c>
      <c r="L2680" s="71">
        <f>IF($N2680&lt;&gt;"OK","",$I2680-$K2680)</f>
        <v/>
      </c>
      <c r="M2680" s="71">
        <f>IF($N2680&lt;&gt;"OK","",$D2680*N(INDEX('Menu Pricing'!$F$7:$F$56,$O2680)))</f>
        <v/>
      </c>
      <c r="N2680" s="80">
        <f>IF(AND($B2680="",$C2680="",$D2680=""),"",IF(NOT(ISNUMBER($B2680)),"Enter a valid date",IF($C2680="","Pick a menu item",IF($O2680="","Item not on Menu Pricing",IF(N($D2680)&lt;=0,"Qty must be above 0",IF($H2680="","No price on menu","OK"))))))</f>
        <v/>
      </c>
      <c r="O2680" s="13">
        <f>IF($C2680="","",IFERROR(MATCH($C2680,'Menu Pricing'!$B$7:$B$56,0),""))</f>
        <v/>
      </c>
    </row>
    <row r="2681" ht="17" customHeight="1">
      <c r="B2681" s="66" t="n"/>
      <c r="C2681" s="60" t="n"/>
      <c r="D2681" s="86" t="n"/>
      <c r="E2681" s="63" t="n"/>
      <c r="F2681" s="60" t="n"/>
      <c r="G2681" s="60" t="n"/>
      <c r="H2681" s="71">
        <f>IF(OR($C2681="",$D2681=""),"",IF(ISNUMBER($E2681),$E2681,IF($O2681="","",IF(N(INDEX('Menu Pricing'!$O$7:$O$56,$O2681))&gt;0,INDEX('Menu Pricing'!$O$7:$O$56,$O2681),""))))</f>
        <v/>
      </c>
      <c r="I2681" s="71">
        <f>IF($N2681&lt;&gt;"OK","",$D2681*$H2681)</f>
        <v/>
      </c>
      <c r="J2681" s="71">
        <f>IF($N2681&lt;&gt;"OK","",N(INDEX('Menu Pricing'!$F$7:$F$56,$O2681))+N(INDEX('Menu Pricing'!$G$7:$G$56,$O2681))+N(INDEX('Menu Pricing'!$J$7:$J$56,$O2681)))</f>
        <v/>
      </c>
      <c r="K2681" s="71">
        <f>IF($N2681&lt;&gt;"OK","",$D2681*$J2681)</f>
        <v/>
      </c>
      <c r="L2681" s="71">
        <f>IF($N2681&lt;&gt;"OK","",$I2681-$K2681)</f>
        <v/>
      </c>
      <c r="M2681" s="71">
        <f>IF($N2681&lt;&gt;"OK","",$D2681*N(INDEX('Menu Pricing'!$F$7:$F$56,$O2681)))</f>
        <v/>
      </c>
      <c r="N2681" s="80">
        <f>IF(AND($B2681="",$C2681="",$D2681=""),"",IF(NOT(ISNUMBER($B2681)),"Enter a valid date",IF($C2681="","Pick a menu item",IF($O2681="","Item not on Menu Pricing",IF(N($D2681)&lt;=0,"Qty must be above 0",IF($H2681="","No price on menu","OK"))))))</f>
        <v/>
      </c>
      <c r="O2681" s="13">
        <f>IF($C2681="","",IFERROR(MATCH($C2681,'Menu Pricing'!$B$7:$B$56,0),""))</f>
        <v/>
      </c>
    </row>
    <row r="2682" ht="17" customHeight="1">
      <c r="B2682" s="66" t="n"/>
      <c r="C2682" s="60" t="n"/>
      <c r="D2682" s="86" t="n"/>
      <c r="E2682" s="63" t="n"/>
      <c r="F2682" s="60" t="n"/>
      <c r="G2682" s="60" t="n"/>
      <c r="H2682" s="71">
        <f>IF(OR($C2682="",$D2682=""),"",IF(ISNUMBER($E2682),$E2682,IF($O2682="","",IF(N(INDEX('Menu Pricing'!$O$7:$O$56,$O2682))&gt;0,INDEX('Menu Pricing'!$O$7:$O$56,$O2682),""))))</f>
        <v/>
      </c>
      <c r="I2682" s="71">
        <f>IF($N2682&lt;&gt;"OK","",$D2682*$H2682)</f>
        <v/>
      </c>
      <c r="J2682" s="71">
        <f>IF($N2682&lt;&gt;"OK","",N(INDEX('Menu Pricing'!$F$7:$F$56,$O2682))+N(INDEX('Menu Pricing'!$G$7:$G$56,$O2682))+N(INDEX('Menu Pricing'!$J$7:$J$56,$O2682)))</f>
        <v/>
      </c>
      <c r="K2682" s="71">
        <f>IF($N2682&lt;&gt;"OK","",$D2682*$J2682)</f>
        <v/>
      </c>
      <c r="L2682" s="71">
        <f>IF($N2682&lt;&gt;"OK","",$I2682-$K2682)</f>
        <v/>
      </c>
      <c r="M2682" s="71">
        <f>IF($N2682&lt;&gt;"OK","",$D2682*N(INDEX('Menu Pricing'!$F$7:$F$56,$O2682)))</f>
        <v/>
      </c>
      <c r="N2682" s="80">
        <f>IF(AND($B2682="",$C2682="",$D2682=""),"",IF(NOT(ISNUMBER($B2682)),"Enter a valid date",IF($C2682="","Pick a menu item",IF($O2682="","Item not on Menu Pricing",IF(N($D2682)&lt;=0,"Qty must be above 0",IF($H2682="","No price on menu","OK"))))))</f>
        <v/>
      </c>
      <c r="O2682" s="13">
        <f>IF($C2682="","",IFERROR(MATCH($C2682,'Menu Pricing'!$B$7:$B$56,0),""))</f>
        <v/>
      </c>
    </row>
    <row r="2683" ht="17" customHeight="1">
      <c r="B2683" s="66" t="n"/>
      <c r="C2683" s="60" t="n"/>
      <c r="D2683" s="86" t="n"/>
      <c r="E2683" s="63" t="n"/>
      <c r="F2683" s="60" t="n"/>
      <c r="G2683" s="60" t="n"/>
      <c r="H2683" s="71">
        <f>IF(OR($C2683="",$D2683=""),"",IF(ISNUMBER($E2683),$E2683,IF($O2683="","",IF(N(INDEX('Menu Pricing'!$O$7:$O$56,$O2683))&gt;0,INDEX('Menu Pricing'!$O$7:$O$56,$O2683),""))))</f>
        <v/>
      </c>
      <c r="I2683" s="71">
        <f>IF($N2683&lt;&gt;"OK","",$D2683*$H2683)</f>
        <v/>
      </c>
      <c r="J2683" s="71">
        <f>IF($N2683&lt;&gt;"OK","",N(INDEX('Menu Pricing'!$F$7:$F$56,$O2683))+N(INDEX('Menu Pricing'!$G$7:$G$56,$O2683))+N(INDEX('Menu Pricing'!$J$7:$J$56,$O2683)))</f>
        <v/>
      </c>
      <c r="K2683" s="71">
        <f>IF($N2683&lt;&gt;"OK","",$D2683*$J2683)</f>
        <v/>
      </c>
      <c r="L2683" s="71">
        <f>IF($N2683&lt;&gt;"OK","",$I2683-$K2683)</f>
        <v/>
      </c>
      <c r="M2683" s="71">
        <f>IF($N2683&lt;&gt;"OK","",$D2683*N(INDEX('Menu Pricing'!$F$7:$F$56,$O2683)))</f>
        <v/>
      </c>
      <c r="N2683" s="80">
        <f>IF(AND($B2683="",$C2683="",$D2683=""),"",IF(NOT(ISNUMBER($B2683)),"Enter a valid date",IF($C2683="","Pick a menu item",IF($O2683="","Item not on Menu Pricing",IF(N($D2683)&lt;=0,"Qty must be above 0",IF($H2683="","No price on menu","OK"))))))</f>
        <v/>
      </c>
      <c r="O2683" s="13">
        <f>IF($C2683="","",IFERROR(MATCH($C2683,'Menu Pricing'!$B$7:$B$56,0),""))</f>
        <v/>
      </c>
    </row>
    <row r="2684" ht="17" customHeight="1">
      <c r="B2684" s="66" t="n"/>
      <c r="C2684" s="60" t="n"/>
      <c r="D2684" s="86" t="n"/>
      <c r="E2684" s="63" t="n"/>
      <c r="F2684" s="60" t="n"/>
      <c r="G2684" s="60" t="n"/>
      <c r="H2684" s="71">
        <f>IF(OR($C2684="",$D2684=""),"",IF(ISNUMBER($E2684),$E2684,IF($O2684="","",IF(N(INDEX('Menu Pricing'!$O$7:$O$56,$O2684))&gt;0,INDEX('Menu Pricing'!$O$7:$O$56,$O2684),""))))</f>
        <v/>
      </c>
      <c r="I2684" s="71">
        <f>IF($N2684&lt;&gt;"OK","",$D2684*$H2684)</f>
        <v/>
      </c>
      <c r="J2684" s="71">
        <f>IF($N2684&lt;&gt;"OK","",N(INDEX('Menu Pricing'!$F$7:$F$56,$O2684))+N(INDEX('Menu Pricing'!$G$7:$G$56,$O2684))+N(INDEX('Menu Pricing'!$J$7:$J$56,$O2684)))</f>
        <v/>
      </c>
      <c r="K2684" s="71">
        <f>IF($N2684&lt;&gt;"OK","",$D2684*$J2684)</f>
        <v/>
      </c>
      <c r="L2684" s="71">
        <f>IF($N2684&lt;&gt;"OK","",$I2684-$K2684)</f>
        <v/>
      </c>
      <c r="M2684" s="71">
        <f>IF($N2684&lt;&gt;"OK","",$D2684*N(INDEX('Menu Pricing'!$F$7:$F$56,$O2684)))</f>
        <v/>
      </c>
      <c r="N2684" s="80">
        <f>IF(AND($B2684="",$C2684="",$D2684=""),"",IF(NOT(ISNUMBER($B2684)),"Enter a valid date",IF($C2684="","Pick a menu item",IF($O2684="","Item not on Menu Pricing",IF(N($D2684)&lt;=0,"Qty must be above 0",IF($H2684="","No price on menu","OK"))))))</f>
        <v/>
      </c>
      <c r="O2684" s="13">
        <f>IF($C2684="","",IFERROR(MATCH($C2684,'Menu Pricing'!$B$7:$B$56,0),""))</f>
        <v/>
      </c>
    </row>
    <row r="2685" ht="17" customHeight="1">
      <c r="B2685" s="66" t="n"/>
      <c r="C2685" s="60" t="n"/>
      <c r="D2685" s="86" t="n"/>
      <c r="E2685" s="63" t="n"/>
      <c r="F2685" s="60" t="n"/>
      <c r="G2685" s="60" t="n"/>
      <c r="H2685" s="71">
        <f>IF(OR($C2685="",$D2685=""),"",IF(ISNUMBER($E2685),$E2685,IF($O2685="","",IF(N(INDEX('Menu Pricing'!$O$7:$O$56,$O2685))&gt;0,INDEX('Menu Pricing'!$O$7:$O$56,$O2685),""))))</f>
        <v/>
      </c>
      <c r="I2685" s="71">
        <f>IF($N2685&lt;&gt;"OK","",$D2685*$H2685)</f>
        <v/>
      </c>
      <c r="J2685" s="71">
        <f>IF($N2685&lt;&gt;"OK","",N(INDEX('Menu Pricing'!$F$7:$F$56,$O2685))+N(INDEX('Menu Pricing'!$G$7:$G$56,$O2685))+N(INDEX('Menu Pricing'!$J$7:$J$56,$O2685)))</f>
        <v/>
      </c>
      <c r="K2685" s="71">
        <f>IF($N2685&lt;&gt;"OK","",$D2685*$J2685)</f>
        <v/>
      </c>
      <c r="L2685" s="71">
        <f>IF($N2685&lt;&gt;"OK","",$I2685-$K2685)</f>
        <v/>
      </c>
      <c r="M2685" s="71">
        <f>IF($N2685&lt;&gt;"OK","",$D2685*N(INDEX('Menu Pricing'!$F$7:$F$56,$O2685)))</f>
        <v/>
      </c>
      <c r="N2685" s="80">
        <f>IF(AND($B2685="",$C2685="",$D2685=""),"",IF(NOT(ISNUMBER($B2685)),"Enter a valid date",IF($C2685="","Pick a menu item",IF($O2685="","Item not on Menu Pricing",IF(N($D2685)&lt;=0,"Qty must be above 0",IF($H2685="","No price on menu","OK"))))))</f>
        <v/>
      </c>
      <c r="O2685" s="13">
        <f>IF($C2685="","",IFERROR(MATCH($C2685,'Menu Pricing'!$B$7:$B$56,0),""))</f>
        <v/>
      </c>
    </row>
    <row r="2686" ht="17" customHeight="1">
      <c r="B2686" s="66" t="n"/>
      <c r="C2686" s="60" t="n"/>
      <c r="D2686" s="86" t="n"/>
      <c r="E2686" s="63" t="n"/>
      <c r="F2686" s="60" t="n"/>
      <c r="G2686" s="60" t="n"/>
      <c r="H2686" s="71">
        <f>IF(OR($C2686="",$D2686=""),"",IF(ISNUMBER($E2686),$E2686,IF($O2686="","",IF(N(INDEX('Menu Pricing'!$O$7:$O$56,$O2686))&gt;0,INDEX('Menu Pricing'!$O$7:$O$56,$O2686),""))))</f>
        <v/>
      </c>
      <c r="I2686" s="71">
        <f>IF($N2686&lt;&gt;"OK","",$D2686*$H2686)</f>
        <v/>
      </c>
      <c r="J2686" s="71">
        <f>IF($N2686&lt;&gt;"OK","",N(INDEX('Menu Pricing'!$F$7:$F$56,$O2686))+N(INDEX('Menu Pricing'!$G$7:$G$56,$O2686))+N(INDEX('Menu Pricing'!$J$7:$J$56,$O2686)))</f>
        <v/>
      </c>
      <c r="K2686" s="71">
        <f>IF($N2686&lt;&gt;"OK","",$D2686*$J2686)</f>
        <v/>
      </c>
      <c r="L2686" s="71">
        <f>IF($N2686&lt;&gt;"OK","",$I2686-$K2686)</f>
        <v/>
      </c>
      <c r="M2686" s="71">
        <f>IF($N2686&lt;&gt;"OK","",$D2686*N(INDEX('Menu Pricing'!$F$7:$F$56,$O2686)))</f>
        <v/>
      </c>
      <c r="N2686" s="80">
        <f>IF(AND($B2686="",$C2686="",$D2686=""),"",IF(NOT(ISNUMBER($B2686)),"Enter a valid date",IF($C2686="","Pick a menu item",IF($O2686="","Item not on Menu Pricing",IF(N($D2686)&lt;=0,"Qty must be above 0",IF($H2686="","No price on menu","OK"))))))</f>
        <v/>
      </c>
      <c r="O2686" s="13">
        <f>IF($C2686="","",IFERROR(MATCH($C2686,'Menu Pricing'!$B$7:$B$56,0),""))</f>
        <v/>
      </c>
    </row>
    <row r="2687" ht="17" customHeight="1">
      <c r="B2687" s="66" t="n"/>
      <c r="C2687" s="60" t="n"/>
      <c r="D2687" s="86" t="n"/>
      <c r="E2687" s="63" t="n"/>
      <c r="F2687" s="60" t="n"/>
      <c r="G2687" s="60" t="n"/>
      <c r="H2687" s="71">
        <f>IF(OR($C2687="",$D2687=""),"",IF(ISNUMBER($E2687),$E2687,IF($O2687="","",IF(N(INDEX('Menu Pricing'!$O$7:$O$56,$O2687))&gt;0,INDEX('Menu Pricing'!$O$7:$O$56,$O2687),""))))</f>
        <v/>
      </c>
      <c r="I2687" s="71">
        <f>IF($N2687&lt;&gt;"OK","",$D2687*$H2687)</f>
        <v/>
      </c>
      <c r="J2687" s="71">
        <f>IF($N2687&lt;&gt;"OK","",N(INDEX('Menu Pricing'!$F$7:$F$56,$O2687))+N(INDEX('Menu Pricing'!$G$7:$G$56,$O2687))+N(INDEX('Menu Pricing'!$J$7:$J$56,$O2687)))</f>
        <v/>
      </c>
      <c r="K2687" s="71">
        <f>IF($N2687&lt;&gt;"OK","",$D2687*$J2687)</f>
        <v/>
      </c>
      <c r="L2687" s="71">
        <f>IF($N2687&lt;&gt;"OK","",$I2687-$K2687)</f>
        <v/>
      </c>
      <c r="M2687" s="71">
        <f>IF($N2687&lt;&gt;"OK","",$D2687*N(INDEX('Menu Pricing'!$F$7:$F$56,$O2687)))</f>
        <v/>
      </c>
      <c r="N2687" s="80">
        <f>IF(AND($B2687="",$C2687="",$D2687=""),"",IF(NOT(ISNUMBER($B2687)),"Enter a valid date",IF($C2687="","Pick a menu item",IF($O2687="","Item not on Menu Pricing",IF(N($D2687)&lt;=0,"Qty must be above 0",IF($H2687="","No price on menu","OK"))))))</f>
        <v/>
      </c>
      <c r="O2687" s="13">
        <f>IF($C2687="","",IFERROR(MATCH($C2687,'Menu Pricing'!$B$7:$B$56,0),""))</f>
        <v/>
      </c>
    </row>
    <row r="2688" ht="17" customHeight="1">
      <c r="B2688" s="66" t="n"/>
      <c r="C2688" s="60" t="n"/>
      <c r="D2688" s="86" t="n"/>
      <c r="E2688" s="63" t="n"/>
      <c r="F2688" s="60" t="n"/>
      <c r="G2688" s="60" t="n"/>
      <c r="H2688" s="71">
        <f>IF(OR($C2688="",$D2688=""),"",IF(ISNUMBER($E2688),$E2688,IF($O2688="","",IF(N(INDEX('Menu Pricing'!$O$7:$O$56,$O2688))&gt;0,INDEX('Menu Pricing'!$O$7:$O$56,$O2688),""))))</f>
        <v/>
      </c>
      <c r="I2688" s="71">
        <f>IF($N2688&lt;&gt;"OK","",$D2688*$H2688)</f>
        <v/>
      </c>
      <c r="J2688" s="71">
        <f>IF($N2688&lt;&gt;"OK","",N(INDEX('Menu Pricing'!$F$7:$F$56,$O2688))+N(INDEX('Menu Pricing'!$G$7:$G$56,$O2688))+N(INDEX('Menu Pricing'!$J$7:$J$56,$O2688)))</f>
        <v/>
      </c>
      <c r="K2688" s="71">
        <f>IF($N2688&lt;&gt;"OK","",$D2688*$J2688)</f>
        <v/>
      </c>
      <c r="L2688" s="71">
        <f>IF($N2688&lt;&gt;"OK","",$I2688-$K2688)</f>
        <v/>
      </c>
      <c r="M2688" s="71">
        <f>IF($N2688&lt;&gt;"OK","",$D2688*N(INDEX('Menu Pricing'!$F$7:$F$56,$O2688)))</f>
        <v/>
      </c>
      <c r="N2688" s="80">
        <f>IF(AND($B2688="",$C2688="",$D2688=""),"",IF(NOT(ISNUMBER($B2688)),"Enter a valid date",IF($C2688="","Pick a menu item",IF($O2688="","Item not on Menu Pricing",IF(N($D2688)&lt;=0,"Qty must be above 0",IF($H2688="","No price on menu","OK"))))))</f>
        <v/>
      </c>
      <c r="O2688" s="13">
        <f>IF($C2688="","",IFERROR(MATCH($C2688,'Menu Pricing'!$B$7:$B$56,0),""))</f>
        <v/>
      </c>
    </row>
    <row r="2689" ht="17" customHeight="1">
      <c r="B2689" s="66" t="n"/>
      <c r="C2689" s="60" t="n"/>
      <c r="D2689" s="86" t="n"/>
      <c r="E2689" s="63" t="n"/>
      <c r="F2689" s="60" t="n"/>
      <c r="G2689" s="60" t="n"/>
      <c r="H2689" s="71">
        <f>IF(OR($C2689="",$D2689=""),"",IF(ISNUMBER($E2689),$E2689,IF($O2689="","",IF(N(INDEX('Menu Pricing'!$O$7:$O$56,$O2689))&gt;0,INDEX('Menu Pricing'!$O$7:$O$56,$O2689),""))))</f>
        <v/>
      </c>
      <c r="I2689" s="71">
        <f>IF($N2689&lt;&gt;"OK","",$D2689*$H2689)</f>
        <v/>
      </c>
      <c r="J2689" s="71">
        <f>IF($N2689&lt;&gt;"OK","",N(INDEX('Menu Pricing'!$F$7:$F$56,$O2689))+N(INDEX('Menu Pricing'!$G$7:$G$56,$O2689))+N(INDEX('Menu Pricing'!$J$7:$J$56,$O2689)))</f>
        <v/>
      </c>
      <c r="K2689" s="71">
        <f>IF($N2689&lt;&gt;"OK","",$D2689*$J2689)</f>
        <v/>
      </c>
      <c r="L2689" s="71">
        <f>IF($N2689&lt;&gt;"OK","",$I2689-$K2689)</f>
        <v/>
      </c>
      <c r="M2689" s="71">
        <f>IF($N2689&lt;&gt;"OK","",$D2689*N(INDEX('Menu Pricing'!$F$7:$F$56,$O2689)))</f>
        <v/>
      </c>
      <c r="N2689" s="80">
        <f>IF(AND($B2689="",$C2689="",$D2689=""),"",IF(NOT(ISNUMBER($B2689)),"Enter a valid date",IF($C2689="","Pick a menu item",IF($O2689="","Item not on Menu Pricing",IF(N($D2689)&lt;=0,"Qty must be above 0",IF($H2689="","No price on menu","OK"))))))</f>
        <v/>
      </c>
      <c r="O2689" s="13">
        <f>IF($C2689="","",IFERROR(MATCH($C2689,'Menu Pricing'!$B$7:$B$56,0),""))</f>
        <v/>
      </c>
    </row>
    <row r="2690" ht="17" customHeight="1">
      <c r="B2690" s="66" t="n"/>
      <c r="C2690" s="60" t="n"/>
      <c r="D2690" s="86" t="n"/>
      <c r="E2690" s="63" t="n"/>
      <c r="F2690" s="60" t="n"/>
      <c r="G2690" s="60" t="n"/>
      <c r="H2690" s="71">
        <f>IF(OR($C2690="",$D2690=""),"",IF(ISNUMBER($E2690),$E2690,IF($O2690="","",IF(N(INDEX('Menu Pricing'!$O$7:$O$56,$O2690))&gt;0,INDEX('Menu Pricing'!$O$7:$O$56,$O2690),""))))</f>
        <v/>
      </c>
      <c r="I2690" s="71">
        <f>IF($N2690&lt;&gt;"OK","",$D2690*$H2690)</f>
        <v/>
      </c>
      <c r="J2690" s="71">
        <f>IF($N2690&lt;&gt;"OK","",N(INDEX('Menu Pricing'!$F$7:$F$56,$O2690))+N(INDEX('Menu Pricing'!$G$7:$G$56,$O2690))+N(INDEX('Menu Pricing'!$J$7:$J$56,$O2690)))</f>
        <v/>
      </c>
      <c r="K2690" s="71">
        <f>IF($N2690&lt;&gt;"OK","",$D2690*$J2690)</f>
        <v/>
      </c>
      <c r="L2690" s="71">
        <f>IF($N2690&lt;&gt;"OK","",$I2690-$K2690)</f>
        <v/>
      </c>
      <c r="M2690" s="71">
        <f>IF($N2690&lt;&gt;"OK","",$D2690*N(INDEX('Menu Pricing'!$F$7:$F$56,$O2690)))</f>
        <v/>
      </c>
      <c r="N2690" s="80">
        <f>IF(AND($B2690="",$C2690="",$D2690=""),"",IF(NOT(ISNUMBER($B2690)),"Enter a valid date",IF($C2690="","Pick a menu item",IF($O2690="","Item not on Menu Pricing",IF(N($D2690)&lt;=0,"Qty must be above 0",IF($H2690="","No price on menu","OK"))))))</f>
        <v/>
      </c>
      <c r="O2690" s="13">
        <f>IF($C2690="","",IFERROR(MATCH($C2690,'Menu Pricing'!$B$7:$B$56,0),""))</f>
        <v/>
      </c>
    </row>
    <row r="2691" ht="17" customHeight="1">
      <c r="B2691" s="66" t="n"/>
      <c r="C2691" s="60" t="n"/>
      <c r="D2691" s="86" t="n"/>
      <c r="E2691" s="63" t="n"/>
      <c r="F2691" s="60" t="n"/>
      <c r="G2691" s="60" t="n"/>
      <c r="H2691" s="71">
        <f>IF(OR($C2691="",$D2691=""),"",IF(ISNUMBER($E2691),$E2691,IF($O2691="","",IF(N(INDEX('Menu Pricing'!$O$7:$O$56,$O2691))&gt;0,INDEX('Menu Pricing'!$O$7:$O$56,$O2691),""))))</f>
        <v/>
      </c>
      <c r="I2691" s="71">
        <f>IF($N2691&lt;&gt;"OK","",$D2691*$H2691)</f>
        <v/>
      </c>
      <c r="J2691" s="71">
        <f>IF($N2691&lt;&gt;"OK","",N(INDEX('Menu Pricing'!$F$7:$F$56,$O2691))+N(INDEX('Menu Pricing'!$G$7:$G$56,$O2691))+N(INDEX('Menu Pricing'!$J$7:$J$56,$O2691)))</f>
        <v/>
      </c>
      <c r="K2691" s="71">
        <f>IF($N2691&lt;&gt;"OK","",$D2691*$J2691)</f>
        <v/>
      </c>
      <c r="L2691" s="71">
        <f>IF($N2691&lt;&gt;"OK","",$I2691-$K2691)</f>
        <v/>
      </c>
      <c r="M2691" s="71">
        <f>IF($N2691&lt;&gt;"OK","",$D2691*N(INDEX('Menu Pricing'!$F$7:$F$56,$O2691)))</f>
        <v/>
      </c>
      <c r="N2691" s="80">
        <f>IF(AND($B2691="",$C2691="",$D2691=""),"",IF(NOT(ISNUMBER($B2691)),"Enter a valid date",IF($C2691="","Pick a menu item",IF($O2691="","Item not on Menu Pricing",IF(N($D2691)&lt;=0,"Qty must be above 0",IF($H2691="","No price on menu","OK"))))))</f>
        <v/>
      </c>
      <c r="O2691" s="13">
        <f>IF($C2691="","",IFERROR(MATCH($C2691,'Menu Pricing'!$B$7:$B$56,0),""))</f>
        <v/>
      </c>
    </row>
    <row r="2692" ht="17" customHeight="1">
      <c r="B2692" s="66" t="n"/>
      <c r="C2692" s="60" t="n"/>
      <c r="D2692" s="86" t="n"/>
      <c r="E2692" s="63" t="n"/>
      <c r="F2692" s="60" t="n"/>
      <c r="G2692" s="60" t="n"/>
      <c r="H2692" s="71">
        <f>IF(OR($C2692="",$D2692=""),"",IF(ISNUMBER($E2692),$E2692,IF($O2692="","",IF(N(INDEX('Menu Pricing'!$O$7:$O$56,$O2692))&gt;0,INDEX('Menu Pricing'!$O$7:$O$56,$O2692),""))))</f>
        <v/>
      </c>
      <c r="I2692" s="71">
        <f>IF($N2692&lt;&gt;"OK","",$D2692*$H2692)</f>
        <v/>
      </c>
      <c r="J2692" s="71">
        <f>IF($N2692&lt;&gt;"OK","",N(INDEX('Menu Pricing'!$F$7:$F$56,$O2692))+N(INDEX('Menu Pricing'!$G$7:$G$56,$O2692))+N(INDEX('Menu Pricing'!$J$7:$J$56,$O2692)))</f>
        <v/>
      </c>
      <c r="K2692" s="71">
        <f>IF($N2692&lt;&gt;"OK","",$D2692*$J2692)</f>
        <v/>
      </c>
      <c r="L2692" s="71">
        <f>IF($N2692&lt;&gt;"OK","",$I2692-$K2692)</f>
        <v/>
      </c>
      <c r="M2692" s="71">
        <f>IF($N2692&lt;&gt;"OK","",$D2692*N(INDEX('Menu Pricing'!$F$7:$F$56,$O2692)))</f>
        <v/>
      </c>
      <c r="N2692" s="80">
        <f>IF(AND($B2692="",$C2692="",$D2692=""),"",IF(NOT(ISNUMBER($B2692)),"Enter a valid date",IF($C2692="","Pick a menu item",IF($O2692="","Item not on Menu Pricing",IF(N($D2692)&lt;=0,"Qty must be above 0",IF($H2692="","No price on menu","OK"))))))</f>
        <v/>
      </c>
      <c r="O2692" s="13">
        <f>IF($C2692="","",IFERROR(MATCH($C2692,'Menu Pricing'!$B$7:$B$56,0),""))</f>
        <v/>
      </c>
    </row>
    <row r="2693" ht="17" customHeight="1">
      <c r="B2693" s="66" t="n"/>
      <c r="C2693" s="60" t="n"/>
      <c r="D2693" s="86" t="n"/>
      <c r="E2693" s="63" t="n"/>
      <c r="F2693" s="60" t="n"/>
      <c r="G2693" s="60" t="n"/>
      <c r="H2693" s="71">
        <f>IF(OR($C2693="",$D2693=""),"",IF(ISNUMBER($E2693),$E2693,IF($O2693="","",IF(N(INDEX('Menu Pricing'!$O$7:$O$56,$O2693))&gt;0,INDEX('Menu Pricing'!$O$7:$O$56,$O2693),""))))</f>
        <v/>
      </c>
      <c r="I2693" s="71">
        <f>IF($N2693&lt;&gt;"OK","",$D2693*$H2693)</f>
        <v/>
      </c>
      <c r="J2693" s="71">
        <f>IF($N2693&lt;&gt;"OK","",N(INDEX('Menu Pricing'!$F$7:$F$56,$O2693))+N(INDEX('Menu Pricing'!$G$7:$G$56,$O2693))+N(INDEX('Menu Pricing'!$J$7:$J$56,$O2693)))</f>
        <v/>
      </c>
      <c r="K2693" s="71">
        <f>IF($N2693&lt;&gt;"OK","",$D2693*$J2693)</f>
        <v/>
      </c>
      <c r="L2693" s="71">
        <f>IF($N2693&lt;&gt;"OK","",$I2693-$K2693)</f>
        <v/>
      </c>
      <c r="M2693" s="71">
        <f>IF($N2693&lt;&gt;"OK","",$D2693*N(INDEX('Menu Pricing'!$F$7:$F$56,$O2693)))</f>
        <v/>
      </c>
      <c r="N2693" s="80">
        <f>IF(AND($B2693="",$C2693="",$D2693=""),"",IF(NOT(ISNUMBER($B2693)),"Enter a valid date",IF($C2693="","Pick a menu item",IF($O2693="","Item not on Menu Pricing",IF(N($D2693)&lt;=0,"Qty must be above 0",IF($H2693="","No price on menu","OK"))))))</f>
        <v/>
      </c>
      <c r="O2693" s="13">
        <f>IF($C2693="","",IFERROR(MATCH($C2693,'Menu Pricing'!$B$7:$B$56,0),""))</f>
        <v/>
      </c>
    </row>
    <row r="2694" ht="17" customHeight="1">
      <c r="B2694" s="66" t="n"/>
      <c r="C2694" s="60" t="n"/>
      <c r="D2694" s="86" t="n"/>
      <c r="E2694" s="63" t="n"/>
      <c r="F2694" s="60" t="n"/>
      <c r="G2694" s="60" t="n"/>
      <c r="H2694" s="71">
        <f>IF(OR($C2694="",$D2694=""),"",IF(ISNUMBER($E2694),$E2694,IF($O2694="","",IF(N(INDEX('Menu Pricing'!$O$7:$O$56,$O2694))&gt;0,INDEX('Menu Pricing'!$O$7:$O$56,$O2694),""))))</f>
        <v/>
      </c>
      <c r="I2694" s="71">
        <f>IF($N2694&lt;&gt;"OK","",$D2694*$H2694)</f>
        <v/>
      </c>
      <c r="J2694" s="71">
        <f>IF($N2694&lt;&gt;"OK","",N(INDEX('Menu Pricing'!$F$7:$F$56,$O2694))+N(INDEX('Menu Pricing'!$G$7:$G$56,$O2694))+N(INDEX('Menu Pricing'!$J$7:$J$56,$O2694)))</f>
        <v/>
      </c>
      <c r="K2694" s="71">
        <f>IF($N2694&lt;&gt;"OK","",$D2694*$J2694)</f>
        <v/>
      </c>
      <c r="L2694" s="71">
        <f>IF($N2694&lt;&gt;"OK","",$I2694-$K2694)</f>
        <v/>
      </c>
      <c r="M2694" s="71">
        <f>IF($N2694&lt;&gt;"OK","",$D2694*N(INDEX('Menu Pricing'!$F$7:$F$56,$O2694)))</f>
        <v/>
      </c>
      <c r="N2694" s="80">
        <f>IF(AND($B2694="",$C2694="",$D2694=""),"",IF(NOT(ISNUMBER($B2694)),"Enter a valid date",IF($C2694="","Pick a menu item",IF($O2694="","Item not on Menu Pricing",IF(N($D2694)&lt;=0,"Qty must be above 0",IF($H2694="","No price on menu","OK"))))))</f>
        <v/>
      </c>
      <c r="O2694" s="13">
        <f>IF($C2694="","",IFERROR(MATCH($C2694,'Menu Pricing'!$B$7:$B$56,0),""))</f>
        <v/>
      </c>
    </row>
    <row r="2695" ht="17" customHeight="1">
      <c r="B2695" s="66" t="n"/>
      <c r="C2695" s="60" t="n"/>
      <c r="D2695" s="86" t="n"/>
      <c r="E2695" s="63" t="n"/>
      <c r="F2695" s="60" t="n"/>
      <c r="G2695" s="60" t="n"/>
      <c r="H2695" s="71">
        <f>IF(OR($C2695="",$D2695=""),"",IF(ISNUMBER($E2695),$E2695,IF($O2695="","",IF(N(INDEX('Menu Pricing'!$O$7:$O$56,$O2695))&gt;0,INDEX('Menu Pricing'!$O$7:$O$56,$O2695),""))))</f>
        <v/>
      </c>
      <c r="I2695" s="71">
        <f>IF($N2695&lt;&gt;"OK","",$D2695*$H2695)</f>
        <v/>
      </c>
      <c r="J2695" s="71">
        <f>IF($N2695&lt;&gt;"OK","",N(INDEX('Menu Pricing'!$F$7:$F$56,$O2695))+N(INDEX('Menu Pricing'!$G$7:$G$56,$O2695))+N(INDEX('Menu Pricing'!$J$7:$J$56,$O2695)))</f>
        <v/>
      </c>
      <c r="K2695" s="71">
        <f>IF($N2695&lt;&gt;"OK","",$D2695*$J2695)</f>
        <v/>
      </c>
      <c r="L2695" s="71">
        <f>IF($N2695&lt;&gt;"OK","",$I2695-$K2695)</f>
        <v/>
      </c>
      <c r="M2695" s="71">
        <f>IF($N2695&lt;&gt;"OK","",$D2695*N(INDEX('Menu Pricing'!$F$7:$F$56,$O2695)))</f>
        <v/>
      </c>
      <c r="N2695" s="80">
        <f>IF(AND($B2695="",$C2695="",$D2695=""),"",IF(NOT(ISNUMBER($B2695)),"Enter a valid date",IF($C2695="","Pick a menu item",IF($O2695="","Item not on Menu Pricing",IF(N($D2695)&lt;=0,"Qty must be above 0",IF($H2695="","No price on menu","OK"))))))</f>
        <v/>
      </c>
      <c r="O2695" s="13">
        <f>IF($C2695="","",IFERROR(MATCH($C2695,'Menu Pricing'!$B$7:$B$56,0),""))</f>
        <v/>
      </c>
    </row>
    <row r="2696" ht="17" customHeight="1">
      <c r="B2696" s="66" t="n"/>
      <c r="C2696" s="60" t="n"/>
      <c r="D2696" s="86" t="n"/>
      <c r="E2696" s="63" t="n"/>
      <c r="F2696" s="60" t="n"/>
      <c r="G2696" s="60" t="n"/>
      <c r="H2696" s="71">
        <f>IF(OR($C2696="",$D2696=""),"",IF(ISNUMBER($E2696),$E2696,IF($O2696="","",IF(N(INDEX('Menu Pricing'!$O$7:$O$56,$O2696))&gt;0,INDEX('Menu Pricing'!$O$7:$O$56,$O2696),""))))</f>
        <v/>
      </c>
      <c r="I2696" s="71">
        <f>IF($N2696&lt;&gt;"OK","",$D2696*$H2696)</f>
        <v/>
      </c>
      <c r="J2696" s="71">
        <f>IF($N2696&lt;&gt;"OK","",N(INDEX('Menu Pricing'!$F$7:$F$56,$O2696))+N(INDEX('Menu Pricing'!$G$7:$G$56,$O2696))+N(INDEX('Menu Pricing'!$J$7:$J$56,$O2696)))</f>
        <v/>
      </c>
      <c r="K2696" s="71">
        <f>IF($N2696&lt;&gt;"OK","",$D2696*$J2696)</f>
        <v/>
      </c>
      <c r="L2696" s="71">
        <f>IF($N2696&lt;&gt;"OK","",$I2696-$K2696)</f>
        <v/>
      </c>
      <c r="M2696" s="71">
        <f>IF($N2696&lt;&gt;"OK","",$D2696*N(INDEX('Menu Pricing'!$F$7:$F$56,$O2696)))</f>
        <v/>
      </c>
      <c r="N2696" s="80">
        <f>IF(AND($B2696="",$C2696="",$D2696=""),"",IF(NOT(ISNUMBER($B2696)),"Enter a valid date",IF($C2696="","Pick a menu item",IF($O2696="","Item not on Menu Pricing",IF(N($D2696)&lt;=0,"Qty must be above 0",IF($H2696="","No price on menu","OK"))))))</f>
        <v/>
      </c>
      <c r="O2696" s="13">
        <f>IF($C2696="","",IFERROR(MATCH($C2696,'Menu Pricing'!$B$7:$B$56,0),""))</f>
        <v/>
      </c>
    </row>
    <row r="2697" ht="17" customHeight="1">
      <c r="B2697" s="66" t="n"/>
      <c r="C2697" s="60" t="n"/>
      <c r="D2697" s="86" t="n"/>
      <c r="E2697" s="63" t="n"/>
      <c r="F2697" s="60" t="n"/>
      <c r="G2697" s="60" t="n"/>
      <c r="H2697" s="71">
        <f>IF(OR($C2697="",$D2697=""),"",IF(ISNUMBER($E2697),$E2697,IF($O2697="","",IF(N(INDEX('Menu Pricing'!$O$7:$O$56,$O2697))&gt;0,INDEX('Menu Pricing'!$O$7:$O$56,$O2697),""))))</f>
        <v/>
      </c>
      <c r="I2697" s="71">
        <f>IF($N2697&lt;&gt;"OK","",$D2697*$H2697)</f>
        <v/>
      </c>
      <c r="J2697" s="71">
        <f>IF($N2697&lt;&gt;"OK","",N(INDEX('Menu Pricing'!$F$7:$F$56,$O2697))+N(INDEX('Menu Pricing'!$G$7:$G$56,$O2697))+N(INDEX('Menu Pricing'!$J$7:$J$56,$O2697)))</f>
        <v/>
      </c>
      <c r="K2697" s="71">
        <f>IF($N2697&lt;&gt;"OK","",$D2697*$J2697)</f>
        <v/>
      </c>
      <c r="L2697" s="71">
        <f>IF($N2697&lt;&gt;"OK","",$I2697-$K2697)</f>
        <v/>
      </c>
      <c r="M2697" s="71">
        <f>IF($N2697&lt;&gt;"OK","",$D2697*N(INDEX('Menu Pricing'!$F$7:$F$56,$O2697)))</f>
        <v/>
      </c>
      <c r="N2697" s="80">
        <f>IF(AND($B2697="",$C2697="",$D2697=""),"",IF(NOT(ISNUMBER($B2697)),"Enter a valid date",IF($C2697="","Pick a menu item",IF($O2697="","Item not on Menu Pricing",IF(N($D2697)&lt;=0,"Qty must be above 0",IF($H2697="","No price on menu","OK"))))))</f>
        <v/>
      </c>
      <c r="O2697" s="13">
        <f>IF($C2697="","",IFERROR(MATCH($C2697,'Menu Pricing'!$B$7:$B$56,0),""))</f>
        <v/>
      </c>
    </row>
    <row r="2698" ht="17" customHeight="1">
      <c r="B2698" s="66" t="n"/>
      <c r="C2698" s="60" t="n"/>
      <c r="D2698" s="86" t="n"/>
      <c r="E2698" s="63" t="n"/>
      <c r="F2698" s="60" t="n"/>
      <c r="G2698" s="60" t="n"/>
      <c r="H2698" s="71">
        <f>IF(OR($C2698="",$D2698=""),"",IF(ISNUMBER($E2698),$E2698,IF($O2698="","",IF(N(INDEX('Menu Pricing'!$O$7:$O$56,$O2698))&gt;0,INDEX('Menu Pricing'!$O$7:$O$56,$O2698),""))))</f>
        <v/>
      </c>
      <c r="I2698" s="71">
        <f>IF($N2698&lt;&gt;"OK","",$D2698*$H2698)</f>
        <v/>
      </c>
      <c r="J2698" s="71">
        <f>IF($N2698&lt;&gt;"OK","",N(INDEX('Menu Pricing'!$F$7:$F$56,$O2698))+N(INDEX('Menu Pricing'!$G$7:$G$56,$O2698))+N(INDEX('Menu Pricing'!$J$7:$J$56,$O2698)))</f>
        <v/>
      </c>
      <c r="K2698" s="71">
        <f>IF($N2698&lt;&gt;"OK","",$D2698*$J2698)</f>
        <v/>
      </c>
      <c r="L2698" s="71">
        <f>IF($N2698&lt;&gt;"OK","",$I2698-$K2698)</f>
        <v/>
      </c>
      <c r="M2698" s="71">
        <f>IF($N2698&lt;&gt;"OK","",$D2698*N(INDEX('Menu Pricing'!$F$7:$F$56,$O2698)))</f>
        <v/>
      </c>
      <c r="N2698" s="80">
        <f>IF(AND($B2698="",$C2698="",$D2698=""),"",IF(NOT(ISNUMBER($B2698)),"Enter a valid date",IF($C2698="","Pick a menu item",IF($O2698="","Item not on Menu Pricing",IF(N($D2698)&lt;=0,"Qty must be above 0",IF($H2698="","No price on menu","OK"))))))</f>
        <v/>
      </c>
      <c r="O2698" s="13">
        <f>IF($C2698="","",IFERROR(MATCH($C2698,'Menu Pricing'!$B$7:$B$56,0),""))</f>
        <v/>
      </c>
    </row>
    <row r="2699" ht="17" customHeight="1">
      <c r="B2699" s="66" t="n"/>
      <c r="C2699" s="60" t="n"/>
      <c r="D2699" s="86" t="n"/>
      <c r="E2699" s="63" t="n"/>
      <c r="F2699" s="60" t="n"/>
      <c r="G2699" s="60" t="n"/>
      <c r="H2699" s="71">
        <f>IF(OR($C2699="",$D2699=""),"",IF(ISNUMBER($E2699),$E2699,IF($O2699="","",IF(N(INDEX('Menu Pricing'!$O$7:$O$56,$O2699))&gt;0,INDEX('Menu Pricing'!$O$7:$O$56,$O2699),""))))</f>
        <v/>
      </c>
      <c r="I2699" s="71">
        <f>IF($N2699&lt;&gt;"OK","",$D2699*$H2699)</f>
        <v/>
      </c>
      <c r="J2699" s="71">
        <f>IF($N2699&lt;&gt;"OK","",N(INDEX('Menu Pricing'!$F$7:$F$56,$O2699))+N(INDEX('Menu Pricing'!$G$7:$G$56,$O2699))+N(INDEX('Menu Pricing'!$J$7:$J$56,$O2699)))</f>
        <v/>
      </c>
      <c r="K2699" s="71">
        <f>IF($N2699&lt;&gt;"OK","",$D2699*$J2699)</f>
        <v/>
      </c>
      <c r="L2699" s="71">
        <f>IF($N2699&lt;&gt;"OK","",$I2699-$K2699)</f>
        <v/>
      </c>
      <c r="M2699" s="71">
        <f>IF($N2699&lt;&gt;"OK","",$D2699*N(INDEX('Menu Pricing'!$F$7:$F$56,$O2699)))</f>
        <v/>
      </c>
      <c r="N2699" s="80">
        <f>IF(AND($B2699="",$C2699="",$D2699=""),"",IF(NOT(ISNUMBER($B2699)),"Enter a valid date",IF($C2699="","Pick a menu item",IF($O2699="","Item not on Menu Pricing",IF(N($D2699)&lt;=0,"Qty must be above 0",IF($H2699="","No price on menu","OK"))))))</f>
        <v/>
      </c>
      <c r="O2699" s="13">
        <f>IF($C2699="","",IFERROR(MATCH($C2699,'Menu Pricing'!$B$7:$B$56,0),""))</f>
        <v/>
      </c>
    </row>
    <row r="2700" ht="17" customHeight="1">
      <c r="B2700" s="66" t="n"/>
      <c r="C2700" s="60" t="n"/>
      <c r="D2700" s="86" t="n"/>
      <c r="E2700" s="63" t="n"/>
      <c r="F2700" s="60" t="n"/>
      <c r="G2700" s="60" t="n"/>
      <c r="H2700" s="71">
        <f>IF(OR($C2700="",$D2700=""),"",IF(ISNUMBER($E2700),$E2700,IF($O2700="","",IF(N(INDEX('Menu Pricing'!$O$7:$O$56,$O2700))&gt;0,INDEX('Menu Pricing'!$O$7:$O$56,$O2700),""))))</f>
        <v/>
      </c>
      <c r="I2700" s="71">
        <f>IF($N2700&lt;&gt;"OK","",$D2700*$H2700)</f>
        <v/>
      </c>
      <c r="J2700" s="71">
        <f>IF($N2700&lt;&gt;"OK","",N(INDEX('Menu Pricing'!$F$7:$F$56,$O2700))+N(INDEX('Menu Pricing'!$G$7:$G$56,$O2700))+N(INDEX('Menu Pricing'!$J$7:$J$56,$O2700)))</f>
        <v/>
      </c>
      <c r="K2700" s="71">
        <f>IF($N2700&lt;&gt;"OK","",$D2700*$J2700)</f>
        <v/>
      </c>
      <c r="L2700" s="71">
        <f>IF($N2700&lt;&gt;"OK","",$I2700-$K2700)</f>
        <v/>
      </c>
      <c r="M2700" s="71">
        <f>IF($N2700&lt;&gt;"OK","",$D2700*N(INDEX('Menu Pricing'!$F$7:$F$56,$O2700)))</f>
        <v/>
      </c>
      <c r="N2700" s="80">
        <f>IF(AND($B2700="",$C2700="",$D2700=""),"",IF(NOT(ISNUMBER($B2700)),"Enter a valid date",IF($C2700="","Pick a menu item",IF($O2700="","Item not on Menu Pricing",IF(N($D2700)&lt;=0,"Qty must be above 0",IF($H2700="","No price on menu","OK"))))))</f>
        <v/>
      </c>
      <c r="O2700" s="13">
        <f>IF($C2700="","",IFERROR(MATCH($C2700,'Menu Pricing'!$B$7:$B$56,0),""))</f>
        <v/>
      </c>
    </row>
    <row r="2701" ht="17" customHeight="1">
      <c r="B2701" s="66" t="n"/>
      <c r="C2701" s="60" t="n"/>
      <c r="D2701" s="86" t="n"/>
      <c r="E2701" s="63" t="n"/>
      <c r="F2701" s="60" t="n"/>
      <c r="G2701" s="60" t="n"/>
      <c r="H2701" s="71">
        <f>IF(OR($C2701="",$D2701=""),"",IF(ISNUMBER($E2701),$E2701,IF($O2701="","",IF(N(INDEX('Menu Pricing'!$O$7:$O$56,$O2701))&gt;0,INDEX('Menu Pricing'!$O$7:$O$56,$O2701),""))))</f>
        <v/>
      </c>
      <c r="I2701" s="71">
        <f>IF($N2701&lt;&gt;"OK","",$D2701*$H2701)</f>
        <v/>
      </c>
      <c r="J2701" s="71">
        <f>IF($N2701&lt;&gt;"OK","",N(INDEX('Menu Pricing'!$F$7:$F$56,$O2701))+N(INDEX('Menu Pricing'!$G$7:$G$56,$O2701))+N(INDEX('Menu Pricing'!$J$7:$J$56,$O2701)))</f>
        <v/>
      </c>
      <c r="K2701" s="71">
        <f>IF($N2701&lt;&gt;"OK","",$D2701*$J2701)</f>
        <v/>
      </c>
      <c r="L2701" s="71">
        <f>IF($N2701&lt;&gt;"OK","",$I2701-$K2701)</f>
        <v/>
      </c>
      <c r="M2701" s="71">
        <f>IF($N2701&lt;&gt;"OK","",$D2701*N(INDEX('Menu Pricing'!$F$7:$F$56,$O2701)))</f>
        <v/>
      </c>
      <c r="N2701" s="80">
        <f>IF(AND($B2701="",$C2701="",$D2701=""),"",IF(NOT(ISNUMBER($B2701)),"Enter a valid date",IF($C2701="","Pick a menu item",IF($O2701="","Item not on Menu Pricing",IF(N($D2701)&lt;=0,"Qty must be above 0",IF($H2701="","No price on menu","OK"))))))</f>
        <v/>
      </c>
      <c r="O2701" s="13">
        <f>IF($C2701="","",IFERROR(MATCH($C2701,'Menu Pricing'!$B$7:$B$56,0),""))</f>
        <v/>
      </c>
    </row>
    <row r="2702" ht="17" customHeight="1">
      <c r="B2702" s="66" t="n"/>
      <c r="C2702" s="60" t="n"/>
      <c r="D2702" s="86" t="n"/>
      <c r="E2702" s="63" t="n"/>
      <c r="F2702" s="60" t="n"/>
      <c r="G2702" s="60" t="n"/>
      <c r="H2702" s="71">
        <f>IF(OR($C2702="",$D2702=""),"",IF(ISNUMBER($E2702),$E2702,IF($O2702="","",IF(N(INDEX('Menu Pricing'!$O$7:$O$56,$O2702))&gt;0,INDEX('Menu Pricing'!$O$7:$O$56,$O2702),""))))</f>
        <v/>
      </c>
      <c r="I2702" s="71">
        <f>IF($N2702&lt;&gt;"OK","",$D2702*$H2702)</f>
        <v/>
      </c>
      <c r="J2702" s="71">
        <f>IF($N2702&lt;&gt;"OK","",N(INDEX('Menu Pricing'!$F$7:$F$56,$O2702))+N(INDEX('Menu Pricing'!$G$7:$G$56,$O2702))+N(INDEX('Menu Pricing'!$J$7:$J$56,$O2702)))</f>
        <v/>
      </c>
      <c r="K2702" s="71">
        <f>IF($N2702&lt;&gt;"OK","",$D2702*$J2702)</f>
        <v/>
      </c>
      <c r="L2702" s="71">
        <f>IF($N2702&lt;&gt;"OK","",$I2702-$K2702)</f>
        <v/>
      </c>
      <c r="M2702" s="71">
        <f>IF($N2702&lt;&gt;"OK","",$D2702*N(INDEX('Menu Pricing'!$F$7:$F$56,$O2702)))</f>
        <v/>
      </c>
      <c r="N2702" s="80">
        <f>IF(AND($B2702="",$C2702="",$D2702=""),"",IF(NOT(ISNUMBER($B2702)),"Enter a valid date",IF($C2702="","Pick a menu item",IF($O2702="","Item not on Menu Pricing",IF(N($D2702)&lt;=0,"Qty must be above 0",IF($H2702="","No price on menu","OK"))))))</f>
        <v/>
      </c>
      <c r="O2702" s="13">
        <f>IF($C2702="","",IFERROR(MATCH($C2702,'Menu Pricing'!$B$7:$B$56,0),""))</f>
        <v/>
      </c>
    </row>
    <row r="2703" ht="17" customHeight="1">
      <c r="B2703" s="66" t="n"/>
      <c r="C2703" s="60" t="n"/>
      <c r="D2703" s="86" t="n"/>
      <c r="E2703" s="63" t="n"/>
      <c r="F2703" s="60" t="n"/>
      <c r="G2703" s="60" t="n"/>
      <c r="H2703" s="71">
        <f>IF(OR($C2703="",$D2703=""),"",IF(ISNUMBER($E2703),$E2703,IF($O2703="","",IF(N(INDEX('Menu Pricing'!$O$7:$O$56,$O2703))&gt;0,INDEX('Menu Pricing'!$O$7:$O$56,$O2703),""))))</f>
        <v/>
      </c>
      <c r="I2703" s="71">
        <f>IF($N2703&lt;&gt;"OK","",$D2703*$H2703)</f>
        <v/>
      </c>
      <c r="J2703" s="71">
        <f>IF($N2703&lt;&gt;"OK","",N(INDEX('Menu Pricing'!$F$7:$F$56,$O2703))+N(INDEX('Menu Pricing'!$G$7:$G$56,$O2703))+N(INDEX('Menu Pricing'!$J$7:$J$56,$O2703)))</f>
        <v/>
      </c>
      <c r="K2703" s="71">
        <f>IF($N2703&lt;&gt;"OK","",$D2703*$J2703)</f>
        <v/>
      </c>
      <c r="L2703" s="71">
        <f>IF($N2703&lt;&gt;"OK","",$I2703-$K2703)</f>
        <v/>
      </c>
      <c r="M2703" s="71">
        <f>IF($N2703&lt;&gt;"OK","",$D2703*N(INDEX('Menu Pricing'!$F$7:$F$56,$O2703)))</f>
        <v/>
      </c>
      <c r="N2703" s="80">
        <f>IF(AND($B2703="",$C2703="",$D2703=""),"",IF(NOT(ISNUMBER($B2703)),"Enter a valid date",IF($C2703="","Pick a menu item",IF($O2703="","Item not on Menu Pricing",IF(N($D2703)&lt;=0,"Qty must be above 0",IF($H2703="","No price on menu","OK"))))))</f>
        <v/>
      </c>
      <c r="O2703" s="13">
        <f>IF($C2703="","",IFERROR(MATCH($C2703,'Menu Pricing'!$B$7:$B$56,0),""))</f>
        <v/>
      </c>
    </row>
    <row r="2704" ht="17" customHeight="1">
      <c r="B2704" s="66" t="n"/>
      <c r="C2704" s="60" t="n"/>
      <c r="D2704" s="86" t="n"/>
      <c r="E2704" s="63" t="n"/>
      <c r="F2704" s="60" t="n"/>
      <c r="G2704" s="60" t="n"/>
      <c r="H2704" s="71">
        <f>IF(OR($C2704="",$D2704=""),"",IF(ISNUMBER($E2704),$E2704,IF($O2704="","",IF(N(INDEX('Menu Pricing'!$O$7:$O$56,$O2704))&gt;0,INDEX('Menu Pricing'!$O$7:$O$56,$O2704),""))))</f>
        <v/>
      </c>
      <c r="I2704" s="71">
        <f>IF($N2704&lt;&gt;"OK","",$D2704*$H2704)</f>
        <v/>
      </c>
      <c r="J2704" s="71">
        <f>IF($N2704&lt;&gt;"OK","",N(INDEX('Menu Pricing'!$F$7:$F$56,$O2704))+N(INDEX('Menu Pricing'!$G$7:$G$56,$O2704))+N(INDEX('Menu Pricing'!$J$7:$J$56,$O2704)))</f>
        <v/>
      </c>
      <c r="K2704" s="71">
        <f>IF($N2704&lt;&gt;"OK","",$D2704*$J2704)</f>
        <v/>
      </c>
      <c r="L2704" s="71">
        <f>IF($N2704&lt;&gt;"OK","",$I2704-$K2704)</f>
        <v/>
      </c>
      <c r="M2704" s="71">
        <f>IF($N2704&lt;&gt;"OK","",$D2704*N(INDEX('Menu Pricing'!$F$7:$F$56,$O2704)))</f>
        <v/>
      </c>
      <c r="N2704" s="80">
        <f>IF(AND($B2704="",$C2704="",$D2704=""),"",IF(NOT(ISNUMBER($B2704)),"Enter a valid date",IF($C2704="","Pick a menu item",IF($O2704="","Item not on Menu Pricing",IF(N($D2704)&lt;=0,"Qty must be above 0",IF($H2704="","No price on menu","OK"))))))</f>
        <v/>
      </c>
      <c r="O2704" s="13">
        <f>IF($C2704="","",IFERROR(MATCH($C2704,'Menu Pricing'!$B$7:$B$56,0),""))</f>
        <v/>
      </c>
    </row>
    <row r="2705" ht="17" customHeight="1">
      <c r="B2705" s="66" t="n"/>
      <c r="C2705" s="60" t="n"/>
      <c r="D2705" s="86" t="n"/>
      <c r="E2705" s="63" t="n"/>
      <c r="F2705" s="60" t="n"/>
      <c r="G2705" s="60" t="n"/>
      <c r="H2705" s="71">
        <f>IF(OR($C2705="",$D2705=""),"",IF(ISNUMBER($E2705),$E2705,IF($O2705="","",IF(N(INDEX('Menu Pricing'!$O$7:$O$56,$O2705))&gt;0,INDEX('Menu Pricing'!$O$7:$O$56,$O2705),""))))</f>
        <v/>
      </c>
      <c r="I2705" s="71">
        <f>IF($N2705&lt;&gt;"OK","",$D2705*$H2705)</f>
        <v/>
      </c>
      <c r="J2705" s="71">
        <f>IF($N2705&lt;&gt;"OK","",N(INDEX('Menu Pricing'!$F$7:$F$56,$O2705))+N(INDEX('Menu Pricing'!$G$7:$G$56,$O2705))+N(INDEX('Menu Pricing'!$J$7:$J$56,$O2705)))</f>
        <v/>
      </c>
      <c r="K2705" s="71">
        <f>IF($N2705&lt;&gt;"OK","",$D2705*$J2705)</f>
        <v/>
      </c>
      <c r="L2705" s="71">
        <f>IF($N2705&lt;&gt;"OK","",$I2705-$K2705)</f>
        <v/>
      </c>
      <c r="M2705" s="71">
        <f>IF($N2705&lt;&gt;"OK","",$D2705*N(INDEX('Menu Pricing'!$F$7:$F$56,$O2705)))</f>
        <v/>
      </c>
      <c r="N2705" s="80">
        <f>IF(AND($B2705="",$C2705="",$D2705=""),"",IF(NOT(ISNUMBER($B2705)),"Enter a valid date",IF($C2705="","Pick a menu item",IF($O2705="","Item not on Menu Pricing",IF(N($D2705)&lt;=0,"Qty must be above 0",IF($H2705="","No price on menu","OK"))))))</f>
        <v/>
      </c>
      <c r="O2705" s="13">
        <f>IF($C2705="","",IFERROR(MATCH($C2705,'Menu Pricing'!$B$7:$B$56,0),""))</f>
        <v/>
      </c>
    </row>
    <row r="2706" ht="17" customHeight="1">
      <c r="B2706" s="66" t="n"/>
      <c r="C2706" s="60" t="n"/>
      <c r="D2706" s="86" t="n"/>
      <c r="E2706" s="63" t="n"/>
      <c r="F2706" s="60" t="n"/>
      <c r="G2706" s="60" t="n"/>
      <c r="H2706" s="71">
        <f>IF(OR($C2706="",$D2706=""),"",IF(ISNUMBER($E2706),$E2706,IF($O2706="","",IF(N(INDEX('Menu Pricing'!$O$7:$O$56,$O2706))&gt;0,INDEX('Menu Pricing'!$O$7:$O$56,$O2706),""))))</f>
        <v/>
      </c>
      <c r="I2706" s="71">
        <f>IF($N2706&lt;&gt;"OK","",$D2706*$H2706)</f>
        <v/>
      </c>
      <c r="J2706" s="71">
        <f>IF($N2706&lt;&gt;"OK","",N(INDEX('Menu Pricing'!$F$7:$F$56,$O2706))+N(INDEX('Menu Pricing'!$G$7:$G$56,$O2706))+N(INDEX('Menu Pricing'!$J$7:$J$56,$O2706)))</f>
        <v/>
      </c>
      <c r="K2706" s="71">
        <f>IF($N2706&lt;&gt;"OK","",$D2706*$J2706)</f>
        <v/>
      </c>
      <c r="L2706" s="71">
        <f>IF($N2706&lt;&gt;"OK","",$I2706-$K2706)</f>
        <v/>
      </c>
      <c r="M2706" s="71">
        <f>IF($N2706&lt;&gt;"OK","",$D2706*N(INDEX('Menu Pricing'!$F$7:$F$56,$O2706)))</f>
        <v/>
      </c>
      <c r="N2706" s="80">
        <f>IF(AND($B2706="",$C2706="",$D2706=""),"",IF(NOT(ISNUMBER($B2706)),"Enter a valid date",IF($C2706="","Pick a menu item",IF($O2706="","Item not on Menu Pricing",IF(N($D2706)&lt;=0,"Qty must be above 0",IF($H2706="","No price on menu","OK"))))))</f>
        <v/>
      </c>
      <c r="O2706" s="13">
        <f>IF($C2706="","",IFERROR(MATCH($C2706,'Menu Pricing'!$B$7:$B$56,0),""))</f>
        <v/>
      </c>
    </row>
    <row r="2707" ht="17" customHeight="1">
      <c r="B2707" s="66" t="n"/>
      <c r="C2707" s="60" t="n"/>
      <c r="D2707" s="86" t="n"/>
      <c r="E2707" s="63" t="n"/>
      <c r="F2707" s="60" t="n"/>
      <c r="G2707" s="60" t="n"/>
      <c r="H2707" s="71">
        <f>IF(OR($C2707="",$D2707=""),"",IF(ISNUMBER($E2707),$E2707,IF($O2707="","",IF(N(INDEX('Menu Pricing'!$O$7:$O$56,$O2707))&gt;0,INDEX('Menu Pricing'!$O$7:$O$56,$O2707),""))))</f>
        <v/>
      </c>
      <c r="I2707" s="71">
        <f>IF($N2707&lt;&gt;"OK","",$D2707*$H2707)</f>
        <v/>
      </c>
      <c r="J2707" s="71">
        <f>IF($N2707&lt;&gt;"OK","",N(INDEX('Menu Pricing'!$F$7:$F$56,$O2707))+N(INDEX('Menu Pricing'!$G$7:$G$56,$O2707))+N(INDEX('Menu Pricing'!$J$7:$J$56,$O2707)))</f>
        <v/>
      </c>
      <c r="K2707" s="71">
        <f>IF($N2707&lt;&gt;"OK","",$D2707*$J2707)</f>
        <v/>
      </c>
      <c r="L2707" s="71">
        <f>IF($N2707&lt;&gt;"OK","",$I2707-$K2707)</f>
        <v/>
      </c>
      <c r="M2707" s="71">
        <f>IF($N2707&lt;&gt;"OK","",$D2707*N(INDEX('Menu Pricing'!$F$7:$F$56,$O2707)))</f>
        <v/>
      </c>
      <c r="N2707" s="80">
        <f>IF(AND($B2707="",$C2707="",$D2707=""),"",IF(NOT(ISNUMBER($B2707)),"Enter a valid date",IF($C2707="","Pick a menu item",IF($O2707="","Item not on Menu Pricing",IF(N($D2707)&lt;=0,"Qty must be above 0",IF($H2707="","No price on menu","OK"))))))</f>
        <v/>
      </c>
      <c r="O2707" s="13">
        <f>IF($C2707="","",IFERROR(MATCH($C2707,'Menu Pricing'!$B$7:$B$56,0),""))</f>
        <v/>
      </c>
    </row>
    <row r="2708" ht="17" customHeight="1">
      <c r="B2708" s="66" t="n"/>
      <c r="C2708" s="60" t="n"/>
      <c r="D2708" s="86" t="n"/>
      <c r="E2708" s="63" t="n"/>
      <c r="F2708" s="60" t="n"/>
      <c r="G2708" s="60" t="n"/>
      <c r="H2708" s="71">
        <f>IF(OR($C2708="",$D2708=""),"",IF(ISNUMBER($E2708),$E2708,IF($O2708="","",IF(N(INDEX('Menu Pricing'!$O$7:$O$56,$O2708))&gt;0,INDEX('Menu Pricing'!$O$7:$O$56,$O2708),""))))</f>
        <v/>
      </c>
      <c r="I2708" s="71">
        <f>IF($N2708&lt;&gt;"OK","",$D2708*$H2708)</f>
        <v/>
      </c>
      <c r="J2708" s="71">
        <f>IF($N2708&lt;&gt;"OK","",N(INDEX('Menu Pricing'!$F$7:$F$56,$O2708))+N(INDEX('Menu Pricing'!$G$7:$G$56,$O2708))+N(INDEX('Menu Pricing'!$J$7:$J$56,$O2708)))</f>
        <v/>
      </c>
      <c r="K2708" s="71">
        <f>IF($N2708&lt;&gt;"OK","",$D2708*$J2708)</f>
        <v/>
      </c>
      <c r="L2708" s="71">
        <f>IF($N2708&lt;&gt;"OK","",$I2708-$K2708)</f>
        <v/>
      </c>
      <c r="M2708" s="71">
        <f>IF($N2708&lt;&gt;"OK","",$D2708*N(INDEX('Menu Pricing'!$F$7:$F$56,$O2708)))</f>
        <v/>
      </c>
      <c r="N2708" s="80">
        <f>IF(AND($B2708="",$C2708="",$D2708=""),"",IF(NOT(ISNUMBER($B2708)),"Enter a valid date",IF($C2708="","Pick a menu item",IF($O2708="","Item not on Menu Pricing",IF(N($D2708)&lt;=0,"Qty must be above 0",IF($H2708="","No price on menu","OK"))))))</f>
        <v/>
      </c>
      <c r="O2708" s="13">
        <f>IF($C2708="","",IFERROR(MATCH($C2708,'Menu Pricing'!$B$7:$B$56,0),""))</f>
        <v/>
      </c>
    </row>
    <row r="2709" ht="17" customHeight="1">
      <c r="B2709" s="66" t="n"/>
      <c r="C2709" s="60" t="n"/>
      <c r="D2709" s="86" t="n"/>
      <c r="E2709" s="63" t="n"/>
      <c r="F2709" s="60" t="n"/>
      <c r="G2709" s="60" t="n"/>
      <c r="H2709" s="71">
        <f>IF(OR($C2709="",$D2709=""),"",IF(ISNUMBER($E2709),$E2709,IF($O2709="","",IF(N(INDEX('Menu Pricing'!$O$7:$O$56,$O2709))&gt;0,INDEX('Menu Pricing'!$O$7:$O$56,$O2709),""))))</f>
        <v/>
      </c>
      <c r="I2709" s="71">
        <f>IF($N2709&lt;&gt;"OK","",$D2709*$H2709)</f>
        <v/>
      </c>
      <c r="J2709" s="71">
        <f>IF($N2709&lt;&gt;"OK","",N(INDEX('Menu Pricing'!$F$7:$F$56,$O2709))+N(INDEX('Menu Pricing'!$G$7:$G$56,$O2709))+N(INDEX('Menu Pricing'!$J$7:$J$56,$O2709)))</f>
        <v/>
      </c>
      <c r="K2709" s="71">
        <f>IF($N2709&lt;&gt;"OK","",$D2709*$J2709)</f>
        <v/>
      </c>
      <c r="L2709" s="71">
        <f>IF($N2709&lt;&gt;"OK","",$I2709-$K2709)</f>
        <v/>
      </c>
      <c r="M2709" s="71">
        <f>IF($N2709&lt;&gt;"OK","",$D2709*N(INDEX('Menu Pricing'!$F$7:$F$56,$O2709)))</f>
        <v/>
      </c>
      <c r="N2709" s="80">
        <f>IF(AND($B2709="",$C2709="",$D2709=""),"",IF(NOT(ISNUMBER($B2709)),"Enter a valid date",IF($C2709="","Pick a menu item",IF($O2709="","Item not on Menu Pricing",IF(N($D2709)&lt;=0,"Qty must be above 0",IF($H2709="","No price on menu","OK"))))))</f>
        <v/>
      </c>
      <c r="O2709" s="13">
        <f>IF($C2709="","",IFERROR(MATCH($C2709,'Menu Pricing'!$B$7:$B$56,0),""))</f>
        <v/>
      </c>
    </row>
    <row r="2710" ht="17" customHeight="1">
      <c r="B2710" s="66" t="n"/>
      <c r="C2710" s="60" t="n"/>
      <c r="D2710" s="86" t="n"/>
      <c r="E2710" s="63" t="n"/>
      <c r="F2710" s="60" t="n"/>
      <c r="G2710" s="60" t="n"/>
      <c r="H2710" s="71">
        <f>IF(OR($C2710="",$D2710=""),"",IF(ISNUMBER($E2710),$E2710,IF($O2710="","",IF(N(INDEX('Menu Pricing'!$O$7:$O$56,$O2710))&gt;0,INDEX('Menu Pricing'!$O$7:$O$56,$O2710),""))))</f>
        <v/>
      </c>
      <c r="I2710" s="71">
        <f>IF($N2710&lt;&gt;"OK","",$D2710*$H2710)</f>
        <v/>
      </c>
      <c r="J2710" s="71">
        <f>IF($N2710&lt;&gt;"OK","",N(INDEX('Menu Pricing'!$F$7:$F$56,$O2710))+N(INDEX('Menu Pricing'!$G$7:$G$56,$O2710))+N(INDEX('Menu Pricing'!$J$7:$J$56,$O2710)))</f>
        <v/>
      </c>
      <c r="K2710" s="71">
        <f>IF($N2710&lt;&gt;"OK","",$D2710*$J2710)</f>
        <v/>
      </c>
      <c r="L2710" s="71">
        <f>IF($N2710&lt;&gt;"OK","",$I2710-$K2710)</f>
        <v/>
      </c>
      <c r="M2710" s="71">
        <f>IF($N2710&lt;&gt;"OK","",$D2710*N(INDEX('Menu Pricing'!$F$7:$F$56,$O2710)))</f>
        <v/>
      </c>
      <c r="N2710" s="80">
        <f>IF(AND($B2710="",$C2710="",$D2710=""),"",IF(NOT(ISNUMBER($B2710)),"Enter a valid date",IF($C2710="","Pick a menu item",IF($O2710="","Item not on Menu Pricing",IF(N($D2710)&lt;=0,"Qty must be above 0",IF($H2710="","No price on menu","OK"))))))</f>
        <v/>
      </c>
      <c r="O2710" s="13">
        <f>IF($C2710="","",IFERROR(MATCH($C2710,'Menu Pricing'!$B$7:$B$56,0),""))</f>
        <v/>
      </c>
    </row>
    <row r="2711" ht="17" customHeight="1">
      <c r="B2711" s="66" t="n"/>
      <c r="C2711" s="60" t="n"/>
      <c r="D2711" s="86" t="n"/>
      <c r="E2711" s="63" t="n"/>
      <c r="F2711" s="60" t="n"/>
      <c r="G2711" s="60" t="n"/>
      <c r="H2711" s="71">
        <f>IF(OR($C2711="",$D2711=""),"",IF(ISNUMBER($E2711),$E2711,IF($O2711="","",IF(N(INDEX('Menu Pricing'!$O$7:$O$56,$O2711))&gt;0,INDEX('Menu Pricing'!$O$7:$O$56,$O2711),""))))</f>
        <v/>
      </c>
      <c r="I2711" s="71">
        <f>IF($N2711&lt;&gt;"OK","",$D2711*$H2711)</f>
        <v/>
      </c>
      <c r="J2711" s="71">
        <f>IF($N2711&lt;&gt;"OK","",N(INDEX('Menu Pricing'!$F$7:$F$56,$O2711))+N(INDEX('Menu Pricing'!$G$7:$G$56,$O2711))+N(INDEX('Menu Pricing'!$J$7:$J$56,$O2711)))</f>
        <v/>
      </c>
      <c r="K2711" s="71">
        <f>IF($N2711&lt;&gt;"OK","",$D2711*$J2711)</f>
        <v/>
      </c>
      <c r="L2711" s="71">
        <f>IF($N2711&lt;&gt;"OK","",$I2711-$K2711)</f>
        <v/>
      </c>
      <c r="M2711" s="71">
        <f>IF($N2711&lt;&gt;"OK","",$D2711*N(INDEX('Menu Pricing'!$F$7:$F$56,$O2711)))</f>
        <v/>
      </c>
      <c r="N2711" s="80">
        <f>IF(AND($B2711="",$C2711="",$D2711=""),"",IF(NOT(ISNUMBER($B2711)),"Enter a valid date",IF($C2711="","Pick a menu item",IF($O2711="","Item not on Menu Pricing",IF(N($D2711)&lt;=0,"Qty must be above 0",IF($H2711="","No price on menu","OK"))))))</f>
        <v/>
      </c>
      <c r="O2711" s="13">
        <f>IF($C2711="","",IFERROR(MATCH($C2711,'Menu Pricing'!$B$7:$B$56,0),""))</f>
        <v/>
      </c>
    </row>
    <row r="2712" ht="17" customHeight="1">
      <c r="B2712" s="66" t="n"/>
      <c r="C2712" s="60" t="n"/>
      <c r="D2712" s="86" t="n"/>
      <c r="E2712" s="63" t="n"/>
      <c r="F2712" s="60" t="n"/>
      <c r="G2712" s="60" t="n"/>
      <c r="H2712" s="71">
        <f>IF(OR($C2712="",$D2712=""),"",IF(ISNUMBER($E2712),$E2712,IF($O2712="","",IF(N(INDEX('Menu Pricing'!$O$7:$O$56,$O2712))&gt;0,INDEX('Menu Pricing'!$O$7:$O$56,$O2712),""))))</f>
        <v/>
      </c>
      <c r="I2712" s="71">
        <f>IF($N2712&lt;&gt;"OK","",$D2712*$H2712)</f>
        <v/>
      </c>
      <c r="J2712" s="71">
        <f>IF($N2712&lt;&gt;"OK","",N(INDEX('Menu Pricing'!$F$7:$F$56,$O2712))+N(INDEX('Menu Pricing'!$G$7:$G$56,$O2712))+N(INDEX('Menu Pricing'!$J$7:$J$56,$O2712)))</f>
        <v/>
      </c>
      <c r="K2712" s="71">
        <f>IF($N2712&lt;&gt;"OK","",$D2712*$J2712)</f>
        <v/>
      </c>
      <c r="L2712" s="71">
        <f>IF($N2712&lt;&gt;"OK","",$I2712-$K2712)</f>
        <v/>
      </c>
      <c r="M2712" s="71">
        <f>IF($N2712&lt;&gt;"OK","",$D2712*N(INDEX('Menu Pricing'!$F$7:$F$56,$O2712)))</f>
        <v/>
      </c>
      <c r="N2712" s="80">
        <f>IF(AND($B2712="",$C2712="",$D2712=""),"",IF(NOT(ISNUMBER($B2712)),"Enter a valid date",IF($C2712="","Pick a menu item",IF($O2712="","Item not on Menu Pricing",IF(N($D2712)&lt;=0,"Qty must be above 0",IF($H2712="","No price on menu","OK"))))))</f>
        <v/>
      </c>
      <c r="O2712" s="13">
        <f>IF($C2712="","",IFERROR(MATCH($C2712,'Menu Pricing'!$B$7:$B$56,0),""))</f>
        <v/>
      </c>
    </row>
    <row r="2713" ht="17" customHeight="1">
      <c r="B2713" s="66" t="n"/>
      <c r="C2713" s="60" t="n"/>
      <c r="D2713" s="86" t="n"/>
      <c r="E2713" s="63" t="n"/>
      <c r="F2713" s="60" t="n"/>
      <c r="G2713" s="60" t="n"/>
      <c r="H2713" s="71">
        <f>IF(OR($C2713="",$D2713=""),"",IF(ISNUMBER($E2713),$E2713,IF($O2713="","",IF(N(INDEX('Menu Pricing'!$O$7:$O$56,$O2713))&gt;0,INDEX('Menu Pricing'!$O$7:$O$56,$O2713),""))))</f>
        <v/>
      </c>
      <c r="I2713" s="71">
        <f>IF($N2713&lt;&gt;"OK","",$D2713*$H2713)</f>
        <v/>
      </c>
      <c r="J2713" s="71">
        <f>IF($N2713&lt;&gt;"OK","",N(INDEX('Menu Pricing'!$F$7:$F$56,$O2713))+N(INDEX('Menu Pricing'!$G$7:$G$56,$O2713))+N(INDEX('Menu Pricing'!$J$7:$J$56,$O2713)))</f>
        <v/>
      </c>
      <c r="K2713" s="71">
        <f>IF($N2713&lt;&gt;"OK","",$D2713*$J2713)</f>
        <v/>
      </c>
      <c r="L2713" s="71">
        <f>IF($N2713&lt;&gt;"OK","",$I2713-$K2713)</f>
        <v/>
      </c>
      <c r="M2713" s="71">
        <f>IF($N2713&lt;&gt;"OK","",$D2713*N(INDEX('Menu Pricing'!$F$7:$F$56,$O2713)))</f>
        <v/>
      </c>
      <c r="N2713" s="80">
        <f>IF(AND($B2713="",$C2713="",$D2713=""),"",IF(NOT(ISNUMBER($B2713)),"Enter a valid date",IF($C2713="","Pick a menu item",IF($O2713="","Item not on Menu Pricing",IF(N($D2713)&lt;=0,"Qty must be above 0",IF($H2713="","No price on menu","OK"))))))</f>
        <v/>
      </c>
      <c r="O2713" s="13">
        <f>IF($C2713="","",IFERROR(MATCH($C2713,'Menu Pricing'!$B$7:$B$56,0),""))</f>
        <v/>
      </c>
    </row>
    <row r="2714" ht="17" customHeight="1">
      <c r="B2714" s="66" t="n"/>
      <c r="C2714" s="60" t="n"/>
      <c r="D2714" s="86" t="n"/>
      <c r="E2714" s="63" t="n"/>
      <c r="F2714" s="60" t="n"/>
      <c r="G2714" s="60" t="n"/>
      <c r="H2714" s="71">
        <f>IF(OR($C2714="",$D2714=""),"",IF(ISNUMBER($E2714),$E2714,IF($O2714="","",IF(N(INDEX('Menu Pricing'!$O$7:$O$56,$O2714))&gt;0,INDEX('Menu Pricing'!$O$7:$O$56,$O2714),""))))</f>
        <v/>
      </c>
      <c r="I2714" s="71">
        <f>IF($N2714&lt;&gt;"OK","",$D2714*$H2714)</f>
        <v/>
      </c>
      <c r="J2714" s="71">
        <f>IF($N2714&lt;&gt;"OK","",N(INDEX('Menu Pricing'!$F$7:$F$56,$O2714))+N(INDEX('Menu Pricing'!$G$7:$G$56,$O2714))+N(INDEX('Menu Pricing'!$J$7:$J$56,$O2714)))</f>
        <v/>
      </c>
      <c r="K2714" s="71">
        <f>IF($N2714&lt;&gt;"OK","",$D2714*$J2714)</f>
        <v/>
      </c>
      <c r="L2714" s="71">
        <f>IF($N2714&lt;&gt;"OK","",$I2714-$K2714)</f>
        <v/>
      </c>
      <c r="M2714" s="71">
        <f>IF($N2714&lt;&gt;"OK","",$D2714*N(INDEX('Menu Pricing'!$F$7:$F$56,$O2714)))</f>
        <v/>
      </c>
      <c r="N2714" s="80">
        <f>IF(AND($B2714="",$C2714="",$D2714=""),"",IF(NOT(ISNUMBER($B2714)),"Enter a valid date",IF($C2714="","Pick a menu item",IF($O2714="","Item not on Menu Pricing",IF(N($D2714)&lt;=0,"Qty must be above 0",IF($H2714="","No price on menu","OK"))))))</f>
        <v/>
      </c>
      <c r="O2714" s="13">
        <f>IF($C2714="","",IFERROR(MATCH($C2714,'Menu Pricing'!$B$7:$B$56,0),""))</f>
        <v/>
      </c>
    </row>
    <row r="2715" ht="17" customHeight="1">
      <c r="B2715" s="66" t="n"/>
      <c r="C2715" s="60" t="n"/>
      <c r="D2715" s="86" t="n"/>
      <c r="E2715" s="63" t="n"/>
      <c r="F2715" s="60" t="n"/>
      <c r="G2715" s="60" t="n"/>
      <c r="H2715" s="71">
        <f>IF(OR($C2715="",$D2715=""),"",IF(ISNUMBER($E2715),$E2715,IF($O2715="","",IF(N(INDEX('Menu Pricing'!$O$7:$O$56,$O2715))&gt;0,INDEX('Menu Pricing'!$O$7:$O$56,$O2715),""))))</f>
        <v/>
      </c>
      <c r="I2715" s="71">
        <f>IF($N2715&lt;&gt;"OK","",$D2715*$H2715)</f>
        <v/>
      </c>
      <c r="J2715" s="71">
        <f>IF($N2715&lt;&gt;"OK","",N(INDEX('Menu Pricing'!$F$7:$F$56,$O2715))+N(INDEX('Menu Pricing'!$G$7:$G$56,$O2715))+N(INDEX('Menu Pricing'!$J$7:$J$56,$O2715)))</f>
        <v/>
      </c>
      <c r="K2715" s="71">
        <f>IF($N2715&lt;&gt;"OK","",$D2715*$J2715)</f>
        <v/>
      </c>
      <c r="L2715" s="71">
        <f>IF($N2715&lt;&gt;"OK","",$I2715-$K2715)</f>
        <v/>
      </c>
      <c r="M2715" s="71">
        <f>IF($N2715&lt;&gt;"OK","",$D2715*N(INDEX('Menu Pricing'!$F$7:$F$56,$O2715)))</f>
        <v/>
      </c>
      <c r="N2715" s="80">
        <f>IF(AND($B2715="",$C2715="",$D2715=""),"",IF(NOT(ISNUMBER($B2715)),"Enter a valid date",IF($C2715="","Pick a menu item",IF($O2715="","Item not on Menu Pricing",IF(N($D2715)&lt;=0,"Qty must be above 0",IF($H2715="","No price on menu","OK"))))))</f>
        <v/>
      </c>
      <c r="O2715" s="13">
        <f>IF($C2715="","",IFERROR(MATCH($C2715,'Menu Pricing'!$B$7:$B$56,0),""))</f>
        <v/>
      </c>
    </row>
    <row r="2716" ht="17" customHeight="1">
      <c r="B2716" s="66" t="n"/>
      <c r="C2716" s="60" t="n"/>
      <c r="D2716" s="86" t="n"/>
      <c r="E2716" s="63" t="n"/>
      <c r="F2716" s="60" t="n"/>
      <c r="G2716" s="60" t="n"/>
      <c r="H2716" s="71">
        <f>IF(OR($C2716="",$D2716=""),"",IF(ISNUMBER($E2716),$E2716,IF($O2716="","",IF(N(INDEX('Menu Pricing'!$O$7:$O$56,$O2716))&gt;0,INDEX('Menu Pricing'!$O$7:$O$56,$O2716),""))))</f>
        <v/>
      </c>
      <c r="I2716" s="71">
        <f>IF($N2716&lt;&gt;"OK","",$D2716*$H2716)</f>
        <v/>
      </c>
      <c r="J2716" s="71">
        <f>IF($N2716&lt;&gt;"OK","",N(INDEX('Menu Pricing'!$F$7:$F$56,$O2716))+N(INDEX('Menu Pricing'!$G$7:$G$56,$O2716))+N(INDEX('Menu Pricing'!$J$7:$J$56,$O2716)))</f>
        <v/>
      </c>
      <c r="K2716" s="71">
        <f>IF($N2716&lt;&gt;"OK","",$D2716*$J2716)</f>
        <v/>
      </c>
      <c r="L2716" s="71">
        <f>IF($N2716&lt;&gt;"OK","",$I2716-$K2716)</f>
        <v/>
      </c>
      <c r="M2716" s="71">
        <f>IF($N2716&lt;&gt;"OK","",$D2716*N(INDEX('Menu Pricing'!$F$7:$F$56,$O2716)))</f>
        <v/>
      </c>
      <c r="N2716" s="80">
        <f>IF(AND($B2716="",$C2716="",$D2716=""),"",IF(NOT(ISNUMBER($B2716)),"Enter a valid date",IF($C2716="","Pick a menu item",IF($O2716="","Item not on Menu Pricing",IF(N($D2716)&lt;=0,"Qty must be above 0",IF($H2716="","No price on menu","OK"))))))</f>
        <v/>
      </c>
      <c r="O2716" s="13">
        <f>IF($C2716="","",IFERROR(MATCH($C2716,'Menu Pricing'!$B$7:$B$56,0),""))</f>
        <v/>
      </c>
    </row>
    <row r="2717" ht="17" customHeight="1">
      <c r="B2717" s="66" t="n"/>
      <c r="C2717" s="60" t="n"/>
      <c r="D2717" s="86" t="n"/>
      <c r="E2717" s="63" t="n"/>
      <c r="F2717" s="60" t="n"/>
      <c r="G2717" s="60" t="n"/>
      <c r="H2717" s="71">
        <f>IF(OR($C2717="",$D2717=""),"",IF(ISNUMBER($E2717),$E2717,IF($O2717="","",IF(N(INDEX('Menu Pricing'!$O$7:$O$56,$O2717))&gt;0,INDEX('Menu Pricing'!$O$7:$O$56,$O2717),""))))</f>
        <v/>
      </c>
      <c r="I2717" s="71">
        <f>IF($N2717&lt;&gt;"OK","",$D2717*$H2717)</f>
        <v/>
      </c>
      <c r="J2717" s="71">
        <f>IF($N2717&lt;&gt;"OK","",N(INDEX('Menu Pricing'!$F$7:$F$56,$O2717))+N(INDEX('Menu Pricing'!$G$7:$G$56,$O2717))+N(INDEX('Menu Pricing'!$J$7:$J$56,$O2717)))</f>
        <v/>
      </c>
      <c r="K2717" s="71">
        <f>IF($N2717&lt;&gt;"OK","",$D2717*$J2717)</f>
        <v/>
      </c>
      <c r="L2717" s="71">
        <f>IF($N2717&lt;&gt;"OK","",$I2717-$K2717)</f>
        <v/>
      </c>
      <c r="M2717" s="71">
        <f>IF($N2717&lt;&gt;"OK","",$D2717*N(INDEX('Menu Pricing'!$F$7:$F$56,$O2717)))</f>
        <v/>
      </c>
      <c r="N2717" s="80">
        <f>IF(AND($B2717="",$C2717="",$D2717=""),"",IF(NOT(ISNUMBER($B2717)),"Enter a valid date",IF($C2717="","Pick a menu item",IF($O2717="","Item not on Menu Pricing",IF(N($D2717)&lt;=0,"Qty must be above 0",IF($H2717="","No price on menu","OK"))))))</f>
        <v/>
      </c>
      <c r="O2717" s="13">
        <f>IF($C2717="","",IFERROR(MATCH($C2717,'Menu Pricing'!$B$7:$B$56,0),""))</f>
        <v/>
      </c>
    </row>
    <row r="2718" ht="17" customHeight="1">
      <c r="B2718" s="66" t="n"/>
      <c r="C2718" s="60" t="n"/>
      <c r="D2718" s="86" t="n"/>
      <c r="E2718" s="63" t="n"/>
      <c r="F2718" s="60" t="n"/>
      <c r="G2718" s="60" t="n"/>
      <c r="H2718" s="71">
        <f>IF(OR($C2718="",$D2718=""),"",IF(ISNUMBER($E2718),$E2718,IF($O2718="","",IF(N(INDEX('Menu Pricing'!$O$7:$O$56,$O2718))&gt;0,INDEX('Menu Pricing'!$O$7:$O$56,$O2718),""))))</f>
        <v/>
      </c>
      <c r="I2718" s="71">
        <f>IF($N2718&lt;&gt;"OK","",$D2718*$H2718)</f>
        <v/>
      </c>
      <c r="J2718" s="71">
        <f>IF($N2718&lt;&gt;"OK","",N(INDEX('Menu Pricing'!$F$7:$F$56,$O2718))+N(INDEX('Menu Pricing'!$G$7:$G$56,$O2718))+N(INDEX('Menu Pricing'!$J$7:$J$56,$O2718)))</f>
        <v/>
      </c>
      <c r="K2718" s="71">
        <f>IF($N2718&lt;&gt;"OK","",$D2718*$J2718)</f>
        <v/>
      </c>
      <c r="L2718" s="71">
        <f>IF($N2718&lt;&gt;"OK","",$I2718-$K2718)</f>
        <v/>
      </c>
      <c r="M2718" s="71">
        <f>IF($N2718&lt;&gt;"OK","",$D2718*N(INDEX('Menu Pricing'!$F$7:$F$56,$O2718)))</f>
        <v/>
      </c>
      <c r="N2718" s="80">
        <f>IF(AND($B2718="",$C2718="",$D2718=""),"",IF(NOT(ISNUMBER($B2718)),"Enter a valid date",IF($C2718="","Pick a menu item",IF($O2718="","Item not on Menu Pricing",IF(N($D2718)&lt;=0,"Qty must be above 0",IF($H2718="","No price on menu","OK"))))))</f>
        <v/>
      </c>
      <c r="O2718" s="13">
        <f>IF($C2718="","",IFERROR(MATCH($C2718,'Menu Pricing'!$B$7:$B$56,0),""))</f>
        <v/>
      </c>
    </row>
    <row r="2719" ht="17" customHeight="1">
      <c r="B2719" s="66" t="n"/>
      <c r="C2719" s="60" t="n"/>
      <c r="D2719" s="86" t="n"/>
      <c r="E2719" s="63" t="n"/>
      <c r="F2719" s="60" t="n"/>
      <c r="G2719" s="60" t="n"/>
      <c r="H2719" s="71">
        <f>IF(OR($C2719="",$D2719=""),"",IF(ISNUMBER($E2719),$E2719,IF($O2719="","",IF(N(INDEX('Menu Pricing'!$O$7:$O$56,$O2719))&gt;0,INDEX('Menu Pricing'!$O$7:$O$56,$O2719),""))))</f>
        <v/>
      </c>
      <c r="I2719" s="71">
        <f>IF($N2719&lt;&gt;"OK","",$D2719*$H2719)</f>
        <v/>
      </c>
      <c r="J2719" s="71">
        <f>IF($N2719&lt;&gt;"OK","",N(INDEX('Menu Pricing'!$F$7:$F$56,$O2719))+N(INDEX('Menu Pricing'!$G$7:$G$56,$O2719))+N(INDEX('Menu Pricing'!$J$7:$J$56,$O2719)))</f>
        <v/>
      </c>
      <c r="K2719" s="71">
        <f>IF($N2719&lt;&gt;"OK","",$D2719*$J2719)</f>
        <v/>
      </c>
      <c r="L2719" s="71">
        <f>IF($N2719&lt;&gt;"OK","",$I2719-$K2719)</f>
        <v/>
      </c>
      <c r="M2719" s="71">
        <f>IF($N2719&lt;&gt;"OK","",$D2719*N(INDEX('Menu Pricing'!$F$7:$F$56,$O2719)))</f>
        <v/>
      </c>
      <c r="N2719" s="80">
        <f>IF(AND($B2719="",$C2719="",$D2719=""),"",IF(NOT(ISNUMBER($B2719)),"Enter a valid date",IF($C2719="","Pick a menu item",IF($O2719="","Item not on Menu Pricing",IF(N($D2719)&lt;=0,"Qty must be above 0",IF($H2719="","No price on menu","OK"))))))</f>
        <v/>
      </c>
      <c r="O2719" s="13">
        <f>IF($C2719="","",IFERROR(MATCH($C2719,'Menu Pricing'!$B$7:$B$56,0),""))</f>
        <v/>
      </c>
    </row>
    <row r="2720" ht="17" customHeight="1">
      <c r="B2720" s="66" t="n"/>
      <c r="C2720" s="60" t="n"/>
      <c r="D2720" s="86" t="n"/>
      <c r="E2720" s="63" t="n"/>
      <c r="F2720" s="60" t="n"/>
      <c r="G2720" s="60" t="n"/>
      <c r="H2720" s="71">
        <f>IF(OR($C2720="",$D2720=""),"",IF(ISNUMBER($E2720),$E2720,IF($O2720="","",IF(N(INDEX('Menu Pricing'!$O$7:$O$56,$O2720))&gt;0,INDEX('Menu Pricing'!$O$7:$O$56,$O2720),""))))</f>
        <v/>
      </c>
      <c r="I2720" s="71">
        <f>IF($N2720&lt;&gt;"OK","",$D2720*$H2720)</f>
        <v/>
      </c>
      <c r="J2720" s="71">
        <f>IF($N2720&lt;&gt;"OK","",N(INDEX('Menu Pricing'!$F$7:$F$56,$O2720))+N(INDEX('Menu Pricing'!$G$7:$G$56,$O2720))+N(INDEX('Menu Pricing'!$J$7:$J$56,$O2720)))</f>
        <v/>
      </c>
      <c r="K2720" s="71">
        <f>IF($N2720&lt;&gt;"OK","",$D2720*$J2720)</f>
        <v/>
      </c>
      <c r="L2720" s="71">
        <f>IF($N2720&lt;&gt;"OK","",$I2720-$K2720)</f>
        <v/>
      </c>
      <c r="M2720" s="71">
        <f>IF($N2720&lt;&gt;"OK","",$D2720*N(INDEX('Menu Pricing'!$F$7:$F$56,$O2720)))</f>
        <v/>
      </c>
      <c r="N2720" s="80">
        <f>IF(AND($B2720="",$C2720="",$D2720=""),"",IF(NOT(ISNUMBER($B2720)),"Enter a valid date",IF($C2720="","Pick a menu item",IF($O2720="","Item not on Menu Pricing",IF(N($D2720)&lt;=0,"Qty must be above 0",IF($H2720="","No price on menu","OK"))))))</f>
        <v/>
      </c>
      <c r="O2720" s="13">
        <f>IF($C2720="","",IFERROR(MATCH($C2720,'Menu Pricing'!$B$7:$B$56,0),""))</f>
        <v/>
      </c>
    </row>
    <row r="2721" ht="17" customHeight="1">
      <c r="B2721" s="66" t="n"/>
      <c r="C2721" s="60" t="n"/>
      <c r="D2721" s="86" t="n"/>
      <c r="E2721" s="63" t="n"/>
      <c r="F2721" s="60" t="n"/>
      <c r="G2721" s="60" t="n"/>
      <c r="H2721" s="71">
        <f>IF(OR($C2721="",$D2721=""),"",IF(ISNUMBER($E2721),$E2721,IF($O2721="","",IF(N(INDEX('Menu Pricing'!$O$7:$O$56,$O2721))&gt;0,INDEX('Menu Pricing'!$O$7:$O$56,$O2721),""))))</f>
        <v/>
      </c>
      <c r="I2721" s="71">
        <f>IF($N2721&lt;&gt;"OK","",$D2721*$H2721)</f>
        <v/>
      </c>
      <c r="J2721" s="71">
        <f>IF($N2721&lt;&gt;"OK","",N(INDEX('Menu Pricing'!$F$7:$F$56,$O2721))+N(INDEX('Menu Pricing'!$G$7:$G$56,$O2721))+N(INDEX('Menu Pricing'!$J$7:$J$56,$O2721)))</f>
        <v/>
      </c>
      <c r="K2721" s="71">
        <f>IF($N2721&lt;&gt;"OK","",$D2721*$J2721)</f>
        <v/>
      </c>
      <c r="L2721" s="71">
        <f>IF($N2721&lt;&gt;"OK","",$I2721-$K2721)</f>
        <v/>
      </c>
      <c r="M2721" s="71">
        <f>IF($N2721&lt;&gt;"OK","",$D2721*N(INDEX('Menu Pricing'!$F$7:$F$56,$O2721)))</f>
        <v/>
      </c>
      <c r="N2721" s="80">
        <f>IF(AND($B2721="",$C2721="",$D2721=""),"",IF(NOT(ISNUMBER($B2721)),"Enter a valid date",IF($C2721="","Pick a menu item",IF($O2721="","Item not on Menu Pricing",IF(N($D2721)&lt;=0,"Qty must be above 0",IF($H2721="","No price on menu","OK"))))))</f>
        <v/>
      </c>
      <c r="O2721" s="13">
        <f>IF($C2721="","",IFERROR(MATCH($C2721,'Menu Pricing'!$B$7:$B$56,0),""))</f>
        <v/>
      </c>
    </row>
    <row r="2722" ht="17" customHeight="1">
      <c r="B2722" s="66" t="n"/>
      <c r="C2722" s="60" t="n"/>
      <c r="D2722" s="86" t="n"/>
      <c r="E2722" s="63" t="n"/>
      <c r="F2722" s="60" t="n"/>
      <c r="G2722" s="60" t="n"/>
      <c r="H2722" s="71">
        <f>IF(OR($C2722="",$D2722=""),"",IF(ISNUMBER($E2722),$E2722,IF($O2722="","",IF(N(INDEX('Menu Pricing'!$O$7:$O$56,$O2722))&gt;0,INDEX('Menu Pricing'!$O$7:$O$56,$O2722),""))))</f>
        <v/>
      </c>
      <c r="I2722" s="71">
        <f>IF($N2722&lt;&gt;"OK","",$D2722*$H2722)</f>
        <v/>
      </c>
      <c r="J2722" s="71">
        <f>IF($N2722&lt;&gt;"OK","",N(INDEX('Menu Pricing'!$F$7:$F$56,$O2722))+N(INDEX('Menu Pricing'!$G$7:$G$56,$O2722))+N(INDEX('Menu Pricing'!$J$7:$J$56,$O2722)))</f>
        <v/>
      </c>
      <c r="K2722" s="71">
        <f>IF($N2722&lt;&gt;"OK","",$D2722*$J2722)</f>
        <v/>
      </c>
      <c r="L2722" s="71">
        <f>IF($N2722&lt;&gt;"OK","",$I2722-$K2722)</f>
        <v/>
      </c>
      <c r="M2722" s="71">
        <f>IF($N2722&lt;&gt;"OK","",$D2722*N(INDEX('Menu Pricing'!$F$7:$F$56,$O2722)))</f>
        <v/>
      </c>
      <c r="N2722" s="80">
        <f>IF(AND($B2722="",$C2722="",$D2722=""),"",IF(NOT(ISNUMBER($B2722)),"Enter a valid date",IF($C2722="","Pick a menu item",IF($O2722="","Item not on Menu Pricing",IF(N($D2722)&lt;=0,"Qty must be above 0",IF($H2722="","No price on menu","OK"))))))</f>
        <v/>
      </c>
      <c r="O2722" s="13">
        <f>IF($C2722="","",IFERROR(MATCH($C2722,'Menu Pricing'!$B$7:$B$56,0),""))</f>
        <v/>
      </c>
    </row>
    <row r="2723" ht="17" customHeight="1">
      <c r="B2723" s="66" t="n"/>
      <c r="C2723" s="60" t="n"/>
      <c r="D2723" s="86" t="n"/>
      <c r="E2723" s="63" t="n"/>
      <c r="F2723" s="60" t="n"/>
      <c r="G2723" s="60" t="n"/>
      <c r="H2723" s="71">
        <f>IF(OR($C2723="",$D2723=""),"",IF(ISNUMBER($E2723),$E2723,IF($O2723="","",IF(N(INDEX('Menu Pricing'!$O$7:$O$56,$O2723))&gt;0,INDEX('Menu Pricing'!$O$7:$O$56,$O2723),""))))</f>
        <v/>
      </c>
      <c r="I2723" s="71">
        <f>IF($N2723&lt;&gt;"OK","",$D2723*$H2723)</f>
        <v/>
      </c>
      <c r="J2723" s="71">
        <f>IF($N2723&lt;&gt;"OK","",N(INDEX('Menu Pricing'!$F$7:$F$56,$O2723))+N(INDEX('Menu Pricing'!$G$7:$G$56,$O2723))+N(INDEX('Menu Pricing'!$J$7:$J$56,$O2723)))</f>
        <v/>
      </c>
      <c r="K2723" s="71">
        <f>IF($N2723&lt;&gt;"OK","",$D2723*$J2723)</f>
        <v/>
      </c>
      <c r="L2723" s="71">
        <f>IF($N2723&lt;&gt;"OK","",$I2723-$K2723)</f>
        <v/>
      </c>
      <c r="M2723" s="71">
        <f>IF($N2723&lt;&gt;"OK","",$D2723*N(INDEX('Menu Pricing'!$F$7:$F$56,$O2723)))</f>
        <v/>
      </c>
      <c r="N2723" s="80">
        <f>IF(AND($B2723="",$C2723="",$D2723=""),"",IF(NOT(ISNUMBER($B2723)),"Enter a valid date",IF($C2723="","Pick a menu item",IF($O2723="","Item not on Menu Pricing",IF(N($D2723)&lt;=0,"Qty must be above 0",IF($H2723="","No price on menu","OK"))))))</f>
        <v/>
      </c>
      <c r="O2723" s="13">
        <f>IF($C2723="","",IFERROR(MATCH($C2723,'Menu Pricing'!$B$7:$B$56,0),""))</f>
        <v/>
      </c>
    </row>
    <row r="2724" ht="17" customHeight="1">
      <c r="B2724" s="66" t="n"/>
      <c r="C2724" s="60" t="n"/>
      <c r="D2724" s="86" t="n"/>
      <c r="E2724" s="63" t="n"/>
      <c r="F2724" s="60" t="n"/>
      <c r="G2724" s="60" t="n"/>
      <c r="H2724" s="71">
        <f>IF(OR($C2724="",$D2724=""),"",IF(ISNUMBER($E2724),$E2724,IF($O2724="","",IF(N(INDEX('Menu Pricing'!$O$7:$O$56,$O2724))&gt;0,INDEX('Menu Pricing'!$O$7:$O$56,$O2724),""))))</f>
        <v/>
      </c>
      <c r="I2724" s="71">
        <f>IF($N2724&lt;&gt;"OK","",$D2724*$H2724)</f>
        <v/>
      </c>
      <c r="J2724" s="71">
        <f>IF($N2724&lt;&gt;"OK","",N(INDEX('Menu Pricing'!$F$7:$F$56,$O2724))+N(INDEX('Menu Pricing'!$G$7:$G$56,$O2724))+N(INDEX('Menu Pricing'!$J$7:$J$56,$O2724)))</f>
        <v/>
      </c>
      <c r="K2724" s="71">
        <f>IF($N2724&lt;&gt;"OK","",$D2724*$J2724)</f>
        <v/>
      </c>
      <c r="L2724" s="71">
        <f>IF($N2724&lt;&gt;"OK","",$I2724-$K2724)</f>
        <v/>
      </c>
      <c r="M2724" s="71">
        <f>IF($N2724&lt;&gt;"OK","",$D2724*N(INDEX('Menu Pricing'!$F$7:$F$56,$O2724)))</f>
        <v/>
      </c>
      <c r="N2724" s="80">
        <f>IF(AND($B2724="",$C2724="",$D2724=""),"",IF(NOT(ISNUMBER($B2724)),"Enter a valid date",IF($C2724="","Pick a menu item",IF($O2724="","Item not on Menu Pricing",IF(N($D2724)&lt;=0,"Qty must be above 0",IF($H2724="","No price on menu","OK"))))))</f>
        <v/>
      </c>
      <c r="O2724" s="13">
        <f>IF($C2724="","",IFERROR(MATCH($C2724,'Menu Pricing'!$B$7:$B$56,0),""))</f>
        <v/>
      </c>
    </row>
    <row r="2725" ht="17" customHeight="1">
      <c r="B2725" s="66" t="n"/>
      <c r="C2725" s="60" t="n"/>
      <c r="D2725" s="86" t="n"/>
      <c r="E2725" s="63" t="n"/>
      <c r="F2725" s="60" t="n"/>
      <c r="G2725" s="60" t="n"/>
      <c r="H2725" s="71">
        <f>IF(OR($C2725="",$D2725=""),"",IF(ISNUMBER($E2725),$E2725,IF($O2725="","",IF(N(INDEX('Menu Pricing'!$O$7:$O$56,$O2725))&gt;0,INDEX('Menu Pricing'!$O$7:$O$56,$O2725),""))))</f>
        <v/>
      </c>
      <c r="I2725" s="71">
        <f>IF($N2725&lt;&gt;"OK","",$D2725*$H2725)</f>
        <v/>
      </c>
      <c r="J2725" s="71">
        <f>IF($N2725&lt;&gt;"OK","",N(INDEX('Menu Pricing'!$F$7:$F$56,$O2725))+N(INDEX('Menu Pricing'!$G$7:$G$56,$O2725))+N(INDEX('Menu Pricing'!$J$7:$J$56,$O2725)))</f>
        <v/>
      </c>
      <c r="K2725" s="71">
        <f>IF($N2725&lt;&gt;"OK","",$D2725*$J2725)</f>
        <v/>
      </c>
      <c r="L2725" s="71">
        <f>IF($N2725&lt;&gt;"OK","",$I2725-$K2725)</f>
        <v/>
      </c>
      <c r="M2725" s="71">
        <f>IF($N2725&lt;&gt;"OK","",$D2725*N(INDEX('Menu Pricing'!$F$7:$F$56,$O2725)))</f>
        <v/>
      </c>
      <c r="N2725" s="80">
        <f>IF(AND($B2725="",$C2725="",$D2725=""),"",IF(NOT(ISNUMBER($B2725)),"Enter a valid date",IF($C2725="","Pick a menu item",IF($O2725="","Item not on Menu Pricing",IF(N($D2725)&lt;=0,"Qty must be above 0",IF($H2725="","No price on menu","OK"))))))</f>
        <v/>
      </c>
      <c r="O2725" s="13">
        <f>IF($C2725="","",IFERROR(MATCH($C2725,'Menu Pricing'!$B$7:$B$56,0),""))</f>
        <v/>
      </c>
    </row>
    <row r="2726" ht="17" customHeight="1">
      <c r="B2726" s="66" t="n"/>
      <c r="C2726" s="60" t="n"/>
      <c r="D2726" s="86" t="n"/>
      <c r="E2726" s="63" t="n"/>
      <c r="F2726" s="60" t="n"/>
      <c r="G2726" s="60" t="n"/>
      <c r="H2726" s="71">
        <f>IF(OR($C2726="",$D2726=""),"",IF(ISNUMBER($E2726),$E2726,IF($O2726="","",IF(N(INDEX('Menu Pricing'!$O$7:$O$56,$O2726))&gt;0,INDEX('Menu Pricing'!$O$7:$O$56,$O2726),""))))</f>
        <v/>
      </c>
      <c r="I2726" s="71">
        <f>IF($N2726&lt;&gt;"OK","",$D2726*$H2726)</f>
        <v/>
      </c>
      <c r="J2726" s="71">
        <f>IF($N2726&lt;&gt;"OK","",N(INDEX('Menu Pricing'!$F$7:$F$56,$O2726))+N(INDEX('Menu Pricing'!$G$7:$G$56,$O2726))+N(INDEX('Menu Pricing'!$J$7:$J$56,$O2726)))</f>
        <v/>
      </c>
      <c r="K2726" s="71">
        <f>IF($N2726&lt;&gt;"OK","",$D2726*$J2726)</f>
        <v/>
      </c>
      <c r="L2726" s="71">
        <f>IF($N2726&lt;&gt;"OK","",$I2726-$K2726)</f>
        <v/>
      </c>
      <c r="M2726" s="71">
        <f>IF($N2726&lt;&gt;"OK","",$D2726*N(INDEX('Menu Pricing'!$F$7:$F$56,$O2726)))</f>
        <v/>
      </c>
      <c r="N2726" s="80">
        <f>IF(AND($B2726="",$C2726="",$D2726=""),"",IF(NOT(ISNUMBER($B2726)),"Enter a valid date",IF($C2726="","Pick a menu item",IF($O2726="","Item not on Menu Pricing",IF(N($D2726)&lt;=0,"Qty must be above 0",IF($H2726="","No price on menu","OK"))))))</f>
        <v/>
      </c>
      <c r="O2726" s="13">
        <f>IF($C2726="","",IFERROR(MATCH($C2726,'Menu Pricing'!$B$7:$B$56,0),""))</f>
        <v/>
      </c>
    </row>
    <row r="2727" ht="17" customHeight="1">
      <c r="B2727" s="66" t="n"/>
      <c r="C2727" s="60" t="n"/>
      <c r="D2727" s="86" t="n"/>
      <c r="E2727" s="63" t="n"/>
      <c r="F2727" s="60" t="n"/>
      <c r="G2727" s="60" t="n"/>
      <c r="H2727" s="71">
        <f>IF(OR($C2727="",$D2727=""),"",IF(ISNUMBER($E2727),$E2727,IF($O2727="","",IF(N(INDEX('Menu Pricing'!$O$7:$O$56,$O2727))&gt;0,INDEX('Menu Pricing'!$O$7:$O$56,$O2727),""))))</f>
        <v/>
      </c>
      <c r="I2727" s="71">
        <f>IF($N2727&lt;&gt;"OK","",$D2727*$H2727)</f>
        <v/>
      </c>
      <c r="J2727" s="71">
        <f>IF($N2727&lt;&gt;"OK","",N(INDEX('Menu Pricing'!$F$7:$F$56,$O2727))+N(INDEX('Menu Pricing'!$G$7:$G$56,$O2727))+N(INDEX('Menu Pricing'!$J$7:$J$56,$O2727)))</f>
        <v/>
      </c>
      <c r="K2727" s="71">
        <f>IF($N2727&lt;&gt;"OK","",$D2727*$J2727)</f>
        <v/>
      </c>
      <c r="L2727" s="71">
        <f>IF($N2727&lt;&gt;"OK","",$I2727-$K2727)</f>
        <v/>
      </c>
      <c r="M2727" s="71">
        <f>IF($N2727&lt;&gt;"OK","",$D2727*N(INDEX('Menu Pricing'!$F$7:$F$56,$O2727)))</f>
        <v/>
      </c>
      <c r="N2727" s="80">
        <f>IF(AND($B2727="",$C2727="",$D2727=""),"",IF(NOT(ISNUMBER($B2727)),"Enter a valid date",IF($C2727="","Pick a menu item",IF($O2727="","Item not on Menu Pricing",IF(N($D2727)&lt;=0,"Qty must be above 0",IF($H2727="","No price on menu","OK"))))))</f>
        <v/>
      </c>
      <c r="O2727" s="13">
        <f>IF($C2727="","",IFERROR(MATCH($C2727,'Menu Pricing'!$B$7:$B$56,0),""))</f>
        <v/>
      </c>
    </row>
    <row r="2728" ht="17" customHeight="1">
      <c r="B2728" s="66" t="n"/>
      <c r="C2728" s="60" t="n"/>
      <c r="D2728" s="86" t="n"/>
      <c r="E2728" s="63" t="n"/>
      <c r="F2728" s="60" t="n"/>
      <c r="G2728" s="60" t="n"/>
      <c r="H2728" s="71">
        <f>IF(OR($C2728="",$D2728=""),"",IF(ISNUMBER($E2728),$E2728,IF($O2728="","",IF(N(INDEX('Menu Pricing'!$O$7:$O$56,$O2728))&gt;0,INDEX('Menu Pricing'!$O$7:$O$56,$O2728),""))))</f>
        <v/>
      </c>
      <c r="I2728" s="71">
        <f>IF($N2728&lt;&gt;"OK","",$D2728*$H2728)</f>
        <v/>
      </c>
      <c r="J2728" s="71">
        <f>IF($N2728&lt;&gt;"OK","",N(INDEX('Menu Pricing'!$F$7:$F$56,$O2728))+N(INDEX('Menu Pricing'!$G$7:$G$56,$O2728))+N(INDEX('Menu Pricing'!$J$7:$J$56,$O2728)))</f>
        <v/>
      </c>
      <c r="K2728" s="71">
        <f>IF($N2728&lt;&gt;"OK","",$D2728*$J2728)</f>
        <v/>
      </c>
      <c r="L2728" s="71">
        <f>IF($N2728&lt;&gt;"OK","",$I2728-$K2728)</f>
        <v/>
      </c>
      <c r="M2728" s="71">
        <f>IF($N2728&lt;&gt;"OK","",$D2728*N(INDEX('Menu Pricing'!$F$7:$F$56,$O2728)))</f>
        <v/>
      </c>
      <c r="N2728" s="80">
        <f>IF(AND($B2728="",$C2728="",$D2728=""),"",IF(NOT(ISNUMBER($B2728)),"Enter a valid date",IF($C2728="","Pick a menu item",IF($O2728="","Item not on Menu Pricing",IF(N($D2728)&lt;=0,"Qty must be above 0",IF($H2728="","No price on menu","OK"))))))</f>
        <v/>
      </c>
      <c r="O2728" s="13">
        <f>IF($C2728="","",IFERROR(MATCH($C2728,'Menu Pricing'!$B$7:$B$56,0),""))</f>
        <v/>
      </c>
    </row>
    <row r="2729" ht="17" customHeight="1">
      <c r="B2729" s="66" t="n"/>
      <c r="C2729" s="60" t="n"/>
      <c r="D2729" s="86" t="n"/>
      <c r="E2729" s="63" t="n"/>
      <c r="F2729" s="60" t="n"/>
      <c r="G2729" s="60" t="n"/>
      <c r="H2729" s="71">
        <f>IF(OR($C2729="",$D2729=""),"",IF(ISNUMBER($E2729),$E2729,IF($O2729="","",IF(N(INDEX('Menu Pricing'!$O$7:$O$56,$O2729))&gt;0,INDEX('Menu Pricing'!$O$7:$O$56,$O2729),""))))</f>
        <v/>
      </c>
      <c r="I2729" s="71">
        <f>IF($N2729&lt;&gt;"OK","",$D2729*$H2729)</f>
        <v/>
      </c>
      <c r="J2729" s="71">
        <f>IF($N2729&lt;&gt;"OK","",N(INDEX('Menu Pricing'!$F$7:$F$56,$O2729))+N(INDEX('Menu Pricing'!$G$7:$G$56,$O2729))+N(INDEX('Menu Pricing'!$J$7:$J$56,$O2729)))</f>
        <v/>
      </c>
      <c r="K2729" s="71">
        <f>IF($N2729&lt;&gt;"OK","",$D2729*$J2729)</f>
        <v/>
      </c>
      <c r="L2729" s="71">
        <f>IF($N2729&lt;&gt;"OK","",$I2729-$K2729)</f>
        <v/>
      </c>
      <c r="M2729" s="71">
        <f>IF($N2729&lt;&gt;"OK","",$D2729*N(INDEX('Menu Pricing'!$F$7:$F$56,$O2729)))</f>
        <v/>
      </c>
      <c r="N2729" s="80">
        <f>IF(AND($B2729="",$C2729="",$D2729=""),"",IF(NOT(ISNUMBER($B2729)),"Enter a valid date",IF($C2729="","Pick a menu item",IF($O2729="","Item not on Menu Pricing",IF(N($D2729)&lt;=0,"Qty must be above 0",IF($H2729="","No price on menu","OK"))))))</f>
        <v/>
      </c>
      <c r="O2729" s="13">
        <f>IF($C2729="","",IFERROR(MATCH($C2729,'Menu Pricing'!$B$7:$B$56,0),""))</f>
        <v/>
      </c>
    </row>
    <row r="2730" ht="17" customHeight="1">
      <c r="B2730" s="66" t="n"/>
      <c r="C2730" s="60" t="n"/>
      <c r="D2730" s="86" t="n"/>
      <c r="E2730" s="63" t="n"/>
      <c r="F2730" s="60" t="n"/>
      <c r="G2730" s="60" t="n"/>
      <c r="H2730" s="71">
        <f>IF(OR($C2730="",$D2730=""),"",IF(ISNUMBER($E2730),$E2730,IF($O2730="","",IF(N(INDEX('Menu Pricing'!$O$7:$O$56,$O2730))&gt;0,INDEX('Menu Pricing'!$O$7:$O$56,$O2730),""))))</f>
        <v/>
      </c>
      <c r="I2730" s="71">
        <f>IF($N2730&lt;&gt;"OK","",$D2730*$H2730)</f>
        <v/>
      </c>
      <c r="J2730" s="71">
        <f>IF($N2730&lt;&gt;"OK","",N(INDEX('Menu Pricing'!$F$7:$F$56,$O2730))+N(INDEX('Menu Pricing'!$G$7:$G$56,$O2730))+N(INDEX('Menu Pricing'!$J$7:$J$56,$O2730)))</f>
        <v/>
      </c>
      <c r="K2730" s="71">
        <f>IF($N2730&lt;&gt;"OK","",$D2730*$J2730)</f>
        <v/>
      </c>
      <c r="L2730" s="71">
        <f>IF($N2730&lt;&gt;"OK","",$I2730-$K2730)</f>
        <v/>
      </c>
      <c r="M2730" s="71">
        <f>IF($N2730&lt;&gt;"OK","",$D2730*N(INDEX('Menu Pricing'!$F$7:$F$56,$O2730)))</f>
        <v/>
      </c>
      <c r="N2730" s="80">
        <f>IF(AND($B2730="",$C2730="",$D2730=""),"",IF(NOT(ISNUMBER($B2730)),"Enter a valid date",IF($C2730="","Pick a menu item",IF($O2730="","Item not on Menu Pricing",IF(N($D2730)&lt;=0,"Qty must be above 0",IF($H2730="","No price on menu","OK"))))))</f>
        <v/>
      </c>
      <c r="O2730" s="13">
        <f>IF($C2730="","",IFERROR(MATCH($C2730,'Menu Pricing'!$B$7:$B$56,0),""))</f>
        <v/>
      </c>
    </row>
    <row r="2731" ht="17" customHeight="1">
      <c r="B2731" s="66" t="n"/>
      <c r="C2731" s="60" t="n"/>
      <c r="D2731" s="86" t="n"/>
      <c r="E2731" s="63" t="n"/>
      <c r="F2731" s="60" t="n"/>
      <c r="G2731" s="60" t="n"/>
      <c r="H2731" s="71">
        <f>IF(OR($C2731="",$D2731=""),"",IF(ISNUMBER($E2731),$E2731,IF($O2731="","",IF(N(INDEX('Menu Pricing'!$O$7:$O$56,$O2731))&gt;0,INDEX('Menu Pricing'!$O$7:$O$56,$O2731),""))))</f>
        <v/>
      </c>
      <c r="I2731" s="71">
        <f>IF($N2731&lt;&gt;"OK","",$D2731*$H2731)</f>
        <v/>
      </c>
      <c r="J2731" s="71">
        <f>IF($N2731&lt;&gt;"OK","",N(INDEX('Menu Pricing'!$F$7:$F$56,$O2731))+N(INDEX('Menu Pricing'!$G$7:$G$56,$O2731))+N(INDEX('Menu Pricing'!$J$7:$J$56,$O2731)))</f>
        <v/>
      </c>
      <c r="K2731" s="71">
        <f>IF($N2731&lt;&gt;"OK","",$D2731*$J2731)</f>
        <v/>
      </c>
      <c r="L2731" s="71">
        <f>IF($N2731&lt;&gt;"OK","",$I2731-$K2731)</f>
        <v/>
      </c>
      <c r="M2731" s="71">
        <f>IF($N2731&lt;&gt;"OK","",$D2731*N(INDEX('Menu Pricing'!$F$7:$F$56,$O2731)))</f>
        <v/>
      </c>
      <c r="N2731" s="80">
        <f>IF(AND($B2731="",$C2731="",$D2731=""),"",IF(NOT(ISNUMBER($B2731)),"Enter a valid date",IF($C2731="","Pick a menu item",IF($O2731="","Item not on Menu Pricing",IF(N($D2731)&lt;=0,"Qty must be above 0",IF($H2731="","No price on menu","OK"))))))</f>
        <v/>
      </c>
      <c r="O2731" s="13">
        <f>IF($C2731="","",IFERROR(MATCH($C2731,'Menu Pricing'!$B$7:$B$56,0),""))</f>
        <v/>
      </c>
    </row>
    <row r="2732" ht="17" customHeight="1">
      <c r="B2732" s="66" t="n"/>
      <c r="C2732" s="60" t="n"/>
      <c r="D2732" s="86" t="n"/>
      <c r="E2732" s="63" t="n"/>
      <c r="F2732" s="60" t="n"/>
      <c r="G2732" s="60" t="n"/>
      <c r="H2732" s="71">
        <f>IF(OR($C2732="",$D2732=""),"",IF(ISNUMBER($E2732),$E2732,IF($O2732="","",IF(N(INDEX('Menu Pricing'!$O$7:$O$56,$O2732))&gt;0,INDEX('Menu Pricing'!$O$7:$O$56,$O2732),""))))</f>
        <v/>
      </c>
      <c r="I2732" s="71">
        <f>IF($N2732&lt;&gt;"OK","",$D2732*$H2732)</f>
        <v/>
      </c>
      <c r="J2732" s="71">
        <f>IF($N2732&lt;&gt;"OK","",N(INDEX('Menu Pricing'!$F$7:$F$56,$O2732))+N(INDEX('Menu Pricing'!$G$7:$G$56,$O2732))+N(INDEX('Menu Pricing'!$J$7:$J$56,$O2732)))</f>
        <v/>
      </c>
      <c r="K2732" s="71">
        <f>IF($N2732&lt;&gt;"OK","",$D2732*$J2732)</f>
        <v/>
      </c>
      <c r="L2732" s="71">
        <f>IF($N2732&lt;&gt;"OK","",$I2732-$K2732)</f>
        <v/>
      </c>
      <c r="M2732" s="71">
        <f>IF($N2732&lt;&gt;"OK","",$D2732*N(INDEX('Menu Pricing'!$F$7:$F$56,$O2732)))</f>
        <v/>
      </c>
      <c r="N2732" s="80">
        <f>IF(AND($B2732="",$C2732="",$D2732=""),"",IF(NOT(ISNUMBER($B2732)),"Enter a valid date",IF($C2732="","Pick a menu item",IF($O2732="","Item not on Menu Pricing",IF(N($D2732)&lt;=0,"Qty must be above 0",IF($H2732="","No price on menu","OK"))))))</f>
        <v/>
      </c>
      <c r="O2732" s="13">
        <f>IF($C2732="","",IFERROR(MATCH($C2732,'Menu Pricing'!$B$7:$B$56,0),""))</f>
        <v/>
      </c>
    </row>
    <row r="2733" ht="17" customHeight="1">
      <c r="B2733" s="66" t="n"/>
      <c r="C2733" s="60" t="n"/>
      <c r="D2733" s="86" t="n"/>
      <c r="E2733" s="63" t="n"/>
      <c r="F2733" s="60" t="n"/>
      <c r="G2733" s="60" t="n"/>
      <c r="H2733" s="71">
        <f>IF(OR($C2733="",$D2733=""),"",IF(ISNUMBER($E2733),$E2733,IF($O2733="","",IF(N(INDEX('Menu Pricing'!$O$7:$O$56,$O2733))&gt;0,INDEX('Menu Pricing'!$O$7:$O$56,$O2733),""))))</f>
        <v/>
      </c>
      <c r="I2733" s="71">
        <f>IF($N2733&lt;&gt;"OK","",$D2733*$H2733)</f>
        <v/>
      </c>
      <c r="J2733" s="71">
        <f>IF($N2733&lt;&gt;"OK","",N(INDEX('Menu Pricing'!$F$7:$F$56,$O2733))+N(INDEX('Menu Pricing'!$G$7:$G$56,$O2733))+N(INDEX('Menu Pricing'!$J$7:$J$56,$O2733)))</f>
        <v/>
      </c>
      <c r="K2733" s="71">
        <f>IF($N2733&lt;&gt;"OK","",$D2733*$J2733)</f>
        <v/>
      </c>
      <c r="L2733" s="71">
        <f>IF($N2733&lt;&gt;"OK","",$I2733-$K2733)</f>
        <v/>
      </c>
      <c r="M2733" s="71">
        <f>IF($N2733&lt;&gt;"OK","",$D2733*N(INDEX('Menu Pricing'!$F$7:$F$56,$O2733)))</f>
        <v/>
      </c>
      <c r="N2733" s="80">
        <f>IF(AND($B2733="",$C2733="",$D2733=""),"",IF(NOT(ISNUMBER($B2733)),"Enter a valid date",IF($C2733="","Pick a menu item",IF($O2733="","Item not on Menu Pricing",IF(N($D2733)&lt;=0,"Qty must be above 0",IF($H2733="","No price on menu","OK"))))))</f>
        <v/>
      </c>
      <c r="O2733" s="13">
        <f>IF($C2733="","",IFERROR(MATCH($C2733,'Menu Pricing'!$B$7:$B$56,0),""))</f>
        <v/>
      </c>
    </row>
    <row r="2734" ht="17" customHeight="1">
      <c r="B2734" s="66" t="n"/>
      <c r="C2734" s="60" t="n"/>
      <c r="D2734" s="86" t="n"/>
      <c r="E2734" s="63" t="n"/>
      <c r="F2734" s="60" t="n"/>
      <c r="G2734" s="60" t="n"/>
      <c r="H2734" s="71">
        <f>IF(OR($C2734="",$D2734=""),"",IF(ISNUMBER($E2734),$E2734,IF($O2734="","",IF(N(INDEX('Menu Pricing'!$O$7:$O$56,$O2734))&gt;0,INDEX('Menu Pricing'!$O$7:$O$56,$O2734),""))))</f>
        <v/>
      </c>
      <c r="I2734" s="71">
        <f>IF($N2734&lt;&gt;"OK","",$D2734*$H2734)</f>
        <v/>
      </c>
      <c r="J2734" s="71">
        <f>IF($N2734&lt;&gt;"OK","",N(INDEX('Menu Pricing'!$F$7:$F$56,$O2734))+N(INDEX('Menu Pricing'!$G$7:$G$56,$O2734))+N(INDEX('Menu Pricing'!$J$7:$J$56,$O2734)))</f>
        <v/>
      </c>
      <c r="K2734" s="71">
        <f>IF($N2734&lt;&gt;"OK","",$D2734*$J2734)</f>
        <v/>
      </c>
      <c r="L2734" s="71">
        <f>IF($N2734&lt;&gt;"OK","",$I2734-$K2734)</f>
        <v/>
      </c>
      <c r="M2734" s="71">
        <f>IF($N2734&lt;&gt;"OK","",$D2734*N(INDEX('Menu Pricing'!$F$7:$F$56,$O2734)))</f>
        <v/>
      </c>
      <c r="N2734" s="80">
        <f>IF(AND($B2734="",$C2734="",$D2734=""),"",IF(NOT(ISNUMBER($B2734)),"Enter a valid date",IF($C2734="","Pick a menu item",IF($O2734="","Item not on Menu Pricing",IF(N($D2734)&lt;=0,"Qty must be above 0",IF($H2734="","No price on menu","OK"))))))</f>
        <v/>
      </c>
      <c r="O2734" s="13">
        <f>IF($C2734="","",IFERROR(MATCH($C2734,'Menu Pricing'!$B$7:$B$56,0),""))</f>
        <v/>
      </c>
    </row>
    <row r="2735" ht="17" customHeight="1">
      <c r="B2735" s="66" t="n"/>
      <c r="C2735" s="60" t="n"/>
      <c r="D2735" s="86" t="n"/>
      <c r="E2735" s="63" t="n"/>
      <c r="F2735" s="60" t="n"/>
      <c r="G2735" s="60" t="n"/>
      <c r="H2735" s="71">
        <f>IF(OR($C2735="",$D2735=""),"",IF(ISNUMBER($E2735),$E2735,IF($O2735="","",IF(N(INDEX('Menu Pricing'!$O$7:$O$56,$O2735))&gt;0,INDEX('Menu Pricing'!$O$7:$O$56,$O2735),""))))</f>
        <v/>
      </c>
      <c r="I2735" s="71">
        <f>IF($N2735&lt;&gt;"OK","",$D2735*$H2735)</f>
        <v/>
      </c>
      <c r="J2735" s="71">
        <f>IF($N2735&lt;&gt;"OK","",N(INDEX('Menu Pricing'!$F$7:$F$56,$O2735))+N(INDEX('Menu Pricing'!$G$7:$G$56,$O2735))+N(INDEX('Menu Pricing'!$J$7:$J$56,$O2735)))</f>
        <v/>
      </c>
      <c r="K2735" s="71">
        <f>IF($N2735&lt;&gt;"OK","",$D2735*$J2735)</f>
        <v/>
      </c>
      <c r="L2735" s="71">
        <f>IF($N2735&lt;&gt;"OK","",$I2735-$K2735)</f>
        <v/>
      </c>
      <c r="M2735" s="71">
        <f>IF($N2735&lt;&gt;"OK","",$D2735*N(INDEX('Menu Pricing'!$F$7:$F$56,$O2735)))</f>
        <v/>
      </c>
      <c r="N2735" s="80">
        <f>IF(AND($B2735="",$C2735="",$D2735=""),"",IF(NOT(ISNUMBER($B2735)),"Enter a valid date",IF($C2735="","Pick a menu item",IF($O2735="","Item not on Menu Pricing",IF(N($D2735)&lt;=0,"Qty must be above 0",IF($H2735="","No price on menu","OK"))))))</f>
        <v/>
      </c>
      <c r="O2735" s="13">
        <f>IF($C2735="","",IFERROR(MATCH($C2735,'Menu Pricing'!$B$7:$B$56,0),""))</f>
        <v/>
      </c>
    </row>
    <row r="2736" ht="17" customHeight="1">
      <c r="B2736" s="66" t="n"/>
      <c r="C2736" s="60" t="n"/>
      <c r="D2736" s="86" t="n"/>
      <c r="E2736" s="63" t="n"/>
      <c r="F2736" s="60" t="n"/>
      <c r="G2736" s="60" t="n"/>
      <c r="H2736" s="71">
        <f>IF(OR($C2736="",$D2736=""),"",IF(ISNUMBER($E2736),$E2736,IF($O2736="","",IF(N(INDEX('Menu Pricing'!$O$7:$O$56,$O2736))&gt;0,INDEX('Menu Pricing'!$O$7:$O$56,$O2736),""))))</f>
        <v/>
      </c>
      <c r="I2736" s="71">
        <f>IF($N2736&lt;&gt;"OK","",$D2736*$H2736)</f>
        <v/>
      </c>
      <c r="J2736" s="71">
        <f>IF($N2736&lt;&gt;"OK","",N(INDEX('Menu Pricing'!$F$7:$F$56,$O2736))+N(INDEX('Menu Pricing'!$G$7:$G$56,$O2736))+N(INDEX('Menu Pricing'!$J$7:$J$56,$O2736)))</f>
        <v/>
      </c>
      <c r="K2736" s="71">
        <f>IF($N2736&lt;&gt;"OK","",$D2736*$J2736)</f>
        <v/>
      </c>
      <c r="L2736" s="71">
        <f>IF($N2736&lt;&gt;"OK","",$I2736-$K2736)</f>
        <v/>
      </c>
      <c r="M2736" s="71">
        <f>IF($N2736&lt;&gt;"OK","",$D2736*N(INDEX('Menu Pricing'!$F$7:$F$56,$O2736)))</f>
        <v/>
      </c>
      <c r="N2736" s="80">
        <f>IF(AND($B2736="",$C2736="",$D2736=""),"",IF(NOT(ISNUMBER($B2736)),"Enter a valid date",IF($C2736="","Pick a menu item",IF($O2736="","Item not on Menu Pricing",IF(N($D2736)&lt;=0,"Qty must be above 0",IF($H2736="","No price on menu","OK"))))))</f>
        <v/>
      </c>
      <c r="O2736" s="13">
        <f>IF($C2736="","",IFERROR(MATCH($C2736,'Menu Pricing'!$B$7:$B$56,0),""))</f>
        <v/>
      </c>
    </row>
    <row r="2737" ht="17" customHeight="1">
      <c r="B2737" s="66" t="n"/>
      <c r="C2737" s="60" t="n"/>
      <c r="D2737" s="86" t="n"/>
      <c r="E2737" s="63" t="n"/>
      <c r="F2737" s="60" t="n"/>
      <c r="G2737" s="60" t="n"/>
      <c r="H2737" s="71">
        <f>IF(OR($C2737="",$D2737=""),"",IF(ISNUMBER($E2737),$E2737,IF($O2737="","",IF(N(INDEX('Menu Pricing'!$O$7:$O$56,$O2737))&gt;0,INDEX('Menu Pricing'!$O$7:$O$56,$O2737),""))))</f>
        <v/>
      </c>
      <c r="I2737" s="71">
        <f>IF($N2737&lt;&gt;"OK","",$D2737*$H2737)</f>
        <v/>
      </c>
      <c r="J2737" s="71">
        <f>IF($N2737&lt;&gt;"OK","",N(INDEX('Menu Pricing'!$F$7:$F$56,$O2737))+N(INDEX('Menu Pricing'!$G$7:$G$56,$O2737))+N(INDEX('Menu Pricing'!$J$7:$J$56,$O2737)))</f>
        <v/>
      </c>
      <c r="K2737" s="71">
        <f>IF($N2737&lt;&gt;"OK","",$D2737*$J2737)</f>
        <v/>
      </c>
      <c r="L2737" s="71">
        <f>IF($N2737&lt;&gt;"OK","",$I2737-$K2737)</f>
        <v/>
      </c>
      <c r="M2737" s="71">
        <f>IF($N2737&lt;&gt;"OK","",$D2737*N(INDEX('Menu Pricing'!$F$7:$F$56,$O2737)))</f>
        <v/>
      </c>
      <c r="N2737" s="80">
        <f>IF(AND($B2737="",$C2737="",$D2737=""),"",IF(NOT(ISNUMBER($B2737)),"Enter a valid date",IF($C2737="","Pick a menu item",IF($O2737="","Item not on Menu Pricing",IF(N($D2737)&lt;=0,"Qty must be above 0",IF($H2737="","No price on menu","OK"))))))</f>
        <v/>
      </c>
      <c r="O2737" s="13">
        <f>IF($C2737="","",IFERROR(MATCH($C2737,'Menu Pricing'!$B$7:$B$56,0),""))</f>
        <v/>
      </c>
    </row>
    <row r="2738" ht="17" customHeight="1">
      <c r="B2738" s="66" t="n"/>
      <c r="C2738" s="60" t="n"/>
      <c r="D2738" s="86" t="n"/>
      <c r="E2738" s="63" t="n"/>
      <c r="F2738" s="60" t="n"/>
      <c r="G2738" s="60" t="n"/>
      <c r="H2738" s="71">
        <f>IF(OR($C2738="",$D2738=""),"",IF(ISNUMBER($E2738),$E2738,IF($O2738="","",IF(N(INDEX('Menu Pricing'!$O$7:$O$56,$O2738))&gt;0,INDEX('Menu Pricing'!$O$7:$O$56,$O2738),""))))</f>
        <v/>
      </c>
      <c r="I2738" s="71">
        <f>IF($N2738&lt;&gt;"OK","",$D2738*$H2738)</f>
        <v/>
      </c>
      <c r="J2738" s="71">
        <f>IF($N2738&lt;&gt;"OK","",N(INDEX('Menu Pricing'!$F$7:$F$56,$O2738))+N(INDEX('Menu Pricing'!$G$7:$G$56,$O2738))+N(INDEX('Menu Pricing'!$J$7:$J$56,$O2738)))</f>
        <v/>
      </c>
      <c r="K2738" s="71">
        <f>IF($N2738&lt;&gt;"OK","",$D2738*$J2738)</f>
        <v/>
      </c>
      <c r="L2738" s="71">
        <f>IF($N2738&lt;&gt;"OK","",$I2738-$K2738)</f>
        <v/>
      </c>
      <c r="M2738" s="71">
        <f>IF($N2738&lt;&gt;"OK","",$D2738*N(INDEX('Menu Pricing'!$F$7:$F$56,$O2738)))</f>
        <v/>
      </c>
      <c r="N2738" s="80">
        <f>IF(AND($B2738="",$C2738="",$D2738=""),"",IF(NOT(ISNUMBER($B2738)),"Enter a valid date",IF($C2738="","Pick a menu item",IF($O2738="","Item not on Menu Pricing",IF(N($D2738)&lt;=0,"Qty must be above 0",IF($H2738="","No price on menu","OK"))))))</f>
        <v/>
      </c>
      <c r="O2738" s="13">
        <f>IF($C2738="","",IFERROR(MATCH($C2738,'Menu Pricing'!$B$7:$B$56,0),""))</f>
        <v/>
      </c>
    </row>
    <row r="2739" ht="17" customHeight="1">
      <c r="B2739" s="66" t="n"/>
      <c r="C2739" s="60" t="n"/>
      <c r="D2739" s="86" t="n"/>
      <c r="E2739" s="63" t="n"/>
      <c r="F2739" s="60" t="n"/>
      <c r="G2739" s="60" t="n"/>
      <c r="H2739" s="71">
        <f>IF(OR($C2739="",$D2739=""),"",IF(ISNUMBER($E2739),$E2739,IF($O2739="","",IF(N(INDEX('Menu Pricing'!$O$7:$O$56,$O2739))&gt;0,INDEX('Menu Pricing'!$O$7:$O$56,$O2739),""))))</f>
        <v/>
      </c>
      <c r="I2739" s="71">
        <f>IF($N2739&lt;&gt;"OK","",$D2739*$H2739)</f>
        <v/>
      </c>
      <c r="J2739" s="71">
        <f>IF($N2739&lt;&gt;"OK","",N(INDEX('Menu Pricing'!$F$7:$F$56,$O2739))+N(INDEX('Menu Pricing'!$G$7:$G$56,$O2739))+N(INDEX('Menu Pricing'!$J$7:$J$56,$O2739)))</f>
        <v/>
      </c>
      <c r="K2739" s="71">
        <f>IF($N2739&lt;&gt;"OK","",$D2739*$J2739)</f>
        <v/>
      </c>
      <c r="L2739" s="71">
        <f>IF($N2739&lt;&gt;"OK","",$I2739-$K2739)</f>
        <v/>
      </c>
      <c r="M2739" s="71">
        <f>IF($N2739&lt;&gt;"OK","",$D2739*N(INDEX('Menu Pricing'!$F$7:$F$56,$O2739)))</f>
        <v/>
      </c>
      <c r="N2739" s="80">
        <f>IF(AND($B2739="",$C2739="",$D2739=""),"",IF(NOT(ISNUMBER($B2739)),"Enter a valid date",IF($C2739="","Pick a menu item",IF($O2739="","Item not on Menu Pricing",IF(N($D2739)&lt;=0,"Qty must be above 0",IF($H2739="","No price on menu","OK"))))))</f>
        <v/>
      </c>
      <c r="O2739" s="13">
        <f>IF($C2739="","",IFERROR(MATCH($C2739,'Menu Pricing'!$B$7:$B$56,0),""))</f>
        <v/>
      </c>
    </row>
    <row r="2740" ht="17" customHeight="1">
      <c r="B2740" s="66" t="n"/>
      <c r="C2740" s="60" t="n"/>
      <c r="D2740" s="86" t="n"/>
      <c r="E2740" s="63" t="n"/>
      <c r="F2740" s="60" t="n"/>
      <c r="G2740" s="60" t="n"/>
      <c r="H2740" s="71">
        <f>IF(OR($C2740="",$D2740=""),"",IF(ISNUMBER($E2740),$E2740,IF($O2740="","",IF(N(INDEX('Menu Pricing'!$O$7:$O$56,$O2740))&gt;0,INDEX('Menu Pricing'!$O$7:$O$56,$O2740),""))))</f>
        <v/>
      </c>
      <c r="I2740" s="71">
        <f>IF($N2740&lt;&gt;"OK","",$D2740*$H2740)</f>
        <v/>
      </c>
      <c r="J2740" s="71">
        <f>IF($N2740&lt;&gt;"OK","",N(INDEX('Menu Pricing'!$F$7:$F$56,$O2740))+N(INDEX('Menu Pricing'!$G$7:$G$56,$O2740))+N(INDEX('Menu Pricing'!$J$7:$J$56,$O2740)))</f>
        <v/>
      </c>
      <c r="K2740" s="71">
        <f>IF($N2740&lt;&gt;"OK","",$D2740*$J2740)</f>
        <v/>
      </c>
      <c r="L2740" s="71">
        <f>IF($N2740&lt;&gt;"OK","",$I2740-$K2740)</f>
        <v/>
      </c>
      <c r="M2740" s="71">
        <f>IF($N2740&lt;&gt;"OK","",$D2740*N(INDEX('Menu Pricing'!$F$7:$F$56,$O2740)))</f>
        <v/>
      </c>
      <c r="N2740" s="80">
        <f>IF(AND($B2740="",$C2740="",$D2740=""),"",IF(NOT(ISNUMBER($B2740)),"Enter a valid date",IF($C2740="","Pick a menu item",IF($O2740="","Item not on Menu Pricing",IF(N($D2740)&lt;=0,"Qty must be above 0",IF($H2740="","No price on menu","OK"))))))</f>
        <v/>
      </c>
      <c r="O2740" s="13">
        <f>IF($C2740="","",IFERROR(MATCH($C2740,'Menu Pricing'!$B$7:$B$56,0),""))</f>
        <v/>
      </c>
    </row>
    <row r="2741" ht="17" customHeight="1">
      <c r="B2741" s="66" t="n"/>
      <c r="C2741" s="60" t="n"/>
      <c r="D2741" s="86" t="n"/>
      <c r="E2741" s="63" t="n"/>
      <c r="F2741" s="60" t="n"/>
      <c r="G2741" s="60" t="n"/>
      <c r="H2741" s="71">
        <f>IF(OR($C2741="",$D2741=""),"",IF(ISNUMBER($E2741),$E2741,IF($O2741="","",IF(N(INDEX('Menu Pricing'!$O$7:$O$56,$O2741))&gt;0,INDEX('Menu Pricing'!$O$7:$O$56,$O2741),""))))</f>
        <v/>
      </c>
      <c r="I2741" s="71">
        <f>IF($N2741&lt;&gt;"OK","",$D2741*$H2741)</f>
        <v/>
      </c>
      <c r="J2741" s="71">
        <f>IF($N2741&lt;&gt;"OK","",N(INDEX('Menu Pricing'!$F$7:$F$56,$O2741))+N(INDEX('Menu Pricing'!$G$7:$G$56,$O2741))+N(INDEX('Menu Pricing'!$J$7:$J$56,$O2741)))</f>
        <v/>
      </c>
      <c r="K2741" s="71">
        <f>IF($N2741&lt;&gt;"OK","",$D2741*$J2741)</f>
        <v/>
      </c>
      <c r="L2741" s="71">
        <f>IF($N2741&lt;&gt;"OK","",$I2741-$K2741)</f>
        <v/>
      </c>
      <c r="M2741" s="71">
        <f>IF($N2741&lt;&gt;"OK","",$D2741*N(INDEX('Menu Pricing'!$F$7:$F$56,$O2741)))</f>
        <v/>
      </c>
      <c r="N2741" s="80">
        <f>IF(AND($B2741="",$C2741="",$D2741=""),"",IF(NOT(ISNUMBER($B2741)),"Enter a valid date",IF($C2741="","Pick a menu item",IF($O2741="","Item not on Menu Pricing",IF(N($D2741)&lt;=0,"Qty must be above 0",IF($H2741="","No price on menu","OK"))))))</f>
        <v/>
      </c>
      <c r="O2741" s="13">
        <f>IF($C2741="","",IFERROR(MATCH($C2741,'Menu Pricing'!$B$7:$B$56,0),""))</f>
        <v/>
      </c>
    </row>
    <row r="2742" ht="17" customHeight="1">
      <c r="B2742" s="66" t="n"/>
      <c r="C2742" s="60" t="n"/>
      <c r="D2742" s="86" t="n"/>
      <c r="E2742" s="63" t="n"/>
      <c r="F2742" s="60" t="n"/>
      <c r="G2742" s="60" t="n"/>
      <c r="H2742" s="71">
        <f>IF(OR($C2742="",$D2742=""),"",IF(ISNUMBER($E2742),$E2742,IF($O2742="","",IF(N(INDEX('Menu Pricing'!$O$7:$O$56,$O2742))&gt;0,INDEX('Menu Pricing'!$O$7:$O$56,$O2742),""))))</f>
        <v/>
      </c>
      <c r="I2742" s="71">
        <f>IF($N2742&lt;&gt;"OK","",$D2742*$H2742)</f>
        <v/>
      </c>
      <c r="J2742" s="71">
        <f>IF($N2742&lt;&gt;"OK","",N(INDEX('Menu Pricing'!$F$7:$F$56,$O2742))+N(INDEX('Menu Pricing'!$G$7:$G$56,$O2742))+N(INDEX('Menu Pricing'!$J$7:$J$56,$O2742)))</f>
        <v/>
      </c>
      <c r="K2742" s="71">
        <f>IF($N2742&lt;&gt;"OK","",$D2742*$J2742)</f>
        <v/>
      </c>
      <c r="L2742" s="71">
        <f>IF($N2742&lt;&gt;"OK","",$I2742-$K2742)</f>
        <v/>
      </c>
      <c r="M2742" s="71">
        <f>IF($N2742&lt;&gt;"OK","",$D2742*N(INDEX('Menu Pricing'!$F$7:$F$56,$O2742)))</f>
        <v/>
      </c>
      <c r="N2742" s="80">
        <f>IF(AND($B2742="",$C2742="",$D2742=""),"",IF(NOT(ISNUMBER($B2742)),"Enter a valid date",IF($C2742="","Pick a menu item",IF($O2742="","Item not on Menu Pricing",IF(N($D2742)&lt;=0,"Qty must be above 0",IF($H2742="","No price on menu","OK"))))))</f>
        <v/>
      </c>
      <c r="O2742" s="13">
        <f>IF($C2742="","",IFERROR(MATCH($C2742,'Menu Pricing'!$B$7:$B$56,0),""))</f>
        <v/>
      </c>
    </row>
    <row r="2743" ht="17" customHeight="1">
      <c r="B2743" s="66" t="n"/>
      <c r="C2743" s="60" t="n"/>
      <c r="D2743" s="86" t="n"/>
      <c r="E2743" s="63" t="n"/>
      <c r="F2743" s="60" t="n"/>
      <c r="G2743" s="60" t="n"/>
      <c r="H2743" s="71">
        <f>IF(OR($C2743="",$D2743=""),"",IF(ISNUMBER($E2743),$E2743,IF($O2743="","",IF(N(INDEX('Menu Pricing'!$O$7:$O$56,$O2743))&gt;0,INDEX('Menu Pricing'!$O$7:$O$56,$O2743),""))))</f>
        <v/>
      </c>
      <c r="I2743" s="71">
        <f>IF($N2743&lt;&gt;"OK","",$D2743*$H2743)</f>
        <v/>
      </c>
      <c r="J2743" s="71">
        <f>IF($N2743&lt;&gt;"OK","",N(INDEX('Menu Pricing'!$F$7:$F$56,$O2743))+N(INDEX('Menu Pricing'!$G$7:$G$56,$O2743))+N(INDEX('Menu Pricing'!$J$7:$J$56,$O2743)))</f>
        <v/>
      </c>
      <c r="K2743" s="71">
        <f>IF($N2743&lt;&gt;"OK","",$D2743*$J2743)</f>
        <v/>
      </c>
      <c r="L2743" s="71">
        <f>IF($N2743&lt;&gt;"OK","",$I2743-$K2743)</f>
        <v/>
      </c>
      <c r="M2743" s="71">
        <f>IF($N2743&lt;&gt;"OK","",$D2743*N(INDEX('Menu Pricing'!$F$7:$F$56,$O2743)))</f>
        <v/>
      </c>
      <c r="N2743" s="80">
        <f>IF(AND($B2743="",$C2743="",$D2743=""),"",IF(NOT(ISNUMBER($B2743)),"Enter a valid date",IF($C2743="","Pick a menu item",IF($O2743="","Item not on Menu Pricing",IF(N($D2743)&lt;=0,"Qty must be above 0",IF($H2743="","No price on menu","OK"))))))</f>
        <v/>
      </c>
      <c r="O2743" s="13">
        <f>IF($C2743="","",IFERROR(MATCH($C2743,'Menu Pricing'!$B$7:$B$56,0),""))</f>
        <v/>
      </c>
    </row>
    <row r="2744" ht="17" customHeight="1">
      <c r="B2744" s="66" t="n"/>
      <c r="C2744" s="60" t="n"/>
      <c r="D2744" s="86" t="n"/>
      <c r="E2744" s="63" t="n"/>
      <c r="F2744" s="60" t="n"/>
      <c r="G2744" s="60" t="n"/>
      <c r="H2744" s="71">
        <f>IF(OR($C2744="",$D2744=""),"",IF(ISNUMBER($E2744),$E2744,IF($O2744="","",IF(N(INDEX('Menu Pricing'!$O$7:$O$56,$O2744))&gt;0,INDEX('Menu Pricing'!$O$7:$O$56,$O2744),""))))</f>
        <v/>
      </c>
      <c r="I2744" s="71">
        <f>IF($N2744&lt;&gt;"OK","",$D2744*$H2744)</f>
        <v/>
      </c>
      <c r="J2744" s="71">
        <f>IF($N2744&lt;&gt;"OK","",N(INDEX('Menu Pricing'!$F$7:$F$56,$O2744))+N(INDEX('Menu Pricing'!$G$7:$G$56,$O2744))+N(INDEX('Menu Pricing'!$J$7:$J$56,$O2744)))</f>
        <v/>
      </c>
      <c r="K2744" s="71">
        <f>IF($N2744&lt;&gt;"OK","",$D2744*$J2744)</f>
        <v/>
      </c>
      <c r="L2744" s="71">
        <f>IF($N2744&lt;&gt;"OK","",$I2744-$K2744)</f>
        <v/>
      </c>
      <c r="M2744" s="71">
        <f>IF($N2744&lt;&gt;"OK","",$D2744*N(INDEX('Menu Pricing'!$F$7:$F$56,$O2744)))</f>
        <v/>
      </c>
      <c r="N2744" s="80">
        <f>IF(AND($B2744="",$C2744="",$D2744=""),"",IF(NOT(ISNUMBER($B2744)),"Enter a valid date",IF($C2744="","Pick a menu item",IF($O2744="","Item not on Menu Pricing",IF(N($D2744)&lt;=0,"Qty must be above 0",IF($H2744="","No price on menu","OK"))))))</f>
        <v/>
      </c>
      <c r="O2744" s="13">
        <f>IF($C2744="","",IFERROR(MATCH($C2744,'Menu Pricing'!$B$7:$B$56,0),""))</f>
        <v/>
      </c>
    </row>
    <row r="2745" ht="17" customHeight="1">
      <c r="B2745" s="66" t="n"/>
      <c r="C2745" s="60" t="n"/>
      <c r="D2745" s="86" t="n"/>
      <c r="E2745" s="63" t="n"/>
      <c r="F2745" s="60" t="n"/>
      <c r="G2745" s="60" t="n"/>
      <c r="H2745" s="71">
        <f>IF(OR($C2745="",$D2745=""),"",IF(ISNUMBER($E2745),$E2745,IF($O2745="","",IF(N(INDEX('Menu Pricing'!$O$7:$O$56,$O2745))&gt;0,INDEX('Menu Pricing'!$O$7:$O$56,$O2745),""))))</f>
        <v/>
      </c>
      <c r="I2745" s="71">
        <f>IF($N2745&lt;&gt;"OK","",$D2745*$H2745)</f>
        <v/>
      </c>
      <c r="J2745" s="71">
        <f>IF($N2745&lt;&gt;"OK","",N(INDEX('Menu Pricing'!$F$7:$F$56,$O2745))+N(INDEX('Menu Pricing'!$G$7:$G$56,$O2745))+N(INDEX('Menu Pricing'!$J$7:$J$56,$O2745)))</f>
        <v/>
      </c>
      <c r="K2745" s="71">
        <f>IF($N2745&lt;&gt;"OK","",$D2745*$J2745)</f>
        <v/>
      </c>
      <c r="L2745" s="71">
        <f>IF($N2745&lt;&gt;"OK","",$I2745-$K2745)</f>
        <v/>
      </c>
      <c r="M2745" s="71">
        <f>IF($N2745&lt;&gt;"OK","",$D2745*N(INDEX('Menu Pricing'!$F$7:$F$56,$O2745)))</f>
        <v/>
      </c>
      <c r="N2745" s="80">
        <f>IF(AND($B2745="",$C2745="",$D2745=""),"",IF(NOT(ISNUMBER($B2745)),"Enter a valid date",IF($C2745="","Pick a menu item",IF($O2745="","Item not on Menu Pricing",IF(N($D2745)&lt;=0,"Qty must be above 0",IF($H2745="","No price on menu","OK"))))))</f>
        <v/>
      </c>
      <c r="O2745" s="13">
        <f>IF($C2745="","",IFERROR(MATCH($C2745,'Menu Pricing'!$B$7:$B$56,0),""))</f>
        <v/>
      </c>
    </row>
    <row r="2746" ht="17" customHeight="1">
      <c r="B2746" s="66" t="n"/>
      <c r="C2746" s="60" t="n"/>
      <c r="D2746" s="86" t="n"/>
      <c r="E2746" s="63" t="n"/>
      <c r="F2746" s="60" t="n"/>
      <c r="G2746" s="60" t="n"/>
      <c r="H2746" s="71">
        <f>IF(OR($C2746="",$D2746=""),"",IF(ISNUMBER($E2746),$E2746,IF($O2746="","",IF(N(INDEX('Menu Pricing'!$O$7:$O$56,$O2746))&gt;0,INDEX('Menu Pricing'!$O$7:$O$56,$O2746),""))))</f>
        <v/>
      </c>
      <c r="I2746" s="71">
        <f>IF($N2746&lt;&gt;"OK","",$D2746*$H2746)</f>
        <v/>
      </c>
      <c r="J2746" s="71">
        <f>IF($N2746&lt;&gt;"OK","",N(INDEX('Menu Pricing'!$F$7:$F$56,$O2746))+N(INDEX('Menu Pricing'!$G$7:$G$56,$O2746))+N(INDEX('Menu Pricing'!$J$7:$J$56,$O2746)))</f>
        <v/>
      </c>
      <c r="K2746" s="71">
        <f>IF($N2746&lt;&gt;"OK","",$D2746*$J2746)</f>
        <v/>
      </c>
      <c r="L2746" s="71">
        <f>IF($N2746&lt;&gt;"OK","",$I2746-$K2746)</f>
        <v/>
      </c>
      <c r="M2746" s="71">
        <f>IF($N2746&lt;&gt;"OK","",$D2746*N(INDEX('Menu Pricing'!$F$7:$F$56,$O2746)))</f>
        <v/>
      </c>
      <c r="N2746" s="80">
        <f>IF(AND($B2746="",$C2746="",$D2746=""),"",IF(NOT(ISNUMBER($B2746)),"Enter a valid date",IF($C2746="","Pick a menu item",IF($O2746="","Item not on Menu Pricing",IF(N($D2746)&lt;=0,"Qty must be above 0",IF($H2746="","No price on menu","OK"))))))</f>
        <v/>
      </c>
      <c r="O2746" s="13">
        <f>IF($C2746="","",IFERROR(MATCH($C2746,'Menu Pricing'!$B$7:$B$56,0),""))</f>
        <v/>
      </c>
    </row>
    <row r="2747" ht="17" customHeight="1">
      <c r="B2747" s="66" t="n"/>
      <c r="C2747" s="60" t="n"/>
      <c r="D2747" s="86" t="n"/>
      <c r="E2747" s="63" t="n"/>
      <c r="F2747" s="60" t="n"/>
      <c r="G2747" s="60" t="n"/>
      <c r="H2747" s="71">
        <f>IF(OR($C2747="",$D2747=""),"",IF(ISNUMBER($E2747),$E2747,IF($O2747="","",IF(N(INDEX('Menu Pricing'!$O$7:$O$56,$O2747))&gt;0,INDEX('Menu Pricing'!$O$7:$O$56,$O2747),""))))</f>
        <v/>
      </c>
      <c r="I2747" s="71">
        <f>IF($N2747&lt;&gt;"OK","",$D2747*$H2747)</f>
        <v/>
      </c>
      <c r="J2747" s="71">
        <f>IF($N2747&lt;&gt;"OK","",N(INDEX('Menu Pricing'!$F$7:$F$56,$O2747))+N(INDEX('Menu Pricing'!$G$7:$G$56,$O2747))+N(INDEX('Menu Pricing'!$J$7:$J$56,$O2747)))</f>
        <v/>
      </c>
      <c r="K2747" s="71">
        <f>IF($N2747&lt;&gt;"OK","",$D2747*$J2747)</f>
        <v/>
      </c>
      <c r="L2747" s="71">
        <f>IF($N2747&lt;&gt;"OK","",$I2747-$K2747)</f>
        <v/>
      </c>
      <c r="M2747" s="71">
        <f>IF($N2747&lt;&gt;"OK","",$D2747*N(INDEX('Menu Pricing'!$F$7:$F$56,$O2747)))</f>
        <v/>
      </c>
      <c r="N2747" s="80">
        <f>IF(AND($B2747="",$C2747="",$D2747=""),"",IF(NOT(ISNUMBER($B2747)),"Enter a valid date",IF($C2747="","Pick a menu item",IF($O2747="","Item not on Menu Pricing",IF(N($D2747)&lt;=0,"Qty must be above 0",IF($H2747="","No price on menu","OK"))))))</f>
        <v/>
      </c>
      <c r="O2747" s="13">
        <f>IF($C2747="","",IFERROR(MATCH($C2747,'Menu Pricing'!$B$7:$B$56,0),""))</f>
        <v/>
      </c>
    </row>
    <row r="2748" ht="17" customHeight="1">
      <c r="B2748" s="66" t="n"/>
      <c r="C2748" s="60" t="n"/>
      <c r="D2748" s="86" t="n"/>
      <c r="E2748" s="63" t="n"/>
      <c r="F2748" s="60" t="n"/>
      <c r="G2748" s="60" t="n"/>
      <c r="H2748" s="71">
        <f>IF(OR($C2748="",$D2748=""),"",IF(ISNUMBER($E2748),$E2748,IF($O2748="","",IF(N(INDEX('Menu Pricing'!$O$7:$O$56,$O2748))&gt;0,INDEX('Menu Pricing'!$O$7:$O$56,$O2748),""))))</f>
        <v/>
      </c>
      <c r="I2748" s="71">
        <f>IF($N2748&lt;&gt;"OK","",$D2748*$H2748)</f>
        <v/>
      </c>
      <c r="J2748" s="71">
        <f>IF($N2748&lt;&gt;"OK","",N(INDEX('Menu Pricing'!$F$7:$F$56,$O2748))+N(INDEX('Menu Pricing'!$G$7:$G$56,$O2748))+N(INDEX('Menu Pricing'!$J$7:$J$56,$O2748)))</f>
        <v/>
      </c>
      <c r="K2748" s="71">
        <f>IF($N2748&lt;&gt;"OK","",$D2748*$J2748)</f>
        <v/>
      </c>
      <c r="L2748" s="71">
        <f>IF($N2748&lt;&gt;"OK","",$I2748-$K2748)</f>
        <v/>
      </c>
      <c r="M2748" s="71">
        <f>IF($N2748&lt;&gt;"OK","",$D2748*N(INDEX('Menu Pricing'!$F$7:$F$56,$O2748)))</f>
        <v/>
      </c>
      <c r="N2748" s="80">
        <f>IF(AND($B2748="",$C2748="",$D2748=""),"",IF(NOT(ISNUMBER($B2748)),"Enter a valid date",IF($C2748="","Pick a menu item",IF($O2748="","Item not on Menu Pricing",IF(N($D2748)&lt;=0,"Qty must be above 0",IF($H2748="","No price on menu","OK"))))))</f>
        <v/>
      </c>
      <c r="O2748" s="13">
        <f>IF($C2748="","",IFERROR(MATCH($C2748,'Menu Pricing'!$B$7:$B$56,0),""))</f>
        <v/>
      </c>
    </row>
    <row r="2749" ht="17" customHeight="1">
      <c r="B2749" s="66" t="n"/>
      <c r="C2749" s="60" t="n"/>
      <c r="D2749" s="86" t="n"/>
      <c r="E2749" s="63" t="n"/>
      <c r="F2749" s="60" t="n"/>
      <c r="G2749" s="60" t="n"/>
      <c r="H2749" s="71">
        <f>IF(OR($C2749="",$D2749=""),"",IF(ISNUMBER($E2749),$E2749,IF($O2749="","",IF(N(INDEX('Menu Pricing'!$O$7:$O$56,$O2749))&gt;0,INDEX('Menu Pricing'!$O$7:$O$56,$O2749),""))))</f>
        <v/>
      </c>
      <c r="I2749" s="71">
        <f>IF($N2749&lt;&gt;"OK","",$D2749*$H2749)</f>
        <v/>
      </c>
      <c r="J2749" s="71">
        <f>IF($N2749&lt;&gt;"OK","",N(INDEX('Menu Pricing'!$F$7:$F$56,$O2749))+N(INDEX('Menu Pricing'!$G$7:$G$56,$O2749))+N(INDEX('Menu Pricing'!$J$7:$J$56,$O2749)))</f>
        <v/>
      </c>
      <c r="K2749" s="71">
        <f>IF($N2749&lt;&gt;"OK","",$D2749*$J2749)</f>
        <v/>
      </c>
      <c r="L2749" s="71">
        <f>IF($N2749&lt;&gt;"OK","",$I2749-$K2749)</f>
        <v/>
      </c>
      <c r="M2749" s="71">
        <f>IF($N2749&lt;&gt;"OK","",$D2749*N(INDEX('Menu Pricing'!$F$7:$F$56,$O2749)))</f>
        <v/>
      </c>
      <c r="N2749" s="80">
        <f>IF(AND($B2749="",$C2749="",$D2749=""),"",IF(NOT(ISNUMBER($B2749)),"Enter a valid date",IF($C2749="","Pick a menu item",IF($O2749="","Item not on Menu Pricing",IF(N($D2749)&lt;=0,"Qty must be above 0",IF($H2749="","No price on menu","OK"))))))</f>
        <v/>
      </c>
      <c r="O2749" s="13">
        <f>IF($C2749="","",IFERROR(MATCH($C2749,'Menu Pricing'!$B$7:$B$56,0),""))</f>
        <v/>
      </c>
    </row>
    <row r="2750" ht="17" customHeight="1">
      <c r="B2750" s="66" t="n"/>
      <c r="C2750" s="60" t="n"/>
      <c r="D2750" s="86" t="n"/>
      <c r="E2750" s="63" t="n"/>
      <c r="F2750" s="60" t="n"/>
      <c r="G2750" s="60" t="n"/>
      <c r="H2750" s="71">
        <f>IF(OR($C2750="",$D2750=""),"",IF(ISNUMBER($E2750),$E2750,IF($O2750="","",IF(N(INDEX('Menu Pricing'!$O$7:$O$56,$O2750))&gt;0,INDEX('Menu Pricing'!$O$7:$O$56,$O2750),""))))</f>
        <v/>
      </c>
      <c r="I2750" s="71">
        <f>IF($N2750&lt;&gt;"OK","",$D2750*$H2750)</f>
        <v/>
      </c>
      <c r="J2750" s="71">
        <f>IF($N2750&lt;&gt;"OK","",N(INDEX('Menu Pricing'!$F$7:$F$56,$O2750))+N(INDEX('Menu Pricing'!$G$7:$G$56,$O2750))+N(INDEX('Menu Pricing'!$J$7:$J$56,$O2750)))</f>
        <v/>
      </c>
      <c r="K2750" s="71">
        <f>IF($N2750&lt;&gt;"OK","",$D2750*$J2750)</f>
        <v/>
      </c>
      <c r="L2750" s="71">
        <f>IF($N2750&lt;&gt;"OK","",$I2750-$K2750)</f>
        <v/>
      </c>
      <c r="M2750" s="71">
        <f>IF($N2750&lt;&gt;"OK","",$D2750*N(INDEX('Menu Pricing'!$F$7:$F$56,$O2750)))</f>
        <v/>
      </c>
      <c r="N2750" s="80">
        <f>IF(AND($B2750="",$C2750="",$D2750=""),"",IF(NOT(ISNUMBER($B2750)),"Enter a valid date",IF($C2750="","Pick a menu item",IF($O2750="","Item not on Menu Pricing",IF(N($D2750)&lt;=0,"Qty must be above 0",IF($H2750="","No price on menu","OK"))))))</f>
        <v/>
      </c>
      <c r="O2750" s="13">
        <f>IF($C2750="","",IFERROR(MATCH($C2750,'Menu Pricing'!$B$7:$B$56,0),""))</f>
        <v/>
      </c>
    </row>
    <row r="2751" ht="17" customHeight="1">
      <c r="B2751" s="66" t="n"/>
      <c r="C2751" s="60" t="n"/>
      <c r="D2751" s="86" t="n"/>
      <c r="E2751" s="63" t="n"/>
      <c r="F2751" s="60" t="n"/>
      <c r="G2751" s="60" t="n"/>
      <c r="H2751" s="71">
        <f>IF(OR($C2751="",$D2751=""),"",IF(ISNUMBER($E2751),$E2751,IF($O2751="","",IF(N(INDEX('Menu Pricing'!$O$7:$O$56,$O2751))&gt;0,INDEX('Menu Pricing'!$O$7:$O$56,$O2751),""))))</f>
        <v/>
      </c>
      <c r="I2751" s="71">
        <f>IF($N2751&lt;&gt;"OK","",$D2751*$H2751)</f>
        <v/>
      </c>
      <c r="J2751" s="71">
        <f>IF($N2751&lt;&gt;"OK","",N(INDEX('Menu Pricing'!$F$7:$F$56,$O2751))+N(INDEX('Menu Pricing'!$G$7:$G$56,$O2751))+N(INDEX('Menu Pricing'!$J$7:$J$56,$O2751)))</f>
        <v/>
      </c>
      <c r="K2751" s="71">
        <f>IF($N2751&lt;&gt;"OK","",$D2751*$J2751)</f>
        <v/>
      </c>
      <c r="L2751" s="71">
        <f>IF($N2751&lt;&gt;"OK","",$I2751-$K2751)</f>
        <v/>
      </c>
      <c r="M2751" s="71">
        <f>IF($N2751&lt;&gt;"OK","",$D2751*N(INDEX('Menu Pricing'!$F$7:$F$56,$O2751)))</f>
        <v/>
      </c>
      <c r="N2751" s="80">
        <f>IF(AND($B2751="",$C2751="",$D2751=""),"",IF(NOT(ISNUMBER($B2751)),"Enter a valid date",IF($C2751="","Pick a menu item",IF($O2751="","Item not on Menu Pricing",IF(N($D2751)&lt;=0,"Qty must be above 0",IF($H2751="","No price on menu","OK"))))))</f>
        <v/>
      </c>
      <c r="O2751" s="13">
        <f>IF($C2751="","",IFERROR(MATCH($C2751,'Menu Pricing'!$B$7:$B$56,0),""))</f>
        <v/>
      </c>
    </row>
    <row r="2752" ht="17" customHeight="1">
      <c r="B2752" s="66" t="n"/>
      <c r="C2752" s="60" t="n"/>
      <c r="D2752" s="86" t="n"/>
      <c r="E2752" s="63" t="n"/>
      <c r="F2752" s="60" t="n"/>
      <c r="G2752" s="60" t="n"/>
      <c r="H2752" s="71">
        <f>IF(OR($C2752="",$D2752=""),"",IF(ISNUMBER($E2752),$E2752,IF($O2752="","",IF(N(INDEX('Menu Pricing'!$O$7:$O$56,$O2752))&gt;0,INDEX('Menu Pricing'!$O$7:$O$56,$O2752),""))))</f>
        <v/>
      </c>
      <c r="I2752" s="71">
        <f>IF($N2752&lt;&gt;"OK","",$D2752*$H2752)</f>
        <v/>
      </c>
      <c r="J2752" s="71">
        <f>IF($N2752&lt;&gt;"OK","",N(INDEX('Menu Pricing'!$F$7:$F$56,$O2752))+N(INDEX('Menu Pricing'!$G$7:$G$56,$O2752))+N(INDEX('Menu Pricing'!$J$7:$J$56,$O2752)))</f>
        <v/>
      </c>
      <c r="K2752" s="71">
        <f>IF($N2752&lt;&gt;"OK","",$D2752*$J2752)</f>
        <v/>
      </c>
      <c r="L2752" s="71">
        <f>IF($N2752&lt;&gt;"OK","",$I2752-$K2752)</f>
        <v/>
      </c>
      <c r="M2752" s="71">
        <f>IF($N2752&lt;&gt;"OK","",$D2752*N(INDEX('Menu Pricing'!$F$7:$F$56,$O2752)))</f>
        <v/>
      </c>
      <c r="N2752" s="80">
        <f>IF(AND($B2752="",$C2752="",$D2752=""),"",IF(NOT(ISNUMBER($B2752)),"Enter a valid date",IF($C2752="","Pick a menu item",IF($O2752="","Item not on Menu Pricing",IF(N($D2752)&lt;=0,"Qty must be above 0",IF($H2752="","No price on menu","OK"))))))</f>
        <v/>
      </c>
      <c r="O2752" s="13">
        <f>IF($C2752="","",IFERROR(MATCH($C2752,'Menu Pricing'!$B$7:$B$56,0),""))</f>
        <v/>
      </c>
    </row>
    <row r="2753" ht="17" customHeight="1">
      <c r="B2753" s="66" t="n"/>
      <c r="C2753" s="60" t="n"/>
      <c r="D2753" s="86" t="n"/>
      <c r="E2753" s="63" t="n"/>
      <c r="F2753" s="60" t="n"/>
      <c r="G2753" s="60" t="n"/>
      <c r="H2753" s="71">
        <f>IF(OR($C2753="",$D2753=""),"",IF(ISNUMBER($E2753),$E2753,IF($O2753="","",IF(N(INDEX('Menu Pricing'!$O$7:$O$56,$O2753))&gt;0,INDEX('Menu Pricing'!$O$7:$O$56,$O2753),""))))</f>
        <v/>
      </c>
      <c r="I2753" s="71">
        <f>IF($N2753&lt;&gt;"OK","",$D2753*$H2753)</f>
        <v/>
      </c>
      <c r="J2753" s="71">
        <f>IF($N2753&lt;&gt;"OK","",N(INDEX('Menu Pricing'!$F$7:$F$56,$O2753))+N(INDEX('Menu Pricing'!$G$7:$G$56,$O2753))+N(INDEX('Menu Pricing'!$J$7:$J$56,$O2753)))</f>
        <v/>
      </c>
      <c r="K2753" s="71">
        <f>IF($N2753&lt;&gt;"OK","",$D2753*$J2753)</f>
        <v/>
      </c>
      <c r="L2753" s="71">
        <f>IF($N2753&lt;&gt;"OK","",$I2753-$K2753)</f>
        <v/>
      </c>
      <c r="M2753" s="71">
        <f>IF($N2753&lt;&gt;"OK","",$D2753*N(INDEX('Menu Pricing'!$F$7:$F$56,$O2753)))</f>
        <v/>
      </c>
      <c r="N2753" s="80">
        <f>IF(AND($B2753="",$C2753="",$D2753=""),"",IF(NOT(ISNUMBER($B2753)),"Enter a valid date",IF($C2753="","Pick a menu item",IF($O2753="","Item not on Menu Pricing",IF(N($D2753)&lt;=0,"Qty must be above 0",IF($H2753="","No price on menu","OK"))))))</f>
        <v/>
      </c>
      <c r="O2753" s="13">
        <f>IF($C2753="","",IFERROR(MATCH($C2753,'Menu Pricing'!$B$7:$B$56,0),""))</f>
        <v/>
      </c>
    </row>
    <row r="2754" ht="17" customHeight="1">
      <c r="B2754" s="66" t="n"/>
      <c r="C2754" s="60" t="n"/>
      <c r="D2754" s="86" t="n"/>
      <c r="E2754" s="63" t="n"/>
      <c r="F2754" s="60" t="n"/>
      <c r="G2754" s="60" t="n"/>
      <c r="H2754" s="71">
        <f>IF(OR($C2754="",$D2754=""),"",IF(ISNUMBER($E2754),$E2754,IF($O2754="","",IF(N(INDEX('Menu Pricing'!$O$7:$O$56,$O2754))&gt;0,INDEX('Menu Pricing'!$O$7:$O$56,$O2754),""))))</f>
        <v/>
      </c>
      <c r="I2754" s="71">
        <f>IF($N2754&lt;&gt;"OK","",$D2754*$H2754)</f>
        <v/>
      </c>
      <c r="J2754" s="71">
        <f>IF($N2754&lt;&gt;"OK","",N(INDEX('Menu Pricing'!$F$7:$F$56,$O2754))+N(INDEX('Menu Pricing'!$G$7:$G$56,$O2754))+N(INDEX('Menu Pricing'!$J$7:$J$56,$O2754)))</f>
        <v/>
      </c>
      <c r="K2754" s="71">
        <f>IF($N2754&lt;&gt;"OK","",$D2754*$J2754)</f>
        <v/>
      </c>
      <c r="L2754" s="71">
        <f>IF($N2754&lt;&gt;"OK","",$I2754-$K2754)</f>
        <v/>
      </c>
      <c r="M2754" s="71">
        <f>IF($N2754&lt;&gt;"OK","",$D2754*N(INDEX('Menu Pricing'!$F$7:$F$56,$O2754)))</f>
        <v/>
      </c>
      <c r="N2754" s="80">
        <f>IF(AND($B2754="",$C2754="",$D2754=""),"",IF(NOT(ISNUMBER($B2754)),"Enter a valid date",IF($C2754="","Pick a menu item",IF($O2754="","Item not on Menu Pricing",IF(N($D2754)&lt;=0,"Qty must be above 0",IF($H2754="","No price on menu","OK"))))))</f>
        <v/>
      </c>
      <c r="O2754" s="13">
        <f>IF($C2754="","",IFERROR(MATCH($C2754,'Menu Pricing'!$B$7:$B$56,0),""))</f>
        <v/>
      </c>
    </row>
    <row r="2755" ht="17" customHeight="1">
      <c r="B2755" s="66" t="n"/>
      <c r="C2755" s="60" t="n"/>
      <c r="D2755" s="86" t="n"/>
      <c r="E2755" s="63" t="n"/>
      <c r="F2755" s="60" t="n"/>
      <c r="G2755" s="60" t="n"/>
      <c r="H2755" s="71">
        <f>IF(OR($C2755="",$D2755=""),"",IF(ISNUMBER($E2755),$E2755,IF($O2755="","",IF(N(INDEX('Menu Pricing'!$O$7:$O$56,$O2755))&gt;0,INDEX('Menu Pricing'!$O$7:$O$56,$O2755),""))))</f>
        <v/>
      </c>
      <c r="I2755" s="71">
        <f>IF($N2755&lt;&gt;"OK","",$D2755*$H2755)</f>
        <v/>
      </c>
      <c r="J2755" s="71">
        <f>IF($N2755&lt;&gt;"OK","",N(INDEX('Menu Pricing'!$F$7:$F$56,$O2755))+N(INDEX('Menu Pricing'!$G$7:$G$56,$O2755))+N(INDEX('Menu Pricing'!$J$7:$J$56,$O2755)))</f>
        <v/>
      </c>
      <c r="K2755" s="71">
        <f>IF($N2755&lt;&gt;"OK","",$D2755*$J2755)</f>
        <v/>
      </c>
      <c r="L2755" s="71">
        <f>IF($N2755&lt;&gt;"OK","",$I2755-$K2755)</f>
        <v/>
      </c>
      <c r="M2755" s="71">
        <f>IF($N2755&lt;&gt;"OK","",$D2755*N(INDEX('Menu Pricing'!$F$7:$F$56,$O2755)))</f>
        <v/>
      </c>
      <c r="N2755" s="80">
        <f>IF(AND($B2755="",$C2755="",$D2755=""),"",IF(NOT(ISNUMBER($B2755)),"Enter a valid date",IF($C2755="","Pick a menu item",IF($O2755="","Item not on Menu Pricing",IF(N($D2755)&lt;=0,"Qty must be above 0",IF($H2755="","No price on menu","OK"))))))</f>
        <v/>
      </c>
      <c r="O2755" s="13">
        <f>IF($C2755="","",IFERROR(MATCH($C2755,'Menu Pricing'!$B$7:$B$56,0),""))</f>
        <v/>
      </c>
    </row>
    <row r="2756" ht="17" customHeight="1">
      <c r="B2756" s="66" t="n"/>
      <c r="C2756" s="60" t="n"/>
      <c r="D2756" s="86" t="n"/>
      <c r="E2756" s="63" t="n"/>
      <c r="F2756" s="60" t="n"/>
      <c r="G2756" s="60" t="n"/>
      <c r="H2756" s="71">
        <f>IF(OR($C2756="",$D2756=""),"",IF(ISNUMBER($E2756),$E2756,IF($O2756="","",IF(N(INDEX('Menu Pricing'!$O$7:$O$56,$O2756))&gt;0,INDEX('Menu Pricing'!$O$7:$O$56,$O2756),""))))</f>
        <v/>
      </c>
      <c r="I2756" s="71">
        <f>IF($N2756&lt;&gt;"OK","",$D2756*$H2756)</f>
        <v/>
      </c>
      <c r="J2756" s="71">
        <f>IF($N2756&lt;&gt;"OK","",N(INDEX('Menu Pricing'!$F$7:$F$56,$O2756))+N(INDEX('Menu Pricing'!$G$7:$G$56,$O2756))+N(INDEX('Menu Pricing'!$J$7:$J$56,$O2756)))</f>
        <v/>
      </c>
      <c r="K2756" s="71">
        <f>IF($N2756&lt;&gt;"OK","",$D2756*$J2756)</f>
        <v/>
      </c>
      <c r="L2756" s="71">
        <f>IF($N2756&lt;&gt;"OK","",$I2756-$K2756)</f>
        <v/>
      </c>
      <c r="M2756" s="71">
        <f>IF($N2756&lt;&gt;"OK","",$D2756*N(INDEX('Menu Pricing'!$F$7:$F$56,$O2756)))</f>
        <v/>
      </c>
      <c r="N2756" s="80">
        <f>IF(AND($B2756="",$C2756="",$D2756=""),"",IF(NOT(ISNUMBER($B2756)),"Enter a valid date",IF($C2756="","Pick a menu item",IF($O2756="","Item not on Menu Pricing",IF(N($D2756)&lt;=0,"Qty must be above 0",IF($H2756="","No price on menu","OK"))))))</f>
        <v/>
      </c>
      <c r="O2756" s="13">
        <f>IF($C2756="","",IFERROR(MATCH($C2756,'Menu Pricing'!$B$7:$B$56,0),""))</f>
        <v/>
      </c>
    </row>
    <row r="2757" ht="17" customHeight="1">
      <c r="B2757" s="66" t="n"/>
      <c r="C2757" s="60" t="n"/>
      <c r="D2757" s="86" t="n"/>
      <c r="E2757" s="63" t="n"/>
      <c r="F2757" s="60" t="n"/>
      <c r="G2757" s="60" t="n"/>
      <c r="H2757" s="71">
        <f>IF(OR($C2757="",$D2757=""),"",IF(ISNUMBER($E2757),$E2757,IF($O2757="","",IF(N(INDEX('Menu Pricing'!$O$7:$O$56,$O2757))&gt;0,INDEX('Menu Pricing'!$O$7:$O$56,$O2757),""))))</f>
        <v/>
      </c>
      <c r="I2757" s="71">
        <f>IF($N2757&lt;&gt;"OK","",$D2757*$H2757)</f>
        <v/>
      </c>
      <c r="J2757" s="71">
        <f>IF($N2757&lt;&gt;"OK","",N(INDEX('Menu Pricing'!$F$7:$F$56,$O2757))+N(INDEX('Menu Pricing'!$G$7:$G$56,$O2757))+N(INDEX('Menu Pricing'!$J$7:$J$56,$O2757)))</f>
        <v/>
      </c>
      <c r="K2757" s="71">
        <f>IF($N2757&lt;&gt;"OK","",$D2757*$J2757)</f>
        <v/>
      </c>
      <c r="L2757" s="71">
        <f>IF($N2757&lt;&gt;"OK","",$I2757-$K2757)</f>
        <v/>
      </c>
      <c r="M2757" s="71">
        <f>IF($N2757&lt;&gt;"OK","",$D2757*N(INDEX('Menu Pricing'!$F$7:$F$56,$O2757)))</f>
        <v/>
      </c>
      <c r="N2757" s="80">
        <f>IF(AND($B2757="",$C2757="",$D2757=""),"",IF(NOT(ISNUMBER($B2757)),"Enter a valid date",IF($C2757="","Pick a menu item",IF($O2757="","Item not on Menu Pricing",IF(N($D2757)&lt;=0,"Qty must be above 0",IF($H2757="","No price on menu","OK"))))))</f>
        <v/>
      </c>
      <c r="O2757" s="13">
        <f>IF($C2757="","",IFERROR(MATCH($C2757,'Menu Pricing'!$B$7:$B$56,0),""))</f>
        <v/>
      </c>
    </row>
    <row r="2758" ht="17" customHeight="1">
      <c r="B2758" s="66" t="n"/>
      <c r="C2758" s="60" t="n"/>
      <c r="D2758" s="86" t="n"/>
      <c r="E2758" s="63" t="n"/>
      <c r="F2758" s="60" t="n"/>
      <c r="G2758" s="60" t="n"/>
      <c r="H2758" s="71">
        <f>IF(OR($C2758="",$D2758=""),"",IF(ISNUMBER($E2758),$E2758,IF($O2758="","",IF(N(INDEX('Menu Pricing'!$O$7:$O$56,$O2758))&gt;0,INDEX('Menu Pricing'!$O$7:$O$56,$O2758),""))))</f>
        <v/>
      </c>
      <c r="I2758" s="71">
        <f>IF($N2758&lt;&gt;"OK","",$D2758*$H2758)</f>
        <v/>
      </c>
      <c r="J2758" s="71">
        <f>IF($N2758&lt;&gt;"OK","",N(INDEX('Menu Pricing'!$F$7:$F$56,$O2758))+N(INDEX('Menu Pricing'!$G$7:$G$56,$O2758))+N(INDEX('Menu Pricing'!$J$7:$J$56,$O2758)))</f>
        <v/>
      </c>
      <c r="K2758" s="71">
        <f>IF($N2758&lt;&gt;"OK","",$D2758*$J2758)</f>
        <v/>
      </c>
      <c r="L2758" s="71">
        <f>IF($N2758&lt;&gt;"OK","",$I2758-$K2758)</f>
        <v/>
      </c>
      <c r="M2758" s="71">
        <f>IF($N2758&lt;&gt;"OK","",$D2758*N(INDEX('Menu Pricing'!$F$7:$F$56,$O2758)))</f>
        <v/>
      </c>
      <c r="N2758" s="80">
        <f>IF(AND($B2758="",$C2758="",$D2758=""),"",IF(NOT(ISNUMBER($B2758)),"Enter a valid date",IF($C2758="","Pick a menu item",IF($O2758="","Item not on Menu Pricing",IF(N($D2758)&lt;=0,"Qty must be above 0",IF($H2758="","No price on menu","OK"))))))</f>
        <v/>
      </c>
      <c r="O2758" s="13">
        <f>IF($C2758="","",IFERROR(MATCH($C2758,'Menu Pricing'!$B$7:$B$56,0),""))</f>
        <v/>
      </c>
    </row>
    <row r="2759" ht="17" customHeight="1">
      <c r="B2759" s="66" t="n"/>
      <c r="C2759" s="60" t="n"/>
      <c r="D2759" s="86" t="n"/>
      <c r="E2759" s="63" t="n"/>
      <c r="F2759" s="60" t="n"/>
      <c r="G2759" s="60" t="n"/>
      <c r="H2759" s="71">
        <f>IF(OR($C2759="",$D2759=""),"",IF(ISNUMBER($E2759),$E2759,IF($O2759="","",IF(N(INDEX('Menu Pricing'!$O$7:$O$56,$O2759))&gt;0,INDEX('Menu Pricing'!$O$7:$O$56,$O2759),""))))</f>
        <v/>
      </c>
      <c r="I2759" s="71">
        <f>IF($N2759&lt;&gt;"OK","",$D2759*$H2759)</f>
        <v/>
      </c>
      <c r="J2759" s="71">
        <f>IF($N2759&lt;&gt;"OK","",N(INDEX('Menu Pricing'!$F$7:$F$56,$O2759))+N(INDEX('Menu Pricing'!$G$7:$G$56,$O2759))+N(INDEX('Menu Pricing'!$J$7:$J$56,$O2759)))</f>
        <v/>
      </c>
      <c r="K2759" s="71">
        <f>IF($N2759&lt;&gt;"OK","",$D2759*$J2759)</f>
        <v/>
      </c>
      <c r="L2759" s="71">
        <f>IF($N2759&lt;&gt;"OK","",$I2759-$K2759)</f>
        <v/>
      </c>
      <c r="M2759" s="71">
        <f>IF($N2759&lt;&gt;"OK","",$D2759*N(INDEX('Menu Pricing'!$F$7:$F$56,$O2759)))</f>
        <v/>
      </c>
      <c r="N2759" s="80">
        <f>IF(AND($B2759="",$C2759="",$D2759=""),"",IF(NOT(ISNUMBER($B2759)),"Enter a valid date",IF($C2759="","Pick a menu item",IF($O2759="","Item not on Menu Pricing",IF(N($D2759)&lt;=0,"Qty must be above 0",IF($H2759="","No price on menu","OK"))))))</f>
        <v/>
      </c>
      <c r="O2759" s="13">
        <f>IF($C2759="","",IFERROR(MATCH($C2759,'Menu Pricing'!$B$7:$B$56,0),""))</f>
        <v/>
      </c>
    </row>
    <row r="2760" ht="17" customHeight="1">
      <c r="B2760" s="66" t="n"/>
      <c r="C2760" s="60" t="n"/>
      <c r="D2760" s="86" t="n"/>
      <c r="E2760" s="63" t="n"/>
      <c r="F2760" s="60" t="n"/>
      <c r="G2760" s="60" t="n"/>
      <c r="H2760" s="71">
        <f>IF(OR($C2760="",$D2760=""),"",IF(ISNUMBER($E2760),$E2760,IF($O2760="","",IF(N(INDEX('Menu Pricing'!$O$7:$O$56,$O2760))&gt;0,INDEX('Menu Pricing'!$O$7:$O$56,$O2760),""))))</f>
        <v/>
      </c>
      <c r="I2760" s="71">
        <f>IF($N2760&lt;&gt;"OK","",$D2760*$H2760)</f>
        <v/>
      </c>
      <c r="J2760" s="71">
        <f>IF($N2760&lt;&gt;"OK","",N(INDEX('Menu Pricing'!$F$7:$F$56,$O2760))+N(INDEX('Menu Pricing'!$G$7:$G$56,$O2760))+N(INDEX('Menu Pricing'!$J$7:$J$56,$O2760)))</f>
        <v/>
      </c>
      <c r="K2760" s="71">
        <f>IF($N2760&lt;&gt;"OK","",$D2760*$J2760)</f>
        <v/>
      </c>
      <c r="L2760" s="71">
        <f>IF($N2760&lt;&gt;"OK","",$I2760-$K2760)</f>
        <v/>
      </c>
      <c r="M2760" s="71">
        <f>IF($N2760&lt;&gt;"OK","",$D2760*N(INDEX('Menu Pricing'!$F$7:$F$56,$O2760)))</f>
        <v/>
      </c>
      <c r="N2760" s="80">
        <f>IF(AND($B2760="",$C2760="",$D2760=""),"",IF(NOT(ISNUMBER($B2760)),"Enter a valid date",IF($C2760="","Pick a menu item",IF($O2760="","Item not on Menu Pricing",IF(N($D2760)&lt;=0,"Qty must be above 0",IF($H2760="","No price on menu","OK"))))))</f>
        <v/>
      </c>
      <c r="O2760" s="13">
        <f>IF($C2760="","",IFERROR(MATCH($C2760,'Menu Pricing'!$B$7:$B$56,0),""))</f>
        <v/>
      </c>
    </row>
    <row r="2761" ht="17" customHeight="1">
      <c r="B2761" s="66" t="n"/>
      <c r="C2761" s="60" t="n"/>
      <c r="D2761" s="86" t="n"/>
      <c r="E2761" s="63" t="n"/>
      <c r="F2761" s="60" t="n"/>
      <c r="G2761" s="60" t="n"/>
      <c r="H2761" s="71">
        <f>IF(OR($C2761="",$D2761=""),"",IF(ISNUMBER($E2761),$E2761,IF($O2761="","",IF(N(INDEX('Menu Pricing'!$O$7:$O$56,$O2761))&gt;0,INDEX('Menu Pricing'!$O$7:$O$56,$O2761),""))))</f>
        <v/>
      </c>
      <c r="I2761" s="71">
        <f>IF($N2761&lt;&gt;"OK","",$D2761*$H2761)</f>
        <v/>
      </c>
      <c r="J2761" s="71">
        <f>IF($N2761&lt;&gt;"OK","",N(INDEX('Menu Pricing'!$F$7:$F$56,$O2761))+N(INDEX('Menu Pricing'!$G$7:$G$56,$O2761))+N(INDEX('Menu Pricing'!$J$7:$J$56,$O2761)))</f>
        <v/>
      </c>
      <c r="K2761" s="71">
        <f>IF($N2761&lt;&gt;"OK","",$D2761*$J2761)</f>
        <v/>
      </c>
      <c r="L2761" s="71">
        <f>IF($N2761&lt;&gt;"OK","",$I2761-$K2761)</f>
        <v/>
      </c>
      <c r="M2761" s="71">
        <f>IF($N2761&lt;&gt;"OK","",$D2761*N(INDEX('Menu Pricing'!$F$7:$F$56,$O2761)))</f>
        <v/>
      </c>
      <c r="N2761" s="80">
        <f>IF(AND($B2761="",$C2761="",$D2761=""),"",IF(NOT(ISNUMBER($B2761)),"Enter a valid date",IF($C2761="","Pick a menu item",IF($O2761="","Item not on Menu Pricing",IF(N($D2761)&lt;=0,"Qty must be above 0",IF($H2761="","No price on menu","OK"))))))</f>
        <v/>
      </c>
      <c r="O2761" s="13">
        <f>IF($C2761="","",IFERROR(MATCH($C2761,'Menu Pricing'!$B$7:$B$56,0),""))</f>
        <v/>
      </c>
    </row>
    <row r="2762" ht="17" customHeight="1">
      <c r="B2762" s="66" t="n"/>
      <c r="C2762" s="60" t="n"/>
      <c r="D2762" s="86" t="n"/>
      <c r="E2762" s="63" t="n"/>
      <c r="F2762" s="60" t="n"/>
      <c r="G2762" s="60" t="n"/>
      <c r="H2762" s="71">
        <f>IF(OR($C2762="",$D2762=""),"",IF(ISNUMBER($E2762),$E2762,IF($O2762="","",IF(N(INDEX('Menu Pricing'!$O$7:$O$56,$O2762))&gt;0,INDEX('Menu Pricing'!$O$7:$O$56,$O2762),""))))</f>
        <v/>
      </c>
      <c r="I2762" s="71">
        <f>IF($N2762&lt;&gt;"OK","",$D2762*$H2762)</f>
        <v/>
      </c>
      <c r="J2762" s="71">
        <f>IF($N2762&lt;&gt;"OK","",N(INDEX('Menu Pricing'!$F$7:$F$56,$O2762))+N(INDEX('Menu Pricing'!$G$7:$G$56,$O2762))+N(INDEX('Menu Pricing'!$J$7:$J$56,$O2762)))</f>
        <v/>
      </c>
      <c r="K2762" s="71">
        <f>IF($N2762&lt;&gt;"OK","",$D2762*$J2762)</f>
        <v/>
      </c>
      <c r="L2762" s="71">
        <f>IF($N2762&lt;&gt;"OK","",$I2762-$K2762)</f>
        <v/>
      </c>
      <c r="M2762" s="71">
        <f>IF($N2762&lt;&gt;"OK","",$D2762*N(INDEX('Menu Pricing'!$F$7:$F$56,$O2762)))</f>
        <v/>
      </c>
      <c r="N2762" s="80">
        <f>IF(AND($B2762="",$C2762="",$D2762=""),"",IF(NOT(ISNUMBER($B2762)),"Enter a valid date",IF($C2762="","Pick a menu item",IF($O2762="","Item not on Menu Pricing",IF(N($D2762)&lt;=0,"Qty must be above 0",IF($H2762="","No price on menu","OK"))))))</f>
        <v/>
      </c>
      <c r="O2762" s="13">
        <f>IF($C2762="","",IFERROR(MATCH($C2762,'Menu Pricing'!$B$7:$B$56,0),""))</f>
        <v/>
      </c>
    </row>
    <row r="2763" ht="17" customHeight="1">
      <c r="B2763" s="66" t="n"/>
      <c r="C2763" s="60" t="n"/>
      <c r="D2763" s="86" t="n"/>
      <c r="E2763" s="63" t="n"/>
      <c r="F2763" s="60" t="n"/>
      <c r="G2763" s="60" t="n"/>
      <c r="H2763" s="71">
        <f>IF(OR($C2763="",$D2763=""),"",IF(ISNUMBER($E2763),$E2763,IF($O2763="","",IF(N(INDEX('Menu Pricing'!$O$7:$O$56,$O2763))&gt;0,INDEX('Menu Pricing'!$O$7:$O$56,$O2763),""))))</f>
        <v/>
      </c>
      <c r="I2763" s="71">
        <f>IF($N2763&lt;&gt;"OK","",$D2763*$H2763)</f>
        <v/>
      </c>
      <c r="J2763" s="71">
        <f>IF($N2763&lt;&gt;"OK","",N(INDEX('Menu Pricing'!$F$7:$F$56,$O2763))+N(INDEX('Menu Pricing'!$G$7:$G$56,$O2763))+N(INDEX('Menu Pricing'!$J$7:$J$56,$O2763)))</f>
        <v/>
      </c>
      <c r="K2763" s="71">
        <f>IF($N2763&lt;&gt;"OK","",$D2763*$J2763)</f>
        <v/>
      </c>
      <c r="L2763" s="71">
        <f>IF($N2763&lt;&gt;"OK","",$I2763-$K2763)</f>
        <v/>
      </c>
      <c r="M2763" s="71">
        <f>IF($N2763&lt;&gt;"OK","",$D2763*N(INDEX('Menu Pricing'!$F$7:$F$56,$O2763)))</f>
        <v/>
      </c>
      <c r="N2763" s="80">
        <f>IF(AND($B2763="",$C2763="",$D2763=""),"",IF(NOT(ISNUMBER($B2763)),"Enter a valid date",IF($C2763="","Pick a menu item",IF($O2763="","Item not on Menu Pricing",IF(N($D2763)&lt;=0,"Qty must be above 0",IF($H2763="","No price on menu","OK"))))))</f>
        <v/>
      </c>
      <c r="O2763" s="13">
        <f>IF($C2763="","",IFERROR(MATCH($C2763,'Menu Pricing'!$B$7:$B$56,0),""))</f>
        <v/>
      </c>
    </row>
    <row r="2764" ht="17" customHeight="1">
      <c r="B2764" s="66" t="n"/>
      <c r="C2764" s="60" t="n"/>
      <c r="D2764" s="86" t="n"/>
      <c r="E2764" s="63" t="n"/>
      <c r="F2764" s="60" t="n"/>
      <c r="G2764" s="60" t="n"/>
      <c r="H2764" s="71">
        <f>IF(OR($C2764="",$D2764=""),"",IF(ISNUMBER($E2764),$E2764,IF($O2764="","",IF(N(INDEX('Menu Pricing'!$O$7:$O$56,$O2764))&gt;0,INDEX('Menu Pricing'!$O$7:$O$56,$O2764),""))))</f>
        <v/>
      </c>
      <c r="I2764" s="71">
        <f>IF($N2764&lt;&gt;"OK","",$D2764*$H2764)</f>
        <v/>
      </c>
      <c r="J2764" s="71">
        <f>IF($N2764&lt;&gt;"OK","",N(INDEX('Menu Pricing'!$F$7:$F$56,$O2764))+N(INDEX('Menu Pricing'!$G$7:$G$56,$O2764))+N(INDEX('Menu Pricing'!$J$7:$J$56,$O2764)))</f>
        <v/>
      </c>
      <c r="K2764" s="71">
        <f>IF($N2764&lt;&gt;"OK","",$D2764*$J2764)</f>
        <v/>
      </c>
      <c r="L2764" s="71">
        <f>IF($N2764&lt;&gt;"OK","",$I2764-$K2764)</f>
        <v/>
      </c>
      <c r="M2764" s="71">
        <f>IF($N2764&lt;&gt;"OK","",$D2764*N(INDEX('Menu Pricing'!$F$7:$F$56,$O2764)))</f>
        <v/>
      </c>
      <c r="N2764" s="80">
        <f>IF(AND($B2764="",$C2764="",$D2764=""),"",IF(NOT(ISNUMBER($B2764)),"Enter a valid date",IF($C2764="","Pick a menu item",IF($O2764="","Item not on Menu Pricing",IF(N($D2764)&lt;=0,"Qty must be above 0",IF($H2764="","No price on menu","OK"))))))</f>
        <v/>
      </c>
      <c r="O2764" s="13">
        <f>IF($C2764="","",IFERROR(MATCH($C2764,'Menu Pricing'!$B$7:$B$56,0),""))</f>
        <v/>
      </c>
    </row>
    <row r="2765" ht="17" customHeight="1">
      <c r="B2765" s="66" t="n"/>
      <c r="C2765" s="60" t="n"/>
      <c r="D2765" s="86" t="n"/>
      <c r="E2765" s="63" t="n"/>
      <c r="F2765" s="60" t="n"/>
      <c r="G2765" s="60" t="n"/>
      <c r="H2765" s="71">
        <f>IF(OR($C2765="",$D2765=""),"",IF(ISNUMBER($E2765),$E2765,IF($O2765="","",IF(N(INDEX('Menu Pricing'!$O$7:$O$56,$O2765))&gt;0,INDEX('Menu Pricing'!$O$7:$O$56,$O2765),""))))</f>
        <v/>
      </c>
      <c r="I2765" s="71">
        <f>IF($N2765&lt;&gt;"OK","",$D2765*$H2765)</f>
        <v/>
      </c>
      <c r="J2765" s="71">
        <f>IF($N2765&lt;&gt;"OK","",N(INDEX('Menu Pricing'!$F$7:$F$56,$O2765))+N(INDEX('Menu Pricing'!$G$7:$G$56,$O2765))+N(INDEX('Menu Pricing'!$J$7:$J$56,$O2765)))</f>
        <v/>
      </c>
      <c r="K2765" s="71">
        <f>IF($N2765&lt;&gt;"OK","",$D2765*$J2765)</f>
        <v/>
      </c>
      <c r="L2765" s="71">
        <f>IF($N2765&lt;&gt;"OK","",$I2765-$K2765)</f>
        <v/>
      </c>
      <c r="M2765" s="71">
        <f>IF($N2765&lt;&gt;"OK","",$D2765*N(INDEX('Menu Pricing'!$F$7:$F$56,$O2765)))</f>
        <v/>
      </c>
      <c r="N2765" s="80">
        <f>IF(AND($B2765="",$C2765="",$D2765=""),"",IF(NOT(ISNUMBER($B2765)),"Enter a valid date",IF($C2765="","Pick a menu item",IF($O2765="","Item not on Menu Pricing",IF(N($D2765)&lt;=0,"Qty must be above 0",IF($H2765="","No price on menu","OK"))))))</f>
        <v/>
      </c>
      <c r="O2765" s="13">
        <f>IF($C2765="","",IFERROR(MATCH($C2765,'Menu Pricing'!$B$7:$B$56,0),""))</f>
        <v/>
      </c>
    </row>
    <row r="2766" ht="17" customHeight="1">
      <c r="B2766" s="66" t="n"/>
      <c r="C2766" s="60" t="n"/>
      <c r="D2766" s="86" t="n"/>
      <c r="E2766" s="63" t="n"/>
      <c r="F2766" s="60" t="n"/>
      <c r="G2766" s="60" t="n"/>
      <c r="H2766" s="71">
        <f>IF(OR($C2766="",$D2766=""),"",IF(ISNUMBER($E2766),$E2766,IF($O2766="","",IF(N(INDEX('Menu Pricing'!$O$7:$O$56,$O2766))&gt;0,INDEX('Menu Pricing'!$O$7:$O$56,$O2766),""))))</f>
        <v/>
      </c>
      <c r="I2766" s="71">
        <f>IF($N2766&lt;&gt;"OK","",$D2766*$H2766)</f>
        <v/>
      </c>
      <c r="J2766" s="71">
        <f>IF($N2766&lt;&gt;"OK","",N(INDEX('Menu Pricing'!$F$7:$F$56,$O2766))+N(INDEX('Menu Pricing'!$G$7:$G$56,$O2766))+N(INDEX('Menu Pricing'!$J$7:$J$56,$O2766)))</f>
        <v/>
      </c>
      <c r="K2766" s="71">
        <f>IF($N2766&lt;&gt;"OK","",$D2766*$J2766)</f>
        <v/>
      </c>
      <c r="L2766" s="71">
        <f>IF($N2766&lt;&gt;"OK","",$I2766-$K2766)</f>
        <v/>
      </c>
      <c r="M2766" s="71">
        <f>IF($N2766&lt;&gt;"OK","",$D2766*N(INDEX('Menu Pricing'!$F$7:$F$56,$O2766)))</f>
        <v/>
      </c>
      <c r="N2766" s="80">
        <f>IF(AND($B2766="",$C2766="",$D2766=""),"",IF(NOT(ISNUMBER($B2766)),"Enter a valid date",IF($C2766="","Pick a menu item",IF($O2766="","Item not on Menu Pricing",IF(N($D2766)&lt;=0,"Qty must be above 0",IF($H2766="","No price on menu","OK"))))))</f>
        <v/>
      </c>
      <c r="O2766" s="13">
        <f>IF($C2766="","",IFERROR(MATCH($C2766,'Menu Pricing'!$B$7:$B$56,0),""))</f>
        <v/>
      </c>
    </row>
    <row r="2767" ht="17" customHeight="1">
      <c r="B2767" s="66" t="n"/>
      <c r="C2767" s="60" t="n"/>
      <c r="D2767" s="86" t="n"/>
      <c r="E2767" s="63" t="n"/>
      <c r="F2767" s="60" t="n"/>
      <c r="G2767" s="60" t="n"/>
      <c r="H2767" s="71">
        <f>IF(OR($C2767="",$D2767=""),"",IF(ISNUMBER($E2767),$E2767,IF($O2767="","",IF(N(INDEX('Menu Pricing'!$O$7:$O$56,$O2767))&gt;0,INDEX('Menu Pricing'!$O$7:$O$56,$O2767),""))))</f>
        <v/>
      </c>
      <c r="I2767" s="71">
        <f>IF($N2767&lt;&gt;"OK","",$D2767*$H2767)</f>
        <v/>
      </c>
      <c r="J2767" s="71">
        <f>IF($N2767&lt;&gt;"OK","",N(INDEX('Menu Pricing'!$F$7:$F$56,$O2767))+N(INDEX('Menu Pricing'!$G$7:$G$56,$O2767))+N(INDEX('Menu Pricing'!$J$7:$J$56,$O2767)))</f>
        <v/>
      </c>
      <c r="K2767" s="71">
        <f>IF($N2767&lt;&gt;"OK","",$D2767*$J2767)</f>
        <v/>
      </c>
      <c r="L2767" s="71">
        <f>IF($N2767&lt;&gt;"OK","",$I2767-$K2767)</f>
        <v/>
      </c>
      <c r="M2767" s="71">
        <f>IF($N2767&lt;&gt;"OK","",$D2767*N(INDEX('Menu Pricing'!$F$7:$F$56,$O2767)))</f>
        <v/>
      </c>
      <c r="N2767" s="80">
        <f>IF(AND($B2767="",$C2767="",$D2767=""),"",IF(NOT(ISNUMBER($B2767)),"Enter a valid date",IF($C2767="","Pick a menu item",IF($O2767="","Item not on Menu Pricing",IF(N($D2767)&lt;=0,"Qty must be above 0",IF($H2767="","No price on menu","OK"))))))</f>
        <v/>
      </c>
      <c r="O2767" s="13">
        <f>IF($C2767="","",IFERROR(MATCH($C2767,'Menu Pricing'!$B$7:$B$56,0),""))</f>
        <v/>
      </c>
    </row>
    <row r="2768" ht="17" customHeight="1">
      <c r="B2768" s="66" t="n"/>
      <c r="C2768" s="60" t="n"/>
      <c r="D2768" s="86" t="n"/>
      <c r="E2768" s="63" t="n"/>
      <c r="F2768" s="60" t="n"/>
      <c r="G2768" s="60" t="n"/>
      <c r="H2768" s="71">
        <f>IF(OR($C2768="",$D2768=""),"",IF(ISNUMBER($E2768),$E2768,IF($O2768="","",IF(N(INDEX('Menu Pricing'!$O$7:$O$56,$O2768))&gt;0,INDEX('Menu Pricing'!$O$7:$O$56,$O2768),""))))</f>
        <v/>
      </c>
      <c r="I2768" s="71">
        <f>IF($N2768&lt;&gt;"OK","",$D2768*$H2768)</f>
        <v/>
      </c>
      <c r="J2768" s="71">
        <f>IF($N2768&lt;&gt;"OK","",N(INDEX('Menu Pricing'!$F$7:$F$56,$O2768))+N(INDEX('Menu Pricing'!$G$7:$G$56,$O2768))+N(INDEX('Menu Pricing'!$J$7:$J$56,$O2768)))</f>
        <v/>
      </c>
      <c r="K2768" s="71">
        <f>IF($N2768&lt;&gt;"OK","",$D2768*$J2768)</f>
        <v/>
      </c>
      <c r="L2768" s="71">
        <f>IF($N2768&lt;&gt;"OK","",$I2768-$K2768)</f>
        <v/>
      </c>
      <c r="M2768" s="71">
        <f>IF($N2768&lt;&gt;"OK","",$D2768*N(INDEX('Menu Pricing'!$F$7:$F$56,$O2768)))</f>
        <v/>
      </c>
      <c r="N2768" s="80">
        <f>IF(AND($B2768="",$C2768="",$D2768=""),"",IF(NOT(ISNUMBER($B2768)),"Enter a valid date",IF($C2768="","Pick a menu item",IF($O2768="","Item not on Menu Pricing",IF(N($D2768)&lt;=0,"Qty must be above 0",IF($H2768="","No price on menu","OK"))))))</f>
        <v/>
      </c>
      <c r="O2768" s="13">
        <f>IF($C2768="","",IFERROR(MATCH($C2768,'Menu Pricing'!$B$7:$B$56,0),""))</f>
        <v/>
      </c>
    </row>
    <row r="2769" ht="17" customHeight="1">
      <c r="B2769" s="66" t="n"/>
      <c r="C2769" s="60" t="n"/>
      <c r="D2769" s="86" t="n"/>
      <c r="E2769" s="63" t="n"/>
      <c r="F2769" s="60" t="n"/>
      <c r="G2769" s="60" t="n"/>
      <c r="H2769" s="71">
        <f>IF(OR($C2769="",$D2769=""),"",IF(ISNUMBER($E2769),$E2769,IF($O2769="","",IF(N(INDEX('Menu Pricing'!$O$7:$O$56,$O2769))&gt;0,INDEX('Menu Pricing'!$O$7:$O$56,$O2769),""))))</f>
        <v/>
      </c>
      <c r="I2769" s="71">
        <f>IF($N2769&lt;&gt;"OK","",$D2769*$H2769)</f>
        <v/>
      </c>
      <c r="J2769" s="71">
        <f>IF($N2769&lt;&gt;"OK","",N(INDEX('Menu Pricing'!$F$7:$F$56,$O2769))+N(INDEX('Menu Pricing'!$G$7:$G$56,$O2769))+N(INDEX('Menu Pricing'!$J$7:$J$56,$O2769)))</f>
        <v/>
      </c>
      <c r="K2769" s="71">
        <f>IF($N2769&lt;&gt;"OK","",$D2769*$J2769)</f>
        <v/>
      </c>
      <c r="L2769" s="71">
        <f>IF($N2769&lt;&gt;"OK","",$I2769-$K2769)</f>
        <v/>
      </c>
      <c r="M2769" s="71">
        <f>IF($N2769&lt;&gt;"OK","",$D2769*N(INDEX('Menu Pricing'!$F$7:$F$56,$O2769)))</f>
        <v/>
      </c>
      <c r="N2769" s="80">
        <f>IF(AND($B2769="",$C2769="",$D2769=""),"",IF(NOT(ISNUMBER($B2769)),"Enter a valid date",IF($C2769="","Pick a menu item",IF($O2769="","Item not on Menu Pricing",IF(N($D2769)&lt;=0,"Qty must be above 0",IF($H2769="","No price on menu","OK"))))))</f>
        <v/>
      </c>
      <c r="O2769" s="13">
        <f>IF($C2769="","",IFERROR(MATCH($C2769,'Menu Pricing'!$B$7:$B$56,0),""))</f>
        <v/>
      </c>
    </row>
    <row r="2770" ht="17" customHeight="1">
      <c r="B2770" s="66" t="n"/>
      <c r="C2770" s="60" t="n"/>
      <c r="D2770" s="86" t="n"/>
      <c r="E2770" s="63" t="n"/>
      <c r="F2770" s="60" t="n"/>
      <c r="G2770" s="60" t="n"/>
      <c r="H2770" s="71">
        <f>IF(OR($C2770="",$D2770=""),"",IF(ISNUMBER($E2770),$E2770,IF($O2770="","",IF(N(INDEX('Menu Pricing'!$O$7:$O$56,$O2770))&gt;0,INDEX('Menu Pricing'!$O$7:$O$56,$O2770),""))))</f>
        <v/>
      </c>
      <c r="I2770" s="71">
        <f>IF($N2770&lt;&gt;"OK","",$D2770*$H2770)</f>
        <v/>
      </c>
      <c r="J2770" s="71">
        <f>IF($N2770&lt;&gt;"OK","",N(INDEX('Menu Pricing'!$F$7:$F$56,$O2770))+N(INDEX('Menu Pricing'!$G$7:$G$56,$O2770))+N(INDEX('Menu Pricing'!$J$7:$J$56,$O2770)))</f>
        <v/>
      </c>
      <c r="K2770" s="71">
        <f>IF($N2770&lt;&gt;"OK","",$D2770*$J2770)</f>
        <v/>
      </c>
      <c r="L2770" s="71">
        <f>IF($N2770&lt;&gt;"OK","",$I2770-$K2770)</f>
        <v/>
      </c>
      <c r="M2770" s="71">
        <f>IF($N2770&lt;&gt;"OK","",$D2770*N(INDEX('Menu Pricing'!$F$7:$F$56,$O2770)))</f>
        <v/>
      </c>
      <c r="N2770" s="80">
        <f>IF(AND($B2770="",$C2770="",$D2770=""),"",IF(NOT(ISNUMBER($B2770)),"Enter a valid date",IF($C2770="","Pick a menu item",IF($O2770="","Item not on Menu Pricing",IF(N($D2770)&lt;=0,"Qty must be above 0",IF($H2770="","No price on menu","OK"))))))</f>
        <v/>
      </c>
      <c r="O2770" s="13">
        <f>IF($C2770="","",IFERROR(MATCH($C2770,'Menu Pricing'!$B$7:$B$56,0),""))</f>
        <v/>
      </c>
    </row>
    <row r="2771" ht="17" customHeight="1">
      <c r="B2771" s="66" t="n"/>
      <c r="C2771" s="60" t="n"/>
      <c r="D2771" s="86" t="n"/>
      <c r="E2771" s="63" t="n"/>
      <c r="F2771" s="60" t="n"/>
      <c r="G2771" s="60" t="n"/>
      <c r="H2771" s="71">
        <f>IF(OR($C2771="",$D2771=""),"",IF(ISNUMBER($E2771),$E2771,IF($O2771="","",IF(N(INDEX('Menu Pricing'!$O$7:$O$56,$O2771))&gt;0,INDEX('Menu Pricing'!$O$7:$O$56,$O2771),""))))</f>
        <v/>
      </c>
      <c r="I2771" s="71">
        <f>IF($N2771&lt;&gt;"OK","",$D2771*$H2771)</f>
        <v/>
      </c>
      <c r="J2771" s="71">
        <f>IF($N2771&lt;&gt;"OK","",N(INDEX('Menu Pricing'!$F$7:$F$56,$O2771))+N(INDEX('Menu Pricing'!$G$7:$G$56,$O2771))+N(INDEX('Menu Pricing'!$J$7:$J$56,$O2771)))</f>
        <v/>
      </c>
      <c r="K2771" s="71">
        <f>IF($N2771&lt;&gt;"OK","",$D2771*$J2771)</f>
        <v/>
      </c>
      <c r="L2771" s="71">
        <f>IF($N2771&lt;&gt;"OK","",$I2771-$K2771)</f>
        <v/>
      </c>
      <c r="M2771" s="71">
        <f>IF($N2771&lt;&gt;"OK","",$D2771*N(INDEX('Menu Pricing'!$F$7:$F$56,$O2771)))</f>
        <v/>
      </c>
      <c r="N2771" s="80">
        <f>IF(AND($B2771="",$C2771="",$D2771=""),"",IF(NOT(ISNUMBER($B2771)),"Enter a valid date",IF($C2771="","Pick a menu item",IF($O2771="","Item not on Menu Pricing",IF(N($D2771)&lt;=0,"Qty must be above 0",IF($H2771="","No price on menu","OK"))))))</f>
        <v/>
      </c>
      <c r="O2771" s="13">
        <f>IF($C2771="","",IFERROR(MATCH($C2771,'Menu Pricing'!$B$7:$B$56,0),""))</f>
        <v/>
      </c>
    </row>
    <row r="2772" ht="17" customHeight="1">
      <c r="B2772" s="66" t="n"/>
      <c r="C2772" s="60" t="n"/>
      <c r="D2772" s="86" t="n"/>
      <c r="E2772" s="63" t="n"/>
      <c r="F2772" s="60" t="n"/>
      <c r="G2772" s="60" t="n"/>
      <c r="H2772" s="71">
        <f>IF(OR($C2772="",$D2772=""),"",IF(ISNUMBER($E2772),$E2772,IF($O2772="","",IF(N(INDEX('Menu Pricing'!$O$7:$O$56,$O2772))&gt;0,INDEX('Menu Pricing'!$O$7:$O$56,$O2772),""))))</f>
        <v/>
      </c>
      <c r="I2772" s="71">
        <f>IF($N2772&lt;&gt;"OK","",$D2772*$H2772)</f>
        <v/>
      </c>
      <c r="J2772" s="71">
        <f>IF($N2772&lt;&gt;"OK","",N(INDEX('Menu Pricing'!$F$7:$F$56,$O2772))+N(INDEX('Menu Pricing'!$G$7:$G$56,$O2772))+N(INDEX('Menu Pricing'!$J$7:$J$56,$O2772)))</f>
        <v/>
      </c>
      <c r="K2772" s="71">
        <f>IF($N2772&lt;&gt;"OK","",$D2772*$J2772)</f>
        <v/>
      </c>
      <c r="L2772" s="71">
        <f>IF($N2772&lt;&gt;"OK","",$I2772-$K2772)</f>
        <v/>
      </c>
      <c r="M2772" s="71">
        <f>IF($N2772&lt;&gt;"OK","",$D2772*N(INDEX('Menu Pricing'!$F$7:$F$56,$O2772)))</f>
        <v/>
      </c>
      <c r="N2772" s="80">
        <f>IF(AND($B2772="",$C2772="",$D2772=""),"",IF(NOT(ISNUMBER($B2772)),"Enter a valid date",IF($C2772="","Pick a menu item",IF($O2772="","Item not on Menu Pricing",IF(N($D2772)&lt;=0,"Qty must be above 0",IF($H2772="","No price on menu","OK"))))))</f>
        <v/>
      </c>
      <c r="O2772" s="13">
        <f>IF($C2772="","",IFERROR(MATCH($C2772,'Menu Pricing'!$B$7:$B$56,0),""))</f>
        <v/>
      </c>
    </row>
    <row r="2773" ht="17" customHeight="1">
      <c r="B2773" s="66" t="n"/>
      <c r="C2773" s="60" t="n"/>
      <c r="D2773" s="86" t="n"/>
      <c r="E2773" s="63" t="n"/>
      <c r="F2773" s="60" t="n"/>
      <c r="G2773" s="60" t="n"/>
      <c r="H2773" s="71">
        <f>IF(OR($C2773="",$D2773=""),"",IF(ISNUMBER($E2773),$E2773,IF($O2773="","",IF(N(INDEX('Menu Pricing'!$O$7:$O$56,$O2773))&gt;0,INDEX('Menu Pricing'!$O$7:$O$56,$O2773),""))))</f>
        <v/>
      </c>
      <c r="I2773" s="71">
        <f>IF($N2773&lt;&gt;"OK","",$D2773*$H2773)</f>
        <v/>
      </c>
      <c r="J2773" s="71">
        <f>IF($N2773&lt;&gt;"OK","",N(INDEX('Menu Pricing'!$F$7:$F$56,$O2773))+N(INDEX('Menu Pricing'!$G$7:$G$56,$O2773))+N(INDEX('Menu Pricing'!$J$7:$J$56,$O2773)))</f>
        <v/>
      </c>
      <c r="K2773" s="71">
        <f>IF($N2773&lt;&gt;"OK","",$D2773*$J2773)</f>
        <v/>
      </c>
      <c r="L2773" s="71">
        <f>IF($N2773&lt;&gt;"OK","",$I2773-$K2773)</f>
        <v/>
      </c>
      <c r="M2773" s="71">
        <f>IF($N2773&lt;&gt;"OK","",$D2773*N(INDEX('Menu Pricing'!$F$7:$F$56,$O2773)))</f>
        <v/>
      </c>
      <c r="N2773" s="80">
        <f>IF(AND($B2773="",$C2773="",$D2773=""),"",IF(NOT(ISNUMBER($B2773)),"Enter a valid date",IF($C2773="","Pick a menu item",IF($O2773="","Item not on Menu Pricing",IF(N($D2773)&lt;=0,"Qty must be above 0",IF($H2773="","No price on menu","OK"))))))</f>
        <v/>
      </c>
      <c r="O2773" s="13">
        <f>IF($C2773="","",IFERROR(MATCH($C2773,'Menu Pricing'!$B$7:$B$56,0),""))</f>
        <v/>
      </c>
    </row>
    <row r="2774" ht="17" customHeight="1">
      <c r="B2774" s="66" t="n"/>
      <c r="C2774" s="60" t="n"/>
      <c r="D2774" s="86" t="n"/>
      <c r="E2774" s="63" t="n"/>
      <c r="F2774" s="60" t="n"/>
      <c r="G2774" s="60" t="n"/>
      <c r="H2774" s="71">
        <f>IF(OR($C2774="",$D2774=""),"",IF(ISNUMBER($E2774),$E2774,IF($O2774="","",IF(N(INDEX('Menu Pricing'!$O$7:$O$56,$O2774))&gt;0,INDEX('Menu Pricing'!$O$7:$O$56,$O2774),""))))</f>
        <v/>
      </c>
      <c r="I2774" s="71">
        <f>IF($N2774&lt;&gt;"OK","",$D2774*$H2774)</f>
        <v/>
      </c>
      <c r="J2774" s="71">
        <f>IF($N2774&lt;&gt;"OK","",N(INDEX('Menu Pricing'!$F$7:$F$56,$O2774))+N(INDEX('Menu Pricing'!$G$7:$G$56,$O2774))+N(INDEX('Menu Pricing'!$J$7:$J$56,$O2774)))</f>
        <v/>
      </c>
      <c r="K2774" s="71">
        <f>IF($N2774&lt;&gt;"OK","",$D2774*$J2774)</f>
        <v/>
      </c>
      <c r="L2774" s="71">
        <f>IF($N2774&lt;&gt;"OK","",$I2774-$K2774)</f>
        <v/>
      </c>
      <c r="M2774" s="71">
        <f>IF($N2774&lt;&gt;"OK","",$D2774*N(INDEX('Menu Pricing'!$F$7:$F$56,$O2774)))</f>
        <v/>
      </c>
      <c r="N2774" s="80">
        <f>IF(AND($B2774="",$C2774="",$D2774=""),"",IF(NOT(ISNUMBER($B2774)),"Enter a valid date",IF($C2774="","Pick a menu item",IF($O2774="","Item not on Menu Pricing",IF(N($D2774)&lt;=0,"Qty must be above 0",IF($H2774="","No price on menu","OK"))))))</f>
        <v/>
      </c>
      <c r="O2774" s="13">
        <f>IF($C2774="","",IFERROR(MATCH($C2774,'Menu Pricing'!$B$7:$B$56,0),""))</f>
        <v/>
      </c>
    </row>
    <row r="2775" ht="17" customHeight="1">
      <c r="B2775" s="66" t="n"/>
      <c r="C2775" s="60" t="n"/>
      <c r="D2775" s="86" t="n"/>
      <c r="E2775" s="63" t="n"/>
      <c r="F2775" s="60" t="n"/>
      <c r="G2775" s="60" t="n"/>
      <c r="H2775" s="71">
        <f>IF(OR($C2775="",$D2775=""),"",IF(ISNUMBER($E2775),$E2775,IF($O2775="","",IF(N(INDEX('Menu Pricing'!$O$7:$O$56,$O2775))&gt;0,INDEX('Menu Pricing'!$O$7:$O$56,$O2775),""))))</f>
        <v/>
      </c>
      <c r="I2775" s="71">
        <f>IF($N2775&lt;&gt;"OK","",$D2775*$H2775)</f>
        <v/>
      </c>
      <c r="J2775" s="71">
        <f>IF($N2775&lt;&gt;"OK","",N(INDEX('Menu Pricing'!$F$7:$F$56,$O2775))+N(INDEX('Menu Pricing'!$G$7:$G$56,$O2775))+N(INDEX('Menu Pricing'!$J$7:$J$56,$O2775)))</f>
        <v/>
      </c>
      <c r="K2775" s="71">
        <f>IF($N2775&lt;&gt;"OK","",$D2775*$J2775)</f>
        <v/>
      </c>
      <c r="L2775" s="71">
        <f>IF($N2775&lt;&gt;"OK","",$I2775-$K2775)</f>
        <v/>
      </c>
      <c r="M2775" s="71">
        <f>IF($N2775&lt;&gt;"OK","",$D2775*N(INDEX('Menu Pricing'!$F$7:$F$56,$O2775)))</f>
        <v/>
      </c>
      <c r="N2775" s="80">
        <f>IF(AND($B2775="",$C2775="",$D2775=""),"",IF(NOT(ISNUMBER($B2775)),"Enter a valid date",IF($C2775="","Pick a menu item",IF($O2775="","Item not on Menu Pricing",IF(N($D2775)&lt;=0,"Qty must be above 0",IF($H2775="","No price on menu","OK"))))))</f>
        <v/>
      </c>
      <c r="O2775" s="13">
        <f>IF($C2775="","",IFERROR(MATCH($C2775,'Menu Pricing'!$B$7:$B$56,0),""))</f>
        <v/>
      </c>
    </row>
    <row r="2776" ht="17" customHeight="1">
      <c r="B2776" s="66" t="n"/>
      <c r="C2776" s="60" t="n"/>
      <c r="D2776" s="86" t="n"/>
      <c r="E2776" s="63" t="n"/>
      <c r="F2776" s="60" t="n"/>
      <c r="G2776" s="60" t="n"/>
      <c r="H2776" s="71">
        <f>IF(OR($C2776="",$D2776=""),"",IF(ISNUMBER($E2776),$E2776,IF($O2776="","",IF(N(INDEX('Menu Pricing'!$O$7:$O$56,$O2776))&gt;0,INDEX('Menu Pricing'!$O$7:$O$56,$O2776),""))))</f>
        <v/>
      </c>
      <c r="I2776" s="71">
        <f>IF($N2776&lt;&gt;"OK","",$D2776*$H2776)</f>
        <v/>
      </c>
      <c r="J2776" s="71">
        <f>IF($N2776&lt;&gt;"OK","",N(INDEX('Menu Pricing'!$F$7:$F$56,$O2776))+N(INDEX('Menu Pricing'!$G$7:$G$56,$O2776))+N(INDEX('Menu Pricing'!$J$7:$J$56,$O2776)))</f>
        <v/>
      </c>
      <c r="K2776" s="71">
        <f>IF($N2776&lt;&gt;"OK","",$D2776*$J2776)</f>
        <v/>
      </c>
      <c r="L2776" s="71">
        <f>IF($N2776&lt;&gt;"OK","",$I2776-$K2776)</f>
        <v/>
      </c>
      <c r="M2776" s="71">
        <f>IF($N2776&lt;&gt;"OK","",$D2776*N(INDEX('Menu Pricing'!$F$7:$F$56,$O2776)))</f>
        <v/>
      </c>
      <c r="N2776" s="80">
        <f>IF(AND($B2776="",$C2776="",$D2776=""),"",IF(NOT(ISNUMBER($B2776)),"Enter a valid date",IF($C2776="","Pick a menu item",IF($O2776="","Item not on Menu Pricing",IF(N($D2776)&lt;=0,"Qty must be above 0",IF($H2776="","No price on menu","OK"))))))</f>
        <v/>
      </c>
      <c r="O2776" s="13">
        <f>IF($C2776="","",IFERROR(MATCH($C2776,'Menu Pricing'!$B$7:$B$56,0),""))</f>
        <v/>
      </c>
    </row>
    <row r="2777" ht="17" customHeight="1">
      <c r="B2777" s="66" t="n"/>
      <c r="C2777" s="60" t="n"/>
      <c r="D2777" s="86" t="n"/>
      <c r="E2777" s="63" t="n"/>
      <c r="F2777" s="60" t="n"/>
      <c r="G2777" s="60" t="n"/>
      <c r="H2777" s="71">
        <f>IF(OR($C2777="",$D2777=""),"",IF(ISNUMBER($E2777),$E2777,IF($O2777="","",IF(N(INDEX('Menu Pricing'!$O$7:$O$56,$O2777))&gt;0,INDEX('Menu Pricing'!$O$7:$O$56,$O2777),""))))</f>
        <v/>
      </c>
      <c r="I2777" s="71">
        <f>IF($N2777&lt;&gt;"OK","",$D2777*$H2777)</f>
        <v/>
      </c>
      <c r="J2777" s="71">
        <f>IF($N2777&lt;&gt;"OK","",N(INDEX('Menu Pricing'!$F$7:$F$56,$O2777))+N(INDEX('Menu Pricing'!$G$7:$G$56,$O2777))+N(INDEX('Menu Pricing'!$J$7:$J$56,$O2777)))</f>
        <v/>
      </c>
      <c r="K2777" s="71">
        <f>IF($N2777&lt;&gt;"OK","",$D2777*$J2777)</f>
        <v/>
      </c>
      <c r="L2777" s="71">
        <f>IF($N2777&lt;&gt;"OK","",$I2777-$K2777)</f>
        <v/>
      </c>
      <c r="M2777" s="71">
        <f>IF($N2777&lt;&gt;"OK","",$D2777*N(INDEX('Menu Pricing'!$F$7:$F$56,$O2777)))</f>
        <v/>
      </c>
      <c r="N2777" s="80">
        <f>IF(AND($B2777="",$C2777="",$D2777=""),"",IF(NOT(ISNUMBER($B2777)),"Enter a valid date",IF($C2777="","Pick a menu item",IF($O2777="","Item not on Menu Pricing",IF(N($D2777)&lt;=0,"Qty must be above 0",IF($H2777="","No price on menu","OK"))))))</f>
        <v/>
      </c>
      <c r="O2777" s="13">
        <f>IF($C2777="","",IFERROR(MATCH($C2777,'Menu Pricing'!$B$7:$B$56,0),""))</f>
        <v/>
      </c>
    </row>
    <row r="2778" ht="17" customHeight="1">
      <c r="B2778" s="66" t="n"/>
      <c r="C2778" s="60" t="n"/>
      <c r="D2778" s="86" t="n"/>
      <c r="E2778" s="63" t="n"/>
      <c r="F2778" s="60" t="n"/>
      <c r="G2778" s="60" t="n"/>
      <c r="H2778" s="71">
        <f>IF(OR($C2778="",$D2778=""),"",IF(ISNUMBER($E2778),$E2778,IF($O2778="","",IF(N(INDEX('Menu Pricing'!$O$7:$O$56,$O2778))&gt;0,INDEX('Menu Pricing'!$O$7:$O$56,$O2778),""))))</f>
        <v/>
      </c>
      <c r="I2778" s="71">
        <f>IF($N2778&lt;&gt;"OK","",$D2778*$H2778)</f>
        <v/>
      </c>
      <c r="J2778" s="71">
        <f>IF($N2778&lt;&gt;"OK","",N(INDEX('Menu Pricing'!$F$7:$F$56,$O2778))+N(INDEX('Menu Pricing'!$G$7:$G$56,$O2778))+N(INDEX('Menu Pricing'!$J$7:$J$56,$O2778)))</f>
        <v/>
      </c>
      <c r="K2778" s="71">
        <f>IF($N2778&lt;&gt;"OK","",$D2778*$J2778)</f>
        <v/>
      </c>
      <c r="L2778" s="71">
        <f>IF($N2778&lt;&gt;"OK","",$I2778-$K2778)</f>
        <v/>
      </c>
      <c r="M2778" s="71">
        <f>IF($N2778&lt;&gt;"OK","",$D2778*N(INDEX('Menu Pricing'!$F$7:$F$56,$O2778)))</f>
        <v/>
      </c>
      <c r="N2778" s="80">
        <f>IF(AND($B2778="",$C2778="",$D2778=""),"",IF(NOT(ISNUMBER($B2778)),"Enter a valid date",IF($C2778="","Pick a menu item",IF($O2778="","Item not on Menu Pricing",IF(N($D2778)&lt;=0,"Qty must be above 0",IF($H2778="","No price on menu","OK"))))))</f>
        <v/>
      </c>
      <c r="O2778" s="13">
        <f>IF($C2778="","",IFERROR(MATCH($C2778,'Menu Pricing'!$B$7:$B$56,0),""))</f>
        <v/>
      </c>
    </row>
    <row r="2779" ht="17" customHeight="1">
      <c r="B2779" s="66" t="n"/>
      <c r="C2779" s="60" t="n"/>
      <c r="D2779" s="86" t="n"/>
      <c r="E2779" s="63" t="n"/>
      <c r="F2779" s="60" t="n"/>
      <c r="G2779" s="60" t="n"/>
      <c r="H2779" s="71">
        <f>IF(OR($C2779="",$D2779=""),"",IF(ISNUMBER($E2779),$E2779,IF($O2779="","",IF(N(INDEX('Menu Pricing'!$O$7:$O$56,$O2779))&gt;0,INDEX('Menu Pricing'!$O$7:$O$56,$O2779),""))))</f>
        <v/>
      </c>
      <c r="I2779" s="71">
        <f>IF($N2779&lt;&gt;"OK","",$D2779*$H2779)</f>
        <v/>
      </c>
      <c r="J2779" s="71">
        <f>IF($N2779&lt;&gt;"OK","",N(INDEX('Menu Pricing'!$F$7:$F$56,$O2779))+N(INDEX('Menu Pricing'!$G$7:$G$56,$O2779))+N(INDEX('Menu Pricing'!$J$7:$J$56,$O2779)))</f>
        <v/>
      </c>
      <c r="K2779" s="71">
        <f>IF($N2779&lt;&gt;"OK","",$D2779*$J2779)</f>
        <v/>
      </c>
      <c r="L2779" s="71">
        <f>IF($N2779&lt;&gt;"OK","",$I2779-$K2779)</f>
        <v/>
      </c>
      <c r="M2779" s="71">
        <f>IF($N2779&lt;&gt;"OK","",$D2779*N(INDEX('Menu Pricing'!$F$7:$F$56,$O2779)))</f>
        <v/>
      </c>
      <c r="N2779" s="80">
        <f>IF(AND($B2779="",$C2779="",$D2779=""),"",IF(NOT(ISNUMBER($B2779)),"Enter a valid date",IF($C2779="","Pick a menu item",IF($O2779="","Item not on Menu Pricing",IF(N($D2779)&lt;=0,"Qty must be above 0",IF($H2779="","No price on menu","OK"))))))</f>
        <v/>
      </c>
      <c r="O2779" s="13">
        <f>IF($C2779="","",IFERROR(MATCH($C2779,'Menu Pricing'!$B$7:$B$56,0),""))</f>
        <v/>
      </c>
    </row>
    <row r="2780" ht="17" customHeight="1">
      <c r="B2780" s="66" t="n"/>
      <c r="C2780" s="60" t="n"/>
      <c r="D2780" s="86" t="n"/>
      <c r="E2780" s="63" t="n"/>
      <c r="F2780" s="60" t="n"/>
      <c r="G2780" s="60" t="n"/>
      <c r="H2780" s="71">
        <f>IF(OR($C2780="",$D2780=""),"",IF(ISNUMBER($E2780),$E2780,IF($O2780="","",IF(N(INDEX('Menu Pricing'!$O$7:$O$56,$O2780))&gt;0,INDEX('Menu Pricing'!$O$7:$O$56,$O2780),""))))</f>
        <v/>
      </c>
      <c r="I2780" s="71">
        <f>IF($N2780&lt;&gt;"OK","",$D2780*$H2780)</f>
        <v/>
      </c>
      <c r="J2780" s="71">
        <f>IF($N2780&lt;&gt;"OK","",N(INDEX('Menu Pricing'!$F$7:$F$56,$O2780))+N(INDEX('Menu Pricing'!$G$7:$G$56,$O2780))+N(INDEX('Menu Pricing'!$J$7:$J$56,$O2780)))</f>
        <v/>
      </c>
      <c r="K2780" s="71">
        <f>IF($N2780&lt;&gt;"OK","",$D2780*$J2780)</f>
        <v/>
      </c>
      <c r="L2780" s="71">
        <f>IF($N2780&lt;&gt;"OK","",$I2780-$K2780)</f>
        <v/>
      </c>
      <c r="M2780" s="71">
        <f>IF($N2780&lt;&gt;"OK","",$D2780*N(INDEX('Menu Pricing'!$F$7:$F$56,$O2780)))</f>
        <v/>
      </c>
      <c r="N2780" s="80">
        <f>IF(AND($B2780="",$C2780="",$D2780=""),"",IF(NOT(ISNUMBER($B2780)),"Enter a valid date",IF($C2780="","Pick a menu item",IF($O2780="","Item not on Menu Pricing",IF(N($D2780)&lt;=0,"Qty must be above 0",IF($H2780="","No price on menu","OK"))))))</f>
        <v/>
      </c>
      <c r="O2780" s="13">
        <f>IF($C2780="","",IFERROR(MATCH($C2780,'Menu Pricing'!$B$7:$B$56,0),""))</f>
        <v/>
      </c>
    </row>
    <row r="2781" ht="17" customHeight="1">
      <c r="B2781" s="66" t="n"/>
      <c r="C2781" s="60" t="n"/>
      <c r="D2781" s="86" t="n"/>
      <c r="E2781" s="63" t="n"/>
      <c r="F2781" s="60" t="n"/>
      <c r="G2781" s="60" t="n"/>
      <c r="H2781" s="71">
        <f>IF(OR($C2781="",$D2781=""),"",IF(ISNUMBER($E2781),$E2781,IF($O2781="","",IF(N(INDEX('Menu Pricing'!$O$7:$O$56,$O2781))&gt;0,INDEX('Menu Pricing'!$O$7:$O$56,$O2781),""))))</f>
        <v/>
      </c>
      <c r="I2781" s="71">
        <f>IF($N2781&lt;&gt;"OK","",$D2781*$H2781)</f>
        <v/>
      </c>
      <c r="J2781" s="71">
        <f>IF($N2781&lt;&gt;"OK","",N(INDEX('Menu Pricing'!$F$7:$F$56,$O2781))+N(INDEX('Menu Pricing'!$G$7:$G$56,$O2781))+N(INDEX('Menu Pricing'!$J$7:$J$56,$O2781)))</f>
        <v/>
      </c>
      <c r="K2781" s="71">
        <f>IF($N2781&lt;&gt;"OK","",$D2781*$J2781)</f>
        <v/>
      </c>
      <c r="L2781" s="71">
        <f>IF($N2781&lt;&gt;"OK","",$I2781-$K2781)</f>
        <v/>
      </c>
      <c r="M2781" s="71">
        <f>IF($N2781&lt;&gt;"OK","",$D2781*N(INDEX('Menu Pricing'!$F$7:$F$56,$O2781)))</f>
        <v/>
      </c>
      <c r="N2781" s="80">
        <f>IF(AND($B2781="",$C2781="",$D2781=""),"",IF(NOT(ISNUMBER($B2781)),"Enter a valid date",IF($C2781="","Pick a menu item",IF($O2781="","Item not on Menu Pricing",IF(N($D2781)&lt;=0,"Qty must be above 0",IF($H2781="","No price on menu","OK"))))))</f>
        <v/>
      </c>
      <c r="O2781" s="13">
        <f>IF($C2781="","",IFERROR(MATCH($C2781,'Menu Pricing'!$B$7:$B$56,0),""))</f>
        <v/>
      </c>
    </row>
    <row r="2782" ht="17" customHeight="1">
      <c r="B2782" s="66" t="n"/>
      <c r="C2782" s="60" t="n"/>
      <c r="D2782" s="86" t="n"/>
      <c r="E2782" s="63" t="n"/>
      <c r="F2782" s="60" t="n"/>
      <c r="G2782" s="60" t="n"/>
      <c r="H2782" s="71">
        <f>IF(OR($C2782="",$D2782=""),"",IF(ISNUMBER($E2782),$E2782,IF($O2782="","",IF(N(INDEX('Menu Pricing'!$O$7:$O$56,$O2782))&gt;0,INDEX('Menu Pricing'!$O$7:$O$56,$O2782),""))))</f>
        <v/>
      </c>
      <c r="I2782" s="71">
        <f>IF($N2782&lt;&gt;"OK","",$D2782*$H2782)</f>
        <v/>
      </c>
      <c r="J2782" s="71">
        <f>IF($N2782&lt;&gt;"OK","",N(INDEX('Menu Pricing'!$F$7:$F$56,$O2782))+N(INDEX('Menu Pricing'!$G$7:$G$56,$O2782))+N(INDEX('Menu Pricing'!$J$7:$J$56,$O2782)))</f>
        <v/>
      </c>
      <c r="K2782" s="71">
        <f>IF($N2782&lt;&gt;"OK","",$D2782*$J2782)</f>
        <v/>
      </c>
      <c r="L2782" s="71">
        <f>IF($N2782&lt;&gt;"OK","",$I2782-$K2782)</f>
        <v/>
      </c>
      <c r="M2782" s="71">
        <f>IF($N2782&lt;&gt;"OK","",$D2782*N(INDEX('Menu Pricing'!$F$7:$F$56,$O2782)))</f>
        <v/>
      </c>
      <c r="N2782" s="80">
        <f>IF(AND($B2782="",$C2782="",$D2782=""),"",IF(NOT(ISNUMBER($B2782)),"Enter a valid date",IF($C2782="","Pick a menu item",IF($O2782="","Item not on Menu Pricing",IF(N($D2782)&lt;=0,"Qty must be above 0",IF($H2782="","No price on menu","OK"))))))</f>
        <v/>
      </c>
      <c r="O2782" s="13">
        <f>IF($C2782="","",IFERROR(MATCH($C2782,'Menu Pricing'!$B$7:$B$56,0),""))</f>
        <v/>
      </c>
    </row>
    <row r="2783" ht="17" customHeight="1">
      <c r="B2783" s="66" t="n"/>
      <c r="C2783" s="60" t="n"/>
      <c r="D2783" s="86" t="n"/>
      <c r="E2783" s="63" t="n"/>
      <c r="F2783" s="60" t="n"/>
      <c r="G2783" s="60" t="n"/>
      <c r="H2783" s="71">
        <f>IF(OR($C2783="",$D2783=""),"",IF(ISNUMBER($E2783),$E2783,IF($O2783="","",IF(N(INDEX('Menu Pricing'!$O$7:$O$56,$O2783))&gt;0,INDEX('Menu Pricing'!$O$7:$O$56,$O2783),""))))</f>
        <v/>
      </c>
      <c r="I2783" s="71">
        <f>IF($N2783&lt;&gt;"OK","",$D2783*$H2783)</f>
        <v/>
      </c>
      <c r="J2783" s="71">
        <f>IF($N2783&lt;&gt;"OK","",N(INDEX('Menu Pricing'!$F$7:$F$56,$O2783))+N(INDEX('Menu Pricing'!$G$7:$G$56,$O2783))+N(INDEX('Menu Pricing'!$J$7:$J$56,$O2783)))</f>
        <v/>
      </c>
      <c r="K2783" s="71">
        <f>IF($N2783&lt;&gt;"OK","",$D2783*$J2783)</f>
        <v/>
      </c>
      <c r="L2783" s="71">
        <f>IF($N2783&lt;&gt;"OK","",$I2783-$K2783)</f>
        <v/>
      </c>
      <c r="M2783" s="71">
        <f>IF($N2783&lt;&gt;"OK","",$D2783*N(INDEX('Menu Pricing'!$F$7:$F$56,$O2783)))</f>
        <v/>
      </c>
      <c r="N2783" s="80">
        <f>IF(AND($B2783="",$C2783="",$D2783=""),"",IF(NOT(ISNUMBER($B2783)),"Enter a valid date",IF($C2783="","Pick a menu item",IF($O2783="","Item not on Menu Pricing",IF(N($D2783)&lt;=0,"Qty must be above 0",IF($H2783="","No price on menu","OK"))))))</f>
        <v/>
      </c>
      <c r="O2783" s="13">
        <f>IF($C2783="","",IFERROR(MATCH($C2783,'Menu Pricing'!$B$7:$B$56,0),""))</f>
        <v/>
      </c>
    </row>
    <row r="2784" ht="17" customHeight="1">
      <c r="B2784" s="66" t="n"/>
      <c r="C2784" s="60" t="n"/>
      <c r="D2784" s="86" t="n"/>
      <c r="E2784" s="63" t="n"/>
      <c r="F2784" s="60" t="n"/>
      <c r="G2784" s="60" t="n"/>
      <c r="H2784" s="71">
        <f>IF(OR($C2784="",$D2784=""),"",IF(ISNUMBER($E2784),$E2784,IF($O2784="","",IF(N(INDEX('Menu Pricing'!$O$7:$O$56,$O2784))&gt;0,INDEX('Menu Pricing'!$O$7:$O$56,$O2784),""))))</f>
        <v/>
      </c>
      <c r="I2784" s="71">
        <f>IF($N2784&lt;&gt;"OK","",$D2784*$H2784)</f>
        <v/>
      </c>
      <c r="J2784" s="71">
        <f>IF($N2784&lt;&gt;"OK","",N(INDEX('Menu Pricing'!$F$7:$F$56,$O2784))+N(INDEX('Menu Pricing'!$G$7:$G$56,$O2784))+N(INDEX('Menu Pricing'!$J$7:$J$56,$O2784)))</f>
        <v/>
      </c>
      <c r="K2784" s="71">
        <f>IF($N2784&lt;&gt;"OK","",$D2784*$J2784)</f>
        <v/>
      </c>
      <c r="L2784" s="71">
        <f>IF($N2784&lt;&gt;"OK","",$I2784-$K2784)</f>
        <v/>
      </c>
      <c r="M2784" s="71">
        <f>IF($N2784&lt;&gt;"OK","",$D2784*N(INDEX('Menu Pricing'!$F$7:$F$56,$O2784)))</f>
        <v/>
      </c>
      <c r="N2784" s="80">
        <f>IF(AND($B2784="",$C2784="",$D2784=""),"",IF(NOT(ISNUMBER($B2784)),"Enter a valid date",IF($C2784="","Pick a menu item",IF($O2784="","Item not on Menu Pricing",IF(N($D2784)&lt;=0,"Qty must be above 0",IF($H2784="","No price on menu","OK"))))))</f>
        <v/>
      </c>
      <c r="O2784" s="13">
        <f>IF($C2784="","",IFERROR(MATCH($C2784,'Menu Pricing'!$B$7:$B$56,0),""))</f>
        <v/>
      </c>
    </row>
    <row r="2785" ht="17" customHeight="1">
      <c r="B2785" s="66" t="n"/>
      <c r="C2785" s="60" t="n"/>
      <c r="D2785" s="86" t="n"/>
      <c r="E2785" s="63" t="n"/>
      <c r="F2785" s="60" t="n"/>
      <c r="G2785" s="60" t="n"/>
      <c r="H2785" s="71">
        <f>IF(OR($C2785="",$D2785=""),"",IF(ISNUMBER($E2785),$E2785,IF($O2785="","",IF(N(INDEX('Menu Pricing'!$O$7:$O$56,$O2785))&gt;0,INDEX('Menu Pricing'!$O$7:$O$56,$O2785),""))))</f>
        <v/>
      </c>
      <c r="I2785" s="71">
        <f>IF($N2785&lt;&gt;"OK","",$D2785*$H2785)</f>
        <v/>
      </c>
      <c r="J2785" s="71">
        <f>IF($N2785&lt;&gt;"OK","",N(INDEX('Menu Pricing'!$F$7:$F$56,$O2785))+N(INDEX('Menu Pricing'!$G$7:$G$56,$O2785))+N(INDEX('Menu Pricing'!$J$7:$J$56,$O2785)))</f>
        <v/>
      </c>
      <c r="K2785" s="71">
        <f>IF($N2785&lt;&gt;"OK","",$D2785*$J2785)</f>
        <v/>
      </c>
      <c r="L2785" s="71">
        <f>IF($N2785&lt;&gt;"OK","",$I2785-$K2785)</f>
        <v/>
      </c>
      <c r="M2785" s="71">
        <f>IF($N2785&lt;&gt;"OK","",$D2785*N(INDEX('Menu Pricing'!$F$7:$F$56,$O2785)))</f>
        <v/>
      </c>
      <c r="N2785" s="80">
        <f>IF(AND($B2785="",$C2785="",$D2785=""),"",IF(NOT(ISNUMBER($B2785)),"Enter a valid date",IF($C2785="","Pick a menu item",IF($O2785="","Item not on Menu Pricing",IF(N($D2785)&lt;=0,"Qty must be above 0",IF($H2785="","No price on menu","OK"))))))</f>
        <v/>
      </c>
      <c r="O2785" s="13">
        <f>IF($C2785="","",IFERROR(MATCH($C2785,'Menu Pricing'!$B$7:$B$56,0),""))</f>
        <v/>
      </c>
    </row>
    <row r="2786" ht="17" customHeight="1">
      <c r="B2786" s="66" t="n"/>
      <c r="C2786" s="60" t="n"/>
      <c r="D2786" s="86" t="n"/>
      <c r="E2786" s="63" t="n"/>
      <c r="F2786" s="60" t="n"/>
      <c r="G2786" s="60" t="n"/>
      <c r="H2786" s="71">
        <f>IF(OR($C2786="",$D2786=""),"",IF(ISNUMBER($E2786),$E2786,IF($O2786="","",IF(N(INDEX('Menu Pricing'!$O$7:$O$56,$O2786))&gt;0,INDEX('Menu Pricing'!$O$7:$O$56,$O2786),""))))</f>
        <v/>
      </c>
      <c r="I2786" s="71">
        <f>IF($N2786&lt;&gt;"OK","",$D2786*$H2786)</f>
        <v/>
      </c>
      <c r="J2786" s="71">
        <f>IF($N2786&lt;&gt;"OK","",N(INDEX('Menu Pricing'!$F$7:$F$56,$O2786))+N(INDEX('Menu Pricing'!$G$7:$G$56,$O2786))+N(INDEX('Menu Pricing'!$J$7:$J$56,$O2786)))</f>
        <v/>
      </c>
      <c r="K2786" s="71">
        <f>IF($N2786&lt;&gt;"OK","",$D2786*$J2786)</f>
        <v/>
      </c>
      <c r="L2786" s="71">
        <f>IF($N2786&lt;&gt;"OK","",$I2786-$K2786)</f>
        <v/>
      </c>
      <c r="M2786" s="71">
        <f>IF($N2786&lt;&gt;"OK","",$D2786*N(INDEX('Menu Pricing'!$F$7:$F$56,$O2786)))</f>
        <v/>
      </c>
      <c r="N2786" s="80">
        <f>IF(AND($B2786="",$C2786="",$D2786=""),"",IF(NOT(ISNUMBER($B2786)),"Enter a valid date",IF($C2786="","Pick a menu item",IF($O2786="","Item not on Menu Pricing",IF(N($D2786)&lt;=0,"Qty must be above 0",IF($H2786="","No price on menu","OK"))))))</f>
        <v/>
      </c>
      <c r="O2786" s="13">
        <f>IF($C2786="","",IFERROR(MATCH($C2786,'Menu Pricing'!$B$7:$B$56,0),""))</f>
        <v/>
      </c>
    </row>
    <row r="2787" ht="17" customHeight="1">
      <c r="B2787" s="66" t="n"/>
      <c r="C2787" s="60" t="n"/>
      <c r="D2787" s="86" t="n"/>
      <c r="E2787" s="63" t="n"/>
      <c r="F2787" s="60" t="n"/>
      <c r="G2787" s="60" t="n"/>
      <c r="H2787" s="71">
        <f>IF(OR($C2787="",$D2787=""),"",IF(ISNUMBER($E2787),$E2787,IF($O2787="","",IF(N(INDEX('Menu Pricing'!$O$7:$O$56,$O2787))&gt;0,INDEX('Menu Pricing'!$O$7:$O$56,$O2787),""))))</f>
        <v/>
      </c>
      <c r="I2787" s="71">
        <f>IF($N2787&lt;&gt;"OK","",$D2787*$H2787)</f>
        <v/>
      </c>
      <c r="J2787" s="71">
        <f>IF($N2787&lt;&gt;"OK","",N(INDEX('Menu Pricing'!$F$7:$F$56,$O2787))+N(INDEX('Menu Pricing'!$G$7:$G$56,$O2787))+N(INDEX('Menu Pricing'!$J$7:$J$56,$O2787)))</f>
        <v/>
      </c>
      <c r="K2787" s="71">
        <f>IF($N2787&lt;&gt;"OK","",$D2787*$J2787)</f>
        <v/>
      </c>
      <c r="L2787" s="71">
        <f>IF($N2787&lt;&gt;"OK","",$I2787-$K2787)</f>
        <v/>
      </c>
      <c r="M2787" s="71">
        <f>IF($N2787&lt;&gt;"OK","",$D2787*N(INDEX('Menu Pricing'!$F$7:$F$56,$O2787)))</f>
        <v/>
      </c>
      <c r="N2787" s="80">
        <f>IF(AND($B2787="",$C2787="",$D2787=""),"",IF(NOT(ISNUMBER($B2787)),"Enter a valid date",IF($C2787="","Pick a menu item",IF($O2787="","Item not on Menu Pricing",IF(N($D2787)&lt;=0,"Qty must be above 0",IF($H2787="","No price on menu","OK"))))))</f>
        <v/>
      </c>
      <c r="O2787" s="13">
        <f>IF($C2787="","",IFERROR(MATCH($C2787,'Menu Pricing'!$B$7:$B$56,0),""))</f>
        <v/>
      </c>
    </row>
    <row r="2788" ht="17" customHeight="1">
      <c r="B2788" s="66" t="n"/>
      <c r="C2788" s="60" t="n"/>
      <c r="D2788" s="86" t="n"/>
      <c r="E2788" s="63" t="n"/>
      <c r="F2788" s="60" t="n"/>
      <c r="G2788" s="60" t="n"/>
      <c r="H2788" s="71">
        <f>IF(OR($C2788="",$D2788=""),"",IF(ISNUMBER($E2788),$E2788,IF($O2788="","",IF(N(INDEX('Menu Pricing'!$O$7:$O$56,$O2788))&gt;0,INDEX('Menu Pricing'!$O$7:$O$56,$O2788),""))))</f>
        <v/>
      </c>
      <c r="I2788" s="71">
        <f>IF($N2788&lt;&gt;"OK","",$D2788*$H2788)</f>
        <v/>
      </c>
      <c r="J2788" s="71">
        <f>IF($N2788&lt;&gt;"OK","",N(INDEX('Menu Pricing'!$F$7:$F$56,$O2788))+N(INDEX('Menu Pricing'!$G$7:$G$56,$O2788))+N(INDEX('Menu Pricing'!$J$7:$J$56,$O2788)))</f>
        <v/>
      </c>
      <c r="K2788" s="71">
        <f>IF($N2788&lt;&gt;"OK","",$D2788*$J2788)</f>
        <v/>
      </c>
      <c r="L2788" s="71">
        <f>IF($N2788&lt;&gt;"OK","",$I2788-$K2788)</f>
        <v/>
      </c>
      <c r="M2788" s="71">
        <f>IF($N2788&lt;&gt;"OK","",$D2788*N(INDEX('Menu Pricing'!$F$7:$F$56,$O2788)))</f>
        <v/>
      </c>
      <c r="N2788" s="80">
        <f>IF(AND($B2788="",$C2788="",$D2788=""),"",IF(NOT(ISNUMBER($B2788)),"Enter a valid date",IF($C2788="","Pick a menu item",IF($O2788="","Item not on Menu Pricing",IF(N($D2788)&lt;=0,"Qty must be above 0",IF($H2788="","No price on menu","OK"))))))</f>
        <v/>
      </c>
      <c r="O2788" s="13">
        <f>IF($C2788="","",IFERROR(MATCH($C2788,'Menu Pricing'!$B$7:$B$56,0),""))</f>
        <v/>
      </c>
    </row>
    <row r="2789" ht="17" customHeight="1">
      <c r="B2789" s="66" t="n"/>
      <c r="C2789" s="60" t="n"/>
      <c r="D2789" s="86" t="n"/>
      <c r="E2789" s="63" t="n"/>
      <c r="F2789" s="60" t="n"/>
      <c r="G2789" s="60" t="n"/>
      <c r="H2789" s="71">
        <f>IF(OR($C2789="",$D2789=""),"",IF(ISNUMBER($E2789),$E2789,IF($O2789="","",IF(N(INDEX('Menu Pricing'!$O$7:$O$56,$O2789))&gt;0,INDEX('Menu Pricing'!$O$7:$O$56,$O2789),""))))</f>
        <v/>
      </c>
      <c r="I2789" s="71">
        <f>IF($N2789&lt;&gt;"OK","",$D2789*$H2789)</f>
        <v/>
      </c>
      <c r="J2789" s="71">
        <f>IF($N2789&lt;&gt;"OK","",N(INDEX('Menu Pricing'!$F$7:$F$56,$O2789))+N(INDEX('Menu Pricing'!$G$7:$G$56,$O2789))+N(INDEX('Menu Pricing'!$J$7:$J$56,$O2789)))</f>
        <v/>
      </c>
      <c r="K2789" s="71">
        <f>IF($N2789&lt;&gt;"OK","",$D2789*$J2789)</f>
        <v/>
      </c>
      <c r="L2789" s="71">
        <f>IF($N2789&lt;&gt;"OK","",$I2789-$K2789)</f>
        <v/>
      </c>
      <c r="M2789" s="71">
        <f>IF($N2789&lt;&gt;"OK","",$D2789*N(INDEX('Menu Pricing'!$F$7:$F$56,$O2789)))</f>
        <v/>
      </c>
      <c r="N2789" s="80">
        <f>IF(AND($B2789="",$C2789="",$D2789=""),"",IF(NOT(ISNUMBER($B2789)),"Enter a valid date",IF($C2789="","Pick a menu item",IF($O2789="","Item not on Menu Pricing",IF(N($D2789)&lt;=0,"Qty must be above 0",IF($H2789="","No price on menu","OK"))))))</f>
        <v/>
      </c>
      <c r="O2789" s="13">
        <f>IF($C2789="","",IFERROR(MATCH($C2789,'Menu Pricing'!$B$7:$B$56,0),""))</f>
        <v/>
      </c>
    </row>
    <row r="2790" ht="17" customHeight="1">
      <c r="B2790" s="66" t="n"/>
      <c r="C2790" s="60" t="n"/>
      <c r="D2790" s="86" t="n"/>
      <c r="E2790" s="63" t="n"/>
      <c r="F2790" s="60" t="n"/>
      <c r="G2790" s="60" t="n"/>
      <c r="H2790" s="71">
        <f>IF(OR($C2790="",$D2790=""),"",IF(ISNUMBER($E2790),$E2790,IF($O2790="","",IF(N(INDEX('Menu Pricing'!$O$7:$O$56,$O2790))&gt;0,INDEX('Menu Pricing'!$O$7:$O$56,$O2790),""))))</f>
        <v/>
      </c>
      <c r="I2790" s="71">
        <f>IF($N2790&lt;&gt;"OK","",$D2790*$H2790)</f>
        <v/>
      </c>
      <c r="J2790" s="71">
        <f>IF($N2790&lt;&gt;"OK","",N(INDEX('Menu Pricing'!$F$7:$F$56,$O2790))+N(INDEX('Menu Pricing'!$G$7:$G$56,$O2790))+N(INDEX('Menu Pricing'!$J$7:$J$56,$O2790)))</f>
        <v/>
      </c>
      <c r="K2790" s="71">
        <f>IF($N2790&lt;&gt;"OK","",$D2790*$J2790)</f>
        <v/>
      </c>
      <c r="L2790" s="71">
        <f>IF($N2790&lt;&gt;"OK","",$I2790-$K2790)</f>
        <v/>
      </c>
      <c r="M2790" s="71">
        <f>IF($N2790&lt;&gt;"OK","",$D2790*N(INDEX('Menu Pricing'!$F$7:$F$56,$O2790)))</f>
        <v/>
      </c>
      <c r="N2790" s="80">
        <f>IF(AND($B2790="",$C2790="",$D2790=""),"",IF(NOT(ISNUMBER($B2790)),"Enter a valid date",IF($C2790="","Pick a menu item",IF($O2790="","Item not on Menu Pricing",IF(N($D2790)&lt;=0,"Qty must be above 0",IF($H2790="","No price on menu","OK"))))))</f>
        <v/>
      </c>
      <c r="O2790" s="13">
        <f>IF($C2790="","",IFERROR(MATCH($C2790,'Menu Pricing'!$B$7:$B$56,0),""))</f>
        <v/>
      </c>
    </row>
    <row r="2791" ht="17" customHeight="1">
      <c r="B2791" s="66" t="n"/>
      <c r="C2791" s="60" t="n"/>
      <c r="D2791" s="86" t="n"/>
      <c r="E2791" s="63" t="n"/>
      <c r="F2791" s="60" t="n"/>
      <c r="G2791" s="60" t="n"/>
      <c r="H2791" s="71">
        <f>IF(OR($C2791="",$D2791=""),"",IF(ISNUMBER($E2791),$E2791,IF($O2791="","",IF(N(INDEX('Menu Pricing'!$O$7:$O$56,$O2791))&gt;0,INDEX('Menu Pricing'!$O$7:$O$56,$O2791),""))))</f>
        <v/>
      </c>
      <c r="I2791" s="71">
        <f>IF($N2791&lt;&gt;"OK","",$D2791*$H2791)</f>
        <v/>
      </c>
      <c r="J2791" s="71">
        <f>IF($N2791&lt;&gt;"OK","",N(INDEX('Menu Pricing'!$F$7:$F$56,$O2791))+N(INDEX('Menu Pricing'!$G$7:$G$56,$O2791))+N(INDEX('Menu Pricing'!$J$7:$J$56,$O2791)))</f>
        <v/>
      </c>
      <c r="K2791" s="71">
        <f>IF($N2791&lt;&gt;"OK","",$D2791*$J2791)</f>
        <v/>
      </c>
      <c r="L2791" s="71">
        <f>IF($N2791&lt;&gt;"OK","",$I2791-$K2791)</f>
        <v/>
      </c>
      <c r="M2791" s="71">
        <f>IF($N2791&lt;&gt;"OK","",$D2791*N(INDEX('Menu Pricing'!$F$7:$F$56,$O2791)))</f>
        <v/>
      </c>
      <c r="N2791" s="80">
        <f>IF(AND($B2791="",$C2791="",$D2791=""),"",IF(NOT(ISNUMBER($B2791)),"Enter a valid date",IF($C2791="","Pick a menu item",IF($O2791="","Item not on Menu Pricing",IF(N($D2791)&lt;=0,"Qty must be above 0",IF($H2791="","No price on menu","OK"))))))</f>
        <v/>
      </c>
      <c r="O2791" s="13">
        <f>IF($C2791="","",IFERROR(MATCH($C2791,'Menu Pricing'!$B$7:$B$56,0),""))</f>
        <v/>
      </c>
    </row>
    <row r="2792" ht="17" customHeight="1">
      <c r="B2792" s="66" t="n"/>
      <c r="C2792" s="60" t="n"/>
      <c r="D2792" s="86" t="n"/>
      <c r="E2792" s="63" t="n"/>
      <c r="F2792" s="60" t="n"/>
      <c r="G2792" s="60" t="n"/>
      <c r="H2792" s="71">
        <f>IF(OR($C2792="",$D2792=""),"",IF(ISNUMBER($E2792),$E2792,IF($O2792="","",IF(N(INDEX('Menu Pricing'!$O$7:$O$56,$O2792))&gt;0,INDEX('Menu Pricing'!$O$7:$O$56,$O2792),""))))</f>
        <v/>
      </c>
      <c r="I2792" s="71">
        <f>IF($N2792&lt;&gt;"OK","",$D2792*$H2792)</f>
        <v/>
      </c>
      <c r="J2792" s="71">
        <f>IF($N2792&lt;&gt;"OK","",N(INDEX('Menu Pricing'!$F$7:$F$56,$O2792))+N(INDEX('Menu Pricing'!$G$7:$G$56,$O2792))+N(INDEX('Menu Pricing'!$J$7:$J$56,$O2792)))</f>
        <v/>
      </c>
      <c r="K2792" s="71">
        <f>IF($N2792&lt;&gt;"OK","",$D2792*$J2792)</f>
        <v/>
      </c>
      <c r="L2792" s="71">
        <f>IF($N2792&lt;&gt;"OK","",$I2792-$K2792)</f>
        <v/>
      </c>
      <c r="M2792" s="71">
        <f>IF($N2792&lt;&gt;"OK","",$D2792*N(INDEX('Menu Pricing'!$F$7:$F$56,$O2792)))</f>
        <v/>
      </c>
      <c r="N2792" s="80">
        <f>IF(AND($B2792="",$C2792="",$D2792=""),"",IF(NOT(ISNUMBER($B2792)),"Enter a valid date",IF($C2792="","Pick a menu item",IF($O2792="","Item not on Menu Pricing",IF(N($D2792)&lt;=0,"Qty must be above 0",IF($H2792="","No price on menu","OK"))))))</f>
        <v/>
      </c>
      <c r="O2792" s="13">
        <f>IF($C2792="","",IFERROR(MATCH($C2792,'Menu Pricing'!$B$7:$B$56,0),""))</f>
        <v/>
      </c>
    </row>
    <row r="2793" ht="17" customHeight="1">
      <c r="B2793" s="66" t="n"/>
      <c r="C2793" s="60" t="n"/>
      <c r="D2793" s="86" t="n"/>
      <c r="E2793" s="63" t="n"/>
      <c r="F2793" s="60" t="n"/>
      <c r="G2793" s="60" t="n"/>
      <c r="H2793" s="71">
        <f>IF(OR($C2793="",$D2793=""),"",IF(ISNUMBER($E2793),$E2793,IF($O2793="","",IF(N(INDEX('Menu Pricing'!$O$7:$O$56,$O2793))&gt;0,INDEX('Menu Pricing'!$O$7:$O$56,$O2793),""))))</f>
        <v/>
      </c>
      <c r="I2793" s="71">
        <f>IF($N2793&lt;&gt;"OK","",$D2793*$H2793)</f>
        <v/>
      </c>
      <c r="J2793" s="71">
        <f>IF($N2793&lt;&gt;"OK","",N(INDEX('Menu Pricing'!$F$7:$F$56,$O2793))+N(INDEX('Menu Pricing'!$G$7:$G$56,$O2793))+N(INDEX('Menu Pricing'!$J$7:$J$56,$O2793)))</f>
        <v/>
      </c>
      <c r="K2793" s="71">
        <f>IF($N2793&lt;&gt;"OK","",$D2793*$J2793)</f>
        <v/>
      </c>
      <c r="L2793" s="71">
        <f>IF($N2793&lt;&gt;"OK","",$I2793-$K2793)</f>
        <v/>
      </c>
      <c r="M2793" s="71">
        <f>IF($N2793&lt;&gt;"OK","",$D2793*N(INDEX('Menu Pricing'!$F$7:$F$56,$O2793)))</f>
        <v/>
      </c>
      <c r="N2793" s="80">
        <f>IF(AND($B2793="",$C2793="",$D2793=""),"",IF(NOT(ISNUMBER($B2793)),"Enter a valid date",IF($C2793="","Pick a menu item",IF($O2793="","Item not on Menu Pricing",IF(N($D2793)&lt;=0,"Qty must be above 0",IF($H2793="","No price on menu","OK"))))))</f>
        <v/>
      </c>
      <c r="O2793" s="13">
        <f>IF($C2793="","",IFERROR(MATCH($C2793,'Menu Pricing'!$B$7:$B$56,0),""))</f>
        <v/>
      </c>
    </row>
    <row r="2794" ht="17" customHeight="1">
      <c r="B2794" s="66" t="n"/>
      <c r="C2794" s="60" t="n"/>
      <c r="D2794" s="86" t="n"/>
      <c r="E2794" s="63" t="n"/>
      <c r="F2794" s="60" t="n"/>
      <c r="G2794" s="60" t="n"/>
      <c r="H2794" s="71">
        <f>IF(OR($C2794="",$D2794=""),"",IF(ISNUMBER($E2794),$E2794,IF($O2794="","",IF(N(INDEX('Menu Pricing'!$O$7:$O$56,$O2794))&gt;0,INDEX('Menu Pricing'!$O$7:$O$56,$O2794),""))))</f>
        <v/>
      </c>
      <c r="I2794" s="71">
        <f>IF($N2794&lt;&gt;"OK","",$D2794*$H2794)</f>
        <v/>
      </c>
      <c r="J2794" s="71">
        <f>IF($N2794&lt;&gt;"OK","",N(INDEX('Menu Pricing'!$F$7:$F$56,$O2794))+N(INDEX('Menu Pricing'!$G$7:$G$56,$O2794))+N(INDEX('Menu Pricing'!$J$7:$J$56,$O2794)))</f>
        <v/>
      </c>
      <c r="K2794" s="71">
        <f>IF($N2794&lt;&gt;"OK","",$D2794*$J2794)</f>
        <v/>
      </c>
      <c r="L2794" s="71">
        <f>IF($N2794&lt;&gt;"OK","",$I2794-$K2794)</f>
        <v/>
      </c>
      <c r="M2794" s="71">
        <f>IF($N2794&lt;&gt;"OK","",$D2794*N(INDEX('Menu Pricing'!$F$7:$F$56,$O2794)))</f>
        <v/>
      </c>
      <c r="N2794" s="80">
        <f>IF(AND($B2794="",$C2794="",$D2794=""),"",IF(NOT(ISNUMBER($B2794)),"Enter a valid date",IF($C2794="","Pick a menu item",IF($O2794="","Item not on Menu Pricing",IF(N($D2794)&lt;=0,"Qty must be above 0",IF($H2794="","No price on menu","OK"))))))</f>
        <v/>
      </c>
      <c r="O2794" s="13">
        <f>IF($C2794="","",IFERROR(MATCH($C2794,'Menu Pricing'!$B$7:$B$56,0),""))</f>
        <v/>
      </c>
    </row>
    <row r="2795" ht="17" customHeight="1">
      <c r="B2795" s="66" t="n"/>
      <c r="C2795" s="60" t="n"/>
      <c r="D2795" s="86" t="n"/>
      <c r="E2795" s="63" t="n"/>
      <c r="F2795" s="60" t="n"/>
      <c r="G2795" s="60" t="n"/>
      <c r="H2795" s="71">
        <f>IF(OR($C2795="",$D2795=""),"",IF(ISNUMBER($E2795),$E2795,IF($O2795="","",IF(N(INDEX('Menu Pricing'!$O$7:$O$56,$O2795))&gt;0,INDEX('Menu Pricing'!$O$7:$O$56,$O2795),""))))</f>
        <v/>
      </c>
      <c r="I2795" s="71">
        <f>IF($N2795&lt;&gt;"OK","",$D2795*$H2795)</f>
        <v/>
      </c>
      <c r="J2795" s="71">
        <f>IF($N2795&lt;&gt;"OK","",N(INDEX('Menu Pricing'!$F$7:$F$56,$O2795))+N(INDEX('Menu Pricing'!$G$7:$G$56,$O2795))+N(INDEX('Menu Pricing'!$J$7:$J$56,$O2795)))</f>
        <v/>
      </c>
      <c r="K2795" s="71">
        <f>IF($N2795&lt;&gt;"OK","",$D2795*$J2795)</f>
        <v/>
      </c>
      <c r="L2795" s="71">
        <f>IF($N2795&lt;&gt;"OK","",$I2795-$K2795)</f>
        <v/>
      </c>
      <c r="M2795" s="71">
        <f>IF($N2795&lt;&gt;"OK","",$D2795*N(INDEX('Menu Pricing'!$F$7:$F$56,$O2795)))</f>
        <v/>
      </c>
      <c r="N2795" s="80">
        <f>IF(AND($B2795="",$C2795="",$D2795=""),"",IF(NOT(ISNUMBER($B2795)),"Enter a valid date",IF($C2795="","Pick a menu item",IF($O2795="","Item not on Menu Pricing",IF(N($D2795)&lt;=0,"Qty must be above 0",IF($H2795="","No price on menu","OK"))))))</f>
        <v/>
      </c>
      <c r="O2795" s="13">
        <f>IF($C2795="","",IFERROR(MATCH($C2795,'Menu Pricing'!$B$7:$B$56,0),""))</f>
        <v/>
      </c>
    </row>
    <row r="2796" ht="17" customHeight="1">
      <c r="B2796" s="66" t="n"/>
      <c r="C2796" s="60" t="n"/>
      <c r="D2796" s="86" t="n"/>
      <c r="E2796" s="63" t="n"/>
      <c r="F2796" s="60" t="n"/>
      <c r="G2796" s="60" t="n"/>
      <c r="H2796" s="71">
        <f>IF(OR($C2796="",$D2796=""),"",IF(ISNUMBER($E2796),$E2796,IF($O2796="","",IF(N(INDEX('Menu Pricing'!$O$7:$O$56,$O2796))&gt;0,INDEX('Menu Pricing'!$O$7:$O$56,$O2796),""))))</f>
        <v/>
      </c>
      <c r="I2796" s="71">
        <f>IF($N2796&lt;&gt;"OK","",$D2796*$H2796)</f>
        <v/>
      </c>
      <c r="J2796" s="71">
        <f>IF($N2796&lt;&gt;"OK","",N(INDEX('Menu Pricing'!$F$7:$F$56,$O2796))+N(INDEX('Menu Pricing'!$G$7:$G$56,$O2796))+N(INDEX('Menu Pricing'!$J$7:$J$56,$O2796)))</f>
        <v/>
      </c>
      <c r="K2796" s="71">
        <f>IF($N2796&lt;&gt;"OK","",$D2796*$J2796)</f>
        <v/>
      </c>
      <c r="L2796" s="71">
        <f>IF($N2796&lt;&gt;"OK","",$I2796-$K2796)</f>
        <v/>
      </c>
      <c r="M2796" s="71">
        <f>IF($N2796&lt;&gt;"OK","",$D2796*N(INDEX('Menu Pricing'!$F$7:$F$56,$O2796)))</f>
        <v/>
      </c>
      <c r="N2796" s="80">
        <f>IF(AND($B2796="",$C2796="",$D2796=""),"",IF(NOT(ISNUMBER($B2796)),"Enter a valid date",IF($C2796="","Pick a menu item",IF($O2796="","Item not on Menu Pricing",IF(N($D2796)&lt;=0,"Qty must be above 0",IF($H2796="","No price on menu","OK"))))))</f>
        <v/>
      </c>
      <c r="O2796" s="13">
        <f>IF($C2796="","",IFERROR(MATCH($C2796,'Menu Pricing'!$B$7:$B$56,0),""))</f>
        <v/>
      </c>
    </row>
    <row r="2797" ht="17" customHeight="1">
      <c r="B2797" s="66" t="n"/>
      <c r="C2797" s="60" t="n"/>
      <c r="D2797" s="86" t="n"/>
      <c r="E2797" s="63" t="n"/>
      <c r="F2797" s="60" t="n"/>
      <c r="G2797" s="60" t="n"/>
      <c r="H2797" s="71">
        <f>IF(OR($C2797="",$D2797=""),"",IF(ISNUMBER($E2797),$E2797,IF($O2797="","",IF(N(INDEX('Menu Pricing'!$O$7:$O$56,$O2797))&gt;0,INDEX('Menu Pricing'!$O$7:$O$56,$O2797),""))))</f>
        <v/>
      </c>
      <c r="I2797" s="71">
        <f>IF($N2797&lt;&gt;"OK","",$D2797*$H2797)</f>
        <v/>
      </c>
      <c r="J2797" s="71">
        <f>IF($N2797&lt;&gt;"OK","",N(INDEX('Menu Pricing'!$F$7:$F$56,$O2797))+N(INDEX('Menu Pricing'!$G$7:$G$56,$O2797))+N(INDEX('Menu Pricing'!$J$7:$J$56,$O2797)))</f>
        <v/>
      </c>
      <c r="K2797" s="71">
        <f>IF($N2797&lt;&gt;"OK","",$D2797*$J2797)</f>
        <v/>
      </c>
      <c r="L2797" s="71">
        <f>IF($N2797&lt;&gt;"OK","",$I2797-$K2797)</f>
        <v/>
      </c>
      <c r="M2797" s="71">
        <f>IF($N2797&lt;&gt;"OK","",$D2797*N(INDEX('Menu Pricing'!$F$7:$F$56,$O2797)))</f>
        <v/>
      </c>
      <c r="N2797" s="80">
        <f>IF(AND($B2797="",$C2797="",$D2797=""),"",IF(NOT(ISNUMBER($B2797)),"Enter a valid date",IF($C2797="","Pick a menu item",IF($O2797="","Item not on Menu Pricing",IF(N($D2797)&lt;=0,"Qty must be above 0",IF($H2797="","No price on menu","OK"))))))</f>
        <v/>
      </c>
      <c r="O2797" s="13">
        <f>IF($C2797="","",IFERROR(MATCH($C2797,'Menu Pricing'!$B$7:$B$56,0),""))</f>
        <v/>
      </c>
    </row>
    <row r="2798" ht="17" customHeight="1">
      <c r="B2798" s="66" t="n"/>
      <c r="C2798" s="60" t="n"/>
      <c r="D2798" s="86" t="n"/>
      <c r="E2798" s="63" t="n"/>
      <c r="F2798" s="60" t="n"/>
      <c r="G2798" s="60" t="n"/>
      <c r="H2798" s="71">
        <f>IF(OR($C2798="",$D2798=""),"",IF(ISNUMBER($E2798),$E2798,IF($O2798="","",IF(N(INDEX('Menu Pricing'!$O$7:$O$56,$O2798))&gt;0,INDEX('Menu Pricing'!$O$7:$O$56,$O2798),""))))</f>
        <v/>
      </c>
      <c r="I2798" s="71">
        <f>IF($N2798&lt;&gt;"OK","",$D2798*$H2798)</f>
        <v/>
      </c>
      <c r="J2798" s="71">
        <f>IF($N2798&lt;&gt;"OK","",N(INDEX('Menu Pricing'!$F$7:$F$56,$O2798))+N(INDEX('Menu Pricing'!$G$7:$G$56,$O2798))+N(INDEX('Menu Pricing'!$J$7:$J$56,$O2798)))</f>
        <v/>
      </c>
      <c r="K2798" s="71">
        <f>IF($N2798&lt;&gt;"OK","",$D2798*$J2798)</f>
        <v/>
      </c>
      <c r="L2798" s="71">
        <f>IF($N2798&lt;&gt;"OK","",$I2798-$K2798)</f>
        <v/>
      </c>
      <c r="M2798" s="71">
        <f>IF($N2798&lt;&gt;"OK","",$D2798*N(INDEX('Menu Pricing'!$F$7:$F$56,$O2798)))</f>
        <v/>
      </c>
      <c r="N2798" s="80">
        <f>IF(AND($B2798="",$C2798="",$D2798=""),"",IF(NOT(ISNUMBER($B2798)),"Enter a valid date",IF($C2798="","Pick a menu item",IF($O2798="","Item not on Menu Pricing",IF(N($D2798)&lt;=0,"Qty must be above 0",IF($H2798="","No price on menu","OK"))))))</f>
        <v/>
      </c>
      <c r="O2798" s="13">
        <f>IF($C2798="","",IFERROR(MATCH($C2798,'Menu Pricing'!$B$7:$B$56,0),""))</f>
        <v/>
      </c>
    </row>
    <row r="2799" ht="17" customHeight="1">
      <c r="B2799" s="66" t="n"/>
      <c r="C2799" s="60" t="n"/>
      <c r="D2799" s="86" t="n"/>
      <c r="E2799" s="63" t="n"/>
      <c r="F2799" s="60" t="n"/>
      <c r="G2799" s="60" t="n"/>
      <c r="H2799" s="71">
        <f>IF(OR($C2799="",$D2799=""),"",IF(ISNUMBER($E2799),$E2799,IF($O2799="","",IF(N(INDEX('Menu Pricing'!$O$7:$O$56,$O2799))&gt;0,INDEX('Menu Pricing'!$O$7:$O$56,$O2799),""))))</f>
        <v/>
      </c>
      <c r="I2799" s="71">
        <f>IF($N2799&lt;&gt;"OK","",$D2799*$H2799)</f>
        <v/>
      </c>
      <c r="J2799" s="71">
        <f>IF($N2799&lt;&gt;"OK","",N(INDEX('Menu Pricing'!$F$7:$F$56,$O2799))+N(INDEX('Menu Pricing'!$G$7:$G$56,$O2799))+N(INDEX('Menu Pricing'!$J$7:$J$56,$O2799)))</f>
        <v/>
      </c>
      <c r="K2799" s="71">
        <f>IF($N2799&lt;&gt;"OK","",$D2799*$J2799)</f>
        <v/>
      </c>
      <c r="L2799" s="71">
        <f>IF($N2799&lt;&gt;"OK","",$I2799-$K2799)</f>
        <v/>
      </c>
      <c r="M2799" s="71">
        <f>IF($N2799&lt;&gt;"OK","",$D2799*N(INDEX('Menu Pricing'!$F$7:$F$56,$O2799)))</f>
        <v/>
      </c>
      <c r="N2799" s="80">
        <f>IF(AND($B2799="",$C2799="",$D2799=""),"",IF(NOT(ISNUMBER($B2799)),"Enter a valid date",IF($C2799="","Pick a menu item",IF($O2799="","Item not on Menu Pricing",IF(N($D2799)&lt;=0,"Qty must be above 0",IF($H2799="","No price on menu","OK"))))))</f>
        <v/>
      </c>
      <c r="O2799" s="13">
        <f>IF($C2799="","",IFERROR(MATCH($C2799,'Menu Pricing'!$B$7:$B$56,0),""))</f>
        <v/>
      </c>
    </row>
    <row r="2800" ht="17" customHeight="1">
      <c r="B2800" s="66" t="n"/>
      <c r="C2800" s="60" t="n"/>
      <c r="D2800" s="86" t="n"/>
      <c r="E2800" s="63" t="n"/>
      <c r="F2800" s="60" t="n"/>
      <c r="G2800" s="60" t="n"/>
      <c r="H2800" s="71">
        <f>IF(OR($C2800="",$D2800=""),"",IF(ISNUMBER($E2800),$E2800,IF($O2800="","",IF(N(INDEX('Menu Pricing'!$O$7:$O$56,$O2800))&gt;0,INDEX('Menu Pricing'!$O$7:$O$56,$O2800),""))))</f>
        <v/>
      </c>
      <c r="I2800" s="71">
        <f>IF($N2800&lt;&gt;"OK","",$D2800*$H2800)</f>
        <v/>
      </c>
      <c r="J2800" s="71">
        <f>IF($N2800&lt;&gt;"OK","",N(INDEX('Menu Pricing'!$F$7:$F$56,$O2800))+N(INDEX('Menu Pricing'!$G$7:$G$56,$O2800))+N(INDEX('Menu Pricing'!$J$7:$J$56,$O2800)))</f>
        <v/>
      </c>
      <c r="K2800" s="71">
        <f>IF($N2800&lt;&gt;"OK","",$D2800*$J2800)</f>
        <v/>
      </c>
      <c r="L2800" s="71">
        <f>IF($N2800&lt;&gt;"OK","",$I2800-$K2800)</f>
        <v/>
      </c>
      <c r="M2800" s="71">
        <f>IF($N2800&lt;&gt;"OK","",$D2800*N(INDEX('Menu Pricing'!$F$7:$F$56,$O2800)))</f>
        <v/>
      </c>
      <c r="N2800" s="80">
        <f>IF(AND($B2800="",$C2800="",$D2800=""),"",IF(NOT(ISNUMBER($B2800)),"Enter a valid date",IF($C2800="","Pick a menu item",IF($O2800="","Item not on Menu Pricing",IF(N($D2800)&lt;=0,"Qty must be above 0",IF($H2800="","No price on menu","OK"))))))</f>
        <v/>
      </c>
      <c r="O2800" s="13">
        <f>IF($C2800="","",IFERROR(MATCH($C2800,'Menu Pricing'!$B$7:$B$56,0),""))</f>
        <v/>
      </c>
    </row>
    <row r="2801" ht="17" customHeight="1">
      <c r="B2801" s="66" t="n"/>
      <c r="C2801" s="60" t="n"/>
      <c r="D2801" s="86" t="n"/>
      <c r="E2801" s="63" t="n"/>
      <c r="F2801" s="60" t="n"/>
      <c r="G2801" s="60" t="n"/>
      <c r="H2801" s="71">
        <f>IF(OR($C2801="",$D2801=""),"",IF(ISNUMBER($E2801),$E2801,IF($O2801="","",IF(N(INDEX('Menu Pricing'!$O$7:$O$56,$O2801))&gt;0,INDEX('Menu Pricing'!$O$7:$O$56,$O2801),""))))</f>
        <v/>
      </c>
      <c r="I2801" s="71">
        <f>IF($N2801&lt;&gt;"OK","",$D2801*$H2801)</f>
        <v/>
      </c>
      <c r="J2801" s="71">
        <f>IF($N2801&lt;&gt;"OK","",N(INDEX('Menu Pricing'!$F$7:$F$56,$O2801))+N(INDEX('Menu Pricing'!$G$7:$G$56,$O2801))+N(INDEX('Menu Pricing'!$J$7:$J$56,$O2801)))</f>
        <v/>
      </c>
      <c r="K2801" s="71">
        <f>IF($N2801&lt;&gt;"OK","",$D2801*$J2801)</f>
        <v/>
      </c>
      <c r="L2801" s="71">
        <f>IF($N2801&lt;&gt;"OK","",$I2801-$K2801)</f>
        <v/>
      </c>
      <c r="M2801" s="71">
        <f>IF($N2801&lt;&gt;"OK","",$D2801*N(INDEX('Menu Pricing'!$F$7:$F$56,$O2801)))</f>
        <v/>
      </c>
      <c r="N2801" s="80">
        <f>IF(AND($B2801="",$C2801="",$D2801=""),"",IF(NOT(ISNUMBER($B2801)),"Enter a valid date",IF($C2801="","Pick a menu item",IF($O2801="","Item not on Menu Pricing",IF(N($D2801)&lt;=0,"Qty must be above 0",IF($H2801="","No price on menu","OK"))))))</f>
        <v/>
      </c>
      <c r="O2801" s="13">
        <f>IF($C2801="","",IFERROR(MATCH($C2801,'Menu Pricing'!$B$7:$B$56,0),""))</f>
        <v/>
      </c>
    </row>
    <row r="2802" ht="17" customHeight="1">
      <c r="B2802" s="66" t="n"/>
      <c r="C2802" s="60" t="n"/>
      <c r="D2802" s="86" t="n"/>
      <c r="E2802" s="63" t="n"/>
      <c r="F2802" s="60" t="n"/>
      <c r="G2802" s="60" t="n"/>
      <c r="H2802" s="71">
        <f>IF(OR($C2802="",$D2802=""),"",IF(ISNUMBER($E2802),$E2802,IF($O2802="","",IF(N(INDEX('Menu Pricing'!$O$7:$O$56,$O2802))&gt;0,INDEX('Menu Pricing'!$O$7:$O$56,$O2802),""))))</f>
        <v/>
      </c>
      <c r="I2802" s="71">
        <f>IF($N2802&lt;&gt;"OK","",$D2802*$H2802)</f>
        <v/>
      </c>
      <c r="J2802" s="71">
        <f>IF($N2802&lt;&gt;"OK","",N(INDEX('Menu Pricing'!$F$7:$F$56,$O2802))+N(INDEX('Menu Pricing'!$G$7:$G$56,$O2802))+N(INDEX('Menu Pricing'!$J$7:$J$56,$O2802)))</f>
        <v/>
      </c>
      <c r="K2802" s="71">
        <f>IF($N2802&lt;&gt;"OK","",$D2802*$J2802)</f>
        <v/>
      </c>
      <c r="L2802" s="71">
        <f>IF($N2802&lt;&gt;"OK","",$I2802-$K2802)</f>
        <v/>
      </c>
      <c r="M2802" s="71">
        <f>IF($N2802&lt;&gt;"OK","",$D2802*N(INDEX('Menu Pricing'!$F$7:$F$56,$O2802)))</f>
        <v/>
      </c>
      <c r="N2802" s="80">
        <f>IF(AND($B2802="",$C2802="",$D2802=""),"",IF(NOT(ISNUMBER($B2802)),"Enter a valid date",IF($C2802="","Pick a menu item",IF($O2802="","Item not on Menu Pricing",IF(N($D2802)&lt;=0,"Qty must be above 0",IF($H2802="","No price on menu","OK"))))))</f>
        <v/>
      </c>
      <c r="O2802" s="13">
        <f>IF($C2802="","",IFERROR(MATCH($C2802,'Menu Pricing'!$B$7:$B$56,0),""))</f>
        <v/>
      </c>
    </row>
    <row r="2803" ht="17" customHeight="1">
      <c r="B2803" s="66" t="n"/>
      <c r="C2803" s="60" t="n"/>
      <c r="D2803" s="86" t="n"/>
      <c r="E2803" s="63" t="n"/>
      <c r="F2803" s="60" t="n"/>
      <c r="G2803" s="60" t="n"/>
      <c r="H2803" s="71">
        <f>IF(OR($C2803="",$D2803=""),"",IF(ISNUMBER($E2803),$E2803,IF($O2803="","",IF(N(INDEX('Menu Pricing'!$O$7:$O$56,$O2803))&gt;0,INDEX('Menu Pricing'!$O$7:$O$56,$O2803),""))))</f>
        <v/>
      </c>
      <c r="I2803" s="71">
        <f>IF($N2803&lt;&gt;"OK","",$D2803*$H2803)</f>
        <v/>
      </c>
      <c r="J2803" s="71">
        <f>IF($N2803&lt;&gt;"OK","",N(INDEX('Menu Pricing'!$F$7:$F$56,$O2803))+N(INDEX('Menu Pricing'!$G$7:$G$56,$O2803))+N(INDEX('Menu Pricing'!$J$7:$J$56,$O2803)))</f>
        <v/>
      </c>
      <c r="K2803" s="71">
        <f>IF($N2803&lt;&gt;"OK","",$D2803*$J2803)</f>
        <v/>
      </c>
      <c r="L2803" s="71">
        <f>IF($N2803&lt;&gt;"OK","",$I2803-$K2803)</f>
        <v/>
      </c>
      <c r="M2803" s="71">
        <f>IF($N2803&lt;&gt;"OK","",$D2803*N(INDEX('Menu Pricing'!$F$7:$F$56,$O2803)))</f>
        <v/>
      </c>
      <c r="N2803" s="80">
        <f>IF(AND($B2803="",$C2803="",$D2803=""),"",IF(NOT(ISNUMBER($B2803)),"Enter a valid date",IF($C2803="","Pick a menu item",IF($O2803="","Item not on Menu Pricing",IF(N($D2803)&lt;=0,"Qty must be above 0",IF($H2803="","No price on menu","OK"))))))</f>
        <v/>
      </c>
      <c r="O2803" s="13">
        <f>IF($C2803="","",IFERROR(MATCH($C2803,'Menu Pricing'!$B$7:$B$56,0),""))</f>
        <v/>
      </c>
    </row>
    <row r="2804" ht="17" customHeight="1">
      <c r="B2804" s="66" t="n"/>
      <c r="C2804" s="60" t="n"/>
      <c r="D2804" s="86" t="n"/>
      <c r="E2804" s="63" t="n"/>
      <c r="F2804" s="60" t="n"/>
      <c r="G2804" s="60" t="n"/>
      <c r="H2804" s="71">
        <f>IF(OR($C2804="",$D2804=""),"",IF(ISNUMBER($E2804),$E2804,IF($O2804="","",IF(N(INDEX('Menu Pricing'!$O$7:$O$56,$O2804))&gt;0,INDEX('Menu Pricing'!$O$7:$O$56,$O2804),""))))</f>
        <v/>
      </c>
      <c r="I2804" s="71">
        <f>IF($N2804&lt;&gt;"OK","",$D2804*$H2804)</f>
        <v/>
      </c>
      <c r="J2804" s="71">
        <f>IF($N2804&lt;&gt;"OK","",N(INDEX('Menu Pricing'!$F$7:$F$56,$O2804))+N(INDEX('Menu Pricing'!$G$7:$G$56,$O2804))+N(INDEX('Menu Pricing'!$J$7:$J$56,$O2804)))</f>
        <v/>
      </c>
      <c r="K2804" s="71">
        <f>IF($N2804&lt;&gt;"OK","",$D2804*$J2804)</f>
        <v/>
      </c>
      <c r="L2804" s="71">
        <f>IF($N2804&lt;&gt;"OK","",$I2804-$K2804)</f>
        <v/>
      </c>
      <c r="M2804" s="71">
        <f>IF($N2804&lt;&gt;"OK","",$D2804*N(INDEX('Menu Pricing'!$F$7:$F$56,$O2804)))</f>
        <v/>
      </c>
      <c r="N2804" s="80">
        <f>IF(AND($B2804="",$C2804="",$D2804=""),"",IF(NOT(ISNUMBER($B2804)),"Enter a valid date",IF($C2804="","Pick a menu item",IF($O2804="","Item not on Menu Pricing",IF(N($D2804)&lt;=0,"Qty must be above 0",IF($H2804="","No price on menu","OK"))))))</f>
        <v/>
      </c>
      <c r="O2804" s="13">
        <f>IF($C2804="","",IFERROR(MATCH($C2804,'Menu Pricing'!$B$7:$B$56,0),""))</f>
        <v/>
      </c>
    </row>
    <row r="2805" ht="17" customHeight="1">
      <c r="B2805" s="66" t="n"/>
      <c r="C2805" s="60" t="n"/>
      <c r="D2805" s="86" t="n"/>
      <c r="E2805" s="63" t="n"/>
      <c r="F2805" s="60" t="n"/>
      <c r="G2805" s="60" t="n"/>
      <c r="H2805" s="71">
        <f>IF(OR($C2805="",$D2805=""),"",IF(ISNUMBER($E2805),$E2805,IF($O2805="","",IF(N(INDEX('Menu Pricing'!$O$7:$O$56,$O2805))&gt;0,INDEX('Menu Pricing'!$O$7:$O$56,$O2805),""))))</f>
        <v/>
      </c>
      <c r="I2805" s="71">
        <f>IF($N2805&lt;&gt;"OK","",$D2805*$H2805)</f>
        <v/>
      </c>
      <c r="J2805" s="71">
        <f>IF($N2805&lt;&gt;"OK","",N(INDEX('Menu Pricing'!$F$7:$F$56,$O2805))+N(INDEX('Menu Pricing'!$G$7:$G$56,$O2805))+N(INDEX('Menu Pricing'!$J$7:$J$56,$O2805)))</f>
        <v/>
      </c>
      <c r="K2805" s="71">
        <f>IF($N2805&lt;&gt;"OK","",$D2805*$J2805)</f>
        <v/>
      </c>
      <c r="L2805" s="71">
        <f>IF($N2805&lt;&gt;"OK","",$I2805-$K2805)</f>
        <v/>
      </c>
      <c r="M2805" s="71">
        <f>IF($N2805&lt;&gt;"OK","",$D2805*N(INDEX('Menu Pricing'!$F$7:$F$56,$O2805)))</f>
        <v/>
      </c>
      <c r="N2805" s="80">
        <f>IF(AND($B2805="",$C2805="",$D2805=""),"",IF(NOT(ISNUMBER($B2805)),"Enter a valid date",IF($C2805="","Pick a menu item",IF($O2805="","Item not on Menu Pricing",IF(N($D2805)&lt;=0,"Qty must be above 0",IF($H2805="","No price on menu","OK"))))))</f>
        <v/>
      </c>
      <c r="O2805" s="13">
        <f>IF($C2805="","",IFERROR(MATCH($C2805,'Menu Pricing'!$B$7:$B$56,0),""))</f>
        <v/>
      </c>
    </row>
    <row r="2806" ht="17" customHeight="1">
      <c r="B2806" s="66" t="n"/>
      <c r="C2806" s="60" t="n"/>
      <c r="D2806" s="86" t="n"/>
      <c r="E2806" s="63" t="n"/>
      <c r="F2806" s="60" t="n"/>
      <c r="G2806" s="60" t="n"/>
      <c r="H2806" s="71">
        <f>IF(OR($C2806="",$D2806=""),"",IF(ISNUMBER($E2806),$E2806,IF($O2806="","",IF(N(INDEX('Menu Pricing'!$O$7:$O$56,$O2806))&gt;0,INDEX('Menu Pricing'!$O$7:$O$56,$O2806),""))))</f>
        <v/>
      </c>
      <c r="I2806" s="71">
        <f>IF($N2806&lt;&gt;"OK","",$D2806*$H2806)</f>
        <v/>
      </c>
      <c r="J2806" s="71">
        <f>IF($N2806&lt;&gt;"OK","",N(INDEX('Menu Pricing'!$F$7:$F$56,$O2806))+N(INDEX('Menu Pricing'!$G$7:$G$56,$O2806))+N(INDEX('Menu Pricing'!$J$7:$J$56,$O2806)))</f>
        <v/>
      </c>
      <c r="K2806" s="71">
        <f>IF($N2806&lt;&gt;"OK","",$D2806*$J2806)</f>
        <v/>
      </c>
      <c r="L2806" s="71">
        <f>IF($N2806&lt;&gt;"OK","",$I2806-$K2806)</f>
        <v/>
      </c>
      <c r="M2806" s="71">
        <f>IF($N2806&lt;&gt;"OK","",$D2806*N(INDEX('Menu Pricing'!$F$7:$F$56,$O2806)))</f>
        <v/>
      </c>
      <c r="N2806" s="80">
        <f>IF(AND($B2806="",$C2806="",$D2806=""),"",IF(NOT(ISNUMBER($B2806)),"Enter a valid date",IF($C2806="","Pick a menu item",IF($O2806="","Item not on Menu Pricing",IF(N($D2806)&lt;=0,"Qty must be above 0",IF($H2806="","No price on menu","OK"))))))</f>
        <v/>
      </c>
      <c r="O2806" s="13">
        <f>IF($C2806="","",IFERROR(MATCH($C2806,'Menu Pricing'!$B$7:$B$56,0),""))</f>
        <v/>
      </c>
    </row>
    <row r="2807" ht="17" customHeight="1">
      <c r="B2807" s="66" t="n"/>
      <c r="C2807" s="60" t="n"/>
      <c r="D2807" s="86" t="n"/>
      <c r="E2807" s="63" t="n"/>
      <c r="F2807" s="60" t="n"/>
      <c r="G2807" s="60" t="n"/>
      <c r="H2807" s="71">
        <f>IF(OR($C2807="",$D2807=""),"",IF(ISNUMBER($E2807),$E2807,IF($O2807="","",IF(N(INDEX('Menu Pricing'!$O$7:$O$56,$O2807))&gt;0,INDEX('Menu Pricing'!$O$7:$O$56,$O2807),""))))</f>
        <v/>
      </c>
      <c r="I2807" s="71">
        <f>IF($N2807&lt;&gt;"OK","",$D2807*$H2807)</f>
        <v/>
      </c>
      <c r="J2807" s="71">
        <f>IF($N2807&lt;&gt;"OK","",N(INDEX('Menu Pricing'!$F$7:$F$56,$O2807))+N(INDEX('Menu Pricing'!$G$7:$G$56,$O2807))+N(INDEX('Menu Pricing'!$J$7:$J$56,$O2807)))</f>
        <v/>
      </c>
      <c r="K2807" s="71">
        <f>IF($N2807&lt;&gt;"OK","",$D2807*$J2807)</f>
        <v/>
      </c>
      <c r="L2807" s="71">
        <f>IF($N2807&lt;&gt;"OK","",$I2807-$K2807)</f>
        <v/>
      </c>
      <c r="M2807" s="71">
        <f>IF($N2807&lt;&gt;"OK","",$D2807*N(INDEX('Menu Pricing'!$F$7:$F$56,$O2807)))</f>
        <v/>
      </c>
      <c r="N2807" s="80">
        <f>IF(AND($B2807="",$C2807="",$D2807=""),"",IF(NOT(ISNUMBER($B2807)),"Enter a valid date",IF($C2807="","Pick a menu item",IF($O2807="","Item not on Menu Pricing",IF(N($D2807)&lt;=0,"Qty must be above 0",IF($H2807="","No price on menu","OK"))))))</f>
        <v/>
      </c>
      <c r="O2807" s="13">
        <f>IF($C2807="","",IFERROR(MATCH($C2807,'Menu Pricing'!$B$7:$B$56,0),""))</f>
        <v/>
      </c>
    </row>
    <row r="2808" ht="17" customHeight="1">
      <c r="B2808" s="66" t="n"/>
      <c r="C2808" s="60" t="n"/>
      <c r="D2808" s="86" t="n"/>
      <c r="E2808" s="63" t="n"/>
      <c r="F2808" s="60" t="n"/>
      <c r="G2808" s="60" t="n"/>
      <c r="H2808" s="71">
        <f>IF(OR($C2808="",$D2808=""),"",IF(ISNUMBER($E2808),$E2808,IF($O2808="","",IF(N(INDEX('Menu Pricing'!$O$7:$O$56,$O2808))&gt;0,INDEX('Menu Pricing'!$O$7:$O$56,$O2808),""))))</f>
        <v/>
      </c>
      <c r="I2808" s="71">
        <f>IF($N2808&lt;&gt;"OK","",$D2808*$H2808)</f>
        <v/>
      </c>
      <c r="J2808" s="71">
        <f>IF($N2808&lt;&gt;"OK","",N(INDEX('Menu Pricing'!$F$7:$F$56,$O2808))+N(INDEX('Menu Pricing'!$G$7:$G$56,$O2808))+N(INDEX('Menu Pricing'!$J$7:$J$56,$O2808)))</f>
        <v/>
      </c>
      <c r="K2808" s="71">
        <f>IF($N2808&lt;&gt;"OK","",$D2808*$J2808)</f>
        <v/>
      </c>
      <c r="L2808" s="71">
        <f>IF($N2808&lt;&gt;"OK","",$I2808-$K2808)</f>
        <v/>
      </c>
      <c r="M2808" s="71">
        <f>IF($N2808&lt;&gt;"OK","",$D2808*N(INDEX('Menu Pricing'!$F$7:$F$56,$O2808)))</f>
        <v/>
      </c>
      <c r="N2808" s="80">
        <f>IF(AND($B2808="",$C2808="",$D2808=""),"",IF(NOT(ISNUMBER($B2808)),"Enter a valid date",IF($C2808="","Pick a menu item",IF($O2808="","Item not on Menu Pricing",IF(N($D2808)&lt;=0,"Qty must be above 0",IF($H2808="","No price on menu","OK"))))))</f>
        <v/>
      </c>
      <c r="O2808" s="13">
        <f>IF($C2808="","",IFERROR(MATCH($C2808,'Menu Pricing'!$B$7:$B$56,0),""))</f>
        <v/>
      </c>
    </row>
    <row r="2809" ht="17" customHeight="1">
      <c r="B2809" s="66" t="n"/>
      <c r="C2809" s="60" t="n"/>
      <c r="D2809" s="86" t="n"/>
      <c r="E2809" s="63" t="n"/>
      <c r="F2809" s="60" t="n"/>
      <c r="G2809" s="60" t="n"/>
      <c r="H2809" s="71">
        <f>IF(OR($C2809="",$D2809=""),"",IF(ISNUMBER($E2809),$E2809,IF($O2809="","",IF(N(INDEX('Menu Pricing'!$O$7:$O$56,$O2809))&gt;0,INDEX('Menu Pricing'!$O$7:$O$56,$O2809),""))))</f>
        <v/>
      </c>
      <c r="I2809" s="71">
        <f>IF($N2809&lt;&gt;"OK","",$D2809*$H2809)</f>
        <v/>
      </c>
      <c r="J2809" s="71">
        <f>IF($N2809&lt;&gt;"OK","",N(INDEX('Menu Pricing'!$F$7:$F$56,$O2809))+N(INDEX('Menu Pricing'!$G$7:$G$56,$O2809))+N(INDEX('Menu Pricing'!$J$7:$J$56,$O2809)))</f>
        <v/>
      </c>
      <c r="K2809" s="71">
        <f>IF($N2809&lt;&gt;"OK","",$D2809*$J2809)</f>
        <v/>
      </c>
      <c r="L2809" s="71">
        <f>IF($N2809&lt;&gt;"OK","",$I2809-$K2809)</f>
        <v/>
      </c>
      <c r="M2809" s="71">
        <f>IF($N2809&lt;&gt;"OK","",$D2809*N(INDEX('Menu Pricing'!$F$7:$F$56,$O2809)))</f>
        <v/>
      </c>
      <c r="N2809" s="80">
        <f>IF(AND($B2809="",$C2809="",$D2809=""),"",IF(NOT(ISNUMBER($B2809)),"Enter a valid date",IF($C2809="","Pick a menu item",IF($O2809="","Item not on Menu Pricing",IF(N($D2809)&lt;=0,"Qty must be above 0",IF($H2809="","No price on menu","OK"))))))</f>
        <v/>
      </c>
      <c r="O2809" s="13">
        <f>IF($C2809="","",IFERROR(MATCH($C2809,'Menu Pricing'!$B$7:$B$56,0),""))</f>
        <v/>
      </c>
    </row>
    <row r="2810" ht="17" customHeight="1">
      <c r="B2810" s="66" t="n"/>
      <c r="C2810" s="60" t="n"/>
      <c r="D2810" s="86" t="n"/>
      <c r="E2810" s="63" t="n"/>
      <c r="F2810" s="60" t="n"/>
      <c r="G2810" s="60" t="n"/>
      <c r="H2810" s="71">
        <f>IF(OR($C2810="",$D2810=""),"",IF(ISNUMBER($E2810),$E2810,IF($O2810="","",IF(N(INDEX('Menu Pricing'!$O$7:$O$56,$O2810))&gt;0,INDEX('Menu Pricing'!$O$7:$O$56,$O2810),""))))</f>
        <v/>
      </c>
      <c r="I2810" s="71">
        <f>IF($N2810&lt;&gt;"OK","",$D2810*$H2810)</f>
        <v/>
      </c>
      <c r="J2810" s="71">
        <f>IF($N2810&lt;&gt;"OK","",N(INDEX('Menu Pricing'!$F$7:$F$56,$O2810))+N(INDEX('Menu Pricing'!$G$7:$G$56,$O2810))+N(INDEX('Menu Pricing'!$J$7:$J$56,$O2810)))</f>
        <v/>
      </c>
      <c r="K2810" s="71">
        <f>IF($N2810&lt;&gt;"OK","",$D2810*$J2810)</f>
        <v/>
      </c>
      <c r="L2810" s="71">
        <f>IF($N2810&lt;&gt;"OK","",$I2810-$K2810)</f>
        <v/>
      </c>
      <c r="M2810" s="71">
        <f>IF($N2810&lt;&gt;"OK","",$D2810*N(INDEX('Menu Pricing'!$F$7:$F$56,$O2810)))</f>
        <v/>
      </c>
      <c r="N2810" s="80">
        <f>IF(AND($B2810="",$C2810="",$D2810=""),"",IF(NOT(ISNUMBER($B2810)),"Enter a valid date",IF($C2810="","Pick a menu item",IF($O2810="","Item not on Menu Pricing",IF(N($D2810)&lt;=0,"Qty must be above 0",IF($H2810="","No price on menu","OK"))))))</f>
        <v/>
      </c>
      <c r="O2810" s="13">
        <f>IF($C2810="","",IFERROR(MATCH($C2810,'Menu Pricing'!$B$7:$B$56,0),""))</f>
        <v/>
      </c>
    </row>
    <row r="2811" ht="17" customHeight="1">
      <c r="B2811" s="66" t="n"/>
      <c r="C2811" s="60" t="n"/>
      <c r="D2811" s="86" t="n"/>
      <c r="E2811" s="63" t="n"/>
      <c r="F2811" s="60" t="n"/>
      <c r="G2811" s="60" t="n"/>
      <c r="H2811" s="71">
        <f>IF(OR($C2811="",$D2811=""),"",IF(ISNUMBER($E2811),$E2811,IF($O2811="","",IF(N(INDEX('Menu Pricing'!$O$7:$O$56,$O2811))&gt;0,INDEX('Menu Pricing'!$O$7:$O$56,$O2811),""))))</f>
        <v/>
      </c>
      <c r="I2811" s="71">
        <f>IF($N2811&lt;&gt;"OK","",$D2811*$H2811)</f>
        <v/>
      </c>
      <c r="J2811" s="71">
        <f>IF($N2811&lt;&gt;"OK","",N(INDEX('Menu Pricing'!$F$7:$F$56,$O2811))+N(INDEX('Menu Pricing'!$G$7:$G$56,$O2811))+N(INDEX('Menu Pricing'!$J$7:$J$56,$O2811)))</f>
        <v/>
      </c>
      <c r="K2811" s="71">
        <f>IF($N2811&lt;&gt;"OK","",$D2811*$J2811)</f>
        <v/>
      </c>
      <c r="L2811" s="71">
        <f>IF($N2811&lt;&gt;"OK","",$I2811-$K2811)</f>
        <v/>
      </c>
      <c r="M2811" s="71">
        <f>IF($N2811&lt;&gt;"OK","",$D2811*N(INDEX('Menu Pricing'!$F$7:$F$56,$O2811)))</f>
        <v/>
      </c>
      <c r="N2811" s="80">
        <f>IF(AND($B2811="",$C2811="",$D2811=""),"",IF(NOT(ISNUMBER($B2811)),"Enter a valid date",IF($C2811="","Pick a menu item",IF($O2811="","Item not on Menu Pricing",IF(N($D2811)&lt;=0,"Qty must be above 0",IF($H2811="","No price on menu","OK"))))))</f>
        <v/>
      </c>
      <c r="O2811" s="13">
        <f>IF($C2811="","",IFERROR(MATCH($C2811,'Menu Pricing'!$B$7:$B$56,0),""))</f>
        <v/>
      </c>
    </row>
    <row r="2812" ht="17" customHeight="1">
      <c r="B2812" s="66" t="n"/>
      <c r="C2812" s="60" t="n"/>
      <c r="D2812" s="86" t="n"/>
      <c r="E2812" s="63" t="n"/>
      <c r="F2812" s="60" t="n"/>
      <c r="G2812" s="60" t="n"/>
      <c r="H2812" s="71">
        <f>IF(OR($C2812="",$D2812=""),"",IF(ISNUMBER($E2812),$E2812,IF($O2812="","",IF(N(INDEX('Menu Pricing'!$O$7:$O$56,$O2812))&gt;0,INDEX('Menu Pricing'!$O$7:$O$56,$O2812),""))))</f>
        <v/>
      </c>
      <c r="I2812" s="71">
        <f>IF($N2812&lt;&gt;"OK","",$D2812*$H2812)</f>
        <v/>
      </c>
      <c r="J2812" s="71">
        <f>IF($N2812&lt;&gt;"OK","",N(INDEX('Menu Pricing'!$F$7:$F$56,$O2812))+N(INDEX('Menu Pricing'!$G$7:$G$56,$O2812))+N(INDEX('Menu Pricing'!$J$7:$J$56,$O2812)))</f>
        <v/>
      </c>
      <c r="K2812" s="71">
        <f>IF($N2812&lt;&gt;"OK","",$D2812*$J2812)</f>
        <v/>
      </c>
      <c r="L2812" s="71">
        <f>IF($N2812&lt;&gt;"OK","",$I2812-$K2812)</f>
        <v/>
      </c>
      <c r="M2812" s="71">
        <f>IF($N2812&lt;&gt;"OK","",$D2812*N(INDEX('Menu Pricing'!$F$7:$F$56,$O2812)))</f>
        <v/>
      </c>
      <c r="N2812" s="80">
        <f>IF(AND($B2812="",$C2812="",$D2812=""),"",IF(NOT(ISNUMBER($B2812)),"Enter a valid date",IF($C2812="","Pick a menu item",IF($O2812="","Item not on Menu Pricing",IF(N($D2812)&lt;=0,"Qty must be above 0",IF($H2812="","No price on menu","OK"))))))</f>
        <v/>
      </c>
      <c r="O2812" s="13">
        <f>IF($C2812="","",IFERROR(MATCH($C2812,'Menu Pricing'!$B$7:$B$56,0),""))</f>
        <v/>
      </c>
    </row>
    <row r="2813" ht="17" customHeight="1">
      <c r="B2813" s="66" t="n"/>
      <c r="C2813" s="60" t="n"/>
      <c r="D2813" s="86" t="n"/>
      <c r="E2813" s="63" t="n"/>
      <c r="F2813" s="60" t="n"/>
      <c r="G2813" s="60" t="n"/>
      <c r="H2813" s="71">
        <f>IF(OR($C2813="",$D2813=""),"",IF(ISNUMBER($E2813),$E2813,IF($O2813="","",IF(N(INDEX('Menu Pricing'!$O$7:$O$56,$O2813))&gt;0,INDEX('Menu Pricing'!$O$7:$O$56,$O2813),""))))</f>
        <v/>
      </c>
      <c r="I2813" s="71">
        <f>IF($N2813&lt;&gt;"OK","",$D2813*$H2813)</f>
        <v/>
      </c>
      <c r="J2813" s="71">
        <f>IF($N2813&lt;&gt;"OK","",N(INDEX('Menu Pricing'!$F$7:$F$56,$O2813))+N(INDEX('Menu Pricing'!$G$7:$G$56,$O2813))+N(INDEX('Menu Pricing'!$J$7:$J$56,$O2813)))</f>
        <v/>
      </c>
      <c r="K2813" s="71">
        <f>IF($N2813&lt;&gt;"OK","",$D2813*$J2813)</f>
        <v/>
      </c>
      <c r="L2813" s="71">
        <f>IF($N2813&lt;&gt;"OK","",$I2813-$K2813)</f>
        <v/>
      </c>
      <c r="M2813" s="71">
        <f>IF($N2813&lt;&gt;"OK","",$D2813*N(INDEX('Menu Pricing'!$F$7:$F$56,$O2813)))</f>
        <v/>
      </c>
      <c r="N2813" s="80">
        <f>IF(AND($B2813="",$C2813="",$D2813=""),"",IF(NOT(ISNUMBER($B2813)),"Enter a valid date",IF($C2813="","Pick a menu item",IF($O2813="","Item not on Menu Pricing",IF(N($D2813)&lt;=0,"Qty must be above 0",IF($H2813="","No price on menu","OK"))))))</f>
        <v/>
      </c>
      <c r="O2813" s="13">
        <f>IF($C2813="","",IFERROR(MATCH($C2813,'Menu Pricing'!$B$7:$B$56,0),""))</f>
        <v/>
      </c>
    </row>
    <row r="2814" ht="17" customHeight="1">
      <c r="B2814" s="66" t="n"/>
      <c r="C2814" s="60" t="n"/>
      <c r="D2814" s="86" t="n"/>
      <c r="E2814" s="63" t="n"/>
      <c r="F2814" s="60" t="n"/>
      <c r="G2814" s="60" t="n"/>
      <c r="H2814" s="71">
        <f>IF(OR($C2814="",$D2814=""),"",IF(ISNUMBER($E2814),$E2814,IF($O2814="","",IF(N(INDEX('Menu Pricing'!$O$7:$O$56,$O2814))&gt;0,INDEX('Menu Pricing'!$O$7:$O$56,$O2814),""))))</f>
        <v/>
      </c>
      <c r="I2814" s="71">
        <f>IF($N2814&lt;&gt;"OK","",$D2814*$H2814)</f>
        <v/>
      </c>
      <c r="J2814" s="71">
        <f>IF($N2814&lt;&gt;"OK","",N(INDEX('Menu Pricing'!$F$7:$F$56,$O2814))+N(INDEX('Menu Pricing'!$G$7:$G$56,$O2814))+N(INDEX('Menu Pricing'!$J$7:$J$56,$O2814)))</f>
        <v/>
      </c>
      <c r="K2814" s="71">
        <f>IF($N2814&lt;&gt;"OK","",$D2814*$J2814)</f>
        <v/>
      </c>
      <c r="L2814" s="71">
        <f>IF($N2814&lt;&gt;"OK","",$I2814-$K2814)</f>
        <v/>
      </c>
      <c r="M2814" s="71">
        <f>IF($N2814&lt;&gt;"OK","",$D2814*N(INDEX('Menu Pricing'!$F$7:$F$56,$O2814)))</f>
        <v/>
      </c>
      <c r="N2814" s="80">
        <f>IF(AND($B2814="",$C2814="",$D2814=""),"",IF(NOT(ISNUMBER($B2814)),"Enter a valid date",IF($C2814="","Pick a menu item",IF($O2814="","Item not on Menu Pricing",IF(N($D2814)&lt;=0,"Qty must be above 0",IF($H2814="","No price on menu","OK"))))))</f>
        <v/>
      </c>
      <c r="O2814" s="13">
        <f>IF($C2814="","",IFERROR(MATCH($C2814,'Menu Pricing'!$B$7:$B$56,0),""))</f>
        <v/>
      </c>
    </row>
    <row r="2815" ht="17" customHeight="1">
      <c r="B2815" s="66" t="n"/>
      <c r="C2815" s="60" t="n"/>
      <c r="D2815" s="86" t="n"/>
      <c r="E2815" s="63" t="n"/>
      <c r="F2815" s="60" t="n"/>
      <c r="G2815" s="60" t="n"/>
      <c r="H2815" s="71">
        <f>IF(OR($C2815="",$D2815=""),"",IF(ISNUMBER($E2815),$E2815,IF($O2815="","",IF(N(INDEX('Menu Pricing'!$O$7:$O$56,$O2815))&gt;0,INDEX('Menu Pricing'!$O$7:$O$56,$O2815),""))))</f>
        <v/>
      </c>
      <c r="I2815" s="71">
        <f>IF($N2815&lt;&gt;"OK","",$D2815*$H2815)</f>
        <v/>
      </c>
      <c r="J2815" s="71">
        <f>IF($N2815&lt;&gt;"OK","",N(INDEX('Menu Pricing'!$F$7:$F$56,$O2815))+N(INDEX('Menu Pricing'!$G$7:$G$56,$O2815))+N(INDEX('Menu Pricing'!$J$7:$J$56,$O2815)))</f>
        <v/>
      </c>
      <c r="K2815" s="71">
        <f>IF($N2815&lt;&gt;"OK","",$D2815*$J2815)</f>
        <v/>
      </c>
      <c r="L2815" s="71">
        <f>IF($N2815&lt;&gt;"OK","",$I2815-$K2815)</f>
        <v/>
      </c>
      <c r="M2815" s="71">
        <f>IF($N2815&lt;&gt;"OK","",$D2815*N(INDEX('Menu Pricing'!$F$7:$F$56,$O2815)))</f>
        <v/>
      </c>
      <c r="N2815" s="80">
        <f>IF(AND($B2815="",$C2815="",$D2815=""),"",IF(NOT(ISNUMBER($B2815)),"Enter a valid date",IF($C2815="","Pick a menu item",IF($O2815="","Item not on Menu Pricing",IF(N($D2815)&lt;=0,"Qty must be above 0",IF($H2815="","No price on menu","OK"))))))</f>
        <v/>
      </c>
      <c r="O2815" s="13">
        <f>IF($C2815="","",IFERROR(MATCH($C2815,'Menu Pricing'!$B$7:$B$56,0),""))</f>
        <v/>
      </c>
    </row>
    <row r="2816" ht="17" customHeight="1">
      <c r="B2816" s="66" t="n"/>
      <c r="C2816" s="60" t="n"/>
      <c r="D2816" s="86" t="n"/>
      <c r="E2816" s="63" t="n"/>
      <c r="F2816" s="60" t="n"/>
      <c r="G2816" s="60" t="n"/>
      <c r="H2816" s="71">
        <f>IF(OR($C2816="",$D2816=""),"",IF(ISNUMBER($E2816),$E2816,IF($O2816="","",IF(N(INDEX('Menu Pricing'!$O$7:$O$56,$O2816))&gt;0,INDEX('Menu Pricing'!$O$7:$O$56,$O2816),""))))</f>
        <v/>
      </c>
      <c r="I2816" s="71">
        <f>IF($N2816&lt;&gt;"OK","",$D2816*$H2816)</f>
        <v/>
      </c>
      <c r="J2816" s="71">
        <f>IF($N2816&lt;&gt;"OK","",N(INDEX('Menu Pricing'!$F$7:$F$56,$O2816))+N(INDEX('Menu Pricing'!$G$7:$G$56,$O2816))+N(INDEX('Menu Pricing'!$J$7:$J$56,$O2816)))</f>
        <v/>
      </c>
      <c r="K2816" s="71">
        <f>IF($N2816&lt;&gt;"OK","",$D2816*$J2816)</f>
        <v/>
      </c>
      <c r="L2816" s="71">
        <f>IF($N2816&lt;&gt;"OK","",$I2816-$K2816)</f>
        <v/>
      </c>
      <c r="M2816" s="71">
        <f>IF($N2816&lt;&gt;"OK","",$D2816*N(INDEX('Menu Pricing'!$F$7:$F$56,$O2816)))</f>
        <v/>
      </c>
      <c r="N2816" s="80">
        <f>IF(AND($B2816="",$C2816="",$D2816=""),"",IF(NOT(ISNUMBER($B2816)),"Enter a valid date",IF($C2816="","Pick a menu item",IF($O2816="","Item not on Menu Pricing",IF(N($D2816)&lt;=0,"Qty must be above 0",IF($H2816="","No price on menu","OK"))))))</f>
        <v/>
      </c>
      <c r="O2816" s="13">
        <f>IF($C2816="","",IFERROR(MATCH($C2816,'Menu Pricing'!$B$7:$B$56,0),""))</f>
        <v/>
      </c>
    </row>
    <row r="2817" ht="17" customHeight="1">
      <c r="B2817" s="66" t="n"/>
      <c r="C2817" s="60" t="n"/>
      <c r="D2817" s="86" t="n"/>
      <c r="E2817" s="63" t="n"/>
      <c r="F2817" s="60" t="n"/>
      <c r="G2817" s="60" t="n"/>
      <c r="H2817" s="71">
        <f>IF(OR($C2817="",$D2817=""),"",IF(ISNUMBER($E2817),$E2817,IF($O2817="","",IF(N(INDEX('Menu Pricing'!$O$7:$O$56,$O2817))&gt;0,INDEX('Menu Pricing'!$O$7:$O$56,$O2817),""))))</f>
        <v/>
      </c>
      <c r="I2817" s="71">
        <f>IF($N2817&lt;&gt;"OK","",$D2817*$H2817)</f>
        <v/>
      </c>
      <c r="J2817" s="71">
        <f>IF($N2817&lt;&gt;"OK","",N(INDEX('Menu Pricing'!$F$7:$F$56,$O2817))+N(INDEX('Menu Pricing'!$G$7:$G$56,$O2817))+N(INDEX('Menu Pricing'!$J$7:$J$56,$O2817)))</f>
        <v/>
      </c>
      <c r="K2817" s="71">
        <f>IF($N2817&lt;&gt;"OK","",$D2817*$J2817)</f>
        <v/>
      </c>
      <c r="L2817" s="71">
        <f>IF($N2817&lt;&gt;"OK","",$I2817-$K2817)</f>
        <v/>
      </c>
      <c r="M2817" s="71">
        <f>IF($N2817&lt;&gt;"OK","",$D2817*N(INDEX('Menu Pricing'!$F$7:$F$56,$O2817)))</f>
        <v/>
      </c>
      <c r="N2817" s="80">
        <f>IF(AND($B2817="",$C2817="",$D2817=""),"",IF(NOT(ISNUMBER($B2817)),"Enter a valid date",IF($C2817="","Pick a menu item",IF($O2817="","Item not on Menu Pricing",IF(N($D2817)&lt;=0,"Qty must be above 0",IF($H2817="","No price on menu","OK"))))))</f>
        <v/>
      </c>
      <c r="O2817" s="13">
        <f>IF($C2817="","",IFERROR(MATCH($C2817,'Menu Pricing'!$B$7:$B$56,0),""))</f>
        <v/>
      </c>
    </row>
    <row r="2818" ht="17" customHeight="1">
      <c r="B2818" s="66" t="n"/>
      <c r="C2818" s="60" t="n"/>
      <c r="D2818" s="86" t="n"/>
      <c r="E2818" s="63" t="n"/>
      <c r="F2818" s="60" t="n"/>
      <c r="G2818" s="60" t="n"/>
      <c r="H2818" s="71">
        <f>IF(OR($C2818="",$D2818=""),"",IF(ISNUMBER($E2818),$E2818,IF($O2818="","",IF(N(INDEX('Menu Pricing'!$O$7:$O$56,$O2818))&gt;0,INDEX('Menu Pricing'!$O$7:$O$56,$O2818),""))))</f>
        <v/>
      </c>
      <c r="I2818" s="71">
        <f>IF($N2818&lt;&gt;"OK","",$D2818*$H2818)</f>
        <v/>
      </c>
      <c r="J2818" s="71">
        <f>IF($N2818&lt;&gt;"OK","",N(INDEX('Menu Pricing'!$F$7:$F$56,$O2818))+N(INDEX('Menu Pricing'!$G$7:$G$56,$O2818))+N(INDEX('Menu Pricing'!$J$7:$J$56,$O2818)))</f>
        <v/>
      </c>
      <c r="K2818" s="71">
        <f>IF($N2818&lt;&gt;"OK","",$D2818*$J2818)</f>
        <v/>
      </c>
      <c r="L2818" s="71">
        <f>IF($N2818&lt;&gt;"OK","",$I2818-$K2818)</f>
        <v/>
      </c>
      <c r="M2818" s="71">
        <f>IF($N2818&lt;&gt;"OK","",$D2818*N(INDEX('Menu Pricing'!$F$7:$F$56,$O2818)))</f>
        <v/>
      </c>
      <c r="N2818" s="80">
        <f>IF(AND($B2818="",$C2818="",$D2818=""),"",IF(NOT(ISNUMBER($B2818)),"Enter a valid date",IF($C2818="","Pick a menu item",IF($O2818="","Item not on Menu Pricing",IF(N($D2818)&lt;=0,"Qty must be above 0",IF($H2818="","No price on menu","OK"))))))</f>
        <v/>
      </c>
      <c r="O2818" s="13">
        <f>IF($C2818="","",IFERROR(MATCH($C2818,'Menu Pricing'!$B$7:$B$56,0),""))</f>
        <v/>
      </c>
    </row>
    <row r="2819" ht="17" customHeight="1">
      <c r="B2819" s="66" t="n"/>
      <c r="C2819" s="60" t="n"/>
      <c r="D2819" s="86" t="n"/>
      <c r="E2819" s="63" t="n"/>
      <c r="F2819" s="60" t="n"/>
      <c r="G2819" s="60" t="n"/>
      <c r="H2819" s="71">
        <f>IF(OR($C2819="",$D2819=""),"",IF(ISNUMBER($E2819),$E2819,IF($O2819="","",IF(N(INDEX('Menu Pricing'!$O$7:$O$56,$O2819))&gt;0,INDEX('Menu Pricing'!$O$7:$O$56,$O2819),""))))</f>
        <v/>
      </c>
      <c r="I2819" s="71">
        <f>IF($N2819&lt;&gt;"OK","",$D2819*$H2819)</f>
        <v/>
      </c>
      <c r="J2819" s="71">
        <f>IF($N2819&lt;&gt;"OK","",N(INDEX('Menu Pricing'!$F$7:$F$56,$O2819))+N(INDEX('Menu Pricing'!$G$7:$G$56,$O2819))+N(INDEX('Menu Pricing'!$J$7:$J$56,$O2819)))</f>
        <v/>
      </c>
      <c r="K2819" s="71">
        <f>IF($N2819&lt;&gt;"OK","",$D2819*$J2819)</f>
        <v/>
      </c>
      <c r="L2819" s="71">
        <f>IF($N2819&lt;&gt;"OK","",$I2819-$K2819)</f>
        <v/>
      </c>
      <c r="M2819" s="71">
        <f>IF($N2819&lt;&gt;"OK","",$D2819*N(INDEX('Menu Pricing'!$F$7:$F$56,$O2819)))</f>
        <v/>
      </c>
      <c r="N2819" s="80">
        <f>IF(AND($B2819="",$C2819="",$D2819=""),"",IF(NOT(ISNUMBER($B2819)),"Enter a valid date",IF($C2819="","Pick a menu item",IF($O2819="","Item not on Menu Pricing",IF(N($D2819)&lt;=0,"Qty must be above 0",IF($H2819="","No price on menu","OK"))))))</f>
        <v/>
      </c>
      <c r="O2819" s="13">
        <f>IF($C2819="","",IFERROR(MATCH($C2819,'Menu Pricing'!$B$7:$B$56,0),""))</f>
        <v/>
      </c>
    </row>
    <row r="2820" ht="17" customHeight="1">
      <c r="B2820" s="66" t="n"/>
      <c r="C2820" s="60" t="n"/>
      <c r="D2820" s="86" t="n"/>
      <c r="E2820" s="63" t="n"/>
      <c r="F2820" s="60" t="n"/>
      <c r="G2820" s="60" t="n"/>
      <c r="H2820" s="71">
        <f>IF(OR($C2820="",$D2820=""),"",IF(ISNUMBER($E2820),$E2820,IF($O2820="","",IF(N(INDEX('Menu Pricing'!$O$7:$O$56,$O2820))&gt;0,INDEX('Menu Pricing'!$O$7:$O$56,$O2820),""))))</f>
        <v/>
      </c>
      <c r="I2820" s="71">
        <f>IF($N2820&lt;&gt;"OK","",$D2820*$H2820)</f>
        <v/>
      </c>
      <c r="J2820" s="71">
        <f>IF($N2820&lt;&gt;"OK","",N(INDEX('Menu Pricing'!$F$7:$F$56,$O2820))+N(INDEX('Menu Pricing'!$G$7:$G$56,$O2820))+N(INDEX('Menu Pricing'!$J$7:$J$56,$O2820)))</f>
        <v/>
      </c>
      <c r="K2820" s="71">
        <f>IF($N2820&lt;&gt;"OK","",$D2820*$J2820)</f>
        <v/>
      </c>
      <c r="L2820" s="71">
        <f>IF($N2820&lt;&gt;"OK","",$I2820-$K2820)</f>
        <v/>
      </c>
      <c r="M2820" s="71">
        <f>IF($N2820&lt;&gt;"OK","",$D2820*N(INDEX('Menu Pricing'!$F$7:$F$56,$O2820)))</f>
        <v/>
      </c>
      <c r="N2820" s="80">
        <f>IF(AND($B2820="",$C2820="",$D2820=""),"",IF(NOT(ISNUMBER($B2820)),"Enter a valid date",IF($C2820="","Pick a menu item",IF($O2820="","Item not on Menu Pricing",IF(N($D2820)&lt;=0,"Qty must be above 0",IF($H2820="","No price on menu","OK"))))))</f>
        <v/>
      </c>
      <c r="O2820" s="13">
        <f>IF($C2820="","",IFERROR(MATCH($C2820,'Menu Pricing'!$B$7:$B$56,0),""))</f>
        <v/>
      </c>
    </row>
    <row r="2821" ht="17" customHeight="1">
      <c r="B2821" s="66" t="n"/>
      <c r="C2821" s="60" t="n"/>
      <c r="D2821" s="86" t="n"/>
      <c r="E2821" s="63" t="n"/>
      <c r="F2821" s="60" t="n"/>
      <c r="G2821" s="60" t="n"/>
      <c r="H2821" s="71">
        <f>IF(OR($C2821="",$D2821=""),"",IF(ISNUMBER($E2821),$E2821,IF($O2821="","",IF(N(INDEX('Menu Pricing'!$O$7:$O$56,$O2821))&gt;0,INDEX('Menu Pricing'!$O$7:$O$56,$O2821),""))))</f>
        <v/>
      </c>
      <c r="I2821" s="71">
        <f>IF($N2821&lt;&gt;"OK","",$D2821*$H2821)</f>
        <v/>
      </c>
      <c r="J2821" s="71">
        <f>IF($N2821&lt;&gt;"OK","",N(INDEX('Menu Pricing'!$F$7:$F$56,$O2821))+N(INDEX('Menu Pricing'!$G$7:$G$56,$O2821))+N(INDEX('Menu Pricing'!$J$7:$J$56,$O2821)))</f>
        <v/>
      </c>
      <c r="K2821" s="71">
        <f>IF($N2821&lt;&gt;"OK","",$D2821*$J2821)</f>
        <v/>
      </c>
      <c r="L2821" s="71">
        <f>IF($N2821&lt;&gt;"OK","",$I2821-$K2821)</f>
        <v/>
      </c>
      <c r="M2821" s="71">
        <f>IF($N2821&lt;&gt;"OK","",$D2821*N(INDEX('Menu Pricing'!$F$7:$F$56,$O2821)))</f>
        <v/>
      </c>
      <c r="N2821" s="80">
        <f>IF(AND($B2821="",$C2821="",$D2821=""),"",IF(NOT(ISNUMBER($B2821)),"Enter a valid date",IF($C2821="","Pick a menu item",IF($O2821="","Item not on Menu Pricing",IF(N($D2821)&lt;=0,"Qty must be above 0",IF($H2821="","No price on menu","OK"))))))</f>
        <v/>
      </c>
      <c r="O2821" s="13">
        <f>IF($C2821="","",IFERROR(MATCH($C2821,'Menu Pricing'!$B$7:$B$56,0),""))</f>
        <v/>
      </c>
    </row>
    <row r="2822" ht="17" customHeight="1">
      <c r="B2822" s="66" t="n"/>
      <c r="C2822" s="60" t="n"/>
      <c r="D2822" s="86" t="n"/>
      <c r="E2822" s="63" t="n"/>
      <c r="F2822" s="60" t="n"/>
      <c r="G2822" s="60" t="n"/>
      <c r="H2822" s="71">
        <f>IF(OR($C2822="",$D2822=""),"",IF(ISNUMBER($E2822),$E2822,IF($O2822="","",IF(N(INDEX('Menu Pricing'!$O$7:$O$56,$O2822))&gt;0,INDEX('Menu Pricing'!$O$7:$O$56,$O2822),""))))</f>
        <v/>
      </c>
      <c r="I2822" s="71">
        <f>IF($N2822&lt;&gt;"OK","",$D2822*$H2822)</f>
        <v/>
      </c>
      <c r="J2822" s="71">
        <f>IF($N2822&lt;&gt;"OK","",N(INDEX('Menu Pricing'!$F$7:$F$56,$O2822))+N(INDEX('Menu Pricing'!$G$7:$G$56,$O2822))+N(INDEX('Menu Pricing'!$J$7:$J$56,$O2822)))</f>
        <v/>
      </c>
      <c r="K2822" s="71">
        <f>IF($N2822&lt;&gt;"OK","",$D2822*$J2822)</f>
        <v/>
      </c>
      <c r="L2822" s="71">
        <f>IF($N2822&lt;&gt;"OK","",$I2822-$K2822)</f>
        <v/>
      </c>
      <c r="M2822" s="71">
        <f>IF($N2822&lt;&gt;"OK","",$D2822*N(INDEX('Menu Pricing'!$F$7:$F$56,$O2822)))</f>
        <v/>
      </c>
      <c r="N2822" s="80">
        <f>IF(AND($B2822="",$C2822="",$D2822=""),"",IF(NOT(ISNUMBER($B2822)),"Enter a valid date",IF($C2822="","Pick a menu item",IF($O2822="","Item not on Menu Pricing",IF(N($D2822)&lt;=0,"Qty must be above 0",IF($H2822="","No price on menu","OK"))))))</f>
        <v/>
      </c>
      <c r="O2822" s="13">
        <f>IF($C2822="","",IFERROR(MATCH($C2822,'Menu Pricing'!$B$7:$B$56,0),""))</f>
        <v/>
      </c>
    </row>
    <row r="2823" ht="17" customHeight="1">
      <c r="B2823" s="66" t="n"/>
      <c r="C2823" s="60" t="n"/>
      <c r="D2823" s="86" t="n"/>
      <c r="E2823" s="63" t="n"/>
      <c r="F2823" s="60" t="n"/>
      <c r="G2823" s="60" t="n"/>
      <c r="H2823" s="71">
        <f>IF(OR($C2823="",$D2823=""),"",IF(ISNUMBER($E2823),$E2823,IF($O2823="","",IF(N(INDEX('Menu Pricing'!$O$7:$O$56,$O2823))&gt;0,INDEX('Menu Pricing'!$O$7:$O$56,$O2823),""))))</f>
        <v/>
      </c>
      <c r="I2823" s="71">
        <f>IF($N2823&lt;&gt;"OK","",$D2823*$H2823)</f>
        <v/>
      </c>
      <c r="J2823" s="71">
        <f>IF($N2823&lt;&gt;"OK","",N(INDEX('Menu Pricing'!$F$7:$F$56,$O2823))+N(INDEX('Menu Pricing'!$G$7:$G$56,$O2823))+N(INDEX('Menu Pricing'!$J$7:$J$56,$O2823)))</f>
        <v/>
      </c>
      <c r="K2823" s="71">
        <f>IF($N2823&lt;&gt;"OK","",$D2823*$J2823)</f>
        <v/>
      </c>
      <c r="L2823" s="71">
        <f>IF($N2823&lt;&gt;"OK","",$I2823-$K2823)</f>
        <v/>
      </c>
      <c r="M2823" s="71">
        <f>IF($N2823&lt;&gt;"OK","",$D2823*N(INDEX('Menu Pricing'!$F$7:$F$56,$O2823)))</f>
        <v/>
      </c>
      <c r="N2823" s="80">
        <f>IF(AND($B2823="",$C2823="",$D2823=""),"",IF(NOT(ISNUMBER($B2823)),"Enter a valid date",IF($C2823="","Pick a menu item",IF($O2823="","Item not on Menu Pricing",IF(N($D2823)&lt;=0,"Qty must be above 0",IF($H2823="","No price on menu","OK"))))))</f>
        <v/>
      </c>
      <c r="O2823" s="13">
        <f>IF($C2823="","",IFERROR(MATCH($C2823,'Menu Pricing'!$B$7:$B$56,0),""))</f>
        <v/>
      </c>
    </row>
    <row r="2824" ht="17" customHeight="1">
      <c r="B2824" s="66" t="n"/>
      <c r="C2824" s="60" t="n"/>
      <c r="D2824" s="86" t="n"/>
      <c r="E2824" s="63" t="n"/>
      <c r="F2824" s="60" t="n"/>
      <c r="G2824" s="60" t="n"/>
      <c r="H2824" s="71">
        <f>IF(OR($C2824="",$D2824=""),"",IF(ISNUMBER($E2824),$E2824,IF($O2824="","",IF(N(INDEX('Menu Pricing'!$O$7:$O$56,$O2824))&gt;0,INDEX('Menu Pricing'!$O$7:$O$56,$O2824),""))))</f>
        <v/>
      </c>
      <c r="I2824" s="71">
        <f>IF($N2824&lt;&gt;"OK","",$D2824*$H2824)</f>
        <v/>
      </c>
      <c r="J2824" s="71">
        <f>IF($N2824&lt;&gt;"OK","",N(INDEX('Menu Pricing'!$F$7:$F$56,$O2824))+N(INDEX('Menu Pricing'!$G$7:$G$56,$O2824))+N(INDEX('Menu Pricing'!$J$7:$J$56,$O2824)))</f>
        <v/>
      </c>
      <c r="K2824" s="71">
        <f>IF($N2824&lt;&gt;"OK","",$D2824*$J2824)</f>
        <v/>
      </c>
      <c r="L2824" s="71">
        <f>IF($N2824&lt;&gt;"OK","",$I2824-$K2824)</f>
        <v/>
      </c>
      <c r="M2824" s="71">
        <f>IF($N2824&lt;&gt;"OK","",$D2824*N(INDEX('Menu Pricing'!$F$7:$F$56,$O2824)))</f>
        <v/>
      </c>
      <c r="N2824" s="80">
        <f>IF(AND($B2824="",$C2824="",$D2824=""),"",IF(NOT(ISNUMBER($B2824)),"Enter a valid date",IF($C2824="","Pick a menu item",IF($O2824="","Item not on Menu Pricing",IF(N($D2824)&lt;=0,"Qty must be above 0",IF($H2824="","No price on menu","OK"))))))</f>
        <v/>
      </c>
      <c r="O2824" s="13">
        <f>IF($C2824="","",IFERROR(MATCH($C2824,'Menu Pricing'!$B$7:$B$56,0),""))</f>
        <v/>
      </c>
    </row>
    <row r="2825" ht="17" customHeight="1">
      <c r="B2825" s="66" t="n"/>
      <c r="C2825" s="60" t="n"/>
      <c r="D2825" s="86" t="n"/>
      <c r="E2825" s="63" t="n"/>
      <c r="F2825" s="60" t="n"/>
      <c r="G2825" s="60" t="n"/>
      <c r="H2825" s="71">
        <f>IF(OR($C2825="",$D2825=""),"",IF(ISNUMBER($E2825),$E2825,IF($O2825="","",IF(N(INDEX('Menu Pricing'!$O$7:$O$56,$O2825))&gt;0,INDEX('Menu Pricing'!$O$7:$O$56,$O2825),""))))</f>
        <v/>
      </c>
      <c r="I2825" s="71">
        <f>IF($N2825&lt;&gt;"OK","",$D2825*$H2825)</f>
        <v/>
      </c>
      <c r="J2825" s="71">
        <f>IF($N2825&lt;&gt;"OK","",N(INDEX('Menu Pricing'!$F$7:$F$56,$O2825))+N(INDEX('Menu Pricing'!$G$7:$G$56,$O2825))+N(INDEX('Menu Pricing'!$J$7:$J$56,$O2825)))</f>
        <v/>
      </c>
      <c r="K2825" s="71">
        <f>IF($N2825&lt;&gt;"OK","",$D2825*$J2825)</f>
        <v/>
      </c>
      <c r="L2825" s="71">
        <f>IF($N2825&lt;&gt;"OK","",$I2825-$K2825)</f>
        <v/>
      </c>
      <c r="M2825" s="71">
        <f>IF($N2825&lt;&gt;"OK","",$D2825*N(INDEX('Menu Pricing'!$F$7:$F$56,$O2825)))</f>
        <v/>
      </c>
      <c r="N2825" s="80">
        <f>IF(AND($B2825="",$C2825="",$D2825=""),"",IF(NOT(ISNUMBER($B2825)),"Enter a valid date",IF($C2825="","Pick a menu item",IF($O2825="","Item not on Menu Pricing",IF(N($D2825)&lt;=0,"Qty must be above 0",IF($H2825="","No price on menu","OK"))))))</f>
        <v/>
      </c>
      <c r="O2825" s="13">
        <f>IF($C2825="","",IFERROR(MATCH($C2825,'Menu Pricing'!$B$7:$B$56,0),""))</f>
        <v/>
      </c>
    </row>
    <row r="2826" ht="17" customHeight="1">
      <c r="B2826" s="66" t="n"/>
      <c r="C2826" s="60" t="n"/>
      <c r="D2826" s="86" t="n"/>
      <c r="E2826" s="63" t="n"/>
      <c r="F2826" s="60" t="n"/>
      <c r="G2826" s="60" t="n"/>
      <c r="H2826" s="71">
        <f>IF(OR($C2826="",$D2826=""),"",IF(ISNUMBER($E2826),$E2826,IF($O2826="","",IF(N(INDEX('Menu Pricing'!$O$7:$O$56,$O2826))&gt;0,INDEX('Menu Pricing'!$O$7:$O$56,$O2826),""))))</f>
        <v/>
      </c>
      <c r="I2826" s="71">
        <f>IF($N2826&lt;&gt;"OK","",$D2826*$H2826)</f>
        <v/>
      </c>
      <c r="J2826" s="71">
        <f>IF($N2826&lt;&gt;"OK","",N(INDEX('Menu Pricing'!$F$7:$F$56,$O2826))+N(INDEX('Menu Pricing'!$G$7:$G$56,$O2826))+N(INDEX('Menu Pricing'!$J$7:$J$56,$O2826)))</f>
        <v/>
      </c>
      <c r="K2826" s="71">
        <f>IF($N2826&lt;&gt;"OK","",$D2826*$J2826)</f>
        <v/>
      </c>
      <c r="L2826" s="71">
        <f>IF($N2826&lt;&gt;"OK","",$I2826-$K2826)</f>
        <v/>
      </c>
      <c r="M2826" s="71">
        <f>IF($N2826&lt;&gt;"OK","",$D2826*N(INDEX('Menu Pricing'!$F$7:$F$56,$O2826)))</f>
        <v/>
      </c>
      <c r="N2826" s="80">
        <f>IF(AND($B2826="",$C2826="",$D2826=""),"",IF(NOT(ISNUMBER($B2826)),"Enter a valid date",IF($C2826="","Pick a menu item",IF($O2826="","Item not on Menu Pricing",IF(N($D2826)&lt;=0,"Qty must be above 0",IF($H2826="","No price on menu","OK"))))))</f>
        <v/>
      </c>
      <c r="O2826" s="13">
        <f>IF($C2826="","",IFERROR(MATCH($C2826,'Menu Pricing'!$B$7:$B$56,0),""))</f>
        <v/>
      </c>
    </row>
    <row r="2827" ht="17" customHeight="1">
      <c r="B2827" s="66" t="n"/>
      <c r="C2827" s="60" t="n"/>
      <c r="D2827" s="86" t="n"/>
      <c r="E2827" s="63" t="n"/>
      <c r="F2827" s="60" t="n"/>
      <c r="G2827" s="60" t="n"/>
      <c r="H2827" s="71">
        <f>IF(OR($C2827="",$D2827=""),"",IF(ISNUMBER($E2827),$E2827,IF($O2827="","",IF(N(INDEX('Menu Pricing'!$O$7:$O$56,$O2827))&gt;0,INDEX('Menu Pricing'!$O$7:$O$56,$O2827),""))))</f>
        <v/>
      </c>
      <c r="I2827" s="71">
        <f>IF($N2827&lt;&gt;"OK","",$D2827*$H2827)</f>
        <v/>
      </c>
      <c r="J2827" s="71">
        <f>IF($N2827&lt;&gt;"OK","",N(INDEX('Menu Pricing'!$F$7:$F$56,$O2827))+N(INDEX('Menu Pricing'!$G$7:$G$56,$O2827))+N(INDEX('Menu Pricing'!$J$7:$J$56,$O2827)))</f>
        <v/>
      </c>
      <c r="K2827" s="71">
        <f>IF($N2827&lt;&gt;"OK","",$D2827*$J2827)</f>
        <v/>
      </c>
      <c r="L2827" s="71">
        <f>IF($N2827&lt;&gt;"OK","",$I2827-$K2827)</f>
        <v/>
      </c>
      <c r="M2827" s="71">
        <f>IF($N2827&lt;&gt;"OK","",$D2827*N(INDEX('Menu Pricing'!$F$7:$F$56,$O2827)))</f>
        <v/>
      </c>
      <c r="N2827" s="80">
        <f>IF(AND($B2827="",$C2827="",$D2827=""),"",IF(NOT(ISNUMBER($B2827)),"Enter a valid date",IF($C2827="","Pick a menu item",IF($O2827="","Item not on Menu Pricing",IF(N($D2827)&lt;=0,"Qty must be above 0",IF($H2827="","No price on menu","OK"))))))</f>
        <v/>
      </c>
      <c r="O2827" s="13">
        <f>IF($C2827="","",IFERROR(MATCH($C2827,'Menu Pricing'!$B$7:$B$56,0),""))</f>
        <v/>
      </c>
    </row>
    <row r="2828" ht="17" customHeight="1">
      <c r="B2828" s="66" t="n"/>
      <c r="C2828" s="60" t="n"/>
      <c r="D2828" s="86" t="n"/>
      <c r="E2828" s="63" t="n"/>
      <c r="F2828" s="60" t="n"/>
      <c r="G2828" s="60" t="n"/>
      <c r="H2828" s="71">
        <f>IF(OR($C2828="",$D2828=""),"",IF(ISNUMBER($E2828),$E2828,IF($O2828="","",IF(N(INDEX('Menu Pricing'!$O$7:$O$56,$O2828))&gt;0,INDEX('Menu Pricing'!$O$7:$O$56,$O2828),""))))</f>
        <v/>
      </c>
      <c r="I2828" s="71">
        <f>IF($N2828&lt;&gt;"OK","",$D2828*$H2828)</f>
        <v/>
      </c>
      <c r="J2828" s="71">
        <f>IF($N2828&lt;&gt;"OK","",N(INDEX('Menu Pricing'!$F$7:$F$56,$O2828))+N(INDEX('Menu Pricing'!$G$7:$G$56,$O2828))+N(INDEX('Menu Pricing'!$J$7:$J$56,$O2828)))</f>
        <v/>
      </c>
      <c r="K2828" s="71">
        <f>IF($N2828&lt;&gt;"OK","",$D2828*$J2828)</f>
        <v/>
      </c>
      <c r="L2828" s="71">
        <f>IF($N2828&lt;&gt;"OK","",$I2828-$K2828)</f>
        <v/>
      </c>
      <c r="M2828" s="71">
        <f>IF($N2828&lt;&gt;"OK","",$D2828*N(INDEX('Menu Pricing'!$F$7:$F$56,$O2828)))</f>
        <v/>
      </c>
      <c r="N2828" s="80">
        <f>IF(AND($B2828="",$C2828="",$D2828=""),"",IF(NOT(ISNUMBER($B2828)),"Enter a valid date",IF($C2828="","Pick a menu item",IF($O2828="","Item not on Menu Pricing",IF(N($D2828)&lt;=0,"Qty must be above 0",IF($H2828="","No price on menu","OK"))))))</f>
        <v/>
      </c>
      <c r="O2828" s="13">
        <f>IF($C2828="","",IFERROR(MATCH($C2828,'Menu Pricing'!$B$7:$B$56,0),""))</f>
        <v/>
      </c>
    </row>
    <row r="2829" ht="17" customHeight="1">
      <c r="B2829" s="66" t="n"/>
      <c r="C2829" s="60" t="n"/>
      <c r="D2829" s="86" t="n"/>
      <c r="E2829" s="63" t="n"/>
      <c r="F2829" s="60" t="n"/>
      <c r="G2829" s="60" t="n"/>
      <c r="H2829" s="71">
        <f>IF(OR($C2829="",$D2829=""),"",IF(ISNUMBER($E2829),$E2829,IF($O2829="","",IF(N(INDEX('Menu Pricing'!$O$7:$O$56,$O2829))&gt;0,INDEX('Menu Pricing'!$O$7:$O$56,$O2829),""))))</f>
        <v/>
      </c>
      <c r="I2829" s="71">
        <f>IF($N2829&lt;&gt;"OK","",$D2829*$H2829)</f>
        <v/>
      </c>
      <c r="J2829" s="71">
        <f>IF($N2829&lt;&gt;"OK","",N(INDEX('Menu Pricing'!$F$7:$F$56,$O2829))+N(INDEX('Menu Pricing'!$G$7:$G$56,$O2829))+N(INDEX('Menu Pricing'!$J$7:$J$56,$O2829)))</f>
        <v/>
      </c>
      <c r="K2829" s="71">
        <f>IF($N2829&lt;&gt;"OK","",$D2829*$J2829)</f>
        <v/>
      </c>
      <c r="L2829" s="71">
        <f>IF($N2829&lt;&gt;"OK","",$I2829-$K2829)</f>
        <v/>
      </c>
      <c r="M2829" s="71">
        <f>IF($N2829&lt;&gt;"OK","",$D2829*N(INDEX('Menu Pricing'!$F$7:$F$56,$O2829)))</f>
        <v/>
      </c>
      <c r="N2829" s="80">
        <f>IF(AND($B2829="",$C2829="",$D2829=""),"",IF(NOT(ISNUMBER($B2829)),"Enter a valid date",IF($C2829="","Pick a menu item",IF($O2829="","Item not on Menu Pricing",IF(N($D2829)&lt;=0,"Qty must be above 0",IF($H2829="","No price on menu","OK"))))))</f>
        <v/>
      </c>
      <c r="O2829" s="13">
        <f>IF($C2829="","",IFERROR(MATCH($C2829,'Menu Pricing'!$B$7:$B$56,0),""))</f>
        <v/>
      </c>
    </row>
    <row r="2830" ht="17" customHeight="1">
      <c r="B2830" s="66" t="n"/>
      <c r="C2830" s="60" t="n"/>
      <c r="D2830" s="86" t="n"/>
      <c r="E2830" s="63" t="n"/>
      <c r="F2830" s="60" t="n"/>
      <c r="G2830" s="60" t="n"/>
      <c r="H2830" s="71">
        <f>IF(OR($C2830="",$D2830=""),"",IF(ISNUMBER($E2830),$E2830,IF($O2830="","",IF(N(INDEX('Menu Pricing'!$O$7:$O$56,$O2830))&gt;0,INDEX('Menu Pricing'!$O$7:$O$56,$O2830),""))))</f>
        <v/>
      </c>
      <c r="I2830" s="71">
        <f>IF($N2830&lt;&gt;"OK","",$D2830*$H2830)</f>
        <v/>
      </c>
      <c r="J2830" s="71">
        <f>IF($N2830&lt;&gt;"OK","",N(INDEX('Menu Pricing'!$F$7:$F$56,$O2830))+N(INDEX('Menu Pricing'!$G$7:$G$56,$O2830))+N(INDEX('Menu Pricing'!$J$7:$J$56,$O2830)))</f>
        <v/>
      </c>
      <c r="K2830" s="71">
        <f>IF($N2830&lt;&gt;"OK","",$D2830*$J2830)</f>
        <v/>
      </c>
      <c r="L2830" s="71">
        <f>IF($N2830&lt;&gt;"OK","",$I2830-$K2830)</f>
        <v/>
      </c>
      <c r="M2830" s="71">
        <f>IF($N2830&lt;&gt;"OK","",$D2830*N(INDEX('Menu Pricing'!$F$7:$F$56,$O2830)))</f>
        <v/>
      </c>
      <c r="N2830" s="80">
        <f>IF(AND($B2830="",$C2830="",$D2830=""),"",IF(NOT(ISNUMBER($B2830)),"Enter a valid date",IF($C2830="","Pick a menu item",IF($O2830="","Item not on Menu Pricing",IF(N($D2830)&lt;=0,"Qty must be above 0",IF($H2830="","No price on menu","OK"))))))</f>
        <v/>
      </c>
      <c r="O2830" s="13">
        <f>IF($C2830="","",IFERROR(MATCH($C2830,'Menu Pricing'!$B$7:$B$56,0),""))</f>
        <v/>
      </c>
    </row>
    <row r="2831" ht="17" customHeight="1">
      <c r="B2831" s="66" t="n"/>
      <c r="C2831" s="60" t="n"/>
      <c r="D2831" s="86" t="n"/>
      <c r="E2831" s="63" t="n"/>
      <c r="F2831" s="60" t="n"/>
      <c r="G2831" s="60" t="n"/>
      <c r="H2831" s="71">
        <f>IF(OR($C2831="",$D2831=""),"",IF(ISNUMBER($E2831),$E2831,IF($O2831="","",IF(N(INDEX('Menu Pricing'!$O$7:$O$56,$O2831))&gt;0,INDEX('Menu Pricing'!$O$7:$O$56,$O2831),""))))</f>
        <v/>
      </c>
      <c r="I2831" s="71">
        <f>IF($N2831&lt;&gt;"OK","",$D2831*$H2831)</f>
        <v/>
      </c>
      <c r="J2831" s="71">
        <f>IF($N2831&lt;&gt;"OK","",N(INDEX('Menu Pricing'!$F$7:$F$56,$O2831))+N(INDEX('Menu Pricing'!$G$7:$G$56,$O2831))+N(INDEX('Menu Pricing'!$J$7:$J$56,$O2831)))</f>
        <v/>
      </c>
      <c r="K2831" s="71">
        <f>IF($N2831&lt;&gt;"OK","",$D2831*$J2831)</f>
        <v/>
      </c>
      <c r="L2831" s="71">
        <f>IF($N2831&lt;&gt;"OK","",$I2831-$K2831)</f>
        <v/>
      </c>
      <c r="M2831" s="71">
        <f>IF($N2831&lt;&gt;"OK","",$D2831*N(INDEX('Menu Pricing'!$F$7:$F$56,$O2831)))</f>
        <v/>
      </c>
      <c r="N2831" s="80">
        <f>IF(AND($B2831="",$C2831="",$D2831=""),"",IF(NOT(ISNUMBER($B2831)),"Enter a valid date",IF($C2831="","Pick a menu item",IF($O2831="","Item not on Menu Pricing",IF(N($D2831)&lt;=0,"Qty must be above 0",IF($H2831="","No price on menu","OK"))))))</f>
        <v/>
      </c>
      <c r="O2831" s="13">
        <f>IF($C2831="","",IFERROR(MATCH($C2831,'Menu Pricing'!$B$7:$B$56,0),""))</f>
        <v/>
      </c>
    </row>
    <row r="2832" ht="17" customHeight="1">
      <c r="B2832" s="66" t="n"/>
      <c r="C2832" s="60" t="n"/>
      <c r="D2832" s="86" t="n"/>
      <c r="E2832" s="63" t="n"/>
      <c r="F2832" s="60" t="n"/>
      <c r="G2832" s="60" t="n"/>
      <c r="H2832" s="71">
        <f>IF(OR($C2832="",$D2832=""),"",IF(ISNUMBER($E2832),$E2832,IF($O2832="","",IF(N(INDEX('Menu Pricing'!$O$7:$O$56,$O2832))&gt;0,INDEX('Menu Pricing'!$O$7:$O$56,$O2832),""))))</f>
        <v/>
      </c>
      <c r="I2832" s="71">
        <f>IF($N2832&lt;&gt;"OK","",$D2832*$H2832)</f>
        <v/>
      </c>
      <c r="J2832" s="71">
        <f>IF($N2832&lt;&gt;"OK","",N(INDEX('Menu Pricing'!$F$7:$F$56,$O2832))+N(INDEX('Menu Pricing'!$G$7:$G$56,$O2832))+N(INDEX('Menu Pricing'!$J$7:$J$56,$O2832)))</f>
        <v/>
      </c>
      <c r="K2832" s="71">
        <f>IF($N2832&lt;&gt;"OK","",$D2832*$J2832)</f>
        <v/>
      </c>
      <c r="L2832" s="71">
        <f>IF($N2832&lt;&gt;"OK","",$I2832-$K2832)</f>
        <v/>
      </c>
      <c r="M2832" s="71">
        <f>IF($N2832&lt;&gt;"OK","",$D2832*N(INDEX('Menu Pricing'!$F$7:$F$56,$O2832)))</f>
        <v/>
      </c>
      <c r="N2832" s="80">
        <f>IF(AND($B2832="",$C2832="",$D2832=""),"",IF(NOT(ISNUMBER($B2832)),"Enter a valid date",IF($C2832="","Pick a menu item",IF($O2832="","Item not on Menu Pricing",IF(N($D2832)&lt;=0,"Qty must be above 0",IF($H2832="","No price on menu","OK"))))))</f>
        <v/>
      </c>
      <c r="O2832" s="13">
        <f>IF($C2832="","",IFERROR(MATCH($C2832,'Menu Pricing'!$B$7:$B$56,0),""))</f>
        <v/>
      </c>
    </row>
    <row r="2833" ht="17" customHeight="1">
      <c r="B2833" s="66" t="n"/>
      <c r="C2833" s="60" t="n"/>
      <c r="D2833" s="86" t="n"/>
      <c r="E2833" s="63" t="n"/>
      <c r="F2833" s="60" t="n"/>
      <c r="G2833" s="60" t="n"/>
      <c r="H2833" s="71">
        <f>IF(OR($C2833="",$D2833=""),"",IF(ISNUMBER($E2833),$E2833,IF($O2833="","",IF(N(INDEX('Menu Pricing'!$O$7:$O$56,$O2833))&gt;0,INDEX('Menu Pricing'!$O$7:$O$56,$O2833),""))))</f>
        <v/>
      </c>
      <c r="I2833" s="71">
        <f>IF($N2833&lt;&gt;"OK","",$D2833*$H2833)</f>
        <v/>
      </c>
      <c r="J2833" s="71">
        <f>IF($N2833&lt;&gt;"OK","",N(INDEX('Menu Pricing'!$F$7:$F$56,$O2833))+N(INDEX('Menu Pricing'!$G$7:$G$56,$O2833))+N(INDEX('Menu Pricing'!$J$7:$J$56,$O2833)))</f>
        <v/>
      </c>
      <c r="K2833" s="71">
        <f>IF($N2833&lt;&gt;"OK","",$D2833*$J2833)</f>
        <v/>
      </c>
      <c r="L2833" s="71">
        <f>IF($N2833&lt;&gt;"OK","",$I2833-$K2833)</f>
        <v/>
      </c>
      <c r="M2833" s="71">
        <f>IF($N2833&lt;&gt;"OK","",$D2833*N(INDEX('Menu Pricing'!$F$7:$F$56,$O2833)))</f>
        <v/>
      </c>
      <c r="N2833" s="80">
        <f>IF(AND($B2833="",$C2833="",$D2833=""),"",IF(NOT(ISNUMBER($B2833)),"Enter a valid date",IF($C2833="","Pick a menu item",IF($O2833="","Item not on Menu Pricing",IF(N($D2833)&lt;=0,"Qty must be above 0",IF($H2833="","No price on menu","OK"))))))</f>
        <v/>
      </c>
      <c r="O2833" s="13">
        <f>IF($C2833="","",IFERROR(MATCH($C2833,'Menu Pricing'!$B$7:$B$56,0),""))</f>
        <v/>
      </c>
    </row>
    <row r="2834" ht="17" customHeight="1">
      <c r="B2834" s="66" t="n"/>
      <c r="C2834" s="60" t="n"/>
      <c r="D2834" s="86" t="n"/>
      <c r="E2834" s="63" t="n"/>
      <c r="F2834" s="60" t="n"/>
      <c r="G2834" s="60" t="n"/>
      <c r="H2834" s="71">
        <f>IF(OR($C2834="",$D2834=""),"",IF(ISNUMBER($E2834),$E2834,IF($O2834="","",IF(N(INDEX('Menu Pricing'!$O$7:$O$56,$O2834))&gt;0,INDEX('Menu Pricing'!$O$7:$O$56,$O2834),""))))</f>
        <v/>
      </c>
      <c r="I2834" s="71">
        <f>IF($N2834&lt;&gt;"OK","",$D2834*$H2834)</f>
        <v/>
      </c>
      <c r="J2834" s="71">
        <f>IF($N2834&lt;&gt;"OK","",N(INDEX('Menu Pricing'!$F$7:$F$56,$O2834))+N(INDEX('Menu Pricing'!$G$7:$G$56,$O2834))+N(INDEX('Menu Pricing'!$J$7:$J$56,$O2834)))</f>
        <v/>
      </c>
      <c r="K2834" s="71">
        <f>IF($N2834&lt;&gt;"OK","",$D2834*$J2834)</f>
        <v/>
      </c>
      <c r="L2834" s="71">
        <f>IF($N2834&lt;&gt;"OK","",$I2834-$K2834)</f>
        <v/>
      </c>
      <c r="M2834" s="71">
        <f>IF($N2834&lt;&gt;"OK","",$D2834*N(INDEX('Menu Pricing'!$F$7:$F$56,$O2834)))</f>
        <v/>
      </c>
      <c r="N2834" s="80">
        <f>IF(AND($B2834="",$C2834="",$D2834=""),"",IF(NOT(ISNUMBER($B2834)),"Enter a valid date",IF($C2834="","Pick a menu item",IF($O2834="","Item not on Menu Pricing",IF(N($D2834)&lt;=0,"Qty must be above 0",IF($H2834="","No price on menu","OK"))))))</f>
        <v/>
      </c>
      <c r="O2834" s="13">
        <f>IF($C2834="","",IFERROR(MATCH($C2834,'Menu Pricing'!$B$7:$B$56,0),""))</f>
        <v/>
      </c>
    </row>
    <row r="2835" ht="17" customHeight="1">
      <c r="B2835" s="66" t="n"/>
      <c r="C2835" s="60" t="n"/>
      <c r="D2835" s="86" t="n"/>
      <c r="E2835" s="63" t="n"/>
      <c r="F2835" s="60" t="n"/>
      <c r="G2835" s="60" t="n"/>
      <c r="H2835" s="71">
        <f>IF(OR($C2835="",$D2835=""),"",IF(ISNUMBER($E2835),$E2835,IF($O2835="","",IF(N(INDEX('Menu Pricing'!$O$7:$O$56,$O2835))&gt;0,INDEX('Menu Pricing'!$O$7:$O$56,$O2835),""))))</f>
        <v/>
      </c>
      <c r="I2835" s="71">
        <f>IF($N2835&lt;&gt;"OK","",$D2835*$H2835)</f>
        <v/>
      </c>
      <c r="J2835" s="71">
        <f>IF($N2835&lt;&gt;"OK","",N(INDEX('Menu Pricing'!$F$7:$F$56,$O2835))+N(INDEX('Menu Pricing'!$G$7:$G$56,$O2835))+N(INDEX('Menu Pricing'!$J$7:$J$56,$O2835)))</f>
        <v/>
      </c>
      <c r="K2835" s="71">
        <f>IF($N2835&lt;&gt;"OK","",$D2835*$J2835)</f>
        <v/>
      </c>
      <c r="L2835" s="71">
        <f>IF($N2835&lt;&gt;"OK","",$I2835-$K2835)</f>
        <v/>
      </c>
      <c r="M2835" s="71">
        <f>IF($N2835&lt;&gt;"OK","",$D2835*N(INDEX('Menu Pricing'!$F$7:$F$56,$O2835)))</f>
        <v/>
      </c>
      <c r="N2835" s="80">
        <f>IF(AND($B2835="",$C2835="",$D2835=""),"",IF(NOT(ISNUMBER($B2835)),"Enter a valid date",IF($C2835="","Pick a menu item",IF($O2835="","Item not on Menu Pricing",IF(N($D2835)&lt;=0,"Qty must be above 0",IF($H2835="","No price on menu","OK"))))))</f>
        <v/>
      </c>
      <c r="O2835" s="13">
        <f>IF($C2835="","",IFERROR(MATCH($C2835,'Menu Pricing'!$B$7:$B$56,0),""))</f>
        <v/>
      </c>
    </row>
    <row r="2836" ht="17" customHeight="1">
      <c r="B2836" s="66" t="n"/>
      <c r="C2836" s="60" t="n"/>
      <c r="D2836" s="86" t="n"/>
      <c r="E2836" s="63" t="n"/>
      <c r="F2836" s="60" t="n"/>
      <c r="G2836" s="60" t="n"/>
      <c r="H2836" s="71">
        <f>IF(OR($C2836="",$D2836=""),"",IF(ISNUMBER($E2836),$E2836,IF($O2836="","",IF(N(INDEX('Menu Pricing'!$O$7:$O$56,$O2836))&gt;0,INDEX('Menu Pricing'!$O$7:$O$56,$O2836),""))))</f>
        <v/>
      </c>
      <c r="I2836" s="71">
        <f>IF($N2836&lt;&gt;"OK","",$D2836*$H2836)</f>
        <v/>
      </c>
      <c r="J2836" s="71">
        <f>IF($N2836&lt;&gt;"OK","",N(INDEX('Menu Pricing'!$F$7:$F$56,$O2836))+N(INDEX('Menu Pricing'!$G$7:$G$56,$O2836))+N(INDEX('Menu Pricing'!$J$7:$J$56,$O2836)))</f>
        <v/>
      </c>
      <c r="K2836" s="71">
        <f>IF($N2836&lt;&gt;"OK","",$D2836*$J2836)</f>
        <v/>
      </c>
      <c r="L2836" s="71">
        <f>IF($N2836&lt;&gt;"OK","",$I2836-$K2836)</f>
        <v/>
      </c>
      <c r="M2836" s="71">
        <f>IF($N2836&lt;&gt;"OK","",$D2836*N(INDEX('Menu Pricing'!$F$7:$F$56,$O2836)))</f>
        <v/>
      </c>
      <c r="N2836" s="80">
        <f>IF(AND($B2836="",$C2836="",$D2836=""),"",IF(NOT(ISNUMBER($B2836)),"Enter a valid date",IF($C2836="","Pick a menu item",IF($O2836="","Item not on Menu Pricing",IF(N($D2836)&lt;=0,"Qty must be above 0",IF($H2836="","No price on menu","OK"))))))</f>
        <v/>
      </c>
      <c r="O2836" s="13">
        <f>IF($C2836="","",IFERROR(MATCH($C2836,'Menu Pricing'!$B$7:$B$56,0),""))</f>
        <v/>
      </c>
    </row>
    <row r="2837" ht="17" customHeight="1">
      <c r="B2837" s="66" t="n"/>
      <c r="C2837" s="60" t="n"/>
      <c r="D2837" s="86" t="n"/>
      <c r="E2837" s="63" t="n"/>
      <c r="F2837" s="60" t="n"/>
      <c r="G2837" s="60" t="n"/>
      <c r="H2837" s="71">
        <f>IF(OR($C2837="",$D2837=""),"",IF(ISNUMBER($E2837),$E2837,IF($O2837="","",IF(N(INDEX('Menu Pricing'!$O$7:$O$56,$O2837))&gt;0,INDEX('Menu Pricing'!$O$7:$O$56,$O2837),""))))</f>
        <v/>
      </c>
      <c r="I2837" s="71">
        <f>IF($N2837&lt;&gt;"OK","",$D2837*$H2837)</f>
        <v/>
      </c>
      <c r="J2837" s="71">
        <f>IF($N2837&lt;&gt;"OK","",N(INDEX('Menu Pricing'!$F$7:$F$56,$O2837))+N(INDEX('Menu Pricing'!$G$7:$G$56,$O2837))+N(INDEX('Menu Pricing'!$J$7:$J$56,$O2837)))</f>
        <v/>
      </c>
      <c r="K2837" s="71">
        <f>IF($N2837&lt;&gt;"OK","",$D2837*$J2837)</f>
        <v/>
      </c>
      <c r="L2837" s="71">
        <f>IF($N2837&lt;&gt;"OK","",$I2837-$K2837)</f>
        <v/>
      </c>
      <c r="M2837" s="71">
        <f>IF($N2837&lt;&gt;"OK","",$D2837*N(INDEX('Menu Pricing'!$F$7:$F$56,$O2837)))</f>
        <v/>
      </c>
      <c r="N2837" s="80">
        <f>IF(AND($B2837="",$C2837="",$D2837=""),"",IF(NOT(ISNUMBER($B2837)),"Enter a valid date",IF($C2837="","Pick a menu item",IF($O2837="","Item not on Menu Pricing",IF(N($D2837)&lt;=0,"Qty must be above 0",IF($H2837="","No price on menu","OK"))))))</f>
        <v/>
      </c>
      <c r="O2837" s="13">
        <f>IF($C2837="","",IFERROR(MATCH($C2837,'Menu Pricing'!$B$7:$B$56,0),""))</f>
        <v/>
      </c>
    </row>
    <row r="2838" ht="17" customHeight="1">
      <c r="B2838" s="66" t="n"/>
      <c r="C2838" s="60" t="n"/>
      <c r="D2838" s="86" t="n"/>
      <c r="E2838" s="63" t="n"/>
      <c r="F2838" s="60" t="n"/>
      <c r="G2838" s="60" t="n"/>
      <c r="H2838" s="71">
        <f>IF(OR($C2838="",$D2838=""),"",IF(ISNUMBER($E2838),$E2838,IF($O2838="","",IF(N(INDEX('Menu Pricing'!$O$7:$O$56,$O2838))&gt;0,INDEX('Menu Pricing'!$O$7:$O$56,$O2838),""))))</f>
        <v/>
      </c>
      <c r="I2838" s="71">
        <f>IF($N2838&lt;&gt;"OK","",$D2838*$H2838)</f>
        <v/>
      </c>
      <c r="J2838" s="71">
        <f>IF($N2838&lt;&gt;"OK","",N(INDEX('Menu Pricing'!$F$7:$F$56,$O2838))+N(INDEX('Menu Pricing'!$G$7:$G$56,$O2838))+N(INDEX('Menu Pricing'!$J$7:$J$56,$O2838)))</f>
        <v/>
      </c>
      <c r="K2838" s="71">
        <f>IF($N2838&lt;&gt;"OK","",$D2838*$J2838)</f>
        <v/>
      </c>
      <c r="L2838" s="71">
        <f>IF($N2838&lt;&gt;"OK","",$I2838-$K2838)</f>
        <v/>
      </c>
      <c r="M2838" s="71">
        <f>IF($N2838&lt;&gt;"OK","",$D2838*N(INDEX('Menu Pricing'!$F$7:$F$56,$O2838)))</f>
        <v/>
      </c>
      <c r="N2838" s="80">
        <f>IF(AND($B2838="",$C2838="",$D2838=""),"",IF(NOT(ISNUMBER($B2838)),"Enter a valid date",IF($C2838="","Pick a menu item",IF($O2838="","Item not on Menu Pricing",IF(N($D2838)&lt;=0,"Qty must be above 0",IF($H2838="","No price on menu","OK"))))))</f>
        <v/>
      </c>
      <c r="O2838" s="13">
        <f>IF($C2838="","",IFERROR(MATCH($C2838,'Menu Pricing'!$B$7:$B$56,0),""))</f>
        <v/>
      </c>
    </row>
    <row r="2839" ht="17" customHeight="1">
      <c r="B2839" s="66" t="n"/>
      <c r="C2839" s="60" t="n"/>
      <c r="D2839" s="86" t="n"/>
      <c r="E2839" s="63" t="n"/>
      <c r="F2839" s="60" t="n"/>
      <c r="G2839" s="60" t="n"/>
      <c r="H2839" s="71">
        <f>IF(OR($C2839="",$D2839=""),"",IF(ISNUMBER($E2839),$E2839,IF($O2839="","",IF(N(INDEX('Menu Pricing'!$O$7:$O$56,$O2839))&gt;0,INDEX('Menu Pricing'!$O$7:$O$56,$O2839),""))))</f>
        <v/>
      </c>
      <c r="I2839" s="71">
        <f>IF($N2839&lt;&gt;"OK","",$D2839*$H2839)</f>
        <v/>
      </c>
      <c r="J2839" s="71">
        <f>IF($N2839&lt;&gt;"OK","",N(INDEX('Menu Pricing'!$F$7:$F$56,$O2839))+N(INDEX('Menu Pricing'!$G$7:$G$56,$O2839))+N(INDEX('Menu Pricing'!$J$7:$J$56,$O2839)))</f>
        <v/>
      </c>
      <c r="K2839" s="71">
        <f>IF($N2839&lt;&gt;"OK","",$D2839*$J2839)</f>
        <v/>
      </c>
      <c r="L2839" s="71">
        <f>IF($N2839&lt;&gt;"OK","",$I2839-$K2839)</f>
        <v/>
      </c>
      <c r="M2839" s="71">
        <f>IF($N2839&lt;&gt;"OK","",$D2839*N(INDEX('Menu Pricing'!$F$7:$F$56,$O2839)))</f>
        <v/>
      </c>
      <c r="N2839" s="80">
        <f>IF(AND($B2839="",$C2839="",$D2839=""),"",IF(NOT(ISNUMBER($B2839)),"Enter a valid date",IF($C2839="","Pick a menu item",IF($O2839="","Item not on Menu Pricing",IF(N($D2839)&lt;=0,"Qty must be above 0",IF($H2839="","No price on menu","OK"))))))</f>
        <v/>
      </c>
      <c r="O2839" s="13">
        <f>IF($C2839="","",IFERROR(MATCH($C2839,'Menu Pricing'!$B$7:$B$56,0),""))</f>
        <v/>
      </c>
    </row>
    <row r="2840" ht="17" customHeight="1">
      <c r="B2840" s="66" t="n"/>
      <c r="C2840" s="60" t="n"/>
      <c r="D2840" s="86" t="n"/>
      <c r="E2840" s="63" t="n"/>
      <c r="F2840" s="60" t="n"/>
      <c r="G2840" s="60" t="n"/>
      <c r="H2840" s="71">
        <f>IF(OR($C2840="",$D2840=""),"",IF(ISNUMBER($E2840),$E2840,IF($O2840="","",IF(N(INDEX('Menu Pricing'!$O$7:$O$56,$O2840))&gt;0,INDEX('Menu Pricing'!$O$7:$O$56,$O2840),""))))</f>
        <v/>
      </c>
      <c r="I2840" s="71">
        <f>IF($N2840&lt;&gt;"OK","",$D2840*$H2840)</f>
        <v/>
      </c>
      <c r="J2840" s="71">
        <f>IF($N2840&lt;&gt;"OK","",N(INDEX('Menu Pricing'!$F$7:$F$56,$O2840))+N(INDEX('Menu Pricing'!$G$7:$G$56,$O2840))+N(INDEX('Menu Pricing'!$J$7:$J$56,$O2840)))</f>
        <v/>
      </c>
      <c r="K2840" s="71">
        <f>IF($N2840&lt;&gt;"OK","",$D2840*$J2840)</f>
        <v/>
      </c>
      <c r="L2840" s="71">
        <f>IF($N2840&lt;&gt;"OK","",$I2840-$K2840)</f>
        <v/>
      </c>
      <c r="M2840" s="71">
        <f>IF($N2840&lt;&gt;"OK","",$D2840*N(INDEX('Menu Pricing'!$F$7:$F$56,$O2840)))</f>
        <v/>
      </c>
      <c r="N2840" s="80">
        <f>IF(AND($B2840="",$C2840="",$D2840=""),"",IF(NOT(ISNUMBER($B2840)),"Enter a valid date",IF($C2840="","Pick a menu item",IF($O2840="","Item not on Menu Pricing",IF(N($D2840)&lt;=0,"Qty must be above 0",IF($H2840="","No price on menu","OK"))))))</f>
        <v/>
      </c>
      <c r="O2840" s="13">
        <f>IF($C2840="","",IFERROR(MATCH($C2840,'Menu Pricing'!$B$7:$B$56,0),""))</f>
        <v/>
      </c>
    </row>
    <row r="2841" ht="17" customHeight="1">
      <c r="B2841" s="66" t="n"/>
      <c r="C2841" s="60" t="n"/>
      <c r="D2841" s="86" t="n"/>
      <c r="E2841" s="63" t="n"/>
      <c r="F2841" s="60" t="n"/>
      <c r="G2841" s="60" t="n"/>
      <c r="H2841" s="71">
        <f>IF(OR($C2841="",$D2841=""),"",IF(ISNUMBER($E2841),$E2841,IF($O2841="","",IF(N(INDEX('Menu Pricing'!$O$7:$O$56,$O2841))&gt;0,INDEX('Menu Pricing'!$O$7:$O$56,$O2841),""))))</f>
        <v/>
      </c>
      <c r="I2841" s="71">
        <f>IF($N2841&lt;&gt;"OK","",$D2841*$H2841)</f>
        <v/>
      </c>
      <c r="J2841" s="71">
        <f>IF($N2841&lt;&gt;"OK","",N(INDEX('Menu Pricing'!$F$7:$F$56,$O2841))+N(INDEX('Menu Pricing'!$G$7:$G$56,$O2841))+N(INDEX('Menu Pricing'!$J$7:$J$56,$O2841)))</f>
        <v/>
      </c>
      <c r="K2841" s="71">
        <f>IF($N2841&lt;&gt;"OK","",$D2841*$J2841)</f>
        <v/>
      </c>
      <c r="L2841" s="71">
        <f>IF($N2841&lt;&gt;"OK","",$I2841-$K2841)</f>
        <v/>
      </c>
      <c r="M2841" s="71">
        <f>IF($N2841&lt;&gt;"OK","",$D2841*N(INDEX('Menu Pricing'!$F$7:$F$56,$O2841)))</f>
        <v/>
      </c>
      <c r="N2841" s="80">
        <f>IF(AND($B2841="",$C2841="",$D2841=""),"",IF(NOT(ISNUMBER($B2841)),"Enter a valid date",IF($C2841="","Pick a menu item",IF($O2841="","Item not on Menu Pricing",IF(N($D2841)&lt;=0,"Qty must be above 0",IF($H2841="","No price on menu","OK"))))))</f>
        <v/>
      </c>
      <c r="O2841" s="13">
        <f>IF($C2841="","",IFERROR(MATCH($C2841,'Menu Pricing'!$B$7:$B$56,0),""))</f>
        <v/>
      </c>
    </row>
    <row r="2842" ht="17" customHeight="1">
      <c r="B2842" s="66" t="n"/>
      <c r="C2842" s="60" t="n"/>
      <c r="D2842" s="86" t="n"/>
      <c r="E2842" s="63" t="n"/>
      <c r="F2842" s="60" t="n"/>
      <c r="G2842" s="60" t="n"/>
      <c r="H2842" s="71">
        <f>IF(OR($C2842="",$D2842=""),"",IF(ISNUMBER($E2842),$E2842,IF($O2842="","",IF(N(INDEX('Menu Pricing'!$O$7:$O$56,$O2842))&gt;0,INDEX('Menu Pricing'!$O$7:$O$56,$O2842),""))))</f>
        <v/>
      </c>
      <c r="I2842" s="71">
        <f>IF($N2842&lt;&gt;"OK","",$D2842*$H2842)</f>
        <v/>
      </c>
      <c r="J2842" s="71">
        <f>IF($N2842&lt;&gt;"OK","",N(INDEX('Menu Pricing'!$F$7:$F$56,$O2842))+N(INDEX('Menu Pricing'!$G$7:$G$56,$O2842))+N(INDEX('Menu Pricing'!$J$7:$J$56,$O2842)))</f>
        <v/>
      </c>
      <c r="K2842" s="71">
        <f>IF($N2842&lt;&gt;"OK","",$D2842*$J2842)</f>
        <v/>
      </c>
      <c r="L2842" s="71">
        <f>IF($N2842&lt;&gt;"OK","",$I2842-$K2842)</f>
        <v/>
      </c>
      <c r="M2842" s="71">
        <f>IF($N2842&lt;&gt;"OK","",$D2842*N(INDEX('Menu Pricing'!$F$7:$F$56,$O2842)))</f>
        <v/>
      </c>
      <c r="N2842" s="80">
        <f>IF(AND($B2842="",$C2842="",$D2842=""),"",IF(NOT(ISNUMBER($B2842)),"Enter a valid date",IF($C2842="","Pick a menu item",IF($O2842="","Item not on Menu Pricing",IF(N($D2842)&lt;=0,"Qty must be above 0",IF($H2842="","No price on menu","OK"))))))</f>
        <v/>
      </c>
      <c r="O2842" s="13">
        <f>IF($C2842="","",IFERROR(MATCH($C2842,'Menu Pricing'!$B$7:$B$56,0),""))</f>
        <v/>
      </c>
    </row>
    <row r="2843" ht="17" customHeight="1">
      <c r="B2843" s="66" t="n"/>
      <c r="C2843" s="60" t="n"/>
      <c r="D2843" s="86" t="n"/>
      <c r="E2843" s="63" t="n"/>
      <c r="F2843" s="60" t="n"/>
      <c r="G2843" s="60" t="n"/>
      <c r="H2843" s="71">
        <f>IF(OR($C2843="",$D2843=""),"",IF(ISNUMBER($E2843),$E2843,IF($O2843="","",IF(N(INDEX('Menu Pricing'!$O$7:$O$56,$O2843))&gt;0,INDEX('Menu Pricing'!$O$7:$O$56,$O2843),""))))</f>
        <v/>
      </c>
      <c r="I2843" s="71">
        <f>IF($N2843&lt;&gt;"OK","",$D2843*$H2843)</f>
        <v/>
      </c>
      <c r="J2843" s="71">
        <f>IF($N2843&lt;&gt;"OK","",N(INDEX('Menu Pricing'!$F$7:$F$56,$O2843))+N(INDEX('Menu Pricing'!$G$7:$G$56,$O2843))+N(INDEX('Menu Pricing'!$J$7:$J$56,$O2843)))</f>
        <v/>
      </c>
      <c r="K2843" s="71">
        <f>IF($N2843&lt;&gt;"OK","",$D2843*$J2843)</f>
        <v/>
      </c>
      <c r="L2843" s="71">
        <f>IF($N2843&lt;&gt;"OK","",$I2843-$K2843)</f>
        <v/>
      </c>
      <c r="M2843" s="71">
        <f>IF($N2843&lt;&gt;"OK","",$D2843*N(INDEX('Menu Pricing'!$F$7:$F$56,$O2843)))</f>
        <v/>
      </c>
      <c r="N2843" s="80">
        <f>IF(AND($B2843="",$C2843="",$D2843=""),"",IF(NOT(ISNUMBER($B2843)),"Enter a valid date",IF($C2843="","Pick a menu item",IF($O2843="","Item not on Menu Pricing",IF(N($D2843)&lt;=0,"Qty must be above 0",IF($H2843="","No price on menu","OK"))))))</f>
        <v/>
      </c>
      <c r="O2843" s="13">
        <f>IF($C2843="","",IFERROR(MATCH($C2843,'Menu Pricing'!$B$7:$B$56,0),""))</f>
        <v/>
      </c>
    </row>
    <row r="2844" ht="17" customHeight="1">
      <c r="B2844" s="66" t="n"/>
      <c r="C2844" s="60" t="n"/>
      <c r="D2844" s="86" t="n"/>
      <c r="E2844" s="63" t="n"/>
      <c r="F2844" s="60" t="n"/>
      <c r="G2844" s="60" t="n"/>
      <c r="H2844" s="71">
        <f>IF(OR($C2844="",$D2844=""),"",IF(ISNUMBER($E2844),$E2844,IF($O2844="","",IF(N(INDEX('Menu Pricing'!$O$7:$O$56,$O2844))&gt;0,INDEX('Menu Pricing'!$O$7:$O$56,$O2844),""))))</f>
        <v/>
      </c>
      <c r="I2844" s="71">
        <f>IF($N2844&lt;&gt;"OK","",$D2844*$H2844)</f>
        <v/>
      </c>
      <c r="J2844" s="71">
        <f>IF($N2844&lt;&gt;"OK","",N(INDEX('Menu Pricing'!$F$7:$F$56,$O2844))+N(INDEX('Menu Pricing'!$G$7:$G$56,$O2844))+N(INDEX('Menu Pricing'!$J$7:$J$56,$O2844)))</f>
        <v/>
      </c>
      <c r="K2844" s="71">
        <f>IF($N2844&lt;&gt;"OK","",$D2844*$J2844)</f>
        <v/>
      </c>
      <c r="L2844" s="71">
        <f>IF($N2844&lt;&gt;"OK","",$I2844-$K2844)</f>
        <v/>
      </c>
      <c r="M2844" s="71">
        <f>IF($N2844&lt;&gt;"OK","",$D2844*N(INDEX('Menu Pricing'!$F$7:$F$56,$O2844)))</f>
        <v/>
      </c>
      <c r="N2844" s="80">
        <f>IF(AND($B2844="",$C2844="",$D2844=""),"",IF(NOT(ISNUMBER($B2844)),"Enter a valid date",IF($C2844="","Pick a menu item",IF($O2844="","Item not on Menu Pricing",IF(N($D2844)&lt;=0,"Qty must be above 0",IF($H2844="","No price on menu","OK"))))))</f>
        <v/>
      </c>
      <c r="O2844" s="13">
        <f>IF($C2844="","",IFERROR(MATCH($C2844,'Menu Pricing'!$B$7:$B$56,0),""))</f>
        <v/>
      </c>
    </row>
    <row r="2845" ht="17" customHeight="1">
      <c r="B2845" s="66" t="n"/>
      <c r="C2845" s="60" t="n"/>
      <c r="D2845" s="86" t="n"/>
      <c r="E2845" s="63" t="n"/>
      <c r="F2845" s="60" t="n"/>
      <c r="G2845" s="60" t="n"/>
      <c r="H2845" s="71">
        <f>IF(OR($C2845="",$D2845=""),"",IF(ISNUMBER($E2845),$E2845,IF($O2845="","",IF(N(INDEX('Menu Pricing'!$O$7:$O$56,$O2845))&gt;0,INDEX('Menu Pricing'!$O$7:$O$56,$O2845),""))))</f>
        <v/>
      </c>
      <c r="I2845" s="71">
        <f>IF($N2845&lt;&gt;"OK","",$D2845*$H2845)</f>
        <v/>
      </c>
      <c r="J2845" s="71">
        <f>IF($N2845&lt;&gt;"OK","",N(INDEX('Menu Pricing'!$F$7:$F$56,$O2845))+N(INDEX('Menu Pricing'!$G$7:$G$56,$O2845))+N(INDEX('Menu Pricing'!$J$7:$J$56,$O2845)))</f>
        <v/>
      </c>
      <c r="K2845" s="71">
        <f>IF($N2845&lt;&gt;"OK","",$D2845*$J2845)</f>
        <v/>
      </c>
      <c r="L2845" s="71">
        <f>IF($N2845&lt;&gt;"OK","",$I2845-$K2845)</f>
        <v/>
      </c>
      <c r="M2845" s="71">
        <f>IF($N2845&lt;&gt;"OK","",$D2845*N(INDEX('Menu Pricing'!$F$7:$F$56,$O2845)))</f>
        <v/>
      </c>
      <c r="N2845" s="80">
        <f>IF(AND($B2845="",$C2845="",$D2845=""),"",IF(NOT(ISNUMBER($B2845)),"Enter a valid date",IF($C2845="","Pick a menu item",IF($O2845="","Item not on Menu Pricing",IF(N($D2845)&lt;=0,"Qty must be above 0",IF($H2845="","No price on menu","OK"))))))</f>
        <v/>
      </c>
      <c r="O2845" s="13">
        <f>IF($C2845="","",IFERROR(MATCH($C2845,'Menu Pricing'!$B$7:$B$56,0),""))</f>
        <v/>
      </c>
    </row>
    <row r="2846" ht="17" customHeight="1">
      <c r="B2846" s="66" t="n"/>
      <c r="C2846" s="60" t="n"/>
      <c r="D2846" s="86" t="n"/>
      <c r="E2846" s="63" t="n"/>
      <c r="F2846" s="60" t="n"/>
      <c r="G2846" s="60" t="n"/>
      <c r="H2846" s="71">
        <f>IF(OR($C2846="",$D2846=""),"",IF(ISNUMBER($E2846),$E2846,IF($O2846="","",IF(N(INDEX('Menu Pricing'!$O$7:$O$56,$O2846))&gt;0,INDEX('Menu Pricing'!$O$7:$O$56,$O2846),""))))</f>
        <v/>
      </c>
      <c r="I2846" s="71">
        <f>IF($N2846&lt;&gt;"OK","",$D2846*$H2846)</f>
        <v/>
      </c>
      <c r="J2846" s="71">
        <f>IF($N2846&lt;&gt;"OK","",N(INDEX('Menu Pricing'!$F$7:$F$56,$O2846))+N(INDEX('Menu Pricing'!$G$7:$G$56,$O2846))+N(INDEX('Menu Pricing'!$J$7:$J$56,$O2846)))</f>
        <v/>
      </c>
      <c r="K2846" s="71">
        <f>IF($N2846&lt;&gt;"OK","",$D2846*$J2846)</f>
        <v/>
      </c>
      <c r="L2846" s="71">
        <f>IF($N2846&lt;&gt;"OK","",$I2846-$K2846)</f>
        <v/>
      </c>
      <c r="M2846" s="71">
        <f>IF($N2846&lt;&gt;"OK","",$D2846*N(INDEX('Menu Pricing'!$F$7:$F$56,$O2846)))</f>
        <v/>
      </c>
      <c r="N2846" s="80">
        <f>IF(AND($B2846="",$C2846="",$D2846=""),"",IF(NOT(ISNUMBER($B2846)),"Enter a valid date",IF($C2846="","Pick a menu item",IF($O2846="","Item not on Menu Pricing",IF(N($D2846)&lt;=0,"Qty must be above 0",IF($H2846="","No price on menu","OK"))))))</f>
        <v/>
      </c>
      <c r="O2846" s="13">
        <f>IF($C2846="","",IFERROR(MATCH($C2846,'Menu Pricing'!$B$7:$B$56,0),""))</f>
        <v/>
      </c>
    </row>
    <row r="2847" ht="17" customHeight="1">
      <c r="B2847" s="66" t="n"/>
      <c r="C2847" s="60" t="n"/>
      <c r="D2847" s="86" t="n"/>
      <c r="E2847" s="63" t="n"/>
      <c r="F2847" s="60" t="n"/>
      <c r="G2847" s="60" t="n"/>
      <c r="H2847" s="71">
        <f>IF(OR($C2847="",$D2847=""),"",IF(ISNUMBER($E2847),$E2847,IF($O2847="","",IF(N(INDEX('Menu Pricing'!$O$7:$O$56,$O2847))&gt;0,INDEX('Menu Pricing'!$O$7:$O$56,$O2847),""))))</f>
        <v/>
      </c>
      <c r="I2847" s="71">
        <f>IF($N2847&lt;&gt;"OK","",$D2847*$H2847)</f>
        <v/>
      </c>
      <c r="J2847" s="71">
        <f>IF($N2847&lt;&gt;"OK","",N(INDEX('Menu Pricing'!$F$7:$F$56,$O2847))+N(INDEX('Menu Pricing'!$G$7:$G$56,$O2847))+N(INDEX('Menu Pricing'!$J$7:$J$56,$O2847)))</f>
        <v/>
      </c>
      <c r="K2847" s="71">
        <f>IF($N2847&lt;&gt;"OK","",$D2847*$J2847)</f>
        <v/>
      </c>
      <c r="L2847" s="71">
        <f>IF($N2847&lt;&gt;"OK","",$I2847-$K2847)</f>
        <v/>
      </c>
      <c r="M2847" s="71">
        <f>IF($N2847&lt;&gt;"OK","",$D2847*N(INDEX('Menu Pricing'!$F$7:$F$56,$O2847)))</f>
        <v/>
      </c>
      <c r="N2847" s="80">
        <f>IF(AND($B2847="",$C2847="",$D2847=""),"",IF(NOT(ISNUMBER($B2847)),"Enter a valid date",IF($C2847="","Pick a menu item",IF($O2847="","Item not on Menu Pricing",IF(N($D2847)&lt;=0,"Qty must be above 0",IF($H2847="","No price on menu","OK"))))))</f>
        <v/>
      </c>
      <c r="O2847" s="13">
        <f>IF($C2847="","",IFERROR(MATCH($C2847,'Menu Pricing'!$B$7:$B$56,0),""))</f>
        <v/>
      </c>
    </row>
    <row r="2848" ht="17" customHeight="1">
      <c r="B2848" s="66" t="n"/>
      <c r="C2848" s="60" t="n"/>
      <c r="D2848" s="86" t="n"/>
      <c r="E2848" s="63" t="n"/>
      <c r="F2848" s="60" t="n"/>
      <c r="G2848" s="60" t="n"/>
      <c r="H2848" s="71">
        <f>IF(OR($C2848="",$D2848=""),"",IF(ISNUMBER($E2848),$E2848,IF($O2848="","",IF(N(INDEX('Menu Pricing'!$O$7:$O$56,$O2848))&gt;0,INDEX('Menu Pricing'!$O$7:$O$56,$O2848),""))))</f>
        <v/>
      </c>
      <c r="I2848" s="71">
        <f>IF($N2848&lt;&gt;"OK","",$D2848*$H2848)</f>
        <v/>
      </c>
      <c r="J2848" s="71">
        <f>IF($N2848&lt;&gt;"OK","",N(INDEX('Menu Pricing'!$F$7:$F$56,$O2848))+N(INDEX('Menu Pricing'!$G$7:$G$56,$O2848))+N(INDEX('Menu Pricing'!$J$7:$J$56,$O2848)))</f>
        <v/>
      </c>
      <c r="K2848" s="71">
        <f>IF($N2848&lt;&gt;"OK","",$D2848*$J2848)</f>
        <v/>
      </c>
      <c r="L2848" s="71">
        <f>IF($N2848&lt;&gt;"OK","",$I2848-$K2848)</f>
        <v/>
      </c>
      <c r="M2848" s="71">
        <f>IF($N2848&lt;&gt;"OK","",$D2848*N(INDEX('Menu Pricing'!$F$7:$F$56,$O2848)))</f>
        <v/>
      </c>
      <c r="N2848" s="80">
        <f>IF(AND($B2848="",$C2848="",$D2848=""),"",IF(NOT(ISNUMBER($B2848)),"Enter a valid date",IF($C2848="","Pick a menu item",IF($O2848="","Item not on Menu Pricing",IF(N($D2848)&lt;=0,"Qty must be above 0",IF($H2848="","No price on menu","OK"))))))</f>
        <v/>
      </c>
      <c r="O2848" s="13">
        <f>IF($C2848="","",IFERROR(MATCH($C2848,'Menu Pricing'!$B$7:$B$56,0),""))</f>
        <v/>
      </c>
    </row>
    <row r="2849" ht="17" customHeight="1">
      <c r="B2849" s="66" t="n"/>
      <c r="C2849" s="60" t="n"/>
      <c r="D2849" s="86" t="n"/>
      <c r="E2849" s="63" t="n"/>
      <c r="F2849" s="60" t="n"/>
      <c r="G2849" s="60" t="n"/>
      <c r="H2849" s="71">
        <f>IF(OR($C2849="",$D2849=""),"",IF(ISNUMBER($E2849),$E2849,IF($O2849="","",IF(N(INDEX('Menu Pricing'!$O$7:$O$56,$O2849))&gt;0,INDEX('Menu Pricing'!$O$7:$O$56,$O2849),""))))</f>
        <v/>
      </c>
      <c r="I2849" s="71">
        <f>IF($N2849&lt;&gt;"OK","",$D2849*$H2849)</f>
        <v/>
      </c>
      <c r="J2849" s="71">
        <f>IF($N2849&lt;&gt;"OK","",N(INDEX('Menu Pricing'!$F$7:$F$56,$O2849))+N(INDEX('Menu Pricing'!$G$7:$G$56,$O2849))+N(INDEX('Menu Pricing'!$J$7:$J$56,$O2849)))</f>
        <v/>
      </c>
      <c r="K2849" s="71">
        <f>IF($N2849&lt;&gt;"OK","",$D2849*$J2849)</f>
        <v/>
      </c>
      <c r="L2849" s="71">
        <f>IF($N2849&lt;&gt;"OK","",$I2849-$K2849)</f>
        <v/>
      </c>
      <c r="M2849" s="71">
        <f>IF($N2849&lt;&gt;"OK","",$D2849*N(INDEX('Menu Pricing'!$F$7:$F$56,$O2849)))</f>
        <v/>
      </c>
      <c r="N2849" s="80">
        <f>IF(AND($B2849="",$C2849="",$D2849=""),"",IF(NOT(ISNUMBER($B2849)),"Enter a valid date",IF($C2849="","Pick a menu item",IF($O2849="","Item not on Menu Pricing",IF(N($D2849)&lt;=0,"Qty must be above 0",IF($H2849="","No price on menu","OK"))))))</f>
        <v/>
      </c>
      <c r="O2849" s="13">
        <f>IF($C2849="","",IFERROR(MATCH($C2849,'Menu Pricing'!$B$7:$B$56,0),""))</f>
        <v/>
      </c>
    </row>
    <row r="2850" ht="17" customHeight="1">
      <c r="B2850" s="66" t="n"/>
      <c r="C2850" s="60" t="n"/>
      <c r="D2850" s="86" t="n"/>
      <c r="E2850" s="63" t="n"/>
      <c r="F2850" s="60" t="n"/>
      <c r="G2850" s="60" t="n"/>
      <c r="H2850" s="71">
        <f>IF(OR($C2850="",$D2850=""),"",IF(ISNUMBER($E2850),$E2850,IF($O2850="","",IF(N(INDEX('Menu Pricing'!$O$7:$O$56,$O2850))&gt;0,INDEX('Menu Pricing'!$O$7:$O$56,$O2850),""))))</f>
        <v/>
      </c>
      <c r="I2850" s="71">
        <f>IF($N2850&lt;&gt;"OK","",$D2850*$H2850)</f>
        <v/>
      </c>
      <c r="J2850" s="71">
        <f>IF($N2850&lt;&gt;"OK","",N(INDEX('Menu Pricing'!$F$7:$F$56,$O2850))+N(INDEX('Menu Pricing'!$G$7:$G$56,$O2850))+N(INDEX('Menu Pricing'!$J$7:$J$56,$O2850)))</f>
        <v/>
      </c>
      <c r="K2850" s="71">
        <f>IF($N2850&lt;&gt;"OK","",$D2850*$J2850)</f>
        <v/>
      </c>
      <c r="L2850" s="71">
        <f>IF($N2850&lt;&gt;"OK","",$I2850-$K2850)</f>
        <v/>
      </c>
      <c r="M2850" s="71">
        <f>IF($N2850&lt;&gt;"OK","",$D2850*N(INDEX('Menu Pricing'!$F$7:$F$56,$O2850)))</f>
        <v/>
      </c>
      <c r="N2850" s="80">
        <f>IF(AND($B2850="",$C2850="",$D2850=""),"",IF(NOT(ISNUMBER($B2850)),"Enter a valid date",IF($C2850="","Pick a menu item",IF($O2850="","Item not on Menu Pricing",IF(N($D2850)&lt;=0,"Qty must be above 0",IF($H2850="","No price on menu","OK"))))))</f>
        <v/>
      </c>
      <c r="O2850" s="13">
        <f>IF($C2850="","",IFERROR(MATCH($C2850,'Menu Pricing'!$B$7:$B$56,0),""))</f>
        <v/>
      </c>
    </row>
    <row r="2851" ht="17" customHeight="1">
      <c r="B2851" s="66" t="n"/>
      <c r="C2851" s="60" t="n"/>
      <c r="D2851" s="86" t="n"/>
      <c r="E2851" s="63" t="n"/>
      <c r="F2851" s="60" t="n"/>
      <c r="G2851" s="60" t="n"/>
      <c r="H2851" s="71">
        <f>IF(OR($C2851="",$D2851=""),"",IF(ISNUMBER($E2851),$E2851,IF($O2851="","",IF(N(INDEX('Menu Pricing'!$O$7:$O$56,$O2851))&gt;0,INDEX('Menu Pricing'!$O$7:$O$56,$O2851),""))))</f>
        <v/>
      </c>
      <c r="I2851" s="71">
        <f>IF($N2851&lt;&gt;"OK","",$D2851*$H2851)</f>
        <v/>
      </c>
      <c r="J2851" s="71">
        <f>IF($N2851&lt;&gt;"OK","",N(INDEX('Menu Pricing'!$F$7:$F$56,$O2851))+N(INDEX('Menu Pricing'!$G$7:$G$56,$O2851))+N(INDEX('Menu Pricing'!$J$7:$J$56,$O2851)))</f>
        <v/>
      </c>
      <c r="K2851" s="71">
        <f>IF($N2851&lt;&gt;"OK","",$D2851*$J2851)</f>
        <v/>
      </c>
      <c r="L2851" s="71">
        <f>IF($N2851&lt;&gt;"OK","",$I2851-$K2851)</f>
        <v/>
      </c>
      <c r="M2851" s="71">
        <f>IF($N2851&lt;&gt;"OK","",$D2851*N(INDEX('Menu Pricing'!$F$7:$F$56,$O2851)))</f>
        <v/>
      </c>
      <c r="N2851" s="80">
        <f>IF(AND($B2851="",$C2851="",$D2851=""),"",IF(NOT(ISNUMBER($B2851)),"Enter a valid date",IF($C2851="","Pick a menu item",IF($O2851="","Item not on Menu Pricing",IF(N($D2851)&lt;=0,"Qty must be above 0",IF($H2851="","No price on menu","OK"))))))</f>
        <v/>
      </c>
      <c r="O2851" s="13">
        <f>IF($C2851="","",IFERROR(MATCH($C2851,'Menu Pricing'!$B$7:$B$56,0),""))</f>
        <v/>
      </c>
    </row>
    <row r="2852" ht="17" customHeight="1">
      <c r="B2852" s="66" t="n"/>
      <c r="C2852" s="60" t="n"/>
      <c r="D2852" s="86" t="n"/>
      <c r="E2852" s="63" t="n"/>
      <c r="F2852" s="60" t="n"/>
      <c r="G2852" s="60" t="n"/>
      <c r="H2852" s="71">
        <f>IF(OR($C2852="",$D2852=""),"",IF(ISNUMBER($E2852),$E2852,IF($O2852="","",IF(N(INDEX('Menu Pricing'!$O$7:$O$56,$O2852))&gt;0,INDEX('Menu Pricing'!$O$7:$O$56,$O2852),""))))</f>
        <v/>
      </c>
      <c r="I2852" s="71">
        <f>IF($N2852&lt;&gt;"OK","",$D2852*$H2852)</f>
        <v/>
      </c>
      <c r="J2852" s="71">
        <f>IF($N2852&lt;&gt;"OK","",N(INDEX('Menu Pricing'!$F$7:$F$56,$O2852))+N(INDEX('Menu Pricing'!$G$7:$G$56,$O2852))+N(INDEX('Menu Pricing'!$J$7:$J$56,$O2852)))</f>
        <v/>
      </c>
      <c r="K2852" s="71">
        <f>IF($N2852&lt;&gt;"OK","",$D2852*$J2852)</f>
        <v/>
      </c>
      <c r="L2852" s="71">
        <f>IF($N2852&lt;&gt;"OK","",$I2852-$K2852)</f>
        <v/>
      </c>
      <c r="M2852" s="71">
        <f>IF($N2852&lt;&gt;"OK","",$D2852*N(INDEX('Menu Pricing'!$F$7:$F$56,$O2852)))</f>
        <v/>
      </c>
      <c r="N2852" s="80">
        <f>IF(AND($B2852="",$C2852="",$D2852=""),"",IF(NOT(ISNUMBER($B2852)),"Enter a valid date",IF($C2852="","Pick a menu item",IF($O2852="","Item not on Menu Pricing",IF(N($D2852)&lt;=0,"Qty must be above 0",IF($H2852="","No price on menu","OK"))))))</f>
        <v/>
      </c>
      <c r="O2852" s="13">
        <f>IF($C2852="","",IFERROR(MATCH($C2852,'Menu Pricing'!$B$7:$B$56,0),""))</f>
        <v/>
      </c>
    </row>
    <row r="2853" ht="17" customHeight="1">
      <c r="B2853" s="66" t="n"/>
      <c r="C2853" s="60" t="n"/>
      <c r="D2853" s="86" t="n"/>
      <c r="E2853" s="63" t="n"/>
      <c r="F2853" s="60" t="n"/>
      <c r="G2853" s="60" t="n"/>
      <c r="H2853" s="71">
        <f>IF(OR($C2853="",$D2853=""),"",IF(ISNUMBER($E2853),$E2853,IF($O2853="","",IF(N(INDEX('Menu Pricing'!$O$7:$O$56,$O2853))&gt;0,INDEX('Menu Pricing'!$O$7:$O$56,$O2853),""))))</f>
        <v/>
      </c>
      <c r="I2853" s="71">
        <f>IF($N2853&lt;&gt;"OK","",$D2853*$H2853)</f>
        <v/>
      </c>
      <c r="J2853" s="71">
        <f>IF($N2853&lt;&gt;"OK","",N(INDEX('Menu Pricing'!$F$7:$F$56,$O2853))+N(INDEX('Menu Pricing'!$G$7:$G$56,$O2853))+N(INDEX('Menu Pricing'!$J$7:$J$56,$O2853)))</f>
        <v/>
      </c>
      <c r="K2853" s="71">
        <f>IF($N2853&lt;&gt;"OK","",$D2853*$J2853)</f>
        <v/>
      </c>
      <c r="L2853" s="71">
        <f>IF($N2853&lt;&gt;"OK","",$I2853-$K2853)</f>
        <v/>
      </c>
      <c r="M2853" s="71">
        <f>IF($N2853&lt;&gt;"OK","",$D2853*N(INDEX('Menu Pricing'!$F$7:$F$56,$O2853)))</f>
        <v/>
      </c>
      <c r="N2853" s="80">
        <f>IF(AND($B2853="",$C2853="",$D2853=""),"",IF(NOT(ISNUMBER($B2853)),"Enter a valid date",IF($C2853="","Pick a menu item",IF($O2853="","Item not on Menu Pricing",IF(N($D2853)&lt;=0,"Qty must be above 0",IF($H2853="","No price on menu","OK"))))))</f>
        <v/>
      </c>
      <c r="O2853" s="13">
        <f>IF($C2853="","",IFERROR(MATCH($C2853,'Menu Pricing'!$B$7:$B$56,0),""))</f>
        <v/>
      </c>
    </row>
    <row r="2854" ht="17" customHeight="1">
      <c r="B2854" s="66" t="n"/>
      <c r="C2854" s="60" t="n"/>
      <c r="D2854" s="86" t="n"/>
      <c r="E2854" s="63" t="n"/>
      <c r="F2854" s="60" t="n"/>
      <c r="G2854" s="60" t="n"/>
      <c r="H2854" s="71">
        <f>IF(OR($C2854="",$D2854=""),"",IF(ISNUMBER($E2854),$E2854,IF($O2854="","",IF(N(INDEX('Menu Pricing'!$O$7:$O$56,$O2854))&gt;0,INDEX('Menu Pricing'!$O$7:$O$56,$O2854),""))))</f>
        <v/>
      </c>
      <c r="I2854" s="71">
        <f>IF($N2854&lt;&gt;"OK","",$D2854*$H2854)</f>
        <v/>
      </c>
      <c r="J2854" s="71">
        <f>IF($N2854&lt;&gt;"OK","",N(INDEX('Menu Pricing'!$F$7:$F$56,$O2854))+N(INDEX('Menu Pricing'!$G$7:$G$56,$O2854))+N(INDEX('Menu Pricing'!$J$7:$J$56,$O2854)))</f>
        <v/>
      </c>
      <c r="K2854" s="71">
        <f>IF($N2854&lt;&gt;"OK","",$D2854*$J2854)</f>
        <v/>
      </c>
      <c r="L2854" s="71">
        <f>IF($N2854&lt;&gt;"OK","",$I2854-$K2854)</f>
        <v/>
      </c>
      <c r="M2854" s="71">
        <f>IF($N2854&lt;&gt;"OK","",$D2854*N(INDEX('Menu Pricing'!$F$7:$F$56,$O2854)))</f>
        <v/>
      </c>
      <c r="N2854" s="80">
        <f>IF(AND($B2854="",$C2854="",$D2854=""),"",IF(NOT(ISNUMBER($B2854)),"Enter a valid date",IF($C2854="","Pick a menu item",IF($O2854="","Item not on Menu Pricing",IF(N($D2854)&lt;=0,"Qty must be above 0",IF($H2854="","No price on menu","OK"))))))</f>
        <v/>
      </c>
      <c r="O2854" s="13">
        <f>IF($C2854="","",IFERROR(MATCH($C2854,'Menu Pricing'!$B$7:$B$56,0),""))</f>
        <v/>
      </c>
    </row>
    <row r="2855" ht="17" customHeight="1">
      <c r="B2855" s="66" t="n"/>
      <c r="C2855" s="60" t="n"/>
      <c r="D2855" s="86" t="n"/>
      <c r="E2855" s="63" t="n"/>
      <c r="F2855" s="60" t="n"/>
      <c r="G2855" s="60" t="n"/>
      <c r="H2855" s="71">
        <f>IF(OR($C2855="",$D2855=""),"",IF(ISNUMBER($E2855),$E2855,IF($O2855="","",IF(N(INDEX('Menu Pricing'!$O$7:$O$56,$O2855))&gt;0,INDEX('Menu Pricing'!$O$7:$O$56,$O2855),""))))</f>
        <v/>
      </c>
      <c r="I2855" s="71">
        <f>IF($N2855&lt;&gt;"OK","",$D2855*$H2855)</f>
        <v/>
      </c>
      <c r="J2855" s="71">
        <f>IF($N2855&lt;&gt;"OK","",N(INDEX('Menu Pricing'!$F$7:$F$56,$O2855))+N(INDEX('Menu Pricing'!$G$7:$G$56,$O2855))+N(INDEX('Menu Pricing'!$J$7:$J$56,$O2855)))</f>
        <v/>
      </c>
      <c r="K2855" s="71">
        <f>IF($N2855&lt;&gt;"OK","",$D2855*$J2855)</f>
        <v/>
      </c>
      <c r="L2855" s="71">
        <f>IF($N2855&lt;&gt;"OK","",$I2855-$K2855)</f>
        <v/>
      </c>
      <c r="M2855" s="71">
        <f>IF($N2855&lt;&gt;"OK","",$D2855*N(INDEX('Menu Pricing'!$F$7:$F$56,$O2855)))</f>
        <v/>
      </c>
      <c r="N2855" s="80">
        <f>IF(AND($B2855="",$C2855="",$D2855=""),"",IF(NOT(ISNUMBER($B2855)),"Enter a valid date",IF($C2855="","Pick a menu item",IF($O2855="","Item not on Menu Pricing",IF(N($D2855)&lt;=0,"Qty must be above 0",IF($H2855="","No price on menu","OK"))))))</f>
        <v/>
      </c>
      <c r="O2855" s="13">
        <f>IF($C2855="","",IFERROR(MATCH($C2855,'Menu Pricing'!$B$7:$B$56,0),""))</f>
        <v/>
      </c>
    </row>
    <row r="2856" ht="17" customHeight="1">
      <c r="B2856" s="66" t="n"/>
      <c r="C2856" s="60" t="n"/>
      <c r="D2856" s="86" t="n"/>
      <c r="E2856" s="63" t="n"/>
      <c r="F2856" s="60" t="n"/>
      <c r="G2856" s="60" t="n"/>
      <c r="H2856" s="71">
        <f>IF(OR($C2856="",$D2856=""),"",IF(ISNUMBER($E2856),$E2856,IF($O2856="","",IF(N(INDEX('Menu Pricing'!$O$7:$O$56,$O2856))&gt;0,INDEX('Menu Pricing'!$O$7:$O$56,$O2856),""))))</f>
        <v/>
      </c>
      <c r="I2856" s="71">
        <f>IF($N2856&lt;&gt;"OK","",$D2856*$H2856)</f>
        <v/>
      </c>
      <c r="J2856" s="71">
        <f>IF($N2856&lt;&gt;"OK","",N(INDEX('Menu Pricing'!$F$7:$F$56,$O2856))+N(INDEX('Menu Pricing'!$G$7:$G$56,$O2856))+N(INDEX('Menu Pricing'!$J$7:$J$56,$O2856)))</f>
        <v/>
      </c>
      <c r="K2856" s="71">
        <f>IF($N2856&lt;&gt;"OK","",$D2856*$J2856)</f>
        <v/>
      </c>
      <c r="L2856" s="71">
        <f>IF($N2856&lt;&gt;"OK","",$I2856-$K2856)</f>
        <v/>
      </c>
      <c r="M2856" s="71">
        <f>IF($N2856&lt;&gt;"OK","",$D2856*N(INDEX('Menu Pricing'!$F$7:$F$56,$O2856)))</f>
        <v/>
      </c>
      <c r="N2856" s="80">
        <f>IF(AND($B2856="",$C2856="",$D2856=""),"",IF(NOT(ISNUMBER($B2856)),"Enter a valid date",IF($C2856="","Pick a menu item",IF($O2856="","Item not on Menu Pricing",IF(N($D2856)&lt;=0,"Qty must be above 0",IF($H2856="","No price on menu","OK"))))))</f>
        <v/>
      </c>
      <c r="O2856" s="13">
        <f>IF($C2856="","",IFERROR(MATCH($C2856,'Menu Pricing'!$B$7:$B$56,0),""))</f>
        <v/>
      </c>
    </row>
    <row r="2857" ht="17" customHeight="1">
      <c r="B2857" s="66" t="n"/>
      <c r="C2857" s="60" t="n"/>
      <c r="D2857" s="86" t="n"/>
      <c r="E2857" s="63" t="n"/>
      <c r="F2857" s="60" t="n"/>
      <c r="G2857" s="60" t="n"/>
      <c r="H2857" s="71">
        <f>IF(OR($C2857="",$D2857=""),"",IF(ISNUMBER($E2857),$E2857,IF($O2857="","",IF(N(INDEX('Menu Pricing'!$O$7:$O$56,$O2857))&gt;0,INDEX('Menu Pricing'!$O$7:$O$56,$O2857),""))))</f>
        <v/>
      </c>
      <c r="I2857" s="71">
        <f>IF($N2857&lt;&gt;"OK","",$D2857*$H2857)</f>
        <v/>
      </c>
      <c r="J2857" s="71">
        <f>IF($N2857&lt;&gt;"OK","",N(INDEX('Menu Pricing'!$F$7:$F$56,$O2857))+N(INDEX('Menu Pricing'!$G$7:$G$56,$O2857))+N(INDEX('Menu Pricing'!$J$7:$J$56,$O2857)))</f>
        <v/>
      </c>
      <c r="K2857" s="71">
        <f>IF($N2857&lt;&gt;"OK","",$D2857*$J2857)</f>
        <v/>
      </c>
      <c r="L2857" s="71">
        <f>IF($N2857&lt;&gt;"OK","",$I2857-$K2857)</f>
        <v/>
      </c>
      <c r="M2857" s="71">
        <f>IF($N2857&lt;&gt;"OK","",$D2857*N(INDEX('Menu Pricing'!$F$7:$F$56,$O2857)))</f>
        <v/>
      </c>
      <c r="N2857" s="80">
        <f>IF(AND($B2857="",$C2857="",$D2857=""),"",IF(NOT(ISNUMBER($B2857)),"Enter a valid date",IF($C2857="","Pick a menu item",IF($O2857="","Item not on Menu Pricing",IF(N($D2857)&lt;=0,"Qty must be above 0",IF($H2857="","No price on menu","OK"))))))</f>
        <v/>
      </c>
      <c r="O2857" s="13">
        <f>IF($C2857="","",IFERROR(MATCH($C2857,'Menu Pricing'!$B$7:$B$56,0),""))</f>
        <v/>
      </c>
    </row>
    <row r="2858" ht="17" customHeight="1">
      <c r="B2858" s="66" t="n"/>
      <c r="C2858" s="60" t="n"/>
      <c r="D2858" s="86" t="n"/>
      <c r="E2858" s="63" t="n"/>
      <c r="F2858" s="60" t="n"/>
      <c r="G2858" s="60" t="n"/>
      <c r="H2858" s="71">
        <f>IF(OR($C2858="",$D2858=""),"",IF(ISNUMBER($E2858),$E2858,IF($O2858="","",IF(N(INDEX('Menu Pricing'!$O$7:$O$56,$O2858))&gt;0,INDEX('Menu Pricing'!$O$7:$O$56,$O2858),""))))</f>
        <v/>
      </c>
      <c r="I2858" s="71">
        <f>IF($N2858&lt;&gt;"OK","",$D2858*$H2858)</f>
        <v/>
      </c>
      <c r="J2858" s="71">
        <f>IF($N2858&lt;&gt;"OK","",N(INDEX('Menu Pricing'!$F$7:$F$56,$O2858))+N(INDEX('Menu Pricing'!$G$7:$G$56,$O2858))+N(INDEX('Menu Pricing'!$J$7:$J$56,$O2858)))</f>
        <v/>
      </c>
      <c r="K2858" s="71">
        <f>IF($N2858&lt;&gt;"OK","",$D2858*$J2858)</f>
        <v/>
      </c>
      <c r="L2858" s="71">
        <f>IF($N2858&lt;&gt;"OK","",$I2858-$K2858)</f>
        <v/>
      </c>
      <c r="M2858" s="71">
        <f>IF($N2858&lt;&gt;"OK","",$D2858*N(INDEX('Menu Pricing'!$F$7:$F$56,$O2858)))</f>
        <v/>
      </c>
      <c r="N2858" s="80">
        <f>IF(AND($B2858="",$C2858="",$D2858=""),"",IF(NOT(ISNUMBER($B2858)),"Enter a valid date",IF($C2858="","Pick a menu item",IF($O2858="","Item not on Menu Pricing",IF(N($D2858)&lt;=0,"Qty must be above 0",IF($H2858="","No price on menu","OK"))))))</f>
        <v/>
      </c>
      <c r="O2858" s="13">
        <f>IF($C2858="","",IFERROR(MATCH($C2858,'Menu Pricing'!$B$7:$B$56,0),""))</f>
        <v/>
      </c>
    </row>
    <row r="2859" ht="17" customHeight="1">
      <c r="B2859" s="66" t="n"/>
      <c r="C2859" s="60" t="n"/>
      <c r="D2859" s="86" t="n"/>
      <c r="E2859" s="63" t="n"/>
      <c r="F2859" s="60" t="n"/>
      <c r="G2859" s="60" t="n"/>
      <c r="H2859" s="71">
        <f>IF(OR($C2859="",$D2859=""),"",IF(ISNUMBER($E2859),$E2859,IF($O2859="","",IF(N(INDEX('Menu Pricing'!$O$7:$O$56,$O2859))&gt;0,INDEX('Menu Pricing'!$O$7:$O$56,$O2859),""))))</f>
        <v/>
      </c>
      <c r="I2859" s="71">
        <f>IF($N2859&lt;&gt;"OK","",$D2859*$H2859)</f>
        <v/>
      </c>
      <c r="J2859" s="71">
        <f>IF($N2859&lt;&gt;"OK","",N(INDEX('Menu Pricing'!$F$7:$F$56,$O2859))+N(INDEX('Menu Pricing'!$G$7:$G$56,$O2859))+N(INDEX('Menu Pricing'!$J$7:$J$56,$O2859)))</f>
        <v/>
      </c>
      <c r="K2859" s="71">
        <f>IF($N2859&lt;&gt;"OK","",$D2859*$J2859)</f>
        <v/>
      </c>
      <c r="L2859" s="71">
        <f>IF($N2859&lt;&gt;"OK","",$I2859-$K2859)</f>
        <v/>
      </c>
      <c r="M2859" s="71">
        <f>IF($N2859&lt;&gt;"OK","",$D2859*N(INDEX('Menu Pricing'!$F$7:$F$56,$O2859)))</f>
        <v/>
      </c>
      <c r="N2859" s="80">
        <f>IF(AND($B2859="",$C2859="",$D2859=""),"",IF(NOT(ISNUMBER($B2859)),"Enter a valid date",IF($C2859="","Pick a menu item",IF($O2859="","Item not on Menu Pricing",IF(N($D2859)&lt;=0,"Qty must be above 0",IF($H2859="","No price on menu","OK"))))))</f>
        <v/>
      </c>
      <c r="O2859" s="13">
        <f>IF($C2859="","",IFERROR(MATCH($C2859,'Menu Pricing'!$B$7:$B$56,0),""))</f>
        <v/>
      </c>
    </row>
    <row r="2860" ht="17" customHeight="1">
      <c r="B2860" s="66" t="n"/>
      <c r="C2860" s="60" t="n"/>
      <c r="D2860" s="86" t="n"/>
      <c r="E2860" s="63" t="n"/>
      <c r="F2860" s="60" t="n"/>
      <c r="G2860" s="60" t="n"/>
      <c r="H2860" s="71">
        <f>IF(OR($C2860="",$D2860=""),"",IF(ISNUMBER($E2860),$E2860,IF($O2860="","",IF(N(INDEX('Menu Pricing'!$O$7:$O$56,$O2860))&gt;0,INDEX('Menu Pricing'!$O$7:$O$56,$O2860),""))))</f>
        <v/>
      </c>
      <c r="I2860" s="71">
        <f>IF($N2860&lt;&gt;"OK","",$D2860*$H2860)</f>
        <v/>
      </c>
      <c r="J2860" s="71">
        <f>IF($N2860&lt;&gt;"OK","",N(INDEX('Menu Pricing'!$F$7:$F$56,$O2860))+N(INDEX('Menu Pricing'!$G$7:$G$56,$O2860))+N(INDEX('Menu Pricing'!$J$7:$J$56,$O2860)))</f>
        <v/>
      </c>
      <c r="K2860" s="71">
        <f>IF($N2860&lt;&gt;"OK","",$D2860*$J2860)</f>
        <v/>
      </c>
      <c r="L2860" s="71">
        <f>IF($N2860&lt;&gt;"OK","",$I2860-$K2860)</f>
        <v/>
      </c>
      <c r="M2860" s="71">
        <f>IF($N2860&lt;&gt;"OK","",$D2860*N(INDEX('Menu Pricing'!$F$7:$F$56,$O2860)))</f>
        <v/>
      </c>
      <c r="N2860" s="80">
        <f>IF(AND($B2860="",$C2860="",$D2860=""),"",IF(NOT(ISNUMBER($B2860)),"Enter a valid date",IF($C2860="","Pick a menu item",IF($O2860="","Item not on Menu Pricing",IF(N($D2860)&lt;=0,"Qty must be above 0",IF($H2860="","No price on menu","OK"))))))</f>
        <v/>
      </c>
      <c r="O2860" s="13">
        <f>IF($C2860="","",IFERROR(MATCH($C2860,'Menu Pricing'!$B$7:$B$56,0),""))</f>
        <v/>
      </c>
    </row>
    <row r="2861" ht="17" customHeight="1">
      <c r="B2861" s="66" t="n"/>
      <c r="C2861" s="60" t="n"/>
      <c r="D2861" s="86" t="n"/>
      <c r="E2861" s="63" t="n"/>
      <c r="F2861" s="60" t="n"/>
      <c r="G2861" s="60" t="n"/>
      <c r="H2861" s="71">
        <f>IF(OR($C2861="",$D2861=""),"",IF(ISNUMBER($E2861),$E2861,IF($O2861="","",IF(N(INDEX('Menu Pricing'!$O$7:$O$56,$O2861))&gt;0,INDEX('Menu Pricing'!$O$7:$O$56,$O2861),""))))</f>
        <v/>
      </c>
      <c r="I2861" s="71">
        <f>IF($N2861&lt;&gt;"OK","",$D2861*$H2861)</f>
        <v/>
      </c>
      <c r="J2861" s="71">
        <f>IF($N2861&lt;&gt;"OK","",N(INDEX('Menu Pricing'!$F$7:$F$56,$O2861))+N(INDEX('Menu Pricing'!$G$7:$G$56,$O2861))+N(INDEX('Menu Pricing'!$J$7:$J$56,$O2861)))</f>
        <v/>
      </c>
      <c r="K2861" s="71">
        <f>IF($N2861&lt;&gt;"OK","",$D2861*$J2861)</f>
        <v/>
      </c>
      <c r="L2861" s="71">
        <f>IF($N2861&lt;&gt;"OK","",$I2861-$K2861)</f>
        <v/>
      </c>
      <c r="M2861" s="71">
        <f>IF($N2861&lt;&gt;"OK","",$D2861*N(INDEX('Menu Pricing'!$F$7:$F$56,$O2861)))</f>
        <v/>
      </c>
      <c r="N2861" s="80">
        <f>IF(AND($B2861="",$C2861="",$D2861=""),"",IF(NOT(ISNUMBER($B2861)),"Enter a valid date",IF($C2861="","Pick a menu item",IF($O2861="","Item not on Menu Pricing",IF(N($D2861)&lt;=0,"Qty must be above 0",IF($H2861="","No price on menu","OK"))))))</f>
        <v/>
      </c>
      <c r="O2861" s="13">
        <f>IF($C2861="","",IFERROR(MATCH($C2861,'Menu Pricing'!$B$7:$B$56,0),""))</f>
        <v/>
      </c>
    </row>
    <row r="2862" ht="17" customHeight="1">
      <c r="B2862" s="66" t="n"/>
      <c r="C2862" s="60" t="n"/>
      <c r="D2862" s="86" t="n"/>
      <c r="E2862" s="63" t="n"/>
      <c r="F2862" s="60" t="n"/>
      <c r="G2862" s="60" t="n"/>
      <c r="H2862" s="71">
        <f>IF(OR($C2862="",$D2862=""),"",IF(ISNUMBER($E2862),$E2862,IF($O2862="","",IF(N(INDEX('Menu Pricing'!$O$7:$O$56,$O2862))&gt;0,INDEX('Menu Pricing'!$O$7:$O$56,$O2862),""))))</f>
        <v/>
      </c>
      <c r="I2862" s="71">
        <f>IF($N2862&lt;&gt;"OK","",$D2862*$H2862)</f>
        <v/>
      </c>
      <c r="J2862" s="71">
        <f>IF($N2862&lt;&gt;"OK","",N(INDEX('Menu Pricing'!$F$7:$F$56,$O2862))+N(INDEX('Menu Pricing'!$G$7:$G$56,$O2862))+N(INDEX('Menu Pricing'!$J$7:$J$56,$O2862)))</f>
        <v/>
      </c>
      <c r="K2862" s="71">
        <f>IF($N2862&lt;&gt;"OK","",$D2862*$J2862)</f>
        <v/>
      </c>
      <c r="L2862" s="71">
        <f>IF($N2862&lt;&gt;"OK","",$I2862-$K2862)</f>
        <v/>
      </c>
      <c r="M2862" s="71">
        <f>IF($N2862&lt;&gt;"OK","",$D2862*N(INDEX('Menu Pricing'!$F$7:$F$56,$O2862)))</f>
        <v/>
      </c>
      <c r="N2862" s="80">
        <f>IF(AND($B2862="",$C2862="",$D2862=""),"",IF(NOT(ISNUMBER($B2862)),"Enter a valid date",IF($C2862="","Pick a menu item",IF($O2862="","Item not on Menu Pricing",IF(N($D2862)&lt;=0,"Qty must be above 0",IF($H2862="","No price on menu","OK"))))))</f>
        <v/>
      </c>
      <c r="O2862" s="13">
        <f>IF($C2862="","",IFERROR(MATCH($C2862,'Menu Pricing'!$B$7:$B$56,0),""))</f>
        <v/>
      </c>
    </row>
    <row r="2863" ht="17" customHeight="1">
      <c r="B2863" s="66" t="n"/>
      <c r="C2863" s="60" t="n"/>
      <c r="D2863" s="86" t="n"/>
      <c r="E2863" s="63" t="n"/>
      <c r="F2863" s="60" t="n"/>
      <c r="G2863" s="60" t="n"/>
      <c r="H2863" s="71">
        <f>IF(OR($C2863="",$D2863=""),"",IF(ISNUMBER($E2863),$E2863,IF($O2863="","",IF(N(INDEX('Menu Pricing'!$O$7:$O$56,$O2863))&gt;0,INDEX('Menu Pricing'!$O$7:$O$56,$O2863),""))))</f>
        <v/>
      </c>
      <c r="I2863" s="71">
        <f>IF($N2863&lt;&gt;"OK","",$D2863*$H2863)</f>
        <v/>
      </c>
      <c r="J2863" s="71">
        <f>IF($N2863&lt;&gt;"OK","",N(INDEX('Menu Pricing'!$F$7:$F$56,$O2863))+N(INDEX('Menu Pricing'!$G$7:$G$56,$O2863))+N(INDEX('Menu Pricing'!$J$7:$J$56,$O2863)))</f>
        <v/>
      </c>
      <c r="K2863" s="71">
        <f>IF($N2863&lt;&gt;"OK","",$D2863*$J2863)</f>
        <v/>
      </c>
      <c r="L2863" s="71">
        <f>IF($N2863&lt;&gt;"OK","",$I2863-$K2863)</f>
        <v/>
      </c>
      <c r="M2863" s="71">
        <f>IF($N2863&lt;&gt;"OK","",$D2863*N(INDEX('Menu Pricing'!$F$7:$F$56,$O2863)))</f>
        <v/>
      </c>
      <c r="N2863" s="80">
        <f>IF(AND($B2863="",$C2863="",$D2863=""),"",IF(NOT(ISNUMBER($B2863)),"Enter a valid date",IF($C2863="","Pick a menu item",IF($O2863="","Item not on Menu Pricing",IF(N($D2863)&lt;=0,"Qty must be above 0",IF($H2863="","No price on menu","OK"))))))</f>
        <v/>
      </c>
      <c r="O2863" s="13">
        <f>IF($C2863="","",IFERROR(MATCH($C2863,'Menu Pricing'!$B$7:$B$56,0),""))</f>
        <v/>
      </c>
    </row>
    <row r="2864" ht="17" customHeight="1">
      <c r="B2864" s="66" t="n"/>
      <c r="C2864" s="60" t="n"/>
      <c r="D2864" s="86" t="n"/>
      <c r="E2864" s="63" t="n"/>
      <c r="F2864" s="60" t="n"/>
      <c r="G2864" s="60" t="n"/>
      <c r="H2864" s="71">
        <f>IF(OR($C2864="",$D2864=""),"",IF(ISNUMBER($E2864),$E2864,IF($O2864="","",IF(N(INDEX('Menu Pricing'!$O$7:$O$56,$O2864))&gt;0,INDEX('Menu Pricing'!$O$7:$O$56,$O2864),""))))</f>
        <v/>
      </c>
      <c r="I2864" s="71">
        <f>IF($N2864&lt;&gt;"OK","",$D2864*$H2864)</f>
        <v/>
      </c>
      <c r="J2864" s="71">
        <f>IF($N2864&lt;&gt;"OK","",N(INDEX('Menu Pricing'!$F$7:$F$56,$O2864))+N(INDEX('Menu Pricing'!$G$7:$G$56,$O2864))+N(INDEX('Menu Pricing'!$J$7:$J$56,$O2864)))</f>
        <v/>
      </c>
      <c r="K2864" s="71">
        <f>IF($N2864&lt;&gt;"OK","",$D2864*$J2864)</f>
        <v/>
      </c>
      <c r="L2864" s="71">
        <f>IF($N2864&lt;&gt;"OK","",$I2864-$K2864)</f>
        <v/>
      </c>
      <c r="M2864" s="71">
        <f>IF($N2864&lt;&gt;"OK","",$D2864*N(INDEX('Menu Pricing'!$F$7:$F$56,$O2864)))</f>
        <v/>
      </c>
      <c r="N2864" s="80">
        <f>IF(AND($B2864="",$C2864="",$D2864=""),"",IF(NOT(ISNUMBER($B2864)),"Enter a valid date",IF($C2864="","Pick a menu item",IF($O2864="","Item not on Menu Pricing",IF(N($D2864)&lt;=0,"Qty must be above 0",IF($H2864="","No price on menu","OK"))))))</f>
        <v/>
      </c>
      <c r="O2864" s="13">
        <f>IF($C2864="","",IFERROR(MATCH($C2864,'Menu Pricing'!$B$7:$B$56,0),""))</f>
        <v/>
      </c>
    </row>
    <row r="2865" ht="17" customHeight="1">
      <c r="B2865" s="66" t="n"/>
      <c r="C2865" s="60" t="n"/>
      <c r="D2865" s="86" t="n"/>
      <c r="E2865" s="63" t="n"/>
      <c r="F2865" s="60" t="n"/>
      <c r="G2865" s="60" t="n"/>
      <c r="H2865" s="71">
        <f>IF(OR($C2865="",$D2865=""),"",IF(ISNUMBER($E2865),$E2865,IF($O2865="","",IF(N(INDEX('Menu Pricing'!$O$7:$O$56,$O2865))&gt;0,INDEX('Menu Pricing'!$O$7:$O$56,$O2865),""))))</f>
        <v/>
      </c>
      <c r="I2865" s="71">
        <f>IF($N2865&lt;&gt;"OK","",$D2865*$H2865)</f>
        <v/>
      </c>
      <c r="J2865" s="71">
        <f>IF($N2865&lt;&gt;"OK","",N(INDEX('Menu Pricing'!$F$7:$F$56,$O2865))+N(INDEX('Menu Pricing'!$G$7:$G$56,$O2865))+N(INDEX('Menu Pricing'!$J$7:$J$56,$O2865)))</f>
        <v/>
      </c>
      <c r="K2865" s="71">
        <f>IF($N2865&lt;&gt;"OK","",$D2865*$J2865)</f>
        <v/>
      </c>
      <c r="L2865" s="71">
        <f>IF($N2865&lt;&gt;"OK","",$I2865-$K2865)</f>
        <v/>
      </c>
      <c r="M2865" s="71">
        <f>IF($N2865&lt;&gt;"OK","",$D2865*N(INDEX('Menu Pricing'!$F$7:$F$56,$O2865)))</f>
        <v/>
      </c>
      <c r="N2865" s="80">
        <f>IF(AND($B2865="",$C2865="",$D2865=""),"",IF(NOT(ISNUMBER($B2865)),"Enter a valid date",IF($C2865="","Pick a menu item",IF($O2865="","Item not on Menu Pricing",IF(N($D2865)&lt;=0,"Qty must be above 0",IF($H2865="","No price on menu","OK"))))))</f>
        <v/>
      </c>
      <c r="O2865" s="13">
        <f>IF($C2865="","",IFERROR(MATCH($C2865,'Menu Pricing'!$B$7:$B$56,0),""))</f>
        <v/>
      </c>
    </row>
    <row r="2866" ht="17" customHeight="1">
      <c r="B2866" s="66" t="n"/>
      <c r="C2866" s="60" t="n"/>
      <c r="D2866" s="86" t="n"/>
      <c r="E2866" s="63" t="n"/>
      <c r="F2866" s="60" t="n"/>
      <c r="G2866" s="60" t="n"/>
      <c r="H2866" s="71">
        <f>IF(OR($C2866="",$D2866=""),"",IF(ISNUMBER($E2866),$E2866,IF($O2866="","",IF(N(INDEX('Menu Pricing'!$O$7:$O$56,$O2866))&gt;0,INDEX('Menu Pricing'!$O$7:$O$56,$O2866),""))))</f>
        <v/>
      </c>
      <c r="I2866" s="71">
        <f>IF($N2866&lt;&gt;"OK","",$D2866*$H2866)</f>
        <v/>
      </c>
      <c r="J2866" s="71">
        <f>IF($N2866&lt;&gt;"OK","",N(INDEX('Menu Pricing'!$F$7:$F$56,$O2866))+N(INDEX('Menu Pricing'!$G$7:$G$56,$O2866))+N(INDEX('Menu Pricing'!$J$7:$J$56,$O2866)))</f>
        <v/>
      </c>
      <c r="K2866" s="71">
        <f>IF($N2866&lt;&gt;"OK","",$D2866*$J2866)</f>
        <v/>
      </c>
      <c r="L2866" s="71">
        <f>IF($N2866&lt;&gt;"OK","",$I2866-$K2866)</f>
        <v/>
      </c>
      <c r="M2866" s="71">
        <f>IF($N2866&lt;&gt;"OK","",$D2866*N(INDEX('Menu Pricing'!$F$7:$F$56,$O2866)))</f>
        <v/>
      </c>
      <c r="N2866" s="80">
        <f>IF(AND($B2866="",$C2866="",$D2866=""),"",IF(NOT(ISNUMBER($B2866)),"Enter a valid date",IF($C2866="","Pick a menu item",IF($O2866="","Item not on Menu Pricing",IF(N($D2866)&lt;=0,"Qty must be above 0",IF($H2866="","No price on menu","OK"))))))</f>
        <v/>
      </c>
      <c r="O2866" s="13">
        <f>IF($C2866="","",IFERROR(MATCH($C2866,'Menu Pricing'!$B$7:$B$56,0),""))</f>
        <v/>
      </c>
    </row>
    <row r="2867" ht="17" customHeight="1">
      <c r="B2867" s="66" t="n"/>
      <c r="C2867" s="60" t="n"/>
      <c r="D2867" s="86" t="n"/>
      <c r="E2867" s="63" t="n"/>
      <c r="F2867" s="60" t="n"/>
      <c r="G2867" s="60" t="n"/>
      <c r="H2867" s="71">
        <f>IF(OR($C2867="",$D2867=""),"",IF(ISNUMBER($E2867),$E2867,IF($O2867="","",IF(N(INDEX('Menu Pricing'!$O$7:$O$56,$O2867))&gt;0,INDEX('Menu Pricing'!$O$7:$O$56,$O2867),""))))</f>
        <v/>
      </c>
      <c r="I2867" s="71">
        <f>IF($N2867&lt;&gt;"OK","",$D2867*$H2867)</f>
        <v/>
      </c>
      <c r="J2867" s="71">
        <f>IF($N2867&lt;&gt;"OK","",N(INDEX('Menu Pricing'!$F$7:$F$56,$O2867))+N(INDEX('Menu Pricing'!$G$7:$G$56,$O2867))+N(INDEX('Menu Pricing'!$J$7:$J$56,$O2867)))</f>
        <v/>
      </c>
      <c r="K2867" s="71">
        <f>IF($N2867&lt;&gt;"OK","",$D2867*$J2867)</f>
        <v/>
      </c>
      <c r="L2867" s="71">
        <f>IF($N2867&lt;&gt;"OK","",$I2867-$K2867)</f>
        <v/>
      </c>
      <c r="M2867" s="71">
        <f>IF($N2867&lt;&gt;"OK","",$D2867*N(INDEX('Menu Pricing'!$F$7:$F$56,$O2867)))</f>
        <v/>
      </c>
      <c r="N2867" s="80">
        <f>IF(AND($B2867="",$C2867="",$D2867=""),"",IF(NOT(ISNUMBER($B2867)),"Enter a valid date",IF($C2867="","Pick a menu item",IF($O2867="","Item not on Menu Pricing",IF(N($D2867)&lt;=0,"Qty must be above 0",IF($H2867="","No price on menu","OK"))))))</f>
        <v/>
      </c>
      <c r="O2867" s="13">
        <f>IF($C2867="","",IFERROR(MATCH($C2867,'Menu Pricing'!$B$7:$B$56,0),""))</f>
        <v/>
      </c>
    </row>
    <row r="2868" ht="17" customHeight="1">
      <c r="B2868" s="66" t="n"/>
      <c r="C2868" s="60" t="n"/>
      <c r="D2868" s="86" t="n"/>
      <c r="E2868" s="63" t="n"/>
      <c r="F2868" s="60" t="n"/>
      <c r="G2868" s="60" t="n"/>
      <c r="H2868" s="71">
        <f>IF(OR($C2868="",$D2868=""),"",IF(ISNUMBER($E2868),$E2868,IF($O2868="","",IF(N(INDEX('Menu Pricing'!$O$7:$O$56,$O2868))&gt;0,INDEX('Menu Pricing'!$O$7:$O$56,$O2868),""))))</f>
        <v/>
      </c>
      <c r="I2868" s="71">
        <f>IF($N2868&lt;&gt;"OK","",$D2868*$H2868)</f>
        <v/>
      </c>
      <c r="J2868" s="71">
        <f>IF($N2868&lt;&gt;"OK","",N(INDEX('Menu Pricing'!$F$7:$F$56,$O2868))+N(INDEX('Menu Pricing'!$G$7:$G$56,$O2868))+N(INDEX('Menu Pricing'!$J$7:$J$56,$O2868)))</f>
        <v/>
      </c>
      <c r="K2868" s="71">
        <f>IF($N2868&lt;&gt;"OK","",$D2868*$J2868)</f>
        <v/>
      </c>
      <c r="L2868" s="71">
        <f>IF($N2868&lt;&gt;"OK","",$I2868-$K2868)</f>
        <v/>
      </c>
      <c r="M2868" s="71">
        <f>IF($N2868&lt;&gt;"OK","",$D2868*N(INDEX('Menu Pricing'!$F$7:$F$56,$O2868)))</f>
        <v/>
      </c>
      <c r="N2868" s="80">
        <f>IF(AND($B2868="",$C2868="",$D2868=""),"",IF(NOT(ISNUMBER($B2868)),"Enter a valid date",IF($C2868="","Pick a menu item",IF($O2868="","Item not on Menu Pricing",IF(N($D2868)&lt;=0,"Qty must be above 0",IF($H2868="","No price on menu","OK"))))))</f>
        <v/>
      </c>
      <c r="O2868" s="13">
        <f>IF($C2868="","",IFERROR(MATCH($C2868,'Menu Pricing'!$B$7:$B$56,0),""))</f>
        <v/>
      </c>
    </row>
    <row r="2869" ht="17" customHeight="1">
      <c r="B2869" s="66" t="n"/>
      <c r="C2869" s="60" t="n"/>
      <c r="D2869" s="86" t="n"/>
      <c r="E2869" s="63" t="n"/>
      <c r="F2869" s="60" t="n"/>
      <c r="G2869" s="60" t="n"/>
      <c r="H2869" s="71">
        <f>IF(OR($C2869="",$D2869=""),"",IF(ISNUMBER($E2869),$E2869,IF($O2869="","",IF(N(INDEX('Menu Pricing'!$O$7:$O$56,$O2869))&gt;0,INDEX('Menu Pricing'!$O$7:$O$56,$O2869),""))))</f>
        <v/>
      </c>
      <c r="I2869" s="71">
        <f>IF($N2869&lt;&gt;"OK","",$D2869*$H2869)</f>
        <v/>
      </c>
      <c r="J2869" s="71">
        <f>IF($N2869&lt;&gt;"OK","",N(INDEX('Menu Pricing'!$F$7:$F$56,$O2869))+N(INDEX('Menu Pricing'!$G$7:$G$56,$O2869))+N(INDEX('Menu Pricing'!$J$7:$J$56,$O2869)))</f>
        <v/>
      </c>
      <c r="K2869" s="71">
        <f>IF($N2869&lt;&gt;"OK","",$D2869*$J2869)</f>
        <v/>
      </c>
      <c r="L2869" s="71">
        <f>IF($N2869&lt;&gt;"OK","",$I2869-$K2869)</f>
        <v/>
      </c>
      <c r="M2869" s="71">
        <f>IF($N2869&lt;&gt;"OK","",$D2869*N(INDEX('Menu Pricing'!$F$7:$F$56,$O2869)))</f>
        <v/>
      </c>
      <c r="N2869" s="80">
        <f>IF(AND($B2869="",$C2869="",$D2869=""),"",IF(NOT(ISNUMBER($B2869)),"Enter a valid date",IF($C2869="","Pick a menu item",IF($O2869="","Item not on Menu Pricing",IF(N($D2869)&lt;=0,"Qty must be above 0",IF($H2869="","No price on menu","OK"))))))</f>
        <v/>
      </c>
      <c r="O2869" s="13">
        <f>IF($C2869="","",IFERROR(MATCH($C2869,'Menu Pricing'!$B$7:$B$56,0),""))</f>
        <v/>
      </c>
    </row>
    <row r="2870" ht="17" customHeight="1">
      <c r="B2870" s="66" t="n"/>
      <c r="C2870" s="60" t="n"/>
      <c r="D2870" s="86" t="n"/>
      <c r="E2870" s="63" t="n"/>
      <c r="F2870" s="60" t="n"/>
      <c r="G2870" s="60" t="n"/>
      <c r="H2870" s="71">
        <f>IF(OR($C2870="",$D2870=""),"",IF(ISNUMBER($E2870),$E2870,IF($O2870="","",IF(N(INDEX('Menu Pricing'!$O$7:$O$56,$O2870))&gt;0,INDEX('Menu Pricing'!$O$7:$O$56,$O2870),""))))</f>
        <v/>
      </c>
      <c r="I2870" s="71">
        <f>IF($N2870&lt;&gt;"OK","",$D2870*$H2870)</f>
        <v/>
      </c>
      <c r="J2870" s="71">
        <f>IF($N2870&lt;&gt;"OK","",N(INDEX('Menu Pricing'!$F$7:$F$56,$O2870))+N(INDEX('Menu Pricing'!$G$7:$G$56,$O2870))+N(INDEX('Menu Pricing'!$J$7:$J$56,$O2870)))</f>
        <v/>
      </c>
      <c r="K2870" s="71">
        <f>IF($N2870&lt;&gt;"OK","",$D2870*$J2870)</f>
        <v/>
      </c>
      <c r="L2870" s="71">
        <f>IF($N2870&lt;&gt;"OK","",$I2870-$K2870)</f>
        <v/>
      </c>
      <c r="M2870" s="71">
        <f>IF($N2870&lt;&gt;"OK","",$D2870*N(INDEX('Menu Pricing'!$F$7:$F$56,$O2870)))</f>
        <v/>
      </c>
      <c r="N2870" s="80">
        <f>IF(AND($B2870="",$C2870="",$D2870=""),"",IF(NOT(ISNUMBER($B2870)),"Enter a valid date",IF($C2870="","Pick a menu item",IF($O2870="","Item not on Menu Pricing",IF(N($D2870)&lt;=0,"Qty must be above 0",IF($H2870="","No price on menu","OK"))))))</f>
        <v/>
      </c>
      <c r="O2870" s="13">
        <f>IF($C2870="","",IFERROR(MATCH($C2870,'Menu Pricing'!$B$7:$B$56,0),""))</f>
        <v/>
      </c>
    </row>
    <row r="2871" ht="17" customHeight="1">
      <c r="B2871" s="66" t="n"/>
      <c r="C2871" s="60" t="n"/>
      <c r="D2871" s="86" t="n"/>
      <c r="E2871" s="63" t="n"/>
      <c r="F2871" s="60" t="n"/>
      <c r="G2871" s="60" t="n"/>
      <c r="H2871" s="71">
        <f>IF(OR($C2871="",$D2871=""),"",IF(ISNUMBER($E2871),$E2871,IF($O2871="","",IF(N(INDEX('Menu Pricing'!$O$7:$O$56,$O2871))&gt;0,INDEX('Menu Pricing'!$O$7:$O$56,$O2871),""))))</f>
        <v/>
      </c>
      <c r="I2871" s="71">
        <f>IF($N2871&lt;&gt;"OK","",$D2871*$H2871)</f>
        <v/>
      </c>
      <c r="J2871" s="71">
        <f>IF($N2871&lt;&gt;"OK","",N(INDEX('Menu Pricing'!$F$7:$F$56,$O2871))+N(INDEX('Menu Pricing'!$G$7:$G$56,$O2871))+N(INDEX('Menu Pricing'!$J$7:$J$56,$O2871)))</f>
        <v/>
      </c>
      <c r="K2871" s="71">
        <f>IF($N2871&lt;&gt;"OK","",$D2871*$J2871)</f>
        <v/>
      </c>
      <c r="L2871" s="71">
        <f>IF($N2871&lt;&gt;"OK","",$I2871-$K2871)</f>
        <v/>
      </c>
      <c r="M2871" s="71">
        <f>IF($N2871&lt;&gt;"OK","",$D2871*N(INDEX('Menu Pricing'!$F$7:$F$56,$O2871)))</f>
        <v/>
      </c>
      <c r="N2871" s="80">
        <f>IF(AND($B2871="",$C2871="",$D2871=""),"",IF(NOT(ISNUMBER($B2871)),"Enter a valid date",IF($C2871="","Pick a menu item",IF($O2871="","Item not on Menu Pricing",IF(N($D2871)&lt;=0,"Qty must be above 0",IF($H2871="","No price on menu","OK"))))))</f>
        <v/>
      </c>
      <c r="O2871" s="13">
        <f>IF($C2871="","",IFERROR(MATCH($C2871,'Menu Pricing'!$B$7:$B$56,0),""))</f>
        <v/>
      </c>
    </row>
    <row r="2872" ht="17" customHeight="1">
      <c r="B2872" s="66" t="n"/>
      <c r="C2872" s="60" t="n"/>
      <c r="D2872" s="86" t="n"/>
      <c r="E2872" s="63" t="n"/>
      <c r="F2872" s="60" t="n"/>
      <c r="G2872" s="60" t="n"/>
      <c r="H2872" s="71">
        <f>IF(OR($C2872="",$D2872=""),"",IF(ISNUMBER($E2872),$E2872,IF($O2872="","",IF(N(INDEX('Menu Pricing'!$O$7:$O$56,$O2872))&gt;0,INDEX('Menu Pricing'!$O$7:$O$56,$O2872),""))))</f>
        <v/>
      </c>
      <c r="I2872" s="71">
        <f>IF($N2872&lt;&gt;"OK","",$D2872*$H2872)</f>
        <v/>
      </c>
      <c r="J2872" s="71">
        <f>IF($N2872&lt;&gt;"OK","",N(INDEX('Menu Pricing'!$F$7:$F$56,$O2872))+N(INDEX('Menu Pricing'!$G$7:$G$56,$O2872))+N(INDEX('Menu Pricing'!$J$7:$J$56,$O2872)))</f>
        <v/>
      </c>
      <c r="K2872" s="71">
        <f>IF($N2872&lt;&gt;"OK","",$D2872*$J2872)</f>
        <v/>
      </c>
      <c r="L2872" s="71">
        <f>IF($N2872&lt;&gt;"OK","",$I2872-$K2872)</f>
        <v/>
      </c>
      <c r="M2872" s="71">
        <f>IF($N2872&lt;&gt;"OK","",$D2872*N(INDEX('Menu Pricing'!$F$7:$F$56,$O2872)))</f>
        <v/>
      </c>
      <c r="N2872" s="80">
        <f>IF(AND($B2872="",$C2872="",$D2872=""),"",IF(NOT(ISNUMBER($B2872)),"Enter a valid date",IF($C2872="","Pick a menu item",IF($O2872="","Item not on Menu Pricing",IF(N($D2872)&lt;=0,"Qty must be above 0",IF($H2872="","No price on menu","OK"))))))</f>
        <v/>
      </c>
      <c r="O2872" s="13">
        <f>IF($C2872="","",IFERROR(MATCH($C2872,'Menu Pricing'!$B$7:$B$56,0),""))</f>
        <v/>
      </c>
    </row>
    <row r="2873" ht="17" customHeight="1">
      <c r="B2873" s="66" t="n"/>
      <c r="C2873" s="60" t="n"/>
      <c r="D2873" s="86" t="n"/>
      <c r="E2873" s="63" t="n"/>
      <c r="F2873" s="60" t="n"/>
      <c r="G2873" s="60" t="n"/>
      <c r="H2873" s="71">
        <f>IF(OR($C2873="",$D2873=""),"",IF(ISNUMBER($E2873),$E2873,IF($O2873="","",IF(N(INDEX('Menu Pricing'!$O$7:$O$56,$O2873))&gt;0,INDEX('Menu Pricing'!$O$7:$O$56,$O2873),""))))</f>
        <v/>
      </c>
      <c r="I2873" s="71">
        <f>IF($N2873&lt;&gt;"OK","",$D2873*$H2873)</f>
        <v/>
      </c>
      <c r="J2873" s="71">
        <f>IF($N2873&lt;&gt;"OK","",N(INDEX('Menu Pricing'!$F$7:$F$56,$O2873))+N(INDEX('Menu Pricing'!$G$7:$G$56,$O2873))+N(INDEX('Menu Pricing'!$J$7:$J$56,$O2873)))</f>
        <v/>
      </c>
      <c r="K2873" s="71">
        <f>IF($N2873&lt;&gt;"OK","",$D2873*$J2873)</f>
        <v/>
      </c>
      <c r="L2873" s="71">
        <f>IF($N2873&lt;&gt;"OK","",$I2873-$K2873)</f>
        <v/>
      </c>
      <c r="M2873" s="71">
        <f>IF($N2873&lt;&gt;"OK","",$D2873*N(INDEX('Menu Pricing'!$F$7:$F$56,$O2873)))</f>
        <v/>
      </c>
      <c r="N2873" s="80">
        <f>IF(AND($B2873="",$C2873="",$D2873=""),"",IF(NOT(ISNUMBER($B2873)),"Enter a valid date",IF($C2873="","Pick a menu item",IF($O2873="","Item not on Menu Pricing",IF(N($D2873)&lt;=0,"Qty must be above 0",IF($H2873="","No price on menu","OK"))))))</f>
        <v/>
      </c>
      <c r="O2873" s="13">
        <f>IF($C2873="","",IFERROR(MATCH($C2873,'Menu Pricing'!$B$7:$B$56,0),""))</f>
        <v/>
      </c>
    </row>
    <row r="2874" ht="17" customHeight="1">
      <c r="B2874" s="66" t="n"/>
      <c r="C2874" s="60" t="n"/>
      <c r="D2874" s="86" t="n"/>
      <c r="E2874" s="63" t="n"/>
      <c r="F2874" s="60" t="n"/>
      <c r="G2874" s="60" t="n"/>
      <c r="H2874" s="71">
        <f>IF(OR($C2874="",$D2874=""),"",IF(ISNUMBER($E2874),$E2874,IF($O2874="","",IF(N(INDEX('Menu Pricing'!$O$7:$O$56,$O2874))&gt;0,INDEX('Menu Pricing'!$O$7:$O$56,$O2874),""))))</f>
        <v/>
      </c>
      <c r="I2874" s="71">
        <f>IF($N2874&lt;&gt;"OK","",$D2874*$H2874)</f>
        <v/>
      </c>
      <c r="J2874" s="71">
        <f>IF($N2874&lt;&gt;"OK","",N(INDEX('Menu Pricing'!$F$7:$F$56,$O2874))+N(INDEX('Menu Pricing'!$G$7:$G$56,$O2874))+N(INDEX('Menu Pricing'!$J$7:$J$56,$O2874)))</f>
        <v/>
      </c>
      <c r="K2874" s="71">
        <f>IF($N2874&lt;&gt;"OK","",$D2874*$J2874)</f>
        <v/>
      </c>
      <c r="L2874" s="71">
        <f>IF($N2874&lt;&gt;"OK","",$I2874-$K2874)</f>
        <v/>
      </c>
      <c r="M2874" s="71">
        <f>IF($N2874&lt;&gt;"OK","",$D2874*N(INDEX('Menu Pricing'!$F$7:$F$56,$O2874)))</f>
        <v/>
      </c>
      <c r="N2874" s="80">
        <f>IF(AND($B2874="",$C2874="",$D2874=""),"",IF(NOT(ISNUMBER($B2874)),"Enter a valid date",IF($C2874="","Pick a menu item",IF($O2874="","Item not on Menu Pricing",IF(N($D2874)&lt;=0,"Qty must be above 0",IF($H2874="","No price on menu","OK"))))))</f>
        <v/>
      </c>
      <c r="O2874" s="13">
        <f>IF($C2874="","",IFERROR(MATCH($C2874,'Menu Pricing'!$B$7:$B$56,0),""))</f>
        <v/>
      </c>
    </row>
    <row r="2875" ht="17" customHeight="1">
      <c r="B2875" s="66" t="n"/>
      <c r="C2875" s="60" t="n"/>
      <c r="D2875" s="86" t="n"/>
      <c r="E2875" s="63" t="n"/>
      <c r="F2875" s="60" t="n"/>
      <c r="G2875" s="60" t="n"/>
      <c r="H2875" s="71">
        <f>IF(OR($C2875="",$D2875=""),"",IF(ISNUMBER($E2875),$E2875,IF($O2875="","",IF(N(INDEX('Menu Pricing'!$O$7:$O$56,$O2875))&gt;0,INDEX('Menu Pricing'!$O$7:$O$56,$O2875),""))))</f>
        <v/>
      </c>
      <c r="I2875" s="71">
        <f>IF($N2875&lt;&gt;"OK","",$D2875*$H2875)</f>
        <v/>
      </c>
      <c r="J2875" s="71">
        <f>IF($N2875&lt;&gt;"OK","",N(INDEX('Menu Pricing'!$F$7:$F$56,$O2875))+N(INDEX('Menu Pricing'!$G$7:$G$56,$O2875))+N(INDEX('Menu Pricing'!$J$7:$J$56,$O2875)))</f>
        <v/>
      </c>
      <c r="K2875" s="71">
        <f>IF($N2875&lt;&gt;"OK","",$D2875*$J2875)</f>
        <v/>
      </c>
      <c r="L2875" s="71">
        <f>IF($N2875&lt;&gt;"OK","",$I2875-$K2875)</f>
        <v/>
      </c>
      <c r="M2875" s="71">
        <f>IF($N2875&lt;&gt;"OK","",$D2875*N(INDEX('Menu Pricing'!$F$7:$F$56,$O2875)))</f>
        <v/>
      </c>
      <c r="N2875" s="80">
        <f>IF(AND($B2875="",$C2875="",$D2875=""),"",IF(NOT(ISNUMBER($B2875)),"Enter a valid date",IF($C2875="","Pick a menu item",IF($O2875="","Item not on Menu Pricing",IF(N($D2875)&lt;=0,"Qty must be above 0",IF($H2875="","No price on menu","OK"))))))</f>
        <v/>
      </c>
      <c r="O2875" s="13">
        <f>IF($C2875="","",IFERROR(MATCH($C2875,'Menu Pricing'!$B$7:$B$56,0),""))</f>
        <v/>
      </c>
    </row>
    <row r="2876" ht="17" customHeight="1">
      <c r="B2876" s="66" t="n"/>
      <c r="C2876" s="60" t="n"/>
      <c r="D2876" s="86" t="n"/>
      <c r="E2876" s="63" t="n"/>
      <c r="F2876" s="60" t="n"/>
      <c r="G2876" s="60" t="n"/>
      <c r="H2876" s="71">
        <f>IF(OR($C2876="",$D2876=""),"",IF(ISNUMBER($E2876),$E2876,IF($O2876="","",IF(N(INDEX('Menu Pricing'!$O$7:$O$56,$O2876))&gt;0,INDEX('Menu Pricing'!$O$7:$O$56,$O2876),""))))</f>
        <v/>
      </c>
      <c r="I2876" s="71">
        <f>IF($N2876&lt;&gt;"OK","",$D2876*$H2876)</f>
        <v/>
      </c>
      <c r="J2876" s="71">
        <f>IF($N2876&lt;&gt;"OK","",N(INDEX('Menu Pricing'!$F$7:$F$56,$O2876))+N(INDEX('Menu Pricing'!$G$7:$G$56,$O2876))+N(INDEX('Menu Pricing'!$J$7:$J$56,$O2876)))</f>
        <v/>
      </c>
      <c r="K2876" s="71">
        <f>IF($N2876&lt;&gt;"OK","",$D2876*$J2876)</f>
        <v/>
      </c>
      <c r="L2876" s="71">
        <f>IF($N2876&lt;&gt;"OK","",$I2876-$K2876)</f>
        <v/>
      </c>
      <c r="M2876" s="71">
        <f>IF($N2876&lt;&gt;"OK","",$D2876*N(INDEX('Menu Pricing'!$F$7:$F$56,$O2876)))</f>
        <v/>
      </c>
      <c r="N2876" s="80">
        <f>IF(AND($B2876="",$C2876="",$D2876=""),"",IF(NOT(ISNUMBER($B2876)),"Enter a valid date",IF($C2876="","Pick a menu item",IF($O2876="","Item not on Menu Pricing",IF(N($D2876)&lt;=0,"Qty must be above 0",IF($H2876="","No price on menu","OK"))))))</f>
        <v/>
      </c>
      <c r="O2876" s="13">
        <f>IF($C2876="","",IFERROR(MATCH($C2876,'Menu Pricing'!$B$7:$B$56,0),""))</f>
        <v/>
      </c>
    </row>
    <row r="2877" ht="17" customHeight="1">
      <c r="B2877" s="66" t="n"/>
      <c r="C2877" s="60" t="n"/>
      <c r="D2877" s="86" t="n"/>
      <c r="E2877" s="63" t="n"/>
      <c r="F2877" s="60" t="n"/>
      <c r="G2877" s="60" t="n"/>
      <c r="H2877" s="71">
        <f>IF(OR($C2877="",$D2877=""),"",IF(ISNUMBER($E2877),$E2877,IF($O2877="","",IF(N(INDEX('Menu Pricing'!$O$7:$O$56,$O2877))&gt;0,INDEX('Menu Pricing'!$O$7:$O$56,$O2877),""))))</f>
        <v/>
      </c>
      <c r="I2877" s="71">
        <f>IF($N2877&lt;&gt;"OK","",$D2877*$H2877)</f>
        <v/>
      </c>
      <c r="J2877" s="71">
        <f>IF($N2877&lt;&gt;"OK","",N(INDEX('Menu Pricing'!$F$7:$F$56,$O2877))+N(INDEX('Menu Pricing'!$G$7:$G$56,$O2877))+N(INDEX('Menu Pricing'!$J$7:$J$56,$O2877)))</f>
        <v/>
      </c>
      <c r="K2877" s="71">
        <f>IF($N2877&lt;&gt;"OK","",$D2877*$J2877)</f>
        <v/>
      </c>
      <c r="L2877" s="71">
        <f>IF($N2877&lt;&gt;"OK","",$I2877-$K2877)</f>
        <v/>
      </c>
      <c r="M2877" s="71">
        <f>IF($N2877&lt;&gt;"OK","",$D2877*N(INDEX('Menu Pricing'!$F$7:$F$56,$O2877)))</f>
        <v/>
      </c>
      <c r="N2877" s="80">
        <f>IF(AND($B2877="",$C2877="",$D2877=""),"",IF(NOT(ISNUMBER($B2877)),"Enter a valid date",IF($C2877="","Pick a menu item",IF($O2877="","Item not on Menu Pricing",IF(N($D2877)&lt;=0,"Qty must be above 0",IF($H2877="","No price on menu","OK"))))))</f>
        <v/>
      </c>
      <c r="O2877" s="13">
        <f>IF($C2877="","",IFERROR(MATCH($C2877,'Menu Pricing'!$B$7:$B$56,0),""))</f>
        <v/>
      </c>
    </row>
    <row r="2878" ht="17" customHeight="1">
      <c r="B2878" s="66" t="n"/>
      <c r="C2878" s="60" t="n"/>
      <c r="D2878" s="86" t="n"/>
      <c r="E2878" s="63" t="n"/>
      <c r="F2878" s="60" t="n"/>
      <c r="G2878" s="60" t="n"/>
      <c r="H2878" s="71">
        <f>IF(OR($C2878="",$D2878=""),"",IF(ISNUMBER($E2878),$E2878,IF($O2878="","",IF(N(INDEX('Menu Pricing'!$O$7:$O$56,$O2878))&gt;0,INDEX('Menu Pricing'!$O$7:$O$56,$O2878),""))))</f>
        <v/>
      </c>
      <c r="I2878" s="71">
        <f>IF($N2878&lt;&gt;"OK","",$D2878*$H2878)</f>
        <v/>
      </c>
      <c r="J2878" s="71">
        <f>IF($N2878&lt;&gt;"OK","",N(INDEX('Menu Pricing'!$F$7:$F$56,$O2878))+N(INDEX('Menu Pricing'!$G$7:$G$56,$O2878))+N(INDEX('Menu Pricing'!$J$7:$J$56,$O2878)))</f>
        <v/>
      </c>
      <c r="K2878" s="71">
        <f>IF($N2878&lt;&gt;"OK","",$D2878*$J2878)</f>
        <v/>
      </c>
      <c r="L2878" s="71">
        <f>IF($N2878&lt;&gt;"OK","",$I2878-$K2878)</f>
        <v/>
      </c>
      <c r="M2878" s="71">
        <f>IF($N2878&lt;&gt;"OK","",$D2878*N(INDEX('Menu Pricing'!$F$7:$F$56,$O2878)))</f>
        <v/>
      </c>
      <c r="N2878" s="80">
        <f>IF(AND($B2878="",$C2878="",$D2878=""),"",IF(NOT(ISNUMBER($B2878)),"Enter a valid date",IF($C2878="","Pick a menu item",IF($O2878="","Item not on Menu Pricing",IF(N($D2878)&lt;=0,"Qty must be above 0",IF($H2878="","No price on menu","OK"))))))</f>
        <v/>
      </c>
      <c r="O2878" s="13">
        <f>IF($C2878="","",IFERROR(MATCH($C2878,'Menu Pricing'!$B$7:$B$56,0),""))</f>
        <v/>
      </c>
    </row>
    <row r="2879" ht="17" customHeight="1">
      <c r="B2879" s="66" t="n"/>
      <c r="C2879" s="60" t="n"/>
      <c r="D2879" s="86" t="n"/>
      <c r="E2879" s="63" t="n"/>
      <c r="F2879" s="60" t="n"/>
      <c r="G2879" s="60" t="n"/>
      <c r="H2879" s="71">
        <f>IF(OR($C2879="",$D2879=""),"",IF(ISNUMBER($E2879),$E2879,IF($O2879="","",IF(N(INDEX('Menu Pricing'!$O$7:$O$56,$O2879))&gt;0,INDEX('Menu Pricing'!$O$7:$O$56,$O2879),""))))</f>
        <v/>
      </c>
      <c r="I2879" s="71">
        <f>IF($N2879&lt;&gt;"OK","",$D2879*$H2879)</f>
        <v/>
      </c>
      <c r="J2879" s="71">
        <f>IF($N2879&lt;&gt;"OK","",N(INDEX('Menu Pricing'!$F$7:$F$56,$O2879))+N(INDEX('Menu Pricing'!$G$7:$G$56,$O2879))+N(INDEX('Menu Pricing'!$J$7:$J$56,$O2879)))</f>
        <v/>
      </c>
      <c r="K2879" s="71">
        <f>IF($N2879&lt;&gt;"OK","",$D2879*$J2879)</f>
        <v/>
      </c>
      <c r="L2879" s="71">
        <f>IF($N2879&lt;&gt;"OK","",$I2879-$K2879)</f>
        <v/>
      </c>
      <c r="M2879" s="71">
        <f>IF($N2879&lt;&gt;"OK","",$D2879*N(INDEX('Menu Pricing'!$F$7:$F$56,$O2879)))</f>
        <v/>
      </c>
      <c r="N2879" s="80">
        <f>IF(AND($B2879="",$C2879="",$D2879=""),"",IF(NOT(ISNUMBER($B2879)),"Enter a valid date",IF($C2879="","Pick a menu item",IF($O2879="","Item not on Menu Pricing",IF(N($D2879)&lt;=0,"Qty must be above 0",IF($H2879="","No price on menu","OK"))))))</f>
        <v/>
      </c>
      <c r="O2879" s="13">
        <f>IF($C2879="","",IFERROR(MATCH($C2879,'Menu Pricing'!$B$7:$B$56,0),""))</f>
        <v/>
      </c>
    </row>
    <row r="2880" ht="17" customHeight="1">
      <c r="B2880" s="66" t="n"/>
      <c r="C2880" s="60" t="n"/>
      <c r="D2880" s="86" t="n"/>
      <c r="E2880" s="63" t="n"/>
      <c r="F2880" s="60" t="n"/>
      <c r="G2880" s="60" t="n"/>
      <c r="H2880" s="71">
        <f>IF(OR($C2880="",$D2880=""),"",IF(ISNUMBER($E2880),$E2880,IF($O2880="","",IF(N(INDEX('Menu Pricing'!$O$7:$O$56,$O2880))&gt;0,INDEX('Menu Pricing'!$O$7:$O$56,$O2880),""))))</f>
        <v/>
      </c>
      <c r="I2880" s="71">
        <f>IF($N2880&lt;&gt;"OK","",$D2880*$H2880)</f>
        <v/>
      </c>
      <c r="J2880" s="71">
        <f>IF($N2880&lt;&gt;"OK","",N(INDEX('Menu Pricing'!$F$7:$F$56,$O2880))+N(INDEX('Menu Pricing'!$G$7:$G$56,$O2880))+N(INDEX('Menu Pricing'!$J$7:$J$56,$O2880)))</f>
        <v/>
      </c>
      <c r="K2880" s="71">
        <f>IF($N2880&lt;&gt;"OK","",$D2880*$J2880)</f>
        <v/>
      </c>
      <c r="L2880" s="71">
        <f>IF($N2880&lt;&gt;"OK","",$I2880-$K2880)</f>
        <v/>
      </c>
      <c r="M2880" s="71">
        <f>IF($N2880&lt;&gt;"OK","",$D2880*N(INDEX('Menu Pricing'!$F$7:$F$56,$O2880)))</f>
        <v/>
      </c>
      <c r="N2880" s="80">
        <f>IF(AND($B2880="",$C2880="",$D2880=""),"",IF(NOT(ISNUMBER($B2880)),"Enter a valid date",IF($C2880="","Pick a menu item",IF($O2880="","Item not on Menu Pricing",IF(N($D2880)&lt;=0,"Qty must be above 0",IF($H2880="","No price on menu","OK"))))))</f>
        <v/>
      </c>
      <c r="O2880" s="13">
        <f>IF($C2880="","",IFERROR(MATCH($C2880,'Menu Pricing'!$B$7:$B$56,0),""))</f>
        <v/>
      </c>
    </row>
    <row r="2881" ht="17" customHeight="1">
      <c r="B2881" s="66" t="n"/>
      <c r="C2881" s="60" t="n"/>
      <c r="D2881" s="86" t="n"/>
      <c r="E2881" s="63" t="n"/>
      <c r="F2881" s="60" t="n"/>
      <c r="G2881" s="60" t="n"/>
      <c r="H2881" s="71">
        <f>IF(OR($C2881="",$D2881=""),"",IF(ISNUMBER($E2881),$E2881,IF($O2881="","",IF(N(INDEX('Menu Pricing'!$O$7:$O$56,$O2881))&gt;0,INDEX('Menu Pricing'!$O$7:$O$56,$O2881),""))))</f>
        <v/>
      </c>
      <c r="I2881" s="71">
        <f>IF($N2881&lt;&gt;"OK","",$D2881*$H2881)</f>
        <v/>
      </c>
      <c r="J2881" s="71">
        <f>IF($N2881&lt;&gt;"OK","",N(INDEX('Menu Pricing'!$F$7:$F$56,$O2881))+N(INDEX('Menu Pricing'!$G$7:$G$56,$O2881))+N(INDEX('Menu Pricing'!$J$7:$J$56,$O2881)))</f>
        <v/>
      </c>
      <c r="K2881" s="71">
        <f>IF($N2881&lt;&gt;"OK","",$D2881*$J2881)</f>
        <v/>
      </c>
      <c r="L2881" s="71">
        <f>IF($N2881&lt;&gt;"OK","",$I2881-$K2881)</f>
        <v/>
      </c>
      <c r="M2881" s="71">
        <f>IF($N2881&lt;&gt;"OK","",$D2881*N(INDEX('Menu Pricing'!$F$7:$F$56,$O2881)))</f>
        <v/>
      </c>
      <c r="N2881" s="80">
        <f>IF(AND($B2881="",$C2881="",$D2881=""),"",IF(NOT(ISNUMBER($B2881)),"Enter a valid date",IF($C2881="","Pick a menu item",IF($O2881="","Item not on Menu Pricing",IF(N($D2881)&lt;=0,"Qty must be above 0",IF($H2881="","No price on menu","OK"))))))</f>
        <v/>
      </c>
      <c r="O2881" s="13">
        <f>IF($C2881="","",IFERROR(MATCH($C2881,'Menu Pricing'!$B$7:$B$56,0),""))</f>
        <v/>
      </c>
    </row>
    <row r="2882" ht="17" customHeight="1">
      <c r="B2882" s="66" t="n"/>
      <c r="C2882" s="60" t="n"/>
      <c r="D2882" s="86" t="n"/>
      <c r="E2882" s="63" t="n"/>
      <c r="F2882" s="60" t="n"/>
      <c r="G2882" s="60" t="n"/>
      <c r="H2882" s="71">
        <f>IF(OR($C2882="",$D2882=""),"",IF(ISNUMBER($E2882),$E2882,IF($O2882="","",IF(N(INDEX('Menu Pricing'!$O$7:$O$56,$O2882))&gt;0,INDEX('Menu Pricing'!$O$7:$O$56,$O2882),""))))</f>
        <v/>
      </c>
      <c r="I2882" s="71">
        <f>IF($N2882&lt;&gt;"OK","",$D2882*$H2882)</f>
        <v/>
      </c>
      <c r="J2882" s="71">
        <f>IF($N2882&lt;&gt;"OK","",N(INDEX('Menu Pricing'!$F$7:$F$56,$O2882))+N(INDEX('Menu Pricing'!$G$7:$G$56,$O2882))+N(INDEX('Menu Pricing'!$J$7:$J$56,$O2882)))</f>
        <v/>
      </c>
      <c r="K2882" s="71">
        <f>IF($N2882&lt;&gt;"OK","",$D2882*$J2882)</f>
        <v/>
      </c>
      <c r="L2882" s="71">
        <f>IF($N2882&lt;&gt;"OK","",$I2882-$K2882)</f>
        <v/>
      </c>
      <c r="M2882" s="71">
        <f>IF($N2882&lt;&gt;"OK","",$D2882*N(INDEX('Menu Pricing'!$F$7:$F$56,$O2882)))</f>
        <v/>
      </c>
      <c r="N2882" s="80">
        <f>IF(AND($B2882="",$C2882="",$D2882=""),"",IF(NOT(ISNUMBER($B2882)),"Enter a valid date",IF($C2882="","Pick a menu item",IF($O2882="","Item not on Menu Pricing",IF(N($D2882)&lt;=0,"Qty must be above 0",IF($H2882="","No price on menu","OK"))))))</f>
        <v/>
      </c>
      <c r="O2882" s="13">
        <f>IF($C2882="","",IFERROR(MATCH($C2882,'Menu Pricing'!$B$7:$B$56,0),""))</f>
        <v/>
      </c>
    </row>
    <row r="2883" ht="17" customHeight="1">
      <c r="B2883" s="66" t="n"/>
      <c r="C2883" s="60" t="n"/>
      <c r="D2883" s="86" t="n"/>
      <c r="E2883" s="63" t="n"/>
      <c r="F2883" s="60" t="n"/>
      <c r="G2883" s="60" t="n"/>
      <c r="H2883" s="71">
        <f>IF(OR($C2883="",$D2883=""),"",IF(ISNUMBER($E2883),$E2883,IF($O2883="","",IF(N(INDEX('Menu Pricing'!$O$7:$O$56,$O2883))&gt;0,INDEX('Menu Pricing'!$O$7:$O$56,$O2883),""))))</f>
        <v/>
      </c>
      <c r="I2883" s="71">
        <f>IF($N2883&lt;&gt;"OK","",$D2883*$H2883)</f>
        <v/>
      </c>
      <c r="J2883" s="71">
        <f>IF($N2883&lt;&gt;"OK","",N(INDEX('Menu Pricing'!$F$7:$F$56,$O2883))+N(INDEX('Menu Pricing'!$G$7:$G$56,$O2883))+N(INDEX('Menu Pricing'!$J$7:$J$56,$O2883)))</f>
        <v/>
      </c>
      <c r="K2883" s="71">
        <f>IF($N2883&lt;&gt;"OK","",$D2883*$J2883)</f>
        <v/>
      </c>
      <c r="L2883" s="71">
        <f>IF($N2883&lt;&gt;"OK","",$I2883-$K2883)</f>
        <v/>
      </c>
      <c r="M2883" s="71">
        <f>IF($N2883&lt;&gt;"OK","",$D2883*N(INDEX('Menu Pricing'!$F$7:$F$56,$O2883)))</f>
        <v/>
      </c>
      <c r="N2883" s="80">
        <f>IF(AND($B2883="",$C2883="",$D2883=""),"",IF(NOT(ISNUMBER($B2883)),"Enter a valid date",IF($C2883="","Pick a menu item",IF($O2883="","Item not on Menu Pricing",IF(N($D2883)&lt;=0,"Qty must be above 0",IF($H2883="","No price on menu","OK"))))))</f>
        <v/>
      </c>
      <c r="O2883" s="13">
        <f>IF($C2883="","",IFERROR(MATCH($C2883,'Menu Pricing'!$B$7:$B$56,0),""))</f>
        <v/>
      </c>
    </row>
    <row r="2884" ht="17" customHeight="1">
      <c r="B2884" s="66" t="n"/>
      <c r="C2884" s="60" t="n"/>
      <c r="D2884" s="86" t="n"/>
      <c r="E2884" s="63" t="n"/>
      <c r="F2884" s="60" t="n"/>
      <c r="G2884" s="60" t="n"/>
      <c r="H2884" s="71">
        <f>IF(OR($C2884="",$D2884=""),"",IF(ISNUMBER($E2884),$E2884,IF($O2884="","",IF(N(INDEX('Menu Pricing'!$O$7:$O$56,$O2884))&gt;0,INDEX('Menu Pricing'!$O$7:$O$56,$O2884),""))))</f>
        <v/>
      </c>
      <c r="I2884" s="71">
        <f>IF($N2884&lt;&gt;"OK","",$D2884*$H2884)</f>
        <v/>
      </c>
      <c r="J2884" s="71">
        <f>IF($N2884&lt;&gt;"OK","",N(INDEX('Menu Pricing'!$F$7:$F$56,$O2884))+N(INDEX('Menu Pricing'!$G$7:$G$56,$O2884))+N(INDEX('Menu Pricing'!$J$7:$J$56,$O2884)))</f>
        <v/>
      </c>
      <c r="K2884" s="71">
        <f>IF($N2884&lt;&gt;"OK","",$D2884*$J2884)</f>
        <v/>
      </c>
      <c r="L2884" s="71">
        <f>IF($N2884&lt;&gt;"OK","",$I2884-$K2884)</f>
        <v/>
      </c>
      <c r="M2884" s="71">
        <f>IF($N2884&lt;&gt;"OK","",$D2884*N(INDEX('Menu Pricing'!$F$7:$F$56,$O2884)))</f>
        <v/>
      </c>
      <c r="N2884" s="80">
        <f>IF(AND($B2884="",$C2884="",$D2884=""),"",IF(NOT(ISNUMBER($B2884)),"Enter a valid date",IF($C2884="","Pick a menu item",IF($O2884="","Item not on Menu Pricing",IF(N($D2884)&lt;=0,"Qty must be above 0",IF($H2884="","No price on menu","OK"))))))</f>
        <v/>
      </c>
      <c r="O2884" s="13">
        <f>IF($C2884="","",IFERROR(MATCH($C2884,'Menu Pricing'!$B$7:$B$56,0),""))</f>
        <v/>
      </c>
    </row>
    <row r="2885" ht="17" customHeight="1">
      <c r="B2885" s="66" t="n"/>
      <c r="C2885" s="60" t="n"/>
      <c r="D2885" s="86" t="n"/>
      <c r="E2885" s="63" t="n"/>
      <c r="F2885" s="60" t="n"/>
      <c r="G2885" s="60" t="n"/>
      <c r="H2885" s="71">
        <f>IF(OR($C2885="",$D2885=""),"",IF(ISNUMBER($E2885),$E2885,IF($O2885="","",IF(N(INDEX('Menu Pricing'!$O$7:$O$56,$O2885))&gt;0,INDEX('Menu Pricing'!$O$7:$O$56,$O2885),""))))</f>
        <v/>
      </c>
      <c r="I2885" s="71">
        <f>IF($N2885&lt;&gt;"OK","",$D2885*$H2885)</f>
        <v/>
      </c>
      <c r="J2885" s="71">
        <f>IF($N2885&lt;&gt;"OK","",N(INDEX('Menu Pricing'!$F$7:$F$56,$O2885))+N(INDEX('Menu Pricing'!$G$7:$G$56,$O2885))+N(INDEX('Menu Pricing'!$J$7:$J$56,$O2885)))</f>
        <v/>
      </c>
      <c r="K2885" s="71">
        <f>IF($N2885&lt;&gt;"OK","",$D2885*$J2885)</f>
        <v/>
      </c>
      <c r="L2885" s="71">
        <f>IF($N2885&lt;&gt;"OK","",$I2885-$K2885)</f>
        <v/>
      </c>
      <c r="M2885" s="71">
        <f>IF($N2885&lt;&gt;"OK","",$D2885*N(INDEX('Menu Pricing'!$F$7:$F$56,$O2885)))</f>
        <v/>
      </c>
      <c r="N2885" s="80">
        <f>IF(AND($B2885="",$C2885="",$D2885=""),"",IF(NOT(ISNUMBER($B2885)),"Enter a valid date",IF($C2885="","Pick a menu item",IF($O2885="","Item not on Menu Pricing",IF(N($D2885)&lt;=0,"Qty must be above 0",IF($H2885="","No price on menu","OK"))))))</f>
        <v/>
      </c>
      <c r="O2885" s="13">
        <f>IF($C2885="","",IFERROR(MATCH($C2885,'Menu Pricing'!$B$7:$B$56,0),""))</f>
        <v/>
      </c>
    </row>
    <row r="2886" ht="17" customHeight="1">
      <c r="B2886" s="66" t="n"/>
      <c r="C2886" s="60" t="n"/>
      <c r="D2886" s="86" t="n"/>
      <c r="E2886" s="63" t="n"/>
      <c r="F2886" s="60" t="n"/>
      <c r="G2886" s="60" t="n"/>
      <c r="H2886" s="71">
        <f>IF(OR($C2886="",$D2886=""),"",IF(ISNUMBER($E2886),$E2886,IF($O2886="","",IF(N(INDEX('Menu Pricing'!$O$7:$O$56,$O2886))&gt;0,INDEX('Menu Pricing'!$O$7:$O$56,$O2886),""))))</f>
        <v/>
      </c>
      <c r="I2886" s="71">
        <f>IF($N2886&lt;&gt;"OK","",$D2886*$H2886)</f>
        <v/>
      </c>
      <c r="J2886" s="71">
        <f>IF($N2886&lt;&gt;"OK","",N(INDEX('Menu Pricing'!$F$7:$F$56,$O2886))+N(INDEX('Menu Pricing'!$G$7:$G$56,$O2886))+N(INDEX('Menu Pricing'!$J$7:$J$56,$O2886)))</f>
        <v/>
      </c>
      <c r="K2886" s="71">
        <f>IF($N2886&lt;&gt;"OK","",$D2886*$J2886)</f>
        <v/>
      </c>
      <c r="L2886" s="71">
        <f>IF($N2886&lt;&gt;"OK","",$I2886-$K2886)</f>
        <v/>
      </c>
      <c r="M2886" s="71">
        <f>IF($N2886&lt;&gt;"OK","",$D2886*N(INDEX('Menu Pricing'!$F$7:$F$56,$O2886)))</f>
        <v/>
      </c>
      <c r="N2886" s="80">
        <f>IF(AND($B2886="",$C2886="",$D2886=""),"",IF(NOT(ISNUMBER($B2886)),"Enter a valid date",IF($C2886="","Pick a menu item",IF($O2886="","Item not on Menu Pricing",IF(N($D2886)&lt;=0,"Qty must be above 0",IF($H2886="","No price on menu","OK"))))))</f>
        <v/>
      </c>
      <c r="O2886" s="13">
        <f>IF($C2886="","",IFERROR(MATCH($C2886,'Menu Pricing'!$B$7:$B$56,0),""))</f>
        <v/>
      </c>
    </row>
    <row r="2887" ht="17" customHeight="1">
      <c r="B2887" s="66" t="n"/>
      <c r="C2887" s="60" t="n"/>
      <c r="D2887" s="86" t="n"/>
      <c r="E2887" s="63" t="n"/>
      <c r="F2887" s="60" t="n"/>
      <c r="G2887" s="60" t="n"/>
      <c r="H2887" s="71">
        <f>IF(OR($C2887="",$D2887=""),"",IF(ISNUMBER($E2887),$E2887,IF($O2887="","",IF(N(INDEX('Menu Pricing'!$O$7:$O$56,$O2887))&gt;0,INDEX('Menu Pricing'!$O$7:$O$56,$O2887),""))))</f>
        <v/>
      </c>
      <c r="I2887" s="71">
        <f>IF($N2887&lt;&gt;"OK","",$D2887*$H2887)</f>
        <v/>
      </c>
      <c r="J2887" s="71">
        <f>IF($N2887&lt;&gt;"OK","",N(INDEX('Menu Pricing'!$F$7:$F$56,$O2887))+N(INDEX('Menu Pricing'!$G$7:$G$56,$O2887))+N(INDEX('Menu Pricing'!$J$7:$J$56,$O2887)))</f>
        <v/>
      </c>
      <c r="K2887" s="71">
        <f>IF($N2887&lt;&gt;"OK","",$D2887*$J2887)</f>
        <v/>
      </c>
      <c r="L2887" s="71">
        <f>IF($N2887&lt;&gt;"OK","",$I2887-$K2887)</f>
        <v/>
      </c>
      <c r="M2887" s="71">
        <f>IF($N2887&lt;&gt;"OK","",$D2887*N(INDEX('Menu Pricing'!$F$7:$F$56,$O2887)))</f>
        <v/>
      </c>
      <c r="N2887" s="80">
        <f>IF(AND($B2887="",$C2887="",$D2887=""),"",IF(NOT(ISNUMBER($B2887)),"Enter a valid date",IF($C2887="","Pick a menu item",IF($O2887="","Item not on Menu Pricing",IF(N($D2887)&lt;=0,"Qty must be above 0",IF($H2887="","No price on menu","OK"))))))</f>
        <v/>
      </c>
      <c r="O2887" s="13">
        <f>IF($C2887="","",IFERROR(MATCH($C2887,'Menu Pricing'!$B$7:$B$56,0),""))</f>
        <v/>
      </c>
    </row>
    <row r="2888" ht="17" customHeight="1">
      <c r="B2888" s="66" t="n"/>
      <c r="C2888" s="60" t="n"/>
      <c r="D2888" s="86" t="n"/>
      <c r="E2888" s="63" t="n"/>
      <c r="F2888" s="60" t="n"/>
      <c r="G2888" s="60" t="n"/>
      <c r="H2888" s="71">
        <f>IF(OR($C2888="",$D2888=""),"",IF(ISNUMBER($E2888),$E2888,IF($O2888="","",IF(N(INDEX('Menu Pricing'!$O$7:$O$56,$O2888))&gt;0,INDEX('Menu Pricing'!$O$7:$O$56,$O2888),""))))</f>
        <v/>
      </c>
      <c r="I2888" s="71">
        <f>IF($N2888&lt;&gt;"OK","",$D2888*$H2888)</f>
        <v/>
      </c>
      <c r="J2888" s="71">
        <f>IF($N2888&lt;&gt;"OK","",N(INDEX('Menu Pricing'!$F$7:$F$56,$O2888))+N(INDEX('Menu Pricing'!$G$7:$G$56,$O2888))+N(INDEX('Menu Pricing'!$J$7:$J$56,$O2888)))</f>
        <v/>
      </c>
      <c r="K2888" s="71">
        <f>IF($N2888&lt;&gt;"OK","",$D2888*$J2888)</f>
        <v/>
      </c>
      <c r="L2888" s="71">
        <f>IF($N2888&lt;&gt;"OK","",$I2888-$K2888)</f>
        <v/>
      </c>
      <c r="M2888" s="71">
        <f>IF($N2888&lt;&gt;"OK","",$D2888*N(INDEX('Menu Pricing'!$F$7:$F$56,$O2888)))</f>
        <v/>
      </c>
      <c r="N2888" s="80">
        <f>IF(AND($B2888="",$C2888="",$D2888=""),"",IF(NOT(ISNUMBER($B2888)),"Enter a valid date",IF($C2888="","Pick a menu item",IF($O2888="","Item not on Menu Pricing",IF(N($D2888)&lt;=0,"Qty must be above 0",IF($H2888="","No price on menu","OK"))))))</f>
        <v/>
      </c>
      <c r="O2888" s="13">
        <f>IF($C2888="","",IFERROR(MATCH($C2888,'Menu Pricing'!$B$7:$B$56,0),""))</f>
        <v/>
      </c>
    </row>
    <row r="2889" ht="17" customHeight="1">
      <c r="B2889" s="66" t="n"/>
      <c r="C2889" s="60" t="n"/>
      <c r="D2889" s="86" t="n"/>
      <c r="E2889" s="63" t="n"/>
      <c r="F2889" s="60" t="n"/>
      <c r="G2889" s="60" t="n"/>
      <c r="H2889" s="71">
        <f>IF(OR($C2889="",$D2889=""),"",IF(ISNUMBER($E2889),$E2889,IF($O2889="","",IF(N(INDEX('Menu Pricing'!$O$7:$O$56,$O2889))&gt;0,INDEX('Menu Pricing'!$O$7:$O$56,$O2889),""))))</f>
        <v/>
      </c>
      <c r="I2889" s="71">
        <f>IF($N2889&lt;&gt;"OK","",$D2889*$H2889)</f>
        <v/>
      </c>
      <c r="J2889" s="71">
        <f>IF($N2889&lt;&gt;"OK","",N(INDEX('Menu Pricing'!$F$7:$F$56,$O2889))+N(INDEX('Menu Pricing'!$G$7:$G$56,$O2889))+N(INDEX('Menu Pricing'!$J$7:$J$56,$O2889)))</f>
        <v/>
      </c>
      <c r="K2889" s="71">
        <f>IF($N2889&lt;&gt;"OK","",$D2889*$J2889)</f>
        <v/>
      </c>
      <c r="L2889" s="71">
        <f>IF($N2889&lt;&gt;"OK","",$I2889-$K2889)</f>
        <v/>
      </c>
      <c r="M2889" s="71">
        <f>IF($N2889&lt;&gt;"OK","",$D2889*N(INDEX('Menu Pricing'!$F$7:$F$56,$O2889)))</f>
        <v/>
      </c>
      <c r="N2889" s="80">
        <f>IF(AND($B2889="",$C2889="",$D2889=""),"",IF(NOT(ISNUMBER($B2889)),"Enter a valid date",IF($C2889="","Pick a menu item",IF($O2889="","Item not on Menu Pricing",IF(N($D2889)&lt;=0,"Qty must be above 0",IF($H2889="","No price on menu","OK"))))))</f>
        <v/>
      </c>
      <c r="O2889" s="13">
        <f>IF($C2889="","",IFERROR(MATCH($C2889,'Menu Pricing'!$B$7:$B$56,0),""))</f>
        <v/>
      </c>
    </row>
    <row r="2890" ht="17" customHeight="1">
      <c r="B2890" s="66" t="n"/>
      <c r="C2890" s="60" t="n"/>
      <c r="D2890" s="86" t="n"/>
      <c r="E2890" s="63" t="n"/>
      <c r="F2890" s="60" t="n"/>
      <c r="G2890" s="60" t="n"/>
      <c r="H2890" s="71">
        <f>IF(OR($C2890="",$D2890=""),"",IF(ISNUMBER($E2890),$E2890,IF($O2890="","",IF(N(INDEX('Menu Pricing'!$O$7:$O$56,$O2890))&gt;0,INDEX('Menu Pricing'!$O$7:$O$56,$O2890),""))))</f>
        <v/>
      </c>
      <c r="I2890" s="71">
        <f>IF($N2890&lt;&gt;"OK","",$D2890*$H2890)</f>
        <v/>
      </c>
      <c r="J2890" s="71">
        <f>IF($N2890&lt;&gt;"OK","",N(INDEX('Menu Pricing'!$F$7:$F$56,$O2890))+N(INDEX('Menu Pricing'!$G$7:$G$56,$O2890))+N(INDEX('Menu Pricing'!$J$7:$J$56,$O2890)))</f>
        <v/>
      </c>
      <c r="K2890" s="71">
        <f>IF($N2890&lt;&gt;"OK","",$D2890*$J2890)</f>
        <v/>
      </c>
      <c r="L2890" s="71">
        <f>IF($N2890&lt;&gt;"OK","",$I2890-$K2890)</f>
        <v/>
      </c>
      <c r="M2890" s="71">
        <f>IF($N2890&lt;&gt;"OK","",$D2890*N(INDEX('Menu Pricing'!$F$7:$F$56,$O2890)))</f>
        <v/>
      </c>
      <c r="N2890" s="80">
        <f>IF(AND($B2890="",$C2890="",$D2890=""),"",IF(NOT(ISNUMBER($B2890)),"Enter a valid date",IF($C2890="","Pick a menu item",IF($O2890="","Item not on Menu Pricing",IF(N($D2890)&lt;=0,"Qty must be above 0",IF($H2890="","No price on menu","OK"))))))</f>
        <v/>
      </c>
      <c r="O2890" s="13">
        <f>IF($C2890="","",IFERROR(MATCH($C2890,'Menu Pricing'!$B$7:$B$56,0),""))</f>
        <v/>
      </c>
    </row>
    <row r="2891" ht="17" customHeight="1">
      <c r="B2891" s="66" t="n"/>
      <c r="C2891" s="60" t="n"/>
      <c r="D2891" s="86" t="n"/>
      <c r="E2891" s="63" t="n"/>
      <c r="F2891" s="60" t="n"/>
      <c r="G2891" s="60" t="n"/>
      <c r="H2891" s="71">
        <f>IF(OR($C2891="",$D2891=""),"",IF(ISNUMBER($E2891),$E2891,IF($O2891="","",IF(N(INDEX('Menu Pricing'!$O$7:$O$56,$O2891))&gt;0,INDEX('Menu Pricing'!$O$7:$O$56,$O2891),""))))</f>
        <v/>
      </c>
      <c r="I2891" s="71">
        <f>IF($N2891&lt;&gt;"OK","",$D2891*$H2891)</f>
        <v/>
      </c>
      <c r="J2891" s="71">
        <f>IF($N2891&lt;&gt;"OK","",N(INDEX('Menu Pricing'!$F$7:$F$56,$O2891))+N(INDEX('Menu Pricing'!$G$7:$G$56,$O2891))+N(INDEX('Menu Pricing'!$J$7:$J$56,$O2891)))</f>
        <v/>
      </c>
      <c r="K2891" s="71">
        <f>IF($N2891&lt;&gt;"OK","",$D2891*$J2891)</f>
        <v/>
      </c>
      <c r="L2891" s="71">
        <f>IF($N2891&lt;&gt;"OK","",$I2891-$K2891)</f>
        <v/>
      </c>
      <c r="M2891" s="71">
        <f>IF($N2891&lt;&gt;"OK","",$D2891*N(INDEX('Menu Pricing'!$F$7:$F$56,$O2891)))</f>
        <v/>
      </c>
      <c r="N2891" s="80">
        <f>IF(AND($B2891="",$C2891="",$D2891=""),"",IF(NOT(ISNUMBER($B2891)),"Enter a valid date",IF($C2891="","Pick a menu item",IF($O2891="","Item not on Menu Pricing",IF(N($D2891)&lt;=0,"Qty must be above 0",IF($H2891="","No price on menu","OK"))))))</f>
        <v/>
      </c>
      <c r="O2891" s="13">
        <f>IF($C2891="","",IFERROR(MATCH($C2891,'Menu Pricing'!$B$7:$B$56,0),""))</f>
        <v/>
      </c>
    </row>
    <row r="2892" ht="17" customHeight="1">
      <c r="B2892" s="66" t="n"/>
      <c r="C2892" s="60" t="n"/>
      <c r="D2892" s="86" t="n"/>
      <c r="E2892" s="63" t="n"/>
      <c r="F2892" s="60" t="n"/>
      <c r="G2892" s="60" t="n"/>
      <c r="H2892" s="71">
        <f>IF(OR($C2892="",$D2892=""),"",IF(ISNUMBER($E2892),$E2892,IF($O2892="","",IF(N(INDEX('Menu Pricing'!$O$7:$O$56,$O2892))&gt;0,INDEX('Menu Pricing'!$O$7:$O$56,$O2892),""))))</f>
        <v/>
      </c>
      <c r="I2892" s="71">
        <f>IF($N2892&lt;&gt;"OK","",$D2892*$H2892)</f>
        <v/>
      </c>
      <c r="J2892" s="71">
        <f>IF($N2892&lt;&gt;"OK","",N(INDEX('Menu Pricing'!$F$7:$F$56,$O2892))+N(INDEX('Menu Pricing'!$G$7:$G$56,$O2892))+N(INDEX('Menu Pricing'!$J$7:$J$56,$O2892)))</f>
        <v/>
      </c>
      <c r="K2892" s="71">
        <f>IF($N2892&lt;&gt;"OK","",$D2892*$J2892)</f>
        <v/>
      </c>
      <c r="L2892" s="71">
        <f>IF($N2892&lt;&gt;"OK","",$I2892-$K2892)</f>
        <v/>
      </c>
      <c r="M2892" s="71">
        <f>IF($N2892&lt;&gt;"OK","",$D2892*N(INDEX('Menu Pricing'!$F$7:$F$56,$O2892)))</f>
        <v/>
      </c>
      <c r="N2892" s="80">
        <f>IF(AND($B2892="",$C2892="",$D2892=""),"",IF(NOT(ISNUMBER($B2892)),"Enter a valid date",IF($C2892="","Pick a menu item",IF($O2892="","Item not on Menu Pricing",IF(N($D2892)&lt;=0,"Qty must be above 0",IF($H2892="","No price on menu","OK"))))))</f>
        <v/>
      </c>
      <c r="O2892" s="13">
        <f>IF($C2892="","",IFERROR(MATCH($C2892,'Menu Pricing'!$B$7:$B$56,0),""))</f>
        <v/>
      </c>
    </row>
    <row r="2893" ht="17" customHeight="1">
      <c r="B2893" s="66" t="n"/>
      <c r="C2893" s="60" t="n"/>
      <c r="D2893" s="86" t="n"/>
      <c r="E2893" s="63" t="n"/>
      <c r="F2893" s="60" t="n"/>
      <c r="G2893" s="60" t="n"/>
      <c r="H2893" s="71">
        <f>IF(OR($C2893="",$D2893=""),"",IF(ISNUMBER($E2893),$E2893,IF($O2893="","",IF(N(INDEX('Menu Pricing'!$O$7:$O$56,$O2893))&gt;0,INDEX('Menu Pricing'!$O$7:$O$56,$O2893),""))))</f>
        <v/>
      </c>
      <c r="I2893" s="71">
        <f>IF($N2893&lt;&gt;"OK","",$D2893*$H2893)</f>
        <v/>
      </c>
      <c r="J2893" s="71">
        <f>IF($N2893&lt;&gt;"OK","",N(INDEX('Menu Pricing'!$F$7:$F$56,$O2893))+N(INDEX('Menu Pricing'!$G$7:$G$56,$O2893))+N(INDEX('Menu Pricing'!$J$7:$J$56,$O2893)))</f>
        <v/>
      </c>
      <c r="K2893" s="71">
        <f>IF($N2893&lt;&gt;"OK","",$D2893*$J2893)</f>
        <v/>
      </c>
      <c r="L2893" s="71">
        <f>IF($N2893&lt;&gt;"OK","",$I2893-$K2893)</f>
        <v/>
      </c>
      <c r="M2893" s="71">
        <f>IF($N2893&lt;&gt;"OK","",$D2893*N(INDEX('Menu Pricing'!$F$7:$F$56,$O2893)))</f>
        <v/>
      </c>
      <c r="N2893" s="80">
        <f>IF(AND($B2893="",$C2893="",$D2893=""),"",IF(NOT(ISNUMBER($B2893)),"Enter a valid date",IF($C2893="","Pick a menu item",IF($O2893="","Item not on Menu Pricing",IF(N($D2893)&lt;=0,"Qty must be above 0",IF($H2893="","No price on menu","OK"))))))</f>
        <v/>
      </c>
      <c r="O2893" s="13">
        <f>IF($C2893="","",IFERROR(MATCH($C2893,'Menu Pricing'!$B$7:$B$56,0),""))</f>
        <v/>
      </c>
    </row>
    <row r="2894" ht="17" customHeight="1">
      <c r="B2894" s="66" t="n"/>
      <c r="C2894" s="60" t="n"/>
      <c r="D2894" s="86" t="n"/>
      <c r="E2894" s="63" t="n"/>
      <c r="F2894" s="60" t="n"/>
      <c r="G2894" s="60" t="n"/>
      <c r="H2894" s="71">
        <f>IF(OR($C2894="",$D2894=""),"",IF(ISNUMBER($E2894),$E2894,IF($O2894="","",IF(N(INDEX('Menu Pricing'!$O$7:$O$56,$O2894))&gt;0,INDEX('Menu Pricing'!$O$7:$O$56,$O2894),""))))</f>
        <v/>
      </c>
      <c r="I2894" s="71">
        <f>IF($N2894&lt;&gt;"OK","",$D2894*$H2894)</f>
        <v/>
      </c>
      <c r="J2894" s="71">
        <f>IF($N2894&lt;&gt;"OK","",N(INDEX('Menu Pricing'!$F$7:$F$56,$O2894))+N(INDEX('Menu Pricing'!$G$7:$G$56,$O2894))+N(INDEX('Menu Pricing'!$J$7:$J$56,$O2894)))</f>
        <v/>
      </c>
      <c r="K2894" s="71">
        <f>IF($N2894&lt;&gt;"OK","",$D2894*$J2894)</f>
        <v/>
      </c>
      <c r="L2894" s="71">
        <f>IF($N2894&lt;&gt;"OK","",$I2894-$K2894)</f>
        <v/>
      </c>
      <c r="M2894" s="71">
        <f>IF($N2894&lt;&gt;"OK","",$D2894*N(INDEX('Menu Pricing'!$F$7:$F$56,$O2894)))</f>
        <v/>
      </c>
      <c r="N2894" s="80">
        <f>IF(AND($B2894="",$C2894="",$D2894=""),"",IF(NOT(ISNUMBER($B2894)),"Enter a valid date",IF($C2894="","Pick a menu item",IF($O2894="","Item not on Menu Pricing",IF(N($D2894)&lt;=0,"Qty must be above 0",IF($H2894="","No price on menu","OK"))))))</f>
        <v/>
      </c>
      <c r="O2894" s="13">
        <f>IF($C2894="","",IFERROR(MATCH($C2894,'Menu Pricing'!$B$7:$B$56,0),""))</f>
        <v/>
      </c>
    </row>
    <row r="2895" ht="17" customHeight="1">
      <c r="B2895" s="66" t="n"/>
      <c r="C2895" s="60" t="n"/>
      <c r="D2895" s="86" t="n"/>
      <c r="E2895" s="63" t="n"/>
      <c r="F2895" s="60" t="n"/>
      <c r="G2895" s="60" t="n"/>
      <c r="H2895" s="71">
        <f>IF(OR($C2895="",$D2895=""),"",IF(ISNUMBER($E2895),$E2895,IF($O2895="","",IF(N(INDEX('Menu Pricing'!$O$7:$O$56,$O2895))&gt;0,INDEX('Menu Pricing'!$O$7:$O$56,$O2895),""))))</f>
        <v/>
      </c>
      <c r="I2895" s="71">
        <f>IF($N2895&lt;&gt;"OK","",$D2895*$H2895)</f>
        <v/>
      </c>
      <c r="J2895" s="71">
        <f>IF($N2895&lt;&gt;"OK","",N(INDEX('Menu Pricing'!$F$7:$F$56,$O2895))+N(INDEX('Menu Pricing'!$G$7:$G$56,$O2895))+N(INDEX('Menu Pricing'!$J$7:$J$56,$O2895)))</f>
        <v/>
      </c>
      <c r="K2895" s="71">
        <f>IF($N2895&lt;&gt;"OK","",$D2895*$J2895)</f>
        <v/>
      </c>
      <c r="L2895" s="71">
        <f>IF($N2895&lt;&gt;"OK","",$I2895-$K2895)</f>
        <v/>
      </c>
      <c r="M2895" s="71">
        <f>IF($N2895&lt;&gt;"OK","",$D2895*N(INDEX('Menu Pricing'!$F$7:$F$56,$O2895)))</f>
        <v/>
      </c>
      <c r="N2895" s="80">
        <f>IF(AND($B2895="",$C2895="",$D2895=""),"",IF(NOT(ISNUMBER($B2895)),"Enter a valid date",IF($C2895="","Pick a menu item",IF($O2895="","Item not on Menu Pricing",IF(N($D2895)&lt;=0,"Qty must be above 0",IF($H2895="","No price on menu","OK"))))))</f>
        <v/>
      </c>
      <c r="O2895" s="13">
        <f>IF($C2895="","",IFERROR(MATCH($C2895,'Menu Pricing'!$B$7:$B$56,0),""))</f>
        <v/>
      </c>
    </row>
    <row r="2896" ht="17" customHeight="1">
      <c r="B2896" s="66" t="n"/>
      <c r="C2896" s="60" t="n"/>
      <c r="D2896" s="86" t="n"/>
      <c r="E2896" s="63" t="n"/>
      <c r="F2896" s="60" t="n"/>
      <c r="G2896" s="60" t="n"/>
      <c r="H2896" s="71">
        <f>IF(OR($C2896="",$D2896=""),"",IF(ISNUMBER($E2896),$E2896,IF($O2896="","",IF(N(INDEX('Menu Pricing'!$O$7:$O$56,$O2896))&gt;0,INDEX('Menu Pricing'!$O$7:$O$56,$O2896),""))))</f>
        <v/>
      </c>
      <c r="I2896" s="71">
        <f>IF($N2896&lt;&gt;"OK","",$D2896*$H2896)</f>
        <v/>
      </c>
      <c r="J2896" s="71">
        <f>IF($N2896&lt;&gt;"OK","",N(INDEX('Menu Pricing'!$F$7:$F$56,$O2896))+N(INDEX('Menu Pricing'!$G$7:$G$56,$O2896))+N(INDEX('Menu Pricing'!$J$7:$J$56,$O2896)))</f>
        <v/>
      </c>
      <c r="K2896" s="71">
        <f>IF($N2896&lt;&gt;"OK","",$D2896*$J2896)</f>
        <v/>
      </c>
      <c r="L2896" s="71">
        <f>IF($N2896&lt;&gt;"OK","",$I2896-$K2896)</f>
        <v/>
      </c>
      <c r="M2896" s="71">
        <f>IF($N2896&lt;&gt;"OK","",$D2896*N(INDEX('Menu Pricing'!$F$7:$F$56,$O2896)))</f>
        <v/>
      </c>
      <c r="N2896" s="80">
        <f>IF(AND($B2896="",$C2896="",$D2896=""),"",IF(NOT(ISNUMBER($B2896)),"Enter a valid date",IF($C2896="","Pick a menu item",IF($O2896="","Item not on Menu Pricing",IF(N($D2896)&lt;=0,"Qty must be above 0",IF($H2896="","No price on menu","OK"))))))</f>
        <v/>
      </c>
      <c r="O2896" s="13">
        <f>IF($C2896="","",IFERROR(MATCH($C2896,'Menu Pricing'!$B$7:$B$56,0),""))</f>
        <v/>
      </c>
    </row>
    <row r="2897" ht="17" customHeight="1">
      <c r="B2897" s="66" t="n"/>
      <c r="C2897" s="60" t="n"/>
      <c r="D2897" s="86" t="n"/>
      <c r="E2897" s="63" t="n"/>
      <c r="F2897" s="60" t="n"/>
      <c r="G2897" s="60" t="n"/>
      <c r="H2897" s="71">
        <f>IF(OR($C2897="",$D2897=""),"",IF(ISNUMBER($E2897),$E2897,IF($O2897="","",IF(N(INDEX('Menu Pricing'!$O$7:$O$56,$O2897))&gt;0,INDEX('Menu Pricing'!$O$7:$O$56,$O2897),""))))</f>
        <v/>
      </c>
      <c r="I2897" s="71">
        <f>IF($N2897&lt;&gt;"OK","",$D2897*$H2897)</f>
        <v/>
      </c>
      <c r="J2897" s="71">
        <f>IF($N2897&lt;&gt;"OK","",N(INDEX('Menu Pricing'!$F$7:$F$56,$O2897))+N(INDEX('Menu Pricing'!$G$7:$G$56,$O2897))+N(INDEX('Menu Pricing'!$J$7:$J$56,$O2897)))</f>
        <v/>
      </c>
      <c r="K2897" s="71">
        <f>IF($N2897&lt;&gt;"OK","",$D2897*$J2897)</f>
        <v/>
      </c>
      <c r="L2897" s="71">
        <f>IF($N2897&lt;&gt;"OK","",$I2897-$K2897)</f>
        <v/>
      </c>
      <c r="M2897" s="71">
        <f>IF($N2897&lt;&gt;"OK","",$D2897*N(INDEX('Menu Pricing'!$F$7:$F$56,$O2897)))</f>
        <v/>
      </c>
      <c r="N2897" s="80">
        <f>IF(AND($B2897="",$C2897="",$D2897=""),"",IF(NOT(ISNUMBER($B2897)),"Enter a valid date",IF($C2897="","Pick a menu item",IF($O2897="","Item not on Menu Pricing",IF(N($D2897)&lt;=0,"Qty must be above 0",IF($H2897="","No price on menu","OK"))))))</f>
        <v/>
      </c>
      <c r="O2897" s="13">
        <f>IF($C2897="","",IFERROR(MATCH($C2897,'Menu Pricing'!$B$7:$B$56,0),""))</f>
        <v/>
      </c>
    </row>
    <row r="2898" ht="17" customHeight="1">
      <c r="B2898" s="66" t="n"/>
      <c r="C2898" s="60" t="n"/>
      <c r="D2898" s="86" t="n"/>
      <c r="E2898" s="63" t="n"/>
      <c r="F2898" s="60" t="n"/>
      <c r="G2898" s="60" t="n"/>
      <c r="H2898" s="71">
        <f>IF(OR($C2898="",$D2898=""),"",IF(ISNUMBER($E2898),$E2898,IF($O2898="","",IF(N(INDEX('Menu Pricing'!$O$7:$O$56,$O2898))&gt;0,INDEX('Menu Pricing'!$O$7:$O$56,$O2898),""))))</f>
        <v/>
      </c>
      <c r="I2898" s="71">
        <f>IF($N2898&lt;&gt;"OK","",$D2898*$H2898)</f>
        <v/>
      </c>
      <c r="J2898" s="71">
        <f>IF($N2898&lt;&gt;"OK","",N(INDEX('Menu Pricing'!$F$7:$F$56,$O2898))+N(INDEX('Menu Pricing'!$G$7:$G$56,$O2898))+N(INDEX('Menu Pricing'!$J$7:$J$56,$O2898)))</f>
        <v/>
      </c>
      <c r="K2898" s="71">
        <f>IF($N2898&lt;&gt;"OK","",$D2898*$J2898)</f>
        <v/>
      </c>
      <c r="L2898" s="71">
        <f>IF($N2898&lt;&gt;"OK","",$I2898-$K2898)</f>
        <v/>
      </c>
      <c r="M2898" s="71">
        <f>IF($N2898&lt;&gt;"OK","",$D2898*N(INDEX('Menu Pricing'!$F$7:$F$56,$O2898)))</f>
        <v/>
      </c>
      <c r="N2898" s="80">
        <f>IF(AND($B2898="",$C2898="",$D2898=""),"",IF(NOT(ISNUMBER($B2898)),"Enter a valid date",IF($C2898="","Pick a menu item",IF($O2898="","Item not on Menu Pricing",IF(N($D2898)&lt;=0,"Qty must be above 0",IF($H2898="","No price on menu","OK"))))))</f>
        <v/>
      </c>
      <c r="O2898" s="13">
        <f>IF($C2898="","",IFERROR(MATCH($C2898,'Menu Pricing'!$B$7:$B$56,0),""))</f>
        <v/>
      </c>
    </row>
    <row r="2899" ht="17" customHeight="1">
      <c r="B2899" s="66" t="n"/>
      <c r="C2899" s="60" t="n"/>
      <c r="D2899" s="86" t="n"/>
      <c r="E2899" s="63" t="n"/>
      <c r="F2899" s="60" t="n"/>
      <c r="G2899" s="60" t="n"/>
      <c r="H2899" s="71">
        <f>IF(OR($C2899="",$D2899=""),"",IF(ISNUMBER($E2899),$E2899,IF($O2899="","",IF(N(INDEX('Menu Pricing'!$O$7:$O$56,$O2899))&gt;0,INDEX('Menu Pricing'!$O$7:$O$56,$O2899),""))))</f>
        <v/>
      </c>
      <c r="I2899" s="71">
        <f>IF($N2899&lt;&gt;"OK","",$D2899*$H2899)</f>
        <v/>
      </c>
      <c r="J2899" s="71">
        <f>IF($N2899&lt;&gt;"OK","",N(INDEX('Menu Pricing'!$F$7:$F$56,$O2899))+N(INDEX('Menu Pricing'!$G$7:$G$56,$O2899))+N(INDEX('Menu Pricing'!$J$7:$J$56,$O2899)))</f>
        <v/>
      </c>
      <c r="K2899" s="71">
        <f>IF($N2899&lt;&gt;"OK","",$D2899*$J2899)</f>
        <v/>
      </c>
      <c r="L2899" s="71">
        <f>IF($N2899&lt;&gt;"OK","",$I2899-$K2899)</f>
        <v/>
      </c>
      <c r="M2899" s="71">
        <f>IF($N2899&lt;&gt;"OK","",$D2899*N(INDEX('Menu Pricing'!$F$7:$F$56,$O2899)))</f>
        <v/>
      </c>
      <c r="N2899" s="80">
        <f>IF(AND($B2899="",$C2899="",$D2899=""),"",IF(NOT(ISNUMBER($B2899)),"Enter a valid date",IF($C2899="","Pick a menu item",IF($O2899="","Item not on Menu Pricing",IF(N($D2899)&lt;=0,"Qty must be above 0",IF($H2899="","No price on menu","OK"))))))</f>
        <v/>
      </c>
      <c r="O2899" s="13">
        <f>IF($C2899="","",IFERROR(MATCH($C2899,'Menu Pricing'!$B$7:$B$56,0),""))</f>
        <v/>
      </c>
    </row>
    <row r="2900" ht="17" customHeight="1">
      <c r="B2900" s="66" t="n"/>
      <c r="C2900" s="60" t="n"/>
      <c r="D2900" s="86" t="n"/>
      <c r="E2900" s="63" t="n"/>
      <c r="F2900" s="60" t="n"/>
      <c r="G2900" s="60" t="n"/>
      <c r="H2900" s="71">
        <f>IF(OR($C2900="",$D2900=""),"",IF(ISNUMBER($E2900),$E2900,IF($O2900="","",IF(N(INDEX('Menu Pricing'!$O$7:$O$56,$O2900))&gt;0,INDEX('Menu Pricing'!$O$7:$O$56,$O2900),""))))</f>
        <v/>
      </c>
      <c r="I2900" s="71">
        <f>IF($N2900&lt;&gt;"OK","",$D2900*$H2900)</f>
        <v/>
      </c>
      <c r="J2900" s="71">
        <f>IF($N2900&lt;&gt;"OK","",N(INDEX('Menu Pricing'!$F$7:$F$56,$O2900))+N(INDEX('Menu Pricing'!$G$7:$G$56,$O2900))+N(INDEX('Menu Pricing'!$J$7:$J$56,$O2900)))</f>
        <v/>
      </c>
      <c r="K2900" s="71">
        <f>IF($N2900&lt;&gt;"OK","",$D2900*$J2900)</f>
        <v/>
      </c>
      <c r="L2900" s="71">
        <f>IF($N2900&lt;&gt;"OK","",$I2900-$K2900)</f>
        <v/>
      </c>
      <c r="M2900" s="71">
        <f>IF($N2900&lt;&gt;"OK","",$D2900*N(INDEX('Menu Pricing'!$F$7:$F$56,$O2900)))</f>
        <v/>
      </c>
      <c r="N2900" s="80">
        <f>IF(AND($B2900="",$C2900="",$D2900=""),"",IF(NOT(ISNUMBER($B2900)),"Enter a valid date",IF($C2900="","Pick a menu item",IF($O2900="","Item not on Menu Pricing",IF(N($D2900)&lt;=0,"Qty must be above 0",IF($H2900="","No price on menu","OK"))))))</f>
        <v/>
      </c>
      <c r="O2900" s="13">
        <f>IF($C2900="","",IFERROR(MATCH($C2900,'Menu Pricing'!$B$7:$B$56,0),""))</f>
        <v/>
      </c>
    </row>
    <row r="2901" ht="17" customHeight="1">
      <c r="B2901" s="66" t="n"/>
      <c r="C2901" s="60" t="n"/>
      <c r="D2901" s="86" t="n"/>
      <c r="E2901" s="63" t="n"/>
      <c r="F2901" s="60" t="n"/>
      <c r="G2901" s="60" t="n"/>
      <c r="H2901" s="71">
        <f>IF(OR($C2901="",$D2901=""),"",IF(ISNUMBER($E2901),$E2901,IF($O2901="","",IF(N(INDEX('Menu Pricing'!$O$7:$O$56,$O2901))&gt;0,INDEX('Menu Pricing'!$O$7:$O$56,$O2901),""))))</f>
        <v/>
      </c>
      <c r="I2901" s="71">
        <f>IF($N2901&lt;&gt;"OK","",$D2901*$H2901)</f>
        <v/>
      </c>
      <c r="J2901" s="71">
        <f>IF($N2901&lt;&gt;"OK","",N(INDEX('Menu Pricing'!$F$7:$F$56,$O2901))+N(INDEX('Menu Pricing'!$G$7:$G$56,$O2901))+N(INDEX('Menu Pricing'!$J$7:$J$56,$O2901)))</f>
        <v/>
      </c>
      <c r="K2901" s="71">
        <f>IF($N2901&lt;&gt;"OK","",$D2901*$J2901)</f>
        <v/>
      </c>
      <c r="L2901" s="71">
        <f>IF($N2901&lt;&gt;"OK","",$I2901-$K2901)</f>
        <v/>
      </c>
      <c r="M2901" s="71">
        <f>IF($N2901&lt;&gt;"OK","",$D2901*N(INDEX('Menu Pricing'!$F$7:$F$56,$O2901)))</f>
        <v/>
      </c>
      <c r="N2901" s="80">
        <f>IF(AND($B2901="",$C2901="",$D2901=""),"",IF(NOT(ISNUMBER($B2901)),"Enter a valid date",IF($C2901="","Pick a menu item",IF($O2901="","Item not on Menu Pricing",IF(N($D2901)&lt;=0,"Qty must be above 0",IF($H2901="","No price on menu","OK"))))))</f>
        <v/>
      </c>
      <c r="O2901" s="13">
        <f>IF($C2901="","",IFERROR(MATCH($C2901,'Menu Pricing'!$B$7:$B$56,0),""))</f>
        <v/>
      </c>
    </row>
    <row r="2902" ht="17" customHeight="1">
      <c r="B2902" s="66" t="n"/>
      <c r="C2902" s="60" t="n"/>
      <c r="D2902" s="86" t="n"/>
      <c r="E2902" s="63" t="n"/>
      <c r="F2902" s="60" t="n"/>
      <c r="G2902" s="60" t="n"/>
      <c r="H2902" s="71">
        <f>IF(OR($C2902="",$D2902=""),"",IF(ISNUMBER($E2902),$E2902,IF($O2902="","",IF(N(INDEX('Menu Pricing'!$O$7:$O$56,$O2902))&gt;0,INDEX('Menu Pricing'!$O$7:$O$56,$O2902),""))))</f>
        <v/>
      </c>
      <c r="I2902" s="71">
        <f>IF($N2902&lt;&gt;"OK","",$D2902*$H2902)</f>
        <v/>
      </c>
      <c r="J2902" s="71">
        <f>IF($N2902&lt;&gt;"OK","",N(INDEX('Menu Pricing'!$F$7:$F$56,$O2902))+N(INDEX('Menu Pricing'!$G$7:$G$56,$O2902))+N(INDEX('Menu Pricing'!$J$7:$J$56,$O2902)))</f>
        <v/>
      </c>
      <c r="K2902" s="71">
        <f>IF($N2902&lt;&gt;"OK","",$D2902*$J2902)</f>
        <v/>
      </c>
      <c r="L2902" s="71">
        <f>IF($N2902&lt;&gt;"OK","",$I2902-$K2902)</f>
        <v/>
      </c>
      <c r="M2902" s="71">
        <f>IF($N2902&lt;&gt;"OK","",$D2902*N(INDEX('Menu Pricing'!$F$7:$F$56,$O2902)))</f>
        <v/>
      </c>
      <c r="N2902" s="80">
        <f>IF(AND($B2902="",$C2902="",$D2902=""),"",IF(NOT(ISNUMBER($B2902)),"Enter a valid date",IF($C2902="","Pick a menu item",IF($O2902="","Item not on Menu Pricing",IF(N($D2902)&lt;=0,"Qty must be above 0",IF($H2902="","No price on menu","OK"))))))</f>
        <v/>
      </c>
      <c r="O2902" s="13">
        <f>IF($C2902="","",IFERROR(MATCH($C2902,'Menu Pricing'!$B$7:$B$56,0),""))</f>
        <v/>
      </c>
    </row>
    <row r="2903" ht="17" customHeight="1">
      <c r="B2903" s="66" t="n"/>
      <c r="C2903" s="60" t="n"/>
      <c r="D2903" s="86" t="n"/>
      <c r="E2903" s="63" t="n"/>
      <c r="F2903" s="60" t="n"/>
      <c r="G2903" s="60" t="n"/>
      <c r="H2903" s="71">
        <f>IF(OR($C2903="",$D2903=""),"",IF(ISNUMBER($E2903),$E2903,IF($O2903="","",IF(N(INDEX('Menu Pricing'!$O$7:$O$56,$O2903))&gt;0,INDEX('Menu Pricing'!$O$7:$O$56,$O2903),""))))</f>
        <v/>
      </c>
      <c r="I2903" s="71">
        <f>IF($N2903&lt;&gt;"OK","",$D2903*$H2903)</f>
        <v/>
      </c>
      <c r="J2903" s="71">
        <f>IF($N2903&lt;&gt;"OK","",N(INDEX('Menu Pricing'!$F$7:$F$56,$O2903))+N(INDEX('Menu Pricing'!$G$7:$G$56,$O2903))+N(INDEX('Menu Pricing'!$J$7:$J$56,$O2903)))</f>
        <v/>
      </c>
      <c r="K2903" s="71">
        <f>IF($N2903&lt;&gt;"OK","",$D2903*$J2903)</f>
        <v/>
      </c>
      <c r="L2903" s="71">
        <f>IF($N2903&lt;&gt;"OK","",$I2903-$K2903)</f>
        <v/>
      </c>
      <c r="M2903" s="71">
        <f>IF($N2903&lt;&gt;"OK","",$D2903*N(INDEX('Menu Pricing'!$F$7:$F$56,$O2903)))</f>
        <v/>
      </c>
      <c r="N2903" s="80">
        <f>IF(AND($B2903="",$C2903="",$D2903=""),"",IF(NOT(ISNUMBER($B2903)),"Enter a valid date",IF($C2903="","Pick a menu item",IF($O2903="","Item not on Menu Pricing",IF(N($D2903)&lt;=0,"Qty must be above 0",IF($H2903="","No price on menu","OK"))))))</f>
        <v/>
      </c>
      <c r="O2903" s="13">
        <f>IF($C2903="","",IFERROR(MATCH($C2903,'Menu Pricing'!$B$7:$B$56,0),""))</f>
        <v/>
      </c>
    </row>
    <row r="2904" ht="17" customHeight="1">
      <c r="B2904" s="66" t="n"/>
      <c r="C2904" s="60" t="n"/>
      <c r="D2904" s="86" t="n"/>
      <c r="E2904" s="63" t="n"/>
      <c r="F2904" s="60" t="n"/>
      <c r="G2904" s="60" t="n"/>
      <c r="H2904" s="71">
        <f>IF(OR($C2904="",$D2904=""),"",IF(ISNUMBER($E2904),$E2904,IF($O2904="","",IF(N(INDEX('Menu Pricing'!$O$7:$O$56,$O2904))&gt;0,INDEX('Menu Pricing'!$O$7:$O$56,$O2904),""))))</f>
        <v/>
      </c>
      <c r="I2904" s="71">
        <f>IF($N2904&lt;&gt;"OK","",$D2904*$H2904)</f>
        <v/>
      </c>
      <c r="J2904" s="71">
        <f>IF($N2904&lt;&gt;"OK","",N(INDEX('Menu Pricing'!$F$7:$F$56,$O2904))+N(INDEX('Menu Pricing'!$G$7:$G$56,$O2904))+N(INDEX('Menu Pricing'!$J$7:$J$56,$O2904)))</f>
        <v/>
      </c>
      <c r="K2904" s="71">
        <f>IF($N2904&lt;&gt;"OK","",$D2904*$J2904)</f>
        <v/>
      </c>
      <c r="L2904" s="71">
        <f>IF($N2904&lt;&gt;"OK","",$I2904-$K2904)</f>
        <v/>
      </c>
      <c r="M2904" s="71">
        <f>IF($N2904&lt;&gt;"OK","",$D2904*N(INDEX('Menu Pricing'!$F$7:$F$56,$O2904)))</f>
        <v/>
      </c>
      <c r="N2904" s="80">
        <f>IF(AND($B2904="",$C2904="",$D2904=""),"",IF(NOT(ISNUMBER($B2904)),"Enter a valid date",IF($C2904="","Pick a menu item",IF($O2904="","Item not on Menu Pricing",IF(N($D2904)&lt;=0,"Qty must be above 0",IF($H2904="","No price on menu","OK"))))))</f>
        <v/>
      </c>
      <c r="O2904" s="13">
        <f>IF($C2904="","",IFERROR(MATCH($C2904,'Menu Pricing'!$B$7:$B$56,0),""))</f>
        <v/>
      </c>
    </row>
    <row r="2905" ht="17" customHeight="1">
      <c r="B2905" s="66" t="n"/>
      <c r="C2905" s="60" t="n"/>
      <c r="D2905" s="86" t="n"/>
      <c r="E2905" s="63" t="n"/>
      <c r="F2905" s="60" t="n"/>
      <c r="G2905" s="60" t="n"/>
      <c r="H2905" s="71">
        <f>IF(OR($C2905="",$D2905=""),"",IF(ISNUMBER($E2905),$E2905,IF($O2905="","",IF(N(INDEX('Menu Pricing'!$O$7:$O$56,$O2905))&gt;0,INDEX('Menu Pricing'!$O$7:$O$56,$O2905),""))))</f>
        <v/>
      </c>
      <c r="I2905" s="71">
        <f>IF($N2905&lt;&gt;"OK","",$D2905*$H2905)</f>
        <v/>
      </c>
      <c r="J2905" s="71">
        <f>IF($N2905&lt;&gt;"OK","",N(INDEX('Menu Pricing'!$F$7:$F$56,$O2905))+N(INDEX('Menu Pricing'!$G$7:$G$56,$O2905))+N(INDEX('Menu Pricing'!$J$7:$J$56,$O2905)))</f>
        <v/>
      </c>
      <c r="K2905" s="71">
        <f>IF($N2905&lt;&gt;"OK","",$D2905*$J2905)</f>
        <v/>
      </c>
      <c r="L2905" s="71">
        <f>IF($N2905&lt;&gt;"OK","",$I2905-$K2905)</f>
        <v/>
      </c>
      <c r="M2905" s="71">
        <f>IF($N2905&lt;&gt;"OK","",$D2905*N(INDEX('Menu Pricing'!$F$7:$F$56,$O2905)))</f>
        <v/>
      </c>
      <c r="N2905" s="80">
        <f>IF(AND($B2905="",$C2905="",$D2905=""),"",IF(NOT(ISNUMBER($B2905)),"Enter a valid date",IF($C2905="","Pick a menu item",IF($O2905="","Item not on Menu Pricing",IF(N($D2905)&lt;=0,"Qty must be above 0",IF($H2905="","No price on menu","OK"))))))</f>
        <v/>
      </c>
      <c r="O2905" s="13">
        <f>IF($C2905="","",IFERROR(MATCH($C2905,'Menu Pricing'!$B$7:$B$56,0),""))</f>
        <v/>
      </c>
    </row>
    <row r="2906" ht="17" customHeight="1">
      <c r="B2906" s="66" t="n"/>
      <c r="C2906" s="60" t="n"/>
      <c r="D2906" s="86" t="n"/>
      <c r="E2906" s="63" t="n"/>
      <c r="F2906" s="60" t="n"/>
      <c r="G2906" s="60" t="n"/>
      <c r="H2906" s="71">
        <f>IF(OR($C2906="",$D2906=""),"",IF(ISNUMBER($E2906),$E2906,IF($O2906="","",IF(N(INDEX('Menu Pricing'!$O$7:$O$56,$O2906))&gt;0,INDEX('Menu Pricing'!$O$7:$O$56,$O2906),""))))</f>
        <v/>
      </c>
      <c r="I2906" s="71">
        <f>IF($N2906&lt;&gt;"OK","",$D2906*$H2906)</f>
        <v/>
      </c>
      <c r="J2906" s="71">
        <f>IF($N2906&lt;&gt;"OK","",N(INDEX('Menu Pricing'!$F$7:$F$56,$O2906))+N(INDEX('Menu Pricing'!$G$7:$G$56,$O2906))+N(INDEX('Menu Pricing'!$J$7:$J$56,$O2906)))</f>
        <v/>
      </c>
      <c r="K2906" s="71">
        <f>IF($N2906&lt;&gt;"OK","",$D2906*$J2906)</f>
        <v/>
      </c>
      <c r="L2906" s="71">
        <f>IF($N2906&lt;&gt;"OK","",$I2906-$K2906)</f>
        <v/>
      </c>
      <c r="M2906" s="71">
        <f>IF($N2906&lt;&gt;"OK","",$D2906*N(INDEX('Menu Pricing'!$F$7:$F$56,$O2906)))</f>
        <v/>
      </c>
      <c r="N2906" s="80">
        <f>IF(AND($B2906="",$C2906="",$D2906=""),"",IF(NOT(ISNUMBER($B2906)),"Enter a valid date",IF($C2906="","Pick a menu item",IF($O2906="","Item not on Menu Pricing",IF(N($D2906)&lt;=0,"Qty must be above 0",IF($H2906="","No price on menu","OK"))))))</f>
        <v/>
      </c>
      <c r="O2906" s="13">
        <f>IF($C2906="","",IFERROR(MATCH($C2906,'Menu Pricing'!$B$7:$B$56,0),""))</f>
        <v/>
      </c>
    </row>
    <row r="2907" ht="17" customHeight="1">
      <c r="B2907" s="66" t="n"/>
      <c r="C2907" s="60" t="n"/>
      <c r="D2907" s="86" t="n"/>
      <c r="E2907" s="63" t="n"/>
      <c r="F2907" s="60" t="n"/>
      <c r="G2907" s="60" t="n"/>
      <c r="H2907" s="71">
        <f>IF(OR($C2907="",$D2907=""),"",IF(ISNUMBER($E2907),$E2907,IF($O2907="","",IF(N(INDEX('Menu Pricing'!$O$7:$O$56,$O2907))&gt;0,INDEX('Menu Pricing'!$O$7:$O$56,$O2907),""))))</f>
        <v/>
      </c>
      <c r="I2907" s="71">
        <f>IF($N2907&lt;&gt;"OK","",$D2907*$H2907)</f>
        <v/>
      </c>
      <c r="J2907" s="71">
        <f>IF($N2907&lt;&gt;"OK","",N(INDEX('Menu Pricing'!$F$7:$F$56,$O2907))+N(INDEX('Menu Pricing'!$G$7:$G$56,$O2907))+N(INDEX('Menu Pricing'!$J$7:$J$56,$O2907)))</f>
        <v/>
      </c>
      <c r="K2907" s="71">
        <f>IF($N2907&lt;&gt;"OK","",$D2907*$J2907)</f>
        <v/>
      </c>
      <c r="L2907" s="71">
        <f>IF($N2907&lt;&gt;"OK","",$I2907-$K2907)</f>
        <v/>
      </c>
      <c r="M2907" s="71">
        <f>IF($N2907&lt;&gt;"OK","",$D2907*N(INDEX('Menu Pricing'!$F$7:$F$56,$O2907)))</f>
        <v/>
      </c>
      <c r="N2907" s="80">
        <f>IF(AND($B2907="",$C2907="",$D2907=""),"",IF(NOT(ISNUMBER($B2907)),"Enter a valid date",IF($C2907="","Pick a menu item",IF($O2907="","Item not on Menu Pricing",IF(N($D2907)&lt;=0,"Qty must be above 0",IF($H2907="","No price on menu","OK"))))))</f>
        <v/>
      </c>
      <c r="O2907" s="13">
        <f>IF($C2907="","",IFERROR(MATCH($C2907,'Menu Pricing'!$B$7:$B$56,0),""))</f>
        <v/>
      </c>
    </row>
    <row r="2908" ht="17" customHeight="1">
      <c r="B2908" s="66" t="n"/>
      <c r="C2908" s="60" t="n"/>
      <c r="D2908" s="86" t="n"/>
      <c r="E2908" s="63" t="n"/>
      <c r="F2908" s="60" t="n"/>
      <c r="G2908" s="60" t="n"/>
      <c r="H2908" s="71">
        <f>IF(OR($C2908="",$D2908=""),"",IF(ISNUMBER($E2908),$E2908,IF($O2908="","",IF(N(INDEX('Menu Pricing'!$O$7:$O$56,$O2908))&gt;0,INDEX('Menu Pricing'!$O$7:$O$56,$O2908),""))))</f>
        <v/>
      </c>
      <c r="I2908" s="71">
        <f>IF($N2908&lt;&gt;"OK","",$D2908*$H2908)</f>
        <v/>
      </c>
      <c r="J2908" s="71">
        <f>IF($N2908&lt;&gt;"OK","",N(INDEX('Menu Pricing'!$F$7:$F$56,$O2908))+N(INDEX('Menu Pricing'!$G$7:$G$56,$O2908))+N(INDEX('Menu Pricing'!$J$7:$J$56,$O2908)))</f>
        <v/>
      </c>
      <c r="K2908" s="71">
        <f>IF($N2908&lt;&gt;"OK","",$D2908*$J2908)</f>
        <v/>
      </c>
      <c r="L2908" s="71">
        <f>IF($N2908&lt;&gt;"OK","",$I2908-$K2908)</f>
        <v/>
      </c>
      <c r="M2908" s="71">
        <f>IF($N2908&lt;&gt;"OK","",$D2908*N(INDEX('Menu Pricing'!$F$7:$F$56,$O2908)))</f>
        <v/>
      </c>
      <c r="N2908" s="80">
        <f>IF(AND($B2908="",$C2908="",$D2908=""),"",IF(NOT(ISNUMBER($B2908)),"Enter a valid date",IF($C2908="","Pick a menu item",IF($O2908="","Item not on Menu Pricing",IF(N($D2908)&lt;=0,"Qty must be above 0",IF($H2908="","No price on menu","OK"))))))</f>
        <v/>
      </c>
      <c r="O2908" s="13">
        <f>IF($C2908="","",IFERROR(MATCH($C2908,'Menu Pricing'!$B$7:$B$56,0),""))</f>
        <v/>
      </c>
    </row>
    <row r="2909" ht="17" customHeight="1">
      <c r="B2909" s="66" t="n"/>
      <c r="C2909" s="60" t="n"/>
      <c r="D2909" s="86" t="n"/>
      <c r="E2909" s="63" t="n"/>
      <c r="F2909" s="60" t="n"/>
      <c r="G2909" s="60" t="n"/>
      <c r="H2909" s="71">
        <f>IF(OR($C2909="",$D2909=""),"",IF(ISNUMBER($E2909),$E2909,IF($O2909="","",IF(N(INDEX('Menu Pricing'!$O$7:$O$56,$O2909))&gt;0,INDEX('Menu Pricing'!$O$7:$O$56,$O2909),""))))</f>
        <v/>
      </c>
      <c r="I2909" s="71">
        <f>IF($N2909&lt;&gt;"OK","",$D2909*$H2909)</f>
        <v/>
      </c>
      <c r="J2909" s="71">
        <f>IF($N2909&lt;&gt;"OK","",N(INDEX('Menu Pricing'!$F$7:$F$56,$O2909))+N(INDEX('Menu Pricing'!$G$7:$G$56,$O2909))+N(INDEX('Menu Pricing'!$J$7:$J$56,$O2909)))</f>
        <v/>
      </c>
      <c r="K2909" s="71">
        <f>IF($N2909&lt;&gt;"OK","",$D2909*$J2909)</f>
        <v/>
      </c>
      <c r="L2909" s="71">
        <f>IF($N2909&lt;&gt;"OK","",$I2909-$K2909)</f>
        <v/>
      </c>
      <c r="M2909" s="71">
        <f>IF($N2909&lt;&gt;"OK","",$D2909*N(INDEX('Menu Pricing'!$F$7:$F$56,$O2909)))</f>
        <v/>
      </c>
      <c r="N2909" s="80">
        <f>IF(AND($B2909="",$C2909="",$D2909=""),"",IF(NOT(ISNUMBER($B2909)),"Enter a valid date",IF($C2909="","Pick a menu item",IF($O2909="","Item not on Menu Pricing",IF(N($D2909)&lt;=0,"Qty must be above 0",IF($H2909="","No price on menu","OK"))))))</f>
        <v/>
      </c>
      <c r="O2909" s="13">
        <f>IF($C2909="","",IFERROR(MATCH($C2909,'Menu Pricing'!$B$7:$B$56,0),""))</f>
        <v/>
      </c>
    </row>
    <row r="2910" ht="17" customHeight="1">
      <c r="B2910" s="66" t="n"/>
      <c r="C2910" s="60" t="n"/>
      <c r="D2910" s="86" t="n"/>
      <c r="E2910" s="63" t="n"/>
      <c r="F2910" s="60" t="n"/>
      <c r="G2910" s="60" t="n"/>
      <c r="H2910" s="71">
        <f>IF(OR($C2910="",$D2910=""),"",IF(ISNUMBER($E2910),$E2910,IF($O2910="","",IF(N(INDEX('Menu Pricing'!$O$7:$O$56,$O2910))&gt;0,INDEX('Menu Pricing'!$O$7:$O$56,$O2910),""))))</f>
        <v/>
      </c>
      <c r="I2910" s="71">
        <f>IF($N2910&lt;&gt;"OK","",$D2910*$H2910)</f>
        <v/>
      </c>
      <c r="J2910" s="71">
        <f>IF($N2910&lt;&gt;"OK","",N(INDEX('Menu Pricing'!$F$7:$F$56,$O2910))+N(INDEX('Menu Pricing'!$G$7:$G$56,$O2910))+N(INDEX('Menu Pricing'!$J$7:$J$56,$O2910)))</f>
        <v/>
      </c>
      <c r="K2910" s="71">
        <f>IF($N2910&lt;&gt;"OK","",$D2910*$J2910)</f>
        <v/>
      </c>
      <c r="L2910" s="71">
        <f>IF($N2910&lt;&gt;"OK","",$I2910-$K2910)</f>
        <v/>
      </c>
      <c r="M2910" s="71">
        <f>IF($N2910&lt;&gt;"OK","",$D2910*N(INDEX('Menu Pricing'!$F$7:$F$56,$O2910)))</f>
        <v/>
      </c>
      <c r="N2910" s="80">
        <f>IF(AND($B2910="",$C2910="",$D2910=""),"",IF(NOT(ISNUMBER($B2910)),"Enter a valid date",IF($C2910="","Pick a menu item",IF($O2910="","Item not on Menu Pricing",IF(N($D2910)&lt;=0,"Qty must be above 0",IF($H2910="","No price on menu","OK"))))))</f>
        <v/>
      </c>
      <c r="O2910" s="13">
        <f>IF($C2910="","",IFERROR(MATCH($C2910,'Menu Pricing'!$B$7:$B$56,0),""))</f>
        <v/>
      </c>
    </row>
    <row r="2911" ht="17" customHeight="1">
      <c r="B2911" s="66" t="n"/>
      <c r="C2911" s="60" t="n"/>
      <c r="D2911" s="86" t="n"/>
      <c r="E2911" s="63" t="n"/>
      <c r="F2911" s="60" t="n"/>
      <c r="G2911" s="60" t="n"/>
      <c r="H2911" s="71">
        <f>IF(OR($C2911="",$D2911=""),"",IF(ISNUMBER($E2911),$E2911,IF($O2911="","",IF(N(INDEX('Menu Pricing'!$O$7:$O$56,$O2911))&gt;0,INDEX('Menu Pricing'!$O$7:$O$56,$O2911),""))))</f>
        <v/>
      </c>
      <c r="I2911" s="71">
        <f>IF($N2911&lt;&gt;"OK","",$D2911*$H2911)</f>
        <v/>
      </c>
      <c r="J2911" s="71">
        <f>IF($N2911&lt;&gt;"OK","",N(INDEX('Menu Pricing'!$F$7:$F$56,$O2911))+N(INDEX('Menu Pricing'!$G$7:$G$56,$O2911))+N(INDEX('Menu Pricing'!$J$7:$J$56,$O2911)))</f>
        <v/>
      </c>
      <c r="K2911" s="71">
        <f>IF($N2911&lt;&gt;"OK","",$D2911*$J2911)</f>
        <v/>
      </c>
      <c r="L2911" s="71">
        <f>IF($N2911&lt;&gt;"OK","",$I2911-$K2911)</f>
        <v/>
      </c>
      <c r="M2911" s="71">
        <f>IF($N2911&lt;&gt;"OK","",$D2911*N(INDEX('Menu Pricing'!$F$7:$F$56,$O2911)))</f>
        <v/>
      </c>
      <c r="N2911" s="80">
        <f>IF(AND($B2911="",$C2911="",$D2911=""),"",IF(NOT(ISNUMBER($B2911)),"Enter a valid date",IF($C2911="","Pick a menu item",IF($O2911="","Item not on Menu Pricing",IF(N($D2911)&lt;=0,"Qty must be above 0",IF($H2911="","No price on menu","OK"))))))</f>
        <v/>
      </c>
      <c r="O2911" s="13">
        <f>IF($C2911="","",IFERROR(MATCH($C2911,'Menu Pricing'!$B$7:$B$56,0),""))</f>
        <v/>
      </c>
    </row>
    <row r="2912" ht="17" customHeight="1">
      <c r="B2912" s="66" t="n"/>
      <c r="C2912" s="60" t="n"/>
      <c r="D2912" s="86" t="n"/>
      <c r="E2912" s="63" t="n"/>
      <c r="F2912" s="60" t="n"/>
      <c r="G2912" s="60" t="n"/>
      <c r="H2912" s="71">
        <f>IF(OR($C2912="",$D2912=""),"",IF(ISNUMBER($E2912),$E2912,IF($O2912="","",IF(N(INDEX('Menu Pricing'!$O$7:$O$56,$O2912))&gt;0,INDEX('Menu Pricing'!$O$7:$O$56,$O2912),""))))</f>
        <v/>
      </c>
      <c r="I2912" s="71">
        <f>IF($N2912&lt;&gt;"OK","",$D2912*$H2912)</f>
        <v/>
      </c>
      <c r="J2912" s="71">
        <f>IF($N2912&lt;&gt;"OK","",N(INDEX('Menu Pricing'!$F$7:$F$56,$O2912))+N(INDEX('Menu Pricing'!$G$7:$G$56,$O2912))+N(INDEX('Menu Pricing'!$J$7:$J$56,$O2912)))</f>
        <v/>
      </c>
      <c r="K2912" s="71">
        <f>IF($N2912&lt;&gt;"OK","",$D2912*$J2912)</f>
        <v/>
      </c>
      <c r="L2912" s="71">
        <f>IF($N2912&lt;&gt;"OK","",$I2912-$K2912)</f>
        <v/>
      </c>
      <c r="M2912" s="71">
        <f>IF($N2912&lt;&gt;"OK","",$D2912*N(INDEX('Menu Pricing'!$F$7:$F$56,$O2912)))</f>
        <v/>
      </c>
      <c r="N2912" s="80">
        <f>IF(AND($B2912="",$C2912="",$D2912=""),"",IF(NOT(ISNUMBER($B2912)),"Enter a valid date",IF($C2912="","Pick a menu item",IF($O2912="","Item not on Menu Pricing",IF(N($D2912)&lt;=0,"Qty must be above 0",IF($H2912="","No price on menu","OK"))))))</f>
        <v/>
      </c>
      <c r="O2912" s="13">
        <f>IF($C2912="","",IFERROR(MATCH($C2912,'Menu Pricing'!$B$7:$B$56,0),""))</f>
        <v/>
      </c>
    </row>
    <row r="2913" ht="17" customHeight="1">
      <c r="B2913" s="66" t="n"/>
      <c r="C2913" s="60" t="n"/>
      <c r="D2913" s="86" t="n"/>
      <c r="E2913" s="63" t="n"/>
      <c r="F2913" s="60" t="n"/>
      <c r="G2913" s="60" t="n"/>
      <c r="H2913" s="71">
        <f>IF(OR($C2913="",$D2913=""),"",IF(ISNUMBER($E2913),$E2913,IF($O2913="","",IF(N(INDEX('Menu Pricing'!$O$7:$O$56,$O2913))&gt;0,INDEX('Menu Pricing'!$O$7:$O$56,$O2913),""))))</f>
        <v/>
      </c>
      <c r="I2913" s="71">
        <f>IF($N2913&lt;&gt;"OK","",$D2913*$H2913)</f>
        <v/>
      </c>
      <c r="J2913" s="71">
        <f>IF($N2913&lt;&gt;"OK","",N(INDEX('Menu Pricing'!$F$7:$F$56,$O2913))+N(INDEX('Menu Pricing'!$G$7:$G$56,$O2913))+N(INDEX('Menu Pricing'!$J$7:$J$56,$O2913)))</f>
        <v/>
      </c>
      <c r="K2913" s="71">
        <f>IF($N2913&lt;&gt;"OK","",$D2913*$J2913)</f>
        <v/>
      </c>
      <c r="L2913" s="71">
        <f>IF($N2913&lt;&gt;"OK","",$I2913-$K2913)</f>
        <v/>
      </c>
      <c r="M2913" s="71">
        <f>IF($N2913&lt;&gt;"OK","",$D2913*N(INDEX('Menu Pricing'!$F$7:$F$56,$O2913)))</f>
        <v/>
      </c>
      <c r="N2913" s="80">
        <f>IF(AND($B2913="",$C2913="",$D2913=""),"",IF(NOT(ISNUMBER($B2913)),"Enter a valid date",IF($C2913="","Pick a menu item",IF($O2913="","Item not on Menu Pricing",IF(N($D2913)&lt;=0,"Qty must be above 0",IF($H2913="","No price on menu","OK"))))))</f>
        <v/>
      </c>
      <c r="O2913" s="13">
        <f>IF($C2913="","",IFERROR(MATCH($C2913,'Menu Pricing'!$B$7:$B$56,0),""))</f>
        <v/>
      </c>
    </row>
    <row r="2914" ht="17" customHeight="1">
      <c r="B2914" s="66" t="n"/>
      <c r="C2914" s="60" t="n"/>
      <c r="D2914" s="86" t="n"/>
      <c r="E2914" s="63" t="n"/>
      <c r="F2914" s="60" t="n"/>
      <c r="G2914" s="60" t="n"/>
      <c r="H2914" s="71">
        <f>IF(OR($C2914="",$D2914=""),"",IF(ISNUMBER($E2914),$E2914,IF($O2914="","",IF(N(INDEX('Menu Pricing'!$O$7:$O$56,$O2914))&gt;0,INDEX('Menu Pricing'!$O$7:$O$56,$O2914),""))))</f>
        <v/>
      </c>
      <c r="I2914" s="71">
        <f>IF($N2914&lt;&gt;"OK","",$D2914*$H2914)</f>
        <v/>
      </c>
      <c r="J2914" s="71">
        <f>IF($N2914&lt;&gt;"OK","",N(INDEX('Menu Pricing'!$F$7:$F$56,$O2914))+N(INDEX('Menu Pricing'!$G$7:$G$56,$O2914))+N(INDEX('Menu Pricing'!$J$7:$J$56,$O2914)))</f>
        <v/>
      </c>
      <c r="K2914" s="71">
        <f>IF($N2914&lt;&gt;"OK","",$D2914*$J2914)</f>
        <v/>
      </c>
      <c r="L2914" s="71">
        <f>IF($N2914&lt;&gt;"OK","",$I2914-$K2914)</f>
        <v/>
      </c>
      <c r="M2914" s="71">
        <f>IF($N2914&lt;&gt;"OK","",$D2914*N(INDEX('Menu Pricing'!$F$7:$F$56,$O2914)))</f>
        <v/>
      </c>
      <c r="N2914" s="80">
        <f>IF(AND($B2914="",$C2914="",$D2914=""),"",IF(NOT(ISNUMBER($B2914)),"Enter a valid date",IF($C2914="","Pick a menu item",IF($O2914="","Item not on Menu Pricing",IF(N($D2914)&lt;=0,"Qty must be above 0",IF($H2914="","No price on menu","OK"))))))</f>
        <v/>
      </c>
      <c r="O2914" s="13">
        <f>IF($C2914="","",IFERROR(MATCH($C2914,'Menu Pricing'!$B$7:$B$56,0),""))</f>
        <v/>
      </c>
    </row>
    <row r="2915" ht="17" customHeight="1">
      <c r="B2915" s="66" t="n"/>
      <c r="C2915" s="60" t="n"/>
      <c r="D2915" s="86" t="n"/>
      <c r="E2915" s="63" t="n"/>
      <c r="F2915" s="60" t="n"/>
      <c r="G2915" s="60" t="n"/>
      <c r="H2915" s="71">
        <f>IF(OR($C2915="",$D2915=""),"",IF(ISNUMBER($E2915),$E2915,IF($O2915="","",IF(N(INDEX('Menu Pricing'!$O$7:$O$56,$O2915))&gt;0,INDEX('Menu Pricing'!$O$7:$O$56,$O2915),""))))</f>
        <v/>
      </c>
      <c r="I2915" s="71">
        <f>IF($N2915&lt;&gt;"OK","",$D2915*$H2915)</f>
        <v/>
      </c>
      <c r="J2915" s="71">
        <f>IF($N2915&lt;&gt;"OK","",N(INDEX('Menu Pricing'!$F$7:$F$56,$O2915))+N(INDEX('Menu Pricing'!$G$7:$G$56,$O2915))+N(INDEX('Menu Pricing'!$J$7:$J$56,$O2915)))</f>
        <v/>
      </c>
      <c r="K2915" s="71">
        <f>IF($N2915&lt;&gt;"OK","",$D2915*$J2915)</f>
        <v/>
      </c>
      <c r="L2915" s="71">
        <f>IF($N2915&lt;&gt;"OK","",$I2915-$K2915)</f>
        <v/>
      </c>
      <c r="M2915" s="71">
        <f>IF($N2915&lt;&gt;"OK","",$D2915*N(INDEX('Menu Pricing'!$F$7:$F$56,$O2915)))</f>
        <v/>
      </c>
      <c r="N2915" s="80">
        <f>IF(AND($B2915="",$C2915="",$D2915=""),"",IF(NOT(ISNUMBER($B2915)),"Enter a valid date",IF($C2915="","Pick a menu item",IF($O2915="","Item not on Menu Pricing",IF(N($D2915)&lt;=0,"Qty must be above 0",IF($H2915="","No price on menu","OK"))))))</f>
        <v/>
      </c>
      <c r="O2915" s="13">
        <f>IF($C2915="","",IFERROR(MATCH($C2915,'Menu Pricing'!$B$7:$B$56,0),""))</f>
        <v/>
      </c>
    </row>
    <row r="2916" ht="17" customHeight="1">
      <c r="B2916" s="66" t="n"/>
      <c r="C2916" s="60" t="n"/>
      <c r="D2916" s="86" t="n"/>
      <c r="E2916" s="63" t="n"/>
      <c r="F2916" s="60" t="n"/>
      <c r="G2916" s="60" t="n"/>
      <c r="H2916" s="71">
        <f>IF(OR($C2916="",$D2916=""),"",IF(ISNUMBER($E2916),$E2916,IF($O2916="","",IF(N(INDEX('Menu Pricing'!$O$7:$O$56,$O2916))&gt;0,INDEX('Menu Pricing'!$O$7:$O$56,$O2916),""))))</f>
        <v/>
      </c>
      <c r="I2916" s="71">
        <f>IF($N2916&lt;&gt;"OK","",$D2916*$H2916)</f>
        <v/>
      </c>
      <c r="J2916" s="71">
        <f>IF($N2916&lt;&gt;"OK","",N(INDEX('Menu Pricing'!$F$7:$F$56,$O2916))+N(INDEX('Menu Pricing'!$G$7:$G$56,$O2916))+N(INDEX('Menu Pricing'!$J$7:$J$56,$O2916)))</f>
        <v/>
      </c>
      <c r="K2916" s="71">
        <f>IF($N2916&lt;&gt;"OK","",$D2916*$J2916)</f>
        <v/>
      </c>
      <c r="L2916" s="71">
        <f>IF($N2916&lt;&gt;"OK","",$I2916-$K2916)</f>
        <v/>
      </c>
      <c r="M2916" s="71">
        <f>IF($N2916&lt;&gt;"OK","",$D2916*N(INDEX('Menu Pricing'!$F$7:$F$56,$O2916)))</f>
        <v/>
      </c>
      <c r="N2916" s="80">
        <f>IF(AND($B2916="",$C2916="",$D2916=""),"",IF(NOT(ISNUMBER($B2916)),"Enter a valid date",IF($C2916="","Pick a menu item",IF($O2916="","Item not on Menu Pricing",IF(N($D2916)&lt;=0,"Qty must be above 0",IF($H2916="","No price on menu","OK"))))))</f>
        <v/>
      </c>
      <c r="O2916" s="13">
        <f>IF($C2916="","",IFERROR(MATCH($C2916,'Menu Pricing'!$B$7:$B$56,0),""))</f>
        <v/>
      </c>
    </row>
    <row r="2917" ht="17" customHeight="1">
      <c r="B2917" s="66" t="n"/>
      <c r="C2917" s="60" t="n"/>
      <c r="D2917" s="86" t="n"/>
      <c r="E2917" s="63" t="n"/>
      <c r="F2917" s="60" t="n"/>
      <c r="G2917" s="60" t="n"/>
      <c r="H2917" s="71">
        <f>IF(OR($C2917="",$D2917=""),"",IF(ISNUMBER($E2917),$E2917,IF($O2917="","",IF(N(INDEX('Menu Pricing'!$O$7:$O$56,$O2917))&gt;0,INDEX('Menu Pricing'!$O$7:$O$56,$O2917),""))))</f>
        <v/>
      </c>
      <c r="I2917" s="71">
        <f>IF($N2917&lt;&gt;"OK","",$D2917*$H2917)</f>
        <v/>
      </c>
      <c r="J2917" s="71">
        <f>IF($N2917&lt;&gt;"OK","",N(INDEX('Menu Pricing'!$F$7:$F$56,$O2917))+N(INDEX('Menu Pricing'!$G$7:$G$56,$O2917))+N(INDEX('Menu Pricing'!$J$7:$J$56,$O2917)))</f>
        <v/>
      </c>
      <c r="K2917" s="71">
        <f>IF($N2917&lt;&gt;"OK","",$D2917*$J2917)</f>
        <v/>
      </c>
      <c r="L2917" s="71">
        <f>IF($N2917&lt;&gt;"OK","",$I2917-$K2917)</f>
        <v/>
      </c>
      <c r="M2917" s="71">
        <f>IF($N2917&lt;&gt;"OK","",$D2917*N(INDEX('Menu Pricing'!$F$7:$F$56,$O2917)))</f>
        <v/>
      </c>
      <c r="N2917" s="80">
        <f>IF(AND($B2917="",$C2917="",$D2917=""),"",IF(NOT(ISNUMBER($B2917)),"Enter a valid date",IF($C2917="","Pick a menu item",IF($O2917="","Item not on Menu Pricing",IF(N($D2917)&lt;=0,"Qty must be above 0",IF($H2917="","No price on menu","OK"))))))</f>
        <v/>
      </c>
      <c r="O2917" s="13">
        <f>IF($C2917="","",IFERROR(MATCH($C2917,'Menu Pricing'!$B$7:$B$56,0),""))</f>
        <v/>
      </c>
    </row>
    <row r="2918" ht="17" customHeight="1">
      <c r="B2918" s="66" t="n"/>
      <c r="C2918" s="60" t="n"/>
      <c r="D2918" s="86" t="n"/>
      <c r="E2918" s="63" t="n"/>
      <c r="F2918" s="60" t="n"/>
      <c r="G2918" s="60" t="n"/>
      <c r="H2918" s="71">
        <f>IF(OR($C2918="",$D2918=""),"",IF(ISNUMBER($E2918),$E2918,IF($O2918="","",IF(N(INDEX('Menu Pricing'!$O$7:$O$56,$O2918))&gt;0,INDEX('Menu Pricing'!$O$7:$O$56,$O2918),""))))</f>
        <v/>
      </c>
      <c r="I2918" s="71">
        <f>IF($N2918&lt;&gt;"OK","",$D2918*$H2918)</f>
        <v/>
      </c>
      <c r="J2918" s="71">
        <f>IF($N2918&lt;&gt;"OK","",N(INDEX('Menu Pricing'!$F$7:$F$56,$O2918))+N(INDEX('Menu Pricing'!$G$7:$G$56,$O2918))+N(INDEX('Menu Pricing'!$J$7:$J$56,$O2918)))</f>
        <v/>
      </c>
      <c r="K2918" s="71">
        <f>IF($N2918&lt;&gt;"OK","",$D2918*$J2918)</f>
        <v/>
      </c>
      <c r="L2918" s="71">
        <f>IF($N2918&lt;&gt;"OK","",$I2918-$K2918)</f>
        <v/>
      </c>
      <c r="M2918" s="71">
        <f>IF($N2918&lt;&gt;"OK","",$D2918*N(INDEX('Menu Pricing'!$F$7:$F$56,$O2918)))</f>
        <v/>
      </c>
      <c r="N2918" s="80">
        <f>IF(AND($B2918="",$C2918="",$D2918=""),"",IF(NOT(ISNUMBER($B2918)),"Enter a valid date",IF($C2918="","Pick a menu item",IF($O2918="","Item not on Menu Pricing",IF(N($D2918)&lt;=0,"Qty must be above 0",IF($H2918="","No price on menu","OK"))))))</f>
        <v/>
      </c>
      <c r="O2918" s="13">
        <f>IF($C2918="","",IFERROR(MATCH($C2918,'Menu Pricing'!$B$7:$B$56,0),""))</f>
        <v/>
      </c>
    </row>
    <row r="2919" ht="17" customHeight="1">
      <c r="B2919" s="66" t="n"/>
      <c r="C2919" s="60" t="n"/>
      <c r="D2919" s="86" t="n"/>
      <c r="E2919" s="63" t="n"/>
      <c r="F2919" s="60" t="n"/>
      <c r="G2919" s="60" t="n"/>
      <c r="H2919" s="71">
        <f>IF(OR($C2919="",$D2919=""),"",IF(ISNUMBER($E2919),$E2919,IF($O2919="","",IF(N(INDEX('Menu Pricing'!$O$7:$O$56,$O2919))&gt;0,INDEX('Menu Pricing'!$O$7:$O$56,$O2919),""))))</f>
        <v/>
      </c>
      <c r="I2919" s="71">
        <f>IF($N2919&lt;&gt;"OK","",$D2919*$H2919)</f>
        <v/>
      </c>
      <c r="J2919" s="71">
        <f>IF($N2919&lt;&gt;"OK","",N(INDEX('Menu Pricing'!$F$7:$F$56,$O2919))+N(INDEX('Menu Pricing'!$G$7:$G$56,$O2919))+N(INDEX('Menu Pricing'!$J$7:$J$56,$O2919)))</f>
        <v/>
      </c>
      <c r="K2919" s="71">
        <f>IF($N2919&lt;&gt;"OK","",$D2919*$J2919)</f>
        <v/>
      </c>
      <c r="L2919" s="71">
        <f>IF($N2919&lt;&gt;"OK","",$I2919-$K2919)</f>
        <v/>
      </c>
      <c r="M2919" s="71">
        <f>IF($N2919&lt;&gt;"OK","",$D2919*N(INDEX('Menu Pricing'!$F$7:$F$56,$O2919)))</f>
        <v/>
      </c>
      <c r="N2919" s="80">
        <f>IF(AND($B2919="",$C2919="",$D2919=""),"",IF(NOT(ISNUMBER($B2919)),"Enter a valid date",IF($C2919="","Pick a menu item",IF($O2919="","Item not on Menu Pricing",IF(N($D2919)&lt;=0,"Qty must be above 0",IF($H2919="","No price on menu","OK"))))))</f>
        <v/>
      </c>
      <c r="O2919" s="13">
        <f>IF($C2919="","",IFERROR(MATCH($C2919,'Menu Pricing'!$B$7:$B$56,0),""))</f>
        <v/>
      </c>
    </row>
    <row r="2920" ht="17" customHeight="1">
      <c r="B2920" s="66" t="n"/>
      <c r="C2920" s="60" t="n"/>
      <c r="D2920" s="86" t="n"/>
      <c r="E2920" s="63" t="n"/>
      <c r="F2920" s="60" t="n"/>
      <c r="G2920" s="60" t="n"/>
      <c r="H2920" s="71">
        <f>IF(OR($C2920="",$D2920=""),"",IF(ISNUMBER($E2920),$E2920,IF($O2920="","",IF(N(INDEX('Menu Pricing'!$O$7:$O$56,$O2920))&gt;0,INDEX('Menu Pricing'!$O$7:$O$56,$O2920),""))))</f>
        <v/>
      </c>
      <c r="I2920" s="71">
        <f>IF($N2920&lt;&gt;"OK","",$D2920*$H2920)</f>
        <v/>
      </c>
      <c r="J2920" s="71">
        <f>IF($N2920&lt;&gt;"OK","",N(INDEX('Menu Pricing'!$F$7:$F$56,$O2920))+N(INDEX('Menu Pricing'!$G$7:$G$56,$O2920))+N(INDEX('Menu Pricing'!$J$7:$J$56,$O2920)))</f>
        <v/>
      </c>
      <c r="K2920" s="71">
        <f>IF($N2920&lt;&gt;"OK","",$D2920*$J2920)</f>
        <v/>
      </c>
      <c r="L2920" s="71">
        <f>IF($N2920&lt;&gt;"OK","",$I2920-$K2920)</f>
        <v/>
      </c>
      <c r="M2920" s="71">
        <f>IF($N2920&lt;&gt;"OK","",$D2920*N(INDEX('Menu Pricing'!$F$7:$F$56,$O2920)))</f>
        <v/>
      </c>
      <c r="N2920" s="80">
        <f>IF(AND($B2920="",$C2920="",$D2920=""),"",IF(NOT(ISNUMBER($B2920)),"Enter a valid date",IF($C2920="","Pick a menu item",IF($O2920="","Item not on Menu Pricing",IF(N($D2920)&lt;=0,"Qty must be above 0",IF($H2920="","No price on menu","OK"))))))</f>
        <v/>
      </c>
      <c r="O2920" s="13">
        <f>IF($C2920="","",IFERROR(MATCH($C2920,'Menu Pricing'!$B$7:$B$56,0),""))</f>
        <v/>
      </c>
    </row>
    <row r="2921" ht="17" customHeight="1">
      <c r="B2921" s="66" t="n"/>
      <c r="C2921" s="60" t="n"/>
      <c r="D2921" s="86" t="n"/>
      <c r="E2921" s="63" t="n"/>
      <c r="F2921" s="60" t="n"/>
      <c r="G2921" s="60" t="n"/>
      <c r="H2921" s="71">
        <f>IF(OR($C2921="",$D2921=""),"",IF(ISNUMBER($E2921),$E2921,IF($O2921="","",IF(N(INDEX('Menu Pricing'!$O$7:$O$56,$O2921))&gt;0,INDEX('Menu Pricing'!$O$7:$O$56,$O2921),""))))</f>
        <v/>
      </c>
      <c r="I2921" s="71">
        <f>IF($N2921&lt;&gt;"OK","",$D2921*$H2921)</f>
        <v/>
      </c>
      <c r="J2921" s="71">
        <f>IF($N2921&lt;&gt;"OK","",N(INDEX('Menu Pricing'!$F$7:$F$56,$O2921))+N(INDEX('Menu Pricing'!$G$7:$G$56,$O2921))+N(INDEX('Menu Pricing'!$J$7:$J$56,$O2921)))</f>
        <v/>
      </c>
      <c r="K2921" s="71">
        <f>IF($N2921&lt;&gt;"OK","",$D2921*$J2921)</f>
        <v/>
      </c>
      <c r="L2921" s="71">
        <f>IF($N2921&lt;&gt;"OK","",$I2921-$K2921)</f>
        <v/>
      </c>
      <c r="M2921" s="71">
        <f>IF($N2921&lt;&gt;"OK","",$D2921*N(INDEX('Menu Pricing'!$F$7:$F$56,$O2921)))</f>
        <v/>
      </c>
      <c r="N2921" s="80">
        <f>IF(AND($B2921="",$C2921="",$D2921=""),"",IF(NOT(ISNUMBER($B2921)),"Enter a valid date",IF($C2921="","Pick a menu item",IF($O2921="","Item not on Menu Pricing",IF(N($D2921)&lt;=0,"Qty must be above 0",IF($H2921="","No price on menu","OK"))))))</f>
        <v/>
      </c>
      <c r="O2921" s="13">
        <f>IF($C2921="","",IFERROR(MATCH($C2921,'Menu Pricing'!$B$7:$B$56,0),""))</f>
        <v/>
      </c>
    </row>
    <row r="2922" ht="17" customHeight="1">
      <c r="B2922" s="66" t="n"/>
      <c r="C2922" s="60" t="n"/>
      <c r="D2922" s="86" t="n"/>
      <c r="E2922" s="63" t="n"/>
      <c r="F2922" s="60" t="n"/>
      <c r="G2922" s="60" t="n"/>
      <c r="H2922" s="71">
        <f>IF(OR($C2922="",$D2922=""),"",IF(ISNUMBER($E2922),$E2922,IF($O2922="","",IF(N(INDEX('Menu Pricing'!$O$7:$O$56,$O2922))&gt;0,INDEX('Menu Pricing'!$O$7:$O$56,$O2922),""))))</f>
        <v/>
      </c>
      <c r="I2922" s="71">
        <f>IF($N2922&lt;&gt;"OK","",$D2922*$H2922)</f>
        <v/>
      </c>
      <c r="J2922" s="71">
        <f>IF($N2922&lt;&gt;"OK","",N(INDEX('Menu Pricing'!$F$7:$F$56,$O2922))+N(INDEX('Menu Pricing'!$G$7:$G$56,$O2922))+N(INDEX('Menu Pricing'!$J$7:$J$56,$O2922)))</f>
        <v/>
      </c>
      <c r="K2922" s="71">
        <f>IF($N2922&lt;&gt;"OK","",$D2922*$J2922)</f>
        <v/>
      </c>
      <c r="L2922" s="71">
        <f>IF($N2922&lt;&gt;"OK","",$I2922-$K2922)</f>
        <v/>
      </c>
      <c r="M2922" s="71">
        <f>IF($N2922&lt;&gt;"OK","",$D2922*N(INDEX('Menu Pricing'!$F$7:$F$56,$O2922)))</f>
        <v/>
      </c>
      <c r="N2922" s="80">
        <f>IF(AND($B2922="",$C2922="",$D2922=""),"",IF(NOT(ISNUMBER($B2922)),"Enter a valid date",IF($C2922="","Pick a menu item",IF($O2922="","Item not on Menu Pricing",IF(N($D2922)&lt;=0,"Qty must be above 0",IF($H2922="","No price on menu","OK"))))))</f>
        <v/>
      </c>
      <c r="O2922" s="13">
        <f>IF($C2922="","",IFERROR(MATCH($C2922,'Menu Pricing'!$B$7:$B$56,0),""))</f>
        <v/>
      </c>
    </row>
    <row r="2923" ht="17" customHeight="1">
      <c r="B2923" s="66" t="n"/>
      <c r="C2923" s="60" t="n"/>
      <c r="D2923" s="86" t="n"/>
      <c r="E2923" s="63" t="n"/>
      <c r="F2923" s="60" t="n"/>
      <c r="G2923" s="60" t="n"/>
      <c r="H2923" s="71">
        <f>IF(OR($C2923="",$D2923=""),"",IF(ISNUMBER($E2923),$E2923,IF($O2923="","",IF(N(INDEX('Menu Pricing'!$O$7:$O$56,$O2923))&gt;0,INDEX('Menu Pricing'!$O$7:$O$56,$O2923),""))))</f>
        <v/>
      </c>
      <c r="I2923" s="71">
        <f>IF($N2923&lt;&gt;"OK","",$D2923*$H2923)</f>
        <v/>
      </c>
      <c r="J2923" s="71">
        <f>IF($N2923&lt;&gt;"OK","",N(INDEX('Menu Pricing'!$F$7:$F$56,$O2923))+N(INDEX('Menu Pricing'!$G$7:$G$56,$O2923))+N(INDEX('Menu Pricing'!$J$7:$J$56,$O2923)))</f>
        <v/>
      </c>
      <c r="K2923" s="71">
        <f>IF($N2923&lt;&gt;"OK","",$D2923*$J2923)</f>
        <v/>
      </c>
      <c r="L2923" s="71">
        <f>IF($N2923&lt;&gt;"OK","",$I2923-$K2923)</f>
        <v/>
      </c>
      <c r="M2923" s="71">
        <f>IF($N2923&lt;&gt;"OK","",$D2923*N(INDEX('Menu Pricing'!$F$7:$F$56,$O2923)))</f>
        <v/>
      </c>
      <c r="N2923" s="80">
        <f>IF(AND($B2923="",$C2923="",$D2923=""),"",IF(NOT(ISNUMBER($B2923)),"Enter a valid date",IF($C2923="","Pick a menu item",IF($O2923="","Item not on Menu Pricing",IF(N($D2923)&lt;=0,"Qty must be above 0",IF($H2923="","No price on menu","OK"))))))</f>
        <v/>
      </c>
      <c r="O2923" s="13">
        <f>IF($C2923="","",IFERROR(MATCH($C2923,'Menu Pricing'!$B$7:$B$56,0),""))</f>
        <v/>
      </c>
    </row>
    <row r="2924" ht="17" customHeight="1">
      <c r="B2924" s="66" t="n"/>
      <c r="C2924" s="60" t="n"/>
      <c r="D2924" s="86" t="n"/>
      <c r="E2924" s="63" t="n"/>
      <c r="F2924" s="60" t="n"/>
      <c r="G2924" s="60" t="n"/>
      <c r="H2924" s="71">
        <f>IF(OR($C2924="",$D2924=""),"",IF(ISNUMBER($E2924),$E2924,IF($O2924="","",IF(N(INDEX('Menu Pricing'!$O$7:$O$56,$O2924))&gt;0,INDEX('Menu Pricing'!$O$7:$O$56,$O2924),""))))</f>
        <v/>
      </c>
      <c r="I2924" s="71">
        <f>IF($N2924&lt;&gt;"OK","",$D2924*$H2924)</f>
        <v/>
      </c>
      <c r="J2924" s="71">
        <f>IF($N2924&lt;&gt;"OK","",N(INDEX('Menu Pricing'!$F$7:$F$56,$O2924))+N(INDEX('Menu Pricing'!$G$7:$G$56,$O2924))+N(INDEX('Menu Pricing'!$J$7:$J$56,$O2924)))</f>
        <v/>
      </c>
      <c r="K2924" s="71">
        <f>IF($N2924&lt;&gt;"OK","",$D2924*$J2924)</f>
        <v/>
      </c>
      <c r="L2924" s="71">
        <f>IF($N2924&lt;&gt;"OK","",$I2924-$K2924)</f>
        <v/>
      </c>
      <c r="M2924" s="71">
        <f>IF($N2924&lt;&gt;"OK","",$D2924*N(INDEX('Menu Pricing'!$F$7:$F$56,$O2924)))</f>
        <v/>
      </c>
      <c r="N2924" s="80">
        <f>IF(AND($B2924="",$C2924="",$D2924=""),"",IF(NOT(ISNUMBER($B2924)),"Enter a valid date",IF($C2924="","Pick a menu item",IF($O2924="","Item not on Menu Pricing",IF(N($D2924)&lt;=0,"Qty must be above 0",IF($H2924="","No price on menu","OK"))))))</f>
        <v/>
      </c>
      <c r="O2924" s="13">
        <f>IF($C2924="","",IFERROR(MATCH($C2924,'Menu Pricing'!$B$7:$B$56,0),""))</f>
        <v/>
      </c>
    </row>
    <row r="2925" ht="17" customHeight="1">
      <c r="B2925" s="66" t="n"/>
      <c r="C2925" s="60" t="n"/>
      <c r="D2925" s="86" t="n"/>
      <c r="E2925" s="63" t="n"/>
      <c r="F2925" s="60" t="n"/>
      <c r="G2925" s="60" t="n"/>
      <c r="H2925" s="71">
        <f>IF(OR($C2925="",$D2925=""),"",IF(ISNUMBER($E2925),$E2925,IF($O2925="","",IF(N(INDEX('Menu Pricing'!$O$7:$O$56,$O2925))&gt;0,INDEX('Menu Pricing'!$O$7:$O$56,$O2925),""))))</f>
        <v/>
      </c>
      <c r="I2925" s="71">
        <f>IF($N2925&lt;&gt;"OK","",$D2925*$H2925)</f>
        <v/>
      </c>
      <c r="J2925" s="71">
        <f>IF($N2925&lt;&gt;"OK","",N(INDEX('Menu Pricing'!$F$7:$F$56,$O2925))+N(INDEX('Menu Pricing'!$G$7:$G$56,$O2925))+N(INDEX('Menu Pricing'!$J$7:$J$56,$O2925)))</f>
        <v/>
      </c>
      <c r="K2925" s="71">
        <f>IF($N2925&lt;&gt;"OK","",$D2925*$J2925)</f>
        <v/>
      </c>
      <c r="L2925" s="71">
        <f>IF($N2925&lt;&gt;"OK","",$I2925-$K2925)</f>
        <v/>
      </c>
      <c r="M2925" s="71">
        <f>IF($N2925&lt;&gt;"OK","",$D2925*N(INDEX('Menu Pricing'!$F$7:$F$56,$O2925)))</f>
        <v/>
      </c>
      <c r="N2925" s="80">
        <f>IF(AND($B2925="",$C2925="",$D2925=""),"",IF(NOT(ISNUMBER($B2925)),"Enter a valid date",IF($C2925="","Pick a menu item",IF($O2925="","Item not on Menu Pricing",IF(N($D2925)&lt;=0,"Qty must be above 0",IF($H2925="","No price on menu","OK"))))))</f>
        <v/>
      </c>
      <c r="O2925" s="13">
        <f>IF($C2925="","",IFERROR(MATCH($C2925,'Menu Pricing'!$B$7:$B$56,0),""))</f>
        <v/>
      </c>
    </row>
    <row r="2926" ht="17" customHeight="1">
      <c r="B2926" s="66" t="n"/>
      <c r="C2926" s="60" t="n"/>
      <c r="D2926" s="86" t="n"/>
      <c r="E2926" s="63" t="n"/>
      <c r="F2926" s="60" t="n"/>
      <c r="G2926" s="60" t="n"/>
      <c r="H2926" s="71">
        <f>IF(OR($C2926="",$D2926=""),"",IF(ISNUMBER($E2926),$E2926,IF($O2926="","",IF(N(INDEX('Menu Pricing'!$O$7:$O$56,$O2926))&gt;0,INDEX('Menu Pricing'!$O$7:$O$56,$O2926),""))))</f>
        <v/>
      </c>
      <c r="I2926" s="71">
        <f>IF($N2926&lt;&gt;"OK","",$D2926*$H2926)</f>
        <v/>
      </c>
      <c r="J2926" s="71">
        <f>IF($N2926&lt;&gt;"OK","",N(INDEX('Menu Pricing'!$F$7:$F$56,$O2926))+N(INDEX('Menu Pricing'!$G$7:$G$56,$O2926))+N(INDEX('Menu Pricing'!$J$7:$J$56,$O2926)))</f>
        <v/>
      </c>
      <c r="K2926" s="71">
        <f>IF($N2926&lt;&gt;"OK","",$D2926*$J2926)</f>
        <v/>
      </c>
      <c r="L2926" s="71">
        <f>IF($N2926&lt;&gt;"OK","",$I2926-$K2926)</f>
        <v/>
      </c>
      <c r="M2926" s="71">
        <f>IF($N2926&lt;&gt;"OK","",$D2926*N(INDEX('Menu Pricing'!$F$7:$F$56,$O2926)))</f>
        <v/>
      </c>
      <c r="N2926" s="80">
        <f>IF(AND($B2926="",$C2926="",$D2926=""),"",IF(NOT(ISNUMBER($B2926)),"Enter a valid date",IF($C2926="","Pick a menu item",IF($O2926="","Item not on Menu Pricing",IF(N($D2926)&lt;=0,"Qty must be above 0",IF($H2926="","No price on menu","OK"))))))</f>
        <v/>
      </c>
      <c r="O2926" s="13">
        <f>IF($C2926="","",IFERROR(MATCH($C2926,'Menu Pricing'!$B$7:$B$56,0),""))</f>
        <v/>
      </c>
    </row>
    <row r="2927" ht="17" customHeight="1">
      <c r="B2927" s="66" t="n"/>
      <c r="C2927" s="60" t="n"/>
      <c r="D2927" s="86" t="n"/>
      <c r="E2927" s="63" t="n"/>
      <c r="F2927" s="60" t="n"/>
      <c r="G2927" s="60" t="n"/>
      <c r="H2927" s="71">
        <f>IF(OR($C2927="",$D2927=""),"",IF(ISNUMBER($E2927),$E2927,IF($O2927="","",IF(N(INDEX('Menu Pricing'!$O$7:$O$56,$O2927))&gt;0,INDEX('Menu Pricing'!$O$7:$O$56,$O2927),""))))</f>
        <v/>
      </c>
      <c r="I2927" s="71">
        <f>IF($N2927&lt;&gt;"OK","",$D2927*$H2927)</f>
        <v/>
      </c>
      <c r="J2927" s="71">
        <f>IF($N2927&lt;&gt;"OK","",N(INDEX('Menu Pricing'!$F$7:$F$56,$O2927))+N(INDEX('Menu Pricing'!$G$7:$G$56,$O2927))+N(INDEX('Menu Pricing'!$J$7:$J$56,$O2927)))</f>
        <v/>
      </c>
      <c r="K2927" s="71">
        <f>IF($N2927&lt;&gt;"OK","",$D2927*$J2927)</f>
        <v/>
      </c>
      <c r="L2927" s="71">
        <f>IF($N2927&lt;&gt;"OK","",$I2927-$K2927)</f>
        <v/>
      </c>
      <c r="M2927" s="71">
        <f>IF($N2927&lt;&gt;"OK","",$D2927*N(INDEX('Menu Pricing'!$F$7:$F$56,$O2927)))</f>
        <v/>
      </c>
      <c r="N2927" s="80">
        <f>IF(AND($B2927="",$C2927="",$D2927=""),"",IF(NOT(ISNUMBER($B2927)),"Enter a valid date",IF($C2927="","Pick a menu item",IF($O2927="","Item not on Menu Pricing",IF(N($D2927)&lt;=0,"Qty must be above 0",IF($H2927="","No price on menu","OK"))))))</f>
        <v/>
      </c>
      <c r="O2927" s="13">
        <f>IF($C2927="","",IFERROR(MATCH($C2927,'Menu Pricing'!$B$7:$B$56,0),""))</f>
        <v/>
      </c>
    </row>
    <row r="2928" ht="17" customHeight="1">
      <c r="B2928" s="66" t="n"/>
      <c r="C2928" s="60" t="n"/>
      <c r="D2928" s="86" t="n"/>
      <c r="E2928" s="63" t="n"/>
      <c r="F2928" s="60" t="n"/>
      <c r="G2928" s="60" t="n"/>
      <c r="H2928" s="71">
        <f>IF(OR($C2928="",$D2928=""),"",IF(ISNUMBER($E2928),$E2928,IF($O2928="","",IF(N(INDEX('Menu Pricing'!$O$7:$O$56,$O2928))&gt;0,INDEX('Menu Pricing'!$O$7:$O$56,$O2928),""))))</f>
        <v/>
      </c>
      <c r="I2928" s="71">
        <f>IF($N2928&lt;&gt;"OK","",$D2928*$H2928)</f>
        <v/>
      </c>
      <c r="J2928" s="71">
        <f>IF($N2928&lt;&gt;"OK","",N(INDEX('Menu Pricing'!$F$7:$F$56,$O2928))+N(INDEX('Menu Pricing'!$G$7:$G$56,$O2928))+N(INDEX('Menu Pricing'!$J$7:$J$56,$O2928)))</f>
        <v/>
      </c>
      <c r="K2928" s="71">
        <f>IF($N2928&lt;&gt;"OK","",$D2928*$J2928)</f>
        <v/>
      </c>
      <c r="L2928" s="71">
        <f>IF($N2928&lt;&gt;"OK","",$I2928-$K2928)</f>
        <v/>
      </c>
      <c r="M2928" s="71">
        <f>IF($N2928&lt;&gt;"OK","",$D2928*N(INDEX('Menu Pricing'!$F$7:$F$56,$O2928)))</f>
        <v/>
      </c>
      <c r="N2928" s="80">
        <f>IF(AND($B2928="",$C2928="",$D2928=""),"",IF(NOT(ISNUMBER($B2928)),"Enter a valid date",IF($C2928="","Pick a menu item",IF($O2928="","Item not on Menu Pricing",IF(N($D2928)&lt;=0,"Qty must be above 0",IF($H2928="","No price on menu","OK"))))))</f>
        <v/>
      </c>
      <c r="O2928" s="13">
        <f>IF($C2928="","",IFERROR(MATCH($C2928,'Menu Pricing'!$B$7:$B$56,0),""))</f>
        <v/>
      </c>
    </row>
    <row r="2929" ht="17" customHeight="1">
      <c r="B2929" s="66" t="n"/>
      <c r="C2929" s="60" t="n"/>
      <c r="D2929" s="86" t="n"/>
      <c r="E2929" s="63" t="n"/>
      <c r="F2929" s="60" t="n"/>
      <c r="G2929" s="60" t="n"/>
      <c r="H2929" s="71">
        <f>IF(OR($C2929="",$D2929=""),"",IF(ISNUMBER($E2929),$E2929,IF($O2929="","",IF(N(INDEX('Menu Pricing'!$O$7:$O$56,$O2929))&gt;0,INDEX('Menu Pricing'!$O$7:$O$56,$O2929),""))))</f>
        <v/>
      </c>
      <c r="I2929" s="71">
        <f>IF($N2929&lt;&gt;"OK","",$D2929*$H2929)</f>
        <v/>
      </c>
      <c r="J2929" s="71">
        <f>IF($N2929&lt;&gt;"OK","",N(INDEX('Menu Pricing'!$F$7:$F$56,$O2929))+N(INDEX('Menu Pricing'!$G$7:$G$56,$O2929))+N(INDEX('Menu Pricing'!$J$7:$J$56,$O2929)))</f>
        <v/>
      </c>
      <c r="K2929" s="71">
        <f>IF($N2929&lt;&gt;"OK","",$D2929*$J2929)</f>
        <v/>
      </c>
      <c r="L2929" s="71">
        <f>IF($N2929&lt;&gt;"OK","",$I2929-$K2929)</f>
        <v/>
      </c>
      <c r="M2929" s="71">
        <f>IF($N2929&lt;&gt;"OK","",$D2929*N(INDEX('Menu Pricing'!$F$7:$F$56,$O2929)))</f>
        <v/>
      </c>
      <c r="N2929" s="80">
        <f>IF(AND($B2929="",$C2929="",$D2929=""),"",IF(NOT(ISNUMBER($B2929)),"Enter a valid date",IF($C2929="","Pick a menu item",IF($O2929="","Item not on Menu Pricing",IF(N($D2929)&lt;=0,"Qty must be above 0",IF($H2929="","No price on menu","OK"))))))</f>
        <v/>
      </c>
      <c r="O2929" s="13">
        <f>IF($C2929="","",IFERROR(MATCH($C2929,'Menu Pricing'!$B$7:$B$56,0),""))</f>
        <v/>
      </c>
    </row>
    <row r="2930" ht="17" customHeight="1">
      <c r="B2930" s="66" t="n"/>
      <c r="C2930" s="60" t="n"/>
      <c r="D2930" s="86" t="n"/>
      <c r="E2930" s="63" t="n"/>
      <c r="F2930" s="60" t="n"/>
      <c r="G2930" s="60" t="n"/>
      <c r="H2930" s="71">
        <f>IF(OR($C2930="",$D2930=""),"",IF(ISNUMBER($E2930),$E2930,IF($O2930="","",IF(N(INDEX('Menu Pricing'!$O$7:$O$56,$O2930))&gt;0,INDEX('Menu Pricing'!$O$7:$O$56,$O2930),""))))</f>
        <v/>
      </c>
      <c r="I2930" s="71">
        <f>IF($N2930&lt;&gt;"OK","",$D2930*$H2930)</f>
        <v/>
      </c>
      <c r="J2930" s="71">
        <f>IF($N2930&lt;&gt;"OK","",N(INDEX('Menu Pricing'!$F$7:$F$56,$O2930))+N(INDEX('Menu Pricing'!$G$7:$G$56,$O2930))+N(INDEX('Menu Pricing'!$J$7:$J$56,$O2930)))</f>
        <v/>
      </c>
      <c r="K2930" s="71">
        <f>IF($N2930&lt;&gt;"OK","",$D2930*$J2930)</f>
        <v/>
      </c>
      <c r="L2930" s="71">
        <f>IF($N2930&lt;&gt;"OK","",$I2930-$K2930)</f>
        <v/>
      </c>
      <c r="M2930" s="71">
        <f>IF($N2930&lt;&gt;"OK","",$D2930*N(INDEX('Menu Pricing'!$F$7:$F$56,$O2930)))</f>
        <v/>
      </c>
      <c r="N2930" s="80">
        <f>IF(AND($B2930="",$C2930="",$D2930=""),"",IF(NOT(ISNUMBER($B2930)),"Enter a valid date",IF($C2930="","Pick a menu item",IF($O2930="","Item not on Menu Pricing",IF(N($D2930)&lt;=0,"Qty must be above 0",IF($H2930="","No price on menu","OK"))))))</f>
        <v/>
      </c>
      <c r="O2930" s="13">
        <f>IF($C2930="","",IFERROR(MATCH($C2930,'Menu Pricing'!$B$7:$B$56,0),""))</f>
        <v/>
      </c>
    </row>
    <row r="2931" ht="17" customHeight="1">
      <c r="B2931" s="66" t="n"/>
      <c r="C2931" s="60" t="n"/>
      <c r="D2931" s="86" t="n"/>
      <c r="E2931" s="63" t="n"/>
      <c r="F2931" s="60" t="n"/>
      <c r="G2931" s="60" t="n"/>
      <c r="H2931" s="71">
        <f>IF(OR($C2931="",$D2931=""),"",IF(ISNUMBER($E2931),$E2931,IF($O2931="","",IF(N(INDEX('Menu Pricing'!$O$7:$O$56,$O2931))&gt;0,INDEX('Menu Pricing'!$O$7:$O$56,$O2931),""))))</f>
        <v/>
      </c>
      <c r="I2931" s="71">
        <f>IF($N2931&lt;&gt;"OK","",$D2931*$H2931)</f>
        <v/>
      </c>
      <c r="J2931" s="71">
        <f>IF($N2931&lt;&gt;"OK","",N(INDEX('Menu Pricing'!$F$7:$F$56,$O2931))+N(INDEX('Menu Pricing'!$G$7:$G$56,$O2931))+N(INDEX('Menu Pricing'!$J$7:$J$56,$O2931)))</f>
        <v/>
      </c>
      <c r="K2931" s="71">
        <f>IF($N2931&lt;&gt;"OK","",$D2931*$J2931)</f>
        <v/>
      </c>
      <c r="L2931" s="71">
        <f>IF($N2931&lt;&gt;"OK","",$I2931-$K2931)</f>
        <v/>
      </c>
      <c r="M2931" s="71">
        <f>IF($N2931&lt;&gt;"OK","",$D2931*N(INDEX('Menu Pricing'!$F$7:$F$56,$O2931)))</f>
        <v/>
      </c>
      <c r="N2931" s="80">
        <f>IF(AND($B2931="",$C2931="",$D2931=""),"",IF(NOT(ISNUMBER($B2931)),"Enter a valid date",IF($C2931="","Pick a menu item",IF($O2931="","Item not on Menu Pricing",IF(N($D2931)&lt;=0,"Qty must be above 0",IF($H2931="","No price on menu","OK"))))))</f>
        <v/>
      </c>
      <c r="O2931" s="13">
        <f>IF($C2931="","",IFERROR(MATCH($C2931,'Menu Pricing'!$B$7:$B$56,0),""))</f>
        <v/>
      </c>
    </row>
    <row r="2932" ht="17" customHeight="1">
      <c r="B2932" s="66" t="n"/>
      <c r="C2932" s="60" t="n"/>
      <c r="D2932" s="86" t="n"/>
      <c r="E2932" s="63" t="n"/>
      <c r="F2932" s="60" t="n"/>
      <c r="G2932" s="60" t="n"/>
      <c r="H2932" s="71">
        <f>IF(OR($C2932="",$D2932=""),"",IF(ISNUMBER($E2932),$E2932,IF($O2932="","",IF(N(INDEX('Menu Pricing'!$O$7:$O$56,$O2932))&gt;0,INDEX('Menu Pricing'!$O$7:$O$56,$O2932),""))))</f>
        <v/>
      </c>
      <c r="I2932" s="71">
        <f>IF($N2932&lt;&gt;"OK","",$D2932*$H2932)</f>
        <v/>
      </c>
      <c r="J2932" s="71">
        <f>IF($N2932&lt;&gt;"OK","",N(INDEX('Menu Pricing'!$F$7:$F$56,$O2932))+N(INDEX('Menu Pricing'!$G$7:$G$56,$O2932))+N(INDEX('Menu Pricing'!$J$7:$J$56,$O2932)))</f>
        <v/>
      </c>
      <c r="K2932" s="71">
        <f>IF($N2932&lt;&gt;"OK","",$D2932*$J2932)</f>
        <v/>
      </c>
      <c r="L2932" s="71">
        <f>IF($N2932&lt;&gt;"OK","",$I2932-$K2932)</f>
        <v/>
      </c>
      <c r="M2932" s="71">
        <f>IF($N2932&lt;&gt;"OK","",$D2932*N(INDEX('Menu Pricing'!$F$7:$F$56,$O2932)))</f>
        <v/>
      </c>
      <c r="N2932" s="80">
        <f>IF(AND($B2932="",$C2932="",$D2932=""),"",IF(NOT(ISNUMBER($B2932)),"Enter a valid date",IF($C2932="","Pick a menu item",IF($O2932="","Item not on Menu Pricing",IF(N($D2932)&lt;=0,"Qty must be above 0",IF($H2932="","No price on menu","OK"))))))</f>
        <v/>
      </c>
      <c r="O2932" s="13">
        <f>IF($C2932="","",IFERROR(MATCH($C2932,'Menu Pricing'!$B$7:$B$56,0),""))</f>
        <v/>
      </c>
    </row>
    <row r="2933" ht="17" customHeight="1">
      <c r="B2933" s="66" t="n"/>
      <c r="C2933" s="60" t="n"/>
      <c r="D2933" s="86" t="n"/>
      <c r="E2933" s="63" t="n"/>
      <c r="F2933" s="60" t="n"/>
      <c r="G2933" s="60" t="n"/>
      <c r="H2933" s="71">
        <f>IF(OR($C2933="",$D2933=""),"",IF(ISNUMBER($E2933),$E2933,IF($O2933="","",IF(N(INDEX('Menu Pricing'!$O$7:$O$56,$O2933))&gt;0,INDEX('Menu Pricing'!$O$7:$O$56,$O2933),""))))</f>
        <v/>
      </c>
      <c r="I2933" s="71">
        <f>IF($N2933&lt;&gt;"OK","",$D2933*$H2933)</f>
        <v/>
      </c>
      <c r="J2933" s="71">
        <f>IF($N2933&lt;&gt;"OK","",N(INDEX('Menu Pricing'!$F$7:$F$56,$O2933))+N(INDEX('Menu Pricing'!$G$7:$G$56,$O2933))+N(INDEX('Menu Pricing'!$J$7:$J$56,$O2933)))</f>
        <v/>
      </c>
      <c r="K2933" s="71">
        <f>IF($N2933&lt;&gt;"OK","",$D2933*$J2933)</f>
        <v/>
      </c>
      <c r="L2933" s="71">
        <f>IF($N2933&lt;&gt;"OK","",$I2933-$K2933)</f>
        <v/>
      </c>
      <c r="M2933" s="71">
        <f>IF($N2933&lt;&gt;"OK","",$D2933*N(INDEX('Menu Pricing'!$F$7:$F$56,$O2933)))</f>
        <v/>
      </c>
      <c r="N2933" s="80">
        <f>IF(AND($B2933="",$C2933="",$D2933=""),"",IF(NOT(ISNUMBER($B2933)),"Enter a valid date",IF($C2933="","Pick a menu item",IF($O2933="","Item not on Menu Pricing",IF(N($D2933)&lt;=0,"Qty must be above 0",IF($H2933="","No price on menu","OK"))))))</f>
        <v/>
      </c>
      <c r="O2933" s="13">
        <f>IF($C2933="","",IFERROR(MATCH($C2933,'Menu Pricing'!$B$7:$B$56,0),""))</f>
        <v/>
      </c>
    </row>
    <row r="2934" ht="17" customHeight="1">
      <c r="B2934" s="66" t="n"/>
      <c r="C2934" s="60" t="n"/>
      <c r="D2934" s="86" t="n"/>
      <c r="E2934" s="63" t="n"/>
      <c r="F2934" s="60" t="n"/>
      <c r="G2934" s="60" t="n"/>
      <c r="H2934" s="71">
        <f>IF(OR($C2934="",$D2934=""),"",IF(ISNUMBER($E2934),$E2934,IF($O2934="","",IF(N(INDEX('Menu Pricing'!$O$7:$O$56,$O2934))&gt;0,INDEX('Menu Pricing'!$O$7:$O$56,$O2934),""))))</f>
        <v/>
      </c>
      <c r="I2934" s="71">
        <f>IF($N2934&lt;&gt;"OK","",$D2934*$H2934)</f>
        <v/>
      </c>
      <c r="J2934" s="71">
        <f>IF($N2934&lt;&gt;"OK","",N(INDEX('Menu Pricing'!$F$7:$F$56,$O2934))+N(INDEX('Menu Pricing'!$G$7:$G$56,$O2934))+N(INDEX('Menu Pricing'!$J$7:$J$56,$O2934)))</f>
        <v/>
      </c>
      <c r="K2934" s="71">
        <f>IF($N2934&lt;&gt;"OK","",$D2934*$J2934)</f>
        <v/>
      </c>
      <c r="L2934" s="71">
        <f>IF($N2934&lt;&gt;"OK","",$I2934-$K2934)</f>
        <v/>
      </c>
      <c r="M2934" s="71">
        <f>IF($N2934&lt;&gt;"OK","",$D2934*N(INDEX('Menu Pricing'!$F$7:$F$56,$O2934)))</f>
        <v/>
      </c>
      <c r="N2934" s="80">
        <f>IF(AND($B2934="",$C2934="",$D2934=""),"",IF(NOT(ISNUMBER($B2934)),"Enter a valid date",IF($C2934="","Pick a menu item",IF($O2934="","Item not on Menu Pricing",IF(N($D2934)&lt;=0,"Qty must be above 0",IF($H2934="","No price on menu","OK"))))))</f>
        <v/>
      </c>
      <c r="O2934" s="13">
        <f>IF($C2934="","",IFERROR(MATCH($C2934,'Menu Pricing'!$B$7:$B$56,0),""))</f>
        <v/>
      </c>
    </row>
    <row r="2935" ht="17" customHeight="1">
      <c r="B2935" s="66" t="n"/>
      <c r="C2935" s="60" t="n"/>
      <c r="D2935" s="86" t="n"/>
      <c r="E2935" s="63" t="n"/>
      <c r="F2935" s="60" t="n"/>
      <c r="G2935" s="60" t="n"/>
      <c r="H2935" s="71">
        <f>IF(OR($C2935="",$D2935=""),"",IF(ISNUMBER($E2935),$E2935,IF($O2935="","",IF(N(INDEX('Menu Pricing'!$O$7:$O$56,$O2935))&gt;0,INDEX('Menu Pricing'!$O$7:$O$56,$O2935),""))))</f>
        <v/>
      </c>
      <c r="I2935" s="71">
        <f>IF($N2935&lt;&gt;"OK","",$D2935*$H2935)</f>
        <v/>
      </c>
      <c r="J2935" s="71">
        <f>IF($N2935&lt;&gt;"OK","",N(INDEX('Menu Pricing'!$F$7:$F$56,$O2935))+N(INDEX('Menu Pricing'!$G$7:$G$56,$O2935))+N(INDEX('Menu Pricing'!$J$7:$J$56,$O2935)))</f>
        <v/>
      </c>
      <c r="K2935" s="71">
        <f>IF($N2935&lt;&gt;"OK","",$D2935*$J2935)</f>
        <v/>
      </c>
      <c r="L2935" s="71">
        <f>IF($N2935&lt;&gt;"OK","",$I2935-$K2935)</f>
        <v/>
      </c>
      <c r="M2935" s="71">
        <f>IF($N2935&lt;&gt;"OK","",$D2935*N(INDEX('Menu Pricing'!$F$7:$F$56,$O2935)))</f>
        <v/>
      </c>
      <c r="N2935" s="80">
        <f>IF(AND($B2935="",$C2935="",$D2935=""),"",IF(NOT(ISNUMBER($B2935)),"Enter a valid date",IF($C2935="","Pick a menu item",IF($O2935="","Item not on Menu Pricing",IF(N($D2935)&lt;=0,"Qty must be above 0",IF($H2935="","No price on menu","OK"))))))</f>
        <v/>
      </c>
      <c r="O2935" s="13">
        <f>IF($C2935="","",IFERROR(MATCH($C2935,'Menu Pricing'!$B$7:$B$56,0),""))</f>
        <v/>
      </c>
    </row>
    <row r="2936" ht="17" customHeight="1">
      <c r="B2936" s="66" t="n"/>
      <c r="C2936" s="60" t="n"/>
      <c r="D2936" s="86" t="n"/>
      <c r="E2936" s="63" t="n"/>
      <c r="F2936" s="60" t="n"/>
      <c r="G2936" s="60" t="n"/>
      <c r="H2936" s="71">
        <f>IF(OR($C2936="",$D2936=""),"",IF(ISNUMBER($E2936),$E2936,IF($O2936="","",IF(N(INDEX('Menu Pricing'!$O$7:$O$56,$O2936))&gt;0,INDEX('Menu Pricing'!$O$7:$O$56,$O2936),""))))</f>
        <v/>
      </c>
      <c r="I2936" s="71">
        <f>IF($N2936&lt;&gt;"OK","",$D2936*$H2936)</f>
        <v/>
      </c>
      <c r="J2936" s="71">
        <f>IF($N2936&lt;&gt;"OK","",N(INDEX('Menu Pricing'!$F$7:$F$56,$O2936))+N(INDEX('Menu Pricing'!$G$7:$G$56,$O2936))+N(INDEX('Menu Pricing'!$J$7:$J$56,$O2936)))</f>
        <v/>
      </c>
      <c r="K2936" s="71">
        <f>IF($N2936&lt;&gt;"OK","",$D2936*$J2936)</f>
        <v/>
      </c>
      <c r="L2936" s="71">
        <f>IF($N2936&lt;&gt;"OK","",$I2936-$K2936)</f>
        <v/>
      </c>
      <c r="M2936" s="71">
        <f>IF($N2936&lt;&gt;"OK","",$D2936*N(INDEX('Menu Pricing'!$F$7:$F$56,$O2936)))</f>
        <v/>
      </c>
      <c r="N2936" s="80">
        <f>IF(AND($B2936="",$C2936="",$D2936=""),"",IF(NOT(ISNUMBER($B2936)),"Enter a valid date",IF($C2936="","Pick a menu item",IF($O2936="","Item not on Menu Pricing",IF(N($D2936)&lt;=0,"Qty must be above 0",IF($H2936="","No price on menu","OK"))))))</f>
        <v/>
      </c>
      <c r="O2936" s="13">
        <f>IF($C2936="","",IFERROR(MATCH($C2936,'Menu Pricing'!$B$7:$B$56,0),""))</f>
        <v/>
      </c>
    </row>
    <row r="2937" ht="17" customHeight="1">
      <c r="B2937" s="66" t="n"/>
      <c r="C2937" s="60" t="n"/>
      <c r="D2937" s="86" t="n"/>
      <c r="E2937" s="63" t="n"/>
      <c r="F2937" s="60" t="n"/>
      <c r="G2937" s="60" t="n"/>
      <c r="H2937" s="71">
        <f>IF(OR($C2937="",$D2937=""),"",IF(ISNUMBER($E2937),$E2937,IF($O2937="","",IF(N(INDEX('Menu Pricing'!$O$7:$O$56,$O2937))&gt;0,INDEX('Menu Pricing'!$O$7:$O$56,$O2937),""))))</f>
        <v/>
      </c>
      <c r="I2937" s="71">
        <f>IF($N2937&lt;&gt;"OK","",$D2937*$H2937)</f>
        <v/>
      </c>
      <c r="J2937" s="71">
        <f>IF($N2937&lt;&gt;"OK","",N(INDEX('Menu Pricing'!$F$7:$F$56,$O2937))+N(INDEX('Menu Pricing'!$G$7:$G$56,$O2937))+N(INDEX('Menu Pricing'!$J$7:$J$56,$O2937)))</f>
        <v/>
      </c>
      <c r="K2937" s="71">
        <f>IF($N2937&lt;&gt;"OK","",$D2937*$J2937)</f>
        <v/>
      </c>
      <c r="L2937" s="71">
        <f>IF($N2937&lt;&gt;"OK","",$I2937-$K2937)</f>
        <v/>
      </c>
      <c r="M2937" s="71">
        <f>IF($N2937&lt;&gt;"OK","",$D2937*N(INDEX('Menu Pricing'!$F$7:$F$56,$O2937)))</f>
        <v/>
      </c>
      <c r="N2937" s="80">
        <f>IF(AND($B2937="",$C2937="",$D2937=""),"",IF(NOT(ISNUMBER($B2937)),"Enter a valid date",IF($C2937="","Pick a menu item",IF($O2937="","Item not on Menu Pricing",IF(N($D2937)&lt;=0,"Qty must be above 0",IF($H2937="","No price on menu","OK"))))))</f>
        <v/>
      </c>
      <c r="O2937" s="13">
        <f>IF($C2937="","",IFERROR(MATCH($C2937,'Menu Pricing'!$B$7:$B$56,0),""))</f>
        <v/>
      </c>
    </row>
    <row r="2938" ht="17" customHeight="1">
      <c r="B2938" s="66" t="n"/>
      <c r="C2938" s="60" t="n"/>
      <c r="D2938" s="86" t="n"/>
      <c r="E2938" s="63" t="n"/>
      <c r="F2938" s="60" t="n"/>
      <c r="G2938" s="60" t="n"/>
      <c r="H2938" s="71">
        <f>IF(OR($C2938="",$D2938=""),"",IF(ISNUMBER($E2938),$E2938,IF($O2938="","",IF(N(INDEX('Menu Pricing'!$O$7:$O$56,$O2938))&gt;0,INDEX('Menu Pricing'!$O$7:$O$56,$O2938),""))))</f>
        <v/>
      </c>
      <c r="I2938" s="71">
        <f>IF($N2938&lt;&gt;"OK","",$D2938*$H2938)</f>
        <v/>
      </c>
      <c r="J2938" s="71">
        <f>IF($N2938&lt;&gt;"OK","",N(INDEX('Menu Pricing'!$F$7:$F$56,$O2938))+N(INDEX('Menu Pricing'!$G$7:$G$56,$O2938))+N(INDEX('Menu Pricing'!$J$7:$J$56,$O2938)))</f>
        <v/>
      </c>
      <c r="K2938" s="71">
        <f>IF($N2938&lt;&gt;"OK","",$D2938*$J2938)</f>
        <v/>
      </c>
      <c r="L2938" s="71">
        <f>IF($N2938&lt;&gt;"OK","",$I2938-$K2938)</f>
        <v/>
      </c>
      <c r="M2938" s="71">
        <f>IF($N2938&lt;&gt;"OK","",$D2938*N(INDEX('Menu Pricing'!$F$7:$F$56,$O2938)))</f>
        <v/>
      </c>
      <c r="N2938" s="80">
        <f>IF(AND($B2938="",$C2938="",$D2938=""),"",IF(NOT(ISNUMBER($B2938)),"Enter a valid date",IF($C2938="","Pick a menu item",IF($O2938="","Item not on Menu Pricing",IF(N($D2938)&lt;=0,"Qty must be above 0",IF($H2938="","No price on menu","OK"))))))</f>
        <v/>
      </c>
      <c r="O2938" s="13">
        <f>IF($C2938="","",IFERROR(MATCH($C2938,'Menu Pricing'!$B$7:$B$56,0),""))</f>
        <v/>
      </c>
    </row>
    <row r="2939" ht="17" customHeight="1">
      <c r="B2939" s="66" t="n"/>
      <c r="C2939" s="60" t="n"/>
      <c r="D2939" s="86" t="n"/>
      <c r="E2939" s="63" t="n"/>
      <c r="F2939" s="60" t="n"/>
      <c r="G2939" s="60" t="n"/>
      <c r="H2939" s="71">
        <f>IF(OR($C2939="",$D2939=""),"",IF(ISNUMBER($E2939),$E2939,IF($O2939="","",IF(N(INDEX('Menu Pricing'!$O$7:$O$56,$O2939))&gt;0,INDEX('Menu Pricing'!$O$7:$O$56,$O2939),""))))</f>
        <v/>
      </c>
      <c r="I2939" s="71">
        <f>IF($N2939&lt;&gt;"OK","",$D2939*$H2939)</f>
        <v/>
      </c>
      <c r="J2939" s="71">
        <f>IF($N2939&lt;&gt;"OK","",N(INDEX('Menu Pricing'!$F$7:$F$56,$O2939))+N(INDEX('Menu Pricing'!$G$7:$G$56,$O2939))+N(INDEX('Menu Pricing'!$J$7:$J$56,$O2939)))</f>
        <v/>
      </c>
      <c r="K2939" s="71">
        <f>IF($N2939&lt;&gt;"OK","",$D2939*$J2939)</f>
        <v/>
      </c>
      <c r="L2939" s="71">
        <f>IF($N2939&lt;&gt;"OK","",$I2939-$K2939)</f>
        <v/>
      </c>
      <c r="M2939" s="71">
        <f>IF($N2939&lt;&gt;"OK","",$D2939*N(INDEX('Menu Pricing'!$F$7:$F$56,$O2939)))</f>
        <v/>
      </c>
      <c r="N2939" s="80">
        <f>IF(AND($B2939="",$C2939="",$D2939=""),"",IF(NOT(ISNUMBER($B2939)),"Enter a valid date",IF($C2939="","Pick a menu item",IF($O2939="","Item not on Menu Pricing",IF(N($D2939)&lt;=0,"Qty must be above 0",IF($H2939="","No price on menu","OK"))))))</f>
        <v/>
      </c>
      <c r="O2939" s="13">
        <f>IF($C2939="","",IFERROR(MATCH($C2939,'Menu Pricing'!$B$7:$B$56,0),""))</f>
        <v/>
      </c>
    </row>
    <row r="2940" ht="17" customHeight="1">
      <c r="B2940" s="66" t="n"/>
      <c r="C2940" s="60" t="n"/>
      <c r="D2940" s="86" t="n"/>
      <c r="E2940" s="63" t="n"/>
      <c r="F2940" s="60" t="n"/>
      <c r="G2940" s="60" t="n"/>
      <c r="H2940" s="71">
        <f>IF(OR($C2940="",$D2940=""),"",IF(ISNUMBER($E2940),$E2940,IF($O2940="","",IF(N(INDEX('Menu Pricing'!$O$7:$O$56,$O2940))&gt;0,INDEX('Menu Pricing'!$O$7:$O$56,$O2940),""))))</f>
        <v/>
      </c>
      <c r="I2940" s="71">
        <f>IF($N2940&lt;&gt;"OK","",$D2940*$H2940)</f>
        <v/>
      </c>
      <c r="J2940" s="71">
        <f>IF($N2940&lt;&gt;"OK","",N(INDEX('Menu Pricing'!$F$7:$F$56,$O2940))+N(INDEX('Menu Pricing'!$G$7:$G$56,$O2940))+N(INDEX('Menu Pricing'!$J$7:$J$56,$O2940)))</f>
        <v/>
      </c>
      <c r="K2940" s="71">
        <f>IF($N2940&lt;&gt;"OK","",$D2940*$J2940)</f>
        <v/>
      </c>
      <c r="L2940" s="71">
        <f>IF($N2940&lt;&gt;"OK","",$I2940-$K2940)</f>
        <v/>
      </c>
      <c r="M2940" s="71">
        <f>IF($N2940&lt;&gt;"OK","",$D2940*N(INDEX('Menu Pricing'!$F$7:$F$56,$O2940)))</f>
        <v/>
      </c>
      <c r="N2940" s="80">
        <f>IF(AND($B2940="",$C2940="",$D2940=""),"",IF(NOT(ISNUMBER($B2940)),"Enter a valid date",IF($C2940="","Pick a menu item",IF($O2940="","Item not on Menu Pricing",IF(N($D2940)&lt;=0,"Qty must be above 0",IF($H2940="","No price on menu","OK"))))))</f>
        <v/>
      </c>
      <c r="O2940" s="13">
        <f>IF($C2940="","",IFERROR(MATCH($C2940,'Menu Pricing'!$B$7:$B$56,0),""))</f>
        <v/>
      </c>
    </row>
    <row r="2941" ht="17" customHeight="1">
      <c r="B2941" s="66" t="n"/>
      <c r="C2941" s="60" t="n"/>
      <c r="D2941" s="86" t="n"/>
      <c r="E2941" s="63" t="n"/>
      <c r="F2941" s="60" t="n"/>
      <c r="G2941" s="60" t="n"/>
      <c r="H2941" s="71">
        <f>IF(OR($C2941="",$D2941=""),"",IF(ISNUMBER($E2941),$E2941,IF($O2941="","",IF(N(INDEX('Menu Pricing'!$O$7:$O$56,$O2941))&gt;0,INDEX('Menu Pricing'!$O$7:$O$56,$O2941),""))))</f>
        <v/>
      </c>
      <c r="I2941" s="71">
        <f>IF($N2941&lt;&gt;"OK","",$D2941*$H2941)</f>
        <v/>
      </c>
      <c r="J2941" s="71">
        <f>IF($N2941&lt;&gt;"OK","",N(INDEX('Menu Pricing'!$F$7:$F$56,$O2941))+N(INDEX('Menu Pricing'!$G$7:$G$56,$O2941))+N(INDEX('Menu Pricing'!$J$7:$J$56,$O2941)))</f>
        <v/>
      </c>
      <c r="K2941" s="71">
        <f>IF($N2941&lt;&gt;"OK","",$D2941*$J2941)</f>
        <v/>
      </c>
      <c r="L2941" s="71">
        <f>IF($N2941&lt;&gt;"OK","",$I2941-$K2941)</f>
        <v/>
      </c>
      <c r="M2941" s="71">
        <f>IF($N2941&lt;&gt;"OK","",$D2941*N(INDEX('Menu Pricing'!$F$7:$F$56,$O2941)))</f>
        <v/>
      </c>
      <c r="N2941" s="80">
        <f>IF(AND($B2941="",$C2941="",$D2941=""),"",IF(NOT(ISNUMBER($B2941)),"Enter a valid date",IF($C2941="","Pick a menu item",IF($O2941="","Item not on Menu Pricing",IF(N($D2941)&lt;=0,"Qty must be above 0",IF($H2941="","No price on menu","OK"))))))</f>
        <v/>
      </c>
      <c r="O2941" s="13">
        <f>IF($C2941="","",IFERROR(MATCH($C2941,'Menu Pricing'!$B$7:$B$56,0),""))</f>
        <v/>
      </c>
    </row>
    <row r="2942" ht="17" customHeight="1">
      <c r="B2942" s="66" t="n"/>
      <c r="C2942" s="60" t="n"/>
      <c r="D2942" s="86" t="n"/>
      <c r="E2942" s="63" t="n"/>
      <c r="F2942" s="60" t="n"/>
      <c r="G2942" s="60" t="n"/>
      <c r="H2942" s="71">
        <f>IF(OR($C2942="",$D2942=""),"",IF(ISNUMBER($E2942),$E2942,IF($O2942="","",IF(N(INDEX('Menu Pricing'!$O$7:$O$56,$O2942))&gt;0,INDEX('Menu Pricing'!$O$7:$O$56,$O2942),""))))</f>
        <v/>
      </c>
      <c r="I2942" s="71">
        <f>IF($N2942&lt;&gt;"OK","",$D2942*$H2942)</f>
        <v/>
      </c>
      <c r="J2942" s="71">
        <f>IF($N2942&lt;&gt;"OK","",N(INDEX('Menu Pricing'!$F$7:$F$56,$O2942))+N(INDEX('Menu Pricing'!$G$7:$G$56,$O2942))+N(INDEX('Menu Pricing'!$J$7:$J$56,$O2942)))</f>
        <v/>
      </c>
      <c r="K2942" s="71">
        <f>IF($N2942&lt;&gt;"OK","",$D2942*$J2942)</f>
        <v/>
      </c>
      <c r="L2942" s="71">
        <f>IF($N2942&lt;&gt;"OK","",$I2942-$K2942)</f>
        <v/>
      </c>
      <c r="M2942" s="71">
        <f>IF($N2942&lt;&gt;"OK","",$D2942*N(INDEX('Menu Pricing'!$F$7:$F$56,$O2942)))</f>
        <v/>
      </c>
      <c r="N2942" s="80">
        <f>IF(AND($B2942="",$C2942="",$D2942=""),"",IF(NOT(ISNUMBER($B2942)),"Enter a valid date",IF($C2942="","Pick a menu item",IF($O2942="","Item not on Menu Pricing",IF(N($D2942)&lt;=0,"Qty must be above 0",IF($H2942="","No price on menu","OK"))))))</f>
        <v/>
      </c>
      <c r="O2942" s="13">
        <f>IF($C2942="","",IFERROR(MATCH($C2942,'Menu Pricing'!$B$7:$B$56,0),""))</f>
        <v/>
      </c>
    </row>
    <row r="2943" ht="17" customHeight="1">
      <c r="B2943" s="66" t="n"/>
      <c r="C2943" s="60" t="n"/>
      <c r="D2943" s="86" t="n"/>
      <c r="E2943" s="63" t="n"/>
      <c r="F2943" s="60" t="n"/>
      <c r="G2943" s="60" t="n"/>
      <c r="H2943" s="71">
        <f>IF(OR($C2943="",$D2943=""),"",IF(ISNUMBER($E2943),$E2943,IF($O2943="","",IF(N(INDEX('Menu Pricing'!$O$7:$O$56,$O2943))&gt;0,INDEX('Menu Pricing'!$O$7:$O$56,$O2943),""))))</f>
        <v/>
      </c>
      <c r="I2943" s="71">
        <f>IF($N2943&lt;&gt;"OK","",$D2943*$H2943)</f>
        <v/>
      </c>
      <c r="J2943" s="71">
        <f>IF($N2943&lt;&gt;"OK","",N(INDEX('Menu Pricing'!$F$7:$F$56,$O2943))+N(INDEX('Menu Pricing'!$G$7:$G$56,$O2943))+N(INDEX('Menu Pricing'!$J$7:$J$56,$O2943)))</f>
        <v/>
      </c>
      <c r="K2943" s="71">
        <f>IF($N2943&lt;&gt;"OK","",$D2943*$J2943)</f>
        <v/>
      </c>
      <c r="L2943" s="71">
        <f>IF($N2943&lt;&gt;"OK","",$I2943-$K2943)</f>
        <v/>
      </c>
      <c r="M2943" s="71">
        <f>IF($N2943&lt;&gt;"OK","",$D2943*N(INDEX('Menu Pricing'!$F$7:$F$56,$O2943)))</f>
        <v/>
      </c>
      <c r="N2943" s="80">
        <f>IF(AND($B2943="",$C2943="",$D2943=""),"",IF(NOT(ISNUMBER($B2943)),"Enter a valid date",IF($C2943="","Pick a menu item",IF($O2943="","Item not on Menu Pricing",IF(N($D2943)&lt;=0,"Qty must be above 0",IF($H2943="","No price on menu","OK"))))))</f>
        <v/>
      </c>
      <c r="O2943" s="13">
        <f>IF($C2943="","",IFERROR(MATCH($C2943,'Menu Pricing'!$B$7:$B$56,0),""))</f>
        <v/>
      </c>
    </row>
    <row r="2944" ht="17" customHeight="1">
      <c r="B2944" s="66" t="n"/>
      <c r="C2944" s="60" t="n"/>
      <c r="D2944" s="86" t="n"/>
      <c r="E2944" s="63" t="n"/>
      <c r="F2944" s="60" t="n"/>
      <c r="G2944" s="60" t="n"/>
      <c r="H2944" s="71">
        <f>IF(OR($C2944="",$D2944=""),"",IF(ISNUMBER($E2944),$E2944,IF($O2944="","",IF(N(INDEX('Menu Pricing'!$O$7:$O$56,$O2944))&gt;0,INDEX('Menu Pricing'!$O$7:$O$56,$O2944),""))))</f>
        <v/>
      </c>
      <c r="I2944" s="71">
        <f>IF($N2944&lt;&gt;"OK","",$D2944*$H2944)</f>
        <v/>
      </c>
      <c r="J2944" s="71">
        <f>IF($N2944&lt;&gt;"OK","",N(INDEX('Menu Pricing'!$F$7:$F$56,$O2944))+N(INDEX('Menu Pricing'!$G$7:$G$56,$O2944))+N(INDEX('Menu Pricing'!$J$7:$J$56,$O2944)))</f>
        <v/>
      </c>
      <c r="K2944" s="71">
        <f>IF($N2944&lt;&gt;"OK","",$D2944*$J2944)</f>
        <v/>
      </c>
      <c r="L2944" s="71">
        <f>IF($N2944&lt;&gt;"OK","",$I2944-$K2944)</f>
        <v/>
      </c>
      <c r="M2944" s="71">
        <f>IF($N2944&lt;&gt;"OK","",$D2944*N(INDEX('Menu Pricing'!$F$7:$F$56,$O2944)))</f>
        <v/>
      </c>
      <c r="N2944" s="80">
        <f>IF(AND($B2944="",$C2944="",$D2944=""),"",IF(NOT(ISNUMBER($B2944)),"Enter a valid date",IF($C2944="","Pick a menu item",IF($O2944="","Item not on Menu Pricing",IF(N($D2944)&lt;=0,"Qty must be above 0",IF($H2944="","No price on menu","OK"))))))</f>
        <v/>
      </c>
      <c r="O2944" s="13">
        <f>IF($C2944="","",IFERROR(MATCH($C2944,'Menu Pricing'!$B$7:$B$56,0),""))</f>
        <v/>
      </c>
    </row>
    <row r="2945" ht="17" customHeight="1">
      <c r="B2945" s="66" t="n"/>
      <c r="C2945" s="60" t="n"/>
      <c r="D2945" s="86" t="n"/>
      <c r="E2945" s="63" t="n"/>
      <c r="F2945" s="60" t="n"/>
      <c r="G2945" s="60" t="n"/>
      <c r="H2945" s="71">
        <f>IF(OR($C2945="",$D2945=""),"",IF(ISNUMBER($E2945),$E2945,IF($O2945="","",IF(N(INDEX('Menu Pricing'!$O$7:$O$56,$O2945))&gt;0,INDEX('Menu Pricing'!$O$7:$O$56,$O2945),""))))</f>
        <v/>
      </c>
      <c r="I2945" s="71">
        <f>IF($N2945&lt;&gt;"OK","",$D2945*$H2945)</f>
        <v/>
      </c>
      <c r="J2945" s="71">
        <f>IF($N2945&lt;&gt;"OK","",N(INDEX('Menu Pricing'!$F$7:$F$56,$O2945))+N(INDEX('Menu Pricing'!$G$7:$G$56,$O2945))+N(INDEX('Menu Pricing'!$J$7:$J$56,$O2945)))</f>
        <v/>
      </c>
      <c r="K2945" s="71">
        <f>IF($N2945&lt;&gt;"OK","",$D2945*$J2945)</f>
        <v/>
      </c>
      <c r="L2945" s="71">
        <f>IF($N2945&lt;&gt;"OK","",$I2945-$K2945)</f>
        <v/>
      </c>
      <c r="M2945" s="71">
        <f>IF($N2945&lt;&gt;"OK","",$D2945*N(INDEX('Menu Pricing'!$F$7:$F$56,$O2945)))</f>
        <v/>
      </c>
      <c r="N2945" s="80">
        <f>IF(AND($B2945="",$C2945="",$D2945=""),"",IF(NOT(ISNUMBER($B2945)),"Enter a valid date",IF($C2945="","Pick a menu item",IF($O2945="","Item not on Menu Pricing",IF(N($D2945)&lt;=0,"Qty must be above 0",IF($H2945="","No price on menu","OK"))))))</f>
        <v/>
      </c>
      <c r="O2945" s="13">
        <f>IF($C2945="","",IFERROR(MATCH($C2945,'Menu Pricing'!$B$7:$B$56,0),""))</f>
        <v/>
      </c>
    </row>
    <row r="2946" ht="17" customHeight="1">
      <c r="B2946" s="66" t="n"/>
      <c r="C2946" s="60" t="n"/>
      <c r="D2946" s="86" t="n"/>
      <c r="E2946" s="63" t="n"/>
      <c r="F2946" s="60" t="n"/>
      <c r="G2946" s="60" t="n"/>
      <c r="H2946" s="71">
        <f>IF(OR($C2946="",$D2946=""),"",IF(ISNUMBER($E2946),$E2946,IF($O2946="","",IF(N(INDEX('Menu Pricing'!$O$7:$O$56,$O2946))&gt;0,INDEX('Menu Pricing'!$O$7:$O$56,$O2946),""))))</f>
        <v/>
      </c>
      <c r="I2946" s="71">
        <f>IF($N2946&lt;&gt;"OK","",$D2946*$H2946)</f>
        <v/>
      </c>
      <c r="J2946" s="71">
        <f>IF($N2946&lt;&gt;"OK","",N(INDEX('Menu Pricing'!$F$7:$F$56,$O2946))+N(INDEX('Menu Pricing'!$G$7:$G$56,$O2946))+N(INDEX('Menu Pricing'!$J$7:$J$56,$O2946)))</f>
        <v/>
      </c>
      <c r="K2946" s="71">
        <f>IF($N2946&lt;&gt;"OK","",$D2946*$J2946)</f>
        <v/>
      </c>
      <c r="L2946" s="71">
        <f>IF($N2946&lt;&gt;"OK","",$I2946-$K2946)</f>
        <v/>
      </c>
      <c r="M2946" s="71">
        <f>IF($N2946&lt;&gt;"OK","",$D2946*N(INDEX('Menu Pricing'!$F$7:$F$56,$O2946)))</f>
        <v/>
      </c>
      <c r="N2946" s="80">
        <f>IF(AND($B2946="",$C2946="",$D2946=""),"",IF(NOT(ISNUMBER($B2946)),"Enter a valid date",IF($C2946="","Pick a menu item",IF($O2946="","Item not on Menu Pricing",IF(N($D2946)&lt;=0,"Qty must be above 0",IF($H2946="","No price on menu","OK"))))))</f>
        <v/>
      </c>
      <c r="O2946" s="13">
        <f>IF($C2946="","",IFERROR(MATCH($C2946,'Menu Pricing'!$B$7:$B$56,0),""))</f>
        <v/>
      </c>
    </row>
    <row r="2947" ht="17" customHeight="1">
      <c r="B2947" s="66" t="n"/>
      <c r="C2947" s="60" t="n"/>
      <c r="D2947" s="86" t="n"/>
      <c r="E2947" s="63" t="n"/>
      <c r="F2947" s="60" t="n"/>
      <c r="G2947" s="60" t="n"/>
      <c r="H2947" s="71">
        <f>IF(OR($C2947="",$D2947=""),"",IF(ISNUMBER($E2947),$E2947,IF($O2947="","",IF(N(INDEX('Menu Pricing'!$O$7:$O$56,$O2947))&gt;0,INDEX('Menu Pricing'!$O$7:$O$56,$O2947),""))))</f>
        <v/>
      </c>
      <c r="I2947" s="71">
        <f>IF($N2947&lt;&gt;"OK","",$D2947*$H2947)</f>
        <v/>
      </c>
      <c r="J2947" s="71">
        <f>IF($N2947&lt;&gt;"OK","",N(INDEX('Menu Pricing'!$F$7:$F$56,$O2947))+N(INDEX('Menu Pricing'!$G$7:$G$56,$O2947))+N(INDEX('Menu Pricing'!$J$7:$J$56,$O2947)))</f>
        <v/>
      </c>
      <c r="K2947" s="71">
        <f>IF($N2947&lt;&gt;"OK","",$D2947*$J2947)</f>
        <v/>
      </c>
      <c r="L2947" s="71">
        <f>IF($N2947&lt;&gt;"OK","",$I2947-$K2947)</f>
        <v/>
      </c>
      <c r="M2947" s="71">
        <f>IF($N2947&lt;&gt;"OK","",$D2947*N(INDEX('Menu Pricing'!$F$7:$F$56,$O2947)))</f>
        <v/>
      </c>
      <c r="N2947" s="80">
        <f>IF(AND($B2947="",$C2947="",$D2947=""),"",IF(NOT(ISNUMBER($B2947)),"Enter a valid date",IF($C2947="","Pick a menu item",IF($O2947="","Item not on Menu Pricing",IF(N($D2947)&lt;=0,"Qty must be above 0",IF($H2947="","No price on menu","OK"))))))</f>
        <v/>
      </c>
      <c r="O2947" s="13">
        <f>IF($C2947="","",IFERROR(MATCH($C2947,'Menu Pricing'!$B$7:$B$56,0),""))</f>
        <v/>
      </c>
    </row>
    <row r="2948" ht="17" customHeight="1">
      <c r="B2948" s="66" t="n"/>
      <c r="C2948" s="60" t="n"/>
      <c r="D2948" s="86" t="n"/>
      <c r="E2948" s="63" t="n"/>
      <c r="F2948" s="60" t="n"/>
      <c r="G2948" s="60" t="n"/>
      <c r="H2948" s="71">
        <f>IF(OR($C2948="",$D2948=""),"",IF(ISNUMBER($E2948),$E2948,IF($O2948="","",IF(N(INDEX('Menu Pricing'!$O$7:$O$56,$O2948))&gt;0,INDEX('Menu Pricing'!$O$7:$O$56,$O2948),""))))</f>
        <v/>
      </c>
      <c r="I2948" s="71">
        <f>IF($N2948&lt;&gt;"OK","",$D2948*$H2948)</f>
        <v/>
      </c>
      <c r="J2948" s="71">
        <f>IF($N2948&lt;&gt;"OK","",N(INDEX('Menu Pricing'!$F$7:$F$56,$O2948))+N(INDEX('Menu Pricing'!$G$7:$G$56,$O2948))+N(INDEX('Menu Pricing'!$J$7:$J$56,$O2948)))</f>
        <v/>
      </c>
      <c r="K2948" s="71">
        <f>IF($N2948&lt;&gt;"OK","",$D2948*$J2948)</f>
        <v/>
      </c>
      <c r="L2948" s="71">
        <f>IF($N2948&lt;&gt;"OK","",$I2948-$K2948)</f>
        <v/>
      </c>
      <c r="M2948" s="71">
        <f>IF($N2948&lt;&gt;"OK","",$D2948*N(INDEX('Menu Pricing'!$F$7:$F$56,$O2948)))</f>
        <v/>
      </c>
      <c r="N2948" s="80">
        <f>IF(AND($B2948="",$C2948="",$D2948=""),"",IF(NOT(ISNUMBER($B2948)),"Enter a valid date",IF($C2948="","Pick a menu item",IF($O2948="","Item not on Menu Pricing",IF(N($D2948)&lt;=0,"Qty must be above 0",IF($H2948="","No price on menu","OK"))))))</f>
        <v/>
      </c>
      <c r="O2948" s="13">
        <f>IF($C2948="","",IFERROR(MATCH($C2948,'Menu Pricing'!$B$7:$B$56,0),""))</f>
        <v/>
      </c>
    </row>
    <row r="2949" ht="17" customHeight="1">
      <c r="B2949" s="66" t="n"/>
      <c r="C2949" s="60" t="n"/>
      <c r="D2949" s="86" t="n"/>
      <c r="E2949" s="63" t="n"/>
      <c r="F2949" s="60" t="n"/>
      <c r="G2949" s="60" t="n"/>
      <c r="H2949" s="71">
        <f>IF(OR($C2949="",$D2949=""),"",IF(ISNUMBER($E2949),$E2949,IF($O2949="","",IF(N(INDEX('Menu Pricing'!$O$7:$O$56,$O2949))&gt;0,INDEX('Menu Pricing'!$O$7:$O$56,$O2949),""))))</f>
        <v/>
      </c>
      <c r="I2949" s="71">
        <f>IF($N2949&lt;&gt;"OK","",$D2949*$H2949)</f>
        <v/>
      </c>
      <c r="J2949" s="71">
        <f>IF($N2949&lt;&gt;"OK","",N(INDEX('Menu Pricing'!$F$7:$F$56,$O2949))+N(INDEX('Menu Pricing'!$G$7:$G$56,$O2949))+N(INDEX('Menu Pricing'!$J$7:$J$56,$O2949)))</f>
        <v/>
      </c>
      <c r="K2949" s="71">
        <f>IF($N2949&lt;&gt;"OK","",$D2949*$J2949)</f>
        <v/>
      </c>
      <c r="L2949" s="71">
        <f>IF($N2949&lt;&gt;"OK","",$I2949-$K2949)</f>
        <v/>
      </c>
      <c r="M2949" s="71">
        <f>IF($N2949&lt;&gt;"OK","",$D2949*N(INDEX('Menu Pricing'!$F$7:$F$56,$O2949)))</f>
        <v/>
      </c>
      <c r="N2949" s="80">
        <f>IF(AND($B2949="",$C2949="",$D2949=""),"",IF(NOT(ISNUMBER($B2949)),"Enter a valid date",IF($C2949="","Pick a menu item",IF($O2949="","Item not on Menu Pricing",IF(N($D2949)&lt;=0,"Qty must be above 0",IF($H2949="","No price on menu","OK"))))))</f>
        <v/>
      </c>
      <c r="O2949" s="13">
        <f>IF($C2949="","",IFERROR(MATCH($C2949,'Menu Pricing'!$B$7:$B$56,0),""))</f>
        <v/>
      </c>
    </row>
    <row r="2950" ht="17" customHeight="1">
      <c r="B2950" s="66" t="n"/>
      <c r="C2950" s="60" t="n"/>
      <c r="D2950" s="86" t="n"/>
      <c r="E2950" s="63" t="n"/>
      <c r="F2950" s="60" t="n"/>
      <c r="G2950" s="60" t="n"/>
      <c r="H2950" s="71">
        <f>IF(OR($C2950="",$D2950=""),"",IF(ISNUMBER($E2950),$E2950,IF($O2950="","",IF(N(INDEX('Menu Pricing'!$O$7:$O$56,$O2950))&gt;0,INDEX('Menu Pricing'!$O$7:$O$56,$O2950),""))))</f>
        <v/>
      </c>
      <c r="I2950" s="71">
        <f>IF($N2950&lt;&gt;"OK","",$D2950*$H2950)</f>
        <v/>
      </c>
      <c r="J2950" s="71">
        <f>IF($N2950&lt;&gt;"OK","",N(INDEX('Menu Pricing'!$F$7:$F$56,$O2950))+N(INDEX('Menu Pricing'!$G$7:$G$56,$O2950))+N(INDEX('Menu Pricing'!$J$7:$J$56,$O2950)))</f>
        <v/>
      </c>
      <c r="K2950" s="71">
        <f>IF($N2950&lt;&gt;"OK","",$D2950*$J2950)</f>
        <v/>
      </c>
      <c r="L2950" s="71">
        <f>IF($N2950&lt;&gt;"OK","",$I2950-$K2950)</f>
        <v/>
      </c>
      <c r="M2950" s="71">
        <f>IF($N2950&lt;&gt;"OK","",$D2950*N(INDEX('Menu Pricing'!$F$7:$F$56,$O2950)))</f>
        <v/>
      </c>
      <c r="N2950" s="80">
        <f>IF(AND($B2950="",$C2950="",$D2950=""),"",IF(NOT(ISNUMBER($B2950)),"Enter a valid date",IF($C2950="","Pick a menu item",IF($O2950="","Item not on Menu Pricing",IF(N($D2950)&lt;=0,"Qty must be above 0",IF($H2950="","No price on menu","OK"))))))</f>
        <v/>
      </c>
      <c r="O2950" s="13">
        <f>IF($C2950="","",IFERROR(MATCH($C2950,'Menu Pricing'!$B$7:$B$56,0),""))</f>
        <v/>
      </c>
    </row>
    <row r="2951" ht="17" customHeight="1">
      <c r="B2951" s="66" t="n"/>
      <c r="C2951" s="60" t="n"/>
      <c r="D2951" s="86" t="n"/>
      <c r="E2951" s="63" t="n"/>
      <c r="F2951" s="60" t="n"/>
      <c r="G2951" s="60" t="n"/>
      <c r="H2951" s="71">
        <f>IF(OR($C2951="",$D2951=""),"",IF(ISNUMBER($E2951),$E2951,IF($O2951="","",IF(N(INDEX('Menu Pricing'!$O$7:$O$56,$O2951))&gt;0,INDEX('Menu Pricing'!$O$7:$O$56,$O2951),""))))</f>
        <v/>
      </c>
      <c r="I2951" s="71">
        <f>IF($N2951&lt;&gt;"OK","",$D2951*$H2951)</f>
        <v/>
      </c>
      <c r="J2951" s="71">
        <f>IF($N2951&lt;&gt;"OK","",N(INDEX('Menu Pricing'!$F$7:$F$56,$O2951))+N(INDEX('Menu Pricing'!$G$7:$G$56,$O2951))+N(INDEX('Menu Pricing'!$J$7:$J$56,$O2951)))</f>
        <v/>
      </c>
      <c r="K2951" s="71">
        <f>IF($N2951&lt;&gt;"OK","",$D2951*$J2951)</f>
        <v/>
      </c>
      <c r="L2951" s="71">
        <f>IF($N2951&lt;&gt;"OK","",$I2951-$K2951)</f>
        <v/>
      </c>
      <c r="M2951" s="71">
        <f>IF($N2951&lt;&gt;"OK","",$D2951*N(INDEX('Menu Pricing'!$F$7:$F$56,$O2951)))</f>
        <v/>
      </c>
      <c r="N2951" s="80">
        <f>IF(AND($B2951="",$C2951="",$D2951=""),"",IF(NOT(ISNUMBER($B2951)),"Enter a valid date",IF($C2951="","Pick a menu item",IF($O2951="","Item not on Menu Pricing",IF(N($D2951)&lt;=0,"Qty must be above 0",IF($H2951="","No price on menu","OK"))))))</f>
        <v/>
      </c>
      <c r="O2951" s="13">
        <f>IF($C2951="","",IFERROR(MATCH($C2951,'Menu Pricing'!$B$7:$B$56,0),""))</f>
        <v/>
      </c>
    </row>
    <row r="2952" ht="17" customHeight="1">
      <c r="B2952" s="66" t="n"/>
      <c r="C2952" s="60" t="n"/>
      <c r="D2952" s="86" t="n"/>
      <c r="E2952" s="63" t="n"/>
      <c r="F2952" s="60" t="n"/>
      <c r="G2952" s="60" t="n"/>
      <c r="H2952" s="71">
        <f>IF(OR($C2952="",$D2952=""),"",IF(ISNUMBER($E2952),$E2952,IF($O2952="","",IF(N(INDEX('Menu Pricing'!$O$7:$O$56,$O2952))&gt;0,INDEX('Menu Pricing'!$O$7:$O$56,$O2952),""))))</f>
        <v/>
      </c>
      <c r="I2952" s="71">
        <f>IF($N2952&lt;&gt;"OK","",$D2952*$H2952)</f>
        <v/>
      </c>
      <c r="J2952" s="71">
        <f>IF($N2952&lt;&gt;"OK","",N(INDEX('Menu Pricing'!$F$7:$F$56,$O2952))+N(INDEX('Menu Pricing'!$G$7:$G$56,$O2952))+N(INDEX('Menu Pricing'!$J$7:$J$56,$O2952)))</f>
        <v/>
      </c>
      <c r="K2952" s="71">
        <f>IF($N2952&lt;&gt;"OK","",$D2952*$J2952)</f>
        <v/>
      </c>
      <c r="L2952" s="71">
        <f>IF($N2952&lt;&gt;"OK","",$I2952-$K2952)</f>
        <v/>
      </c>
      <c r="M2952" s="71">
        <f>IF($N2952&lt;&gt;"OK","",$D2952*N(INDEX('Menu Pricing'!$F$7:$F$56,$O2952)))</f>
        <v/>
      </c>
      <c r="N2952" s="80">
        <f>IF(AND($B2952="",$C2952="",$D2952=""),"",IF(NOT(ISNUMBER($B2952)),"Enter a valid date",IF($C2952="","Pick a menu item",IF($O2952="","Item not on Menu Pricing",IF(N($D2952)&lt;=0,"Qty must be above 0",IF($H2952="","No price on menu","OK"))))))</f>
        <v/>
      </c>
      <c r="O2952" s="13">
        <f>IF($C2952="","",IFERROR(MATCH($C2952,'Menu Pricing'!$B$7:$B$56,0),""))</f>
        <v/>
      </c>
    </row>
    <row r="2953" ht="17" customHeight="1">
      <c r="B2953" s="66" t="n"/>
      <c r="C2953" s="60" t="n"/>
      <c r="D2953" s="86" t="n"/>
      <c r="E2953" s="63" t="n"/>
      <c r="F2953" s="60" t="n"/>
      <c r="G2953" s="60" t="n"/>
      <c r="H2953" s="71">
        <f>IF(OR($C2953="",$D2953=""),"",IF(ISNUMBER($E2953),$E2953,IF($O2953="","",IF(N(INDEX('Menu Pricing'!$O$7:$O$56,$O2953))&gt;0,INDEX('Menu Pricing'!$O$7:$O$56,$O2953),""))))</f>
        <v/>
      </c>
      <c r="I2953" s="71">
        <f>IF($N2953&lt;&gt;"OK","",$D2953*$H2953)</f>
        <v/>
      </c>
      <c r="J2953" s="71">
        <f>IF($N2953&lt;&gt;"OK","",N(INDEX('Menu Pricing'!$F$7:$F$56,$O2953))+N(INDEX('Menu Pricing'!$G$7:$G$56,$O2953))+N(INDEX('Menu Pricing'!$J$7:$J$56,$O2953)))</f>
        <v/>
      </c>
      <c r="K2953" s="71">
        <f>IF($N2953&lt;&gt;"OK","",$D2953*$J2953)</f>
        <v/>
      </c>
      <c r="L2953" s="71">
        <f>IF($N2953&lt;&gt;"OK","",$I2953-$K2953)</f>
        <v/>
      </c>
      <c r="M2953" s="71">
        <f>IF($N2953&lt;&gt;"OK","",$D2953*N(INDEX('Menu Pricing'!$F$7:$F$56,$O2953)))</f>
        <v/>
      </c>
      <c r="N2953" s="80">
        <f>IF(AND($B2953="",$C2953="",$D2953=""),"",IF(NOT(ISNUMBER($B2953)),"Enter a valid date",IF($C2953="","Pick a menu item",IF($O2953="","Item not on Menu Pricing",IF(N($D2953)&lt;=0,"Qty must be above 0",IF($H2953="","No price on menu","OK"))))))</f>
        <v/>
      </c>
      <c r="O2953" s="13">
        <f>IF($C2953="","",IFERROR(MATCH($C2953,'Menu Pricing'!$B$7:$B$56,0),""))</f>
        <v/>
      </c>
    </row>
    <row r="2954" ht="17" customHeight="1">
      <c r="B2954" s="66" t="n"/>
      <c r="C2954" s="60" t="n"/>
      <c r="D2954" s="86" t="n"/>
      <c r="E2954" s="63" t="n"/>
      <c r="F2954" s="60" t="n"/>
      <c r="G2954" s="60" t="n"/>
      <c r="H2954" s="71">
        <f>IF(OR($C2954="",$D2954=""),"",IF(ISNUMBER($E2954),$E2954,IF($O2954="","",IF(N(INDEX('Menu Pricing'!$O$7:$O$56,$O2954))&gt;0,INDEX('Menu Pricing'!$O$7:$O$56,$O2954),""))))</f>
        <v/>
      </c>
      <c r="I2954" s="71">
        <f>IF($N2954&lt;&gt;"OK","",$D2954*$H2954)</f>
        <v/>
      </c>
      <c r="J2954" s="71">
        <f>IF($N2954&lt;&gt;"OK","",N(INDEX('Menu Pricing'!$F$7:$F$56,$O2954))+N(INDEX('Menu Pricing'!$G$7:$G$56,$O2954))+N(INDEX('Menu Pricing'!$J$7:$J$56,$O2954)))</f>
        <v/>
      </c>
      <c r="K2954" s="71">
        <f>IF($N2954&lt;&gt;"OK","",$D2954*$J2954)</f>
        <v/>
      </c>
      <c r="L2954" s="71">
        <f>IF($N2954&lt;&gt;"OK","",$I2954-$K2954)</f>
        <v/>
      </c>
      <c r="M2954" s="71">
        <f>IF($N2954&lt;&gt;"OK","",$D2954*N(INDEX('Menu Pricing'!$F$7:$F$56,$O2954)))</f>
        <v/>
      </c>
      <c r="N2954" s="80">
        <f>IF(AND($B2954="",$C2954="",$D2954=""),"",IF(NOT(ISNUMBER($B2954)),"Enter a valid date",IF($C2954="","Pick a menu item",IF($O2954="","Item not on Menu Pricing",IF(N($D2954)&lt;=0,"Qty must be above 0",IF($H2954="","No price on menu","OK"))))))</f>
        <v/>
      </c>
      <c r="O2954" s="13">
        <f>IF($C2954="","",IFERROR(MATCH($C2954,'Menu Pricing'!$B$7:$B$56,0),""))</f>
        <v/>
      </c>
    </row>
    <row r="2955" ht="17" customHeight="1">
      <c r="B2955" s="66" t="n"/>
      <c r="C2955" s="60" t="n"/>
      <c r="D2955" s="86" t="n"/>
      <c r="E2955" s="63" t="n"/>
      <c r="F2955" s="60" t="n"/>
      <c r="G2955" s="60" t="n"/>
      <c r="H2955" s="71">
        <f>IF(OR($C2955="",$D2955=""),"",IF(ISNUMBER($E2955),$E2955,IF($O2955="","",IF(N(INDEX('Menu Pricing'!$O$7:$O$56,$O2955))&gt;0,INDEX('Menu Pricing'!$O$7:$O$56,$O2955),""))))</f>
        <v/>
      </c>
      <c r="I2955" s="71">
        <f>IF($N2955&lt;&gt;"OK","",$D2955*$H2955)</f>
        <v/>
      </c>
      <c r="J2955" s="71">
        <f>IF($N2955&lt;&gt;"OK","",N(INDEX('Menu Pricing'!$F$7:$F$56,$O2955))+N(INDEX('Menu Pricing'!$G$7:$G$56,$O2955))+N(INDEX('Menu Pricing'!$J$7:$J$56,$O2955)))</f>
        <v/>
      </c>
      <c r="K2955" s="71">
        <f>IF($N2955&lt;&gt;"OK","",$D2955*$J2955)</f>
        <v/>
      </c>
      <c r="L2955" s="71">
        <f>IF($N2955&lt;&gt;"OK","",$I2955-$K2955)</f>
        <v/>
      </c>
      <c r="M2955" s="71">
        <f>IF($N2955&lt;&gt;"OK","",$D2955*N(INDEX('Menu Pricing'!$F$7:$F$56,$O2955)))</f>
        <v/>
      </c>
      <c r="N2955" s="80">
        <f>IF(AND($B2955="",$C2955="",$D2955=""),"",IF(NOT(ISNUMBER($B2955)),"Enter a valid date",IF($C2955="","Pick a menu item",IF($O2955="","Item not on Menu Pricing",IF(N($D2955)&lt;=0,"Qty must be above 0",IF($H2955="","No price on menu","OK"))))))</f>
        <v/>
      </c>
      <c r="O2955" s="13">
        <f>IF($C2955="","",IFERROR(MATCH($C2955,'Menu Pricing'!$B$7:$B$56,0),""))</f>
        <v/>
      </c>
    </row>
    <row r="2956" ht="17" customHeight="1">
      <c r="B2956" s="66" t="n"/>
      <c r="C2956" s="60" t="n"/>
      <c r="D2956" s="86" t="n"/>
      <c r="E2956" s="63" t="n"/>
      <c r="F2956" s="60" t="n"/>
      <c r="G2956" s="60" t="n"/>
      <c r="H2956" s="71">
        <f>IF(OR($C2956="",$D2956=""),"",IF(ISNUMBER($E2956),$E2956,IF($O2956="","",IF(N(INDEX('Menu Pricing'!$O$7:$O$56,$O2956))&gt;0,INDEX('Menu Pricing'!$O$7:$O$56,$O2956),""))))</f>
        <v/>
      </c>
      <c r="I2956" s="71">
        <f>IF($N2956&lt;&gt;"OK","",$D2956*$H2956)</f>
        <v/>
      </c>
      <c r="J2956" s="71">
        <f>IF($N2956&lt;&gt;"OK","",N(INDEX('Menu Pricing'!$F$7:$F$56,$O2956))+N(INDEX('Menu Pricing'!$G$7:$G$56,$O2956))+N(INDEX('Menu Pricing'!$J$7:$J$56,$O2956)))</f>
        <v/>
      </c>
      <c r="K2956" s="71">
        <f>IF($N2956&lt;&gt;"OK","",$D2956*$J2956)</f>
        <v/>
      </c>
      <c r="L2956" s="71">
        <f>IF($N2956&lt;&gt;"OK","",$I2956-$K2956)</f>
        <v/>
      </c>
      <c r="M2956" s="71">
        <f>IF($N2956&lt;&gt;"OK","",$D2956*N(INDEX('Menu Pricing'!$F$7:$F$56,$O2956)))</f>
        <v/>
      </c>
      <c r="N2956" s="80">
        <f>IF(AND($B2956="",$C2956="",$D2956=""),"",IF(NOT(ISNUMBER($B2956)),"Enter a valid date",IF($C2956="","Pick a menu item",IF($O2956="","Item not on Menu Pricing",IF(N($D2956)&lt;=0,"Qty must be above 0",IF($H2956="","No price on menu","OK"))))))</f>
        <v/>
      </c>
      <c r="O2956" s="13">
        <f>IF($C2956="","",IFERROR(MATCH($C2956,'Menu Pricing'!$B$7:$B$56,0),""))</f>
        <v/>
      </c>
    </row>
    <row r="2957" ht="17" customHeight="1">
      <c r="B2957" s="66" t="n"/>
      <c r="C2957" s="60" t="n"/>
      <c r="D2957" s="86" t="n"/>
      <c r="E2957" s="63" t="n"/>
      <c r="F2957" s="60" t="n"/>
      <c r="G2957" s="60" t="n"/>
      <c r="H2957" s="71">
        <f>IF(OR($C2957="",$D2957=""),"",IF(ISNUMBER($E2957),$E2957,IF($O2957="","",IF(N(INDEX('Menu Pricing'!$O$7:$O$56,$O2957))&gt;0,INDEX('Menu Pricing'!$O$7:$O$56,$O2957),""))))</f>
        <v/>
      </c>
      <c r="I2957" s="71">
        <f>IF($N2957&lt;&gt;"OK","",$D2957*$H2957)</f>
        <v/>
      </c>
      <c r="J2957" s="71">
        <f>IF($N2957&lt;&gt;"OK","",N(INDEX('Menu Pricing'!$F$7:$F$56,$O2957))+N(INDEX('Menu Pricing'!$G$7:$G$56,$O2957))+N(INDEX('Menu Pricing'!$J$7:$J$56,$O2957)))</f>
        <v/>
      </c>
      <c r="K2957" s="71">
        <f>IF($N2957&lt;&gt;"OK","",$D2957*$J2957)</f>
        <v/>
      </c>
      <c r="L2957" s="71">
        <f>IF($N2957&lt;&gt;"OK","",$I2957-$K2957)</f>
        <v/>
      </c>
      <c r="M2957" s="71">
        <f>IF($N2957&lt;&gt;"OK","",$D2957*N(INDEX('Menu Pricing'!$F$7:$F$56,$O2957)))</f>
        <v/>
      </c>
      <c r="N2957" s="80">
        <f>IF(AND($B2957="",$C2957="",$D2957=""),"",IF(NOT(ISNUMBER($B2957)),"Enter a valid date",IF($C2957="","Pick a menu item",IF($O2957="","Item not on Menu Pricing",IF(N($D2957)&lt;=0,"Qty must be above 0",IF($H2957="","No price on menu","OK"))))))</f>
        <v/>
      </c>
      <c r="O2957" s="13">
        <f>IF($C2957="","",IFERROR(MATCH($C2957,'Menu Pricing'!$B$7:$B$56,0),""))</f>
        <v/>
      </c>
    </row>
    <row r="2958" ht="17" customHeight="1">
      <c r="B2958" s="66" t="n"/>
      <c r="C2958" s="60" t="n"/>
      <c r="D2958" s="86" t="n"/>
      <c r="E2958" s="63" t="n"/>
      <c r="F2958" s="60" t="n"/>
      <c r="G2958" s="60" t="n"/>
      <c r="H2958" s="71">
        <f>IF(OR($C2958="",$D2958=""),"",IF(ISNUMBER($E2958),$E2958,IF($O2958="","",IF(N(INDEX('Menu Pricing'!$O$7:$O$56,$O2958))&gt;0,INDEX('Menu Pricing'!$O$7:$O$56,$O2958),""))))</f>
        <v/>
      </c>
      <c r="I2958" s="71">
        <f>IF($N2958&lt;&gt;"OK","",$D2958*$H2958)</f>
        <v/>
      </c>
      <c r="J2958" s="71">
        <f>IF($N2958&lt;&gt;"OK","",N(INDEX('Menu Pricing'!$F$7:$F$56,$O2958))+N(INDEX('Menu Pricing'!$G$7:$G$56,$O2958))+N(INDEX('Menu Pricing'!$J$7:$J$56,$O2958)))</f>
        <v/>
      </c>
      <c r="K2958" s="71">
        <f>IF($N2958&lt;&gt;"OK","",$D2958*$J2958)</f>
        <v/>
      </c>
      <c r="L2958" s="71">
        <f>IF($N2958&lt;&gt;"OK","",$I2958-$K2958)</f>
        <v/>
      </c>
      <c r="M2958" s="71">
        <f>IF($N2958&lt;&gt;"OK","",$D2958*N(INDEX('Menu Pricing'!$F$7:$F$56,$O2958)))</f>
        <v/>
      </c>
      <c r="N2958" s="80">
        <f>IF(AND($B2958="",$C2958="",$D2958=""),"",IF(NOT(ISNUMBER($B2958)),"Enter a valid date",IF($C2958="","Pick a menu item",IF($O2958="","Item not on Menu Pricing",IF(N($D2958)&lt;=0,"Qty must be above 0",IF($H2958="","No price on menu","OK"))))))</f>
        <v/>
      </c>
      <c r="O2958" s="13">
        <f>IF($C2958="","",IFERROR(MATCH($C2958,'Menu Pricing'!$B$7:$B$56,0),""))</f>
        <v/>
      </c>
    </row>
    <row r="2959" ht="17" customHeight="1">
      <c r="B2959" s="66" t="n"/>
      <c r="C2959" s="60" t="n"/>
      <c r="D2959" s="86" t="n"/>
      <c r="E2959" s="63" t="n"/>
      <c r="F2959" s="60" t="n"/>
      <c r="G2959" s="60" t="n"/>
      <c r="H2959" s="71">
        <f>IF(OR($C2959="",$D2959=""),"",IF(ISNUMBER($E2959),$E2959,IF($O2959="","",IF(N(INDEX('Menu Pricing'!$O$7:$O$56,$O2959))&gt;0,INDEX('Menu Pricing'!$O$7:$O$56,$O2959),""))))</f>
        <v/>
      </c>
      <c r="I2959" s="71">
        <f>IF($N2959&lt;&gt;"OK","",$D2959*$H2959)</f>
        <v/>
      </c>
      <c r="J2959" s="71">
        <f>IF($N2959&lt;&gt;"OK","",N(INDEX('Menu Pricing'!$F$7:$F$56,$O2959))+N(INDEX('Menu Pricing'!$G$7:$G$56,$O2959))+N(INDEX('Menu Pricing'!$J$7:$J$56,$O2959)))</f>
        <v/>
      </c>
      <c r="K2959" s="71">
        <f>IF($N2959&lt;&gt;"OK","",$D2959*$J2959)</f>
        <v/>
      </c>
      <c r="L2959" s="71">
        <f>IF($N2959&lt;&gt;"OK","",$I2959-$K2959)</f>
        <v/>
      </c>
      <c r="M2959" s="71">
        <f>IF($N2959&lt;&gt;"OK","",$D2959*N(INDEX('Menu Pricing'!$F$7:$F$56,$O2959)))</f>
        <v/>
      </c>
      <c r="N2959" s="80">
        <f>IF(AND($B2959="",$C2959="",$D2959=""),"",IF(NOT(ISNUMBER($B2959)),"Enter a valid date",IF($C2959="","Pick a menu item",IF($O2959="","Item not on Menu Pricing",IF(N($D2959)&lt;=0,"Qty must be above 0",IF($H2959="","No price on menu","OK"))))))</f>
        <v/>
      </c>
      <c r="O2959" s="13">
        <f>IF($C2959="","",IFERROR(MATCH($C2959,'Menu Pricing'!$B$7:$B$56,0),""))</f>
        <v/>
      </c>
    </row>
    <row r="2960" ht="17" customHeight="1">
      <c r="B2960" s="66" t="n"/>
      <c r="C2960" s="60" t="n"/>
      <c r="D2960" s="86" t="n"/>
      <c r="E2960" s="63" t="n"/>
      <c r="F2960" s="60" t="n"/>
      <c r="G2960" s="60" t="n"/>
      <c r="H2960" s="71">
        <f>IF(OR($C2960="",$D2960=""),"",IF(ISNUMBER($E2960),$E2960,IF($O2960="","",IF(N(INDEX('Menu Pricing'!$O$7:$O$56,$O2960))&gt;0,INDEX('Menu Pricing'!$O$7:$O$56,$O2960),""))))</f>
        <v/>
      </c>
      <c r="I2960" s="71">
        <f>IF($N2960&lt;&gt;"OK","",$D2960*$H2960)</f>
        <v/>
      </c>
      <c r="J2960" s="71">
        <f>IF($N2960&lt;&gt;"OK","",N(INDEX('Menu Pricing'!$F$7:$F$56,$O2960))+N(INDEX('Menu Pricing'!$G$7:$G$56,$O2960))+N(INDEX('Menu Pricing'!$J$7:$J$56,$O2960)))</f>
        <v/>
      </c>
      <c r="K2960" s="71">
        <f>IF($N2960&lt;&gt;"OK","",$D2960*$J2960)</f>
        <v/>
      </c>
      <c r="L2960" s="71">
        <f>IF($N2960&lt;&gt;"OK","",$I2960-$K2960)</f>
        <v/>
      </c>
      <c r="M2960" s="71">
        <f>IF($N2960&lt;&gt;"OK","",$D2960*N(INDEX('Menu Pricing'!$F$7:$F$56,$O2960)))</f>
        <v/>
      </c>
      <c r="N2960" s="80">
        <f>IF(AND($B2960="",$C2960="",$D2960=""),"",IF(NOT(ISNUMBER($B2960)),"Enter a valid date",IF($C2960="","Pick a menu item",IF($O2960="","Item not on Menu Pricing",IF(N($D2960)&lt;=0,"Qty must be above 0",IF($H2960="","No price on menu","OK"))))))</f>
        <v/>
      </c>
      <c r="O2960" s="13">
        <f>IF($C2960="","",IFERROR(MATCH($C2960,'Menu Pricing'!$B$7:$B$56,0),""))</f>
        <v/>
      </c>
    </row>
    <row r="2961" ht="17" customHeight="1">
      <c r="B2961" s="66" t="n"/>
      <c r="C2961" s="60" t="n"/>
      <c r="D2961" s="86" t="n"/>
      <c r="E2961" s="63" t="n"/>
      <c r="F2961" s="60" t="n"/>
      <c r="G2961" s="60" t="n"/>
      <c r="H2961" s="71">
        <f>IF(OR($C2961="",$D2961=""),"",IF(ISNUMBER($E2961),$E2961,IF($O2961="","",IF(N(INDEX('Menu Pricing'!$O$7:$O$56,$O2961))&gt;0,INDEX('Menu Pricing'!$O$7:$O$56,$O2961),""))))</f>
        <v/>
      </c>
      <c r="I2961" s="71">
        <f>IF($N2961&lt;&gt;"OK","",$D2961*$H2961)</f>
        <v/>
      </c>
      <c r="J2961" s="71">
        <f>IF($N2961&lt;&gt;"OK","",N(INDEX('Menu Pricing'!$F$7:$F$56,$O2961))+N(INDEX('Menu Pricing'!$G$7:$G$56,$O2961))+N(INDEX('Menu Pricing'!$J$7:$J$56,$O2961)))</f>
        <v/>
      </c>
      <c r="K2961" s="71">
        <f>IF($N2961&lt;&gt;"OK","",$D2961*$J2961)</f>
        <v/>
      </c>
      <c r="L2961" s="71">
        <f>IF($N2961&lt;&gt;"OK","",$I2961-$K2961)</f>
        <v/>
      </c>
      <c r="M2961" s="71">
        <f>IF($N2961&lt;&gt;"OK","",$D2961*N(INDEX('Menu Pricing'!$F$7:$F$56,$O2961)))</f>
        <v/>
      </c>
      <c r="N2961" s="80">
        <f>IF(AND($B2961="",$C2961="",$D2961=""),"",IF(NOT(ISNUMBER($B2961)),"Enter a valid date",IF($C2961="","Pick a menu item",IF($O2961="","Item not on Menu Pricing",IF(N($D2961)&lt;=0,"Qty must be above 0",IF($H2961="","No price on menu","OK"))))))</f>
        <v/>
      </c>
      <c r="O2961" s="13">
        <f>IF($C2961="","",IFERROR(MATCH($C2961,'Menu Pricing'!$B$7:$B$56,0),""))</f>
        <v/>
      </c>
    </row>
    <row r="2962" ht="17" customHeight="1">
      <c r="B2962" s="66" t="n"/>
      <c r="C2962" s="60" t="n"/>
      <c r="D2962" s="86" t="n"/>
      <c r="E2962" s="63" t="n"/>
      <c r="F2962" s="60" t="n"/>
      <c r="G2962" s="60" t="n"/>
      <c r="H2962" s="71">
        <f>IF(OR($C2962="",$D2962=""),"",IF(ISNUMBER($E2962),$E2962,IF($O2962="","",IF(N(INDEX('Menu Pricing'!$O$7:$O$56,$O2962))&gt;0,INDEX('Menu Pricing'!$O$7:$O$56,$O2962),""))))</f>
        <v/>
      </c>
      <c r="I2962" s="71">
        <f>IF($N2962&lt;&gt;"OK","",$D2962*$H2962)</f>
        <v/>
      </c>
      <c r="J2962" s="71">
        <f>IF($N2962&lt;&gt;"OK","",N(INDEX('Menu Pricing'!$F$7:$F$56,$O2962))+N(INDEX('Menu Pricing'!$G$7:$G$56,$O2962))+N(INDEX('Menu Pricing'!$J$7:$J$56,$O2962)))</f>
        <v/>
      </c>
      <c r="K2962" s="71">
        <f>IF($N2962&lt;&gt;"OK","",$D2962*$J2962)</f>
        <v/>
      </c>
      <c r="L2962" s="71">
        <f>IF($N2962&lt;&gt;"OK","",$I2962-$K2962)</f>
        <v/>
      </c>
      <c r="M2962" s="71">
        <f>IF($N2962&lt;&gt;"OK","",$D2962*N(INDEX('Menu Pricing'!$F$7:$F$56,$O2962)))</f>
        <v/>
      </c>
      <c r="N2962" s="80">
        <f>IF(AND($B2962="",$C2962="",$D2962=""),"",IF(NOT(ISNUMBER($B2962)),"Enter a valid date",IF($C2962="","Pick a menu item",IF($O2962="","Item not on Menu Pricing",IF(N($D2962)&lt;=0,"Qty must be above 0",IF($H2962="","No price on menu","OK"))))))</f>
        <v/>
      </c>
      <c r="O2962" s="13">
        <f>IF($C2962="","",IFERROR(MATCH($C2962,'Menu Pricing'!$B$7:$B$56,0),""))</f>
        <v/>
      </c>
    </row>
    <row r="2963" ht="17" customHeight="1">
      <c r="B2963" s="66" t="n"/>
      <c r="C2963" s="60" t="n"/>
      <c r="D2963" s="86" t="n"/>
      <c r="E2963" s="63" t="n"/>
      <c r="F2963" s="60" t="n"/>
      <c r="G2963" s="60" t="n"/>
      <c r="H2963" s="71">
        <f>IF(OR($C2963="",$D2963=""),"",IF(ISNUMBER($E2963),$E2963,IF($O2963="","",IF(N(INDEX('Menu Pricing'!$O$7:$O$56,$O2963))&gt;0,INDEX('Menu Pricing'!$O$7:$O$56,$O2963),""))))</f>
        <v/>
      </c>
      <c r="I2963" s="71">
        <f>IF($N2963&lt;&gt;"OK","",$D2963*$H2963)</f>
        <v/>
      </c>
      <c r="J2963" s="71">
        <f>IF($N2963&lt;&gt;"OK","",N(INDEX('Menu Pricing'!$F$7:$F$56,$O2963))+N(INDEX('Menu Pricing'!$G$7:$G$56,$O2963))+N(INDEX('Menu Pricing'!$J$7:$J$56,$O2963)))</f>
        <v/>
      </c>
      <c r="K2963" s="71">
        <f>IF($N2963&lt;&gt;"OK","",$D2963*$J2963)</f>
        <v/>
      </c>
      <c r="L2963" s="71">
        <f>IF($N2963&lt;&gt;"OK","",$I2963-$K2963)</f>
        <v/>
      </c>
      <c r="M2963" s="71">
        <f>IF($N2963&lt;&gt;"OK","",$D2963*N(INDEX('Menu Pricing'!$F$7:$F$56,$O2963)))</f>
        <v/>
      </c>
      <c r="N2963" s="80">
        <f>IF(AND($B2963="",$C2963="",$D2963=""),"",IF(NOT(ISNUMBER($B2963)),"Enter a valid date",IF($C2963="","Pick a menu item",IF($O2963="","Item not on Menu Pricing",IF(N($D2963)&lt;=0,"Qty must be above 0",IF($H2963="","No price on menu","OK"))))))</f>
        <v/>
      </c>
      <c r="O2963" s="13">
        <f>IF($C2963="","",IFERROR(MATCH($C2963,'Menu Pricing'!$B$7:$B$56,0),""))</f>
        <v/>
      </c>
    </row>
    <row r="2964" ht="17" customHeight="1">
      <c r="B2964" s="66" t="n"/>
      <c r="C2964" s="60" t="n"/>
      <c r="D2964" s="86" t="n"/>
      <c r="E2964" s="63" t="n"/>
      <c r="F2964" s="60" t="n"/>
      <c r="G2964" s="60" t="n"/>
      <c r="H2964" s="71">
        <f>IF(OR($C2964="",$D2964=""),"",IF(ISNUMBER($E2964),$E2964,IF($O2964="","",IF(N(INDEX('Menu Pricing'!$O$7:$O$56,$O2964))&gt;0,INDEX('Menu Pricing'!$O$7:$O$56,$O2964),""))))</f>
        <v/>
      </c>
      <c r="I2964" s="71">
        <f>IF($N2964&lt;&gt;"OK","",$D2964*$H2964)</f>
        <v/>
      </c>
      <c r="J2964" s="71">
        <f>IF($N2964&lt;&gt;"OK","",N(INDEX('Menu Pricing'!$F$7:$F$56,$O2964))+N(INDEX('Menu Pricing'!$G$7:$G$56,$O2964))+N(INDEX('Menu Pricing'!$J$7:$J$56,$O2964)))</f>
        <v/>
      </c>
      <c r="K2964" s="71">
        <f>IF($N2964&lt;&gt;"OK","",$D2964*$J2964)</f>
        <v/>
      </c>
      <c r="L2964" s="71">
        <f>IF($N2964&lt;&gt;"OK","",$I2964-$K2964)</f>
        <v/>
      </c>
      <c r="M2964" s="71">
        <f>IF($N2964&lt;&gt;"OK","",$D2964*N(INDEX('Menu Pricing'!$F$7:$F$56,$O2964)))</f>
        <v/>
      </c>
      <c r="N2964" s="80">
        <f>IF(AND($B2964="",$C2964="",$D2964=""),"",IF(NOT(ISNUMBER($B2964)),"Enter a valid date",IF($C2964="","Pick a menu item",IF($O2964="","Item not on Menu Pricing",IF(N($D2964)&lt;=0,"Qty must be above 0",IF($H2964="","No price on menu","OK"))))))</f>
        <v/>
      </c>
      <c r="O2964" s="13">
        <f>IF($C2964="","",IFERROR(MATCH($C2964,'Menu Pricing'!$B$7:$B$56,0),""))</f>
        <v/>
      </c>
    </row>
    <row r="2965" ht="17" customHeight="1">
      <c r="B2965" s="66" t="n"/>
      <c r="C2965" s="60" t="n"/>
      <c r="D2965" s="86" t="n"/>
      <c r="E2965" s="63" t="n"/>
      <c r="F2965" s="60" t="n"/>
      <c r="G2965" s="60" t="n"/>
      <c r="H2965" s="71">
        <f>IF(OR($C2965="",$D2965=""),"",IF(ISNUMBER($E2965),$E2965,IF($O2965="","",IF(N(INDEX('Menu Pricing'!$O$7:$O$56,$O2965))&gt;0,INDEX('Menu Pricing'!$O$7:$O$56,$O2965),""))))</f>
        <v/>
      </c>
      <c r="I2965" s="71">
        <f>IF($N2965&lt;&gt;"OK","",$D2965*$H2965)</f>
        <v/>
      </c>
      <c r="J2965" s="71">
        <f>IF($N2965&lt;&gt;"OK","",N(INDEX('Menu Pricing'!$F$7:$F$56,$O2965))+N(INDEX('Menu Pricing'!$G$7:$G$56,$O2965))+N(INDEX('Menu Pricing'!$J$7:$J$56,$O2965)))</f>
        <v/>
      </c>
      <c r="K2965" s="71">
        <f>IF($N2965&lt;&gt;"OK","",$D2965*$J2965)</f>
        <v/>
      </c>
      <c r="L2965" s="71">
        <f>IF($N2965&lt;&gt;"OK","",$I2965-$K2965)</f>
        <v/>
      </c>
      <c r="M2965" s="71">
        <f>IF($N2965&lt;&gt;"OK","",$D2965*N(INDEX('Menu Pricing'!$F$7:$F$56,$O2965)))</f>
        <v/>
      </c>
      <c r="N2965" s="80">
        <f>IF(AND($B2965="",$C2965="",$D2965=""),"",IF(NOT(ISNUMBER($B2965)),"Enter a valid date",IF($C2965="","Pick a menu item",IF($O2965="","Item not on Menu Pricing",IF(N($D2965)&lt;=0,"Qty must be above 0",IF($H2965="","No price on menu","OK"))))))</f>
        <v/>
      </c>
      <c r="O2965" s="13">
        <f>IF($C2965="","",IFERROR(MATCH($C2965,'Menu Pricing'!$B$7:$B$56,0),""))</f>
        <v/>
      </c>
    </row>
    <row r="2966" ht="17" customHeight="1">
      <c r="B2966" s="66" t="n"/>
      <c r="C2966" s="60" t="n"/>
      <c r="D2966" s="86" t="n"/>
      <c r="E2966" s="63" t="n"/>
      <c r="F2966" s="60" t="n"/>
      <c r="G2966" s="60" t="n"/>
      <c r="H2966" s="71">
        <f>IF(OR($C2966="",$D2966=""),"",IF(ISNUMBER($E2966),$E2966,IF($O2966="","",IF(N(INDEX('Menu Pricing'!$O$7:$O$56,$O2966))&gt;0,INDEX('Menu Pricing'!$O$7:$O$56,$O2966),""))))</f>
        <v/>
      </c>
      <c r="I2966" s="71">
        <f>IF($N2966&lt;&gt;"OK","",$D2966*$H2966)</f>
        <v/>
      </c>
      <c r="J2966" s="71">
        <f>IF($N2966&lt;&gt;"OK","",N(INDEX('Menu Pricing'!$F$7:$F$56,$O2966))+N(INDEX('Menu Pricing'!$G$7:$G$56,$O2966))+N(INDEX('Menu Pricing'!$J$7:$J$56,$O2966)))</f>
        <v/>
      </c>
      <c r="K2966" s="71">
        <f>IF($N2966&lt;&gt;"OK","",$D2966*$J2966)</f>
        <v/>
      </c>
      <c r="L2966" s="71">
        <f>IF($N2966&lt;&gt;"OK","",$I2966-$K2966)</f>
        <v/>
      </c>
      <c r="M2966" s="71">
        <f>IF($N2966&lt;&gt;"OK","",$D2966*N(INDEX('Menu Pricing'!$F$7:$F$56,$O2966)))</f>
        <v/>
      </c>
      <c r="N2966" s="80">
        <f>IF(AND($B2966="",$C2966="",$D2966=""),"",IF(NOT(ISNUMBER($B2966)),"Enter a valid date",IF($C2966="","Pick a menu item",IF($O2966="","Item not on Menu Pricing",IF(N($D2966)&lt;=0,"Qty must be above 0",IF($H2966="","No price on menu","OK"))))))</f>
        <v/>
      </c>
      <c r="O2966" s="13">
        <f>IF($C2966="","",IFERROR(MATCH($C2966,'Menu Pricing'!$B$7:$B$56,0),""))</f>
        <v/>
      </c>
    </row>
    <row r="2967" ht="17" customHeight="1">
      <c r="B2967" s="66" t="n"/>
      <c r="C2967" s="60" t="n"/>
      <c r="D2967" s="86" t="n"/>
      <c r="E2967" s="63" t="n"/>
      <c r="F2967" s="60" t="n"/>
      <c r="G2967" s="60" t="n"/>
      <c r="H2967" s="71">
        <f>IF(OR($C2967="",$D2967=""),"",IF(ISNUMBER($E2967),$E2967,IF($O2967="","",IF(N(INDEX('Menu Pricing'!$O$7:$O$56,$O2967))&gt;0,INDEX('Menu Pricing'!$O$7:$O$56,$O2967),""))))</f>
        <v/>
      </c>
      <c r="I2967" s="71">
        <f>IF($N2967&lt;&gt;"OK","",$D2967*$H2967)</f>
        <v/>
      </c>
      <c r="J2967" s="71">
        <f>IF($N2967&lt;&gt;"OK","",N(INDEX('Menu Pricing'!$F$7:$F$56,$O2967))+N(INDEX('Menu Pricing'!$G$7:$G$56,$O2967))+N(INDEX('Menu Pricing'!$J$7:$J$56,$O2967)))</f>
        <v/>
      </c>
      <c r="K2967" s="71">
        <f>IF($N2967&lt;&gt;"OK","",$D2967*$J2967)</f>
        <v/>
      </c>
      <c r="L2967" s="71">
        <f>IF($N2967&lt;&gt;"OK","",$I2967-$K2967)</f>
        <v/>
      </c>
      <c r="M2967" s="71">
        <f>IF($N2967&lt;&gt;"OK","",$D2967*N(INDEX('Menu Pricing'!$F$7:$F$56,$O2967)))</f>
        <v/>
      </c>
      <c r="N2967" s="80">
        <f>IF(AND($B2967="",$C2967="",$D2967=""),"",IF(NOT(ISNUMBER($B2967)),"Enter a valid date",IF($C2967="","Pick a menu item",IF($O2967="","Item not on Menu Pricing",IF(N($D2967)&lt;=0,"Qty must be above 0",IF($H2967="","No price on menu","OK"))))))</f>
        <v/>
      </c>
      <c r="O2967" s="13">
        <f>IF($C2967="","",IFERROR(MATCH($C2967,'Menu Pricing'!$B$7:$B$56,0),""))</f>
        <v/>
      </c>
    </row>
    <row r="2968" ht="17" customHeight="1">
      <c r="B2968" s="66" t="n"/>
      <c r="C2968" s="60" t="n"/>
      <c r="D2968" s="86" t="n"/>
      <c r="E2968" s="63" t="n"/>
      <c r="F2968" s="60" t="n"/>
      <c r="G2968" s="60" t="n"/>
      <c r="H2968" s="71">
        <f>IF(OR($C2968="",$D2968=""),"",IF(ISNUMBER($E2968),$E2968,IF($O2968="","",IF(N(INDEX('Menu Pricing'!$O$7:$O$56,$O2968))&gt;0,INDEX('Menu Pricing'!$O$7:$O$56,$O2968),""))))</f>
        <v/>
      </c>
      <c r="I2968" s="71">
        <f>IF($N2968&lt;&gt;"OK","",$D2968*$H2968)</f>
        <v/>
      </c>
      <c r="J2968" s="71">
        <f>IF($N2968&lt;&gt;"OK","",N(INDEX('Menu Pricing'!$F$7:$F$56,$O2968))+N(INDEX('Menu Pricing'!$G$7:$G$56,$O2968))+N(INDEX('Menu Pricing'!$J$7:$J$56,$O2968)))</f>
        <v/>
      </c>
      <c r="K2968" s="71">
        <f>IF($N2968&lt;&gt;"OK","",$D2968*$J2968)</f>
        <v/>
      </c>
      <c r="L2968" s="71">
        <f>IF($N2968&lt;&gt;"OK","",$I2968-$K2968)</f>
        <v/>
      </c>
      <c r="M2968" s="71">
        <f>IF($N2968&lt;&gt;"OK","",$D2968*N(INDEX('Menu Pricing'!$F$7:$F$56,$O2968)))</f>
        <v/>
      </c>
      <c r="N2968" s="80">
        <f>IF(AND($B2968="",$C2968="",$D2968=""),"",IF(NOT(ISNUMBER($B2968)),"Enter a valid date",IF($C2968="","Pick a menu item",IF($O2968="","Item not on Menu Pricing",IF(N($D2968)&lt;=0,"Qty must be above 0",IF($H2968="","No price on menu","OK"))))))</f>
        <v/>
      </c>
      <c r="O2968" s="13">
        <f>IF($C2968="","",IFERROR(MATCH($C2968,'Menu Pricing'!$B$7:$B$56,0),""))</f>
        <v/>
      </c>
    </row>
    <row r="2969" ht="17" customHeight="1">
      <c r="B2969" s="66" t="n"/>
      <c r="C2969" s="60" t="n"/>
      <c r="D2969" s="86" t="n"/>
      <c r="E2969" s="63" t="n"/>
      <c r="F2969" s="60" t="n"/>
      <c r="G2969" s="60" t="n"/>
      <c r="H2969" s="71">
        <f>IF(OR($C2969="",$D2969=""),"",IF(ISNUMBER($E2969),$E2969,IF($O2969="","",IF(N(INDEX('Menu Pricing'!$O$7:$O$56,$O2969))&gt;0,INDEX('Menu Pricing'!$O$7:$O$56,$O2969),""))))</f>
        <v/>
      </c>
      <c r="I2969" s="71">
        <f>IF($N2969&lt;&gt;"OK","",$D2969*$H2969)</f>
        <v/>
      </c>
      <c r="J2969" s="71">
        <f>IF($N2969&lt;&gt;"OK","",N(INDEX('Menu Pricing'!$F$7:$F$56,$O2969))+N(INDEX('Menu Pricing'!$G$7:$G$56,$O2969))+N(INDEX('Menu Pricing'!$J$7:$J$56,$O2969)))</f>
        <v/>
      </c>
      <c r="K2969" s="71">
        <f>IF($N2969&lt;&gt;"OK","",$D2969*$J2969)</f>
        <v/>
      </c>
      <c r="L2969" s="71">
        <f>IF($N2969&lt;&gt;"OK","",$I2969-$K2969)</f>
        <v/>
      </c>
      <c r="M2969" s="71">
        <f>IF($N2969&lt;&gt;"OK","",$D2969*N(INDEX('Menu Pricing'!$F$7:$F$56,$O2969)))</f>
        <v/>
      </c>
      <c r="N2969" s="80">
        <f>IF(AND($B2969="",$C2969="",$D2969=""),"",IF(NOT(ISNUMBER($B2969)),"Enter a valid date",IF($C2969="","Pick a menu item",IF($O2969="","Item not on Menu Pricing",IF(N($D2969)&lt;=0,"Qty must be above 0",IF($H2969="","No price on menu","OK"))))))</f>
        <v/>
      </c>
      <c r="O2969" s="13">
        <f>IF($C2969="","",IFERROR(MATCH($C2969,'Menu Pricing'!$B$7:$B$56,0),""))</f>
        <v/>
      </c>
    </row>
    <row r="2970" ht="17" customHeight="1">
      <c r="B2970" s="66" t="n"/>
      <c r="C2970" s="60" t="n"/>
      <c r="D2970" s="86" t="n"/>
      <c r="E2970" s="63" t="n"/>
      <c r="F2970" s="60" t="n"/>
      <c r="G2970" s="60" t="n"/>
      <c r="H2970" s="71">
        <f>IF(OR($C2970="",$D2970=""),"",IF(ISNUMBER($E2970),$E2970,IF($O2970="","",IF(N(INDEX('Menu Pricing'!$O$7:$O$56,$O2970))&gt;0,INDEX('Menu Pricing'!$O$7:$O$56,$O2970),""))))</f>
        <v/>
      </c>
      <c r="I2970" s="71">
        <f>IF($N2970&lt;&gt;"OK","",$D2970*$H2970)</f>
        <v/>
      </c>
      <c r="J2970" s="71">
        <f>IF($N2970&lt;&gt;"OK","",N(INDEX('Menu Pricing'!$F$7:$F$56,$O2970))+N(INDEX('Menu Pricing'!$G$7:$G$56,$O2970))+N(INDEX('Menu Pricing'!$J$7:$J$56,$O2970)))</f>
        <v/>
      </c>
      <c r="K2970" s="71">
        <f>IF($N2970&lt;&gt;"OK","",$D2970*$J2970)</f>
        <v/>
      </c>
      <c r="L2970" s="71">
        <f>IF($N2970&lt;&gt;"OK","",$I2970-$K2970)</f>
        <v/>
      </c>
      <c r="M2970" s="71">
        <f>IF($N2970&lt;&gt;"OK","",$D2970*N(INDEX('Menu Pricing'!$F$7:$F$56,$O2970)))</f>
        <v/>
      </c>
      <c r="N2970" s="80">
        <f>IF(AND($B2970="",$C2970="",$D2970=""),"",IF(NOT(ISNUMBER($B2970)),"Enter a valid date",IF($C2970="","Pick a menu item",IF($O2970="","Item not on Menu Pricing",IF(N($D2970)&lt;=0,"Qty must be above 0",IF($H2970="","No price on menu","OK"))))))</f>
        <v/>
      </c>
      <c r="O2970" s="13">
        <f>IF($C2970="","",IFERROR(MATCH($C2970,'Menu Pricing'!$B$7:$B$56,0),""))</f>
        <v/>
      </c>
    </row>
    <row r="2971" ht="17" customHeight="1">
      <c r="B2971" s="66" t="n"/>
      <c r="C2971" s="60" t="n"/>
      <c r="D2971" s="86" t="n"/>
      <c r="E2971" s="63" t="n"/>
      <c r="F2971" s="60" t="n"/>
      <c r="G2971" s="60" t="n"/>
      <c r="H2971" s="71">
        <f>IF(OR($C2971="",$D2971=""),"",IF(ISNUMBER($E2971),$E2971,IF($O2971="","",IF(N(INDEX('Menu Pricing'!$O$7:$O$56,$O2971))&gt;0,INDEX('Menu Pricing'!$O$7:$O$56,$O2971),""))))</f>
        <v/>
      </c>
      <c r="I2971" s="71">
        <f>IF($N2971&lt;&gt;"OK","",$D2971*$H2971)</f>
        <v/>
      </c>
      <c r="J2971" s="71">
        <f>IF($N2971&lt;&gt;"OK","",N(INDEX('Menu Pricing'!$F$7:$F$56,$O2971))+N(INDEX('Menu Pricing'!$G$7:$G$56,$O2971))+N(INDEX('Menu Pricing'!$J$7:$J$56,$O2971)))</f>
        <v/>
      </c>
      <c r="K2971" s="71">
        <f>IF($N2971&lt;&gt;"OK","",$D2971*$J2971)</f>
        <v/>
      </c>
      <c r="L2971" s="71">
        <f>IF($N2971&lt;&gt;"OK","",$I2971-$K2971)</f>
        <v/>
      </c>
      <c r="M2971" s="71">
        <f>IF($N2971&lt;&gt;"OK","",$D2971*N(INDEX('Menu Pricing'!$F$7:$F$56,$O2971)))</f>
        <v/>
      </c>
      <c r="N2971" s="80">
        <f>IF(AND($B2971="",$C2971="",$D2971=""),"",IF(NOT(ISNUMBER($B2971)),"Enter a valid date",IF($C2971="","Pick a menu item",IF($O2971="","Item not on Menu Pricing",IF(N($D2971)&lt;=0,"Qty must be above 0",IF($H2971="","No price on menu","OK"))))))</f>
        <v/>
      </c>
      <c r="O2971" s="13">
        <f>IF($C2971="","",IFERROR(MATCH($C2971,'Menu Pricing'!$B$7:$B$56,0),""))</f>
        <v/>
      </c>
    </row>
    <row r="2972" ht="17" customHeight="1">
      <c r="B2972" s="66" t="n"/>
      <c r="C2972" s="60" t="n"/>
      <c r="D2972" s="86" t="n"/>
      <c r="E2972" s="63" t="n"/>
      <c r="F2972" s="60" t="n"/>
      <c r="G2972" s="60" t="n"/>
      <c r="H2972" s="71">
        <f>IF(OR($C2972="",$D2972=""),"",IF(ISNUMBER($E2972),$E2972,IF($O2972="","",IF(N(INDEX('Menu Pricing'!$O$7:$O$56,$O2972))&gt;0,INDEX('Menu Pricing'!$O$7:$O$56,$O2972),""))))</f>
        <v/>
      </c>
      <c r="I2972" s="71">
        <f>IF($N2972&lt;&gt;"OK","",$D2972*$H2972)</f>
        <v/>
      </c>
      <c r="J2972" s="71">
        <f>IF($N2972&lt;&gt;"OK","",N(INDEX('Menu Pricing'!$F$7:$F$56,$O2972))+N(INDEX('Menu Pricing'!$G$7:$G$56,$O2972))+N(INDEX('Menu Pricing'!$J$7:$J$56,$O2972)))</f>
        <v/>
      </c>
      <c r="K2972" s="71">
        <f>IF($N2972&lt;&gt;"OK","",$D2972*$J2972)</f>
        <v/>
      </c>
      <c r="L2972" s="71">
        <f>IF($N2972&lt;&gt;"OK","",$I2972-$K2972)</f>
        <v/>
      </c>
      <c r="M2972" s="71">
        <f>IF($N2972&lt;&gt;"OK","",$D2972*N(INDEX('Menu Pricing'!$F$7:$F$56,$O2972)))</f>
        <v/>
      </c>
      <c r="N2972" s="80">
        <f>IF(AND($B2972="",$C2972="",$D2972=""),"",IF(NOT(ISNUMBER($B2972)),"Enter a valid date",IF($C2972="","Pick a menu item",IF($O2972="","Item not on Menu Pricing",IF(N($D2972)&lt;=0,"Qty must be above 0",IF($H2972="","No price on menu","OK"))))))</f>
        <v/>
      </c>
      <c r="O2972" s="13">
        <f>IF($C2972="","",IFERROR(MATCH($C2972,'Menu Pricing'!$B$7:$B$56,0),""))</f>
        <v/>
      </c>
    </row>
    <row r="2973" ht="17" customHeight="1">
      <c r="B2973" s="66" t="n"/>
      <c r="C2973" s="60" t="n"/>
      <c r="D2973" s="86" t="n"/>
      <c r="E2973" s="63" t="n"/>
      <c r="F2973" s="60" t="n"/>
      <c r="G2973" s="60" t="n"/>
      <c r="H2973" s="71">
        <f>IF(OR($C2973="",$D2973=""),"",IF(ISNUMBER($E2973),$E2973,IF($O2973="","",IF(N(INDEX('Menu Pricing'!$O$7:$O$56,$O2973))&gt;0,INDEX('Menu Pricing'!$O$7:$O$56,$O2973),""))))</f>
        <v/>
      </c>
      <c r="I2973" s="71">
        <f>IF($N2973&lt;&gt;"OK","",$D2973*$H2973)</f>
        <v/>
      </c>
      <c r="J2973" s="71">
        <f>IF($N2973&lt;&gt;"OK","",N(INDEX('Menu Pricing'!$F$7:$F$56,$O2973))+N(INDEX('Menu Pricing'!$G$7:$G$56,$O2973))+N(INDEX('Menu Pricing'!$J$7:$J$56,$O2973)))</f>
        <v/>
      </c>
      <c r="K2973" s="71">
        <f>IF($N2973&lt;&gt;"OK","",$D2973*$J2973)</f>
        <v/>
      </c>
      <c r="L2973" s="71">
        <f>IF($N2973&lt;&gt;"OK","",$I2973-$K2973)</f>
        <v/>
      </c>
      <c r="M2973" s="71">
        <f>IF($N2973&lt;&gt;"OK","",$D2973*N(INDEX('Menu Pricing'!$F$7:$F$56,$O2973)))</f>
        <v/>
      </c>
      <c r="N2973" s="80">
        <f>IF(AND($B2973="",$C2973="",$D2973=""),"",IF(NOT(ISNUMBER($B2973)),"Enter a valid date",IF($C2973="","Pick a menu item",IF($O2973="","Item not on Menu Pricing",IF(N($D2973)&lt;=0,"Qty must be above 0",IF($H2973="","No price on menu","OK"))))))</f>
        <v/>
      </c>
      <c r="O2973" s="13">
        <f>IF($C2973="","",IFERROR(MATCH($C2973,'Menu Pricing'!$B$7:$B$56,0),""))</f>
        <v/>
      </c>
    </row>
    <row r="2974" ht="17" customHeight="1">
      <c r="B2974" s="66" t="n"/>
      <c r="C2974" s="60" t="n"/>
      <c r="D2974" s="86" t="n"/>
      <c r="E2974" s="63" t="n"/>
      <c r="F2974" s="60" t="n"/>
      <c r="G2974" s="60" t="n"/>
      <c r="H2974" s="71">
        <f>IF(OR($C2974="",$D2974=""),"",IF(ISNUMBER($E2974),$E2974,IF($O2974="","",IF(N(INDEX('Menu Pricing'!$O$7:$O$56,$O2974))&gt;0,INDEX('Menu Pricing'!$O$7:$O$56,$O2974),""))))</f>
        <v/>
      </c>
      <c r="I2974" s="71">
        <f>IF($N2974&lt;&gt;"OK","",$D2974*$H2974)</f>
        <v/>
      </c>
      <c r="J2974" s="71">
        <f>IF($N2974&lt;&gt;"OK","",N(INDEX('Menu Pricing'!$F$7:$F$56,$O2974))+N(INDEX('Menu Pricing'!$G$7:$G$56,$O2974))+N(INDEX('Menu Pricing'!$J$7:$J$56,$O2974)))</f>
        <v/>
      </c>
      <c r="K2974" s="71">
        <f>IF($N2974&lt;&gt;"OK","",$D2974*$J2974)</f>
        <v/>
      </c>
      <c r="L2974" s="71">
        <f>IF($N2974&lt;&gt;"OK","",$I2974-$K2974)</f>
        <v/>
      </c>
      <c r="M2974" s="71">
        <f>IF($N2974&lt;&gt;"OK","",$D2974*N(INDEX('Menu Pricing'!$F$7:$F$56,$O2974)))</f>
        <v/>
      </c>
      <c r="N2974" s="80">
        <f>IF(AND($B2974="",$C2974="",$D2974=""),"",IF(NOT(ISNUMBER($B2974)),"Enter a valid date",IF($C2974="","Pick a menu item",IF($O2974="","Item not on Menu Pricing",IF(N($D2974)&lt;=0,"Qty must be above 0",IF($H2974="","No price on menu","OK"))))))</f>
        <v/>
      </c>
      <c r="O2974" s="13">
        <f>IF($C2974="","",IFERROR(MATCH($C2974,'Menu Pricing'!$B$7:$B$56,0),""))</f>
        <v/>
      </c>
    </row>
    <row r="2975" ht="17" customHeight="1">
      <c r="B2975" s="66" t="n"/>
      <c r="C2975" s="60" t="n"/>
      <c r="D2975" s="86" t="n"/>
      <c r="E2975" s="63" t="n"/>
      <c r="F2975" s="60" t="n"/>
      <c r="G2975" s="60" t="n"/>
      <c r="H2975" s="71">
        <f>IF(OR($C2975="",$D2975=""),"",IF(ISNUMBER($E2975),$E2975,IF($O2975="","",IF(N(INDEX('Menu Pricing'!$O$7:$O$56,$O2975))&gt;0,INDEX('Menu Pricing'!$O$7:$O$56,$O2975),""))))</f>
        <v/>
      </c>
      <c r="I2975" s="71">
        <f>IF($N2975&lt;&gt;"OK","",$D2975*$H2975)</f>
        <v/>
      </c>
      <c r="J2975" s="71">
        <f>IF($N2975&lt;&gt;"OK","",N(INDEX('Menu Pricing'!$F$7:$F$56,$O2975))+N(INDEX('Menu Pricing'!$G$7:$G$56,$O2975))+N(INDEX('Menu Pricing'!$J$7:$J$56,$O2975)))</f>
        <v/>
      </c>
      <c r="K2975" s="71">
        <f>IF($N2975&lt;&gt;"OK","",$D2975*$J2975)</f>
        <v/>
      </c>
      <c r="L2975" s="71">
        <f>IF($N2975&lt;&gt;"OK","",$I2975-$K2975)</f>
        <v/>
      </c>
      <c r="M2975" s="71">
        <f>IF($N2975&lt;&gt;"OK","",$D2975*N(INDEX('Menu Pricing'!$F$7:$F$56,$O2975)))</f>
        <v/>
      </c>
      <c r="N2975" s="80">
        <f>IF(AND($B2975="",$C2975="",$D2975=""),"",IF(NOT(ISNUMBER($B2975)),"Enter a valid date",IF($C2975="","Pick a menu item",IF($O2975="","Item not on Menu Pricing",IF(N($D2975)&lt;=0,"Qty must be above 0",IF($H2975="","No price on menu","OK"))))))</f>
        <v/>
      </c>
      <c r="O2975" s="13">
        <f>IF($C2975="","",IFERROR(MATCH($C2975,'Menu Pricing'!$B$7:$B$56,0),""))</f>
        <v/>
      </c>
    </row>
    <row r="2976" ht="17" customHeight="1">
      <c r="B2976" s="66" t="n"/>
      <c r="C2976" s="60" t="n"/>
      <c r="D2976" s="86" t="n"/>
      <c r="E2976" s="63" t="n"/>
      <c r="F2976" s="60" t="n"/>
      <c r="G2976" s="60" t="n"/>
      <c r="H2976" s="71">
        <f>IF(OR($C2976="",$D2976=""),"",IF(ISNUMBER($E2976),$E2976,IF($O2976="","",IF(N(INDEX('Menu Pricing'!$O$7:$O$56,$O2976))&gt;0,INDEX('Menu Pricing'!$O$7:$O$56,$O2976),""))))</f>
        <v/>
      </c>
      <c r="I2976" s="71">
        <f>IF($N2976&lt;&gt;"OK","",$D2976*$H2976)</f>
        <v/>
      </c>
      <c r="J2976" s="71">
        <f>IF($N2976&lt;&gt;"OK","",N(INDEX('Menu Pricing'!$F$7:$F$56,$O2976))+N(INDEX('Menu Pricing'!$G$7:$G$56,$O2976))+N(INDEX('Menu Pricing'!$J$7:$J$56,$O2976)))</f>
        <v/>
      </c>
      <c r="K2976" s="71">
        <f>IF($N2976&lt;&gt;"OK","",$D2976*$J2976)</f>
        <v/>
      </c>
      <c r="L2976" s="71">
        <f>IF($N2976&lt;&gt;"OK","",$I2976-$K2976)</f>
        <v/>
      </c>
      <c r="M2976" s="71">
        <f>IF($N2976&lt;&gt;"OK","",$D2976*N(INDEX('Menu Pricing'!$F$7:$F$56,$O2976)))</f>
        <v/>
      </c>
      <c r="N2976" s="80">
        <f>IF(AND($B2976="",$C2976="",$D2976=""),"",IF(NOT(ISNUMBER($B2976)),"Enter a valid date",IF($C2976="","Pick a menu item",IF($O2976="","Item not on Menu Pricing",IF(N($D2976)&lt;=0,"Qty must be above 0",IF($H2976="","No price on menu","OK"))))))</f>
        <v/>
      </c>
      <c r="O2976" s="13">
        <f>IF($C2976="","",IFERROR(MATCH($C2976,'Menu Pricing'!$B$7:$B$56,0),""))</f>
        <v/>
      </c>
    </row>
    <row r="2977" ht="17" customHeight="1">
      <c r="B2977" s="66" t="n"/>
      <c r="C2977" s="60" t="n"/>
      <c r="D2977" s="86" t="n"/>
      <c r="E2977" s="63" t="n"/>
      <c r="F2977" s="60" t="n"/>
      <c r="G2977" s="60" t="n"/>
      <c r="H2977" s="71">
        <f>IF(OR($C2977="",$D2977=""),"",IF(ISNUMBER($E2977),$E2977,IF($O2977="","",IF(N(INDEX('Menu Pricing'!$O$7:$O$56,$O2977))&gt;0,INDEX('Menu Pricing'!$O$7:$O$56,$O2977),""))))</f>
        <v/>
      </c>
      <c r="I2977" s="71">
        <f>IF($N2977&lt;&gt;"OK","",$D2977*$H2977)</f>
        <v/>
      </c>
      <c r="J2977" s="71">
        <f>IF($N2977&lt;&gt;"OK","",N(INDEX('Menu Pricing'!$F$7:$F$56,$O2977))+N(INDEX('Menu Pricing'!$G$7:$G$56,$O2977))+N(INDEX('Menu Pricing'!$J$7:$J$56,$O2977)))</f>
        <v/>
      </c>
      <c r="K2977" s="71">
        <f>IF($N2977&lt;&gt;"OK","",$D2977*$J2977)</f>
        <v/>
      </c>
      <c r="L2977" s="71">
        <f>IF($N2977&lt;&gt;"OK","",$I2977-$K2977)</f>
        <v/>
      </c>
      <c r="M2977" s="71">
        <f>IF($N2977&lt;&gt;"OK","",$D2977*N(INDEX('Menu Pricing'!$F$7:$F$56,$O2977)))</f>
        <v/>
      </c>
      <c r="N2977" s="80">
        <f>IF(AND($B2977="",$C2977="",$D2977=""),"",IF(NOT(ISNUMBER($B2977)),"Enter a valid date",IF($C2977="","Pick a menu item",IF($O2977="","Item not on Menu Pricing",IF(N($D2977)&lt;=0,"Qty must be above 0",IF($H2977="","No price on menu","OK"))))))</f>
        <v/>
      </c>
      <c r="O2977" s="13">
        <f>IF($C2977="","",IFERROR(MATCH($C2977,'Menu Pricing'!$B$7:$B$56,0),""))</f>
        <v/>
      </c>
    </row>
    <row r="2978" ht="17" customHeight="1">
      <c r="B2978" s="66" t="n"/>
      <c r="C2978" s="60" t="n"/>
      <c r="D2978" s="86" t="n"/>
      <c r="E2978" s="63" t="n"/>
      <c r="F2978" s="60" t="n"/>
      <c r="G2978" s="60" t="n"/>
      <c r="H2978" s="71">
        <f>IF(OR($C2978="",$D2978=""),"",IF(ISNUMBER($E2978),$E2978,IF($O2978="","",IF(N(INDEX('Menu Pricing'!$O$7:$O$56,$O2978))&gt;0,INDEX('Menu Pricing'!$O$7:$O$56,$O2978),""))))</f>
        <v/>
      </c>
      <c r="I2978" s="71">
        <f>IF($N2978&lt;&gt;"OK","",$D2978*$H2978)</f>
        <v/>
      </c>
      <c r="J2978" s="71">
        <f>IF($N2978&lt;&gt;"OK","",N(INDEX('Menu Pricing'!$F$7:$F$56,$O2978))+N(INDEX('Menu Pricing'!$G$7:$G$56,$O2978))+N(INDEX('Menu Pricing'!$J$7:$J$56,$O2978)))</f>
        <v/>
      </c>
      <c r="K2978" s="71">
        <f>IF($N2978&lt;&gt;"OK","",$D2978*$J2978)</f>
        <v/>
      </c>
      <c r="L2978" s="71">
        <f>IF($N2978&lt;&gt;"OK","",$I2978-$K2978)</f>
        <v/>
      </c>
      <c r="M2978" s="71">
        <f>IF($N2978&lt;&gt;"OK","",$D2978*N(INDEX('Menu Pricing'!$F$7:$F$56,$O2978)))</f>
        <v/>
      </c>
      <c r="N2978" s="80">
        <f>IF(AND($B2978="",$C2978="",$D2978=""),"",IF(NOT(ISNUMBER($B2978)),"Enter a valid date",IF($C2978="","Pick a menu item",IF($O2978="","Item not on Menu Pricing",IF(N($D2978)&lt;=0,"Qty must be above 0",IF($H2978="","No price on menu","OK"))))))</f>
        <v/>
      </c>
      <c r="O2978" s="13">
        <f>IF($C2978="","",IFERROR(MATCH($C2978,'Menu Pricing'!$B$7:$B$56,0),""))</f>
        <v/>
      </c>
    </row>
    <row r="2979" ht="17" customHeight="1">
      <c r="B2979" s="66" t="n"/>
      <c r="C2979" s="60" t="n"/>
      <c r="D2979" s="86" t="n"/>
      <c r="E2979" s="63" t="n"/>
      <c r="F2979" s="60" t="n"/>
      <c r="G2979" s="60" t="n"/>
      <c r="H2979" s="71">
        <f>IF(OR($C2979="",$D2979=""),"",IF(ISNUMBER($E2979),$E2979,IF($O2979="","",IF(N(INDEX('Menu Pricing'!$O$7:$O$56,$O2979))&gt;0,INDEX('Menu Pricing'!$O$7:$O$56,$O2979),""))))</f>
        <v/>
      </c>
      <c r="I2979" s="71">
        <f>IF($N2979&lt;&gt;"OK","",$D2979*$H2979)</f>
        <v/>
      </c>
      <c r="J2979" s="71">
        <f>IF($N2979&lt;&gt;"OK","",N(INDEX('Menu Pricing'!$F$7:$F$56,$O2979))+N(INDEX('Menu Pricing'!$G$7:$G$56,$O2979))+N(INDEX('Menu Pricing'!$J$7:$J$56,$O2979)))</f>
        <v/>
      </c>
      <c r="K2979" s="71">
        <f>IF($N2979&lt;&gt;"OK","",$D2979*$J2979)</f>
        <v/>
      </c>
      <c r="L2979" s="71">
        <f>IF($N2979&lt;&gt;"OK","",$I2979-$K2979)</f>
        <v/>
      </c>
      <c r="M2979" s="71">
        <f>IF($N2979&lt;&gt;"OK","",$D2979*N(INDEX('Menu Pricing'!$F$7:$F$56,$O2979)))</f>
        <v/>
      </c>
      <c r="N2979" s="80">
        <f>IF(AND($B2979="",$C2979="",$D2979=""),"",IF(NOT(ISNUMBER($B2979)),"Enter a valid date",IF($C2979="","Pick a menu item",IF($O2979="","Item not on Menu Pricing",IF(N($D2979)&lt;=0,"Qty must be above 0",IF($H2979="","No price on menu","OK"))))))</f>
        <v/>
      </c>
      <c r="O2979" s="13">
        <f>IF($C2979="","",IFERROR(MATCH($C2979,'Menu Pricing'!$B$7:$B$56,0),""))</f>
        <v/>
      </c>
    </row>
    <row r="2980" ht="17" customHeight="1">
      <c r="B2980" s="66" t="n"/>
      <c r="C2980" s="60" t="n"/>
      <c r="D2980" s="86" t="n"/>
      <c r="E2980" s="63" t="n"/>
      <c r="F2980" s="60" t="n"/>
      <c r="G2980" s="60" t="n"/>
      <c r="H2980" s="71">
        <f>IF(OR($C2980="",$D2980=""),"",IF(ISNUMBER($E2980),$E2980,IF($O2980="","",IF(N(INDEX('Menu Pricing'!$O$7:$O$56,$O2980))&gt;0,INDEX('Menu Pricing'!$O$7:$O$56,$O2980),""))))</f>
        <v/>
      </c>
      <c r="I2980" s="71">
        <f>IF($N2980&lt;&gt;"OK","",$D2980*$H2980)</f>
        <v/>
      </c>
      <c r="J2980" s="71">
        <f>IF($N2980&lt;&gt;"OK","",N(INDEX('Menu Pricing'!$F$7:$F$56,$O2980))+N(INDEX('Menu Pricing'!$G$7:$G$56,$O2980))+N(INDEX('Menu Pricing'!$J$7:$J$56,$O2980)))</f>
        <v/>
      </c>
      <c r="K2980" s="71">
        <f>IF($N2980&lt;&gt;"OK","",$D2980*$J2980)</f>
        <v/>
      </c>
      <c r="L2980" s="71">
        <f>IF($N2980&lt;&gt;"OK","",$I2980-$K2980)</f>
        <v/>
      </c>
      <c r="M2980" s="71">
        <f>IF($N2980&lt;&gt;"OK","",$D2980*N(INDEX('Menu Pricing'!$F$7:$F$56,$O2980)))</f>
        <v/>
      </c>
      <c r="N2980" s="80">
        <f>IF(AND($B2980="",$C2980="",$D2980=""),"",IF(NOT(ISNUMBER($B2980)),"Enter a valid date",IF($C2980="","Pick a menu item",IF($O2980="","Item not on Menu Pricing",IF(N($D2980)&lt;=0,"Qty must be above 0",IF($H2980="","No price on menu","OK"))))))</f>
        <v/>
      </c>
      <c r="O2980" s="13">
        <f>IF($C2980="","",IFERROR(MATCH($C2980,'Menu Pricing'!$B$7:$B$56,0),""))</f>
        <v/>
      </c>
    </row>
    <row r="2981" ht="17" customHeight="1">
      <c r="B2981" s="66" t="n"/>
      <c r="C2981" s="60" t="n"/>
      <c r="D2981" s="86" t="n"/>
      <c r="E2981" s="63" t="n"/>
      <c r="F2981" s="60" t="n"/>
      <c r="G2981" s="60" t="n"/>
      <c r="H2981" s="71">
        <f>IF(OR($C2981="",$D2981=""),"",IF(ISNUMBER($E2981),$E2981,IF($O2981="","",IF(N(INDEX('Menu Pricing'!$O$7:$O$56,$O2981))&gt;0,INDEX('Menu Pricing'!$O$7:$O$56,$O2981),""))))</f>
        <v/>
      </c>
      <c r="I2981" s="71">
        <f>IF($N2981&lt;&gt;"OK","",$D2981*$H2981)</f>
        <v/>
      </c>
      <c r="J2981" s="71">
        <f>IF($N2981&lt;&gt;"OK","",N(INDEX('Menu Pricing'!$F$7:$F$56,$O2981))+N(INDEX('Menu Pricing'!$G$7:$G$56,$O2981))+N(INDEX('Menu Pricing'!$J$7:$J$56,$O2981)))</f>
        <v/>
      </c>
      <c r="K2981" s="71">
        <f>IF($N2981&lt;&gt;"OK","",$D2981*$J2981)</f>
        <v/>
      </c>
      <c r="L2981" s="71">
        <f>IF($N2981&lt;&gt;"OK","",$I2981-$K2981)</f>
        <v/>
      </c>
      <c r="M2981" s="71">
        <f>IF($N2981&lt;&gt;"OK","",$D2981*N(INDEX('Menu Pricing'!$F$7:$F$56,$O2981)))</f>
        <v/>
      </c>
      <c r="N2981" s="80">
        <f>IF(AND($B2981="",$C2981="",$D2981=""),"",IF(NOT(ISNUMBER($B2981)),"Enter a valid date",IF($C2981="","Pick a menu item",IF($O2981="","Item not on Menu Pricing",IF(N($D2981)&lt;=0,"Qty must be above 0",IF($H2981="","No price on menu","OK"))))))</f>
        <v/>
      </c>
      <c r="O2981" s="13">
        <f>IF($C2981="","",IFERROR(MATCH($C2981,'Menu Pricing'!$B$7:$B$56,0),""))</f>
        <v/>
      </c>
    </row>
    <row r="2982" ht="17" customHeight="1">
      <c r="B2982" s="66" t="n"/>
      <c r="C2982" s="60" t="n"/>
      <c r="D2982" s="86" t="n"/>
      <c r="E2982" s="63" t="n"/>
      <c r="F2982" s="60" t="n"/>
      <c r="G2982" s="60" t="n"/>
      <c r="H2982" s="71">
        <f>IF(OR($C2982="",$D2982=""),"",IF(ISNUMBER($E2982),$E2982,IF($O2982="","",IF(N(INDEX('Menu Pricing'!$O$7:$O$56,$O2982))&gt;0,INDEX('Menu Pricing'!$O$7:$O$56,$O2982),""))))</f>
        <v/>
      </c>
      <c r="I2982" s="71">
        <f>IF($N2982&lt;&gt;"OK","",$D2982*$H2982)</f>
        <v/>
      </c>
      <c r="J2982" s="71">
        <f>IF($N2982&lt;&gt;"OK","",N(INDEX('Menu Pricing'!$F$7:$F$56,$O2982))+N(INDEX('Menu Pricing'!$G$7:$G$56,$O2982))+N(INDEX('Menu Pricing'!$J$7:$J$56,$O2982)))</f>
        <v/>
      </c>
      <c r="K2982" s="71">
        <f>IF($N2982&lt;&gt;"OK","",$D2982*$J2982)</f>
        <v/>
      </c>
      <c r="L2982" s="71">
        <f>IF($N2982&lt;&gt;"OK","",$I2982-$K2982)</f>
        <v/>
      </c>
      <c r="M2982" s="71">
        <f>IF($N2982&lt;&gt;"OK","",$D2982*N(INDEX('Menu Pricing'!$F$7:$F$56,$O2982)))</f>
        <v/>
      </c>
      <c r="N2982" s="80">
        <f>IF(AND($B2982="",$C2982="",$D2982=""),"",IF(NOT(ISNUMBER($B2982)),"Enter a valid date",IF($C2982="","Pick a menu item",IF($O2982="","Item not on Menu Pricing",IF(N($D2982)&lt;=0,"Qty must be above 0",IF($H2982="","No price on menu","OK"))))))</f>
        <v/>
      </c>
      <c r="O2982" s="13">
        <f>IF($C2982="","",IFERROR(MATCH($C2982,'Menu Pricing'!$B$7:$B$56,0),""))</f>
        <v/>
      </c>
    </row>
    <row r="2983" ht="17" customHeight="1">
      <c r="B2983" s="66" t="n"/>
      <c r="C2983" s="60" t="n"/>
      <c r="D2983" s="86" t="n"/>
      <c r="E2983" s="63" t="n"/>
      <c r="F2983" s="60" t="n"/>
      <c r="G2983" s="60" t="n"/>
      <c r="H2983" s="71">
        <f>IF(OR($C2983="",$D2983=""),"",IF(ISNUMBER($E2983),$E2983,IF($O2983="","",IF(N(INDEX('Menu Pricing'!$O$7:$O$56,$O2983))&gt;0,INDEX('Menu Pricing'!$O$7:$O$56,$O2983),""))))</f>
        <v/>
      </c>
      <c r="I2983" s="71">
        <f>IF($N2983&lt;&gt;"OK","",$D2983*$H2983)</f>
        <v/>
      </c>
      <c r="J2983" s="71">
        <f>IF($N2983&lt;&gt;"OK","",N(INDEX('Menu Pricing'!$F$7:$F$56,$O2983))+N(INDEX('Menu Pricing'!$G$7:$G$56,$O2983))+N(INDEX('Menu Pricing'!$J$7:$J$56,$O2983)))</f>
        <v/>
      </c>
      <c r="K2983" s="71">
        <f>IF($N2983&lt;&gt;"OK","",$D2983*$J2983)</f>
        <v/>
      </c>
      <c r="L2983" s="71">
        <f>IF($N2983&lt;&gt;"OK","",$I2983-$K2983)</f>
        <v/>
      </c>
      <c r="M2983" s="71">
        <f>IF($N2983&lt;&gt;"OK","",$D2983*N(INDEX('Menu Pricing'!$F$7:$F$56,$O2983)))</f>
        <v/>
      </c>
      <c r="N2983" s="80">
        <f>IF(AND($B2983="",$C2983="",$D2983=""),"",IF(NOT(ISNUMBER($B2983)),"Enter a valid date",IF($C2983="","Pick a menu item",IF($O2983="","Item not on Menu Pricing",IF(N($D2983)&lt;=0,"Qty must be above 0",IF($H2983="","No price on menu","OK"))))))</f>
        <v/>
      </c>
      <c r="O2983" s="13">
        <f>IF($C2983="","",IFERROR(MATCH($C2983,'Menu Pricing'!$B$7:$B$56,0),""))</f>
        <v/>
      </c>
    </row>
    <row r="2984" ht="17" customHeight="1">
      <c r="B2984" s="66" t="n"/>
      <c r="C2984" s="60" t="n"/>
      <c r="D2984" s="86" t="n"/>
      <c r="E2984" s="63" t="n"/>
      <c r="F2984" s="60" t="n"/>
      <c r="G2984" s="60" t="n"/>
      <c r="H2984" s="71">
        <f>IF(OR($C2984="",$D2984=""),"",IF(ISNUMBER($E2984),$E2984,IF($O2984="","",IF(N(INDEX('Menu Pricing'!$O$7:$O$56,$O2984))&gt;0,INDEX('Menu Pricing'!$O$7:$O$56,$O2984),""))))</f>
        <v/>
      </c>
      <c r="I2984" s="71">
        <f>IF($N2984&lt;&gt;"OK","",$D2984*$H2984)</f>
        <v/>
      </c>
      <c r="J2984" s="71">
        <f>IF($N2984&lt;&gt;"OK","",N(INDEX('Menu Pricing'!$F$7:$F$56,$O2984))+N(INDEX('Menu Pricing'!$G$7:$G$56,$O2984))+N(INDEX('Menu Pricing'!$J$7:$J$56,$O2984)))</f>
        <v/>
      </c>
      <c r="K2984" s="71">
        <f>IF($N2984&lt;&gt;"OK","",$D2984*$J2984)</f>
        <v/>
      </c>
      <c r="L2984" s="71">
        <f>IF($N2984&lt;&gt;"OK","",$I2984-$K2984)</f>
        <v/>
      </c>
      <c r="M2984" s="71">
        <f>IF($N2984&lt;&gt;"OK","",$D2984*N(INDEX('Menu Pricing'!$F$7:$F$56,$O2984)))</f>
        <v/>
      </c>
      <c r="N2984" s="80">
        <f>IF(AND($B2984="",$C2984="",$D2984=""),"",IF(NOT(ISNUMBER($B2984)),"Enter a valid date",IF($C2984="","Pick a menu item",IF($O2984="","Item not on Menu Pricing",IF(N($D2984)&lt;=0,"Qty must be above 0",IF($H2984="","No price on menu","OK"))))))</f>
        <v/>
      </c>
      <c r="O2984" s="13">
        <f>IF($C2984="","",IFERROR(MATCH($C2984,'Menu Pricing'!$B$7:$B$56,0),""))</f>
        <v/>
      </c>
    </row>
    <row r="2985" ht="17" customHeight="1">
      <c r="B2985" s="66" t="n"/>
      <c r="C2985" s="60" t="n"/>
      <c r="D2985" s="86" t="n"/>
      <c r="E2985" s="63" t="n"/>
      <c r="F2985" s="60" t="n"/>
      <c r="G2985" s="60" t="n"/>
      <c r="H2985" s="71">
        <f>IF(OR($C2985="",$D2985=""),"",IF(ISNUMBER($E2985),$E2985,IF($O2985="","",IF(N(INDEX('Menu Pricing'!$O$7:$O$56,$O2985))&gt;0,INDEX('Menu Pricing'!$O$7:$O$56,$O2985),""))))</f>
        <v/>
      </c>
      <c r="I2985" s="71">
        <f>IF($N2985&lt;&gt;"OK","",$D2985*$H2985)</f>
        <v/>
      </c>
      <c r="J2985" s="71">
        <f>IF($N2985&lt;&gt;"OK","",N(INDEX('Menu Pricing'!$F$7:$F$56,$O2985))+N(INDEX('Menu Pricing'!$G$7:$G$56,$O2985))+N(INDEX('Menu Pricing'!$J$7:$J$56,$O2985)))</f>
        <v/>
      </c>
      <c r="K2985" s="71">
        <f>IF($N2985&lt;&gt;"OK","",$D2985*$J2985)</f>
        <v/>
      </c>
      <c r="L2985" s="71">
        <f>IF($N2985&lt;&gt;"OK","",$I2985-$K2985)</f>
        <v/>
      </c>
      <c r="M2985" s="71">
        <f>IF($N2985&lt;&gt;"OK","",$D2985*N(INDEX('Menu Pricing'!$F$7:$F$56,$O2985)))</f>
        <v/>
      </c>
      <c r="N2985" s="80">
        <f>IF(AND($B2985="",$C2985="",$D2985=""),"",IF(NOT(ISNUMBER($B2985)),"Enter a valid date",IF($C2985="","Pick a menu item",IF($O2985="","Item not on Menu Pricing",IF(N($D2985)&lt;=0,"Qty must be above 0",IF($H2985="","No price on menu","OK"))))))</f>
        <v/>
      </c>
      <c r="O2985" s="13">
        <f>IF($C2985="","",IFERROR(MATCH($C2985,'Menu Pricing'!$B$7:$B$56,0),""))</f>
        <v/>
      </c>
    </row>
    <row r="2986" ht="17" customHeight="1">
      <c r="B2986" s="66" t="n"/>
      <c r="C2986" s="60" t="n"/>
      <c r="D2986" s="86" t="n"/>
      <c r="E2986" s="63" t="n"/>
      <c r="F2986" s="60" t="n"/>
      <c r="G2986" s="60" t="n"/>
      <c r="H2986" s="71">
        <f>IF(OR($C2986="",$D2986=""),"",IF(ISNUMBER($E2986),$E2986,IF($O2986="","",IF(N(INDEX('Menu Pricing'!$O$7:$O$56,$O2986))&gt;0,INDEX('Menu Pricing'!$O$7:$O$56,$O2986),""))))</f>
        <v/>
      </c>
      <c r="I2986" s="71">
        <f>IF($N2986&lt;&gt;"OK","",$D2986*$H2986)</f>
        <v/>
      </c>
      <c r="J2986" s="71">
        <f>IF($N2986&lt;&gt;"OK","",N(INDEX('Menu Pricing'!$F$7:$F$56,$O2986))+N(INDEX('Menu Pricing'!$G$7:$G$56,$O2986))+N(INDEX('Menu Pricing'!$J$7:$J$56,$O2986)))</f>
        <v/>
      </c>
      <c r="K2986" s="71">
        <f>IF($N2986&lt;&gt;"OK","",$D2986*$J2986)</f>
        <v/>
      </c>
      <c r="L2986" s="71">
        <f>IF($N2986&lt;&gt;"OK","",$I2986-$K2986)</f>
        <v/>
      </c>
      <c r="M2986" s="71">
        <f>IF($N2986&lt;&gt;"OK","",$D2986*N(INDEX('Menu Pricing'!$F$7:$F$56,$O2986)))</f>
        <v/>
      </c>
      <c r="N2986" s="80">
        <f>IF(AND($B2986="",$C2986="",$D2986=""),"",IF(NOT(ISNUMBER($B2986)),"Enter a valid date",IF($C2986="","Pick a menu item",IF($O2986="","Item not on Menu Pricing",IF(N($D2986)&lt;=0,"Qty must be above 0",IF($H2986="","No price on menu","OK"))))))</f>
        <v/>
      </c>
      <c r="O2986" s="13">
        <f>IF($C2986="","",IFERROR(MATCH($C2986,'Menu Pricing'!$B$7:$B$56,0),""))</f>
        <v/>
      </c>
    </row>
    <row r="2987" ht="17" customHeight="1">
      <c r="B2987" s="66" t="n"/>
      <c r="C2987" s="60" t="n"/>
      <c r="D2987" s="86" t="n"/>
      <c r="E2987" s="63" t="n"/>
      <c r="F2987" s="60" t="n"/>
      <c r="G2987" s="60" t="n"/>
      <c r="H2987" s="71">
        <f>IF(OR($C2987="",$D2987=""),"",IF(ISNUMBER($E2987),$E2987,IF($O2987="","",IF(N(INDEX('Menu Pricing'!$O$7:$O$56,$O2987))&gt;0,INDEX('Menu Pricing'!$O$7:$O$56,$O2987),""))))</f>
        <v/>
      </c>
      <c r="I2987" s="71">
        <f>IF($N2987&lt;&gt;"OK","",$D2987*$H2987)</f>
        <v/>
      </c>
      <c r="J2987" s="71">
        <f>IF($N2987&lt;&gt;"OK","",N(INDEX('Menu Pricing'!$F$7:$F$56,$O2987))+N(INDEX('Menu Pricing'!$G$7:$G$56,$O2987))+N(INDEX('Menu Pricing'!$J$7:$J$56,$O2987)))</f>
        <v/>
      </c>
      <c r="K2987" s="71">
        <f>IF($N2987&lt;&gt;"OK","",$D2987*$J2987)</f>
        <v/>
      </c>
      <c r="L2987" s="71">
        <f>IF($N2987&lt;&gt;"OK","",$I2987-$K2987)</f>
        <v/>
      </c>
      <c r="M2987" s="71">
        <f>IF($N2987&lt;&gt;"OK","",$D2987*N(INDEX('Menu Pricing'!$F$7:$F$56,$O2987)))</f>
        <v/>
      </c>
      <c r="N2987" s="80">
        <f>IF(AND($B2987="",$C2987="",$D2987=""),"",IF(NOT(ISNUMBER($B2987)),"Enter a valid date",IF($C2987="","Pick a menu item",IF($O2987="","Item not on Menu Pricing",IF(N($D2987)&lt;=0,"Qty must be above 0",IF($H2987="","No price on menu","OK"))))))</f>
        <v/>
      </c>
      <c r="O2987" s="13">
        <f>IF($C2987="","",IFERROR(MATCH($C2987,'Menu Pricing'!$B$7:$B$56,0),""))</f>
        <v/>
      </c>
    </row>
    <row r="2988" ht="17" customHeight="1">
      <c r="B2988" s="66" t="n"/>
      <c r="C2988" s="60" t="n"/>
      <c r="D2988" s="86" t="n"/>
      <c r="E2988" s="63" t="n"/>
      <c r="F2988" s="60" t="n"/>
      <c r="G2988" s="60" t="n"/>
      <c r="H2988" s="71">
        <f>IF(OR($C2988="",$D2988=""),"",IF(ISNUMBER($E2988),$E2988,IF($O2988="","",IF(N(INDEX('Menu Pricing'!$O$7:$O$56,$O2988))&gt;0,INDEX('Menu Pricing'!$O$7:$O$56,$O2988),""))))</f>
        <v/>
      </c>
      <c r="I2988" s="71">
        <f>IF($N2988&lt;&gt;"OK","",$D2988*$H2988)</f>
        <v/>
      </c>
      <c r="J2988" s="71">
        <f>IF($N2988&lt;&gt;"OK","",N(INDEX('Menu Pricing'!$F$7:$F$56,$O2988))+N(INDEX('Menu Pricing'!$G$7:$G$56,$O2988))+N(INDEX('Menu Pricing'!$J$7:$J$56,$O2988)))</f>
        <v/>
      </c>
      <c r="K2988" s="71">
        <f>IF($N2988&lt;&gt;"OK","",$D2988*$J2988)</f>
        <v/>
      </c>
      <c r="L2988" s="71">
        <f>IF($N2988&lt;&gt;"OK","",$I2988-$K2988)</f>
        <v/>
      </c>
      <c r="M2988" s="71">
        <f>IF($N2988&lt;&gt;"OK","",$D2988*N(INDEX('Menu Pricing'!$F$7:$F$56,$O2988)))</f>
        <v/>
      </c>
      <c r="N2988" s="80">
        <f>IF(AND($B2988="",$C2988="",$D2988=""),"",IF(NOT(ISNUMBER($B2988)),"Enter a valid date",IF($C2988="","Pick a menu item",IF($O2988="","Item not on Menu Pricing",IF(N($D2988)&lt;=0,"Qty must be above 0",IF($H2988="","No price on menu","OK"))))))</f>
        <v/>
      </c>
      <c r="O2988" s="13">
        <f>IF($C2988="","",IFERROR(MATCH($C2988,'Menu Pricing'!$B$7:$B$56,0),""))</f>
        <v/>
      </c>
    </row>
    <row r="2989" ht="17" customHeight="1">
      <c r="B2989" s="66" t="n"/>
      <c r="C2989" s="60" t="n"/>
      <c r="D2989" s="86" t="n"/>
      <c r="E2989" s="63" t="n"/>
      <c r="F2989" s="60" t="n"/>
      <c r="G2989" s="60" t="n"/>
      <c r="H2989" s="71">
        <f>IF(OR($C2989="",$D2989=""),"",IF(ISNUMBER($E2989),$E2989,IF($O2989="","",IF(N(INDEX('Menu Pricing'!$O$7:$O$56,$O2989))&gt;0,INDEX('Menu Pricing'!$O$7:$O$56,$O2989),""))))</f>
        <v/>
      </c>
      <c r="I2989" s="71">
        <f>IF($N2989&lt;&gt;"OK","",$D2989*$H2989)</f>
        <v/>
      </c>
      <c r="J2989" s="71">
        <f>IF($N2989&lt;&gt;"OK","",N(INDEX('Menu Pricing'!$F$7:$F$56,$O2989))+N(INDEX('Menu Pricing'!$G$7:$G$56,$O2989))+N(INDEX('Menu Pricing'!$J$7:$J$56,$O2989)))</f>
        <v/>
      </c>
      <c r="K2989" s="71">
        <f>IF($N2989&lt;&gt;"OK","",$D2989*$J2989)</f>
        <v/>
      </c>
      <c r="L2989" s="71">
        <f>IF($N2989&lt;&gt;"OK","",$I2989-$K2989)</f>
        <v/>
      </c>
      <c r="M2989" s="71">
        <f>IF($N2989&lt;&gt;"OK","",$D2989*N(INDEX('Menu Pricing'!$F$7:$F$56,$O2989)))</f>
        <v/>
      </c>
      <c r="N2989" s="80">
        <f>IF(AND($B2989="",$C2989="",$D2989=""),"",IF(NOT(ISNUMBER($B2989)),"Enter a valid date",IF($C2989="","Pick a menu item",IF($O2989="","Item not on Menu Pricing",IF(N($D2989)&lt;=0,"Qty must be above 0",IF($H2989="","No price on menu","OK"))))))</f>
        <v/>
      </c>
      <c r="O2989" s="13">
        <f>IF($C2989="","",IFERROR(MATCH($C2989,'Menu Pricing'!$B$7:$B$56,0),""))</f>
        <v/>
      </c>
    </row>
    <row r="2990" ht="17" customHeight="1">
      <c r="B2990" s="66" t="n"/>
      <c r="C2990" s="60" t="n"/>
      <c r="D2990" s="86" t="n"/>
      <c r="E2990" s="63" t="n"/>
      <c r="F2990" s="60" t="n"/>
      <c r="G2990" s="60" t="n"/>
      <c r="H2990" s="71">
        <f>IF(OR($C2990="",$D2990=""),"",IF(ISNUMBER($E2990),$E2990,IF($O2990="","",IF(N(INDEX('Menu Pricing'!$O$7:$O$56,$O2990))&gt;0,INDEX('Menu Pricing'!$O$7:$O$56,$O2990),""))))</f>
        <v/>
      </c>
      <c r="I2990" s="71">
        <f>IF($N2990&lt;&gt;"OK","",$D2990*$H2990)</f>
        <v/>
      </c>
      <c r="J2990" s="71">
        <f>IF($N2990&lt;&gt;"OK","",N(INDEX('Menu Pricing'!$F$7:$F$56,$O2990))+N(INDEX('Menu Pricing'!$G$7:$G$56,$O2990))+N(INDEX('Menu Pricing'!$J$7:$J$56,$O2990)))</f>
        <v/>
      </c>
      <c r="K2990" s="71">
        <f>IF($N2990&lt;&gt;"OK","",$D2990*$J2990)</f>
        <v/>
      </c>
      <c r="L2990" s="71">
        <f>IF($N2990&lt;&gt;"OK","",$I2990-$K2990)</f>
        <v/>
      </c>
      <c r="M2990" s="71">
        <f>IF($N2990&lt;&gt;"OK","",$D2990*N(INDEX('Menu Pricing'!$F$7:$F$56,$O2990)))</f>
        <v/>
      </c>
      <c r="N2990" s="80">
        <f>IF(AND($B2990="",$C2990="",$D2990=""),"",IF(NOT(ISNUMBER($B2990)),"Enter a valid date",IF($C2990="","Pick a menu item",IF($O2990="","Item not on Menu Pricing",IF(N($D2990)&lt;=0,"Qty must be above 0",IF($H2990="","No price on menu","OK"))))))</f>
        <v/>
      </c>
      <c r="O2990" s="13">
        <f>IF($C2990="","",IFERROR(MATCH($C2990,'Menu Pricing'!$B$7:$B$56,0),""))</f>
        <v/>
      </c>
    </row>
    <row r="2991" ht="17" customHeight="1">
      <c r="B2991" s="66" t="n"/>
      <c r="C2991" s="60" t="n"/>
      <c r="D2991" s="86" t="n"/>
      <c r="E2991" s="63" t="n"/>
      <c r="F2991" s="60" t="n"/>
      <c r="G2991" s="60" t="n"/>
      <c r="H2991" s="71">
        <f>IF(OR($C2991="",$D2991=""),"",IF(ISNUMBER($E2991),$E2991,IF($O2991="","",IF(N(INDEX('Menu Pricing'!$O$7:$O$56,$O2991))&gt;0,INDEX('Menu Pricing'!$O$7:$O$56,$O2991),""))))</f>
        <v/>
      </c>
      <c r="I2991" s="71">
        <f>IF($N2991&lt;&gt;"OK","",$D2991*$H2991)</f>
        <v/>
      </c>
      <c r="J2991" s="71">
        <f>IF($N2991&lt;&gt;"OK","",N(INDEX('Menu Pricing'!$F$7:$F$56,$O2991))+N(INDEX('Menu Pricing'!$G$7:$G$56,$O2991))+N(INDEX('Menu Pricing'!$J$7:$J$56,$O2991)))</f>
        <v/>
      </c>
      <c r="K2991" s="71">
        <f>IF($N2991&lt;&gt;"OK","",$D2991*$J2991)</f>
        <v/>
      </c>
      <c r="L2991" s="71">
        <f>IF($N2991&lt;&gt;"OK","",$I2991-$K2991)</f>
        <v/>
      </c>
      <c r="M2991" s="71">
        <f>IF($N2991&lt;&gt;"OK","",$D2991*N(INDEX('Menu Pricing'!$F$7:$F$56,$O2991)))</f>
        <v/>
      </c>
      <c r="N2991" s="80">
        <f>IF(AND($B2991="",$C2991="",$D2991=""),"",IF(NOT(ISNUMBER($B2991)),"Enter a valid date",IF($C2991="","Pick a menu item",IF($O2991="","Item not on Menu Pricing",IF(N($D2991)&lt;=0,"Qty must be above 0",IF($H2991="","No price on menu","OK"))))))</f>
        <v/>
      </c>
      <c r="O2991" s="13">
        <f>IF($C2991="","",IFERROR(MATCH($C2991,'Menu Pricing'!$B$7:$B$56,0),""))</f>
        <v/>
      </c>
    </row>
    <row r="2992" ht="17" customHeight="1">
      <c r="B2992" s="66" t="n"/>
      <c r="C2992" s="60" t="n"/>
      <c r="D2992" s="86" t="n"/>
      <c r="E2992" s="63" t="n"/>
      <c r="F2992" s="60" t="n"/>
      <c r="G2992" s="60" t="n"/>
      <c r="H2992" s="71">
        <f>IF(OR($C2992="",$D2992=""),"",IF(ISNUMBER($E2992),$E2992,IF($O2992="","",IF(N(INDEX('Menu Pricing'!$O$7:$O$56,$O2992))&gt;0,INDEX('Menu Pricing'!$O$7:$O$56,$O2992),""))))</f>
        <v/>
      </c>
      <c r="I2992" s="71">
        <f>IF($N2992&lt;&gt;"OK","",$D2992*$H2992)</f>
        <v/>
      </c>
      <c r="J2992" s="71">
        <f>IF($N2992&lt;&gt;"OK","",N(INDEX('Menu Pricing'!$F$7:$F$56,$O2992))+N(INDEX('Menu Pricing'!$G$7:$G$56,$O2992))+N(INDEX('Menu Pricing'!$J$7:$J$56,$O2992)))</f>
        <v/>
      </c>
      <c r="K2992" s="71">
        <f>IF($N2992&lt;&gt;"OK","",$D2992*$J2992)</f>
        <v/>
      </c>
      <c r="L2992" s="71">
        <f>IF($N2992&lt;&gt;"OK","",$I2992-$K2992)</f>
        <v/>
      </c>
      <c r="M2992" s="71">
        <f>IF($N2992&lt;&gt;"OK","",$D2992*N(INDEX('Menu Pricing'!$F$7:$F$56,$O2992)))</f>
        <v/>
      </c>
      <c r="N2992" s="80">
        <f>IF(AND($B2992="",$C2992="",$D2992=""),"",IF(NOT(ISNUMBER($B2992)),"Enter a valid date",IF($C2992="","Pick a menu item",IF($O2992="","Item not on Menu Pricing",IF(N($D2992)&lt;=0,"Qty must be above 0",IF($H2992="","No price on menu","OK"))))))</f>
        <v/>
      </c>
      <c r="O2992" s="13">
        <f>IF($C2992="","",IFERROR(MATCH($C2992,'Menu Pricing'!$B$7:$B$56,0),""))</f>
        <v/>
      </c>
    </row>
    <row r="2993" ht="17" customHeight="1">
      <c r="B2993" s="66" t="n"/>
      <c r="C2993" s="60" t="n"/>
      <c r="D2993" s="86" t="n"/>
      <c r="E2993" s="63" t="n"/>
      <c r="F2993" s="60" t="n"/>
      <c r="G2993" s="60" t="n"/>
      <c r="H2993" s="71">
        <f>IF(OR($C2993="",$D2993=""),"",IF(ISNUMBER($E2993),$E2993,IF($O2993="","",IF(N(INDEX('Menu Pricing'!$O$7:$O$56,$O2993))&gt;0,INDEX('Menu Pricing'!$O$7:$O$56,$O2993),""))))</f>
        <v/>
      </c>
      <c r="I2993" s="71">
        <f>IF($N2993&lt;&gt;"OK","",$D2993*$H2993)</f>
        <v/>
      </c>
      <c r="J2993" s="71">
        <f>IF($N2993&lt;&gt;"OK","",N(INDEX('Menu Pricing'!$F$7:$F$56,$O2993))+N(INDEX('Menu Pricing'!$G$7:$G$56,$O2993))+N(INDEX('Menu Pricing'!$J$7:$J$56,$O2993)))</f>
        <v/>
      </c>
      <c r="K2993" s="71">
        <f>IF($N2993&lt;&gt;"OK","",$D2993*$J2993)</f>
        <v/>
      </c>
      <c r="L2993" s="71">
        <f>IF($N2993&lt;&gt;"OK","",$I2993-$K2993)</f>
        <v/>
      </c>
      <c r="M2993" s="71">
        <f>IF($N2993&lt;&gt;"OK","",$D2993*N(INDEX('Menu Pricing'!$F$7:$F$56,$O2993)))</f>
        <v/>
      </c>
      <c r="N2993" s="80">
        <f>IF(AND($B2993="",$C2993="",$D2993=""),"",IF(NOT(ISNUMBER($B2993)),"Enter a valid date",IF($C2993="","Pick a menu item",IF($O2993="","Item not on Menu Pricing",IF(N($D2993)&lt;=0,"Qty must be above 0",IF($H2993="","No price on menu","OK"))))))</f>
        <v/>
      </c>
      <c r="O2993" s="13">
        <f>IF($C2993="","",IFERROR(MATCH($C2993,'Menu Pricing'!$B$7:$B$56,0),""))</f>
        <v/>
      </c>
    </row>
    <row r="2994" ht="17" customHeight="1">
      <c r="B2994" s="66" t="n"/>
      <c r="C2994" s="60" t="n"/>
      <c r="D2994" s="86" t="n"/>
      <c r="E2994" s="63" t="n"/>
      <c r="F2994" s="60" t="n"/>
      <c r="G2994" s="60" t="n"/>
      <c r="H2994" s="71">
        <f>IF(OR($C2994="",$D2994=""),"",IF(ISNUMBER($E2994),$E2994,IF($O2994="","",IF(N(INDEX('Menu Pricing'!$O$7:$O$56,$O2994))&gt;0,INDEX('Menu Pricing'!$O$7:$O$56,$O2994),""))))</f>
        <v/>
      </c>
      <c r="I2994" s="71">
        <f>IF($N2994&lt;&gt;"OK","",$D2994*$H2994)</f>
        <v/>
      </c>
      <c r="J2994" s="71">
        <f>IF($N2994&lt;&gt;"OK","",N(INDEX('Menu Pricing'!$F$7:$F$56,$O2994))+N(INDEX('Menu Pricing'!$G$7:$G$56,$O2994))+N(INDEX('Menu Pricing'!$J$7:$J$56,$O2994)))</f>
        <v/>
      </c>
      <c r="K2994" s="71">
        <f>IF($N2994&lt;&gt;"OK","",$D2994*$J2994)</f>
        <v/>
      </c>
      <c r="L2994" s="71">
        <f>IF($N2994&lt;&gt;"OK","",$I2994-$K2994)</f>
        <v/>
      </c>
      <c r="M2994" s="71">
        <f>IF($N2994&lt;&gt;"OK","",$D2994*N(INDEX('Menu Pricing'!$F$7:$F$56,$O2994)))</f>
        <v/>
      </c>
      <c r="N2994" s="80">
        <f>IF(AND($B2994="",$C2994="",$D2994=""),"",IF(NOT(ISNUMBER($B2994)),"Enter a valid date",IF($C2994="","Pick a menu item",IF($O2994="","Item not on Menu Pricing",IF(N($D2994)&lt;=0,"Qty must be above 0",IF($H2994="","No price on menu","OK"))))))</f>
        <v/>
      </c>
      <c r="O2994" s="13">
        <f>IF($C2994="","",IFERROR(MATCH($C2994,'Menu Pricing'!$B$7:$B$56,0),""))</f>
        <v/>
      </c>
    </row>
    <row r="2995" ht="17" customHeight="1">
      <c r="B2995" s="66" t="n"/>
      <c r="C2995" s="60" t="n"/>
      <c r="D2995" s="86" t="n"/>
      <c r="E2995" s="63" t="n"/>
      <c r="F2995" s="60" t="n"/>
      <c r="G2995" s="60" t="n"/>
      <c r="H2995" s="71">
        <f>IF(OR($C2995="",$D2995=""),"",IF(ISNUMBER($E2995),$E2995,IF($O2995="","",IF(N(INDEX('Menu Pricing'!$O$7:$O$56,$O2995))&gt;0,INDEX('Menu Pricing'!$O$7:$O$56,$O2995),""))))</f>
        <v/>
      </c>
      <c r="I2995" s="71">
        <f>IF($N2995&lt;&gt;"OK","",$D2995*$H2995)</f>
        <v/>
      </c>
      <c r="J2995" s="71">
        <f>IF($N2995&lt;&gt;"OK","",N(INDEX('Menu Pricing'!$F$7:$F$56,$O2995))+N(INDEX('Menu Pricing'!$G$7:$G$56,$O2995))+N(INDEX('Menu Pricing'!$J$7:$J$56,$O2995)))</f>
        <v/>
      </c>
      <c r="K2995" s="71">
        <f>IF($N2995&lt;&gt;"OK","",$D2995*$J2995)</f>
        <v/>
      </c>
      <c r="L2995" s="71">
        <f>IF($N2995&lt;&gt;"OK","",$I2995-$K2995)</f>
        <v/>
      </c>
      <c r="M2995" s="71">
        <f>IF($N2995&lt;&gt;"OK","",$D2995*N(INDEX('Menu Pricing'!$F$7:$F$56,$O2995)))</f>
        <v/>
      </c>
      <c r="N2995" s="80">
        <f>IF(AND($B2995="",$C2995="",$D2995=""),"",IF(NOT(ISNUMBER($B2995)),"Enter a valid date",IF($C2995="","Pick a menu item",IF($O2995="","Item not on Menu Pricing",IF(N($D2995)&lt;=0,"Qty must be above 0",IF($H2995="","No price on menu","OK"))))))</f>
        <v/>
      </c>
      <c r="O2995" s="13">
        <f>IF($C2995="","",IFERROR(MATCH($C2995,'Menu Pricing'!$B$7:$B$56,0),""))</f>
        <v/>
      </c>
    </row>
    <row r="2996" ht="17" customHeight="1">
      <c r="B2996" s="66" t="n"/>
      <c r="C2996" s="60" t="n"/>
      <c r="D2996" s="86" t="n"/>
      <c r="E2996" s="63" t="n"/>
      <c r="F2996" s="60" t="n"/>
      <c r="G2996" s="60" t="n"/>
      <c r="H2996" s="71">
        <f>IF(OR($C2996="",$D2996=""),"",IF(ISNUMBER($E2996),$E2996,IF($O2996="","",IF(N(INDEX('Menu Pricing'!$O$7:$O$56,$O2996))&gt;0,INDEX('Menu Pricing'!$O$7:$O$56,$O2996),""))))</f>
        <v/>
      </c>
      <c r="I2996" s="71">
        <f>IF($N2996&lt;&gt;"OK","",$D2996*$H2996)</f>
        <v/>
      </c>
      <c r="J2996" s="71">
        <f>IF($N2996&lt;&gt;"OK","",N(INDEX('Menu Pricing'!$F$7:$F$56,$O2996))+N(INDEX('Menu Pricing'!$G$7:$G$56,$O2996))+N(INDEX('Menu Pricing'!$J$7:$J$56,$O2996)))</f>
        <v/>
      </c>
      <c r="K2996" s="71">
        <f>IF($N2996&lt;&gt;"OK","",$D2996*$J2996)</f>
        <v/>
      </c>
      <c r="L2996" s="71">
        <f>IF($N2996&lt;&gt;"OK","",$I2996-$K2996)</f>
        <v/>
      </c>
      <c r="M2996" s="71">
        <f>IF($N2996&lt;&gt;"OK","",$D2996*N(INDEX('Menu Pricing'!$F$7:$F$56,$O2996)))</f>
        <v/>
      </c>
      <c r="N2996" s="80">
        <f>IF(AND($B2996="",$C2996="",$D2996=""),"",IF(NOT(ISNUMBER($B2996)),"Enter a valid date",IF($C2996="","Pick a menu item",IF($O2996="","Item not on Menu Pricing",IF(N($D2996)&lt;=0,"Qty must be above 0",IF($H2996="","No price on menu","OK"))))))</f>
        <v/>
      </c>
      <c r="O2996" s="13">
        <f>IF($C2996="","",IFERROR(MATCH($C2996,'Menu Pricing'!$B$7:$B$56,0),""))</f>
        <v/>
      </c>
    </row>
    <row r="2997" ht="17" customHeight="1">
      <c r="B2997" s="66" t="n"/>
      <c r="C2997" s="60" t="n"/>
      <c r="D2997" s="86" t="n"/>
      <c r="E2997" s="63" t="n"/>
      <c r="F2997" s="60" t="n"/>
      <c r="G2997" s="60" t="n"/>
      <c r="H2997" s="71">
        <f>IF(OR($C2997="",$D2997=""),"",IF(ISNUMBER($E2997),$E2997,IF($O2997="","",IF(N(INDEX('Menu Pricing'!$O$7:$O$56,$O2997))&gt;0,INDEX('Menu Pricing'!$O$7:$O$56,$O2997),""))))</f>
        <v/>
      </c>
      <c r="I2997" s="71">
        <f>IF($N2997&lt;&gt;"OK","",$D2997*$H2997)</f>
        <v/>
      </c>
      <c r="J2997" s="71">
        <f>IF($N2997&lt;&gt;"OK","",N(INDEX('Menu Pricing'!$F$7:$F$56,$O2997))+N(INDEX('Menu Pricing'!$G$7:$G$56,$O2997))+N(INDEX('Menu Pricing'!$J$7:$J$56,$O2997)))</f>
        <v/>
      </c>
      <c r="K2997" s="71">
        <f>IF($N2997&lt;&gt;"OK","",$D2997*$J2997)</f>
        <v/>
      </c>
      <c r="L2997" s="71">
        <f>IF($N2997&lt;&gt;"OK","",$I2997-$K2997)</f>
        <v/>
      </c>
      <c r="M2997" s="71">
        <f>IF($N2997&lt;&gt;"OK","",$D2997*N(INDEX('Menu Pricing'!$F$7:$F$56,$O2997)))</f>
        <v/>
      </c>
      <c r="N2997" s="80">
        <f>IF(AND($B2997="",$C2997="",$D2997=""),"",IF(NOT(ISNUMBER($B2997)),"Enter a valid date",IF($C2997="","Pick a menu item",IF($O2997="","Item not on Menu Pricing",IF(N($D2997)&lt;=0,"Qty must be above 0",IF($H2997="","No price on menu","OK"))))))</f>
        <v/>
      </c>
      <c r="O2997" s="13">
        <f>IF($C2997="","",IFERROR(MATCH($C2997,'Menu Pricing'!$B$7:$B$56,0),""))</f>
        <v/>
      </c>
    </row>
    <row r="2998" ht="17" customHeight="1">
      <c r="B2998" s="66" t="n"/>
      <c r="C2998" s="60" t="n"/>
      <c r="D2998" s="86" t="n"/>
      <c r="E2998" s="63" t="n"/>
      <c r="F2998" s="60" t="n"/>
      <c r="G2998" s="60" t="n"/>
      <c r="H2998" s="71">
        <f>IF(OR($C2998="",$D2998=""),"",IF(ISNUMBER($E2998),$E2998,IF($O2998="","",IF(N(INDEX('Menu Pricing'!$O$7:$O$56,$O2998))&gt;0,INDEX('Menu Pricing'!$O$7:$O$56,$O2998),""))))</f>
        <v/>
      </c>
      <c r="I2998" s="71">
        <f>IF($N2998&lt;&gt;"OK","",$D2998*$H2998)</f>
        <v/>
      </c>
      <c r="J2998" s="71">
        <f>IF($N2998&lt;&gt;"OK","",N(INDEX('Menu Pricing'!$F$7:$F$56,$O2998))+N(INDEX('Menu Pricing'!$G$7:$G$56,$O2998))+N(INDEX('Menu Pricing'!$J$7:$J$56,$O2998)))</f>
        <v/>
      </c>
      <c r="K2998" s="71">
        <f>IF($N2998&lt;&gt;"OK","",$D2998*$J2998)</f>
        <v/>
      </c>
      <c r="L2998" s="71">
        <f>IF($N2998&lt;&gt;"OK","",$I2998-$K2998)</f>
        <v/>
      </c>
      <c r="M2998" s="71">
        <f>IF($N2998&lt;&gt;"OK","",$D2998*N(INDEX('Menu Pricing'!$F$7:$F$56,$O2998)))</f>
        <v/>
      </c>
      <c r="N2998" s="80">
        <f>IF(AND($B2998="",$C2998="",$D2998=""),"",IF(NOT(ISNUMBER($B2998)),"Enter a valid date",IF($C2998="","Pick a menu item",IF($O2998="","Item not on Menu Pricing",IF(N($D2998)&lt;=0,"Qty must be above 0",IF($H2998="","No price on menu","OK"))))))</f>
        <v/>
      </c>
      <c r="O2998" s="13">
        <f>IF($C2998="","",IFERROR(MATCH($C2998,'Menu Pricing'!$B$7:$B$56,0),""))</f>
        <v/>
      </c>
    </row>
    <row r="2999" ht="17" customHeight="1">
      <c r="B2999" s="66" t="n"/>
      <c r="C2999" s="60" t="n"/>
      <c r="D2999" s="86" t="n"/>
      <c r="E2999" s="63" t="n"/>
      <c r="F2999" s="60" t="n"/>
      <c r="G2999" s="60" t="n"/>
      <c r="H2999" s="71">
        <f>IF(OR($C2999="",$D2999=""),"",IF(ISNUMBER($E2999),$E2999,IF($O2999="","",IF(N(INDEX('Menu Pricing'!$O$7:$O$56,$O2999))&gt;0,INDEX('Menu Pricing'!$O$7:$O$56,$O2999),""))))</f>
        <v/>
      </c>
      <c r="I2999" s="71">
        <f>IF($N2999&lt;&gt;"OK","",$D2999*$H2999)</f>
        <v/>
      </c>
      <c r="J2999" s="71">
        <f>IF($N2999&lt;&gt;"OK","",N(INDEX('Menu Pricing'!$F$7:$F$56,$O2999))+N(INDEX('Menu Pricing'!$G$7:$G$56,$O2999))+N(INDEX('Menu Pricing'!$J$7:$J$56,$O2999)))</f>
        <v/>
      </c>
      <c r="K2999" s="71">
        <f>IF($N2999&lt;&gt;"OK","",$D2999*$J2999)</f>
        <v/>
      </c>
      <c r="L2999" s="71">
        <f>IF($N2999&lt;&gt;"OK","",$I2999-$K2999)</f>
        <v/>
      </c>
      <c r="M2999" s="71">
        <f>IF($N2999&lt;&gt;"OK","",$D2999*N(INDEX('Menu Pricing'!$F$7:$F$56,$O2999)))</f>
        <v/>
      </c>
      <c r="N2999" s="80">
        <f>IF(AND($B2999="",$C2999="",$D2999=""),"",IF(NOT(ISNUMBER($B2999)),"Enter a valid date",IF($C2999="","Pick a menu item",IF($O2999="","Item not on Menu Pricing",IF(N($D2999)&lt;=0,"Qty must be above 0",IF($H2999="","No price on menu","OK"))))))</f>
        <v/>
      </c>
      <c r="O2999" s="13">
        <f>IF($C2999="","",IFERROR(MATCH($C2999,'Menu Pricing'!$B$7:$B$56,0),""))</f>
        <v/>
      </c>
    </row>
    <row r="3000" ht="17" customHeight="1">
      <c r="B3000" s="66" t="n"/>
      <c r="C3000" s="60" t="n"/>
      <c r="D3000" s="86" t="n"/>
      <c r="E3000" s="63" t="n"/>
      <c r="F3000" s="60" t="n"/>
      <c r="G3000" s="60" t="n"/>
      <c r="H3000" s="71">
        <f>IF(OR($C3000="",$D3000=""),"",IF(ISNUMBER($E3000),$E3000,IF($O3000="","",IF(N(INDEX('Menu Pricing'!$O$7:$O$56,$O3000))&gt;0,INDEX('Menu Pricing'!$O$7:$O$56,$O3000),""))))</f>
        <v/>
      </c>
      <c r="I3000" s="71">
        <f>IF($N3000&lt;&gt;"OK","",$D3000*$H3000)</f>
        <v/>
      </c>
      <c r="J3000" s="71">
        <f>IF($N3000&lt;&gt;"OK","",N(INDEX('Menu Pricing'!$F$7:$F$56,$O3000))+N(INDEX('Menu Pricing'!$G$7:$G$56,$O3000))+N(INDEX('Menu Pricing'!$J$7:$J$56,$O3000)))</f>
        <v/>
      </c>
      <c r="K3000" s="71">
        <f>IF($N3000&lt;&gt;"OK","",$D3000*$J3000)</f>
        <v/>
      </c>
      <c r="L3000" s="71">
        <f>IF($N3000&lt;&gt;"OK","",$I3000-$K3000)</f>
        <v/>
      </c>
      <c r="M3000" s="71">
        <f>IF($N3000&lt;&gt;"OK","",$D3000*N(INDEX('Menu Pricing'!$F$7:$F$56,$O3000)))</f>
        <v/>
      </c>
      <c r="N3000" s="80">
        <f>IF(AND($B3000="",$C3000="",$D3000=""),"",IF(NOT(ISNUMBER($B3000)),"Enter a valid date",IF($C3000="","Pick a menu item",IF($O3000="","Item not on Menu Pricing",IF(N($D3000)&lt;=0,"Qty must be above 0",IF($H3000="","No price on menu","OK"))))))</f>
        <v/>
      </c>
      <c r="O3000" s="13">
        <f>IF($C3000="","",IFERROR(MATCH($C3000,'Menu Pricing'!$B$7:$B$56,0),""))</f>
        <v/>
      </c>
    </row>
    <row r="3001" ht="17" customHeight="1">
      <c r="B3001" s="66" t="n"/>
      <c r="C3001" s="60" t="n"/>
      <c r="D3001" s="86" t="n"/>
      <c r="E3001" s="63" t="n"/>
      <c r="F3001" s="60" t="n"/>
      <c r="G3001" s="60" t="n"/>
      <c r="H3001" s="71">
        <f>IF(OR($C3001="",$D3001=""),"",IF(ISNUMBER($E3001),$E3001,IF($O3001="","",IF(N(INDEX('Menu Pricing'!$O$7:$O$56,$O3001))&gt;0,INDEX('Menu Pricing'!$O$7:$O$56,$O3001),""))))</f>
        <v/>
      </c>
      <c r="I3001" s="71">
        <f>IF($N3001&lt;&gt;"OK","",$D3001*$H3001)</f>
        <v/>
      </c>
      <c r="J3001" s="71">
        <f>IF($N3001&lt;&gt;"OK","",N(INDEX('Menu Pricing'!$F$7:$F$56,$O3001))+N(INDEX('Menu Pricing'!$G$7:$G$56,$O3001))+N(INDEX('Menu Pricing'!$J$7:$J$56,$O3001)))</f>
        <v/>
      </c>
      <c r="K3001" s="71">
        <f>IF($N3001&lt;&gt;"OK","",$D3001*$J3001)</f>
        <v/>
      </c>
      <c r="L3001" s="71">
        <f>IF($N3001&lt;&gt;"OK","",$I3001-$K3001)</f>
        <v/>
      </c>
      <c r="M3001" s="71">
        <f>IF($N3001&lt;&gt;"OK","",$D3001*N(INDEX('Menu Pricing'!$F$7:$F$56,$O3001)))</f>
        <v/>
      </c>
      <c r="N3001" s="80">
        <f>IF(AND($B3001="",$C3001="",$D3001=""),"",IF(NOT(ISNUMBER($B3001)),"Enter a valid date",IF($C3001="","Pick a menu item",IF($O3001="","Item not on Menu Pricing",IF(N($D3001)&lt;=0,"Qty must be above 0",IF($H3001="","No price on menu","OK"))))))</f>
        <v/>
      </c>
      <c r="O3001" s="13">
        <f>IF($C3001="","",IFERROR(MATCH($C3001,'Menu Pricing'!$B$7:$B$56,0),""))</f>
        <v/>
      </c>
    </row>
    <row r="3002" ht="17" customHeight="1">
      <c r="B3002" s="66" t="n"/>
      <c r="C3002" s="60" t="n"/>
      <c r="D3002" s="86" t="n"/>
      <c r="E3002" s="63" t="n"/>
      <c r="F3002" s="60" t="n"/>
      <c r="G3002" s="60" t="n"/>
      <c r="H3002" s="71">
        <f>IF(OR($C3002="",$D3002=""),"",IF(ISNUMBER($E3002),$E3002,IF($O3002="","",IF(N(INDEX('Menu Pricing'!$O$7:$O$56,$O3002))&gt;0,INDEX('Menu Pricing'!$O$7:$O$56,$O3002),""))))</f>
        <v/>
      </c>
      <c r="I3002" s="71">
        <f>IF($N3002&lt;&gt;"OK","",$D3002*$H3002)</f>
        <v/>
      </c>
      <c r="J3002" s="71">
        <f>IF($N3002&lt;&gt;"OK","",N(INDEX('Menu Pricing'!$F$7:$F$56,$O3002))+N(INDEX('Menu Pricing'!$G$7:$G$56,$O3002))+N(INDEX('Menu Pricing'!$J$7:$J$56,$O3002)))</f>
        <v/>
      </c>
      <c r="K3002" s="71">
        <f>IF($N3002&lt;&gt;"OK","",$D3002*$J3002)</f>
        <v/>
      </c>
      <c r="L3002" s="71">
        <f>IF($N3002&lt;&gt;"OK","",$I3002-$K3002)</f>
        <v/>
      </c>
      <c r="M3002" s="71">
        <f>IF($N3002&lt;&gt;"OK","",$D3002*N(INDEX('Menu Pricing'!$F$7:$F$56,$O3002)))</f>
        <v/>
      </c>
      <c r="N3002" s="80">
        <f>IF(AND($B3002="",$C3002="",$D3002=""),"",IF(NOT(ISNUMBER($B3002)),"Enter a valid date",IF($C3002="","Pick a menu item",IF($O3002="","Item not on Menu Pricing",IF(N($D3002)&lt;=0,"Qty must be above 0",IF($H3002="","No price on menu","OK"))))))</f>
        <v/>
      </c>
      <c r="O3002" s="13">
        <f>IF($C3002="","",IFERROR(MATCH($C3002,'Menu Pricing'!$B$7:$B$56,0),""))</f>
        <v/>
      </c>
    </row>
    <row r="3003" ht="17" customHeight="1">
      <c r="B3003" s="66" t="n"/>
      <c r="C3003" s="60" t="n"/>
      <c r="D3003" s="86" t="n"/>
      <c r="E3003" s="63" t="n"/>
      <c r="F3003" s="60" t="n"/>
      <c r="G3003" s="60" t="n"/>
      <c r="H3003" s="71">
        <f>IF(OR($C3003="",$D3003=""),"",IF(ISNUMBER($E3003),$E3003,IF($O3003="","",IF(N(INDEX('Menu Pricing'!$O$7:$O$56,$O3003))&gt;0,INDEX('Menu Pricing'!$O$7:$O$56,$O3003),""))))</f>
        <v/>
      </c>
      <c r="I3003" s="71">
        <f>IF($N3003&lt;&gt;"OK","",$D3003*$H3003)</f>
        <v/>
      </c>
      <c r="J3003" s="71">
        <f>IF($N3003&lt;&gt;"OK","",N(INDEX('Menu Pricing'!$F$7:$F$56,$O3003))+N(INDEX('Menu Pricing'!$G$7:$G$56,$O3003))+N(INDEX('Menu Pricing'!$J$7:$J$56,$O3003)))</f>
        <v/>
      </c>
      <c r="K3003" s="71">
        <f>IF($N3003&lt;&gt;"OK","",$D3003*$J3003)</f>
        <v/>
      </c>
      <c r="L3003" s="71">
        <f>IF($N3003&lt;&gt;"OK","",$I3003-$K3003)</f>
        <v/>
      </c>
      <c r="M3003" s="71">
        <f>IF($N3003&lt;&gt;"OK","",$D3003*N(INDEX('Menu Pricing'!$F$7:$F$56,$O3003)))</f>
        <v/>
      </c>
      <c r="N3003" s="80">
        <f>IF(AND($B3003="",$C3003="",$D3003=""),"",IF(NOT(ISNUMBER($B3003)),"Enter a valid date",IF($C3003="","Pick a menu item",IF($O3003="","Item not on Menu Pricing",IF(N($D3003)&lt;=0,"Qty must be above 0",IF($H3003="","No price on menu","OK"))))))</f>
        <v/>
      </c>
      <c r="O3003" s="13">
        <f>IF($C3003="","",IFERROR(MATCH($C3003,'Menu Pricing'!$B$7:$B$56,0),""))</f>
        <v/>
      </c>
    </row>
    <row r="3004" ht="17" customHeight="1">
      <c r="B3004" s="66" t="n"/>
      <c r="C3004" s="60" t="n"/>
      <c r="D3004" s="86" t="n"/>
      <c r="E3004" s="63" t="n"/>
      <c r="F3004" s="60" t="n"/>
      <c r="G3004" s="60" t="n"/>
      <c r="H3004" s="71">
        <f>IF(OR($C3004="",$D3004=""),"",IF(ISNUMBER($E3004),$E3004,IF($O3004="","",IF(N(INDEX('Menu Pricing'!$O$7:$O$56,$O3004))&gt;0,INDEX('Menu Pricing'!$O$7:$O$56,$O3004),""))))</f>
        <v/>
      </c>
      <c r="I3004" s="71">
        <f>IF($N3004&lt;&gt;"OK","",$D3004*$H3004)</f>
        <v/>
      </c>
      <c r="J3004" s="71">
        <f>IF($N3004&lt;&gt;"OK","",N(INDEX('Menu Pricing'!$F$7:$F$56,$O3004))+N(INDEX('Menu Pricing'!$G$7:$G$56,$O3004))+N(INDEX('Menu Pricing'!$J$7:$J$56,$O3004)))</f>
        <v/>
      </c>
      <c r="K3004" s="71">
        <f>IF($N3004&lt;&gt;"OK","",$D3004*$J3004)</f>
        <v/>
      </c>
      <c r="L3004" s="71">
        <f>IF($N3004&lt;&gt;"OK","",$I3004-$K3004)</f>
        <v/>
      </c>
      <c r="M3004" s="71">
        <f>IF($N3004&lt;&gt;"OK","",$D3004*N(INDEX('Menu Pricing'!$F$7:$F$56,$O3004)))</f>
        <v/>
      </c>
      <c r="N3004" s="80">
        <f>IF(AND($B3004="",$C3004="",$D3004=""),"",IF(NOT(ISNUMBER($B3004)),"Enter a valid date",IF($C3004="","Pick a menu item",IF($O3004="","Item not on Menu Pricing",IF(N($D3004)&lt;=0,"Qty must be above 0",IF($H3004="","No price on menu","OK"))))))</f>
        <v/>
      </c>
      <c r="O3004" s="13">
        <f>IF($C3004="","",IFERROR(MATCH($C3004,'Menu Pricing'!$B$7:$B$56,0),""))</f>
        <v/>
      </c>
    </row>
    <row r="3005" ht="17" customHeight="1">
      <c r="B3005" s="66" t="n"/>
      <c r="C3005" s="60" t="n"/>
      <c r="D3005" s="86" t="n"/>
      <c r="E3005" s="63" t="n"/>
      <c r="F3005" s="60" t="n"/>
      <c r="G3005" s="60" t="n"/>
      <c r="H3005" s="71">
        <f>IF(OR($C3005="",$D3005=""),"",IF(ISNUMBER($E3005),$E3005,IF($O3005="","",IF(N(INDEX('Menu Pricing'!$O$7:$O$56,$O3005))&gt;0,INDEX('Menu Pricing'!$O$7:$O$56,$O3005),""))))</f>
        <v/>
      </c>
      <c r="I3005" s="71">
        <f>IF($N3005&lt;&gt;"OK","",$D3005*$H3005)</f>
        <v/>
      </c>
      <c r="J3005" s="71">
        <f>IF($N3005&lt;&gt;"OK","",N(INDEX('Menu Pricing'!$F$7:$F$56,$O3005))+N(INDEX('Menu Pricing'!$G$7:$G$56,$O3005))+N(INDEX('Menu Pricing'!$J$7:$J$56,$O3005)))</f>
        <v/>
      </c>
      <c r="K3005" s="71">
        <f>IF($N3005&lt;&gt;"OK","",$D3005*$J3005)</f>
        <v/>
      </c>
      <c r="L3005" s="71">
        <f>IF($N3005&lt;&gt;"OK","",$I3005-$K3005)</f>
        <v/>
      </c>
      <c r="M3005" s="71">
        <f>IF($N3005&lt;&gt;"OK","",$D3005*N(INDEX('Menu Pricing'!$F$7:$F$56,$O3005)))</f>
        <v/>
      </c>
      <c r="N3005" s="80">
        <f>IF(AND($B3005="",$C3005="",$D3005=""),"",IF(NOT(ISNUMBER($B3005)),"Enter a valid date",IF($C3005="","Pick a menu item",IF($O3005="","Item not on Menu Pricing",IF(N($D3005)&lt;=0,"Qty must be above 0",IF($H3005="","No price on menu","OK"))))))</f>
        <v/>
      </c>
      <c r="O3005" s="13">
        <f>IF($C3005="","",IFERROR(MATCH($C3005,'Menu Pricing'!$B$7:$B$56,0),""))</f>
        <v/>
      </c>
    </row>
    <row r="3006" ht="17" customHeight="1">
      <c r="B3006" s="66" t="n"/>
      <c r="C3006" s="60" t="n"/>
      <c r="D3006" s="86" t="n"/>
      <c r="E3006" s="63" t="n"/>
      <c r="F3006" s="60" t="n"/>
      <c r="G3006" s="60" t="n"/>
      <c r="H3006" s="71">
        <f>IF(OR($C3006="",$D3006=""),"",IF(ISNUMBER($E3006),$E3006,IF($O3006="","",IF(N(INDEX('Menu Pricing'!$O$7:$O$56,$O3006))&gt;0,INDEX('Menu Pricing'!$O$7:$O$56,$O3006),""))))</f>
        <v/>
      </c>
      <c r="I3006" s="71">
        <f>IF($N3006&lt;&gt;"OK","",$D3006*$H3006)</f>
        <v/>
      </c>
      <c r="J3006" s="71">
        <f>IF($N3006&lt;&gt;"OK","",N(INDEX('Menu Pricing'!$F$7:$F$56,$O3006))+N(INDEX('Menu Pricing'!$G$7:$G$56,$O3006))+N(INDEX('Menu Pricing'!$J$7:$J$56,$O3006)))</f>
        <v/>
      </c>
      <c r="K3006" s="71">
        <f>IF($N3006&lt;&gt;"OK","",$D3006*$J3006)</f>
        <v/>
      </c>
      <c r="L3006" s="71">
        <f>IF($N3006&lt;&gt;"OK","",$I3006-$K3006)</f>
        <v/>
      </c>
      <c r="M3006" s="71">
        <f>IF($N3006&lt;&gt;"OK","",$D3006*N(INDEX('Menu Pricing'!$F$7:$F$56,$O3006)))</f>
        <v/>
      </c>
      <c r="N3006" s="80">
        <f>IF(AND($B3006="",$C3006="",$D3006=""),"",IF(NOT(ISNUMBER($B3006)),"Enter a valid date",IF($C3006="","Pick a menu item",IF($O3006="","Item not on Menu Pricing",IF(N($D3006)&lt;=0,"Qty must be above 0",IF($H3006="","No price on menu","OK"))))))</f>
        <v/>
      </c>
      <c r="O3006" s="13">
        <f>IF($C3006="","",IFERROR(MATCH($C3006,'Menu Pricing'!$B$7:$B$56,0),""))</f>
        <v/>
      </c>
    </row>
  </sheetData>
  <autoFilter ref="B6:N3006"/>
  <mergeCells count="2">
    <mergeCell ref="B5:G5"/>
    <mergeCell ref="H5:N5"/>
  </mergeCells>
  <conditionalFormatting sqref="N7:N3006">
    <cfRule type="expression" priority="1" dxfId="13">
      <formula>N7="OK"</formula>
    </cfRule>
    <cfRule type="expression" priority="2" dxfId="6">
      <formula>AND($N7&lt;&gt;"",$N7&lt;&gt;"OK")</formula>
    </cfRule>
  </conditionalFormatting>
  <conditionalFormatting sqref="E7:E3006">
    <cfRule type="expression" priority="3" dxfId="10">
      <formula>cfg_Currency="USD"</formula>
    </cfRule>
    <cfRule type="expression" priority="5" dxfId="11">
      <formula>cfg_Currency="GBP"</formula>
    </cfRule>
  </conditionalFormatting>
  <conditionalFormatting sqref="H7:M3006">
    <cfRule type="expression" priority="3" dxfId="10">
      <formula>cfg_Currency="USD"</formula>
    </cfRule>
    <cfRule type="expression" priority="5" dxfId="11">
      <formula>cfg_Currency="GBP"</formula>
    </cfRule>
  </conditionalFormatting>
  <dataValidations count="5">
    <dataValidation sqref="B7:B3006" showDropDown="0" showInputMessage="1" showErrorMessage="1" allowBlank="1" errorTitle="Invalid date" error="Enter a valid date (2000-2100)." promptTitle="Date" prompt="Enter a date, e.g. 15/03/2026 or 3/15/2026 (your computer's format)." type="date" operator="between">
      <formula1>DATE(2000,1,1)</formula1>
      <formula2>DATE(2100,12,31)</formula2>
    </dataValidation>
    <dataValidation sqref="C7:C3006" showDropDown="0" showInputMessage="1" showErrorMessage="1" allowBlank="1" errorTitle="Not in list" error="Please pick a value from the dropdown list." promptTitle="Menu item" prompt="Pick a menu item." type="list" errorStyle="stop">
      <formula1>'Menu Pricing'!$B$7:$B$56</formula1>
    </dataValidation>
    <dataValidation sqref="D7:D3006" showDropDown="0" showInputMessage="1" showErrorMessage="1" allowBlank="1" errorTitle="Invalid number" error="Enter a number greater than 0." promptTitle="Quantity" prompt="Number of servings sold." type="decimal" operator="greaterThan">
      <formula1>0</formula1>
    </dataValidation>
    <dataValidation sqref="E7:E3006" showDropDown="0" showInputMessage="1" showErrorMessage="1" allowBlank="1" errorTitle="Invalid number" error="Enter a number of at least 0." promptTitle="Price charged" prompt="Only if you charged something other than the menu price (event pricing, discount)." type="decimal" operator="greaterThanOrEqual">
      <formula1>0</formula1>
    </dataValidation>
    <dataValidation sqref="F7:F3006" showDropDown="0" showInputMessage="0" showErrorMessage="0" allowBlank="1" errorTitle="Not in list" error="Please pick a value from the dropdown list." type="list" errorStyle="warning">
      <formula1>lst_Pay</formula1>
    </dataValidation>
  </dataValidations>
  <hyperlinks>
    <hyperlink ref="B4" location="'Start Here'!A1" display="› Start Here"/>
    <hyperlink ref="D4" location="'Dashboard'!A1" display="› Dashboard"/>
    <hyperlink ref="F4" location="'Menu Pricing'!A1" display="› Menu Pricing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K1506"/>
  <sheetViews>
    <sheetView showGridLines="0" zoomScale="100" workbookViewId="0">
      <pane xSplit="2" ySplit="6" topLeftCell="C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13" customWidth="1" min="2" max="2"/>
    <col width="30" customWidth="1" min="3" max="3"/>
    <col width="34" customWidth="1" min="4" max="4"/>
    <col width="12" customWidth="1" min="5" max="5"/>
    <col width="15" customWidth="1" min="6" max="6"/>
    <col width="22" customWidth="1" min="7" max="7"/>
    <col width="24" customWidth="1" min="8" max="8"/>
    <col width="20" customWidth="1" min="9" max="9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0" customHeight="1">
      <c r="B2" s="54" t="inlineStr">
        <is>
          <t>Expenses</t>
        </is>
      </c>
      <c r="J2" s="55" t="inlineStr">
        <is>
          <t>NoviraNest</t>
        </is>
      </c>
    </row>
    <row r="3" ht="18" customHeight="1">
      <c r="B3" s="56" t="inlineStr">
        <is>
          <t>Every business cost with a date and category. Ingredient purchases and owner's draw are kept for your records but excluded from profit (see Lists).</t>
        </is>
      </c>
    </row>
    <row r="4" ht="18" customHeight="1">
      <c r="B4" s="57" t="inlineStr">
        <is>
          <t>› Start Here</t>
        </is>
      </c>
      <c r="D4" s="57" t="inlineStr">
        <is>
          <t>› Dashboard</t>
        </is>
      </c>
      <c r="E4" s="57" t="inlineStr">
        <is>
          <t>› Lists</t>
        </is>
      </c>
    </row>
    <row r="5" ht="16" customHeight="1">
      <c r="B5" s="75" t="inlineStr">
        <is>
          <t>YOU TYPE</t>
        </is>
      </c>
      <c r="H5" s="67" t="inlineStr">
        <is>
          <t>AUTOMATIC</t>
        </is>
      </c>
    </row>
    <row r="6" ht="34" customHeight="1">
      <c r="B6" s="58" t="inlineStr">
        <is>
          <t>Date</t>
        </is>
      </c>
      <c r="C6" s="58" t="inlineStr">
        <is>
          <t>Category</t>
        </is>
      </c>
      <c r="D6" s="58" t="inlineStr">
        <is>
          <t>Description</t>
        </is>
      </c>
      <c r="E6" s="58">
        <f>"Amount ("&amp;cfg_Symbol&amp;")"</f>
        <v/>
      </c>
      <c r="F6" s="58" t="inlineStr">
        <is>
          <t>Payment method</t>
        </is>
      </c>
      <c r="G6" s="58" t="inlineStr">
        <is>
          <t>Paid to</t>
        </is>
      </c>
      <c r="H6" s="58" t="inlineStr">
        <is>
          <t>Cost type</t>
        </is>
      </c>
      <c r="I6" s="58" t="inlineStr">
        <is>
          <t>Check</t>
        </is>
      </c>
    </row>
    <row r="7" ht="17" customHeight="1">
      <c r="B7" s="66" t="n"/>
      <c r="C7" s="60" t="n"/>
      <c r="D7" s="60" t="n"/>
      <c r="E7" s="63" t="n"/>
      <c r="F7" s="60" t="n"/>
      <c r="G7" s="60" t="n"/>
      <c r="H7" s="13">
        <f>IF($C7="","",IFERROR(INDEX('Lists'!$G$6:$G$35,MATCH($C7,'Lists'!$F$6:$F$35,0))&amp;"","Unknown category"))</f>
        <v/>
      </c>
      <c r="I7" s="80">
        <f>IF(AND($B7="",$C7="",$E7=""),"",IF(NOT(ISNUMBER($B7)),"Enter a valid date",IF($C7="","Pick a category",IF(OR($H7="Unknown category",$H7=""),"Category has no cost type",IF(NOT(ISNUMBER($E7)),"Enter an amount","OK")))))</f>
        <v/>
      </c>
    </row>
    <row r="8" ht="17" customHeight="1">
      <c r="B8" s="66" t="n"/>
      <c r="C8" s="60" t="n"/>
      <c r="D8" s="60" t="n"/>
      <c r="E8" s="63" t="n"/>
      <c r="F8" s="60" t="n"/>
      <c r="G8" s="60" t="n"/>
      <c r="H8" s="13">
        <f>IF($C8="","",IFERROR(INDEX('Lists'!$G$6:$G$35,MATCH($C8,'Lists'!$F$6:$F$35,0))&amp;"","Unknown category"))</f>
        <v/>
      </c>
      <c r="I8" s="80">
        <f>IF(AND($B8="",$C8="",$E8=""),"",IF(NOT(ISNUMBER($B8)),"Enter a valid date",IF($C8="","Pick a category",IF(OR($H8="Unknown category",$H8=""),"Category has no cost type",IF(NOT(ISNUMBER($E8)),"Enter an amount","OK")))))</f>
        <v/>
      </c>
    </row>
    <row r="9" ht="17" customHeight="1">
      <c r="B9" s="66" t="n"/>
      <c r="C9" s="60" t="n"/>
      <c r="D9" s="60" t="n"/>
      <c r="E9" s="63" t="n"/>
      <c r="F9" s="60" t="n"/>
      <c r="G9" s="60" t="n"/>
      <c r="H9" s="13">
        <f>IF($C9="","",IFERROR(INDEX('Lists'!$G$6:$G$35,MATCH($C9,'Lists'!$F$6:$F$35,0))&amp;"","Unknown category"))</f>
        <v/>
      </c>
      <c r="I9" s="80">
        <f>IF(AND($B9="",$C9="",$E9=""),"",IF(NOT(ISNUMBER($B9)),"Enter a valid date",IF($C9="","Pick a category",IF(OR($H9="Unknown category",$H9=""),"Category has no cost type",IF(NOT(ISNUMBER($E9)),"Enter an amount","OK")))))</f>
        <v/>
      </c>
    </row>
    <row r="10" ht="17" customHeight="1">
      <c r="B10" s="66" t="n"/>
      <c r="C10" s="60" t="n"/>
      <c r="D10" s="60" t="n"/>
      <c r="E10" s="63" t="n"/>
      <c r="F10" s="60" t="n"/>
      <c r="G10" s="60" t="n"/>
      <c r="H10" s="13">
        <f>IF($C10="","",IFERROR(INDEX('Lists'!$G$6:$G$35,MATCH($C10,'Lists'!$F$6:$F$35,0))&amp;"","Unknown category"))</f>
        <v/>
      </c>
      <c r="I10" s="80">
        <f>IF(AND($B10="",$C10="",$E10=""),"",IF(NOT(ISNUMBER($B10)),"Enter a valid date",IF($C10="","Pick a category",IF(OR($H10="Unknown category",$H10=""),"Category has no cost type",IF(NOT(ISNUMBER($E10)),"Enter an amount","OK")))))</f>
        <v/>
      </c>
    </row>
    <row r="11" ht="17" customHeight="1">
      <c r="B11" s="66" t="n"/>
      <c r="C11" s="60" t="n"/>
      <c r="D11" s="60" t="n"/>
      <c r="E11" s="63" t="n"/>
      <c r="F11" s="60" t="n"/>
      <c r="G11" s="60" t="n"/>
      <c r="H11" s="13">
        <f>IF($C11="","",IFERROR(INDEX('Lists'!$G$6:$G$35,MATCH($C11,'Lists'!$F$6:$F$35,0))&amp;"","Unknown category"))</f>
        <v/>
      </c>
      <c r="I11" s="80">
        <f>IF(AND($B11="",$C11="",$E11=""),"",IF(NOT(ISNUMBER($B11)),"Enter a valid date",IF($C11="","Pick a category",IF(OR($H11="Unknown category",$H11=""),"Category has no cost type",IF(NOT(ISNUMBER($E11)),"Enter an amount","OK")))))</f>
        <v/>
      </c>
    </row>
    <row r="12" ht="17" customHeight="1">
      <c r="B12" s="66" t="n"/>
      <c r="C12" s="60" t="n"/>
      <c r="D12" s="60" t="n"/>
      <c r="E12" s="63" t="n"/>
      <c r="F12" s="60" t="n"/>
      <c r="G12" s="60" t="n"/>
      <c r="H12" s="13">
        <f>IF($C12="","",IFERROR(INDEX('Lists'!$G$6:$G$35,MATCH($C12,'Lists'!$F$6:$F$35,0))&amp;"","Unknown category"))</f>
        <v/>
      </c>
      <c r="I12" s="80">
        <f>IF(AND($B12="",$C12="",$E12=""),"",IF(NOT(ISNUMBER($B12)),"Enter a valid date",IF($C12="","Pick a category",IF(OR($H12="Unknown category",$H12=""),"Category has no cost type",IF(NOT(ISNUMBER($E12)),"Enter an amount","OK")))))</f>
        <v/>
      </c>
    </row>
    <row r="13" ht="17" customHeight="1">
      <c r="B13" s="66" t="n"/>
      <c r="C13" s="60" t="n"/>
      <c r="D13" s="60" t="n"/>
      <c r="E13" s="63" t="n"/>
      <c r="F13" s="60" t="n"/>
      <c r="G13" s="60" t="n"/>
      <c r="H13" s="13">
        <f>IF($C13="","",IFERROR(INDEX('Lists'!$G$6:$G$35,MATCH($C13,'Lists'!$F$6:$F$35,0))&amp;"","Unknown category"))</f>
        <v/>
      </c>
      <c r="I13" s="80">
        <f>IF(AND($B13="",$C13="",$E13=""),"",IF(NOT(ISNUMBER($B13)),"Enter a valid date",IF($C13="","Pick a category",IF(OR($H13="Unknown category",$H13=""),"Category has no cost type",IF(NOT(ISNUMBER($E13)),"Enter an amount","OK")))))</f>
        <v/>
      </c>
    </row>
    <row r="14" ht="17" customHeight="1">
      <c r="B14" s="66" t="n"/>
      <c r="C14" s="60" t="n"/>
      <c r="D14" s="60" t="n"/>
      <c r="E14" s="63" t="n"/>
      <c r="F14" s="60" t="n"/>
      <c r="G14" s="60" t="n"/>
      <c r="H14" s="13">
        <f>IF($C14="","",IFERROR(INDEX('Lists'!$G$6:$G$35,MATCH($C14,'Lists'!$F$6:$F$35,0))&amp;"","Unknown category"))</f>
        <v/>
      </c>
      <c r="I14" s="80">
        <f>IF(AND($B14="",$C14="",$E14=""),"",IF(NOT(ISNUMBER($B14)),"Enter a valid date",IF($C14="","Pick a category",IF(OR($H14="Unknown category",$H14=""),"Category has no cost type",IF(NOT(ISNUMBER($E14)),"Enter an amount","OK")))))</f>
        <v/>
      </c>
    </row>
    <row r="15" ht="17" customHeight="1">
      <c r="B15" s="66" t="n"/>
      <c r="C15" s="60" t="n"/>
      <c r="D15" s="60" t="n"/>
      <c r="E15" s="63" t="n"/>
      <c r="F15" s="60" t="n"/>
      <c r="G15" s="60" t="n"/>
      <c r="H15" s="13">
        <f>IF($C15="","",IFERROR(INDEX('Lists'!$G$6:$G$35,MATCH($C15,'Lists'!$F$6:$F$35,0))&amp;"","Unknown category"))</f>
        <v/>
      </c>
      <c r="I15" s="80">
        <f>IF(AND($B15="",$C15="",$E15=""),"",IF(NOT(ISNUMBER($B15)),"Enter a valid date",IF($C15="","Pick a category",IF(OR($H15="Unknown category",$H15=""),"Category has no cost type",IF(NOT(ISNUMBER($E15)),"Enter an amount","OK")))))</f>
        <v/>
      </c>
    </row>
    <row r="16" ht="17" customHeight="1">
      <c r="B16" s="66" t="n"/>
      <c r="C16" s="60" t="n"/>
      <c r="D16" s="60" t="n"/>
      <c r="E16" s="63" t="n"/>
      <c r="F16" s="60" t="n"/>
      <c r="G16" s="60" t="n"/>
      <c r="H16" s="13">
        <f>IF($C16="","",IFERROR(INDEX('Lists'!$G$6:$G$35,MATCH($C16,'Lists'!$F$6:$F$35,0))&amp;"","Unknown category"))</f>
        <v/>
      </c>
      <c r="I16" s="80">
        <f>IF(AND($B16="",$C16="",$E16=""),"",IF(NOT(ISNUMBER($B16)),"Enter a valid date",IF($C16="","Pick a category",IF(OR($H16="Unknown category",$H16=""),"Category has no cost type",IF(NOT(ISNUMBER($E16)),"Enter an amount","OK")))))</f>
        <v/>
      </c>
    </row>
    <row r="17" ht="17" customHeight="1">
      <c r="B17" s="66" t="n"/>
      <c r="C17" s="60" t="n"/>
      <c r="D17" s="60" t="n"/>
      <c r="E17" s="63" t="n"/>
      <c r="F17" s="60" t="n"/>
      <c r="G17" s="60" t="n"/>
      <c r="H17" s="13">
        <f>IF($C17="","",IFERROR(INDEX('Lists'!$G$6:$G$35,MATCH($C17,'Lists'!$F$6:$F$35,0))&amp;"","Unknown category"))</f>
        <v/>
      </c>
      <c r="I17" s="80">
        <f>IF(AND($B17="",$C17="",$E17=""),"",IF(NOT(ISNUMBER($B17)),"Enter a valid date",IF($C17="","Pick a category",IF(OR($H17="Unknown category",$H17=""),"Category has no cost type",IF(NOT(ISNUMBER($E17)),"Enter an amount","OK")))))</f>
        <v/>
      </c>
    </row>
    <row r="18" ht="17" customHeight="1">
      <c r="B18" s="66" t="n"/>
      <c r="C18" s="60" t="n"/>
      <c r="D18" s="60" t="n"/>
      <c r="E18" s="63" t="n"/>
      <c r="F18" s="60" t="n"/>
      <c r="G18" s="60" t="n"/>
      <c r="H18" s="13">
        <f>IF($C18="","",IFERROR(INDEX('Lists'!$G$6:$G$35,MATCH($C18,'Lists'!$F$6:$F$35,0))&amp;"","Unknown category"))</f>
        <v/>
      </c>
      <c r="I18" s="80">
        <f>IF(AND($B18="",$C18="",$E18=""),"",IF(NOT(ISNUMBER($B18)),"Enter a valid date",IF($C18="","Pick a category",IF(OR($H18="Unknown category",$H18=""),"Category has no cost type",IF(NOT(ISNUMBER($E18)),"Enter an amount","OK")))))</f>
        <v/>
      </c>
    </row>
    <row r="19" ht="17" customHeight="1">
      <c r="B19" s="66" t="n"/>
      <c r="C19" s="60" t="n"/>
      <c r="D19" s="60" t="n"/>
      <c r="E19" s="63" t="n"/>
      <c r="F19" s="60" t="n"/>
      <c r="G19" s="60" t="n"/>
      <c r="H19" s="13">
        <f>IF($C19="","",IFERROR(INDEX('Lists'!$G$6:$G$35,MATCH($C19,'Lists'!$F$6:$F$35,0))&amp;"","Unknown category"))</f>
        <v/>
      </c>
      <c r="I19" s="80">
        <f>IF(AND($B19="",$C19="",$E19=""),"",IF(NOT(ISNUMBER($B19)),"Enter a valid date",IF($C19="","Pick a category",IF(OR($H19="Unknown category",$H19=""),"Category has no cost type",IF(NOT(ISNUMBER($E19)),"Enter an amount","OK")))))</f>
        <v/>
      </c>
    </row>
    <row r="20" ht="17" customHeight="1">
      <c r="B20" s="66" t="n"/>
      <c r="C20" s="60" t="n"/>
      <c r="D20" s="60" t="n"/>
      <c r="E20" s="63" t="n"/>
      <c r="F20" s="60" t="n"/>
      <c r="G20" s="60" t="n"/>
      <c r="H20" s="13">
        <f>IF($C20="","",IFERROR(INDEX('Lists'!$G$6:$G$35,MATCH($C20,'Lists'!$F$6:$F$35,0))&amp;"","Unknown category"))</f>
        <v/>
      </c>
      <c r="I20" s="80">
        <f>IF(AND($B20="",$C20="",$E20=""),"",IF(NOT(ISNUMBER($B20)),"Enter a valid date",IF($C20="","Pick a category",IF(OR($H20="Unknown category",$H20=""),"Category has no cost type",IF(NOT(ISNUMBER($E20)),"Enter an amount","OK")))))</f>
        <v/>
      </c>
    </row>
    <row r="21" ht="17" customHeight="1">
      <c r="B21" s="66" t="n"/>
      <c r="C21" s="60" t="n"/>
      <c r="D21" s="60" t="n"/>
      <c r="E21" s="63" t="n"/>
      <c r="F21" s="60" t="n"/>
      <c r="G21" s="60" t="n"/>
      <c r="H21" s="13">
        <f>IF($C21="","",IFERROR(INDEX('Lists'!$G$6:$G$35,MATCH($C21,'Lists'!$F$6:$F$35,0))&amp;"","Unknown category"))</f>
        <v/>
      </c>
      <c r="I21" s="80">
        <f>IF(AND($B21="",$C21="",$E21=""),"",IF(NOT(ISNUMBER($B21)),"Enter a valid date",IF($C21="","Pick a category",IF(OR($H21="Unknown category",$H21=""),"Category has no cost type",IF(NOT(ISNUMBER($E21)),"Enter an amount","OK")))))</f>
        <v/>
      </c>
    </row>
    <row r="22" ht="17" customHeight="1">
      <c r="B22" s="66" t="n"/>
      <c r="C22" s="60" t="n"/>
      <c r="D22" s="60" t="n"/>
      <c r="E22" s="63" t="n"/>
      <c r="F22" s="60" t="n"/>
      <c r="G22" s="60" t="n"/>
      <c r="H22" s="13">
        <f>IF($C22="","",IFERROR(INDEX('Lists'!$G$6:$G$35,MATCH($C22,'Lists'!$F$6:$F$35,0))&amp;"","Unknown category"))</f>
        <v/>
      </c>
      <c r="I22" s="80">
        <f>IF(AND($B22="",$C22="",$E22=""),"",IF(NOT(ISNUMBER($B22)),"Enter a valid date",IF($C22="","Pick a category",IF(OR($H22="Unknown category",$H22=""),"Category has no cost type",IF(NOT(ISNUMBER($E22)),"Enter an amount","OK")))))</f>
        <v/>
      </c>
    </row>
    <row r="23" ht="17" customHeight="1">
      <c r="B23" s="66" t="n"/>
      <c r="C23" s="60" t="n"/>
      <c r="D23" s="60" t="n"/>
      <c r="E23" s="63" t="n"/>
      <c r="F23" s="60" t="n"/>
      <c r="G23" s="60" t="n"/>
      <c r="H23" s="13">
        <f>IF($C23="","",IFERROR(INDEX('Lists'!$G$6:$G$35,MATCH($C23,'Lists'!$F$6:$F$35,0))&amp;"","Unknown category"))</f>
        <v/>
      </c>
      <c r="I23" s="80">
        <f>IF(AND($B23="",$C23="",$E23=""),"",IF(NOT(ISNUMBER($B23)),"Enter a valid date",IF($C23="","Pick a category",IF(OR($H23="Unknown category",$H23=""),"Category has no cost type",IF(NOT(ISNUMBER($E23)),"Enter an amount","OK")))))</f>
        <v/>
      </c>
    </row>
    <row r="24" ht="17" customHeight="1">
      <c r="B24" s="66" t="n"/>
      <c r="C24" s="60" t="n"/>
      <c r="D24" s="60" t="n"/>
      <c r="E24" s="63" t="n"/>
      <c r="F24" s="60" t="n"/>
      <c r="G24" s="60" t="n"/>
      <c r="H24" s="13">
        <f>IF($C24="","",IFERROR(INDEX('Lists'!$G$6:$G$35,MATCH($C24,'Lists'!$F$6:$F$35,0))&amp;"","Unknown category"))</f>
        <v/>
      </c>
      <c r="I24" s="80">
        <f>IF(AND($B24="",$C24="",$E24=""),"",IF(NOT(ISNUMBER($B24)),"Enter a valid date",IF($C24="","Pick a category",IF(OR($H24="Unknown category",$H24=""),"Category has no cost type",IF(NOT(ISNUMBER($E24)),"Enter an amount","OK")))))</f>
        <v/>
      </c>
    </row>
    <row r="25" ht="17" customHeight="1">
      <c r="B25" s="66" t="n"/>
      <c r="C25" s="60" t="n"/>
      <c r="D25" s="60" t="n"/>
      <c r="E25" s="63" t="n"/>
      <c r="F25" s="60" t="n"/>
      <c r="G25" s="60" t="n"/>
      <c r="H25" s="13">
        <f>IF($C25="","",IFERROR(INDEX('Lists'!$G$6:$G$35,MATCH($C25,'Lists'!$F$6:$F$35,0))&amp;"","Unknown category"))</f>
        <v/>
      </c>
      <c r="I25" s="80">
        <f>IF(AND($B25="",$C25="",$E25=""),"",IF(NOT(ISNUMBER($B25)),"Enter a valid date",IF($C25="","Pick a category",IF(OR($H25="Unknown category",$H25=""),"Category has no cost type",IF(NOT(ISNUMBER($E25)),"Enter an amount","OK")))))</f>
        <v/>
      </c>
    </row>
    <row r="26" ht="17" customHeight="1">
      <c r="B26" s="66" t="n"/>
      <c r="C26" s="60" t="n"/>
      <c r="D26" s="60" t="n"/>
      <c r="E26" s="63" t="n"/>
      <c r="F26" s="60" t="n"/>
      <c r="G26" s="60" t="n"/>
      <c r="H26" s="13">
        <f>IF($C26="","",IFERROR(INDEX('Lists'!$G$6:$G$35,MATCH($C26,'Lists'!$F$6:$F$35,0))&amp;"","Unknown category"))</f>
        <v/>
      </c>
      <c r="I26" s="80">
        <f>IF(AND($B26="",$C26="",$E26=""),"",IF(NOT(ISNUMBER($B26)),"Enter a valid date",IF($C26="","Pick a category",IF(OR($H26="Unknown category",$H26=""),"Category has no cost type",IF(NOT(ISNUMBER($E26)),"Enter an amount","OK")))))</f>
        <v/>
      </c>
    </row>
    <row r="27" ht="17" customHeight="1">
      <c r="B27" s="66" t="n"/>
      <c r="C27" s="60" t="n"/>
      <c r="D27" s="60" t="n"/>
      <c r="E27" s="63" t="n"/>
      <c r="F27" s="60" t="n"/>
      <c r="G27" s="60" t="n"/>
      <c r="H27" s="13">
        <f>IF($C27="","",IFERROR(INDEX('Lists'!$G$6:$G$35,MATCH($C27,'Lists'!$F$6:$F$35,0))&amp;"","Unknown category"))</f>
        <v/>
      </c>
      <c r="I27" s="80">
        <f>IF(AND($B27="",$C27="",$E27=""),"",IF(NOT(ISNUMBER($B27)),"Enter a valid date",IF($C27="","Pick a category",IF(OR($H27="Unknown category",$H27=""),"Category has no cost type",IF(NOT(ISNUMBER($E27)),"Enter an amount","OK")))))</f>
        <v/>
      </c>
    </row>
    <row r="28" ht="17" customHeight="1">
      <c r="B28" s="66" t="n"/>
      <c r="C28" s="60" t="n"/>
      <c r="D28" s="60" t="n"/>
      <c r="E28" s="63" t="n"/>
      <c r="F28" s="60" t="n"/>
      <c r="G28" s="60" t="n"/>
      <c r="H28" s="13">
        <f>IF($C28="","",IFERROR(INDEX('Lists'!$G$6:$G$35,MATCH($C28,'Lists'!$F$6:$F$35,0))&amp;"","Unknown category"))</f>
        <v/>
      </c>
      <c r="I28" s="80">
        <f>IF(AND($B28="",$C28="",$E28=""),"",IF(NOT(ISNUMBER($B28)),"Enter a valid date",IF($C28="","Pick a category",IF(OR($H28="Unknown category",$H28=""),"Category has no cost type",IF(NOT(ISNUMBER($E28)),"Enter an amount","OK")))))</f>
        <v/>
      </c>
    </row>
    <row r="29" ht="17" customHeight="1">
      <c r="B29" s="66" t="n"/>
      <c r="C29" s="60" t="n"/>
      <c r="D29" s="60" t="n"/>
      <c r="E29" s="63" t="n"/>
      <c r="F29" s="60" t="n"/>
      <c r="G29" s="60" t="n"/>
      <c r="H29" s="13">
        <f>IF($C29="","",IFERROR(INDEX('Lists'!$G$6:$G$35,MATCH($C29,'Lists'!$F$6:$F$35,0))&amp;"","Unknown category"))</f>
        <v/>
      </c>
      <c r="I29" s="80">
        <f>IF(AND($B29="",$C29="",$E29=""),"",IF(NOT(ISNUMBER($B29)),"Enter a valid date",IF($C29="","Pick a category",IF(OR($H29="Unknown category",$H29=""),"Category has no cost type",IF(NOT(ISNUMBER($E29)),"Enter an amount","OK")))))</f>
        <v/>
      </c>
    </row>
    <row r="30" ht="17" customHeight="1">
      <c r="B30" s="66" t="n"/>
      <c r="C30" s="60" t="n"/>
      <c r="D30" s="60" t="n"/>
      <c r="E30" s="63" t="n"/>
      <c r="F30" s="60" t="n"/>
      <c r="G30" s="60" t="n"/>
      <c r="H30" s="13">
        <f>IF($C30="","",IFERROR(INDEX('Lists'!$G$6:$G$35,MATCH($C30,'Lists'!$F$6:$F$35,0))&amp;"","Unknown category"))</f>
        <v/>
      </c>
      <c r="I30" s="80">
        <f>IF(AND($B30="",$C30="",$E30=""),"",IF(NOT(ISNUMBER($B30)),"Enter a valid date",IF($C30="","Pick a category",IF(OR($H30="Unknown category",$H30=""),"Category has no cost type",IF(NOT(ISNUMBER($E30)),"Enter an amount","OK")))))</f>
        <v/>
      </c>
    </row>
    <row r="31" ht="17" customHeight="1">
      <c r="B31" s="66" t="n"/>
      <c r="C31" s="60" t="n"/>
      <c r="D31" s="60" t="n"/>
      <c r="E31" s="63" t="n"/>
      <c r="F31" s="60" t="n"/>
      <c r="G31" s="60" t="n"/>
      <c r="H31" s="13">
        <f>IF($C31="","",IFERROR(INDEX('Lists'!$G$6:$G$35,MATCH($C31,'Lists'!$F$6:$F$35,0))&amp;"","Unknown category"))</f>
        <v/>
      </c>
      <c r="I31" s="80">
        <f>IF(AND($B31="",$C31="",$E31=""),"",IF(NOT(ISNUMBER($B31)),"Enter a valid date",IF($C31="","Pick a category",IF(OR($H31="Unknown category",$H31=""),"Category has no cost type",IF(NOT(ISNUMBER($E31)),"Enter an amount","OK")))))</f>
        <v/>
      </c>
    </row>
    <row r="32" ht="17" customHeight="1">
      <c r="B32" s="66" t="n"/>
      <c r="C32" s="60" t="n"/>
      <c r="D32" s="60" t="n"/>
      <c r="E32" s="63" t="n"/>
      <c r="F32" s="60" t="n"/>
      <c r="G32" s="60" t="n"/>
      <c r="H32" s="13">
        <f>IF($C32="","",IFERROR(INDEX('Lists'!$G$6:$G$35,MATCH($C32,'Lists'!$F$6:$F$35,0))&amp;"","Unknown category"))</f>
        <v/>
      </c>
      <c r="I32" s="80">
        <f>IF(AND($B32="",$C32="",$E32=""),"",IF(NOT(ISNUMBER($B32)),"Enter a valid date",IF($C32="","Pick a category",IF(OR($H32="Unknown category",$H32=""),"Category has no cost type",IF(NOT(ISNUMBER($E32)),"Enter an amount","OK")))))</f>
        <v/>
      </c>
    </row>
    <row r="33" ht="17" customHeight="1">
      <c r="B33" s="66" t="n"/>
      <c r="C33" s="60" t="n"/>
      <c r="D33" s="60" t="n"/>
      <c r="E33" s="63" t="n"/>
      <c r="F33" s="60" t="n"/>
      <c r="G33" s="60" t="n"/>
      <c r="H33" s="13">
        <f>IF($C33="","",IFERROR(INDEX('Lists'!$G$6:$G$35,MATCH($C33,'Lists'!$F$6:$F$35,0))&amp;"","Unknown category"))</f>
        <v/>
      </c>
      <c r="I33" s="80">
        <f>IF(AND($B33="",$C33="",$E33=""),"",IF(NOT(ISNUMBER($B33)),"Enter a valid date",IF($C33="","Pick a category",IF(OR($H33="Unknown category",$H33=""),"Category has no cost type",IF(NOT(ISNUMBER($E33)),"Enter an amount","OK")))))</f>
        <v/>
      </c>
    </row>
    <row r="34" ht="17" customHeight="1">
      <c r="B34" s="66" t="n"/>
      <c r="C34" s="60" t="n"/>
      <c r="D34" s="60" t="n"/>
      <c r="E34" s="63" t="n"/>
      <c r="F34" s="60" t="n"/>
      <c r="G34" s="60" t="n"/>
      <c r="H34" s="13">
        <f>IF($C34="","",IFERROR(INDEX('Lists'!$G$6:$G$35,MATCH($C34,'Lists'!$F$6:$F$35,0))&amp;"","Unknown category"))</f>
        <v/>
      </c>
      <c r="I34" s="80">
        <f>IF(AND($B34="",$C34="",$E34=""),"",IF(NOT(ISNUMBER($B34)),"Enter a valid date",IF($C34="","Pick a category",IF(OR($H34="Unknown category",$H34=""),"Category has no cost type",IF(NOT(ISNUMBER($E34)),"Enter an amount","OK")))))</f>
        <v/>
      </c>
    </row>
    <row r="35" ht="17" customHeight="1">
      <c r="B35" s="66" t="n"/>
      <c r="C35" s="60" t="n"/>
      <c r="D35" s="60" t="n"/>
      <c r="E35" s="63" t="n"/>
      <c r="F35" s="60" t="n"/>
      <c r="G35" s="60" t="n"/>
      <c r="H35" s="13">
        <f>IF($C35="","",IFERROR(INDEX('Lists'!$G$6:$G$35,MATCH($C35,'Lists'!$F$6:$F$35,0))&amp;"","Unknown category"))</f>
        <v/>
      </c>
      <c r="I35" s="80">
        <f>IF(AND($B35="",$C35="",$E35=""),"",IF(NOT(ISNUMBER($B35)),"Enter a valid date",IF($C35="","Pick a category",IF(OR($H35="Unknown category",$H35=""),"Category has no cost type",IF(NOT(ISNUMBER($E35)),"Enter an amount","OK")))))</f>
        <v/>
      </c>
    </row>
    <row r="36" ht="17" customHeight="1">
      <c r="B36" s="66" t="n"/>
      <c r="C36" s="60" t="n"/>
      <c r="D36" s="60" t="n"/>
      <c r="E36" s="63" t="n"/>
      <c r="F36" s="60" t="n"/>
      <c r="G36" s="60" t="n"/>
      <c r="H36" s="13">
        <f>IF($C36="","",IFERROR(INDEX('Lists'!$G$6:$G$35,MATCH($C36,'Lists'!$F$6:$F$35,0))&amp;"","Unknown category"))</f>
        <v/>
      </c>
      <c r="I36" s="80">
        <f>IF(AND($B36="",$C36="",$E36=""),"",IF(NOT(ISNUMBER($B36)),"Enter a valid date",IF($C36="","Pick a category",IF(OR($H36="Unknown category",$H36=""),"Category has no cost type",IF(NOT(ISNUMBER($E36)),"Enter an amount","OK")))))</f>
        <v/>
      </c>
    </row>
    <row r="37" ht="17" customHeight="1">
      <c r="B37" s="66" t="n"/>
      <c r="C37" s="60" t="n"/>
      <c r="D37" s="60" t="n"/>
      <c r="E37" s="63" t="n"/>
      <c r="F37" s="60" t="n"/>
      <c r="G37" s="60" t="n"/>
      <c r="H37" s="13">
        <f>IF($C37="","",IFERROR(INDEX('Lists'!$G$6:$G$35,MATCH($C37,'Lists'!$F$6:$F$35,0))&amp;"","Unknown category"))</f>
        <v/>
      </c>
      <c r="I37" s="80">
        <f>IF(AND($B37="",$C37="",$E37=""),"",IF(NOT(ISNUMBER($B37)),"Enter a valid date",IF($C37="","Pick a category",IF(OR($H37="Unknown category",$H37=""),"Category has no cost type",IF(NOT(ISNUMBER($E37)),"Enter an amount","OK")))))</f>
        <v/>
      </c>
    </row>
    <row r="38" ht="17" customHeight="1">
      <c r="B38" s="66" t="n"/>
      <c r="C38" s="60" t="n"/>
      <c r="D38" s="60" t="n"/>
      <c r="E38" s="63" t="n"/>
      <c r="F38" s="60" t="n"/>
      <c r="G38" s="60" t="n"/>
      <c r="H38" s="13">
        <f>IF($C38="","",IFERROR(INDEX('Lists'!$G$6:$G$35,MATCH($C38,'Lists'!$F$6:$F$35,0))&amp;"","Unknown category"))</f>
        <v/>
      </c>
      <c r="I38" s="80">
        <f>IF(AND($B38="",$C38="",$E38=""),"",IF(NOT(ISNUMBER($B38)),"Enter a valid date",IF($C38="","Pick a category",IF(OR($H38="Unknown category",$H38=""),"Category has no cost type",IF(NOT(ISNUMBER($E38)),"Enter an amount","OK")))))</f>
        <v/>
      </c>
    </row>
    <row r="39" ht="17" customHeight="1">
      <c r="B39" s="66" t="n"/>
      <c r="C39" s="60" t="n"/>
      <c r="D39" s="60" t="n"/>
      <c r="E39" s="63" t="n"/>
      <c r="F39" s="60" t="n"/>
      <c r="G39" s="60" t="n"/>
      <c r="H39" s="13">
        <f>IF($C39="","",IFERROR(INDEX('Lists'!$G$6:$G$35,MATCH($C39,'Lists'!$F$6:$F$35,0))&amp;"","Unknown category"))</f>
        <v/>
      </c>
      <c r="I39" s="80">
        <f>IF(AND($B39="",$C39="",$E39=""),"",IF(NOT(ISNUMBER($B39)),"Enter a valid date",IF($C39="","Pick a category",IF(OR($H39="Unknown category",$H39=""),"Category has no cost type",IF(NOT(ISNUMBER($E39)),"Enter an amount","OK")))))</f>
        <v/>
      </c>
    </row>
    <row r="40" ht="17" customHeight="1">
      <c r="B40" s="66" t="n"/>
      <c r="C40" s="60" t="n"/>
      <c r="D40" s="60" t="n"/>
      <c r="E40" s="63" t="n"/>
      <c r="F40" s="60" t="n"/>
      <c r="G40" s="60" t="n"/>
      <c r="H40" s="13">
        <f>IF($C40="","",IFERROR(INDEX('Lists'!$G$6:$G$35,MATCH($C40,'Lists'!$F$6:$F$35,0))&amp;"","Unknown category"))</f>
        <v/>
      </c>
      <c r="I40" s="80">
        <f>IF(AND($B40="",$C40="",$E40=""),"",IF(NOT(ISNUMBER($B40)),"Enter a valid date",IF($C40="","Pick a category",IF(OR($H40="Unknown category",$H40=""),"Category has no cost type",IF(NOT(ISNUMBER($E40)),"Enter an amount","OK")))))</f>
        <v/>
      </c>
    </row>
    <row r="41" ht="17" customHeight="1">
      <c r="B41" s="66" t="n"/>
      <c r="C41" s="60" t="n"/>
      <c r="D41" s="60" t="n"/>
      <c r="E41" s="63" t="n"/>
      <c r="F41" s="60" t="n"/>
      <c r="G41" s="60" t="n"/>
      <c r="H41" s="13">
        <f>IF($C41="","",IFERROR(INDEX('Lists'!$G$6:$G$35,MATCH($C41,'Lists'!$F$6:$F$35,0))&amp;"","Unknown category"))</f>
        <v/>
      </c>
      <c r="I41" s="80">
        <f>IF(AND($B41="",$C41="",$E41=""),"",IF(NOT(ISNUMBER($B41)),"Enter a valid date",IF($C41="","Pick a category",IF(OR($H41="Unknown category",$H41=""),"Category has no cost type",IF(NOT(ISNUMBER($E41)),"Enter an amount","OK")))))</f>
        <v/>
      </c>
    </row>
    <row r="42" ht="17" customHeight="1">
      <c r="B42" s="66" t="n"/>
      <c r="C42" s="60" t="n"/>
      <c r="D42" s="60" t="n"/>
      <c r="E42" s="63" t="n"/>
      <c r="F42" s="60" t="n"/>
      <c r="G42" s="60" t="n"/>
      <c r="H42" s="13">
        <f>IF($C42="","",IFERROR(INDEX('Lists'!$G$6:$G$35,MATCH($C42,'Lists'!$F$6:$F$35,0))&amp;"","Unknown category"))</f>
        <v/>
      </c>
      <c r="I42" s="80">
        <f>IF(AND($B42="",$C42="",$E42=""),"",IF(NOT(ISNUMBER($B42)),"Enter a valid date",IF($C42="","Pick a category",IF(OR($H42="Unknown category",$H42=""),"Category has no cost type",IF(NOT(ISNUMBER($E42)),"Enter an amount","OK")))))</f>
        <v/>
      </c>
    </row>
    <row r="43" ht="17" customHeight="1">
      <c r="B43" s="66" t="n"/>
      <c r="C43" s="60" t="n"/>
      <c r="D43" s="60" t="n"/>
      <c r="E43" s="63" t="n"/>
      <c r="F43" s="60" t="n"/>
      <c r="G43" s="60" t="n"/>
      <c r="H43" s="13">
        <f>IF($C43="","",IFERROR(INDEX('Lists'!$G$6:$G$35,MATCH($C43,'Lists'!$F$6:$F$35,0))&amp;"","Unknown category"))</f>
        <v/>
      </c>
      <c r="I43" s="80">
        <f>IF(AND($B43="",$C43="",$E43=""),"",IF(NOT(ISNUMBER($B43)),"Enter a valid date",IF($C43="","Pick a category",IF(OR($H43="Unknown category",$H43=""),"Category has no cost type",IF(NOT(ISNUMBER($E43)),"Enter an amount","OK")))))</f>
        <v/>
      </c>
    </row>
    <row r="44" ht="17" customHeight="1">
      <c r="B44" s="66" t="n"/>
      <c r="C44" s="60" t="n"/>
      <c r="D44" s="60" t="n"/>
      <c r="E44" s="63" t="n"/>
      <c r="F44" s="60" t="n"/>
      <c r="G44" s="60" t="n"/>
      <c r="H44" s="13">
        <f>IF($C44="","",IFERROR(INDEX('Lists'!$G$6:$G$35,MATCH($C44,'Lists'!$F$6:$F$35,0))&amp;"","Unknown category"))</f>
        <v/>
      </c>
      <c r="I44" s="80">
        <f>IF(AND($B44="",$C44="",$E44=""),"",IF(NOT(ISNUMBER($B44)),"Enter a valid date",IF($C44="","Pick a category",IF(OR($H44="Unknown category",$H44=""),"Category has no cost type",IF(NOT(ISNUMBER($E44)),"Enter an amount","OK")))))</f>
        <v/>
      </c>
    </row>
    <row r="45" ht="17" customHeight="1">
      <c r="B45" s="66" t="n"/>
      <c r="C45" s="60" t="n"/>
      <c r="D45" s="60" t="n"/>
      <c r="E45" s="63" t="n"/>
      <c r="F45" s="60" t="n"/>
      <c r="G45" s="60" t="n"/>
      <c r="H45" s="13">
        <f>IF($C45="","",IFERROR(INDEX('Lists'!$G$6:$G$35,MATCH($C45,'Lists'!$F$6:$F$35,0))&amp;"","Unknown category"))</f>
        <v/>
      </c>
      <c r="I45" s="80">
        <f>IF(AND($B45="",$C45="",$E45=""),"",IF(NOT(ISNUMBER($B45)),"Enter a valid date",IF($C45="","Pick a category",IF(OR($H45="Unknown category",$H45=""),"Category has no cost type",IF(NOT(ISNUMBER($E45)),"Enter an amount","OK")))))</f>
        <v/>
      </c>
    </row>
    <row r="46" ht="17" customHeight="1">
      <c r="B46" s="66" t="n"/>
      <c r="C46" s="60" t="n"/>
      <c r="D46" s="60" t="n"/>
      <c r="E46" s="63" t="n"/>
      <c r="F46" s="60" t="n"/>
      <c r="G46" s="60" t="n"/>
      <c r="H46" s="13">
        <f>IF($C46="","",IFERROR(INDEX('Lists'!$G$6:$G$35,MATCH($C46,'Lists'!$F$6:$F$35,0))&amp;"","Unknown category"))</f>
        <v/>
      </c>
      <c r="I46" s="80">
        <f>IF(AND($B46="",$C46="",$E46=""),"",IF(NOT(ISNUMBER($B46)),"Enter a valid date",IF($C46="","Pick a category",IF(OR($H46="Unknown category",$H46=""),"Category has no cost type",IF(NOT(ISNUMBER($E46)),"Enter an amount","OK")))))</f>
        <v/>
      </c>
    </row>
    <row r="47" ht="17" customHeight="1">
      <c r="B47" s="66" t="n"/>
      <c r="C47" s="60" t="n"/>
      <c r="D47" s="60" t="n"/>
      <c r="E47" s="63" t="n"/>
      <c r="F47" s="60" t="n"/>
      <c r="G47" s="60" t="n"/>
      <c r="H47" s="13">
        <f>IF($C47="","",IFERROR(INDEX('Lists'!$G$6:$G$35,MATCH($C47,'Lists'!$F$6:$F$35,0))&amp;"","Unknown category"))</f>
        <v/>
      </c>
      <c r="I47" s="80">
        <f>IF(AND($B47="",$C47="",$E47=""),"",IF(NOT(ISNUMBER($B47)),"Enter a valid date",IF($C47="","Pick a category",IF(OR($H47="Unknown category",$H47=""),"Category has no cost type",IF(NOT(ISNUMBER($E47)),"Enter an amount","OK")))))</f>
        <v/>
      </c>
    </row>
    <row r="48" ht="17" customHeight="1">
      <c r="B48" s="66" t="n"/>
      <c r="C48" s="60" t="n"/>
      <c r="D48" s="60" t="n"/>
      <c r="E48" s="63" t="n"/>
      <c r="F48" s="60" t="n"/>
      <c r="G48" s="60" t="n"/>
      <c r="H48" s="13">
        <f>IF($C48="","",IFERROR(INDEX('Lists'!$G$6:$G$35,MATCH($C48,'Lists'!$F$6:$F$35,0))&amp;"","Unknown category"))</f>
        <v/>
      </c>
      <c r="I48" s="80">
        <f>IF(AND($B48="",$C48="",$E48=""),"",IF(NOT(ISNUMBER($B48)),"Enter a valid date",IF($C48="","Pick a category",IF(OR($H48="Unknown category",$H48=""),"Category has no cost type",IF(NOT(ISNUMBER($E48)),"Enter an amount","OK")))))</f>
        <v/>
      </c>
    </row>
    <row r="49" ht="17" customHeight="1">
      <c r="B49" s="66" t="n"/>
      <c r="C49" s="60" t="n"/>
      <c r="D49" s="60" t="n"/>
      <c r="E49" s="63" t="n"/>
      <c r="F49" s="60" t="n"/>
      <c r="G49" s="60" t="n"/>
      <c r="H49" s="13">
        <f>IF($C49="","",IFERROR(INDEX('Lists'!$G$6:$G$35,MATCH($C49,'Lists'!$F$6:$F$35,0))&amp;"","Unknown category"))</f>
        <v/>
      </c>
      <c r="I49" s="80">
        <f>IF(AND($B49="",$C49="",$E49=""),"",IF(NOT(ISNUMBER($B49)),"Enter a valid date",IF($C49="","Pick a category",IF(OR($H49="Unknown category",$H49=""),"Category has no cost type",IF(NOT(ISNUMBER($E49)),"Enter an amount","OK")))))</f>
        <v/>
      </c>
    </row>
    <row r="50" ht="17" customHeight="1">
      <c r="B50" s="66" t="n"/>
      <c r="C50" s="60" t="n"/>
      <c r="D50" s="60" t="n"/>
      <c r="E50" s="63" t="n"/>
      <c r="F50" s="60" t="n"/>
      <c r="G50" s="60" t="n"/>
      <c r="H50" s="13">
        <f>IF($C50="","",IFERROR(INDEX('Lists'!$G$6:$G$35,MATCH($C50,'Lists'!$F$6:$F$35,0))&amp;"","Unknown category"))</f>
        <v/>
      </c>
      <c r="I50" s="80">
        <f>IF(AND($B50="",$C50="",$E50=""),"",IF(NOT(ISNUMBER($B50)),"Enter a valid date",IF($C50="","Pick a category",IF(OR($H50="Unknown category",$H50=""),"Category has no cost type",IF(NOT(ISNUMBER($E50)),"Enter an amount","OK")))))</f>
        <v/>
      </c>
    </row>
    <row r="51" ht="17" customHeight="1">
      <c r="B51" s="66" t="n"/>
      <c r="C51" s="60" t="n"/>
      <c r="D51" s="60" t="n"/>
      <c r="E51" s="63" t="n"/>
      <c r="F51" s="60" t="n"/>
      <c r="G51" s="60" t="n"/>
      <c r="H51" s="13">
        <f>IF($C51="","",IFERROR(INDEX('Lists'!$G$6:$G$35,MATCH($C51,'Lists'!$F$6:$F$35,0))&amp;"","Unknown category"))</f>
        <v/>
      </c>
      <c r="I51" s="80">
        <f>IF(AND($B51="",$C51="",$E51=""),"",IF(NOT(ISNUMBER($B51)),"Enter a valid date",IF($C51="","Pick a category",IF(OR($H51="Unknown category",$H51=""),"Category has no cost type",IF(NOT(ISNUMBER($E51)),"Enter an amount","OK")))))</f>
        <v/>
      </c>
    </row>
    <row r="52" ht="17" customHeight="1">
      <c r="B52" s="66" t="n"/>
      <c r="C52" s="60" t="n"/>
      <c r="D52" s="60" t="n"/>
      <c r="E52" s="63" t="n"/>
      <c r="F52" s="60" t="n"/>
      <c r="G52" s="60" t="n"/>
      <c r="H52" s="13">
        <f>IF($C52="","",IFERROR(INDEX('Lists'!$G$6:$G$35,MATCH($C52,'Lists'!$F$6:$F$35,0))&amp;"","Unknown category"))</f>
        <v/>
      </c>
      <c r="I52" s="80">
        <f>IF(AND($B52="",$C52="",$E52=""),"",IF(NOT(ISNUMBER($B52)),"Enter a valid date",IF($C52="","Pick a category",IF(OR($H52="Unknown category",$H52=""),"Category has no cost type",IF(NOT(ISNUMBER($E52)),"Enter an amount","OK")))))</f>
        <v/>
      </c>
    </row>
    <row r="53" ht="17" customHeight="1">
      <c r="B53" s="66" t="n"/>
      <c r="C53" s="60" t="n"/>
      <c r="D53" s="60" t="n"/>
      <c r="E53" s="63" t="n"/>
      <c r="F53" s="60" t="n"/>
      <c r="G53" s="60" t="n"/>
      <c r="H53" s="13">
        <f>IF($C53="","",IFERROR(INDEX('Lists'!$G$6:$G$35,MATCH($C53,'Lists'!$F$6:$F$35,0))&amp;"","Unknown category"))</f>
        <v/>
      </c>
      <c r="I53" s="80">
        <f>IF(AND($B53="",$C53="",$E53=""),"",IF(NOT(ISNUMBER($B53)),"Enter a valid date",IF($C53="","Pick a category",IF(OR($H53="Unknown category",$H53=""),"Category has no cost type",IF(NOT(ISNUMBER($E53)),"Enter an amount","OK")))))</f>
        <v/>
      </c>
    </row>
    <row r="54" ht="17" customHeight="1">
      <c r="B54" s="66" t="n"/>
      <c r="C54" s="60" t="n"/>
      <c r="D54" s="60" t="n"/>
      <c r="E54" s="63" t="n"/>
      <c r="F54" s="60" t="n"/>
      <c r="G54" s="60" t="n"/>
      <c r="H54" s="13">
        <f>IF($C54="","",IFERROR(INDEX('Lists'!$G$6:$G$35,MATCH($C54,'Lists'!$F$6:$F$35,0))&amp;"","Unknown category"))</f>
        <v/>
      </c>
      <c r="I54" s="80">
        <f>IF(AND($B54="",$C54="",$E54=""),"",IF(NOT(ISNUMBER($B54)),"Enter a valid date",IF($C54="","Pick a category",IF(OR($H54="Unknown category",$H54=""),"Category has no cost type",IF(NOT(ISNUMBER($E54)),"Enter an amount","OK")))))</f>
        <v/>
      </c>
    </row>
    <row r="55" ht="17" customHeight="1">
      <c r="B55" s="66" t="n"/>
      <c r="C55" s="60" t="n"/>
      <c r="D55" s="60" t="n"/>
      <c r="E55" s="63" t="n"/>
      <c r="F55" s="60" t="n"/>
      <c r="G55" s="60" t="n"/>
      <c r="H55" s="13">
        <f>IF($C55="","",IFERROR(INDEX('Lists'!$G$6:$G$35,MATCH($C55,'Lists'!$F$6:$F$35,0))&amp;"","Unknown category"))</f>
        <v/>
      </c>
      <c r="I55" s="80">
        <f>IF(AND($B55="",$C55="",$E55=""),"",IF(NOT(ISNUMBER($B55)),"Enter a valid date",IF($C55="","Pick a category",IF(OR($H55="Unknown category",$H55=""),"Category has no cost type",IF(NOT(ISNUMBER($E55)),"Enter an amount","OK")))))</f>
        <v/>
      </c>
    </row>
    <row r="56" ht="17" customHeight="1">
      <c r="B56" s="66" t="n"/>
      <c r="C56" s="60" t="n"/>
      <c r="D56" s="60" t="n"/>
      <c r="E56" s="63" t="n"/>
      <c r="F56" s="60" t="n"/>
      <c r="G56" s="60" t="n"/>
      <c r="H56" s="13">
        <f>IF($C56="","",IFERROR(INDEX('Lists'!$G$6:$G$35,MATCH($C56,'Lists'!$F$6:$F$35,0))&amp;"","Unknown category"))</f>
        <v/>
      </c>
      <c r="I56" s="80">
        <f>IF(AND($B56="",$C56="",$E56=""),"",IF(NOT(ISNUMBER($B56)),"Enter a valid date",IF($C56="","Pick a category",IF(OR($H56="Unknown category",$H56=""),"Category has no cost type",IF(NOT(ISNUMBER($E56)),"Enter an amount","OK")))))</f>
        <v/>
      </c>
    </row>
    <row r="57" ht="17" customHeight="1">
      <c r="B57" s="66" t="n"/>
      <c r="C57" s="60" t="n"/>
      <c r="D57" s="60" t="n"/>
      <c r="E57" s="63" t="n"/>
      <c r="F57" s="60" t="n"/>
      <c r="G57" s="60" t="n"/>
      <c r="H57" s="13">
        <f>IF($C57="","",IFERROR(INDEX('Lists'!$G$6:$G$35,MATCH($C57,'Lists'!$F$6:$F$35,0))&amp;"","Unknown category"))</f>
        <v/>
      </c>
      <c r="I57" s="80">
        <f>IF(AND($B57="",$C57="",$E57=""),"",IF(NOT(ISNUMBER($B57)),"Enter a valid date",IF($C57="","Pick a category",IF(OR($H57="Unknown category",$H57=""),"Category has no cost type",IF(NOT(ISNUMBER($E57)),"Enter an amount","OK")))))</f>
        <v/>
      </c>
    </row>
    <row r="58" ht="17" customHeight="1">
      <c r="B58" s="66" t="n"/>
      <c r="C58" s="60" t="n"/>
      <c r="D58" s="60" t="n"/>
      <c r="E58" s="63" t="n"/>
      <c r="F58" s="60" t="n"/>
      <c r="G58" s="60" t="n"/>
      <c r="H58" s="13">
        <f>IF($C58="","",IFERROR(INDEX('Lists'!$G$6:$G$35,MATCH($C58,'Lists'!$F$6:$F$35,0))&amp;"","Unknown category"))</f>
        <v/>
      </c>
      <c r="I58" s="80">
        <f>IF(AND($B58="",$C58="",$E58=""),"",IF(NOT(ISNUMBER($B58)),"Enter a valid date",IF($C58="","Pick a category",IF(OR($H58="Unknown category",$H58=""),"Category has no cost type",IF(NOT(ISNUMBER($E58)),"Enter an amount","OK")))))</f>
        <v/>
      </c>
    </row>
    <row r="59" ht="17" customHeight="1">
      <c r="B59" s="66" t="n"/>
      <c r="C59" s="60" t="n"/>
      <c r="D59" s="60" t="n"/>
      <c r="E59" s="63" t="n"/>
      <c r="F59" s="60" t="n"/>
      <c r="G59" s="60" t="n"/>
      <c r="H59" s="13">
        <f>IF($C59="","",IFERROR(INDEX('Lists'!$G$6:$G$35,MATCH($C59,'Lists'!$F$6:$F$35,0))&amp;"","Unknown category"))</f>
        <v/>
      </c>
      <c r="I59" s="80">
        <f>IF(AND($B59="",$C59="",$E59=""),"",IF(NOT(ISNUMBER($B59)),"Enter a valid date",IF($C59="","Pick a category",IF(OR($H59="Unknown category",$H59=""),"Category has no cost type",IF(NOT(ISNUMBER($E59)),"Enter an amount","OK")))))</f>
        <v/>
      </c>
    </row>
    <row r="60" ht="17" customHeight="1">
      <c r="B60" s="66" t="n"/>
      <c r="C60" s="60" t="n"/>
      <c r="D60" s="60" t="n"/>
      <c r="E60" s="63" t="n"/>
      <c r="F60" s="60" t="n"/>
      <c r="G60" s="60" t="n"/>
      <c r="H60" s="13">
        <f>IF($C60="","",IFERROR(INDEX('Lists'!$G$6:$G$35,MATCH($C60,'Lists'!$F$6:$F$35,0))&amp;"","Unknown category"))</f>
        <v/>
      </c>
      <c r="I60" s="80">
        <f>IF(AND($B60="",$C60="",$E60=""),"",IF(NOT(ISNUMBER($B60)),"Enter a valid date",IF($C60="","Pick a category",IF(OR($H60="Unknown category",$H60=""),"Category has no cost type",IF(NOT(ISNUMBER($E60)),"Enter an amount","OK")))))</f>
        <v/>
      </c>
    </row>
    <row r="61" ht="17" customHeight="1">
      <c r="B61" s="66" t="n"/>
      <c r="C61" s="60" t="n"/>
      <c r="D61" s="60" t="n"/>
      <c r="E61" s="63" t="n"/>
      <c r="F61" s="60" t="n"/>
      <c r="G61" s="60" t="n"/>
      <c r="H61" s="13">
        <f>IF($C61="","",IFERROR(INDEX('Lists'!$G$6:$G$35,MATCH($C61,'Lists'!$F$6:$F$35,0))&amp;"","Unknown category"))</f>
        <v/>
      </c>
      <c r="I61" s="80">
        <f>IF(AND($B61="",$C61="",$E61=""),"",IF(NOT(ISNUMBER($B61)),"Enter a valid date",IF($C61="","Pick a category",IF(OR($H61="Unknown category",$H61=""),"Category has no cost type",IF(NOT(ISNUMBER($E61)),"Enter an amount","OK")))))</f>
        <v/>
      </c>
    </row>
    <row r="62" ht="17" customHeight="1">
      <c r="B62" s="66" t="n"/>
      <c r="C62" s="60" t="n"/>
      <c r="D62" s="60" t="n"/>
      <c r="E62" s="63" t="n"/>
      <c r="F62" s="60" t="n"/>
      <c r="G62" s="60" t="n"/>
      <c r="H62" s="13">
        <f>IF($C62="","",IFERROR(INDEX('Lists'!$G$6:$G$35,MATCH($C62,'Lists'!$F$6:$F$35,0))&amp;"","Unknown category"))</f>
        <v/>
      </c>
      <c r="I62" s="80">
        <f>IF(AND($B62="",$C62="",$E62=""),"",IF(NOT(ISNUMBER($B62)),"Enter a valid date",IF($C62="","Pick a category",IF(OR($H62="Unknown category",$H62=""),"Category has no cost type",IF(NOT(ISNUMBER($E62)),"Enter an amount","OK")))))</f>
        <v/>
      </c>
    </row>
    <row r="63" ht="17" customHeight="1">
      <c r="B63" s="66" t="n"/>
      <c r="C63" s="60" t="n"/>
      <c r="D63" s="60" t="n"/>
      <c r="E63" s="63" t="n"/>
      <c r="F63" s="60" t="n"/>
      <c r="G63" s="60" t="n"/>
      <c r="H63" s="13">
        <f>IF($C63="","",IFERROR(INDEX('Lists'!$G$6:$G$35,MATCH($C63,'Lists'!$F$6:$F$35,0))&amp;"","Unknown category"))</f>
        <v/>
      </c>
      <c r="I63" s="80">
        <f>IF(AND($B63="",$C63="",$E63=""),"",IF(NOT(ISNUMBER($B63)),"Enter a valid date",IF($C63="","Pick a category",IF(OR($H63="Unknown category",$H63=""),"Category has no cost type",IF(NOT(ISNUMBER($E63)),"Enter an amount","OK")))))</f>
        <v/>
      </c>
    </row>
    <row r="64" ht="17" customHeight="1">
      <c r="B64" s="66" t="n"/>
      <c r="C64" s="60" t="n"/>
      <c r="D64" s="60" t="n"/>
      <c r="E64" s="63" t="n"/>
      <c r="F64" s="60" t="n"/>
      <c r="G64" s="60" t="n"/>
      <c r="H64" s="13">
        <f>IF($C64="","",IFERROR(INDEX('Lists'!$G$6:$G$35,MATCH($C64,'Lists'!$F$6:$F$35,0))&amp;"","Unknown category"))</f>
        <v/>
      </c>
      <c r="I64" s="80">
        <f>IF(AND($B64="",$C64="",$E64=""),"",IF(NOT(ISNUMBER($B64)),"Enter a valid date",IF($C64="","Pick a category",IF(OR($H64="Unknown category",$H64=""),"Category has no cost type",IF(NOT(ISNUMBER($E64)),"Enter an amount","OK")))))</f>
        <v/>
      </c>
    </row>
    <row r="65" ht="17" customHeight="1">
      <c r="B65" s="66" t="n"/>
      <c r="C65" s="60" t="n"/>
      <c r="D65" s="60" t="n"/>
      <c r="E65" s="63" t="n"/>
      <c r="F65" s="60" t="n"/>
      <c r="G65" s="60" t="n"/>
      <c r="H65" s="13">
        <f>IF($C65="","",IFERROR(INDEX('Lists'!$G$6:$G$35,MATCH($C65,'Lists'!$F$6:$F$35,0))&amp;"","Unknown category"))</f>
        <v/>
      </c>
      <c r="I65" s="80">
        <f>IF(AND($B65="",$C65="",$E65=""),"",IF(NOT(ISNUMBER($B65)),"Enter a valid date",IF($C65="","Pick a category",IF(OR($H65="Unknown category",$H65=""),"Category has no cost type",IF(NOT(ISNUMBER($E65)),"Enter an amount","OK")))))</f>
        <v/>
      </c>
    </row>
    <row r="66" ht="17" customHeight="1">
      <c r="B66" s="66" t="n"/>
      <c r="C66" s="60" t="n"/>
      <c r="D66" s="60" t="n"/>
      <c r="E66" s="63" t="n"/>
      <c r="F66" s="60" t="n"/>
      <c r="G66" s="60" t="n"/>
      <c r="H66" s="13">
        <f>IF($C66="","",IFERROR(INDEX('Lists'!$G$6:$G$35,MATCH($C66,'Lists'!$F$6:$F$35,0))&amp;"","Unknown category"))</f>
        <v/>
      </c>
      <c r="I66" s="80">
        <f>IF(AND($B66="",$C66="",$E66=""),"",IF(NOT(ISNUMBER($B66)),"Enter a valid date",IF($C66="","Pick a category",IF(OR($H66="Unknown category",$H66=""),"Category has no cost type",IF(NOT(ISNUMBER($E66)),"Enter an amount","OK")))))</f>
        <v/>
      </c>
    </row>
    <row r="67" ht="17" customHeight="1">
      <c r="B67" s="66" t="n"/>
      <c r="C67" s="60" t="n"/>
      <c r="D67" s="60" t="n"/>
      <c r="E67" s="63" t="n"/>
      <c r="F67" s="60" t="n"/>
      <c r="G67" s="60" t="n"/>
      <c r="H67" s="13">
        <f>IF($C67="","",IFERROR(INDEX('Lists'!$G$6:$G$35,MATCH($C67,'Lists'!$F$6:$F$35,0))&amp;"","Unknown category"))</f>
        <v/>
      </c>
      <c r="I67" s="80">
        <f>IF(AND($B67="",$C67="",$E67=""),"",IF(NOT(ISNUMBER($B67)),"Enter a valid date",IF($C67="","Pick a category",IF(OR($H67="Unknown category",$H67=""),"Category has no cost type",IF(NOT(ISNUMBER($E67)),"Enter an amount","OK")))))</f>
        <v/>
      </c>
    </row>
    <row r="68" ht="17" customHeight="1">
      <c r="B68" s="66" t="n"/>
      <c r="C68" s="60" t="n"/>
      <c r="D68" s="60" t="n"/>
      <c r="E68" s="63" t="n"/>
      <c r="F68" s="60" t="n"/>
      <c r="G68" s="60" t="n"/>
      <c r="H68" s="13">
        <f>IF($C68="","",IFERROR(INDEX('Lists'!$G$6:$G$35,MATCH($C68,'Lists'!$F$6:$F$35,0))&amp;"","Unknown category"))</f>
        <v/>
      </c>
      <c r="I68" s="80">
        <f>IF(AND($B68="",$C68="",$E68=""),"",IF(NOT(ISNUMBER($B68)),"Enter a valid date",IF($C68="","Pick a category",IF(OR($H68="Unknown category",$H68=""),"Category has no cost type",IF(NOT(ISNUMBER($E68)),"Enter an amount","OK")))))</f>
        <v/>
      </c>
    </row>
    <row r="69" ht="17" customHeight="1">
      <c r="B69" s="66" t="n"/>
      <c r="C69" s="60" t="n"/>
      <c r="D69" s="60" t="n"/>
      <c r="E69" s="63" t="n"/>
      <c r="F69" s="60" t="n"/>
      <c r="G69" s="60" t="n"/>
      <c r="H69" s="13">
        <f>IF($C69="","",IFERROR(INDEX('Lists'!$G$6:$G$35,MATCH($C69,'Lists'!$F$6:$F$35,0))&amp;"","Unknown category"))</f>
        <v/>
      </c>
      <c r="I69" s="80">
        <f>IF(AND($B69="",$C69="",$E69=""),"",IF(NOT(ISNUMBER($B69)),"Enter a valid date",IF($C69="","Pick a category",IF(OR($H69="Unknown category",$H69=""),"Category has no cost type",IF(NOT(ISNUMBER($E69)),"Enter an amount","OK")))))</f>
        <v/>
      </c>
    </row>
    <row r="70" ht="17" customHeight="1">
      <c r="B70" s="66" t="n"/>
      <c r="C70" s="60" t="n"/>
      <c r="D70" s="60" t="n"/>
      <c r="E70" s="63" t="n"/>
      <c r="F70" s="60" t="n"/>
      <c r="G70" s="60" t="n"/>
      <c r="H70" s="13">
        <f>IF($C70="","",IFERROR(INDEX('Lists'!$G$6:$G$35,MATCH($C70,'Lists'!$F$6:$F$35,0))&amp;"","Unknown category"))</f>
        <v/>
      </c>
      <c r="I70" s="80">
        <f>IF(AND($B70="",$C70="",$E70=""),"",IF(NOT(ISNUMBER($B70)),"Enter a valid date",IF($C70="","Pick a category",IF(OR($H70="Unknown category",$H70=""),"Category has no cost type",IF(NOT(ISNUMBER($E70)),"Enter an amount","OK")))))</f>
        <v/>
      </c>
    </row>
    <row r="71" ht="17" customHeight="1">
      <c r="B71" s="66" t="n"/>
      <c r="C71" s="60" t="n"/>
      <c r="D71" s="60" t="n"/>
      <c r="E71" s="63" t="n"/>
      <c r="F71" s="60" t="n"/>
      <c r="G71" s="60" t="n"/>
      <c r="H71" s="13">
        <f>IF($C71="","",IFERROR(INDEX('Lists'!$G$6:$G$35,MATCH($C71,'Lists'!$F$6:$F$35,0))&amp;"","Unknown category"))</f>
        <v/>
      </c>
      <c r="I71" s="80">
        <f>IF(AND($B71="",$C71="",$E71=""),"",IF(NOT(ISNUMBER($B71)),"Enter a valid date",IF($C71="","Pick a category",IF(OR($H71="Unknown category",$H71=""),"Category has no cost type",IF(NOT(ISNUMBER($E71)),"Enter an amount","OK")))))</f>
        <v/>
      </c>
    </row>
    <row r="72" ht="17" customHeight="1">
      <c r="B72" s="66" t="n"/>
      <c r="C72" s="60" t="n"/>
      <c r="D72" s="60" t="n"/>
      <c r="E72" s="63" t="n"/>
      <c r="F72" s="60" t="n"/>
      <c r="G72" s="60" t="n"/>
      <c r="H72" s="13">
        <f>IF($C72="","",IFERROR(INDEX('Lists'!$G$6:$G$35,MATCH($C72,'Lists'!$F$6:$F$35,0))&amp;"","Unknown category"))</f>
        <v/>
      </c>
      <c r="I72" s="80">
        <f>IF(AND($B72="",$C72="",$E72=""),"",IF(NOT(ISNUMBER($B72)),"Enter a valid date",IF($C72="","Pick a category",IF(OR($H72="Unknown category",$H72=""),"Category has no cost type",IF(NOT(ISNUMBER($E72)),"Enter an amount","OK")))))</f>
        <v/>
      </c>
    </row>
    <row r="73" ht="17" customHeight="1">
      <c r="B73" s="66" t="n"/>
      <c r="C73" s="60" t="n"/>
      <c r="D73" s="60" t="n"/>
      <c r="E73" s="63" t="n"/>
      <c r="F73" s="60" t="n"/>
      <c r="G73" s="60" t="n"/>
      <c r="H73" s="13">
        <f>IF($C73="","",IFERROR(INDEX('Lists'!$G$6:$G$35,MATCH($C73,'Lists'!$F$6:$F$35,0))&amp;"","Unknown category"))</f>
        <v/>
      </c>
      <c r="I73" s="80">
        <f>IF(AND($B73="",$C73="",$E73=""),"",IF(NOT(ISNUMBER($B73)),"Enter a valid date",IF($C73="","Pick a category",IF(OR($H73="Unknown category",$H73=""),"Category has no cost type",IF(NOT(ISNUMBER($E73)),"Enter an amount","OK")))))</f>
        <v/>
      </c>
    </row>
    <row r="74" ht="17" customHeight="1">
      <c r="B74" s="66" t="n"/>
      <c r="C74" s="60" t="n"/>
      <c r="D74" s="60" t="n"/>
      <c r="E74" s="63" t="n"/>
      <c r="F74" s="60" t="n"/>
      <c r="G74" s="60" t="n"/>
      <c r="H74" s="13">
        <f>IF($C74="","",IFERROR(INDEX('Lists'!$G$6:$G$35,MATCH($C74,'Lists'!$F$6:$F$35,0))&amp;"","Unknown category"))</f>
        <v/>
      </c>
      <c r="I74" s="80">
        <f>IF(AND($B74="",$C74="",$E74=""),"",IF(NOT(ISNUMBER($B74)),"Enter a valid date",IF($C74="","Pick a category",IF(OR($H74="Unknown category",$H74=""),"Category has no cost type",IF(NOT(ISNUMBER($E74)),"Enter an amount","OK")))))</f>
        <v/>
      </c>
    </row>
    <row r="75" ht="17" customHeight="1">
      <c r="B75" s="66" t="n"/>
      <c r="C75" s="60" t="n"/>
      <c r="D75" s="60" t="n"/>
      <c r="E75" s="63" t="n"/>
      <c r="F75" s="60" t="n"/>
      <c r="G75" s="60" t="n"/>
      <c r="H75" s="13">
        <f>IF($C75="","",IFERROR(INDEX('Lists'!$G$6:$G$35,MATCH($C75,'Lists'!$F$6:$F$35,0))&amp;"","Unknown category"))</f>
        <v/>
      </c>
      <c r="I75" s="80">
        <f>IF(AND($B75="",$C75="",$E75=""),"",IF(NOT(ISNUMBER($B75)),"Enter a valid date",IF($C75="","Pick a category",IF(OR($H75="Unknown category",$H75=""),"Category has no cost type",IF(NOT(ISNUMBER($E75)),"Enter an amount","OK")))))</f>
        <v/>
      </c>
    </row>
    <row r="76" ht="17" customHeight="1">
      <c r="B76" s="66" t="n"/>
      <c r="C76" s="60" t="n"/>
      <c r="D76" s="60" t="n"/>
      <c r="E76" s="63" t="n"/>
      <c r="F76" s="60" t="n"/>
      <c r="G76" s="60" t="n"/>
      <c r="H76" s="13">
        <f>IF($C76="","",IFERROR(INDEX('Lists'!$G$6:$G$35,MATCH($C76,'Lists'!$F$6:$F$35,0))&amp;"","Unknown category"))</f>
        <v/>
      </c>
      <c r="I76" s="80">
        <f>IF(AND($B76="",$C76="",$E76=""),"",IF(NOT(ISNUMBER($B76)),"Enter a valid date",IF($C76="","Pick a category",IF(OR($H76="Unknown category",$H76=""),"Category has no cost type",IF(NOT(ISNUMBER($E76)),"Enter an amount","OK")))))</f>
        <v/>
      </c>
    </row>
    <row r="77" ht="17" customHeight="1">
      <c r="B77" s="66" t="n"/>
      <c r="C77" s="60" t="n"/>
      <c r="D77" s="60" t="n"/>
      <c r="E77" s="63" t="n"/>
      <c r="F77" s="60" t="n"/>
      <c r="G77" s="60" t="n"/>
      <c r="H77" s="13">
        <f>IF($C77="","",IFERROR(INDEX('Lists'!$G$6:$G$35,MATCH($C77,'Lists'!$F$6:$F$35,0))&amp;"","Unknown category"))</f>
        <v/>
      </c>
      <c r="I77" s="80">
        <f>IF(AND($B77="",$C77="",$E77=""),"",IF(NOT(ISNUMBER($B77)),"Enter a valid date",IF($C77="","Pick a category",IF(OR($H77="Unknown category",$H77=""),"Category has no cost type",IF(NOT(ISNUMBER($E77)),"Enter an amount","OK")))))</f>
        <v/>
      </c>
    </row>
    <row r="78" ht="17" customHeight="1">
      <c r="B78" s="66" t="n"/>
      <c r="C78" s="60" t="n"/>
      <c r="D78" s="60" t="n"/>
      <c r="E78" s="63" t="n"/>
      <c r="F78" s="60" t="n"/>
      <c r="G78" s="60" t="n"/>
      <c r="H78" s="13">
        <f>IF($C78="","",IFERROR(INDEX('Lists'!$G$6:$G$35,MATCH($C78,'Lists'!$F$6:$F$35,0))&amp;"","Unknown category"))</f>
        <v/>
      </c>
      <c r="I78" s="80">
        <f>IF(AND($B78="",$C78="",$E78=""),"",IF(NOT(ISNUMBER($B78)),"Enter a valid date",IF($C78="","Pick a category",IF(OR($H78="Unknown category",$H78=""),"Category has no cost type",IF(NOT(ISNUMBER($E78)),"Enter an amount","OK")))))</f>
        <v/>
      </c>
    </row>
    <row r="79" ht="17" customHeight="1">
      <c r="B79" s="66" t="n"/>
      <c r="C79" s="60" t="n"/>
      <c r="D79" s="60" t="n"/>
      <c r="E79" s="63" t="n"/>
      <c r="F79" s="60" t="n"/>
      <c r="G79" s="60" t="n"/>
      <c r="H79" s="13">
        <f>IF($C79="","",IFERROR(INDEX('Lists'!$G$6:$G$35,MATCH($C79,'Lists'!$F$6:$F$35,0))&amp;"","Unknown category"))</f>
        <v/>
      </c>
      <c r="I79" s="80">
        <f>IF(AND($B79="",$C79="",$E79=""),"",IF(NOT(ISNUMBER($B79)),"Enter a valid date",IF($C79="","Pick a category",IF(OR($H79="Unknown category",$H79=""),"Category has no cost type",IF(NOT(ISNUMBER($E79)),"Enter an amount","OK")))))</f>
        <v/>
      </c>
    </row>
    <row r="80" ht="17" customHeight="1">
      <c r="B80" s="66" t="n"/>
      <c r="C80" s="60" t="n"/>
      <c r="D80" s="60" t="n"/>
      <c r="E80" s="63" t="n"/>
      <c r="F80" s="60" t="n"/>
      <c r="G80" s="60" t="n"/>
      <c r="H80" s="13">
        <f>IF($C80="","",IFERROR(INDEX('Lists'!$G$6:$G$35,MATCH($C80,'Lists'!$F$6:$F$35,0))&amp;"","Unknown category"))</f>
        <v/>
      </c>
      <c r="I80" s="80">
        <f>IF(AND($B80="",$C80="",$E80=""),"",IF(NOT(ISNUMBER($B80)),"Enter a valid date",IF($C80="","Pick a category",IF(OR($H80="Unknown category",$H80=""),"Category has no cost type",IF(NOT(ISNUMBER($E80)),"Enter an amount","OK")))))</f>
        <v/>
      </c>
    </row>
    <row r="81" ht="17" customHeight="1">
      <c r="B81" s="66" t="n"/>
      <c r="C81" s="60" t="n"/>
      <c r="D81" s="60" t="n"/>
      <c r="E81" s="63" t="n"/>
      <c r="F81" s="60" t="n"/>
      <c r="G81" s="60" t="n"/>
      <c r="H81" s="13">
        <f>IF($C81="","",IFERROR(INDEX('Lists'!$G$6:$G$35,MATCH($C81,'Lists'!$F$6:$F$35,0))&amp;"","Unknown category"))</f>
        <v/>
      </c>
      <c r="I81" s="80">
        <f>IF(AND($B81="",$C81="",$E81=""),"",IF(NOT(ISNUMBER($B81)),"Enter a valid date",IF($C81="","Pick a category",IF(OR($H81="Unknown category",$H81=""),"Category has no cost type",IF(NOT(ISNUMBER($E81)),"Enter an amount","OK")))))</f>
        <v/>
      </c>
    </row>
    <row r="82" ht="17" customHeight="1">
      <c r="B82" s="66" t="n"/>
      <c r="C82" s="60" t="n"/>
      <c r="D82" s="60" t="n"/>
      <c r="E82" s="63" t="n"/>
      <c r="F82" s="60" t="n"/>
      <c r="G82" s="60" t="n"/>
      <c r="H82" s="13">
        <f>IF($C82="","",IFERROR(INDEX('Lists'!$G$6:$G$35,MATCH($C82,'Lists'!$F$6:$F$35,0))&amp;"","Unknown category"))</f>
        <v/>
      </c>
      <c r="I82" s="80">
        <f>IF(AND($B82="",$C82="",$E82=""),"",IF(NOT(ISNUMBER($B82)),"Enter a valid date",IF($C82="","Pick a category",IF(OR($H82="Unknown category",$H82=""),"Category has no cost type",IF(NOT(ISNUMBER($E82)),"Enter an amount","OK")))))</f>
        <v/>
      </c>
    </row>
    <row r="83" ht="17" customHeight="1">
      <c r="B83" s="66" t="n"/>
      <c r="C83" s="60" t="n"/>
      <c r="D83" s="60" t="n"/>
      <c r="E83" s="63" t="n"/>
      <c r="F83" s="60" t="n"/>
      <c r="G83" s="60" t="n"/>
      <c r="H83" s="13">
        <f>IF($C83="","",IFERROR(INDEX('Lists'!$G$6:$G$35,MATCH($C83,'Lists'!$F$6:$F$35,0))&amp;"","Unknown category"))</f>
        <v/>
      </c>
      <c r="I83" s="80">
        <f>IF(AND($B83="",$C83="",$E83=""),"",IF(NOT(ISNUMBER($B83)),"Enter a valid date",IF($C83="","Pick a category",IF(OR($H83="Unknown category",$H83=""),"Category has no cost type",IF(NOT(ISNUMBER($E83)),"Enter an amount","OK")))))</f>
        <v/>
      </c>
    </row>
    <row r="84" ht="17" customHeight="1">
      <c r="B84" s="66" t="n"/>
      <c r="C84" s="60" t="n"/>
      <c r="D84" s="60" t="n"/>
      <c r="E84" s="63" t="n"/>
      <c r="F84" s="60" t="n"/>
      <c r="G84" s="60" t="n"/>
      <c r="H84" s="13">
        <f>IF($C84="","",IFERROR(INDEX('Lists'!$G$6:$G$35,MATCH($C84,'Lists'!$F$6:$F$35,0))&amp;"","Unknown category"))</f>
        <v/>
      </c>
      <c r="I84" s="80">
        <f>IF(AND($B84="",$C84="",$E84=""),"",IF(NOT(ISNUMBER($B84)),"Enter a valid date",IF($C84="","Pick a category",IF(OR($H84="Unknown category",$H84=""),"Category has no cost type",IF(NOT(ISNUMBER($E84)),"Enter an amount","OK")))))</f>
        <v/>
      </c>
    </row>
    <row r="85" ht="17" customHeight="1">
      <c r="B85" s="66" t="n"/>
      <c r="C85" s="60" t="n"/>
      <c r="D85" s="60" t="n"/>
      <c r="E85" s="63" t="n"/>
      <c r="F85" s="60" t="n"/>
      <c r="G85" s="60" t="n"/>
      <c r="H85" s="13">
        <f>IF($C85="","",IFERROR(INDEX('Lists'!$G$6:$G$35,MATCH($C85,'Lists'!$F$6:$F$35,0))&amp;"","Unknown category"))</f>
        <v/>
      </c>
      <c r="I85" s="80">
        <f>IF(AND($B85="",$C85="",$E85=""),"",IF(NOT(ISNUMBER($B85)),"Enter a valid date",IF($C85="","Pick a category",IF(OR($H85="Unknown category",$H85=""),"Category has no cost type",IF(NOT(ISNUMBER($E85)),"Enter an amount","OK")))))</f>
        <v/>
      </c>
    </row>
    <row r="86" ht="17" customHeight="1">
      <c r="B86" s="66" t="n"/>
      <c r="C86" s="60" t="n"/>
      <c r="D86" s="60" t="n"/>
      <c r="E86" s="63" t="n"/>
      <c r="F86" s="60" t="n"/>
      <c r="G86" s="60" t="n"/>
      <c r="H86" s="13">
        <f>IF($C86="","",IFERROR(INDEX('Lists'!$G$6:$G$35,MATCH($C86,'Lists'!$F$6:$F$35,0))&amp;"","Unknown category"))</f>
        <v/>
      </c>
      <c r="I86" s="80">
        <f>IF(AND($B86="",$C86="",$E86=""),"",IF(NOT(ISNUMBER($B86)),"Enter a valid date",IF($C86="","Pick a category",IF(OR($H86="Unknown category",$H86=""),"Category has no cost type",IF(NOT(ISNUMBER($E86)),"Enter an amount","OK")))))</f>
        <v/>
      </c>
    </row>
    <row r="87" ht="17" customHeight="1">
      <c r="B87" s="66" t="n"/>
      <c r="C87" s="60" t="n"/>
      <c r="D87" s="60" t="n"/>
      <c r="E87" s="63" t="n"/>
      <c r="F87" s="60" t="n"/>
      <c r="G87" s="60" t="n"/>
      <c r="H87" s="13">
        <f>IF($C87="","",IFERROR(INDEX('Lists'!$G$6:$G$35,MATCH($C87,'Lists'!$F$6:$F$35,0))&amp;"","Unknown category"))</f>
        <v/>
      </c>
      <c r="I87" s="80">
        <f>IF(AND($B87="",$C87="",$E87=""),"",IF(NOT(ISNUMBER($B87)),"Enter a valid date",IF($C87="","Pick a category",IF(OR($H87="Unknown category",$H87=""),"Category has no cost type",IF(NOT(ISNUMBER($E87)),"Enter an amount","OK")))))</f>
        <v/>
      </c>
    </row>
    <row r="88" ht="17" customHeight="1">
      <c r="B88" s="66" t="n"/>
      <c r="C88" s="60" t="n"/>
      <c r="D88" s="60" t="n"/>
      <c r="E88" s="63" t="n"/>
      <c r="F88" s="60" t="n"/>
      <c r="G88" s="60" t="n"/>
      <c r="H88" s="13">
        <f>IF($C88="","",IFERROR(INDEX('Lists'!$G$6:$G$35,MATCH($C88,'Lists'!$F$6:$F$35,0))&amp;"","Unknown category"))</f>
        <v/>
      </c>
      <c r="I88" s="80">
        <f>IF(AND($B88="",$C88="",$E88=""),"",IF(NOT(ISNUMBER($B88)),"Enter a valid date",IF($C88="","Pick a category",IF(OR($H88="Unknown category",$H88=""),"Category has no cost type",IF(NOT(ISNUMBER($E88)),"Enter an amount","OK")))))</f>
        <v/>
      </c>
    </row>
    <row r="89" ht="17" customHeight="1">
      <c r="B89" s="66" t="n"/>
      <c r="C89" s="60" t="n"/>
      <c r="D89" s="60" t="n"/>
      <c r="E89" s="63" t="n"/>
      <c r="F89" s="60" t="n"/>
      <c r="G89" s="60" t="n"/>
      <c r="H89" s="13">
        <f>IF($C89="","",IFERROR(INDEX('Lists'!$G$6:$G$35,MATCH($C89,'Lists'!$F$6:$F$35,0))&amp;"","Unknown category"))</f>
        <v/>
      </c>
      <c r="I89" s="80">
        <f>IF(AND($B89="",$C89="",$E89=""),"",IF(NOT(ISNUMBER($B89)),"Enter a valid date",IF($C89="","Pick a category",IF(OR($H89="Unknown category",$H89=""),"Category has no cost type",IF(NOT(ISNUMBER($E89)),"Enter an amount","OK")))))</f>
        <v/>
      </c>
    </row>
    <row r="90" ht="17" customHeight="1">
      <c r="B90" s="66" t="n"/>
      <c r="C90" s="60" t="n"/>
      <c r="D90" s="60" t="n"/>
      <c r="E90" s="63" t="n"/>
      <c r="F90" s="60" t="n"/>
      <c r="G90" s="60" t="n"/>
      <c r="H90" s="13">
        <f>IF($C90="","",IFERROR(INDEX('Lists'!$G$6:$G$35,MATCH($C90,'Lists'!$F$6:$F$35,0))&amp;"","Unknown category"))</f>
        <v/>
      </c>
      <c r="I90" s="80">
        <f>IF(AND($B90="",$C90="",$E90=""),"",IF(NOT(ISNUMBER($B90)),"Enter a valid date",IF($C90="","Pick a category",IF(OR($H90="Unknown category",$H90=""),"Category has no cost type",IF(NOT(ISNUMBER($E90)),"Enter an amount","OK")))))</f>
        <v/>
      </c>
    </row>
    <row r="91" ht="17" customHeight="1">
      <c r="B91" s="66" t="n"/>
      <c r="C91" s="60" t="n"/>
      <c r="D91" s="60" t="n"/>
      <c r="E91" s="63" t="n"/>
      <c r="F91" s="60" t="n"/>
      <c r="G91" s="60" t="n"/>
      <c r="H91" s="13">
        <f>IF($C91="","",IFERROR(INDEX('Lists'!$G$6:$G$35,MATCH($C91,'Lists'!$F$6:$F$35,0))&amp;"","Unknown category"))</f>
        <v/>
      </c>
      <c r="I91" s="80">
        <f>IF(AND($B91="",$C91="",$E91=""),"",IF(NOT(ISNUMBER($B91)),"Enter a valid date",IF($C91="","Pick a category",IF(OR($H91="Unknown category",$H91=""),"Category has no cost type",IF(NOT(ISNUMBER($E91)),"Enter an amount","OK")))))</f>
        <v/>
      </c>
    </row>
    <row r="92" ht="17" customHeight="1">
      <c r="B92" s="66" t="n"/>
      <c r="C92" s="60" t="n"/>
      <c r="D92" s="60" t="n"/>
      <c r="E92" s="63" t="n"/>
      <c r="F92" s="60" t="n"/>
      <c r="G92" s="60" t="n"/>
      <c r="H92" s="13">
        <f>IF($C92="","",IFERROR(INDEX('Lists'!$G$6:$G$35,MATCH($C92,'Lists'!$F$6:$F$35,0))&amp;"","Unknown category"))</f>
        <v/>
      </c>
      <c r="I92" s="80">
        <f>IF(AND($B92="",$C92="",$E92=""),"",IF(NOT(ISNUMBER($B92)),"Enter a valid date",IF($C92="","Pick a category",IF(OR($H92="Unknown category",$H92=""),"Category has no cost type",IF(NOT(ISNUMBER($E92)),"Enter an amount","OK")))))</f>
        <v/>
      </c>
    </row>
    <row r="93" ht="17" customHeight="1">
      <c r="B93" s="66" t="n"/>
      <c r="C93" s="60" t="n"/>
      <c r="D93" s="60" t="n"/>
      <c r="E93" s="63" t="n"/>
      <c r="F93" s="60" t="n"/>
      <c r="G93" s="60" t="n"/>
      <c r="H93" s="13">
        <f>IF($C93="","",IFERROR(INDEX('Lists'!$G$6:$G$35,MATCH($C93,'Lists'!$F$6:$F$35,0))&amp;"","Unknown category"))</f>
        <v/>
      </c>
      <c r="I93" s="80">
        <f>IF(AND($B93="",$C93="",$E93=""),"",IF(NOT(ISNUMBER($B93)),"Enter a valid date",IF($C93="","Pick a category",IF(OR($H93="Unknown category",$H93=""),"Category has no cost type",IF(NOT(ISNUMBER($E93)),"Enter an amount","OK")))))</f>
        <v/>
      </c>
    </row>
    <row r="94" ht="17" customHeight="1">
      <c r="B94" s="66" t="n"/>
      <c r="C94" s="60" t="n"/>
      <c r="D94" s="60" t="n"/>
      <c r="E94" s="63" t="n"/>
      <c r="F94" s="60" t="n"/>
      <c r="G94" s="60" t="n"/>
      <c r="H94" s="13">
        <f>IF($C94="","",IFERROR(INDEX('Lists'!$G$6:$G$35,MATCH($C94,'Lists'!$F$6:$F$35,0))&amp;"","Unknown category"))</f>
        <v/>
      </c>
      <c r="I94" s="80">
        <f>IF(AND($B94="",$C94="",$E94=""),"",IF(NOT(ISNUMBER($B94)),"Enter a valid date",IF($C94="","Pick a category",IF(OR($H94="Unknown category",$H94=""),"Category has no cost type",IF(NOT(ISNUMBER($E94)),"Enter an amount","OK")))))</f>
        <v/>
      </c>
    </row>
    <row r="95" ht="17" customHeight="1">
      <c r="B95" s="66" t="n"/>
      <c r="C95" s="60" t="n"/>
      <c r="D95" s="60" t="n"/>
      <c r="E95" s="63" t="n"/>
      <c r="F95" s="60" t="n"/>
      <c r="G95" s="60" t="n"/>
      <c r="H95" s="13">
        <f>IF($C95="","",IFERROR(INDEX('Lists'!$G$6:$G$35,MATCH($C95,'Lists'!$F$6:$F$35,0))&amp;"","Unknown category"))</f>
        <v/>
      </c>
      <c r="I95" s="80">
        <f>IF(AND($B95="",$C95="",$E95=""),"",IF(NOT(ISNUMBER($B95)),"Enter a valid date",IF($C95="","Pick a category",IF(OR($H95="Unknown category",$H95=""),"Category has no cost type",IF(NOT(ISNUMBER($E95)),"Enter an amount","OK")))))</f>
        <v/>
      </c>
    </row>
    <row r="96" ht="17" customHeight="1">
      <c r="B96" s="66" t="n"/>
      <c r="C96" s="60" t="n"/>
      <c r="D96" s="60" t="n"/>
      <c r="E96" s="63" t="n"/>
      <c r="F96" s="60" t="n"/>
      <c r="G96" s="60" t="n"/>
      <c r="H96" s="13">
        <f>IF($C96="","",IFERROR(INDEX('Lists'!$G$6:$G$35,MATCH($C96,'Lists'!$F$6:$F$35,0))&amp;"","Unknown category"))</f>
        <v/>
      </c>
      <c r="I96" s="80">
        <f>IF(AND($B96="",$C96="",$E96=""),"",IF(NOT(ISNUMBER($B96)),"Enter a valid date",IF($C96="","Pick a category",IF(OR($H96="Unknown category",$H96=""),"Category has no cost type",IF(NOT(ISNUMBER($E96)),"Enter an amount","OK")))))</f>
        <v/>
      </c>
    </row>
    <row r="97" ht="17" customHeight="1">
      <c r="B97" s="66" t="n"/>
      <c r="C97" s="60" t="n"/>
      <c r="D97" s="60" t="n"/>
      <c r="E97" s="63" t="n"/>
      <c r="F97" s="60" t="n"/>
      <c r="G97" s="60" t="n"/>
      <c r="H97" s="13">
        <f>IF($C97="","",IFERROR(INDEX('Lists'!$G$6:$G$35,MATCH($C97,'Lists'!$F$6:$F$35,0))&amp;"","Unknown category"))</f>
        <v/>
      </c>
      <c r="I97" s="80">
        <f>IF(AND($B97="",$C97="",$E97=""),"",IF(NOT(ISNUMBER($B97)),"Enter a valid date",IF($C97="","Pick a category",IF(OR($H97="Unknown category",$H97=""),"Category has no cost type",IF(NOT(ISNUMBER($E97)),"Enter an amount","OK")))))</f>
        <v/>
      </c>
    </row>
    <row r="98" ht="17" customHeight="1">
      <c r="B98" s="66" t="n"/>
      <c r="C98" s="60" t="n"/>
      <c r="D98" s="60" t="n"/>
      <c r="E98" s="63" t="n"/>
      <c r="F98" s="60" t="n"/>
      <c r="G98" s="60" t="n"/>
      <c r="H98" s="13">
        <f>IF($C98="","",IFERROR(INDEX('Lists'!$G$6:$G$35,MATCH($C98,'Lists'!$F$6:$F$35,0))&amp;"","Unknown category"))</f>
        <v/>
      </c>
      <c r="I98" s="80">
        <f>IF(AND($B98="",$C98="",$E98=""),"",IF(NOT(ISNUMBER($B98)),"Enter a valid date",IF($C98="","Pick a category",IF(OR($H98="Unknown category",$H98=""),"Category has no cost type",IF(NOT(ISNUMBER($E98)),"Enter an amount","OK")))))</f>
        <v/>
      </c>
    </row>
    <row r="99" ht="17" customHeight="1">
      <c r="B99" s="66" t="n"/>
      <c r="C99" s="60" t="n"/>
      <c r="D99" s="60" t="n"/>
      <c r="E99" s="63" t="n"/>
      <c r="F99" s="60" t="n"/>
      <c r="G99" s="60" t="n"/>
      <c r="H99" s="13">
        <f>IF($C99="","",IFERROR(INDEX('Lists'!$G$6:$G$35,MATCH($C99,'Lists'!$F$6:$F$35,0))&amp;"","Unknown category"))</f>
        <v/>
      </c>
      <c r="I99" s="80">
        <f>IF(AND($B99="",$C99="",$E99=""),"",IF(NOT(ISNUMBER($B99)),"Enter a valid date",IF($C99="","Pick a category",IF(OR($H99="Unknown category",$H99=""),"Category has no cost type",IF(NOT(ISNUMBER($E99)),"Enter an amount","OK")))))</f>
        <v/>
      </c>
    </row>
    <row r="100" ht="17" customHeight="1">
      <c r="B100" s="66" t="n"/>
      <c r="C100" s="60" t="n"/>
      <c r="D100" s="60" t="n"/>
      <c r="E100" s="63" t="n"/>
      <c r="F100" s="60" t="n"/>
      <c r="G100" s="60" t="n"/>
      <c r="H100" s="13">
        <f>IF($C100="","",IFERROR(INDEX('Lists'!$G$6:$G$35,MATCH($C100,'Lists'!$F$6:$F$35,0))&amp;"","Unknown category"))</f>
        <v/>
      </c>
      <c r="I100" s="80">
        <f>IF(AND($B100="",$C100="",$E100=""),"",IF(NOT(ISNUMBER($B100)),"Enter a valid date",IF($C100="","Pick a category",IF(OR($H100="Unknown category",$H100=""),"Category has no cost type",IF(NOT(ISNUMBER($E100)),"Enter an amount","OK")))))</f>
        <v/>
      </c>
    </row>
    <row r="101" ht="17" customHeight="1">
      <c r="B101" s="66" t="n"/>
      <c r="C101" s="60" t="n"/>
      <c r="D101" s="60" t="n"/>
      <c r="E101" s="63" t="n"/>
      <c r="F101" s="60" t="n"/>
      <c r="G101" s="60" t="n"/>
      <c r="H101" s="13">
        <f>IF($C101="","",IFERROR(INDEX('Lists'!$G$6:$G$35,MATCH($C101,'Lists'!$F$6:$F$35,0))&amp;"","Unknown category"))</f>
        <v/>
      </c>
      <c r="I101" s="80">
        <f>IF(AND($B101="",$C101="",$E101=""),"",IF(NOT(ISNUMBER($B101)),"Enter a valid date",IF($C101="","Pick a category",IF(OR($H101="Unknown category",$H101=""),"Category has no cost type",IF(NOT(ISNUMBER($E101)),"Enter an amount","OK")))))</f>
        <v/>
      </c>
    </row>
    <row r="102" ht="17" customHeight="1">
      <c r="B102" s="66" t="n"/>
      <c r="C102" s="60" t="n"/>
      <c r="D102" s="60" t="n"/>
      <c r="E102" s="63" t="n"/>
      <c r="F102" s="60" t="n"/>
      <c r="G102" s="60" t="n"/>
      <c r="H102" s="13">
        <f>IF($C102="","",IFERROR(INDEX('Lists'!$G$6:$G$35,MATCH($C102,'Lists'!$F$6:$F$35,0))&amp;"","Unknown category"))</f>
        <v/>
      </c>
      <c r="I102" s="80">
        <f>IF(AND($B102="",$C102="",$E102=""),"",IF(NOT(ISNUMBER($B102)),"Enter a valid date",IF($C102="","Pick a category",IF(OR($H102="Unknown category",$H102=""),"Category has no cost type",IF(NOT(ISNUMBER($E102)),"Enter an amount","OK")))))</f>
        <v/>
      </c>
    </row>
    <row r="103" ht="17" customHeight="1">
      <c r="B103" s="66" t="n"/>
      <c r="C103" s="60" t="n"/>
      <c r="D103" s="60" t="n"/>
      <c r="E103" s="63" t="n"/>
      <c r="F103" s="60" t="n"/>
      <c r="G103" s="60" t="n"/>
      <c r="H103" s="13">
        <f>IF($C103="","",IFERROR(INDEX('Lists'!$G$6:$G$35,MATCH($C103,'Lists'!$F$6:$F$35,0))&amp;"","Unknown category"))</f>
        <v/>
      </c>
      <c r="I103" s="80">
        <f>IF(AND($B103="",$C103="",$E103=""),"",IF(NOT(ISNUMBER($B103)),"Enter a valid date",IF($C103="","Pick a category",IF(OR($H103="Unknown category",$H103=""),"Category has no cost type",IF(NOT(ISNUMBER($E103)),"Enter an amount","OK")))))</f>
        <v/>
      </c>
    </row>
    <row r="104" ht="17" customHeight="1">
      <c r="B104" s="66" t="n"/>
      <c r="C104" s="60" t="n"/>
      <c r="D104" s="60" t="n"/>
      <c r="E104" s="63" t="n"/>
      <c r="F104" s="60" t="n"/>
      <c r="G104" s="60" t="n"/>
      <c r="H104" s="13">
        <f>IF($C104="","",IFERROR(INDEX('Lists'!$G$6:$G$35,MATCH($C104,'Lists'!$F$6:$F$35,0))&amp;"","Unknown category"))</f>
        <v/>
      </c>
      <c r="I104" s="80">
        <f>IF(AND($B104="",$C104="",$E104=""),"",IF(NOT(ISNUMBER($B104)),"Enter a valid date",IF($C104="","Pick a category",IF(OR($H104="Unknown category",$H104=""),"Category has no cost type",IF(NOT(ISNUMBER($E104)),"Enter an amount","OK")))))</f>
        <v/>
      </c>
    </row>
    <row r="105" ht="17" customHeight="1">
      <c r="B105" s="66" t="n"/>
      <c r="C105" s="60" t="n"/>
      <c r="D105" s="60" t="n"/>
      <c r="E105" s="63" t="n"/>
      <c r="F105" s="60" t="n"/>
      <c r="G105" s="60" t="n"/>
      <c r="H105" s="13">
        <f>IF($C105="","",IFERROR(INDEX('Lists'!$G$6:$G$35,MATCH($C105,'Lists'!$F$6:$F$35,0))&amp;"","Unknown category"))</f>
        <v/>
      </c>
      <c r="I105" s="80">
        <f>IF(AND($B105="",$C105="",$E105=""),"",IF(NOT(ISNUMBER($B105)),"Enter a valid date",IF($C105="","Pick a category",IF(OR($H105="Unknown category",$H105=""),"Category has no cost type",IF(NOT(ISNUMBER($E105)),"Enter an amount","OK")))))</f>
        <v/>
      </c>
    </row>
    <row r="106" ht="17" customHeight="1">
      <c r="B106" s="66" t="n"/>
      <c r="C106" s="60" t="n"/>
      <c r="D106" s="60" t="n"/>
      <c r="E106" s="63" t="n"/>
      <c r="F106" s="60" t="n"/>
      <c r="G106" s="60" t="n"/>
      <c r="H106" s="13">
        <f>IF($C106="","",IFERROR(INDEX('Lists'!$G$6:$G$35,MATCH($C106,'Lists'!$F$6:$F$35,0))&amp;"","Unknown category"))</f>
        <v/>
      </c>
      <c r="I106" s="80">
        <f>IF(AND($B106="",$C106="",$E106=""),"",IF(NOT(ISNUMBER($B106)),"Enter a valid date",IF($C106="","Pick a category",IF(OR($H106="Unknown category",$H106=""),"Category has no cost type",IF(NOT(ISNUMBER($E106)),"Enter an amount","OK")))))</f>
        <v/>
      </c>
    </row>
    <row r="107" ht="17" customHeight="1">
      <c r="B107" s="66" t="n"/>
      <c r="C107" s="60" t="n"/>
      <c r="D107" s="60" t="n"/>
      <c r="E107" s="63" t="n"/>
      <c r="F107" s="60" t="n"/>
      <c r="G107" s="60" t="n"/>
      <c r="H107" s="13">
        <f>IF($C107="","",IFERROR(INDEX('Lists'!$G$6:$G$35,MATCH($C107,'Lists'!$F$6:$F$35,0))&amp;"","Unknown category"))</f>
        <v/>
      </c>
      <c r="I107" s="80">
        <f>IF(AND($B107="",$C107="",$E107=""),"",IF(NOT(ISNUMBER($B107)),"Enter a valid date",IF($C107="","Pick a category",IF(OR($H107="Unknown category",$H107=""),"Category has no cost type",IF(NOT(ISNUMBER($E107)),"Enter an amount","OK")))))</f>
        <v/>
      </c>
    </row>
    <row r="108" ht="17" customHeight="1">
      <c r="B108" s="66" t="n"/>
      <c r="C108" s="60" t="n"/>
      <c r="D108" s="60" t="n"/>
      <c r="E108" s="63" t="n"/>
      <c r="F108" s="60" t="n"/>
      <c r="G108" s="60" t="n"/>
      <c r="H108" s="13">
        <f>IF($C108="","",IFERROR(INDEX('Lists'!$G$6:$G$35,MATCH($C108,'Lists'!$F$6:$F$35,0))&amp;"","Unknown category"))</f>
        <v/>
      </c>
      <c r="I108" s="80">
        <f>IF(AND($B108="",$C108="",$E108=""),"",IF(NOT(ISNUMBER($B108)),"Enter a valid date",IF($C108="","Pick a category",IF(OR($H108="Unknown category",$H108=""),"Category has no cost type",IF(NOT(ISNUMBER($E108)),"Enter an amount","OK")))))</f>
        <v/>
      </c>
    </row>
    <row r="109" ht="17" customHeight="1">
      <c r="B109" s="66" t="n"/>
      <c r="C109" s="60" t="n"/>
      <c r="D109" s="60" t="n"/>
      <c r="E109" s="63" t="n"/>
      <c r="F109" s="60" t="n"/>
      <c r="G109" s="60" t="n"/>
      <c r="H109" s="13">
        <f>IF($C109="","",IFERROR(INDEX('Lists'!$G$6:$G$35,MATCH($C109,'Lists'!$F$6:$F$35,0))&amp;"","Unknown category"))</f>
        <v/>
      </c>
      <c r="I109" s="80">
        <f>IF(AND($B109="",$C109="",$E109=""),"",IF(NOT(ISNUMBER($B109)),"Enter a valid date",IF($C109="","Pick a category",IF(OR($H109="Unknown category",$H109=""),"Category has no cost type",IF(NOT(ISNUMBER($E109)),"Enter an amount","OK")))))</f>
        <v/>
      </c>
    </row>
    <row r="110" ht="17" customHeight="1">
      <c r="B110" s="66" t="n"/>
      <c r="C110" s="60" t="n"/>
      <c r="D110" s="60" t="n"/>
      <c r="E110" s="63" t="n"/>
      <c r="F110" s="60" t="n"/>
      <c r="G110" s="60" t="n"/>
      <c r="H110" s="13">
        <f>IF($C110="","",IFERROR(INDEX('Lists'!$G$6:$G$35,MATCH($C110,'Lists'!$F$6:$F$35,0))&amp;"","Unknown category"))</f>
        <v/>
      </c>
      <c r="I110" s="80">
        <f>IF(AND($B110="",$C110="",$E110=""),"",IF(NOT(ISNUMBER($B110)),"Enter a valid date",IF($C110="","Pick a category",IF(OR($H110="Unknown category",$H110=""),"Category has no cost type",IF(NOT(ISNUMBER($E110)),"Enter an amount","OK")))))</f>
        <v/>
      </c>
    </row>
    <row r="111" ht="17" customHeight="1">
      <c r="B111" s="66" t="n"/>
      <c r="C111" s="60" t="n"/>
      <c r="D111" s="60" t="n"/>
      <c r="E111" s="63" t="n"/>
      <c r="F111" s="60" t="n"/>
      <c r="G111" s="60" t="n"/>
      <c r="H111" s="13">
        <f>IF($C111="","",IFERROR(INDEX('Lists'!$G$6:$G$35,MATCH($C111,'Lists'!$F$6:$F$35,0))&amp;"","Unknown category"))</f>
        <v/>
      </c>
      <c r="I111" s="80">
        <f>IF(AND($B111="",$C111="",$E111=""),"",IF(NOT(ISNUMBER($B111)),"Enter a valid date",IF($C111="","Pick a category",IF(OR($H111="Unknown category",$H111=""),"Category has no cost type",IF(NOT(ISNUMBER($E111)),"Enter an amount","OK")))))</f>
        <v/>
      </c>
    </row>
    <row r="112" ht="17" customHeight="1">
      <c r="B112" s="66" t="n"/>
      <c r="C112" s="60" t="n"/>
      <c r="D112" s="60" t="n"/>
      <c r="E112" s="63" t="n"/>
      <c r="F112" s="60" t="n"/>
      <c r="G112" s="60" t="n"/>
      <c r="H112" s="13">
        <f>IF($C112="","",IFERROR(INDEX('Lists'!$G$6:$G$35,MATCH($C112,'Lists'!$F$6:$F$35,0))&amp;"","Unknown category"))</f>
        <v/>
      </c>
      <c r="I112" s="80">
        <f>IF(AND($B112="",$C112="",$E112=""),"",IF(NOT(ISNUMBER($B112)),"Enter a valid date",IF($C112="","Pick a category",IF(OR($H112="Unknown category",$H112=""),"Category has no cost type",IF(NOT(ISNUMBER($E112)),"Enter an amount","OK")))))</f>
        <v/>
      </c>
    </row>
    <row r="113" ht="17" customHeight="1">
      <c r="B113" s="66" t="n"/>
      <c r="C113" s="60" t="n"/>
      <c r="D113" s="60" t="n"/>
      <c r="E113" s="63" t="n"/>
      <c r="F113" s="60" t="n"/>
      <c r="G113" s="60" t="n"/>
      <c r="H113" s="13">
        <f>IF($C113="","",IFERROR(INDEX('Lists'!$G$6:$G$35,MATCH($C113,'Lists'!$F$6:$F$35,0))&amp;"","Unknown category"))</f>
        <v/>
      </c>
      <c r="I113" s="80">
        <f>IF(AND($B113="",$C113="",$E113=""),"",IF(NOT(ISNUMBER($B113)),"Enter a valid date",IF($C113="","Pick a category",IF(OR($H113="Unknown category",$H113=""),"Category has no cost type",IF(NOT(ISNUMBER($E113)),"Enter an amount","OK")))))</f>
        <v/>
      </c>
    </row>
    <row r="114" ht="17" customHeight="1">
      <c r="B114" s="66" t="n"/>
      <c r="C114" s="60" t="n"/>
      <c r="D114" s="60" t="n"/>
      <c r="E114" s="63" t="n"/>
      <c r="F114" s="60" t="n"/>
      <c r="G114" s="60" t="n"/>
      <c r="H114" s="13">
        <f>IF($C114="","",IFERROR(INDEX('Lists'!$G$6:$G$35,MATCH($C114,'Lists'!$F$6:$F$35,0))&amp;"","Unknown category"))</f>
        <v/>
      </c>
      <c r="I114" s="80">
        <f>IF(AND($B114="",$C114="",$E114=""),"",IF(NOT(ISNUMBER($B114)),"Enter a valid date",IF($C114="","Pick a category",IF(OR($H114="Unknown category",$H114=""),"Category has no cost type",IF(NOT(ISNUMBER($E114)),"Enter an amount","OK")))))</f>
        <v/>
      </c>
    </row>
    <row r="115" ht="17" customHeight="1">
      <c r="B115" s="66" t="n"/>
      <c r="C115" s="60" t="n"/>
      <c r="D115" s="60" t="n"/>
      <c r="E115" s="63" t="n"/>
      <c r="F115" s="60" t="n"/>
      <c r="G115" s="60" t="n"/>
      <c r="H115" s="13">
        <f>IF($C115="","",IFERROR(INDEX('Lists'!$G$6:$G$35,MATCH($C115,'Lists'!$F$6:$F$35,0))&amp;"","Unknown category"))</f>
        <v/>
      </c>
      <c r="I115" s="80">
        <f>IF(AND($B115="",$C115="",$E115=""),"",IF(NOT(ISNUMBER($B115)),"Enter a valid date",IF($C115="","Pick a category",IF(OR($H115="Unknown category",$H115=""),"Category has no cost type",IF(NOT(ISNUMBER($E115)),"Enter an amount","OK")))))</f>
        <v/>
      </c>
    </row>
    <row r="116" ht="17" customHeight="1">
      <c r="B116" s="66" t="n"/>
      <c r="C116" s="60" t="n"/>
      <c r="D116" s="60" t="n"/>
      <c r="E116" s="63" t="n"/>
      <c r="F116" s="60" t="n"/>
      <c r="G116" s="60" t="n"/>
      <c r="H116" s="13">
        <f>IF($C116="","",IFERROR(INDEX('Lists'!$G$6:$G$35,MATCH($C116,'Lists'!$F$6:$F$35,0))&amp;"","Unknown category"))</f>
        <v/>
      </c>
      <c r="I116" s="80">
        <f>IF(AND($B116="",$C116="",$E116=""),"",IF(NOT(ISNUMBER($B116)),"Enter a valid date",IF($C116="","Pick a category",IF(OR($H116="Unknown category",$H116=""),"Category has no cost type",IF(NOT(ISNUMBER($E116)),"Enter an amount","OK")))))</f>
        <v/>
      </c>
    </row>
    <row r="117" ht="17" customHeight="1">
      <c r="B117" s="66" t="n"/>
      <c r="C117" s="60" t="n"/>
      <c r="D117" s="60" t="n"/>
      <c r="E117" s="63" t="n"/>
      <c r="F117" s="60" t="n"/>
      <c r="G117" s="60" t="n"/>
      <c r="H117" s="13">
        <f>IF($C117="","",IFERROR(INDEX('Lists'!$G$6:$G$35,MATCH($C117,'Lists'!$F$6:$F$35,0))&amp;"","Unknown category"))</f>
        <v/>
      </c>
      <c r="I117" s="80">
        <f>IF(AND($B117="",$C117="",$E117=""),"",IF(NOT(ISNUMBER($B117)),"Enter a valid date",IF($C117="","Pick a category",IF(OR($H117="Unknown category",$H117=""),"Category has no cost type",IF(NOT(ISNUMBER($E117)),"Enter an amount","OK")))))</f>
        <v/>
      </c>
    </row>
    <row r="118" ht="17" customHeight="1">
      <c r="B118" s="66" t="n"/>
      <c r="C118" s="60" t="n"/>
      <c r="D118" s="60" t="n"/>
      <c r="E118" s="63" t="n"/>
      <c r="F118" s="60" t="n"/>
      <c r="G118" s="60" t="n"/>
      <c r="H118" s="13">
        <f>IF($C118="","",IFERROR(INDEX('Lists'!$G$6:$G$35,MATCH($C118,'Lists'!$F$6:$F$35,0))&amp;"","Unknown category"))</f>
        <v/>
      </c>
      <c r="I118" s="80">
        <f>IF(AND($B118="",$C118="",$E118=""),"",IF(NOT(ISNUMBER($B118)),"Enter a valid date",IF($C118="","Pick a category",IF(OR($H118="Unknown category",$H118=""),"Category has no cost type",IF(NOT(ISNUMBER($E118)),"Enter an amount","OK")))))</f>
        <v/>
      </c>
    </row>
    <row r="119" ht="17" customHeight="1">
      <c r="B119" s="66" t="n"/>
      <c r="C119" s="60" t="n"/>
      <c r="D119" s="60" t="n"/>
      <c r="E119" s="63" t="n"/>
      <c r="F119" s="60" t="n"/>
      <c r="G119" s="60" t="n"/>
      <c r="H119" s="13">
        <f>IF($C119="","",IFERROR(INDEX('Lists'!$G$6:$G$35,MATCH($C119,'Lists'!$F$6:$F$35,0))&amp;"","Unknown category"))</f>
        <v/>
      </c>
      <c r="I119" s="80">
        <f>IF(AND($B119="",$C119="",$E119=""),"",IF(NOT(ISNUMBER($B119)),"Enter a valid date",IF($C119="","Pick a category",IF(OR($H119="Unknown category",$H119=""),"Category has no cost type",IF(NOT(ISNUMBER($E119)),"Enter an amount","OK")))))</f>
        <v/>
      </c>
    </row>
    <row r="120" ht="17" customHeight="1">
      <c r="B120" s="66" t="n"/>
      <c r="C120" s="60" t="n"/>
      <c r="D120" s="60" t="n"/>
      <c r="E120" s="63" t="n"/>
      <c r="F120" s="60" t="n"/>
      <c r="G120" s="60" t="n"/>
      <c r="H120" s="13">
        <f>IF($C120="","",IFERROR(INDEX('Lists'!$G$6:$G$35,MATCH($C120,'Lists'!$F$6:$F$35,0))&amp;"","Unknown category"))</f>
        <v/>
      </c>
      <c r="I120" s="80">
        <f>IF(AND($B120="",$C120="",$E120=""),"",IF(NOT(ISNUMBER($B120)),"Enter a valid date",IF($C120="","Pick a category",IF(OR($H120="Unknown category",$H120=""),"Category has no cost type",IF(NOT(ISNUMBER($E120)),"Enter an amount","OK")))))</f>
        <v/>
      </c>
    </row>
    <row r="121" ht="17" customHeight="1">
      <c r="B121" s="66" t="n"/>
      <c r="C121" s="60" t="n"/>
      <c r="D121" s="60" t="n"/>
      <c r="E121" s="63" t="n"/>
      <c r="F121" s="60" t="n"/>
      <c r="G121" s="60" t="n"/>
      <c r="H121" s="13">
        <f>IF($C121="","",IFERROR(INDEX('Lists'!$G$6:$G$35,MATCH($C121,'Lists'!$F$6:$F$35,0))&amp;"","Unknown category"))</f>
        <v/>
      </c>
      <c r="I121" s="80">
        <f>IF(AND($B121="",$C121="",$E121=""),"",IF(NOT(ISNUMBER($B121)),"Enter a valid date",IF($C121="","Pick a category",IF(OR($H121="Unknown category",$H121=""),"Category has no cost type",IF(NOT(ISNUMBER($E121)),"Enter an amount","OK")))))</f>
        <v/>
      </c>
    </row>
    <row r="122" ht="17" customHeight="1">
      <c r="B122" s="66" t="n"/>
      <c r="C122" s="60" t="n"/>
      <c r="D122" s="60" t="n"/>
      <c r="E122" s="63" t="n"/>
      <c r="F122" s="60" t="n"/>
      <c r="G122" s="60" t="n"/>
      <c r="H122" s="13">
        <f>IF($C122="","",IFERROR(INDEX('Lists'!$G$6:$G$35,MATCH($C122,'Lists'!$F$6:$F$35,0))&amp;"","Unknown category"))</f>
        <v/>
      </c>
      <c r="I122" s="80">
        <f>IF(AND($B122="",$C122="",$E122=""),"",IF(NOT(ISNUMBER($B122)),"Enter a valid date",IF($C122="","Pick a category",IF(OR($H122="Unknown category",$H122=""),"Category has no cost type",IF(NOT(ISNUMBER($E122)),"Enter an amount","OK")))))</f>
        <v/>
      </c>
    </row>
    <row r="123" ht="17" customHeight="1">
      <c r="B123" s="66" t="n"/>
      <c r="C123" s="60" t="n"/>
      <c r="D123" s="60" t="n"/>
      <c r="E123" s="63" t="n"/>
      <c r="F123" s="60" t="n"/>
      <c r="G123" s="60" t="n"/>
      <c r="H123" s="13">
        <f>IF($C123="","",IFERROR(INDEX('Lists'!$G$6:$G$35,MATCH($C123,'Lists'!$F$6:$F$35,0))&amp;"","Unknown category"))</f>
        <v/>
      </c>
      <c r="I123" s="80">
        <f>IF(AND($B123="",$C123="",$E123=""),"",IF(NOT(ISNUMBER($B123)),"Enter a valid date",IF($C123="","Pick a category",IF(OR($H123="Unknown category",$H123=""),"Category has no cost type",IF(NOT(ISNUMBER($E123)),"Enter an amount","OK")))))</f>
        <v/>
      </c>
    </row>
    <row r="124" ht="17" customHeight="1">
      <c r="B124" s="66" t="n"/>
      <c r="C124" s="60" t="n"/>
      <c r="D124" s="60" t="n"/>
      <c r="E124" s="63" t="n"/>
      <c r="F124" s="60" t="n"/>
      <c r="G124" s="60" t="n"/>
      <c r="H124" s="13">
        <f>IF($C124="","",IFERROR(INDEX('Lists'!$G$6:$G$35,MATCH($C124,'Lists'!$F$6:$F$35,0))&amp;"","Unknown category"))</f>
        <v/>
      </c>
      <c r="I124" s="80">
        <f>IF(AND($B124="",$C124="",$E124=""),"",IF(NOT(ISNUMBER($B124)),"Enter a valid date",IF($C124="","Pick a category",IF(OR($H124="Unknown category",$H124=""),"Category has no cost type",IF(NOT(ISNUMBER($E124)),"Enter an amount","OK")))))</f>
        <v/>
      </c>
    </row>
    <row r="125" ht="17" customHeight="1">
      <c r="B125" s="66" t="n"/>
      <c r="C125" s="60" t="n"/>
      <c r="D125" s="60" t="n"/>
      <c r="E125" s="63" t="n"/>
      <c r="F125" s="60" t="n"/>
      <c r="G125" s="60" t="n"/>
      <c r="H125" s="13">
        <f>IF($C125="","",IFERROR(INDEX('Lists'!$G$6:$G$35,MATCH($C125,'Lists'!$F$6:$F$35,0))&amp;"","Unknown category"))</f>
        <v/>
      </c>
      <c r="I125" s="80">
        <f>IF(AND($B125="",$C125="",$E125=""),"",IF(NOT(ISNUMBER($B125)),"Enter a valid date",IF($C125="","Pick a category",IF(OR($H125="Unknown category",$H125=""),"Category has no cost type",IF(NOT(ISNUMBER($E125)),"Enter an amount","OK")))))</f>
        <v/>
      </c>
    </row>
    <row r="126" ht="17" customHeight="1">
      <c r="B126" s="66" t="n"/>
      <c r="C126" s="60" t="n"/>
      <c r="D126" s="60" t="n"/>
      <c r="E126" s="63" t="n"/>
      <c r="F126" s="60" t="n"/>
      <c r="G126" s="60" t="n"/>
      <c r="H126" s="13">
        <f>IF($C126="","",IFERROR(INDEX('Lists'!$G$6:$G$35,MATCH($C126,'Lists'!$F$6:$F$35,0))&amp;"","Unknown category"))</f>
        <v/>
      </c>
      <c r="I126" s="80">
        <f>IF(AND($B126="",$C126="",$E126=""),"",IF(NOT(ISNUMBER($B126)),"Enter a valid date",IF($C126="","Pick a category",IF(OR($H126="Unknown category",$H126=""),"Category has no cost type",IF(NOT(ISNUMBER($E126)),"Enter an amount","OK")))))</f>
        <v/>
      </c>
    </row>
    <row r="127" ht="17" customHeight="1">
      <c r="B127" s="66" t="n"/>
      <c r="C127" s="60" t="n"/>
      <c r="D127" s="60" t="n"/>
      <c r="E127" s="63" t="n"/>
      <c r="F127" s="60" t="n"/>
      <c r="G127" s="60" t="n"/>
      <c r="H127" s="13">
        <f>IF($C127="","",IFERROR(INDEX('Lists'!$G$6:$G$35,MATCH($C127,'Lists'!$F$6:$F$35,0))&amp;"","Unknown category"))</f>
        <v/>
      </c>
      <c r="I127" s="80">
        <f>IF(AND($B127="",$C127="",$E127=""),"",IF(NOT(ISNUMBER($B127)),"Enter a valid date",IF($C127="","Pick a category",IF(OR($H127="Unknown category",$H127=""),"Category has no cost type",IF(NOT(ISNUMBER($E127)),"Enter an amount","OK")))))</f>
        <v/>
      </c>
    </row>
    <row r="128" ht="17" customHeight="1">
      <c r="B128" s="66" t="n"/>
      <c r="C128" s="60" t="n"/>
      <c r="D128" s="60" t="n"/>
      <c r="E128" s="63" t="n"/>
      <c r="F128" s="60" t="n"/>
      <c r="G128" s="60" t="n"/>
      <c r="H128" s="13">
        <f>IF($C128="","",IFERROR(INDEX('Lists'!$G$6:$G$35,MATCH($C128,'Lists'!$F$6:$F$35,0))&amp;"","Unknown category"))</f>
        <v/>
      </c>
      <c r="I128" s="80">
        <f>IF(AND($B128="",$C128="",$E128=""),"",IF(NOT(ISNUMBER($B128)),"Enter a valid date",IF($C128="","Pick a category",IF(OR($H128="Unknown category",$H128=""),"Category has no cost type",IF(NOT(ISNUMBER($E128)),"Enter an amount","OK")))))</f>
        <v/>
      </c>
    </row>
    <row r="129" ht="17" customHeight="1">
      <c r="B129" s="66" t="n"/>
      <c r="C129" s="60" t="n"/>
      <c r="D129" s="60" t="n"/>
      <c r="E129" s="63" t="n"/>
      <c r="F129" s="60" t="n"/>
      <c r="G129" s="60" t="n"/>
      <c r="H129" s="13">
        <f>IF($C129="","",IFERROR(INDEX('Lists'!$G$6:$G$35,MATCH($C129,'Lists'!$F$6:$F$35,0))&amp;"","Unknown category"))</f>
        <v/>
      </c>
      <c r="I129" s="80">
        <f>IF(AND($B129="",$C129="",$E129=""),"",IF(NOT(ISNUMBER($B129)),"Enter a valid date",IF($C129="","Pick a category",IF(OR($H129="Unknown category",$H129=""),"Category has no cost type",IF(NOT(ISNUMBER($E129)),"Enter an amount","OK")))))</f>
        <v/>
      </c>
    </row>
    <row r="130" ht="17" customHeight="1">
      <c r="B130" s="66" t="n"/>
      <c r="C130" s="60" t="n"/>
      <c r="D130" s="60" t="n"/>
      <c r="E130" s="63" t="n"/>
      <c r="F130" s="60" t="n"/>
      <c r="G130" s="60" t="n"/>
      <c r="H130" s="13">
        <f>IF($C130="","",IFERROR(INDEX('Lists'!$G$6:$G$35,MATCH($C130,'Lists'!$F$6:$F$35,0))&amp;"","Unknown category"))</f>
        <v/>
      </c>
      <c r="I130" s="80">
        <f>IF(AND($B130="",$C130="",$E130=""),"",IF(NOT(ISNUMBER($B130)),"Enter a valid date",IF($C130="","Pick a category",IF(OR($H130="Unknown category",$H130=""),"Category has no cost type",IF(NOT(ISNUMBER($E130)),"Enter an amount","OK")))))</f>
        <v/>
      </c>
    </row>
    <row r="131" ht="17" customHeight="1">
      <c r="B131" s="66" t="n"/>
      <c r="C131" s="60" t="n"/>
      <c r="D131" s="60" t="n"/>
      <c r="E131" s="63" t="n"/>
      <c r="F131" s="60" t="n"/>
      <c r="G131" s="60" t="n"/>
      <c r="H131" s="13">
        <f>IF($C131="","",IFERROR(INDEX('Lists'!$G$6:$G$35,MATCH($C131,'Lists'!$F$6:$F$35,0))&amp;"","Unknown category"))</f>
        <v/>
      </c>
      <c r="I131" s="80">
        <f>IF(AND($B131="",$C131="",$E131=""),"",IF(NOT(ISNUMBER($B131)),"Enter a valid date",IF($C131="","Pick a category",IF(OR($H131="Unknown category",$H131=""),"Category has no cost type",IF(NOT(ISNUMBER($E131)),"Enter an amount","OK")))))</f>
        <v/>
      </c>
    </row>
    <row r="132" ht="17" customHeight="1">
      <c r="B132" s="66" t="n"/>
      <c r="C132" s="60" t="n"/>
      <c r="D132" s="60" t="n"/>
      <c r="E132" s="63" t="n"/>
      <c r="F132" s="60" t="n"/>
      <c r="G132" s="60" t="n"/>
      <c r="H132" s="13">
        <f>IF($C132="","",IFERROR(INDEX('Lists'!$G$6:$G$35,MATCH($C132,'Lists'!$F$6:$F$35,0))&amp;"","Unknown category"))</f>
        <v/>
      </c>
      <c r="I132" s="80">
        <f>IF(AND($B132="",$C132="",$E132=""),"",IF(NOT(ISNUMBER($B132)),"Enter a valid date",IF($C132="","Pick a category",IF(OR($H132="Unknown category",$H132=""),"Category has no cost type",IF(NOT(ISNUMBER($E132)),"Enter an amount","OK")))))</f>
        <v/>
      </c>
    </row>
    <row r="133" ht="17" customHeight="1">
      <c r="B133" s="66" t="n"/>
      <c r="C133" s="60" t="n"/>
      <c r="D133" s="60" t="n"/>
      <c r="E133" s="63" t="n"/>
      <c r="F133" s="60" t="n"/>
      <c r="G133" s="60" t="n"/>
      <c r="H133" s="13">
        <f>IF($C133="","",IFERROR(INDEX('Lists'!$G$6:$G$35,MATCH($C133,'Lists'!$F$6:$F$35,0))&amp;"","Unknown category"))</f>
        <v/>
      </c>
      <c r="I133" s="80">
        <f>IF(AND($B133="",$C133="",$E133=""),"",IF(NOT(ISNUMBER($B133)),"Enter a valid date",IF($C133="","Pick a category",IF(OR($H133="Unknown category",$H133=""),"Category has no cost type",IF(NOT(ISNUMBER($E133)),"Enter an amount","OK")))))</f>
        <v/>
      </c>
    </row>
    <row r="134" ht="17" customHeight="1">
      <c r="B134" s="66" t="n"/>
      <c r="C134" s="60" t="n"/>
      <c r="D134" s="60" t="n"/>
      <c r="E134" s="63" t="n"/>
      <c r="F134" s="60" t="n"/>
      <c r="G134" s="60" t="n"/>
      <c r="H134" s="13">
        <f>IF($C134="","",IFERROR(INDEX('Lists'!$G$6:$G$35,MATCH($C134,'Lists'!$F$6:$F$35,0))&amp;"","Unknown category"))</f>
        <v/>
      </c>
      <c r="I134" s="80">
        <f>IF(AND($B134="",$C134="",$E134=""),"",IF(NOT(ISNUMBER($B134)),"Enter a valid date",IF($C134="","Pick a category",IF(OR($H134="Unknown category",$H134=""),"Category has no cost type",IF(NOT(ISNUMBER($E134)),"Enter an amount","OK")))))</f>
        <v/>
      </c>
    </row>
    <row r="135" ht="17" customHeight="1">
      <c r="B135" s="66" t="n"/>
      <c r="C135" s="60" t="n"/>
      <c r="D135" s="60" t="n"/>
      <c r="E135" s="63" t="n"/>
      <c r="F135" s="60" t="n"/>
      <c r="G135" s="60" t="n"/>
      <c r="H135" s="13">
        <f>IF($C135="","",IFERROR(INDEX('Lists'!$G$6:$G$35,MATCH($C135,'Lists'!$F$6:$F$35,0))&amp;"","Unknown category"))</f>
        <v/>
      </c>
      <c r="I135" s="80">
        <f>IF(AND($B135="",$C135="",$E135=""),"",IF(NOT(ISNUMBER($B135)),"Enter a valid date",IF($C135="","Pick a category",IF(OR($H135="Unknown category",$H135=""),"Category has no cost type",IF(NOT(ISNUMBER($E135)),"Enter an amount","OK")))))</f>
        <v/>
      </c>
    </row>
    <row r="136" ht="17" customHeight="1">
      <c r="B136" s="66" t="n"/>
      <c r="C136" s="60" t="n"/>
      <c r="D136" s="60" t="n"/>
      <c r="E136" s="63" t="n"/>
      <c r="F136" s="60" t="n"/>
      <c r="G136" s="60" t="n"/>
      <c r="H136" s="13">
        <f>IF($C136="","",IFERROR(INDEX('Lists'!$G$6:$G$35,MATCH($C136,'Lists'!$F$6:$F$35,0))&amp;"","Unknown category"))</f>
        <v/>
      </c>
      <c r="I136" s="80">
        <f>IF(AND($B136="",$C136="",$E136=""),"",IF(NOT(ISNUMBER($B136)),"Enter a valid date",IF($C136="","Pick a category",IF(OR($H136="Unknown category",$H136=""),"Category has no cost type",IF(NOT(ISNUMBER($E136)),"Enter an amount","OK")))))</f>
        <v/>
      </c>
    </row>
    <row r="137" ht="17" customHeight="1">
      <c r="B137" s="66" t="n"/>
      <c r="C137" s="60" t="n"/>
      <c r="D137" s="60" t="n"/>
      <c r="E137" s="63" t="n"/>
      <c r="F137" s="60" t="n"/>
      <c r="G137" s="60" t="n"/>
      <c r="H137" s="13">
        <f>IF($C137="","",IFERROR(INDEX('Lists'!$G$6:$G$35,MATCH($C137,'Lists'!$F$6:$F$35,0))&amp;"","Unknown category"))</f>
        <v/>
      </c>
      <c r="I137" s="80">
        <f>IF(AND($B137="",$C137="",$E137=""),"",IF(NOT(ISNUMBER($B137)),"Enter a valid date",IF($C137="","Pick a category",IF(OR($H137="Unknown category",$H137=""),"Category has no cost type",IF(NOT(ISNUMBER($E137)),"Enter an amount","OK")))))</f>
        <v/>
      </c>
    </row>
    <row r="138" ht="17" customHeight="1">
      <c r="B138" s="66" t="n"/>
      <c r="C138" s="60" t="n"/>
      <c r="D138" s="60" t="n"/>
      <c r="E138" s="63" t="n"/>
      <c r="F138" s="60" t="n"/>
      <c r="G138" s="60" t="n"/>
      <c r="H138" s="13">
        <f>IF($C138="","",IFERROR(INDEX('Lists'!$G$6:$G$35,MATCH($C138,'Lists'!$F$6:$F$35,0))&amp;"","Unknown category"))</f>
        <v/>
      </c>
      <c r="I138" s="80">
        <f>IF(AND($B138="",$C138="",$E138=""),"",IF(NOT(ISNUMBER($B138)),"Enter a valid date",IF($C138="","Pick a category",IF(OR($H138="Unknown category",$H138=""),"Category has no cost type",IF(NOT(ISNUMBER($E138)),"Enter an amount","OK")))))</f>
        <v/>
      </c>
    </row>
    <row r="139" ht="17" customHeight="1">
      <c r="B139" s="66" t="n"/>
      <c r="C139" s="60" t="n"/>
      <c r="D139" s="60" t="n"/>
      <c r="E139" s="63" t="n"/>
      <c r="F139" s="60" t="n"/>
      <c r="G139" s="60" t="n"/>
      <c r="H139" s="13">
        <f>IF($C139="","",IFERROR(INDEX('Lists'!$G$6:$G$35,MATCH($C139,'Lists'!$F$6:$F$35,0))&amp;"","Unknown category"))</f>
        <v/>
      </c>
      <c r="I139" s="80">
        <f>IF(AND($B139="",$C139="",$E139=""),"",IF(NOT(ISNUMBER($B139)),"Enter a valid date",IF($C139="","Pick a category",IF(OR($H139="Unknown category",$H139=""),"Category has no cost type",IF(NOT(ISNUMBER($E139)),"Enter an amount","OK")))))</f>
        <v/>
      </c>
    </row>
    <row r="140" ht="17" customHeight="1">
      <c r="B140" s="66" t="n"/>
      <c r="C140" s="60" t="n"/>
      <c r="D140" s="60" t="n"/>
      <c r="E140" s="63" t="n"/>
      <c r="F140" s="60" t="n"/>
      <c r="G140" s="60" t="n"/>
      <c r="H140" s="13">
        <f>IF($C140="","",IFERROR(INDEX('Lists'!$G$6:$G$35,MATCH($C140,'Lists'!$F$6:$F$35,0))&amp;"","Unknown category"))</f>
        <v/>
      </c>
      <c r="I140" s="80">
        <f>IF(AND($B140="",$C140="",$E140=""),"",IF(NOT(ISNUMBER($B140)),"Enter a valid date",IF($C140="","Pick a category",IF(OR($H140="Unknown category",$H140=""),"Category has no cost type",IF(NOT(ISNUMBER($E140)),"Enter an amount","OK")))))</f>
        <v/>
      </c>
    </row>
    <row r="141" ht="17" customHeight="1">
      <c r="B141" s="66" t="n"/>
      <c r="C141" s="60" t="n"/>
      <c r="D141" s="60" t="n"/>
      <c r="E141" s="63" t="n"/>
      <c r="F141" s="60" t="n"/>
      <c r="G141" s="60" t="n"/>
      <c r="H141" s="13">
        <f>IF($C141="","",IFERROR(INDEX('Lists'!$G$6:$G$35,MATCH($C141,'Lists'!$F$6:$F$35,0))&amp;"","Unknown category"))</f>
        <v/>
      </c>
      <c r="I141" s="80">
        <f>IF(AND($B141="",$C141="",$E141=""),"",IF(NOT(ISNUMBER($B141)),"Enter a valid date",IF($C141="","Pick a category",IF(OR($H141="Unknown category",$H141=""),"Category has no cost type",IF(NOT(ISNUMBER($E141)),"Enter an amount","OK")))))</f>
        <v/>
      </c>
    </row>
    <row r="142" ht="17" customHeight="1">
      <c r="B142" s="66" t="n"/>
      <c r="C142" s="60" t="n"/>
      <c r="D142" s="60" t="n"/>
      <c r="E142" s="63" t="n"/>
      <c r="F142" s="60" t="n"/>
      <c r="G142" s="60" t="n"/>
      <c r="H142" s="13">
        <f>IF($C142="","",IFERROR(INDEX('Lists'!$G$6:$G$35,MATCH($C142,'Lists'!$F$6:$F$35,0))&amp;"","Unknown category"))</f>
        <v/>
      </c>
      <c r="I142" s="80">
        <f>IF(AND($B142="",$C142="",$E142=""),"",IF(NOT(ISNUMBER($B142)),"Enter a valid date",IF($C142="","Pick a category",IF(OR($H142="Unknown category",$H142=""),"Category has no cost type",IF(NOT(ISNUMBER($E142)),"Enter an amount","OK")))))</f>
        <v/>
      </c>
    </row>
    <row r="143" ht="17" customHeight="1">
      <c r="B143" s="66" t="n"/>
      <c r="C143" s="60" t="n"/>
      <c r="D143" s="60" t="n"/>
      <c r="E143" s="63" t="n"/>
      <c r="F143" s="60" t="n"/>
      <c r="G143" s="60" t="n"/>
      <c r="H143" s="13">
        <f>IF($C143="","",IFERROR(INDEX('Lists'!$G$6:$G$35,MATCH($C143,'Lists'!$F$6:$F$35,0))&amp;"","Unknown category"))</f>
        <v/>
      </c>
      <c r="I143" s="80">
        <f>IF(AND($B143="",$C143="",$E143=""),"",IF(NOT(ISNUMBER($B143)),"Enter a valid date",IF($C143="","Pick a category",IF(OR($H143="Unknown category",$H143=""),"Category has no cost type",IF(NOT(ISNUMBER($E143)),"Enter an amount","OK")))))</f>
        <v/>
      </c>
    </row>
    <row r="144" ht="17" customHeight="1">
      <c r="B144" s="66" t="n"/>
      <c r="C144" s="60" t="n"/>
      <c r="D144" s="60" t="n"/>
      <c r="E144" s="63" t="n"/>
      <c r="F144" s="60" t="n"/>
      <c r="G144" s="60" t="n"/>
      <c r="H144" s="13">
        <f>IF($C144="","",IFERROR(INDEX('Lists'!$G$6:$G$35,MATCH($C144,'Lists'!$F$6:$F$35,0))&amp;"","Unknown category"))</f>
        <v/>
      </c>
      <c r="I144" s="80">
        <f>IF(AND($B144="",$C144="",$E144=""),"",IF(NOT(ISNUMBER($B144)),"Enter a valid date",IF($C144="","Pick a category",IF(OR($H144="Unknown category",$H144=""),"Category has no cost type",IF(NOT(ISNUMBER($E144)),"Enter an amount","OK")))))</f>
        <v/>
      </c>
    </row>
    <row r="145" ht="17" customHeight="1">
      <c r="B145" s="66" t="n"/>
      <c r="C145" s="60" t="n"/>
      <c r="D145" s="60" t="n"/>
      <c r="E145" s="63" t="n"/>
      <c r="F145" s="60" t="n"/>
      <c r="G145" s="60" t="n"/>
      <c r="H145" s="13">
        <f>IF($C145="","",IFERROR(INDEX('Lists'!$G$6:$G$35,MATCH($C145,'Lists'!$F$6:$F$35,0))&amp;"","Unknown category"))</f>
        <v/>
      </c>
      <c r="I145" s="80">
        <f>IF(AND($B145="",$C145="",$E145=""),"",IF(NOT(ISNUMBER($B145)),"Enter a valid date",IF($C145="","Pick a category",IF(OR($H145="Unknown category",$H145=""),"Category has no cost type",IF(NOT(ISNUMBER($E145)),"Enter an amount","OK")))))</f>
        <v/>
      </c>
    </row>
    <row r="146" ht="17" customHeight="1">
      <c r="B146" s="66" t="n"/>
      <c r="C146" s="60" t="n"/>
      <c r="D146" s="60" t="n"/>
      <c r="E146" s="63" t="n"/>
      <c r="F146" s="60" t="n"/>
      <c r="G146" s="60" t="n"/>
      <c r="H146" s="13">
        <f>IF($C146="","",IFERROR(INDEX('Lists'!$G$6:$G$35,MATCH($C146,'Lists'!$F$6:$F$35,0))&amp;"","Unknown category"))</f>
        <v/>
      </c>
      <c r="I146" s="80">
        <f>IF(AND($B146="",$C146="",$E146=""),"",IF(NOT(ISNUMBER($B146)),"Enter a valid date",IF($C146="","Pick a category",IF(OR($H146="Unknown category",$H146=""),"Category has no cost type",IF(NOT(ISNUMBER($E146)),"Enter an amount","OK")))))</f>
        <v/>
      </c>
    </row>
    <row r="147" ht="17" customHeight="1">
      <c r="B147" s="66" t="n"/>
      <c r="C147" s="60" t="n"/>
      <c r="D147" s="60" t="n"/>
      <c r="E147" s="63" t="n"/>
      <c r="F147" s="60" t="n"/>
      <c r="G147" s="60" t="n"/>
      <c r="H147" s="13">
        <f>IF($C147="","",IFERROR(INDEX('Lists'!$G$6:$G$35,MATCH($C147,'Lists'!$F$6:$F$35,0))&amp;"","Unknown category"))</f>
        <v/>
      </c>
      <c r="I147" s="80">
        <f>IF(AND($B147="",$C147="",$E147=""),"",IF(NOT(ISNUMBER($B147)),"Enter a valid date",IF($C147="","Pick a category",IF(OR($H147="Unknown category",$H147=""),"Category has no cost type",IF(NOT(ISNUMBER($E147)),"Enter an amount","OK")))))</f>
        <v/>
      </c>
    </row>
    <row r="148" ht="17" customHeight="1">
      <c r="B148" s="66" t="n"/>
      <c r="C148" s="60" t="n"/>
      <c r="D148" s="60" t="n"/>
      <c r="E148" s="63" t="n"/>
      <c r="F148" s="60" t="n"/>
      <c r="G148" s="60" t="n"/>
      <c r="H148" s="13">
        <f>IF($C148="","",IFERROR(INDEX('Lists'!$G$6:$G$35,MATCH($C148,'Lists'!$F$6:$F$35,0))&amp;"","Unknown category"))</f>
        <v/>
      </c>
      <c r="I148" s="80">
        <f>IF(AND($B148="",$C148="",$E148=""),"",IF(NOT(ISNUMBER($B148)),"Enter a valid date",IF($C148="","Pick a category",IF(OR($H148="Unknown category",$H148=""),"Category has no cost type",IF(NOT(ISNUMBER($E148)),"Enter an amount","OK")))))</f>
        <v/>
      </c>
    </row>
    <row r="149" ht="17" customHeight="1">
      <c r="B149" s="66" t="n"/>
      <c r="C149" s="60" t="n"/>
      <c r="D149" s="60" t="n"/>
      <c r="E149" s="63" t="n"/>
      <c r="F149" s="60" t="n"/>
      <c r="G149" s="60" t="n"/>
      <c r="H149" s="13">
        <f>IF($C149="","",IFERROR(INDEX('Lists'!$G$6:$G$35,MATCH($C149,'Lists'!$F$6:$F$35,0))&amp;"","Unknown category"))</f>
        <v/>
      </c>
      <c r="I149" s="80">
        <f>IF(AND($B149="",$C149="",$E149=""),"",IF(NOT(ISNUMBER($B149)),"Enter a valid date",IF($C149="","Pick a category",IF(OR($H149="Unknown category",$H149=""),"Category has no cost type",IF(NOT(ISNUMBER($E149)),"Enter an amount","OK")))))</f>
        <v/>
      </c>
    </row>
    <row r="150" ht="17" customHeight="1">
      <c r="B150" s="66" t="n"/>
      <c r="C150" s="60" t="n"/>
      <c r="D150" s="60" t="n"/>
      <c r="E150" s="63" t="n"/>
      <c r="F150" s="60" t="n"/>
      <c r="G150" s="60" t="n"/>
      <c r="H150" s="13">
        <f>IF($C150="","",IFERROR(INDEX('Lists'!$G$6:$G$35,MATCH($C150,'Lists'!$F$6:$F$35,0))&amp;"","Unknown category"))</f>
        <v/>
      </c>
      <c r="I150" s="80">
        <f>IF(AND($B150="",$C150="",$E150=""),"",IF(NOT(ISNUMBER($B150)),"Enter a valid date",IF($C150="","Pick a category",IF(OR($H150="Unknown category",$H150=""),"Category has no cost type",IF(NOT(ISNUMBER($E150)),"Enter an amount","OK")))))</f>
        <v/>
      </c>
    </row>
    <row r="151" ht="17" customHeight="1">
      <c r="B151" s="66" t="n"/>
      <c r="C151" s="60" t="n"/>
      <c r="D151" s="60" t="n"/>
      <c r="E151" s="63" t="n"/>
      <c r="F151" s="60" t="n"/>
      <c r="G151" s="60" t="n"/>
      <c r="H151" s="13">
        <f>IF($C151="","",IFERROR(INDEX('Lists'!$G$6:$G$35,MATCH($C151,'Lists'!$F$6:$F$35,0))&amp;"","Unknown category"))</f>
        <v/>
      </c>
      <c r="I151" s="80">
        <f>IF(AND($B151="",$C151="",$E151=""),"",IF(NOT(ISNUMBER($B151)),"Enter a valid date",IF($C151="","Pick a category",IF(OR($H151="Unknown category",$H151=""),"Category has no cost type",IF(NOT(ISNUMBER($E151)),"Enter an amount","OK")))))</f>
        <v/>
      </c>
    </row>
    <row r="152" ht="17" customHeight="1">
      <c r="B152" s="66" t="n"/>
      <c r="C152" s="60" t="n"/>
      <c r="D152" s="60" t="n"/>
      <c r="E152" s="63" t="n"/>
      <c r="F152" s="60" t="n"/>
      <c r="G152" s="60" t="n"/>
      <c r="H152" s="13">
        <f>IF($C152="","",IFERROR(INDEX('Lists'!$G$6:$G$35,MATCH($C152,'Lists'!$F$6:$F$35,0))&amp;"","Unknown category"))</f>
        <v/>
      </c>
      <c r="I152" s="80">
        <f>IF(AND($B152="",$C152="",$E152=""),"",IF(NOT(ISNUMBER($B152)),"Enter a valid date",IF($C152="","Pick a category",IF(OR($H152="Unknown category",$H152=""),"Category has no cost type",IF(NOT(ISNUMBER($E152)),"Enter an amount","OK")))))</f>
        <v/>
      </c>
    </row>
    <row r="153" ht="17" customHeight="1">
      <c r="B153" s="66" t="n"/>
      <c r="C153" s="60" t="n"/>
      <c r="D153" s="60" t="n"/>
      <c r="E153" s="63" t="n"/>
      <c r="F153" s="60" t="n"/>
      <c r="G153" s="60" t="n"/>
      <c r="H153" s="13">
        <f>IF($C153="","",IFERROR(INDEX('Lists'!$G$6:$G$35,MATCH($C153,'Lists'!$F$6:$F$35,0))&amp;"","Unknown category"))</f>
        <v/>
      </c>
      <c r="I153" s="80">
        <f>IF(AND($B153="",$C153="",$E153=""),"",IF(NOT(ISNUMBER($B153)),"Enter a valid date",IF($C153="","Pick a category",IF(OR($H153="Unknown category",$H153=""),"Category has no cost type",IF(NOT(ISNUMBER($E153)),"Enter an amount","OK")))))</f>
        <v/>
      </c>
    </row>
    <row r="154" ht="17" customHeight="1">
      <c r="B154" s="66" t="n"/>
      <c r="C154" s="60" t="n"/>
      <c r="D154" s="60" t="n"/>
      <c r="E154" s="63" t="n"/>
      <c r="F154" s="60" t="n"/>
      <c r="G154" s="60" t="n"/>
      <c r="H154" s="13">
        <f>IF($C154="","",IFERROR(INDEX('Lists'!$G$6:$G$35,MATCH($C154,'Lists'!$F$6:$F$35,0))&amp;"","Unknown category"))</f>
        <v/>
      </c>
      <c r="I154" s="80">
        <f>IF(AND($B154="",$C154="",$E154=""),"",IF(NOT(ISNUMBER($B154)),"Enter a valid date",IF($C154="","Pick a category",IF(OR($H154="Unknown category",$H154=""),"Category has no cost type",IF(NOT(ISNUMBER($E154)),"Enter an amount","OK")))))</f>
        <v/>
      </c>
    </row>
    <row r="155" ht="17" customHeight="1">
      <c r="B155" s="66" t="n"/>
      <c r="C155" s="60" t="n"/>
      <c r="D155" s="60" t="n"/>
      <c r="E155" s="63" t="n"/>
      <c r="F155" s="60" t="n"/>
      <c r="G155" s="60" t="n"/>
      <c r="H155" s="13">
        <f>IF($C155="","",IFERROR(INDEX('Lists'!$G$6:$G$35,MATCH($C155,'Lists'!$F$6:$F$35,0))&amp;"","Unknown category"))</f>
        <v/>
      </c>
      <c r="I155" s="80">
        <f>IF(AND($B155="",$C155="",$E155=""),"",IF(NOT(ISNUMBER($B155)),"Enter a valid date",IF($C155="","Pick a category",IF(OR($H155="Unknown category",$H155=""),"Category has no cost type",IF(NOT(ISNUMBER($E155)),"Enter an amount","OK")))))</f>
        <v/>
      </c>
    </row>
    <row r="156" ht="17" customHeight="1">
      <c r="B156" s="66" t="n"/>
      <c r="C156" s="60" t="n"/>
      <c r="D156" s="60" t="n"/>
      <c r="E156" s="63" t="n"/>
      <c r="F156" s="60" t="n"/>
      <c r="G156" s="60" t="n"/>
      <c r="H156" s="13">
        <f>IF($C156="","",IFERROR(INDEX('Lists'!$G$6:$G$35,MATCH($C156,'Lists'!$F$6:$F$35,0))&amp;"","Unknown category"))</f>
        <v/>
      </c>
      <c r="I156" s="80">
        <f>IF(AND($B156="",$C156="",$E156=""),"",IF(NOT(ISNUMBER($B156)),"Enter a valid date",IF($C156="","Pick a category",IF(OR($H156="Unknown category",$H156=""),"Category has no cost type",IF(NOT(ISNUMBER($E156)),"Enter an amount","OK")))))</f>
        <v/>
      </c>
    </row>
    <row r="157" ht="17" customHeight="1">
      <c r="B157" s="66" t="n"/>
      <c r="C157" s="60" t="n"/>
      <c r="D157" s="60" t="n"/>
      <c r="E157" s="63" t="n"/>
      <c r="F157" s="60" t="n"/>
      <c r="G157" s="60" t="n"/>
      <c r="H157" s="13">
        <f>IF($C157="","",IFERROR(INDEX('Lists'!$G$6:$G$35,MATCH($C157,'Lists'!$F$6:$F$35,0))&amp;"","Unknown category"))</f>
        <v/>
      </c>
      <c r="I157" s="80">
        <f>IF(AND($B157="",$C157="",$E157=""),"",IF(NOT(ISNUMBER($B157)),"Enter a valid date",IF($C157="","Pick a category",IF(OR($H157="Unknown category",$H157=""),"Category has no cost type",IF(NOT(ISNUMBER($E157)),"Enter an amount","OK")))))</f>
        <v/>
      </c>
    </row>
    <row r="158" ht="17" customHeight="1">
      <c r="B158" s="66" t="n"/>
      <c r="C158" s="60" t="n"/>
      <c r="D158" s="60" t="n"/>
      <c r="E158" s="63" t="n"/>
      <c r="F158" s="60" t="n"/>
      <c r="G158" s="60" t="n"/>
      <c r="H158" s="13">
        <f>IF($C158="","",IFERROR(INDEX('Lists'!$G$6:$G$35,MATCH($C158,'Lists'!$F$6:$F$35,0))&amp;"","Unknown category"))</f>
        <v/>
      </c>
      <c r="I158" s="80">
        <f>IF(AND($B158="",$C158="",$E158=""),"",IF(NOT(ISNUMBER($B158)),"Enter a valid date",IF($C158="","Pick a category",IF(OR($H158="Unknown category",$H158=""),"Category has no cost type",IF(NOT(ISNUMBER($E158)),"Enter an amount","OK")))))</f>
        <v/>
      </c>
    </row>
    <row r="159" ht="17" customHeight="1">
      <c r="B159" s="66" t="n"/>
      <c r="C159" s="60" t="n"/>
      <c r="D159" s="60" t="n"/>
      <c r="E159" s="63" t="n"/>
      <c r="F159" s="60" t="n"/>
      <c r="G159" s="60" t="n"/>
      <c r="H159" s="13">
        <f>IF($C159="","",IFERROR(INDEX('Lists'!$G$6:$G$35,MATCH($C159,'Lists'!$F$6:$F$35,0))&amp;"","Unknown category"))</f>
        <v/>
      </c>
      <c r="I159" s="80">
        <f>IF(AND($B159="",$C159="",$E159=""),"",IF(NOT(ISNUMBER($B159)),"Enter a valid date",IF($C159="","Pick a category",IF(OR($H159="Unknown category",$H159=""),"Category has no cost type",IF(NOT(ISNUMBER($E159)),"Enter an amount","OK")))))</f>
        <v/>
      </c>
    </row>
    <row r="160" ht="17" customHeight="1">
      <c r="B160" s="66" t="n"/>
      <c r="C160" s="60" t="n"/>
      <c r="D160" s="60" t="n"/>
      <c r="E160" s="63" t="n"/>
      <c r="F160" s="60" t="n"/>
      <c r="G160" s="60" t="n"/>
      <c r="H160" s="13">
        <f>IF($C160="","",IFERROR(INDEX('Lists'!$G$6:$G$35,MATCH($C160,'Lists'!$F$6:$F$35,0))&amp;"","Unknown category"))</f>
        <v/>
      </c>
      <c r="I160" s="80">
        <f>IF(AND($B160="",$C160="",$E160=""),"",IF(NOT(ISNUMBER($B160)),"Enter a valid date",IF($C160="","Pick a category",IF(OR($H160="Unknown category",$H160=""),"Category has no cost type",IF(NOT(ISNUMBER($E160)),"Enter an amount","OK")))))</f>
        <v/>
      </c>
    </row>
    <row r="161" ht="17" customHeight="1">
      <c r="B161" s="66" t="n"/>
      <c r="C161" s="60" t="n"/>
      <c r="D161" s="60" t="n"/>
      <c r="E161" s="63" t="n"/>
      <c r="F161" s="60" t="n"/>
      <c r="G161" s="60" t="n"/>
      <c r="H161" s="13">
        <f>IF($C161="","",IFERROR(INDEX('Lists'!$G$6:$G$35,MATCH($C161,'Lists'!$F$6:$F$35,0))&amp;"","Unknown category"))</f>
        <v/>
      </c>
      <c r="I161" s="80">
        <f>IF(AND($B161="",$C161="",$E161=""),"",IF(NOT(ISNUMBER($B161)),"Enter a valid date",IF($C161="","Pick a category",IF(OR($H161="Unknown category",$H161=""),"Category has no cost type",IF(NOT(ISNUMBER($E161)),"Enter an amount","OK")))))</f>
        <v/>
      </c>
    </row>
    <row r="162" ht="17" customHeight="1">
      <c r="B162" s="66" t="n"/>
      <c r="C162" s="60" t="n"/>
      <c r="D162" s="60" t="n"/>
      <c r="E162" s="63" t="n"/>
      <c r="F162" s="60" t="n"/>
      <c r="G162" s="60" t="n"/>
      <c r="H162" s="13">
        <f>IF($C162="","",IFERROR(INDEX('Lists'!$G$6:$G$35,MATCH($C162,'Lists'!$F$6:$F$35,0))&amp;"","Unknown category"))</f>
        <v/>
      </c>
      <c r="I162" s="80">
        <f>IF(AND($B162="",$C162="",$E162=""),"",IF(NOT(ISNUMBER($B162)),"Enter a valid date",IF($C162="","Pick a category",IF(OR($H162="Unknown category",$H162=""),"Category has no cost type",IF(NOT(ISNUMBER($E162)),"Enter an amount","OK")))))</f>
        <v/>
      </c>
    </row>
    <row r="163" ht="17" customHeight="1">
      <c r="B163" s="66" t="n"/>
      <c r="C163" s="60" t="n"/>
      <c r="D163" s="60" t="n"/>
      <c r="E163" s="63" t="n"/>
      <c r="F163" s="60" t="n"/>
      <c r="G163" s="60" t="n"/>
      <c r="H163" s="13">
        <f>IF($C163="","",IFERROR(INDEX('Lists'!$G$6:$G$35,MATCH($C163,'Lists'!$F$6:$F$35,0))&amp;"","Unknown category"))</f>
        <v/>
      </c>
      <c r="I163" s="80">
        <f>IF(AND($B163="",$C163="",$E163=""),"",IF(NOT(ISNUMBER($B163)),"Enter a valid date",IF($C163="","Pick a category",IF(OR($H163="Unknown category",$H163=""),"Category has no cost type",IF(NOT(ISNUMBER($E163)),"Enter an amount","OK")))))</f>
        <v/>
      </c>
    </row>
    <row r="164" ht="17" customHeight="1">
      <c r="B164" s="66" t="n"/>
      <c r="C164" s="60" t="n"/>
      <c r="D164" s="60" t="n"/>
      <c r="E164" s="63" t="n"/>
      <c r="F164" s="60" t="n"/>
      <c r="G164" s="60" t="n"/>
      <c r="H164" s="13">
        <f>IF($C164="","",IFERROR(INDEX('Lists'!$G$6:$G$35,MATCH($C164,'Lists'!$F$6:$F$35,0))&amp;"","Unknown category"))</f>
        <v/>
      </c>
      <c r="I164" s="80">
        <f>IF(AND($B164="",$C164="",$E164=""),"",IF(NOT(ISNUMBER($B164)),"Enter a valid date",IF($C164="","Pick a category",IF(OR($H164="Unknown category",$H164=""),"Category has no cost type",IF(NOT(ISNUMBER($E164)),"Enter an amount","OK")))))</f>
        <v/>
      </c>
    </row>
    <row r="165" ht="17" customHeight="1">
      <c r="B165" s="66" t="n"/>
      <c r="C165" s="60" t="n"/>
      <c r="D165" s="60" t="n"/>
      <c r="E165" s="63" t="n"/>
      <c r="F165" s="60" t="n"/>
      <c r="G165" s="60" t="n"/>
      <c r="H165" s="13">
        <f>IF($C165="","",IFERROR(INDEX('Lists'!$G$6:$G$35,MATCH($C165,'Lists'!$F$6:$F$35,0))&amp;"","Unknown category"))</f>
        <v/>
      </c>
      <c r="I165" s="80">
        <f>IF(AND($B165="",$C165="",$E165=""),"",IF(NOT(ISNUMBER($B165)),"Enter a valid date",IF($C165="","Pick a category",IF(OR($H165="Unknown category",$H165=""),"Category has no cost type",IF(NOT(ISNUMBER($E165)),"Enter an amount","OK")))))</f>
        <v/>
      </c>
    </row>
    <row r="166" ht="17" customHeight="1">
      <c r="B166" s="66" t="n"/>
      <c r="C166" s="60" t="n"/>
      <c r="D166" s="60" t="n"/>
      <c r="E166" s="63" t="n"/>
      <c r="F166" s="60" t="n"/>
      <c r="G166" s="60" t="n"/>
      <c r="H166" s="13">
        <f>IF($C166="","",IFERROR(INDEX('Lists'!$G$6:$G$35,MATCH($C166,'Lists'!$F$6:$F$35,0))&amp;"","Unknown category"))</f>
        <v/>
      </c>
      <c r="I166" s="80">
        <f>IF(AND($B166="",$C166="",$E166=""),"",IF(NOT(ISNUMBER($B166)),"Enter a valid date",IF($C166="","Pick a category",IF(OR($H166="Unknown category",$H166=""),"Category has no cost type",IF(NOT(ISNUMBER($E166)),"Enter an amount","OK")))))</f>
        <v/>
      </c>
    </row>
    <row r="167" ht="17" customHeight="1">
      <c r="B167" s="66" t="n"/>
      <c r="C167" s="60" t="n"/>
      <c r="D167" s="60" t="n"/>
      <c r="E167" s="63" t="n"/>
      <c r="F167" s="60" t="n"/>
      <c r="G167" s="60" t="n"/>
      <c r="H167" s="13">
        <f>IF($C167="","",IFERROR(INDEX('Lists'!$G$6:$G$35,MATCH($C167,'Lists'!$F$6:$F$35,0))&amp;"","Unknown category"))</f>
        <v/>
      </c>
      <c r="I167" s="80">
        <f>IF(AND($B167="",$C167="",$E167=""),"",IF(NOT(ISNUMBER($B167)),"Enter a valid date",IF($C167="","Pick a category",IF(OR($H167="Unknown category",$H167=""),"Category has no cost type",IF(NOT(ISNUMBER($E167)),"Enter an amount","OK")))))</f>
        <v/>
      </c>
    </row>
    <row r="168" ht="17" customHeight="1">
      <c r="B168" s="66" t="n"/>
      <c r="C168" s="60" t="n"/>
      <c r="D168" s="60" t="n"/>
      <c r="E168" s="63" t="n"/>
      <c r="F168" s="60" t="n"/>
      <c r="G168" s="60" t="n"/>
      <c r="H168" s="13">
        <f>IF($C168="","",IFERROR(INDEX('Lists'!$G$6:$G$35,MATCH($C168,'Lists'!$F$6:$F$35,0))&amp;"","Unknown category"))</f>
        <v/>
      </c>
      <c r="I168" s="80">
        <f>IF(AND($B168="",$C168="",$E168=""),"",IF(NOT(ISNUMBER($B168)),"Enter a valid date",IF($C168="","Pick a category",IF(OR($H168="Unknown category",$H168=""),"Category has no cost type",IF(NOT(ISNUMBER($E168)),"Enter an amount","OK")))))</f>
        <v/>
      </c>
    </row>
    <row r="169" ht="17" customHeight="1">
      <c r="B169" s="66" t="n"/>
      <c r="C169" s="60" t="n"/>
      <c r="D169" s="60" t="n"/>
      <c r="E169" s="63" t="n"/>
      <c r="F169" s="60" t="n"/>
      <c r="G169" s="60" t="n"/>
      <c r="H169" s="13">
        <f>IF($C169="","",IFERROR(INDEX('Lists'!$G$6:$G$35,MATCH($C169,'Lists'!$F$6:$F$35,0))&amp;"","Unknown category"))</f>
        <v/>
      </c>
      <c r="I169" s="80">
        <f>IF(AND($B169="",$C169="",$E169=""),"",IF(NOT(ISNUMBER($B169)),"Enter a valid date",IF($C169="","Pick a category",IF(OR($H169="Unknown category",$H169=""),"Category has no cost type",IF(NOT(ISNUMBER($E169)),"Enter an amount","OK")))))</f>
        <v/>
      </c>
    </row>
    <row r="170" ht="17" customHeight="1">
      <c r="B170" s="66" t="n"/>
      <c r="C170" s="60" t="n"/>
      <c r="D170" s="60" t="n"/>
      <c r="E170" s="63" t="n"/>
      <c r="F170" s="60" t="n"/>
      <c r="G170" s="60" t="n"/>
      <c r="H170" s="13">
        <f>IF($C170="","",IFERROR(INDEX('Lists'!$G$6:$G$35,MATCH($C170,'Lists'!$F$6:$F$35,0))&amp;"","Unknown category"))</f>
        <v/>
      </c>
      <c r="I170" s="80">
        <f>IF(AND($B170="",$C170="",$E170=""),"",IF(NOT(ISNUMBER($B170)),"Enter a valid date",IF($C170="","Pick a category",IF(OR($H170="Unknown category",$H170=""),"Category has no cost type",IF(NOT(ISNUMBER($E170)),"Enter an amount","OK")))))</f>
        <v/>
      </c>
    </row>
    <row r="171" ht="17" customHeight="1">
      <c r="B171" s="66" t="n"/>
      <c r="C171" s="60" t="n"/>
      <c r="D171" s="60" t="n"/>
      <c r="E171" s="63" t="n"/>
      <c r="F171" s="60" t="n"/>
      <c r="G171" s="60" t="n"/>
      <c r="H171" s="13">
        <f>IF($C171="","",IFERROR(INDEX('Lists'!$G$6:$G$35,MATCH($C171,'Lists'!$F$6:$F$35,0))&amp;"","Unknown category"))</f>
        <v/>
      </c>
      <c r="I171" s="80">
        <f>IF(AND($B171="",$C171="",$E171=""),"",IF(NOT(ISNUMBER($B171)),"Enter a valid date",IF($C171="","Pick a category",IF(OR($H171="Unknown category",$H171=""),"Category has no cost type",IF(NOT(ISNUMBER($E171)),"Enter an amount","OK")))))</f>
        <v/>
      </c>
    </row>
    <row r="172" ht="17" customHeight="1">
      <c r="B172" s="66" t="n"/>
      <c r="C172" s="60" t="n"/>
      <c r="D172" s="60" t="n"/>
      <c r="E172" s="63" t="n"/>
      <c r="F172" s="60" t="n"/>
      <c r="G172" s="60" t="n"/>
      <c r="H172" s="13">
        <f>IF($C172="","",IFERROR(INDEX('Lists'!$G$6:$G$35,MATCH($C172,'Lists'!$F$6:$F$35,0))&amp;"","Unknown category"))</f>
        <v/>
      </c>
      <c r="I172" s="80">
        <f>IF(AND($B172="",$C172="",$E172=""),"",IF(NOT(ISNUMBER($B172)),"Enter a valid date",IF($C172="","Pick a category",IF(OR($H172="Unknown category",$H172=""),"Category has no cost type",IF(NOT(ISNUMBER($E172)),"Enter an amount","OK")))))</f>
        <v/>
      </c>
    </row>
    <row r="173" ht="17" customHeight="1">
      <c r="B173" s="66" t="n"/>
      <c r="C173" s="60" t="n"/>
      <c r="D173" s="60" t="n"/>
      <c r="E173" s="63" t="n"/>
      <c r="F173" s="60" t="n"/>
      <c r="G173" s="60" t="n"/>
      <c r="H173" s="13">
        <f>IF($C173="","",IFERROR(INDEX('Lists'!$G$6:$G$35,MATCH($C173,'Lists'!$F$6:$F$35,0))&amp;"","Unknown category"))</f>
        <v/>
      </c>
      <c r="I173" s="80">
        <f>IF(AND($B173="",$C173="",$E173=""),"",IF(NOT(ISNUMBER($B173)),"Enter a valid date",IF($C173="","Pick a category",IF(OR($H173="Unknown category",$H173=""),"Category has no cost type",IF(NOT(ISNUMBER($E173)),"Enter an amount","OK")))))</f>
        <v/>
      </c>
    </row>
    <row r="174" ht="17" customHeight="1">
      <c r="B174" s="66" t="n"/>
      <c r="C174" s="60" t="n"/>
      <c r="D174" s="60" t="n"/>
      <c r="E174" s="63" t="n"/>
      <c r="F174" s="60" t="n"/>
      <c r="G174" s="60" t="n"/>
      <c r="H174" s="13">
        <f>IF($C174="","",IFERROR(INDEX('Lists'!$G$6:$G$35,MATCH($C174,'Lists'!$F$6:$F$35,0))&amp;"","Unknown category"))</f>
        <v/>
      </c>
      <c r="I174" s="80">
        <f>IF(AND($B174="",$C174="",$E174=""),"",IF(NOT(ISNUMBER($B174)),"Enter a valid date",IF($C174="","Pick a category",IF(OR($H174="Unknown category",$H174=""),"Category has no cost type",IF(NOT(ISNUMBER($E174)),"Enter an amount","OK")))))</f>
        <v/>
      </c>
    </row>
    <row r="175" ht="17" customHeight="1">
      <c r="B175" s="66" t="n"/>
      <c r="C175" s="60" t="n"/>
      <c r="D175" s="60" t="n"/>
      <c r="E175" s="63" t="n"/>
      <c r="F175" s="60" t="n"/>
      <c r="G175" s="60" t="n"/>
      <c r="H175" s="13">
        <f>IF($C175="","",IFERROR(INDEX('Lists'!$G$6:$G$35,MATCH($C175,'Lists'!$F$6:$F$35,0))&amp;"","Unknown category"))</f>
        <v/>
      </c>
      <c r="I175" s="80">
        <f>IF(AND($B175="",$C175="",$E175=""),"",IF(NOT(ISNUMBER($B175)),"Enter a valid date",IF($C175="","Pick a category",IF(OR($H175="Unknown category",$H175=""),"Category has no cost type",IF(NOT(ISNUMBER($E175)),"Enter an amount","OK")))))</f>
        <v/>
      </c>
    </row>
    <row r="176" ht="17" customHeight="1">
      <c r="B176" s="66" t="n"/>
      <c r="C176" s="60" t="n"/>
      <c r="D176" s="60" t="n"/>
      <c r="E176" s="63" t="n"/>
      <c r="F176" s="60" t="n"/>
      <c r="G176" s="60" t="n"/>
      <c r="H176" s="13">
        <f>IF($C176="","",IFERROR(INDEX('Lists'!$G$6:$G$35,MATCH($C176,'Lists'!$F$6:$F$35,0))&amp;"","Unknown category"))</f>
        <v/>
      </c>
      <c r="I176" s="80">
        <f>IF(AND($B176="",$C176="",$E176=""),"",IF(NOT(ISNUMBER($B176)),"Enter a valid date",IF($C176="","Pick a category",IF(OR($H176="Unknown category",$H176=""),"Category has no cost type",IF(NOT(ISNUMBER($E176)),"Enter an amount","OK")))))</f>
        <v/>
      </c>
    </row>
    <row r="177" ht="17" customHeight="1">
      <c r="B177" s="66" t="n"/>
      <c r="C177" s="60" t="n"/>
      <c r="D177" s="60" t="n"/>
      <c r="E177" s="63" t="n"/>
      <c r="F177" s="60" t="n"/>
      <c r="G177" s="60" t="n"/>
      <c r="H177" s="13">
        <f>IF($C177="","",IFERROR(INDEX('Lists'!$G$6:$G$35,MATCH($C177,'Lists'!$F$6:$F$35,0))&amp;"","Unknown category"))</f>
        <v/>
      </c>
      <c r="I177" s="80">
        <f>IF(AND($B177="",$C177="",$E177=""),"",IF(NOT(ISNUMBER($B177)),"Enter a valid date",IF($C177="","Pick a category",IF(OR($H177="Unknown category",$H177=""),"Category has no cost type",IF(NOT(ISNUMBER($E177)),"Enter an amount","OK")))))</f>
        <v/>
      </c>
    </row>
    <row r="178" ht="17" customHeight="1">
      <c r="B178" s="66" t="n"/>
      <c r="C178" s="60" t="n"/>
      <c r="D178" s="60" t="n"/>
      <c r="E178" s="63" t="n"/>
      <c r="F178" s="60" t="n"/>
      <c r="G178" s="60" t="n"/>
      <c r="H178" s="13">
        <f>IF($C178="","",IFERROR(INDEX('Lists'!$G$6:$G$35,MATCH($C178,'Lists'!$F$6:$F$35,0))&amp;"","Unknown category"))</f>
        <v/>
      </c>
      <c r="I178" s="80">
        <f>IF(AND($B178="",$C178="",$E178=""),"",IF(NOT(ISNUMBER($B178)),"Enter a valid date",IF($C178="","Pick a category",IF(OR($H178="Unknown category",$H178=""),"Category has no cost type",IF(NOT(ISNUMBER($E178)),"Enter an amount","OK")))))</f>
        <v/>
      </c>
    </row>
    <row r="179" ht="17" customHeight="1">
      <c r="B179" s="66" t="n"/>
      <c r="C179" s="60" t="n"/>
      <c r="D179" s="60" t="n"/>
      <c r="E179" s="63" t="n"/>
      <c r="F179" s="60" t="n"/>
      <c r="G179" s="60" t="n"/>
      <c r="H179" s="13">
        <f>IF($C179="","",IFERROR(INDEX('Lists'!$G$6:$G$35,MATCH($C179,'Lists'!$F$6:$F$35,0))&amp;"","Unknown category"))</f>
        <v/>
      </c>
      <c r="I179" s="80">
        <f>IF(AND($B179="",$C179="",$E179=""),"",IF(NOT(ISNUMBER($B179)),"Enter a valid date",IF($C179="","Pick a category",IF(OR($H179="Unknown category",$H179=""),"Category has no cost type",IF(NOT(ISNUMBER($E179)),"Enter an amount","OK")))))</f>
        <v/>
      </c>
    </row>
    <row r="180" ht="17" customHeight="1">
      <c r="B180" s="66" t="n"/>
      <c r="C180" s="60" t="n"/>
      <c r="D180" s="60" t="n"/>
      <c r="E180" s="63" t="n"/>
      <c r="F180" s="60" t="n"/>
      <c r="G180" s="60" t="n"/>
      <c r="H180" s="13">
        <f>IF($C180="","",IFERROR(INDEX('Lists'!$G$6:$G$35,MATCH($C180,'Lists'!$F$6:$F$35,0))&amp;"","Unknown category"))</f>
        <v/>
      </c>
      <c r="I180" s="80">
        <f>IF(AND($B180="",$C180="",$E180=""),"",IF(NOT(ISNUMBER($B180)),"Enter a valid date",IF($C180="","Pick a category",IF(OR($H180="Unknown category",$H180=""),"Category has no cost type",IF(NOT(ISNUMBER($E180)),"Enter an amount","OK")))))</f>
        <v/>
      </c>
    </row>
    <row r="181" ht="17" customHeight="1">
      <c r="B181" s="66" t="n"/>
      <c r="C181" s="60" t="n"/>
      <c r="D181" s="60" t="n"/>
      <c r="E181" s="63" t="n"/>
      <c r="F181" s="60" t="n"/>
      <c r="G181" s="60" t="n"/>
      <c r="H181" s="13">
        <f>IF($C181="","",IFERROR(INDEX('Lists'!$G$6:$G$35,MATCH($C181,'Lists'!$F$6:$F$35,0))&amp;"","Unknown category"))</f>
        <v/>
      </c>
      <c r="I181" s="80">
        <f>IF(AND($B181="",$C181="",$E181=""),"",IF(NOT(ISNUMBER($B181)),"Enter a valid date",IF($C181="","Pick a category",IF(OR($H181="Unknown category",$H181=""),"Category has no cost type",IF(NOT(ISNUMBER($E181)),"Enter an amount","OK")))))</f>
        <v/>
      </c>
    </row>
    <row r="182" ht="17" customHeight="1">
      <c r="B182" s="66" t="n"/>
      <c r="C182" s="60" t="n"/>
      <c r="D182" s="60" t="n"/>
      <c r="E182" s="63" t="n"/>
      <c r="F182" s="60" t="n"/>
      <c r="G182" s="60" t="n"/>
      <c r="H182" s="13">
        <f>IF($C182="","",IFERROR(INDEX('Lists'!$G$6:$G$35,MATCH($C182,'Lists'!$F$6:$F$35,0))&amp;"","Unknown category"))</f>
        <v/>
      </c>
      <c r="I182" s="80">
        <f>IF(AND($B182="",$C182="",$E182=""),"",IF(NOT(ISNUMBER($B182)),"Enter a valid date",IF($C182="","Pick a category",IF(OR($H182="Unknown category",$H182=""),"Category has no cost type",IF(NOT(ISNUMBER($E182)),"Enter an amount","OK")))))</f>
        <v/>
      </c>
    </row>
    <row r="183" ht="17" customHeight="1">
      <c r="B183" s="66" t="n"/>
      <c r="C183" s="60" t="n"/>
      <c r="D183" s="60" t="n"/>
      <c r="E183" s="63" t="n"/>
      <c r="F183" s="60" t="n"/>
      <c r="G183" s="60" t="n"/>
      <c r="H183" s="13">
        <f>IF($C183="","",IFERROR(INDEX('Lists'!$G$6:$G$35,MATCH($C183,'Lists'!$F$6:$F$35,0))&amp;"","Unknown category"))</f>
        <v/>
      </c>
      <c r="I183" s="80">
        <f>IF(AND($B183="",$C183="",$E183=""),"",IF(NOT(ISNUMBER($B183)),"Enter a valid date",IF($C183="","Pick a category",IF(OR($H183="Unknown category",$H183=""),"Category has no cost type",IF(NOT(ISNUMBER($E183)),"Enter an amount","OK")))))</f>
        <v/>
      </c>
    </row>
    <row r="184" ht="17" customHeight="1">
      <c r="B184" s="66" t="n"/>
      <c r="C184" s="60" t="n"/>
      <c r="D184" s="60" t="n"/>
      <c r="E184" s="63" t="n"/>
      <c r="F184" s="60" t="n"/>
      <c r="G184" s="60" t="n"/>
      <c r="H184" s="13">
        <f>IF($C184="","",IFERROR(INDEX('Lists'!$G$6:$G$35,MATCH($C184,'Lists'!$F$6:$F$35,0))&amp;"","Unknown category"))</f>
        <v/>
      </c>
      <c r="I184" s="80">
        <f>IF(AND($B184="",$C184="",$E184=""),"",IF(NOT(ISNUMBER($B184)),"Enter a valid date",IF($C184="","Pick a category",IF(OR($H184="Unknown category",$H184=""),"Category has no cost type",IF(NOT(ISNUMBER($E184)),"Enter an amount","OK")))))</f>
        <v/>
      </c>
    </row>
    <row r="185" ht="17" customHeight="1">
      <c r="B185" s="66" t="n"/>
      <c r="C185" s="60" t="n"/>
      <c r="D185" s="60" t="n"/>
      <c r="E185" s="63" t="n"/>
      <c r="F185" s="60" t="n"/>
      <c r="G185" s="60" t="n"/>
      <c r="H185" s="13">
        <f>IF($C185="","",IFERROR(INDEX('Lists'!$G$6:$G$35,MATCH($C185,'Lists'!$F$6:$F$35,0))&amp;"","Unknown category"))</f>
        <v/>
      </c>
      <c r="I185" s="80">
        <f>IF(AND($B185="",$C185="",$E185=""),"",IF(NOT(ISNUMBER($B185)),"Enter a valid date",IF($C185="","Pick a category",IF(OR($H185="Unknown category",$H185=""),"Category has no cost type",IF(NOT(ISNUMBER($E185)),"Enter an amount","OK")))))</f>
        <v/>
      </c>
    </row>
    <row r="186" ht="17" customHeight="1">
      <c r="B186" s="66" t="n"/>
      <c r="C186" s="60" t="n"/>
      <c r="D186" s="60" t="n"/>
      <c r="E186" s="63" t="n"/>
      <c r="F186" s="60" t="n"/>
      <c r="G186" s="60" t="n"/>
      <c r="H186" s="13">
        <f>IF($C186="","",IFERROR(INDEX('Lists'!$G$6:$G$35,MATCH($C186,'Lists'!$F$6:$F$35,0))&amp;"","Unknown category"))</f>
        <v/>
      </c>
      <c r="I186" s="80">
        <f>IF(AND($B186="",$C186="",$E186=""),"",IF(NOT(ISNUMBER($B186)),"Enter a valid date",IF($C186="","Pick a category",IF(OR($H186="Unknown category",$H186=""),"Category has no cost type",IF(NOT(ISNUMBER($E186)),"Enter an amount","OK")))))</f>
        <v/>
      </c>
    </row>
    <row r="187" ht="17" customHeight="1">
      <c r="B187" s="66" t="n"/>
      <c r="C187" s="60" t="n"/>
      <c r="D187" s="60" t="n"/>
      <c r="E187" s="63" t="n"/>
      <c r="F187" s="60" t="n"/>
      <c r="G187" s="60" t="n"/>
      <c r="H187" s="13">
        <f>IF($C187="","",IFERROR(INDEX('Lists'!$G$6:$G$35,MATCH($C187,'Lists'!$F$6:$F$35,0))&amp;"","Unknown category"))</f>
        <v/>
      </c>
      <c r="I187" s="80">
        <f>IF(AND($B187="",$C187="",$E187=""),"",IF(NOT(ISNUMBER($B187)),"Enter a valid date",IF($C187="","Pick a category",IF(OR($H187="Unknown category",$H187=""),"Category has no cost type",IF(NOT(ISNUMBER($E187)),"Enter an amount","OK")))))</f>
        <v/>
      </c>
    </row>
    <row r="188" ht="17" customHeight="1">
      <c r="B188" s="66" t="n"/>
      <c r="C188" s="60" t="n"/>
      <c r="D188" s="60" t="n"/>
      <c r="E188" s="63" t="n"/>
      <c r="F188" s="60" t="n"/>
      <c r="G188" s="60" t="n"/>
      <c r="H188" s="13">
        <f>IF($C188="","",IFERROR(INDEX('Lists'!$G$6:$G$35,MATCH($C188,'Lists'!$F$6:$F$35,0))&amp;"","Unknown category"))</f>
        <v/>
      </c>
      <c r="I188" s="80">
        <f>IF(AND($B188="",$C188="",$E188=""),"",IF(NOT(ISNUMBER($B188)),"Enter a valid date",IF($C188="","Pick a category",IF(OR($H188="Unknown category",$H188=""),"Category has no cost type",IF(NOT(ISNUMBER($E188)),"Enter an amount","OK")))))</f>
        <v/>
      </c>
    </row>
    <row r="189" ht="17" customHeight="1">
      <c r="B189" s="66" t="n"/>
      <c r="C189" s="60" t="n"/>
      <c r="D189" s="60" t="n"/>
      <c r="E189" s="63" t="n"/>
      <c r="F189" s="60" t="n"/>
      <c r="G189" s="60" t="n"/>
      <c r="H189" s="13">
        <f>IF($C189="","",IFERROR(INDEX('Lists'!$G$6:$G$35,MATCH($C189,'Lists'!$F$6:$F$35,0))&amp;"","Unknown category"))</f>
        <v/>
      </c>
      <c r="I189" s="80">
        <f>IF(AND($B189="",$C189="",$E189=""),"",IF(NOT(ISNUMBER($B189)),"Enter a valid date",IF($C189="","Pick a category",IF(OR($H189="Unknown category",$H189=""),"Category has no cost type",IF(NOT(ISNUMBER($E189)),"Enter an amount","OK")))))</f>
        <v/>
      </c>
    </row>
    <row r="190" ht="17" customHeight="1">
      <c r="B190" s="66" t="n"/>
      <c r="C190" s="60" t="n"/>
      <c r="D190" s="60" t="n"/>
      <c r="E190" s="63" t="n"/>
      <c r="F190" s="60" t="n"/>
      <c r="G190" s="60" t="n"/>
      <c r="H190" s="13">
        <f>IF($C190="","",IFERROR(INDEX('Lists'!$G$6:$G$35,MATCH($C190,'Lists'!$F$6:$F$35,0))&amp;"","Unknown category"))</f>
        <v/>
      </c>
      <c r="I190" s="80">
        <f>IF(AND($B190="",$C190="",$E190=""),"",IF(NOT(ISNUMBER($B190)),"Enter a valid date",IF($C190="","Pick a category",IF(OR($H190="Unknown category",$H190=""),"Category has no cost type",IF(NOT(ISNUMBER($E190)),"Enter an amount","OK")))))</f>
        <v/>
      </c>
    </row>
    <row r="191" ht="17" customHeight="1">
      <c r="B191" s="66" t="n"/>
      <c r="C191" s="60" t="n"/>
      <c r="D191" s="60" t="n"/>
      <c r="E191" s="63" t="n"/>
      <c r="F191" s="60" t="n"/>
      <c r="G191" s="60" t="n"/>
      <c r="H191" s="13">
        <f>IF($C191="","",IFERROR(INDEX('Lists'!$G$6:$G$35,MATCH($C191,'Lists'!$F$6:$F$35,0))&amp;"","Unknown category"))</f>
        <v/>
      </c>
      <c r="I191" s="80">
        <f>IF(AND($B191="",$C191="",$E191=""),"",IF(NOT(ISNUMBER($B191)),"Enter a valid date",IF($C191="","Pick a category",IF(OR($H191="Unknown category",$H191=""),"Category has no cost type",IF(NOT(ISNUMBER($E191)),"Enter an amount","OK")))))</f>
        <v/>
      </c>
    </row>
    <row r="192" ht="17" customHeight="1">
      <c r="B192" s="66" t="n"/>
      <c r="C192" s="60" t="n"/>
      <c r="D192" s="60" t="n"/>
      <c r="E192" s="63" t="n"/>
      <c r="F192" s="60" t="n"/>
      <c r="G192" s="60" t="n"/>
      <c r="H192" s="13">
        <f>IF($C192="","",IFERROR(INDEX('Lists'!$G$6:$G$35,MATCH($C192,'Lists'!$F$6:$F$35,0))&amp;"","Unknown category"))</f>
        <v/>
      </c>
      <c r="I192" s="80">
        <f>IF(AND($B192="",$C192="",$E192=""),"",IF(NOT(ISNUMBER($B192)),"Enter a valid date",IF($C192="","Pick a category",IF(OR($H192="Unknown category",$H192=""),"Category has no cost type",IF(NOT(ISNUMBER($E192)),"Enter an amount","OK")))))</f>
        <v/>
      </c>
    </row>
    <row r="193" ht="17" customHeight="1">
      <c r="B193" s="66" t="n"/>
      <c r="C193" s="60" t="n"/>
      <c r="D193" s="60" t="n"/>
      <c r="E193" s="63" t="n"/>
      <c r="F193" s="60" t="n"/>
      <c r="G193" s="60" t="n"/>
      <c r="H193" s="13">
        <f>IF($C193="","",IFERROR(INDEX('Lists'!$G$6:$G$35,MATCH($C193,'Lists'!$F$6:$F$35,0))&amp;"","Unknown category"))</f>
        <v/>
      </c>
      <c r="I193" s="80">
        <f>IF(AND($B193="",$C193="",$E193=""),"",IF(NOT(ISNUMBER($B193)),"Enter a valid date",IF($C193="","Pick a category",IF(OR($H193="Unknown category",$H193=""),"Category has no cost type",IF(NOT(ISNUMBER($E193)),"Enter an amount","OK")))))</f>
        <v/>
      </c>
    </row>
    <row r="194" ht="17" customHeight="1">
      <c r="B194" s="66" t="n"/>
      <c r="C194" s="60" t="n"/>
      <c r="D194" s="60" t="n"/>
      <c r="E194" s="63" t="n"/>
      <c r="F194" s="60" t="n"/>
      <c r="G194" s="60" t="n"/>
      <c r="H194" s="13">
        <f>IF($C194="","",IFERROR(INDEX('Lists'!$G$6:$G$35,MATCH($C194,'Lists'!$F$6:$F$35,0))&amp;"","Unknown category"))</f>
        <v/>
      </c>
      <c r="I194" s="80">
        <f>IF(AND($B194="",$C194="",$E194=""),"",IF(NOT(ISNUMBER($B194)),"Enter a valid date",IF($C194="","Pick a category",IF(OR($H194="Unknown category",$H194=""),"Category has no cost type",IF(NOT(ISNUMBER($E194)),"Enter an amount","OK")))))</f>
        <v/>
      </c>
    </row>
    <row r="195" ht="17" customHeight="1">
      <c r="B195" s="66" t="n"/>
      <c r="C195" s="60" t="n"/>
      <c r="D195" s="60" t="n"/>
      <c r="E195" s="63" t="n"/>
      <c r="F195" s="60" t="n"/>
      <c r="G195" s="60" t="n"/>
      <c r="H195" s="13">
        <f>IF($C195="","",IFERROR(INDEX('Lists'!$G$6:$G$35,MATCH($C195,'Lists'!$F$6:$F$35,0))&amp;"","Unknown category"))</f>
        <v/>
      </c>
      <c r="I195" s="80">
        <f>IF(AND($B195="",$C195="",$E195=""),"",IF(NOT(ISNUMBER($B195)),"Enter a valid date",IF($C195="","Pick a category",IF(OR($H195="Unknown category",$H195=""),"Category has no cost type",IF(NOT(ISNUMBER($E195)),"Enter an amount","OK")))))</f>
        <v/>
      </c>
    </row>
    <row r="196" ht="17" customHeight="1">
      <c r="B196" s="66" t="n"/>
      <c r="C196" s="60" t="n"/>
      <c r="D196" s="60" t="n"/>
      <c r="E196" s="63" t="n"/>
      <c r="F196" s="60" t="n"/>
      <c r="G196" s="60" t="n"/>
      <c r="H196" s="13">
        <f>IF($C196="","",IFERROR(INDEX('Lists'!$G$6:$G$35,MATCH($C196,'Lists'!$F$6:$F$35,0))&amp;"","Unknown category"))</f>
        <v/>
      </c>
      <c r="I196" s="80">
        <f>IF(AND($B196="",$C196="",$E196=""),"",IF(NOT(ISNUMBER($B196)),"Enter a valid date",IF($C196="","Pick a category",IF(OR($H196="Unknown category",$H196=""),"Category has no cost type",IF(NOT(ISNUMBER($E196)),"Enter an amount","OK")))))</f>
        <v/>
      </c>
    </row>
    <row r="197" ht="17" customHeight="1">
      <c r="B197" s="66" t="n"/>
      <c r="C197" s="60" t="n"/>
      <c r="D197" s="60" t="n"/>
      <c r="E197" s="63" t="n"/>
      <c r="F197" s="60" t="n"/>
      <c r="G197" s="60" t="n"/>
      <c r="H197" s="13">
        <f>IF($C197="","",IFERROR(INDEX('Lists'!$G$6:$G$35,MATCH($C197,'Lists'!$F$6:$F$35,0))&amp;"","Unknown category"))</f>
        <v/>
      </c>
      <c r="I197" s="80">
        <f>IF(AND($B197="",$C197="",$E197=""),"",IF(NOT(ISNUMBER($B197)),"Enter a valid date",IF($C197="","Pick a category",IF(OR($H197="Unknown category",$H197=""),"Category has no cost type",IF(NOT(ISNUMBER($E197)),"Enter an amount","OK")))))</f>
        <v/>
      </c>
    </row>
    <row r="198" ht="17" customHeight="1">
      <c r="B198" s="66" t="n"/>
      <c r="C198" s="60" t="n"/>
      <c r="D198" s="60" t="n"/>
      <c r="E198" s="63" t="n"/>
      <c r="F198" s="60" t="n"/>
      <c r="G198" s="60" t="n"/>
      <c r="H198" s="13">
        <f>IF($C198="","",IFERROR(INDEX('Lists'!$G$6:$G$35,MATCH($C198,'Lists'!$F$6:$F$35,0))&amp;"","Unknown category"))</f>
        <v/>
      </c>
      <c r="I198" s="80">
        <f>IF(AND($B198="",$C198="",$E198=""),"",IF(NOT(ISNUMBER($B198)),"Enter a valid date",IF($C198="","Pick a category",IF(OR($H198="Unknown category",$H198=""),"Category has no cost type",IF(NOT(ISNUMBER($E198)),"Enter an amount","OK")))))</f>
        <v/>
      </c>
    </row>
    <row r="199" ht="17" customHeight="1">
      <c r="B199" s="66" t="n"/>
      <c r="C199" s="60" t="n"/>
      <c r="D199" s="60" t="n"/>
      <c r="E199" s="63" t="n"/>
      <c r="F199" s="60" t="n"/>
      <c r="G199" s="60" t="n"/>
      <c r="H199" s="13">
        <f>IF($C199="","",IFERROR(INDEX('Lists'!$G$6:$G$35,MATCH($C199,'Lists'!$F$6:$F$35,0))&amp;"","Unknown category"))</f>
        <v/>
      </c>
      <c r="I199" s="80">
        <f>IF(AND($B199="",$C199="",$E199=""),"",IF(NOT(ISNUMBER($B199)),"Enter a valid date",IF($C199="","Pick a category",IF(OR($H199="Unknown category",$H199=""),"Category has no cost type",IF(NOT(ISNUMBER($E199)),"Enter an amount","OK")))))</f>
        <v/>
      </c>
    </row>
    <row r="200" ht="17" customHeight="1">
      <c r="B200" s="66" t="n"/>
      <c r="C200" s="60" t="n"/>
      <c r="D200" s="60" t="n"/>
      <c r="E200" s="63" t="n"/>
      <c r="F200" s="60" t="n"/>
      <c r="G200" s="60" t="n"/>
      <c r="H200" s="13">
        <f>IF($C200="","",IFERROR(INDEX('Lists'!$G$6:$G$35,MATCH($C200,'Lists'!$F$6:$F$35,0))&amp;"","Unknown category"))</f>
        <v/>
      </c>
      <c r="I200" s="80">
        <f>IF(AND($B200="",$C200="",$E200=""),"",IF(NOT(ISNUMBER($B200)),"Enter a valid date",IF($C200="","Pick a category",IF(OR($H200="Unknown category",$H200=""),"Category has no cost type",IF(NOT(ISNUMBER($E200)),"Enter an amount","OK")))))</f>
        <v/>
      </c>
    </row>
    <row r="201" ht="17" customHeight="1">
      <c r="B201" s="66" t="n"/>
      <c r="C201" s="60" t="n"/>
      <c r="D201" s="60" t="n"/>
      <c r="E201" s="63" t="n"/>
      <c r="F201" s="60" t="n"/>
      <c r="G201" s="60" t="n"/>
      <c r="H201" s="13">
        <f>IF($C201="","",IFERROR(INDEX('Lists'!$G$6:$G$35,MATCH($C201,'Lists'!$F$6:$F$35,0))&amp;"","Unknown category"))</f>
        <v/>
      </c>
      <c r="I201" s="80">
        <f>IF(AND($B201="",$C201="",$E201=""),"",IF(NOT(ISNUMBER($B201)),"Enter a valid date",IF($C201="","Pick a category",IF(OR($H201="Unknown category",$H201=""),"Category has no cost type",IF(NOT(ISNUMBER($E201)),"Enter an amount","OK")))))</f>
        <v/>
      </c>
    </row>
    <row r="202" ht="17" customHeight="1">
      <c r="B202" s="66" t="n"/>
      <c r="C202" s="60" t="n"/>
      <c r="D202" s="60" t="n"/>
      <c r="E202" s="63" t="n"/>
      <c r="F202" s="60" t="n"/>
      <c r="G202" s="60" t="n"/>
      <c r="H202" s="13">
        <f>IF($C202="","",IFERROR(INDEX('Lists'!$G$6:$G$35,MATCH($C202,'Lists'!$F$6:$F$35,0))&amp;"","Unknown category"))</f>
        <v/>
      </c>
      <c r="I202" s="80">
        <f>IF(AND($B202="",$C202="",$E202=""),"",IF(NOT(ISNUMBER($B202)),"Enter a valid date",IF($C202="","Pick a category",IF(OR($H202="Unknown category",$H202=""),"Category has no cost type",IF(NOT(ISNUMBER($E202)),"Enter an amount","OK")))))</f>
        <v/>
      </c>
    </row>
    <row r="203" ht="17" customHeight="1">
      <c r="B203" s="66" t="n"/>
      <c r="C203" s="60" t="n"/>
      <c r="D203" s="60" t="n"/>
      <c r="E203" s="63" t="n"/>
      <c r="F203" s="60" t="n"/>
      <c r="G203" s="60" t="n"/>
      <c r="H203" s="13">
        <f>IF($C203="","",IFERROR(INDEX('Lists'!$G$6:$G$35,MATCH($C203,'Lists'!$F$6:$F$35,0))&amp;"","Unknown category"))</f>
        <v/>
      </c>
      <c r="I203" s="80">
        <f>IF(AND($B203="",$C203="",$E203=""),"",IF(NOT(ISNUMBER($B203)),"Enter a valid date",IF($C203="","Pick a category",IF(OR($H203="Unknown category",$H203=""),"Category has no cost type",IF(NOT(ISNUMBER($E203)),"Enter an amount","OK")))))</f>
        <v/>
      </c>
    </row>
    <row r="204" ht="17" customHeight="1">
      <c r="B204" s="66" t="n"/>
      <c r="C204" s="60" t="n"/>
      <c r="D204" s="60" t="n"/>
      <c r="E204" s="63" t="n"/>
      <c r="F204" s="60" t="n"/>
      <c r="G204" s="60" t="n"/>
      <c r="H204" s="13">
        <f>IF($C204="","",IFERROR(INDEX('Lists'!$G$6:$G$35,MATCH($C204,'Lists'!$F$6:$F$35,0))&amp;"","Unknown category"))</f>
        <v/>
      </c>
      <c r="I204" s="80">
        <f>IF(AND($B204="",$C204="",$E204=""),"",IF(NOT(ISNUMBER($B204)),"Enter a valid date",IF($C204="","Pick a category",IF(OR($H204="Unknown category",$H204=""),"Category has no cost type",IF(NOT(ISNUMBER($E204)),"Enter an amount","OK")))))</f>
        <v/>
      </c>
    </row>
    <row r="205" ht="17" customHeight="1">
      <c r="B205" s="66" t="n"/>
      <c r="C205" s="60" t="n"/>
      <c r="D205" s="60" t="n"/>
      <c r="E205" s="63" t="n"/>
      <c r="F205" s="60" t="n"/>
      <c r="G205" s="60" t="n"/>
      <c r="H205" s="13">
        <f>IF($C205="","",IFERROR(INDEX('Lists'!$G$6:$G$35,MATCH($C205,'Lists'!$F$6:$F$35,0))&amp;"","Unknown category"))</f>
        <v/>
      </c>
      <c r="I205" s="80">
        <f>IF(AND($B205="",$C205="",$E205=""),"",IF(NOT(ISNUMBER($B205)),"Enter a valid date",IF($C205="","Pick a category",IF(OR($H205="Unknown category",$H205=""),"Category has no cost type",IF(NOT(ISNUMBER($E205)),"Enter an amount","OK")))))</f>
        <v/>
      </c>
    </row>
    <row r="206" ht="17" customHeight="1">
      <c r="B206" s="66" t="n"/>
      <c r="C206" s="60" t="n"/>
      <c r="D206" s="60" t="n"/>
      <c r="E206" s="63" t="n"/>
      <c r="F206" s="60" t="n"/>
      <c r="G206" s="60" t="n"/>
      <c r="H206" s="13">
        <f>IF($C206="","",IFERROR(INDEX('Lists'!$G$6:$G$35,MATCH($C206,'Lists'!$F$6:$F$35,0))&amp;"","Unknown category"))</f>
        <v/>
      </c>
      <c r="I206" s="80">
        <f>IF(AND($B206="",$C206="",$E206=""),"",IF(NOT(ISNUMBER($B206)),"Enter a valid date",IF($C206="","Pick a category",IF(OR($H206="Unknown category",$H206=""),"Category has no cost type",IF(NOT(ISNUMBER($E206)),"Enter an amount","OK")))))</f>
        <v/>
      </c>
    </row>
    <row r="207" ht="17" customHeight="1">
      <c r="B207" s="66" t="n"/>
      <c r="C207" s="60" t="n"/>
      <c r="D207" s="60" t="n"/>
      <c r="E207" s="63" t="n"/>
      <c r="F207" s="60" t="n"/>
      <c r="G207" s="60" t="n"/>
      <c r="H207" s="13">
        <f>IF($C207="","",IFERROR(INDEX('Lists'!$G$6:$G$35,MATCH($C207,'Lists'!$F$6:$F$35,0))&amp;"","Unknown category"))</f>
        <v/>
      </c>
      <c r="I207" s="80">
        <f>IF(AND($B207="",$C207="",$E207=""),"",IF(NOT(ISNUMBER($B207)),"Enter a valid date",IF($C207="","Pick a category",IF(OR($H207="Unknown category",$H207=""),"Category has no cost type",IF(NOT(ISNUMBER($E207)),"Enter an amount","OK")))))</f>
        <v/>
      </c>
    </row>
    <row r="208" ht="17" customHeight="1">
      <c r="B208" s="66" t="n"/>
      <c r="C208" s="60" t="n"/>
      <c r="D208" s="60" t="n"/>
      <c r="E208" s="63" t="n"/>
      <c r="F208" s="60" t="n"/>
      <c r="G208" s="60" t="n"/>
      <c r="H208" s="13">
        <f>IF($C208="","",IFERROR(INDEX('Lists'!$G$6:$G$35,MATCH($C208,'Lists'!$F$6:$F$35,0))&amp;"","Unknown category"))</f>
        <v/>
      </c>
      <c r="I208" s="80">
        <f>IF(AND($B208="",$C208="",$E208=""),"",IF(NOT(ISNUMBER($B208)),"Enter a valid date",IF($C208="","Pick a category",IF(OR($H208="Unknown category",$H208=""),"Category has no cost type",IF(NOT(ISNUMBER($E208)),"Enter an amount","OK")))))</f>
        <v/>
      </c>
    </row>
    <row r="209" ht="17" customHeight="1">
      <c r="B209" s="66" t="n"/>
      <c r="C209" s="60" t="n"/>
      <c r="D209" s="60" t="n"/>
      <c r="E209" s="63" t="n"/>
      <c r="F209" s="60" t="n"/>
      <c r="G209" s="60" t="n"/>
      <c r="H209" s="13">
        <f>IF($C209="","",IFERROR(INDEX('Lists'!$G$6:$G$35,MATCH($C209,'Lists'!$F$6:$F$35,0))&amp;"","Unknown category"))</f>
        <v/>
      </c>
      <c r="I209" s="80">
        <f>IF(AND($B209="",$C209="",$E209=""),"",IF(NOT(ISNUMBER($B209)),"Enter a valid date",IF($C209="","Pick a category",IF(OR($H209="Unknown category",$H209=""),"Category has no cost type",IF(NOT(ISNUMBER($E209)),"Enter an amount","OK")))))</f>
        <v/>
      </c>
    </row>
    <row r="210" ht="17" customHeight="1">
      <c r="B210" s="66" t="n"/>
      <c r="C210" s="60" t="n"/>
      <c r="D210" s="60" t="n"/>
      <c r="E210" s="63" t="n"/>
      <c r="F210" s="60" t="n"/>
      <c r="G210" s="60" t="n"/>
      <c r="H210" s="13">
        <f>IF($C210="","",IFERROR(INDEX('Lists'!$G$6:$G$35,MATCH($C210,'Lists'!$F$6:$F$35,0))&amp;"","Unknown category"))</f>
        <v/>
      </c>
      <c r="I210" s="80">
        <f>IF(AND($B210="",$C210="",$E210=""),"",IF(NOT(ISNUMBER($B210)),"Enter a valid date",IF($C210="","Pick a category",IF(OR($H210="Unknown category",$H210=""),"Category has no cost type",IF(NOT(ISNUMBER($E210)),"Enter an amount","OK")))))</f>
        <v/>
      </c>
    </row>
    <row r="211" ht="17" customHeight="1">
      <c r="B211" s="66" t="n"/>
      <c r="C211" s="60" t="n"/>
      <c r="D211" s="60" t="n"/>
      <c r="E211" s="63" t="n"/>
      <c r="F211" s="60" t="n"/>
      <c r="G211" s="60" t="n"/>
      <c r="H211" s="13">
        <f>IF($C211="","",IFERROR(INDEX('Lists'!$G$6:$G$35,MATCH($C211,'Lists'!$F$6:$F$35,0))&amp;"","Unknown category"))</f>
        <v/>
      </c>
      <c r="I211" s="80">
        <f>IF(AND($B211="",$C211="",$E211=""),"",IF(NOT(ISNUMBER($B211)),"Enter a valid date",IF($C211="","Pick a category",IF(OR($H211="Unknown category",$H211=""),"Category has no cost type",IF(NOT(ISNUMBER($E211)),"Enter an amount","OK")))))</f>
        <v/>
      </c>
    </row>
    <row r="212" ht="17" customHeight="1">
      <c r="B212" s="66" t="n"/>
      <c r="C212" s="60" t="n"/>
      <c r="D212" s="60" t="n"/>
      <c r="E212" s="63" t="n"/>
      <c r="F212" s="60" t="n"/>
      <c r="G212" s="60" t="n"/>
      <c r="H212" s="13">
        <f>IF($C212="","",IFERROR(INDEX('Lists'!$G$6:$G$35,MATCH($C212,'Lists'!$F$6:$F$35,0))&amp;"","Unknown category"))</f>
        <v/>
      </c>
      <c r="I212" s="80">
        <f>IF(AND($B212="",$C212="",$E212=""),"",IF(NOT(ISNUMBER($B212)),"Enter a valid date",IF($C212="","Pick a category",IF(OR($H212="Unknown category",$H212=""),"Category has no cost type",IF(NOT(ISNUMBER($E212)),"Enter an amount","OK")))))</f>
        <v/>
      </c>
    </row>
    <row r="213" ht="17" customHeight="1">
      <c r="B213" s="66" t="n"/>
      <c r="C213" s="60" t="n"/>
      <c r="D213" s="60" t="n"/>
      <c r="E213" s="63" t="n"/>
      <c r="F213" s="60" t="n"/>
      <c r="G213" s="60" t="n"/>
      <c r="H213" s="13">
        <f>IF($C213="","",IFERROR(INDEX('Lists'!$G$6:$G$35,MATCH($C213,'Lists'!$F$6:$F$35,0))&amp;"","Unknown category"))</f>
        <v/>
      </c>
      <c r="I213" s="80">
        <f>IF(AND($B213="",$C213="",$E213=""),"",IF(NOT(ISNUMBER($B213)),"Enter a valid date",IF($C213="","Pick a category",IF(OR($H213="Unknown category",$H213=""),"Category has no cost type",IF(NOT(ISNUMBER($E213)),"Enter an amount","OK")))))</f>
        <v/>
      </c>
    </row>
    <row r="214" ht="17" customHeight="1">
      <c r="B214" s="66" t="n"/>
      <c r="C214" s="60" t="n"/>
      <c r="D214" s="60" t="n"/>
      <c r="E214" s="63" t="n"/>
      <c r="F214" s="60" t="n"/>
      <c r="G214" s="60" t="n"/>
      <c r="H214" s="13">
        <f>IF($C214="","",IFERROR(INDEX('Lists'!$G$6:$G$35,MATCH($C214,'Lists'!$F$6:$F$35,0))&amp;"","Unknown category"))</f>
        <v/>
      </c>
      <c r="I214" s="80">
        <f>IF(AND($B214="",$C214="",$E214=""),"",IF(NOT(ISNUMBER($B214)),"Enter a valid date",IF($C214="","Pick a category",IF(OR($H214="Unknown category",$H214=""),"Category has no cost type",IF(NOT(ISNUMBER($E214)),"Enter an amount","OK")))))</f>
        <v/>
      </c>
    </row>
    <row r="215" ht="17" customHeight="1">
      <c r="B215" s="66" t="n"/>
      <c r="C215" s="60" t="n"/>
      <c r="D215" s="60" t="n"/>
      <c r="E215" s="63" t="n"/>
      <c r="F215" s="60" t="n"/>
      <c r="G215" s="60" t="n"/>
      <c r="H215" s="13">
        <f>IF($C215="","",IFERROR(INDEX('Lists'!$G$6:$G$35,MATCH($C215,'Lists'!$F$6:$F$35,0))&amp;"","Unknown category"))</f>
        <v/>
      </c>
      <c r="I215" s="80">
        <f>IF(AND($B215="",$C215="",$E215=""),"",IF(NOT(ISNUMBER($B215)),"Enter a valid date",IF($C215="","Pick a category",IF(OR($H215="Unknown category",$H215=""),"Category has no cost type",IF(NOT(ISNUMBER($E215)),"Enter an amount","OK")))))</f>
        <v/>
      </c>
    </row>
    <row r="216" ht="17" customHeight="1">
      <c r="B216" s="66" t="n"/>
      <c r="C216" s="60" t="n"/>
      <c r="D216" s="60" t="n"/>
      <c r="E216" s="63" t="n"/>
      <c r="F216" s="60" t="n"/>
      <c r="G216" s="60" t="n"/>
      <c r="H216" s="13">
        <f>IF($C216="","",IFERROR(INDEX('Lists'!$G$6:$G$35,MATCH($C216,'Lists'!$F$6:$F$35,0))&amp;"","Unknown category"))</f>
        <v/>
      </c>
      <c r="I216" s="80">
        <f>IF(AND($B216="",$C216="",$E216=""),"",IF(NOT(ISNUMBER($B216)),"Enter a valid date",IF($C216="","Pick a category",IF(OR($H216="Unknown category",$H216=""),"Category has no cost type",IF(NOT(ISNUMBER($E216)),"Enter an amount","OK")))))</f>
        <v/>
      </c>
    </row>
    <row r="217" ht="17" customHeight="1">
      <c r="B217" s="66" t="n"/>
      <c r="C217" s="60" t="n"/>
      <c r="D217" s="60" t="n"/>
      <c r="E217" s="63" t="n"/>
      <c r="F217" s="60" t="n"/>
      <c r="G217" s="60" t="n"/>
      <c r="H217" s="13">
        <f>IF($C217="","",IFERROR(INDEX('Lists'!$G$6:$G$35,MATCH($C217,'Lists'!$F$6:$F$35,0))&amp;"","Unknown category"))</f>
        <v/>
      </c>
      <c r="I217" s="80">
        <f>IF(AND($B217="",$C217="",$E217=""),"",IF(NOT(ISNUMBER($B217)),"Enter a valid date",IF($C217="","Pick a category",IF(OR($H217="Unknown category",$H217=""),"Category has no cost type",IF(NOT(ISNUMBER($E217)),"Enter an amount","OK")))))</f>
        <v/>
      </c>
    </row>
    <row r="218" ht="17" customHeight="1">
      <c r="B218" s="66" t="n"/>
      <c r="C218" s="60" t="n"/>
      <c r="D218" s="60" t="n"/>
      <c r="E218" s="63" t="n"/>
      <c r="F218" s="60" t="n"/>
      <c r="G218" s="60" t="n"/>
      <c r="H218" s="13">
        <f>IF($C218="","",IFERROR(INDEX('Lists'!$G$6:$G$35,MATCH($C218,'Lists'!$F$6:$F$35,0))&amp;"","Unknown category"))</f>
        <v/>
      </c>
      <c r="I218" s="80">
        <f>IF(AND($B218="",$C218="",$E218=""),"",IF(NOT(ISNUMBER($B218)),"Enter a valid date",IF($C218="","Pick a category",IF(OR($H218="Unknown category",$H218=""),"Category has no cost type",IF(NOT(ISNUMBER($E218)),"Enter an amount","OK")))))</f>
        <v/>
      </c>
    </row>
    <row r="219" ht="17" customHeight="1">
      <c r="B219" s="66" t="n"/>
      <c r="C219" s="60" t="n"/>
      <c r="D219" s="60" t="n"/>
      <c r="E219" s="63" t="n"/>
      <c r="F219" s="60" t="n"/>
      <c r="G219" s="60" t="n"/>
      <c r="H219" s="13">
        <f>IF($C219="","",IFERROR(INDEX('Lists'!$G$6:$G$35,MATCH($C219,'Lists'!$F$6:$F$35,0))&amp;"","Unknown category"))</f>
        <v/>
      </c>
      <c r="I219" s="80">
        <f>IF(AND($B219="",$C219="",$E219=""),"",IF(NOT(ISNUMBER($B219)),"Enter a valid date",IF($C219="","Pick a category",IF(OR($H219="Unknown category",$H219=""),"Category has no cost type",IF(NOT(ISNUMBER($E219)),"Enter an amount","OK")))))</f>
        <v/>
      </c>
    </row>
    <row r="220" ht="17" customHeight="1">
      <c r="B220" s="66" t="n"/>
      <c r="C220" s="60" t="n"/>
      <c r="D220" s="60" t="n"/>
      <c r="E220" s="63" t="n"/>
      <c r="F220" s="60" t="n"/>
      <c r="G220" s="60" t="n"/>
      <c r="H220" s="13">
        <f>IF($C220="","",IFERROR(INDEX('Lists'!$G$6:$G$35,MATCH($C220,'Lists'!$F$6:$F$35,0))&amp;"","Unknown category"))</f>
        <v/>
      </c>
      <c r="I220" s="80">
        <f>IF(AND($B220="",$C220="",$E220=""),"",IF(NOT(ISNUMBER($B220)),"Enter a valid date",IF($C220="","Pick a category",IF(OR($H220="Unknown category",$H220=""),"Category has no cost type",IF(NOT(ISNUMBER($E220)),"Enter an amount","OK")))))</f>
        <v/>
      </c>
    </row>
    <row r="221" ht="17" customHeight="1">
      <c r="B221" s="66" t="n"/>
      <c r="C221" s="60" t="n"/>
      <c r="D221" s="60" t="n"/>
      <c r="E221" s="63" t="n"/>
      <c r="F221" s="60" t="n"/>
      <c r="G221" s="60" t="n"/>
      <c r="H221" s="13">
        <f>IF($C221="","",IFERROR(INDEX('Lists'!$G$6:$G$35,MATCH($C221,'Lists'!$F$6:$F$35,0))&amp;"","Unknown category"))</f>
        <v/>
      </c>
      <c r="I221" s="80">
        <f>IF(AND($B221="",$C221="",$E221=""),"",IF(NOT(ISNUMBER($B221)),"Enter a valid date",IF($C221="","Pick a category",IF(OR($H221="Unknown category",$H221=""),"Category has no cost type",IF(NOT(ISNUMBER($E221)),"Enter an amount","OK")))))</f>
        <v/>
      </c>
    </row>
    <row r="222" ht="17" customHeight="1">
      <c r="B222" s="66" t="n"/>
      <c r="C222" s="60" t="n"/>
      <c r="D222" s="60" t="n"/>
      <c r="E222" s="63" t="n"/>
      <c r="F222" s="60" t="n"/>
      <c r="G222" s="60" t="n"/>
      <c r="H222" s="13">
        <f>IF($C222="","",IFERROR(INDEX('Lists'!$G$6:$G$35,MATCH($C222,'Lists'!$F$6:$F$35,0))&amp;"","Unknown category"))</f>
        <v/>
      </c>
      <c r="I222" s="80">
        <f>IF(AND($B222="",$C222="",$E222=""),"",IF(NOT(ISNUMBER($B222)),"Enter a valid date",IF($C222="","Pick a category",IF(OR($H222="Unknown category",$H222=""),"Category has no cost type",IF(NOT(ISNUMBER($E222)),"Enter an amount","OK")))))</f>
        <v/>
      </c>
    </row>
    <row r="223" ht="17" customHeight="1">
      <c r="B223" s="66" t="n"/>
      <c r="C223" s="60" t="n"/>
      <c r="D223" s="60" t="n"/>
      <c r="E223" s="63" t="n"/>
      <c r="F223" s="60" t="n"/>
      <c r="G223" s="60" t="n"/>
      <c r="H223" s="13">
        <f>IF($C223="","",IFERROR(INDEX('Lists'!$G$6:$G$35,MATCH($C223,'Lists'!$F$6:$F$35,0))&amp;"","Unknown category"))</f>
        <v/>
      </c>
      <c r="I223" s="80">
        <f>IF(AND($B223="",$C223="",$E223=""),"",IF(NOT(ISNUMBER($B223)),"Enter a valid date",IF($C223="","Pick a category",IF(OR($H223="Unknown category",$H223=""),"Category has no cost type",IF(NOT(ISNUMBER($E223)),"Enter an amount","OK")))))</f>
        <v/>
      </c>
    </row>
    <row r="224" ht="17" customHeight="1">
      <c r="B224" s="66" t="n"/>
      <c r="C224" s="60" t="n"/>
      <c r="D224" s="60" t="n"/>
      <c r="E224" s="63" t="n"/>
      <c r="F224" s="60" t="n"/>
      <c r="G224" s="60" t="n"/>
      <c r="H224" s="13">
        <f>IF($C224="","",IFERROR(INDEX('Lists'!$G$6:$G$35,MATCH($C224,'Lists'!$F$6:$F$35,0))&amp;"","Unknown category"))</f>
        <v/>
      </c>
      <c r="I224" s="80">
        <f>IF(AND($B224="",$C224="",$E224=""),"",IF(NOT(ISNUMBER($B224)),"Enter a valid date",IF($C224="","Pick a category",IF(OR($H224="Unknown category",$H224=""),"Category has no cost type",IF(NOT(ISNUMBER($E224)),"Enter an amount","OK")))))</f>
        <v/>
      </c>
    </row>
    <row r="225" ht="17" customHeight="1">
      <c r="B225" s="66" t="n"/>
      <c r="C225" s="60" t="n"/>
      <c r="D225" s="60" t="n"/>
      <c r="E225" s="63" t="n"/>
      <c r="F225" s="60" t="n"/>
      <c r="G225" s="60" t="n"/>
      <c r="H225" s="13">
        <f>IF($C225="","",IFERROR(INDEX('Lists'!$G$6:$G$35,MATCH($C225,'Lists'!$F$6:$F$35,0))&amp;"","Unknown category"))</f>
        <v/>
      </c>
      <c r="I225" s="80">
        <f>IF(AND($B225="",$C225="",$E225=""),"",IF(NOT(ISNUMBER($B225)),"Enter a valid date",IF($C225="","Pick a category",IF(OR($H225="Unknown category",$H225=""),"Category has no cost type",IF(NOT(ISNUMBER($E225)),"Enter an amount","OK")))))</f>
        <v/>
      </c>
    </row>
    <row r="226" ht="17" customHeight="1">
      <c r="B226" s="66" t="n"/>
      <c r="C226" s="60" t="n"/>
      <c r="D226" s="60" t="n"/>
      <c r="E226" s="63" t="n"/>
      <c r="F226" s="60" t="n"/>
      <c r="G226" s="60" t="n"/>
      <c r="H226" s="13">
        <f>IF($C226="","",IFERROR(INDEX('Lists'!$G$6:$G$35,MATCH($C226,'Lists'!$F$6:$F$35,0))&amp;"","Unknown category"))</f>
        <v/>
      </c>
      <c r="I226" s="80">
        <f>IF(AND($B226="",$C226="",$E226=""),"",IF(NOT(ISNUMBER($B226)),"Enter a valid date",IF($C226="","Pick a category",IF(OR($H226="Unknown category",$H226=""),"Category has no cost type",IF(NOT(ISNUMBER($E226)),"Enter an amount","OK")))))</f>
        <v/>
      </c>
    </row>
    <row r="227" ht="17" customHeight="1">
      <c r="B227" s="66" t="n"/>
      <c r="C227" s="60" t="n"/>
      <c r="D227" s="60" t="n"/>
      <c r="E227" s="63" t="n"/>
      <c r="F227" s="60" t="n"/>
      <c r="G227" s="60" t="n"/>
      <c r="H227" s="13">
        <f>IF($C227="","",IFERROR(INDEX('Lists'!$G$6:$G$35,MATCH($C227,'Lists'!$F$6:$F$35,0))&amp;"","Unknown category"))</f>
        <v/>
      </c>
      <c r="I227" s="80">
        <f>IF(AND($B227="",$C227="",$E227=""),"",IF(NOT(ISNUMBER($B227)),"Enter a valid date",IF($C227="","Pick a category",IF(OR($H227="Unknown category",$H227=""),"Category has no cost type",IF(NOT(ISNUMBER($E227)),"Enter an amount","OK")))))</f>
        <v/>
      </c>
    </row>
    <row r="228" ht="17" customHeight="1">
      <c r="B228" s="66" t="n"/>
      <c r="C228" s="60" t="n"/>
      <c r="D228" s="60" t="n"/>
      <c r="E228" s="63" t="n"/>
      <c r="F228" s="60" t="n"/>
      <c r="G228" s="60" t="n"/>
      <c r="H228" s="13">
        <f>IF($C228="","",IFERROR(INDEX('Lists'!$G$6:$G$35,MATCH($C228,'Lists'!$F$6:$F$35,0))&amp;"","Unknown category"))</f>
        <v/>
      </c>
      <c r="I228" s="80">
        <f>IF(AND($B228="",$C228="",$E228=""),"",IF(NOT(ISNUMBER($B228)),"Enter a valid date",IF($C228="","Pick a category",IF(OR($H228="Unknown category",$H228=""),"Category has no cost type",IF(NOT(ISNUMBER($E228)),"Enter an amount","OK")))))</f>
        <v/>
      </c>
    </row>
    <row r="229" ht="17" customHeight="1">
      <c r="B229" s="66" t="n"/>
      <c r="C229" s="60" t="n"/>
      <c r="D229" s="60" t="n"/>
      <c r="E229" s="63" t="n"/>
      <c r="F229" s="60" t="n"/>
      <c r="G229" s="60" t="n"/>
      <c r="H229" s="13">
        <f>IF($C229="","",IFERROR(INDEX('Lists'!$G$6:$G$35,MATCH($C229,'Lists'!$F$6:$F$35,0))&amp;"","Unknown category"))</f>
        <v/>
      </c>
      <c r="I229" s="80">
        <f>IF(AND($B229="",$C229="",$E229=""),"",IF(NOT(ISNUMBER($B229)),"Enter a valid date",IF($C229="","Pick a category",IF(OR($H229="Unknown category",$H229=""),"Category has no cost type",IF(NOT(ISNUMBER($E229)),"Enter an amount","OK")))))</f>
        <v/>
      </c>
    </row>
    <row r="230" ht="17" customHeight="1">
      <c r="B230" s="66" t="n"/>
      <c r="C230" s="60" t="n"/>
      <c r="D230" s="60" t="n"/>
      <c r="E230" s="63" t="n"/>
      <c r="F230" s="60" t="n"/>
      <c r="G230" s="60" t="n"/>
      <c r="H230" s="13">
        <f>IF($C230="","",IFERROR(INDEX('Lists'!$G$6:$G$35,MATCH($C230,'Lists'!$F$6:$F$35,0))&amp;"","Unknown category"))</f>
        <v/>
      </c>
      <c r="I230" s="80">
        <f>IF(AND($B230="",$C230="",$E230=""),"",IF(NOT(ISNUMBER($B230)),"Enter a valid date",IF($C230="","Pick a category",IF(OR($H230="Unknown category",$H230=""),"Category has no cost type",IF(NOT(ISNUMBER($E230)),"Enter an amount","OK")))))</f>
        <v/>
      </c>
    </row>
    <row r="231" ht="17" customHeight="1">
      <c r="B231" s="66" t="n"/>
      <c r="C231" s="60" t="n"/>
      <c r="D231" s="60" t="n"/>
      <c r="E231" s="63" t="n"/>
      <c r="F231" s="60" t="n"/>
      <c r="G231" s="60" t="n"/>
      <c r="H231" s="13">
        <f>IF($C231="","",IFERROR(INDEX('Lists'!$G$6:$G$35,MATCH($C231,'Lists'!$F$6:$F$35,0))&amp;"","Unknown category"))</f>
        <v/>
      </c>
      <c r="I231" s="80">
        <f>IF(AND($B231="",$C231="",$E231=""),"",IF(NOT(ISNUMBER($B231)),"Enter a valid date",IF($C231="","Pick a category",IF(OR($H231="Unknown category",$H231=""),"Category has no cost type",IF(NOT(ISNUMBER($E231)),"Enter an amount","OK")))))</f>
        <v/>
      </c>
    </row>
    <row r="232" ht="17" customHeight="1">
      <c r="B232" s="66" t="n"/>
      <c r="C232" s="60" t="n"/>
      <c r="D232" s="60" t="n"/>
      <c r="E232" s="63" t="n"/>
      <c r="F232" s="60" t="n"/>
      <c r="G232" s="60" t="n"/>
      <c r="H232" s="13">
        <f>IF($C232="","",IFERROR(INDEX('Lists'!$G$6:$G$35,MATCH($C232,'Lists'!$F$6:$F$35,0))&amp;"","Unknown category"))</f>
        <v/>
      </c>
      <c r="I232" s="80">
        <f>IF(AND($B232="",$C232="",$E232=""),"",IF(NOT(ISNUMBER($B232)),"Enter a valid date",IF($C232="","Pick a category",IF(OR($H232="Unknown category",$H232=""),"Category has no cost type",IF(NOT(ISNUMBER($E232)),"Enter an amount","OK")))))</f>
        <v/>
      </c>
    </row>
    <row r="233" ht="17" customHeight="1">
      <c r="B233" s="66" t="n"/>
      <c r="C233" s="60" t="n"/>
      <c r="D233" s="60" t="n"/>
      <c r="E233" s="63" t="n"/>
      <c r="F233" s="60" t="n"/>
      <c r="G233" s="60" t="n"/>
      <c r="H233" s="13">
        <f>IF($C233="","",IFERROR(INDEX('Lists'!$G$6:$G$35,MATCH($C233,'Lists'!$F$6:$F$35,0))&amp;"","Unknown category"))</f>
        <v/>
      </c>
      <c r="I233" s="80">
        <f>IF(AND($B233="",$C233="",$E233=""),"",IF(NOT(ISNUMBER($B233)),"Enter a valid date",IF($C233="","Pick a category",IF(OR($H233="Unknown category",$H233=""),"Category has no cost type",IF(NOT(ISNUMBER($E233)),"Enter an amount","OK")))))</f>
        <v/>
      </c>
    </row>
    <row r="234" ht="17" customHeight="1">
      <c r="B234" s="66" t="n"/>
      <c r="C234" s="60" t="n"/>
      <c r="D234" s="60" t="n"/>
      <c r="E234" s="63" t="n"/>
      <c r="F234" s="60" t="n"/>
      <c r="G234" s="60" t="n"/>
      <c r="H234" s="13">
        <f>IF($C234="","",IFERROR(INDEX('Lists'!$G$6:$G$35,MATCH($C234,'Lists'!$F$6:$F$35,0))&amp;"","Unknown category"))</f>
        <v/>
      </c>
      <c r="I234" s="80">
        <f>IF(AND($B234="",$C234="",$E234=""),"",IF(NOT(ISNUMBER($B234)),"Enter a valid date",IF($C234="","Pick a category",IF(OR($H234="Unknown category",$H234=""),"Category has no cost type",IF(NOT(ISNUMBER($E234)),"Enter an amount","OK")))))</f>
        <v/>
      </c>
    </row>
    <row r="235" ht="17" customHeight="1">
      <c r="B235" s="66" t="n"/>
      <c r="C235" s="60" t="n"/>
      <c r="D235" s="60" t="n"/>
      <c r="E235" s="63" t="n"/>
      <c r="F235" s="60" t="n"/>
      <c r="G235" s="60" t="n"/>
      <c r="H235" s="13">
        <f>IF($C235="","",IFERROR(INDEX('Lists'!$G$6:$G$35,MATCH($C235,'Lists'!$F$6:$F$35,0))&amp;"","Unknown category"))</f>
        <v/>
      </c>
      <c r="I235" s="80">
        <f>IF(AND($B235="",$C235="",$E235=""),"",IF(NOT(ISNUMBER($B235)),"Enter a valid date",IF($C235="","Pick a category",IF(OR($H235="Unknown category",$H235=""),"Category has no cost type",IF(NOT(ISNUMBER($E235)),"Enter an amount","OK")))))</f>
        <v/>
      </c>
    </row>
    <row r="236" ht="17" customHeight="1">
      <c r="B236" s="66" t="n"/>
      <c r="C236" s="60" t="n"/>
      <c r="D236" s="60" t="n"/>
      <c r="E236" s="63" t="n"/>
      <c r="F236" s="60" t="n"/>
      <c r="G236" s="60" t="n"/>
      <c r="H236" s="13">
        <f>IF($C236="","",IFERROR(INDEX('Lists'!$G$6:$G$35,MATCH($C236,'Lists'!$F$6:$F$35,0))&amp;"","Unknown category"))</f>
        <v/>
      </c>
      <c r="I236" s="80">
        <f>IF(AND($B236="",$C236="",$E236=""),"",IF(NOT(ISNUMBER($B236)),"Enter a valid date",IF($C236="","Pick a category",IF(OR($H236="Unknown category",$H236=""),"Category has no cost type",IF(NOT(ISNUMBER($E236)),"Enter an amount","OK")))))</f>
        <v/>
      </c>
    </row>
    <row r="237" ht="17" customHeight="1">
      <c r="B237" s="66" t="n"/>
      <c r="C237" s="60" t="n"/>
      <c r="D237" s="60" t="n"/>
      <c r="E237" s="63" t="n"/>
      <c r="F237" s="60" t="n"/>
      <c r="G237" s="60" t="n"/>
      <c r="H237" s="13">
        <f>IF($C237="","",IFERROR(INDEX('Lists'!$G$6:$G$35,MATCH($C237,'Lists'!$F$6:$F$35,0))&amp;"","Unknown category"))</f>
        <v/>
      </c>
      <c r="I237" s="80">
        <f>IF(AND($B237="",$C237="",$E237=""),"",IF(NOT(ISNUMBER($B237)),"Enter a valid date",IF($C237="","Pick a category",IF(OR($H237="Unknown category",$H237=""),"Category has no cost type",IF(NOT(ISNUMBER($E237)),"Enter an amount","OK")))))</f>
        <v/>
      </c>
    </row>
    <row r="238" ht="17" customHeight="1">
      <c r="B238" s="66" t="n"/>
      <c r="C238" s="60" t="n"/>
      <c r="D238" s="60" t="n"/>
      <c r="E238" s="63" t="n"/>
      <c r="F238" s="60" t="n"/>
      <c r="G238" s="60" t="n"/>
      <c r="H238" s="13">
        <f>IF($C238="","",IFERROR(INDEX('Lists'!$G$6:$G$35,MATCH($C238,'Lists'!$F$6:$F$35,0))&amp;"","Unknown category"))</f>
        <v/>
      </c>
      <c r="I238" s="80">
        <f>IF(AND($B238="",$C238="",$E238=""),"",IF(NOT(ISNUMBER($B238)),"Enter a valid date",IF($C238="","Pick a category",IF(OR($H238="Unknown category",$H238=""),"Category has no cost type",IF(NOT(ISNUMBER($E238)),"Enter an amount","OK")))))</f>
        <v/>
      </c>
    </row>
    <row r="239" ht="17" customHeight="1">
      <c r="B239" s="66" t="n"/>
      <c r="C239" s="60" t="n"/>
      <c r="D239" s="60" t="n"/>
      <c r="E239" s="63" t="n"/>
      <c r="F239" s="60" t="n"/>
      <c r="G239" s="60" t="n"/>
      <c r="H239" s="13">
        <f>IF($C239="","",IFERROR(INDEX('Lists'!$G$6:$G$35,MATCH($C239,'Lists'!$F$6:$F$35,0))&amp;"","Unknown category"))</f>
        <v/>
      </c>
      <c r="I239" s="80">
        <f>IF(AND($B239="",$C239="",$E239=""),"",IF(NOT(ISNUMBER($B239)),"Enter a valid date",IF($C239="","Pick a category",IF(OR($H239="Unknown category",$H239=""),"Category has no cost type",IF(NOT(ISNUMBER($E239)),"Enter an amount","OK")))))</f>
        <v/>
      </c>
    </row>
    <row r="240" ht="17" customHeight="1">
      <c r="B240" s="66" t="n"/>
      <c r="C240" s="60" t="n"/>
      <c r="D240" s="60" t="n"/>
      <c r="E240" s="63" t="n"/>
      <c r="F240" s="60" t="n"/>
      <c r="G240" s="60" t="n"/>
      <c r="H240" s="13">
        <f>IF($C240="","",IFERROR(INDEX('Lists'!$G$6:$G$35,MATCH($C240,'Lists'!$F$6:$F$35,0))&amp;"","Unknown category"))</f>
        <v/>
      </c>
      <c r="I240" s="80">
        <f>IF(AND($B240="",$C240="",$E240=""),"",IF(NOT(ISNUMBER($B240)),"Enter a valid date",IF($C240="","Pick a category",IF(OR($H240="Unknown category",$H240=""),"Category has no cost type",IF(NOT(ISNUMBER($E240)),"Enter an amount","OK")))))</f>
        <v/>
      </c>
    </row>
    <row r="241" ht="17" customHeight="1">
      <c r="B241" s="66" t="n"/>
      <c r="C241" s="60" t="n"/>
      <c r="D241" s="60" t="n"/>
      <c r="E241" s="63" t="n"/>
      <c r="F241" s="60" t="n"/>
      <c r="G241" s="60" t="n"/>
      <c r="H241" s="13">
        <f>IF($C241="","",IFERROR(INDEX('Lists'!$G$6:$G$35,MATCH($C241,'Lists'!$F$6:$F$35,0))&amp;"","Unknown category"))</f>
        <v/>
      </c>
      <c r="I241" s="80">
        <f>IF(AND($B241="",$C241="",$E241=""),"",IF(NOT(ISNUMBER($B241)),"Enter a valid date",IF($C241="","Pick a category",IF(OR($H241="Unknown category",$H241=""),"Category has no cost type",IF(NOT(ISNUMBER($E241)),"Enter an amount","OK")))))</f>
        <v/>
      </c>
    </row>
    <row r="242" ht="17" customHeight="1">
      <c r="B242" s="66" t="n"/>
      <c r="C242" s="60" t="n"/>
      <c r="D242" s="60" t="n"/>
      <c r="E242" s="63" t="n"/>
      <c r="F242" s="60" t="n"/>
      <c r="G242" s="60" t="n"/>
      <c r="H242" s="13">
        <f>IF($C242="","",IFERROR(INDEX('Lists'!$G$6:$G$35,MATCH($C242,'Lists'!$F$6:$F$35,0))&amp;"","Unknown category"))</f>
        <v/>
      </c>
      <c r="I242" s="80">
        <f>IF(AND($B242="",$C242="",$E242=""),"",IF(NOT(ISNUMBER($B242)),"Enter a valid date",IF($C242="","Pick a category",IF(OR($H242="Unknown category",$H242=""),"Category has no cost type",IF(NOT(ISNUMBER($E242)),"Enter an amount","OK")))))</f>
        <v/>
      </c>
    </row>
    <row r="243" ht="17" customHeight="1">
      <c r="B243" s="66" t="n"/>
      <c r="C243" s="60" t="n"/>
      <c r="D243" s="60" t="n"/>
      <c r="E243" s="63" t="n"/>
      <c r="F243" s="60" t="n"/>
      <c r="G243" s="60" t="n"/>
      <c r="H243" s="13">
        <f>IF($C243="","",IFERROR(INDEX('Lists'!$G$6:$G$35,MATCH($C243,'Lists'!$F$6:$F$35,0))&amp;"","Unknown category"))</f>
        <v/>
      </c>
      <c r="I243" s="80">
        <f>IF(AND($B243="",$C243="",$E243=""),"",IF(NOT(ISNUMBER($B243)),"Enter a valid date",IF($C243="","Pick a category",IF(OR($H243="Unknown category",$H243=""),"Category has no cost type",IF(NOT(ISNUMBER($E243)),"Enter an amount","OK")))))</f>
        <v/>
      </c>
    </row>
    <row r="244" ht="17" customHeight="1">
      <c r="B244" s="66" t="n"/>
      <c r="C244" s="60" t="n"/>
      <c r="D244" s="60" t="n"/>
      <c r="E244" s="63" t="n"/>
      <c r="F244" s="60" t="n"/>
      <c r="G244" s="60" t="n"/>
      <c r="H244" s="13">
        <f>IF($C244="","",IFERROR(INDEX('Lists'!$G$6:$G$35,MATCH($C244,'Lists'!$F$6:$F$35,0))&amp;"","Unknown category"))</f>
        <v/>
      </c>
      <c r="I244" s="80">
        <f>IF(AND($B244="",$C244="",$E244=""),"",IF(NOT(ISNUMBER($B244)),"Enter a valid date",IF($C244="","Pick a category",IF(OR($H244="Unknown category",$H244=""),"Category has no cost type",IF(NOT(ISNUMBER($E244)),"Enter an amount","OK")))))</f>
        <v/>
      </c>
    </row>
    <row r="245" ht="17" customHeight="1">
      <c r="B245" s="66" t="n"/>
      <c r="C245" s="60" t="n"/>
      <c r="D245" s="60" t="n"/>
      <c r="E245" s="63" t="n"/>
      <c r="F245" s="60" t="n"/>
      <c r="G245" s="60" t="n"/>
      <c r="H245" s="13">
        <f>IF($C245="","",IFERROR(INDEX('Lists'!$G$6:$G$35,MATCH($C245,'Lists'!$F$6:$F$35,0))&amp;"","Unknown category"))</f>
        <v/>
      </c>
      <c r="I245" s="80">
        <f>IF(AND($B245="",$C245="",$E245=""),"",IF(NOT(ISNUMBER($B245)),"Enter a valid date",IF($C245="","Pick a category",IF(OR($H245="Unknown category",$H245=""),"Category has no cost type",IF(NOT(ISNUMBER($E245)),"Enter an amount","OK")))))</f>
        <v/>
      </c>
    </row>
    <row r="246" ht="17" customHeight="1">
      <c r="B246" s="66" t="n"/>
      <c r="C246" s="60" t="n"/>
      <c r="D246" s="60" t="n"/>
      <c r="E246" s="63" t="n"/>
      <c r="F246" s="60" t="n"/>
      <c r="G246" s="60" t="n"/>
      <c r="H246" s="13">
        <f>IF($C246="","",IFERROR(INDEX('Lists'!$G$6:$G$35,MATCH($C246,'Lists'!$F$6:$F$35,0))&amp;"","Unknown category"))</f>
        <v/>
      </c>
      <c r="I246" s="80">
        <f>IF(AND($B246="",$C246="",$E246=""),"",IF(NOT(ISNUMBER($B246)),"Enter a valid date",IF($C246="","Pick a category",IF(OR($H246="Unknown category",$H246=""),"Category has no cost type",IF(NOT(ISNUMBER($E246)),"Enter an amount","OK")))))</f>
        <v/>
      </c>
    </row>
    <row r="247" ht="17" customHeight="1">
      <c r="B247" s="66" t="n"/>
      <c r="C247" s="60" t="n"/>
      <c r="D247" s="60" t="n"/>
      <c r="E247" s="63" t="n"/>
      <c r="F247" s="60" t="n"/>
      <c r="G247" s="60" t="n"/>
      <c r="H247" s="13">
        <f>IF($C247="","",IFERROR(INDEX('Lists'!$G$6:$G$35,MATCH($C247,'Lists'!$F$6:$F$35,0))&amp;"","Unknown category"))</f>
        <v/>
      </c>
      <c r="I247" s="80">
        <f>IF(AND($B247="",$C247="",$E247=""),"",IF(NOT(ISNUMBER($B247)),"Enter a valid date",IF($C247="","Pick a category",IF(OR($H247="Unknown category",$H247=""),"Category has no cost type",IF(NOT(ISNUMBER($E247)),"Enter an amount","OK")))))</f>
        <v/>
      </c>
    </row>
    <row r="248" ht="17" customHeight="1">
      <c r="B248" s="66" t="n"/>
      <c r="C248" s="60" t="n"/>
      <c r="D248" s="60" t="n"/>
      <c r="E248" s="63" t="n"/>
      <c r="F248" s="60" t="n"/>
      <c r="G248" s="60" t="n"/>
      <c r="H248" s="13">
        <f>IF($C248="","",IFERROR(INDEX('Lists'!$G$6:$G$35,MATCH($C248,'Lists'!$F$6:$F$35,0))&amp;"","Unknown category"))</f>
        <v/>
      </c>
      <c r="I248" s="80">
        <f>IF(AND($B248="",$C248="",$E248=""),"",IF(NOT(ISNUMBER($B248)),"Enter a valid date",IF($C248="","Pick a category",IF(OR($H248="Unknown category",$H248=""),"Category has no cost type",IF(NOT(ISNUMBER($E248)),"Enter an amount","OK")))))</f>
        <v/>
      </c>
    </row>
    <row r="249" ht="17" customHeight="1">
      <c r="B249" s="66" t="n"/>
      <c r="C249" s="60" t="n"/>
      <c r="D249" s="60" t="n"/>
      <c r="E249" s="63" t="n"/>
      <c r="F249" s="60" t="n"/>
      <c r="G249" s="60" t="n"/>
      <c r="H249" s="13">
        <f>IF($C249="","",IFERROR(INDEX('Lists'!$G$6:$G$35,MATCH($C249,'Lists'!$F$6:$F$35,0))&amp;"","Unknown category"))</f>
        <v/>
      </c>
      <c r="I249" s="80">
        <f>IF(AND($B249="",$C249="",$E249=""),"",IF(NOT(ISNUMBER($B249)),"Enter a valid date",IF($C249="","Pick a category",IF(OR($H249="Unknown category",$H249=""),"Category has no cost type",IF(NOT(ISNUMBER($E249)),"Enter an amount","OK")))))</f>
        <v/>
      </c>
    </row>
    <row r="250" ht="17" customHeight="1">
      <c r="B250" s="66" t="n"/>
      <c r="C250" s="60" t="n"/>
      <c r="D250" s="60" t="n"/>
      <c r="E250" s="63" t="n"/>
      <c r="F250" s="60" t="n"/>
      <c r="G250" s="60" t="n"/>
      <c r="H250" s="13">
        <f>IF($C250="","",IFERROR(INDEX('Lists'!$G$6:$G$35,MATCH($C250,'Lists'!$F$6:$F$35,0))&amp;"","Unknown category"))</f>
        <v/>
      </c>
      <c r="I250" s="80">
        <f>IF(AND($B250="",$C250="",$E250=""),"",IF(NOT(ISNUMBER($B250)),"Enter a valid date",IF($C250="","Pick a category",IF(OR($H250="Unknown category",$H250=""),"Category has no cost type",IF(NOT(ISNUMBER($E250)),"Enter an amount","OK")))))</f>
        <v/>
      </c>
    </row>
    <row r="251" ht="17" customHeight="1">
      <c r="B251" s="66" t="n"/>
      <c r="C251" s="60" t="n"/>
      <c r="D251" s="60" t="n"/>
      <c r="E251" s="63" t="n"/>
      <c r="F251" s="60" t="n"/>
      <c r="G251" s="60" t="n"/>
      <c r="H251" s="13">
        <f>IF($C251="","",IFERROR(INDEX('Lists'!$G$6:$G$35,MATCH($C251,'Lists'!$F$6:$F$35,0))&amp;"","Unknown category"))</f>
        <v/>
      </c>
      <c r="I251" s="80">
        <f>IF(AND($B251="",$C251="",$E251=""),"",IF(NOT(ISNUMBER($B251)),"Enter a valid date",IF($C251="","Pick a category",IF(OR($H251="Unknown category",$H251=""),"Category has no cost type",IF(NOT(ISNUMBER($E251)),"Enter an amount","OK")))))</f>
        <v/>
      </c>
    </row>
    <row r="252" ht="17" customHeight="1">
      <c r="B252" s="66" t="n"/>
      <c r="C252" s="60" t="n"/>
      <c r="D252" s="60" t="n"/>
      <c r="E252" s="63" t="n"/>
      <c r="F252" s="60" t="n"/>
      <c r="G252" s="60" t="n"/>
      <c r="H252" s="13">
        <f>IF($C252="","",IFERROR(INDEX('Lists'!$G$6:$G$35,MATCH($C252,'Lists'!$F$6:$F$35,0))&amp;"","Unknown category"))</f>
        <v/>
      </c>
      <c r="I252" s="80">
        <f>IF(AND($B252="",$C252="",$E252=""),"",IF(NOT(ISNUMBER($B252)),"Enter a valid date",IF($C252="","Pick a category",IF(OR($H252="Unknown category",$H252=""),"Category has no cost type",IF(NOT(ISNUMBER($E252)),"Enter an amount","OK")))))</f>
        <v/>
      </c>
    </row>
    <row r="253" ht="17" customHeight="1">
      <c r="B253" s="66" t="n"/>
      <c r="C253" s="60" t="n"/>
      <c r="D253" s="60" t="n"/>
      <c r="E253" s="63" t="n"/>
      <c r="F253" s="60" t="n"/>
      <c r="G253" s="60" t="n"/>
      <c r="H253" s="13">
        <f>IF($C253="","",IFERROR(INDEX('Lists'!$G$6:$G$35,MATCH($C253,'Lists'!$F$6:$F$35,0))&amp;"","Unknown category"))</f>
        <v/>
      </c>
      <c r="I253" s="80">
        <f>IF(AND($B253="",$C253="",$E253=""),"",IF(NOT(ISNUMBER($B253)),"Enter a valid date",IF($C253="","Pick a category",IF(OR($H253="Unknown category",$H253=""),"Category has no cost type",IF(NOT(ISNUMBER($E253)),"Enter an amount","OK")))))</f>
        <v/>
      </c>
    </row>
    <row r="254" ht="17" customHeight="1">
      <c r="B254" s="66" t="n"/>
      <c r="C254" s="60" t="n"/>
      <c r="D254" s="60" t="n"/>
      <c r="E254" s="63" t="n"/>
      <c r="F254" s="60" t="n"/>
      <c r="G254" s="60" t="n"/>
      <c r="H254" s="13">
        <f>IF($C254="","",IFERROR(INDEX('Lists'!$G$6:$G$35,MATCH($C254,'Lists'!$F$6:$F$35,0))&amp;"","Unknown category"))</f>
        <v/>
      </c>
      <c r="I254" s="80">
        <f>IF(AND($B254="",$C254="",$E254=""),"",IF(NOT(ISNUMBER($B254)),"Enter a valid date",IF($C254="","Pick a category",IF(OR($H254="Unknown category",$H254=""),"Category has no cost type",IF(NOT(ISNUMBER($E254)),"Enter an amount","OK")))))</f>
        <v/>
      </c>
    </row>
    <row r="255" ht="17" customHeight="1">
      <c r="B255" s="66" t="n"/>
      <c r="C255" s="60" t="n"/>
      <c r="D255" s="60" t="n"/>
      <c r="E255" s="63" t="n"/>
      <c r="F255" s="60" t="n"/>
      <c r="G255" s="60" t="n"/>
      <c r="H255" s="13">
        <f>IF($C255="","",IFERROR(INDEX('Lists'!$G$6:$G$35,MATCH($C255,'Lists'!$F$6:$F$35,0))&amp;"","Unknown category"))</f>
        <v/>
      </c>
      <c r="I255" s="80">
        <f>IF(AND($B255="",$C255="",$E255=""),"",IF(NOT(ISNUMBER($B255)),"Enter a valid date",IF($C255="","Pick a category",IF(OR($H255="Unknown category",$H255=""),"Category has no cost type",IF(NOT(ISNUMBER($E255)),"Enter an amount","OK")))))</f>
        <v/>
      </c>
    </row>
    <row r="256" ht="17" customHeight="1">
      <c r="B256" s="66" t="n"/>
      <c r="C256" s="60" t="n"/>
      <c r="D256" s="60" t="n"/>
      <c r="E256" s="63" t="n"/>
      <c r="F256" s="60" t="n"/>
      <c r="G256" s="60" t="n"/>
      <c r="H256" s="13">
        <f>IF($C256="","",IFERROR(INDEX('Lists'!$G$6:$G$35,MATCH($C256,'Lists'!$F$6:$F$35,0))&amp;"","Unknown category"))</f>
        <v/>
      </c>
      <c r="I256" s="80">
        <f>IF(AND($B256="",$C256="",$E256=""),"",IF(NOT(ISNUMBER($B256)),"Enter a valid date",IF($C256="","Pick a category",IF(OR($H256="Unknown category",$H256=""),"Category has no cost type",IF(NOT(ISNUMBER($E256)),"Enter an amount","OK")))))</f>
        <v/>
      </c>
    </row>
    <row r="257" ht="17" customHeight="1">
      <c r="B257" s="66" t="n"/>
      <c r="C257" s="60" t="n"/>
      <c r="D257" s="60" t="n"/>
      <c r="E257" s="63" t="n"/>
      <c r="F257" s="60" t="n"/>
      <c r="G257" s="60" t="n"/>
      <c r="H257" s="13">
        <f>IF($C257="","",IFERROR(INDEX('Lists'!$G$6:$G$35,MATCH($C257,'Lists'!$F$6:$F$35,0))&amp;"","Unknown category"))</f>
        <v/>
      </c>
      <c r="I257" s="80">
        <f>IF(AND($B257="",$C257="",$E257=""),"",IF(NOT(ISNUMBER($B257)),"Enter a valid date",IF($C257="","Pick a category",IF(OR($H257="Unknown category",$H257=""),"Category has no cost type",IF(NOT(ISNUMBER($E257)),"Enter an amount","OK")))))</f>
        <v/>
      </c>
    </row>
    <row r="258" ht="17" customHeight="1">
      <c r="B258" s="66" t="n"/>
      <c r="C258" s="60" t="n"/>
      <c r="D258" s="60" t="n"/>
      <c r="E258" s="63" t="n"/>
      <c r="F258" s="60" t="n"/>
      <c r="G258" s="60" t="n"/>
      <c r="H258" s="13">
        <f>IF($C258="","",IFERROR(INDEX('Lists'!$G$6:$G$35,MATCH($C258,'Lists'!$F$6:$F$35,0))&amp;"","Unknown category"))</f>
        <v/>
      </c>
      <c r="I258" s="80">
        <f>IF(AND($B258="",$C258="",$E258=""),"",IF(NOT(ISNUMBER($B258)),"Enter a valid date",IF($C258="","Pick a category",IF(OR($H258="Unknown category",$H258=""),"Category has no cost type",IF(NOT(ISNUMBER($E258)),"Enter an amount","OK")))))</f>
        <v/>
      </c>
    </row>
    <row r="259" ht="17" customHeight="1">
      <c r="B259" s="66" t="n"/>
      <c r="C259" s="60" t="n"/>
      <c r="D259" s="60" t="n"/>
      <c r="E259" s="63" t="n"/>
      <c r="F259" s="60" t="n"/>
      <c r="G259" s="60" t="n"/>
      <c r="H259" s="13">
        <f>IF($C259="","",IFERROR(INDEX('Lists'!$G$6:$G$35,MATCH($C259,'Lists'!$F$6:$F$35,0))&amp;"","Unknown category"))</f>
        <v/>
      </c>
      <c r="I259" s="80">
        <f>IF(AND($B259="",$C259="",$E259=""),"",IF(NOT(ISNUMBER($B259)),"Enter a valid date",IF($C259="","Pick a category",IF(OR($H259="Unknown category",$H259=""),"Category has no cost type",IF(NOT(ISNUMBER($E259)),"Enter an amount","OK")))))</f>
        <v/>
      </c>
    </row>
    <row r="260" ht="17" customHeight="1">
      <c r="B260" s="66" t="n"/>
      <c r="C260" s="60" t="n"/>
      <c r="D260" s="60" t="n"/>
      <c r="E260" s="63" t="n"/>
      <c r="F260" s="60" t="n"/>
      <c r="G260" s="60" t="n"/>
      <c r="H260" s="13">
        <f>IF($C260="","",IFERROR(INDEX('Lists'!$G$6:$G$35,MATCH($C260,'Lists'!$F$6:$F$35,0))&amp;"","Unknown category"))</f>
        <v/>
      </c>
      <c r="I260" s="80">
        <f>IF(AND($B260="",$C260="",$E260=""),"",IF(NOT(ISNUMBER($B260)),"Enter a valid date",IF($C260="","Pick a category",IF(OR($H260="Unknown category",$H260=""),"Category has no cost type",IF(NOT(ISNUMBER($E260)),"Enter an amount","OK")))))</f>
        <v/>
      </c>
    </row>
    <row r="261" ht="17" customHeight="1">
      <c r="B261" s="66" t="n"/>
      <c r="C261" s="60" t="n"/>
      <c r="D261" s="60" t="n"/>
      <c r="E261" s="63" t="n"/>
      <c r="F261" s="60" t="n"/>
      <c r="G261" s="60" t="n"/>
      <c r="H261" s="13">
        <f>IF($C261="","",IFERROR(INDEX('Lists'!$G$6:$G$35,MATCH($C261,'Lists'!$F$6:$F$35,0))&amp;"","Unknown category"))</f>
        <v/>
      </c>
      <c r="I261" s="80">
        <f>IF(AND($B261="",$C261="",$E261=""),"",IF(NOT(ISNUMBER($B261)),"Enter a valid date",IF($C261="","Pick a category",IF(OR($H261="Unknown category",$H261=""),"Category has no cost type",IF(NOT(ISNUMBER($E261)),"Enter an amount","OK")))))</f>
        <v/>
      </c>
    </row>
    <row r="262" ht="17" customHeight="1">
      <c r="B262" s="66" t="n"/>
      <c r="C262" s="60" t="n"/>
      <c r="D262" s="60" t="n"/>
      <c r="E262" s="63" t="n"/>
      <c r="F262" s="60" t="n"/>
      <c r="G262" s="60" t="n"/>
      <c r="H262" s="13">
        <f>IF($C262="","",IFERROR(INDEX('Lists'!$G$6:$G$35,MATCH($C262,'Lists'!$F$6:$F$35,0))&amp;"","Unknown category"))</f>
        <v/>
      </c>
      <c r="I262" s="80">
        <f>IF(AND($B262="",$C262="",$E262=""),"",IF(NOT(ISNUMBER($B262)),"Enter a valid date",IF($C262="","Pick a category",IF(OR($H262="Unknown category",$H262=""),"Category has no cost type",IF(NOT(ISNUMBER($E262)),"Enter an amount","OK")))))</f>
        <v/>
      </c>
    </row>
    <row r="263" ht="17" customHeight="1">
      <c r="B263" s="66" t="n"/>
      <c r="C263" s="60" t="n"/>
      <c r="D263" s="60" t="n"/>
      <c r="E263" s="63" t="n"/>
      <c r="F263" s="60" t="n"/>
      <c r="G263" s="60" t="n"/>
      <c r="H263" s="13">
        <f>IF($C263="","",IFERROR(INDEX('Lists'!$G$6:$G$35,MATCH($C263,'Lists'!$F$6:$F$35,0))&amp;"","Unknown category"))</f>
        <v/>
      </c>
      <c r="I263" s="80">
        <f>IF(AND($B263="",$C263="",$E263=""),"",IF(NOT(ISNUMBER($B263)),"Enter a valid date",IF($C263="","Pick a category",IF(OR($H263="Unknown category",$H263=""),"Category has no cost type",IF(NOT(ISNUMBER($E263)),"Enter an amount","OK")))))</f>
        <v/>
      </c>
    </row>
    <row r="264" ht="17" customHeight="1">
      <c r="B264" s="66" t="n"/>
      <c r="C264" s="60" t="n"/>
      <c r="D264" s="60" t="n"/>
      <c r="E264" s="63" t="n"/>
      <c r="F264" s="60" t="n"/>
      <c r="G264" s="60" t="n"/>
      <c r="H264" s="13">
        <f>IF($C264="","",IFERROR(INDEX('Lists'!$G$6:$G$35,MATCH($C264,'Lists'!$F$6:$F$35,0))&amp;"","Unknown category"))</f>
        <v/>
      </c>
      <c r="I264" s="80">
        <f>IF(AND($B264="",$C264="",$E264=""),"",IF(NOT(ISNUMBER($B264)),"Enter a valid date",IF($C264="","Pick a category",IF(OR($H264="Unknown category",$H264=""),"Category has no cost type",IF(NOT(ISNUMBER($E264)),"Enter an amount","OK")))))</f>
        <v/>
      </c>
    </row>
    <row r="265" ht="17" customHeight="1">
      <c r="B265" s="66" t="n"/>
      <c r="C265" s="60" t="n"/>
      <c r="D265" s="60" t="n"/>
      <c r="E265" s="63" t="n"/>
      <c r="F265" s="60" t="n"/>
      <c r="G265" s="60" t="n"/>
      <c r="H265" s="13">
        <f>IF($C265="","",IFERROR(INDEX('Lists'!$G$6:$G$35,MATCH($C265,'Lists'!$F$6:$F$35,0))&amp;"","Unknown category"))</f>
        <v/>
      </c>
      <c r="I265" s="80">
        <f>IF(AND($B265="",$C265="",$E265=""),"",IF(NOT(ISNUMBER($B265)),"Enter a valid date",IF($C265="","Pick a category",IF(OR($H265="Unknown category",$H265=""),"Category has no cost type",IF(NOT(ISNUMBER($E265)),"Enter an amount","OK")))))</f>
        <v/>
      </c>
    </row>
    <row r="266" ht="17" customHeight="1">
      <c r="B266" s="66" t="n"/>
      <c r="C266" s="60" t="n"/>
      <c r="D266" s="60" t="n"/>
      <c r="E266" s="63" t="n"/>
      <c r="F266" s="60" t="n"/>
      <c r="G266" s="60" t="n"/>
      <c r="H266" s="13">
        <f>IF($C266="","",IFERROR(INDEX('Lists'!$G$6:$G$35,MATCH($C266,'Lists'!$F$6:$F$35,0))&amp;"","Unknown category"))</f>
        <v/>
      </c>
      <c r="I266" s="80">
        <f>IF(AND($B266="",$C266="",$E266=""),"",IF(NOT(ISNUMBER($B266)),"Enter a valid date",IF($C266="","Pick a category",IF(OR($H266="Unknown category",$H266=""),"Category has no cost type",IF(NOT(ISNUMBER($E266)),"Enter an amount","OK")))))</f>
        <v/>
      </c>
    </row>
    <row r="267" ht="17" customHeight="1">
      <c r="B267" s="66" t="n"/>
      <c r="C267" s="60" t="n"/>
      <c r="D267" s="60" t="n"/>
      <c r="E267" s="63" t="n"/>
      <c r="F267" s="60" t="n"/>
      <c r="G267" s="60" t="n"/>
      <c r="H267" s="13">
        <f>IF($C267="","",IFERROR(INDEX('Lists'!$G$6:$G$35,MATCH($C267,'Lists'!$F$6:$F$35,0))&amp;"","Unknown category"))</f>
        <v/>
      </c>
      <c r="I267" s="80">
        <f>IF(AND($B267="",$C267="",$E267=""),"",IF(NOT(ISNUMBER($B267)),"Enter a valid date",IF($C267="","Pick a category",IF(OR($H267="Unknown category",$H267=""),"Category has no cost type",IF(NOT(ISNUMBER($E267)),"Enter an amount","OK")))))</f>
        <v/>
      </c>
    </row>
    <row r="268" ht="17" customHeight="1">
      <c r="B268" s="66" t="n"/>
      <c r="C268" s="60" t="n"/>
      <c r="D268" s="60" t="n"/>
      <c r="E268" s="63" t="n"/>
      <c r="F268" s="60" t="n"/>
      <c r="G268" s="60" t="n"/>
      <c r="H268" s="13">
        <f>IF($C268="","",IFERROR(INDEX('Lists'!$G$6:$G$35,MATCH($C268,'Lists'!$F$6:$F$35,0))&amp;"","Unknown category"))</f>
        <v/>
      </c>
      <c r="I268" s="80">
        <f>IF(AND($B268="",$C268="",$E268=""),"",IF(NOT(ISNUMBER($B268)),"Enter a valid date",IF($C268="","Pick a category",IF(OR($H268="Unknown category",$H268=""),"Category has no cost type",IF(NOT(ISNUMBER($E268)),"Enter an amount","OK")))))</f>
        <v/>
      </c>
    </row>
    <row r="269" ht="17" customHeight="1">
      <c r="B269" s="66" t="n"/>
      <c r="C269" s="60" t="n"/>
      <c r="D269" s="60" t="n"/>
      <c r="E269" s="63" t="n"/>
      <c r="F269" s="60" t="n"/>
      <c r="G269" s="60" t="n"/>
      <c r="H269" s="13">
        <f>IF($C269="","",IFERROR(INDEX('Lists'!$G$6:$G$35,MATCH($C269,'Lists'!$F$6:$F$35,0))&amp;"","Unknown category"))</f>
        <v/>
      </c>
      <c r="I269" s="80">
        <f>IF(AND($B269="",$C269="",$E269=""),"",IF(NOT(ISNUMBER($B269)),"Enter a valid date",IF($C269="","Pick a category",IF(OR($H269="Unknown category",$H269=""),"Category has no cost type",IF(NOT(ISNUMBER($E269)),"Enter an amount","OK")))))</f>
        <v/>
      </c>
    </row>
    <row r="270" ht="17" customHeight="1">
      <c r="B270" s="66" t="n"/>
      <c r="C270" s="60" t="n"/>
      <c r="D270" s="60" t="n"/>
      <c r="E270" s="63" t="n"/>
      <c r="F270" s="60" t="n"/>
      <c r="G270" s="60" t="n"/>
      <c r="H270" s="13">
        <f>IF($C270="","",IFERROR(INDEX('Lists'!$G$6:$G$35,MATCH($C270,'Lists'!$F$6:$F$35,0))&amp;"","Unknown category"))</f>
        <v/>
      </c>
      <c r="I270" s="80">
        <f>IF(AND($B270="",$C270="",$E270=""),"",IF(NOT(ISNUMBER($B270)),"Enter a valid date",IF($C270="","Pick a category",IF(OR($H270="Unknown category",$H270=""),"Category has no cost type",IF(NOT(ISNUMBER($E270)),"Enter an amount","OK")))))</f>
        <v/>
      </c>
    </row>
    <row r="271" ht="17" customHeight="1">
      <c r="B271" s="66" t="n"/>
      <c r="C271" s="60" t="n"/>
      <c r="D271" s="60" t="n"/>
      <c r="E271" s="63" t="n"/>
      <c r="F271" s="60" t="n"/>
      <c r="G271" s="60" t="n"/>
      <c r="H271" s="13">
        <f>IF($C271="","",IFERROR(INDEX('Lists'!$G$6:$G$35,MATCH($C271,'Lists'!$F$6:$F$35,0))&amp;"","Unknown category"))</f>
        <v/>
      </c>
      <c r="I271" s="80">
        <f>IF(AND($B271="",$C271="",$E271=""),"",IF(NOT(ISNUMBER($B271)),"Enter a valid date",IF($C271="","Pick a category",IF(OR($H271="Unknown category",$H271=""),"Category has no cost type",IF(NOT(ISNUMBER($E271)),"Enter an amount","OK")))))</f>
        <v/>
      </c>
    </row>
    <row r="272" ht="17" customHeight="1">
      <c r="B272" s="66" t="n"/>
      <c r="C272" s="60" t="n"/>
      <c r="D272" s="60" t="n"/>
      <c r="E272" s="63" t="n"/>
      <c r="F272" s="60" t="n"/>
      <c r="G272" s="60" t="n"/>
      <c r="H272" s="13">
        <f>IF($C272="","",IFERROR(INDEX('Lists'!$G$6:$G$35,MATCH($C272,'Lists'!$F$6:$F$35,0))&amp;"","Unknown category"))</f>
        <v/>
      </c>
      <c r="I272" s="80">
        <f>IF(AND($B272="",$C272="",$E272=""),"",IF(NOT(ISNUMBER($B272)),"Enter a valid date",IF($C272="","Pick a category",IF(OR($H272="Unknown category",$H272=""),"Category has no cost type",IF(NOT(ISNUMBER($E272)),"Enter an amount","OK")))))</f>
        <v/>
      </c>
    </row>
    <row r="273" ht="17" customHeight="1">
      <c r="B273" s="66" t="n"/>
      <c r="C273" s="60" t="n"/>
      <c r="D273" s="60" t="n"/>
      <c r="E273" s="63" t="n"/>
      <c r="F273" s="60" t="n"/>
      <c r="G273" s="60" t="n"/>
      <c r="H273" s="13">
        <f>IF($C273="","",IFERROR(INDEX('Lists'!$G$6:$G$35,MATCH($C273,'Lists'!$F$6:$F$35,0))&amp;"","Unknown category"))</f>
        <v/>
      </c>
      <c r="I273" s="80">
        <f>IF(AND($B273="",$C273="",$E273=""),"",IF(NOT(ISNUMBER($B273)),"Enter a valid date",IF($C273="","Pick a category",IF(OR($H273="Unknown category",$H273=""),"Category has no cost type",IF(NOT(ISNUMBER($E273)),"Enter an amount","OK")))))</f>
        <v/>
      </c>
    </row>
    <row r="274" ht="17" customHeight="1">
      <c r="B274" s="66" t="n"/>
      <c r="C274" s="60" t="n"/>
      <c r="D274" s="60" t="n"/>
      <c r="E274" s="63" t="n"/>
      <c r="F274" s="60" t="n"/>
      <c r="G274" s="60" t="n"/>
      <c r="H274" s="13">
        <f>IF($C274="","",IFERROR(INDEX('Lists'!$G$6:$G$35,MATCH($C274,'Lists'!$F$6:$F$35,0))&amp;"","Unknown category"))</f>
        <v/>
      </c>
      <c r="I274" s="80">
        <f>IF(AND($B274="",$C274="",$E274=""),"",IF(NOT(ISNUMBER($B274)),"Enter a valid date",IF($C274="","Pick a category",IF(OR($H274="Unknown category",$H274=""),"Category has no cost type",IF(NOT(ISNUMBER($E274)),"Enter an amount","OK")))))</f>
        <v/>
      </c>
    </row>
    <row r="275" ht="17" customHeight="1">
      <c r="B275" s="66" t="n"/>
      <c r="C275" s="60" t="n"/>
      <c r="D275" s="60" t="n"/>
      <c r="E275" s="63" t="n"/>
      <c r="F275" s="60" t="n"/>
      <c r="G275" s="60" t="n"/>
      <c r="H275" s="13">
        <f>IF($C275="","",IFERROR(INDEX('Lists'!$G$6:$G$35,MATCH($C275,'Lists'!$F$6:$F$35,0))&amp;"","Unknown category"))</f>
        <v/>
      </c>
      <c r="I275" s="80">
        <f>IF(AND($B275="",$C275="",$E275=""),"",IF(NOT(ISNUMBER($B275)),"Enter a valid date",IF($C275="","Pick a category",IF(OR($H275="Unknown category",$H275=""),"Category has no cost type",IF(NOT(ISNUMBER($E275)),"Enter an amount","OK")))))</f>
        <v/>
      </c>
    </row>
    <row r="276" ht="17" customHeight="1">
      <c r="B276" s="66" t="n"/>
      <c r="C276" s="60" t="n"/>
      <c r="D276" s="60" t="n"/>
      <c r="E276" s="63" t="n"/>
      <c r="F276" s="60" t="n"/>
      <c r="G276" s="60" t="n"/>
      <c r="H276" s="13">
        <f>IF($C276="","",IFERROR(INDEX('Lists'!$G$6:$G$35,MATCH($C276,'Lists'!$F$6:$F$35,0))&amp;"","Unknown category"))</f>
        <v/>
      </c>
      <c r="I276" s="80">
        <f>IF(AND($B276="",$C276="",$E276=""),"",IF(NOT(ISNUMBER($B276)),"Enter a valid date",IF($C276="","Pick a category",IF(OR($H276="Unknown category",$H276=""),"Category has no cost type",IF(NOT(ISNUMBER($E276)),"Enter an amount","OK")))))</f>
        <v/>
      </c>
    </row>
    <row r="277" ht="17" customHeight="1">
      <c r="B277" s="66" t="n"/>
      <c r="C277" s="60" t="n"/>
      <c r="D277" s="60" t="n"/>
      <c r="E277" s="63" t="n"/>
      <c r="F277" s="60" t="n"/>
      <c r="G277" s="60" t="n"/>
      <c r="H277" s="13">
        <f>IF($C277="","",IFERROR(INDEX('Lists'!$G$6:$G$35,MATCH($C277,'Lists'!$F$6:$F$35,0))&amp;"","Unknown category"))</f>
        <v/>
      </c>
      <c r="I277" s="80">
        <f>IF(AND($B277="",$C277="",$E277=""),"",IF(NOT(ISNUMBER($B277)),"Enter a valid date",IF($C277="","Pick a category",IF(OR($H277="Unknown category",$H277=""),"Category has no cost type",IF(NOT(ISNUMBER($E277)),"Enter an amount","OK")))))</f>
        <v/>
      </c>
    </row>
    <row r="278" ht="17" customHeight="1">
      <c r="B278" s="66" t="n"/>
      <c r="C278" s="60" t="n"/>
      <c r="D278" s="60" t="n"/>
      <c r="E278" s="63" t="n"/>
      <c r="F278" s="60" t="n"/>
      <c r="G278" s="60" t="n"/>
      <c r="H278" s="13">
        <f>IF($C278="","",IFERROR(INDEX('Lists'!$G$6:$G$35,MATCH($C278,'Lists'!$F$6:$F$35,0))&amp;"","Unknown category"))</f>
        <v/>
      </c>
      <c r="I278" s="80">
        <f>IF(AND($B278="",$C278="",$E278=""),"",IF(NOT(ISNUMBER($B278)),"Enter a valid date",IF($C278="","Pick a category",IF(OR($H278="Unknown category",$H278=""),"Category has no cost type",IF(NOT(ISNUMBER($E278)),"Enter an amount","OK")))))</f>
        <v/>
      </c>
    </row>
    <row r="279" ht="17" customHeight="1">
      <c r="B279" s="66" t="n"/>
      <c r="C279" s="60" t="n"/>
      <c r="D279" s="60" t="n"/>
      <c r="E279" s="63" t="n"/>
      <c r="F279" s="60" t="n"/>
      <c r="G279" s="60" t="n"/>
      <c r="H279" s="13">
        <f>IF($C279="","",IFERROR(INDEX('Lists'!$G$6:$G$35,MATCH($C279,'Lists'!$F$6:$F$35,0))&amp;"","Unknown category"))</f>
        <v/>
      </c>
      <c r="I279" s="80">
        <f>IF(AND($B279="",$C279="",$E279=""),"",IF(NOT(ISNUMBER($B279)),"Enter a valid date",IF($C279="","Pick a category",IF(OR($H279="Unknown category",$H279=""),"Category has no cost type",IF(NOT(ISNUMBER($E279)),"Enter an amount","OK")))))</f>
        <v/>
      </c>
    </row>
    <row r="280" ht="17" customHeight="1">
      <c r="B280" s="66" t="n"/>
      <c r="C280" s="60" t="n"/>
      <c r="D280" s="60" t="n"/>
      <c r="E280" s="63" t="n"/>
      <c r="F280" s="60" t="n"/>
      <c r="G280" s="60" t="n"/>
      <c r="H280" s="13">
        <f>IF($C280="","",IFERROR(INDEX('Lists'!$G$6:$G$35,MATCH($C280,'Lists'!$F$6:$F$35,0))&amp;"","Unknown category"))</f>
        <v/>
      </c>
      <c r="I280" s="80">
        <f>IF(AND($B280="",$C280="",$E280=""),"",IF(NOT(ISNUMBER($B280)),"Enter a valid date",IF($C280="","Pick a category",IF(OR($H280="Unknown category",$H280=""),"Category has no cost type",IF(NOT(ISNUMBER($E280)),"Enter an amount","OK")))))</f>
        <v/>
      </c>
    </row>
    <row r="281" ht="17" customHeight="1">
      <c r="B281" s="66" t="n"/>
      <c r="C281" s="60" t="n"/>
      <c r="D281" s="60" t="n"/>
      <c r="E281" s="63" t="n"/>
      <c r="F281" s="60" t="n"/>
      <c r="G281" s="60" t="n"/>
      <c r="H281" s="13">
        <f>IF($C281="","",IFERROR(INDEX('Lists'!$G$6:$G$35,MATCH($C281,'Lists'!$F$6:$F$35,0))&amp;"","Unknown category"))</f>
        <v/>
      </c>
      <c r="I281" s="80">
        <f>IF(AND($B281="",$C281="",$E281=""),"",IF(NOT(ISNUMBER($B281)),"Enter a valid date",IF($C281="","Pick a category",IF(OR($H281="Unknown category",$H281=""),"Category has no cost type",IF(NOT(ISNUMBER($E281)),"Enter an amount","OK")))))</f>
        <v/>
      </c>
    </row>
    <row r="282" ht="17" customHeight="1">
      <c r="B282" s="66" t="n"/>
      <c r="C282" s="60" t="n"/>
      <c r="D282" s="60" t="n"/>
      <c r="E282" s="63" t="n"/>
      <c r="F282" s="60" t="n"/>
      <c r="G282" s="60" t="n"/>
      <c r="H282" s="13">
        <f>IF($C282="","",IFERROR(INDEX('Lists'!$G$6:$G$35,MATCH($C282,'Lists'!$F$6:$F$35,0))&amp;"","Unknown category"))</f>
        <v/>
      </c>
      <c r="I282" s="80">
        <f>IF(AND($B282="",$C282="",$E282=""),"",IF(NOT(ISNUMBER($B282)),"Enter a valid date",IF($C282="","Pick a category",IF(OR($H282="Unknown category",$H282=""),"Category has no cost type",IF(NOT(ISNUMBER($E282)),"Enter an amount","OK")))))</f>
        <v/>
      </c>
    </row>
    <row r="283" ht="17" customHeight="1">
      <c r="B283" s="66" t="n"/>
      <c r="C283" s="60" t="n"/>
      <c r="D283" s="60" t="n"/>
      <c r="E283" s="63" t="n"/>
      <c r="F283" s="60" t="n"/>
      <c r="G283" s="60" t="n"/>
      <c r="H283" s="13">
        <f>IF($C283="","",IFERROR(INDEX('Lists'!$G$6:$G$35,MATCH($C283,'Lists'!$F$6:$F$35,0))&amp;"","Unknown category"))</f>
        <v/>
      </c>
      <c r="I283" s="80">
        <f>IF(AND($B283="",$C283="",$E283=""),"",IF(NOT(ISNUMBER($B283)),"Enter a valid date",IF($C283="","Pick a category",IF(OR($H283="Unknown category",$H283=""),"Category has no cost type",IF(NOT(ISNUMBER($E283)),"Enter an amount","OK")))))</f>
        <v/>
      </c>
    </row>
    <row r="284" ht="17" customHeight="1">
      <c r="B284" s="66" t="n"/>
      <c r="C284" s="60" t="n"/>
      <c r="D284" s="60" t="n"/>
      <c r="E284" s="63" t="n"/>
      <c r="F284" s="60" t="n"/>
      <c r="G284" s="60" t="n"/>
      <c r="H284" s="13">
        <f>IF($C284="","",IFERROR(INDEX('Lists'!$G$6:$G$35,MATCH($C284,'Lists'!$F$6:$F$35,0))&amp;"","Unknown category"))</f>
        <v/>
      </c>
      <c r="I284" s="80">
        <f>IF(AND($B284="",$C284="",$E284=""),"",IF(NOT(ISNUMBER($B284)),"Enter a valid date",IF($C284="","Pick a category",IF(OR($H284="Unknown category",$H284=""),"Category has no cost type",IF(NOT(ISNUMBER($E284)),"Enter an amount","OK")))))</f>
        <v/>
      </c>
    </row>
    <row r="285" ht="17" customHeight="1">
      <c r="B285" s="66" t="n"/>
      <c r="C285" s="60" t="n"/>
      <c r="D285" s="60" t="n"/>
      <c r="E285" s="63" t="n"/>
      <c r="F285" s="60" t="n"/>
      <c r="G285" s="60" t="n"/>
      <c r="H285" s="13">
        <f>IF($C285="","",IFERROR(INDEX('Lists'!$G$6:$G$35,MATCH($C285,'Lists'!$F$6:$F$35,0))&amp;"","Unknown category"))</f>
        <v/>
      </c>
      <c r="I285" s="80">
        <f>IF(AND($B285="",$C285="",$E285=""),"",IF(NOT(ISNUMBER($B285)),"Enter a valid date",IF($C285="","Pick a category",IF(OR($H285="Unknown category",$H285=""),"Category has no cost type",IF(NOT(ISNUMBER($E285)),"Enter an amount","OK")))))</f>
        <v/>
      </c>
    </row>
    <row r="286" ht="17" customHeight="1">
      <c r="B286" s="66" t="n"/>
      <c r="C286" s="60" t="n"/>
      <c r="D286" s="60" t="n"/>
      <c r="E286" s="63" t="n"/>
      <c r="F286" s="60" t="n"/>
      <c r="G286" s="60" t="n"/>
      <c r="H286" s="13">
        <f>IF($C286="","",IFERROR(INDEX('Lists'!$G$6:$G$35,MATCH($C286,'Lists'!$F$6:$F$35,0))&amp;"","Unknown category"))</f>
        <v/>
      </c>
      <c r="I286" s="80">
        <f>IF(AND($B286="",$C286="",$E286=""),"",IF(NOT(ISNUMBER($B286)),"Enter a valid date",IF($C286="","Pick a category",IF(OR($H286="Unknown category",$H286=""),"Category has no cost type",IF(NOT(ISNUMBER($E286)),"Enter an amount","OK")))))</f>
        <v/>
      </c>
    </row>
    <row r="287" ht="17" customHeight="1">
      <c r="B287" s="66" t="n"/>
      <c r="C287" s="60" t="n"/>
      <c r="D287" s="60" t="n"/>
      <c r="E287" s="63" t="n"/>
      <c r="F287" s="60" t="n"/>
      <c r="G287" s="60" t="n"/>
      <c r="H287" s="13">
        <f>IF($C287="","",IFERROR(INDEX('Lists'!$G$6:$G$35,MATCH($C287,'Lists'!$F$6:$F$35,0))&amp;"","Unknown category"))</f>
        <v/>
      </c>
      <c r="I287" s="80">
        <f>IF(AND($B287="",$C287="",$E287=""),"",IF(NOT(ISNUMBER($B287)),"Enter a valid date",IF($C287="","Pick a category",IF(OR($H287="Unknown category",$H287=""),"Category has no cost type",IF(NOT(ISNUMBER($E287)),"Enter an amount","OK")))))</f>
        <v/>
      </c>
    </row>
    <row r="288" ht="17" customHeight="1">
      <c r="B288" s="66" t="n"/>
      <c r="C288" s="60" t="n"/>
      <c r="D288" s="60" t="n"/>
      <c r="E288" s="63" t="n"/>
      <c r="F288" s="60" t="n"/>
      <c r="G288" s="60" t="n"/>
      <c r="H288" s="13">
        <f>IF($C288="","",IFERROR(INDEX('Lists'!$G$6:$G$35,MATCH($C288,'Lists'!$F$6:$F$35,0))&amp;"","Unknown category"))</f>
        <v/>
      </c>
      <c r="I288" s="80">
        <f>IF(AND($B288="",$C288="",$E288=""),"",IF(NOT(ISNUMBER($B288)),"Enter a valid date",IF($C288="","Pick a category",IF(OR($H288="Unknown category",$H288=""),"Category has no cost type",IF(NOT(ISNUMBER($E288)),"Enter an amount","OK")))))</f>
        <v/>
      </c>
    </row>
    <row r="289" ht="17" customHeight="1">
      <c r="B289" s="66" t="n"/>
      <c r="C289" s="60" t="n"/>
      <c r="D289" s="60" t="n"/>
      <c r="E289" s="63" t="n"/>
      <c r="F289" s="60" t="n"/>
      <c r="G289" s="60" t="n"/>
      <c r="H289" s="13">
        <f>IF($C289="","",IFERROR(INDEX('Lists'!$G$6:$G$35,MATCH($C289,'Lists'!$F$6:$F$35,0))&amp;"","Unknown category"))</f>
        <v/>
      </c>
      <c r="I289" s="80">
        <f>IF(AND($B289="",$C289="",$E289=""),"",IF(NOT(ISNUMBER($B289)),"Enter a valid date",IF($C289="","Pick a category",IF(OR($H289="Unknown category",$H289=""),"Category has no cost type",IF(NOT(ISNUMBER($E289)),"Enter an amount","OK")))))</f>
        <v/>
      </c>
    </row>
    <row r="290" ht="17" customHeight="1">
      <c r="B290" s="66" t="n"/>
      <c r="C290" s="60" t="n"/>
      <c r="D290" s="60" t="n"/>
      <c r="E290" s="63" t="n"/>
      <c r="F290" s="60" t="n"/>
      <c r="G290" s="60" t="n"/>
      <c r="H290" s="13">
        <f>IF($C290="","",IFERROR(INDEX('Lists'!$G$6:$G$35,MATCH($C290,'Lists'!$F$6:$F$35,0))&amp;"","Unknown category"))</f>
        <v/>
      </c>
      <c r="I290" s="80">
        <f>IF(AND($B290="",$C290="",$E290=""),"",IF(NOT(ISNUMBER($B290)),"Enter a valid date",IF($C290="","Pick a category",IF(OR($H290="Unknown category",$H290=""),"Category has no cost type",IF(NOT(ISNUMBER($E290)),"Enter an amount","OK")))))</f>
        <v/>
      </c>
    </row>
    <row r="291" ht="17" customHeight="1">
      <c r="B291" s="66" t="n"/>
      <c r="C291" s="60" t="n"/>
      <c r="D291" s="60" t="n"/>
      <c r="E291" s="63" t="n"/>
      <c r="F291" s="60" t="n"/>
      <c r="G291" s="60" t="n"/>
      <c r="H291" s="13">
        <f>IF($C291="","",IFERROR(INDEX('Lists'!$G$6:$G$35,MATCH($C291,'Lists'!$F$6:$F$35,0))&amp;"","Unknown category"))</f>
        <v/>
      </c>
      <c r="I291" s="80">
        <f>IF(AND($B291="",$C291="",$E291=""),"",IF(NOT(ISNUMBER($B291)),"Enter a valid date",IF($C291="","Pick a category",IF(OR($H291="Unknown category",$H291=""),"Category has no cost type",IF(NOT(ISNUMBER($E291)),"Enter an amount","OK")))))</f>
        <v/>
      </c>
    </row>
    <row r="292" ht="17" customHeight="1">
      <c r="B292" s="66" t="n"/>
      <c r="C292" s="60" t="n"/>
      <c r="D292" s="60" t="n"/>
      <c r="E292" s="63" t="n"/>
      <c r="F292" s="60" t="n"/>
      <c r="G292" s="60" t="n"/>
      <c r="H292" s="13">
        <f>IF($C292="","",IFERROR(INDEX('Lists'!$G$6:$G$35,MATCH($C292,'Lists'!$F$6:$F$35,0))&amp;"","Unknown category"))</f>
        <v/>
      </c>
      <c r="I292" s="80">
        <f>IF(AND($B292="",$C292="",$E292=""),"",IF(NOT(ISNUMBER($B292)),"Enter a valid date",IF($C292="","Pick a category",IF(OR($H292="Unknown category",$H292=""),"Category has no cost type",IF(NOT(ISNUMBER($E292)),"Enter an amount","OK")))))</f>
        <v/>
      </c>
    </row>
    <row r="293" ht="17" customHeight="1">
      <c r="B293" s="66" t="n"/>
      <c r="C293" s="60" t="n"/>
      <c r="D293" s="60" t="n"/>
      <c r="E293" s="63" t="n"/>
      <c r="F293" s="60" t="n"/>
      <c r="G293" s="60" t="n"/>
      <c r="H293" s="13">
        <f>IF($C293="","",IFERROR(INDEX('Lists'!$G$6:$G$35,MATCH($C293,'Lists'!$F$6:$F$35,0))&amp;"","Unknown category"))</f>
        <v/>
      </c>
      <c r="I293" s="80">
        <f>IF(AND($B293="",$C293="",$E293=""),"",IF(NOT(ISNUMBER($B293)),"Enter a valid date",IF($C293="","Pick a category",IF(OR($H293="Unknown category",$H293=""),"Category has no cost type",IF(NOT(ISNUMBER($E293)),"Enter an amount","OK")))))</f>
        <v/>
      </c>
    </row>
    <row r="294" ht="17" customHeight="1">
      <c r="B294" s="66" t="n"/>
      <c r="C294" s="60" t="n"/>
      <c r="D294" s="60" t="n"/>
      <c r="E294" s="63" t="n"/>
      <c r="F294" s="60" t="n"/>
      <c r="G294" s="60" t="n"/>
      <c r="H294" s="13">
        <f>IF($C294="","",IFERROR(INDEX('Lists'!$G$6:$G$35,MATCH($C294,'Lists'!$F$6:$F$35,0))&amp;"","Unknown category"))</f>
        <v/>
      </c>
      <c r="I294" s="80">
        <f>IF(AND($B294="",$C294="",$E294=""),"",IF(NOT(ISNUMBER($B294)),"Enter a valid date",IF($C294="","Pick a category",IF(OR($H294="Unknown category",$H294=""),"Category has no cost type",IF(NOT(ISNUMBER($E294)),"Enter an amount","OK")))))</f>
        <v/>
      </c>
    </row>
    <row r="295" ht="17" customHeight="1">
      <c r="B295" s="66" t="n"/>
      <c r="C295" s="60" t="n"/>
      <c r="D295" s="60" t="n"/>
      <c r="E295" s="63" t="n"/>
      <c r="F295" s="60" t="n"/>
      <c r="G295" s="60" t="n"/>
      <c r="H295" s="13">
        <f>IF($C295="","",IFERROR(INDEX('Lists'!$G$6:$G$35,MATCH($C295,'Lists'!$F$6:$F$35,0))&amp;"","Unknown category"))</f>
        <v/>
      </c>
      <c r="I295" s="80">
        <f>IF(AND($B295="",$C295="",$E295=""),"",IF(NOT(ISNUMBER($B295)),"Enter a valid date",IF($C295="","Pick a category",IF(OR($H295="Unknown category",$H295=""),"Category has no cost type",IF(NOT(ISNUMBER($E295)),"Enter an amount","OK")))))</f>
        <v/>
      </c>
    </row>
    <row r="296" ht="17" customHeight="1">
      <c r="B296" s="66" t="n"/>
      <c r="C296" s="60" t="n"/>
      <c r="D296" s="60" t="n"/>
      <c r="E296" s="63" t="n"/>
      <c r="F296" s="60" t="n"/>
      <c r="G296" s="60" t="n"/>
      <c r="H296" s="13">
        <f>IF($C296="","",IFERROR(INDEX('Lists'!$G$6:$G$35,MATCH($C296,'Lists'!$F$6:$F$35,0))&amp;"","Unknown category"))</f>
        <v/>
      </c>
      <c r="I296" s="80">
        <f>IF(AND($B296="",$C296="",$E296=""),"",IF(NOT(ISNUMBER($B296)),"Enter a valid date",IF($C296="","Pick a category",IF(OR($H296="Unknown category",$H296=""),"Category has no cost type",IF(NOT(ISNUMBER($E296)),"Enter an amount","OK")))))</f>
        <v/>
      </c>
    </row>
    <row r="297" ht="17" customHeight="1">
      <c r="B297" s="66" t="n"/>
      <c r="C297" s="60" t="n"/>
      <c r="D297" s="60" t="n"/>
      <c r="E297" s="63" t="n"/>
      <c r="F297" s="60" t="n"/>
      <c r="G297" s="60" t="n"/>
      <c r="H297" s="13">
        <f>IF($C297="","",IFERROR(INDEX('Lists'!$G$6:$G$35,MATCH($C297,'Lists'!$F$6:$F$35,0))&amp;"","Unknown category"))</f>
        <v/>
      </c>
      <c r="I297" s="80">
        <f>IF(AND($B297="",$C297="",$E297=""),"",IF(NOT(ISNUMBER($B297)),"Enter a valid date",IF($C297="","Pick a category",IF(OR($H297="Unknown category",$H297=""),"Category has no cost type",IF(NOT(ISNUMBER($E297)),"Enter an amount","OK")))))</f>
        <v/>
      </c>
    </row>
    <row r="298" ht="17" customHeight="1">
      <c r="B298" s="66" t="n"/>
      <c r="C298" s="60" t="n"/>
      <c r="D298" s="60" t="n"/>
      <c r="E298" s="63" t="n"/>
      <c r="F298" s="60" t="n"/>
      <c r="G298" s="60" t="n"/>
      <c r="H298" s="13">
        <f>IF($C298="","",IFERROR(INDEX('Lists'!$G$6:$G$35,MATCH($C298,'Lists'!$F$6:$F$35,0))&amp;"","Unknown category"))</f>
        <v/>
      </c>
      <c r="I298" s="80">
        <f>IF(AND($B298="",$C298="",$E298=""),"",IF(NOT(ISNUMBER($B298)),"Enter a valid date",IF($C298="","Pick a category",IF(OR($H298="Unknown category",$H298=""),"Category has no cost type",IF(NOT(ISNUMBER($E298)),"Enter an amount","OK")))))</f>
        <v/>
      </c>
    </row>
    <row r="299" ht="17" customHeight="1">
      <c r="B299" s="66" t="n"/>
      <c r="C299" s="60" t="n"/>
      <c r="D299" s="60" t="n"/>
      <c r="E299" s="63" t="n"/>
      <c r="F299" s="60" t="n"/>
      <c r="G299" s="60" t="n"/>
      <c r="H299" s="13">
        <f>IF($C299="","",IFERROR(INDEX('Lists'!$G$6:$G$35,MATCH($C299,'Lists'!$F$6:$F$35,0))&amp;"","Unknown category"))</f>
        <v/>
      </c>
      <c r="I299" s="80">
        <f>IF(AND($B299="",$C299="",$E299=""),"",IF(NOT(ISNUMBER($B299)),"Enter a valid date",IF($C299="","Pick a category",IF(OR($H299="Unknown category",$H299=""),"Category has no cost type",IF(NOT(ISNUMBER($E299)),"Enter an amount","OK")))))</f>
        <v/>
      </c>
    </row>
    <row r="300" ht="17" customHeight="1">
      <c r="B300" s="66" t="n"/>
      <c r="C300" s="60" t="n"/>
      <c r="D300" s="60" t="n"/>
      <c r="E300" s="63" t="n"/>
      <c r="F300" s="60" t="n"/>
      <c r="G300" s="60" t="n"/>
      <c r="H300" s="13">
        <f>IF($C300="","",IFERROR(INDEX('Lists'!$G$6:$G$35,MATCH($C300,'Lists'!$F$6:$F$35,0))&amp;"","Unknown category"))</f>
        <v/>
      </c>
      <c r="I300" s="80">
        <f>IF(AND($B300="",$C300="",$E300=""),"",IF(NOT(ISNUMBER($B300)),"Enter a valid date",IF($C300="","Pick a category",IF(OR($H300="Unknown category",$H300=""),"Category has no cost type",IF(NOT(ISNUMBER($E300)),"Enter an amount","OK")))))</f>
        <v/>
      </c>
    </row>
    <row r="301" ht="17" customHeight="1">
      <c r="B301" s="66" t="n"/>
      <c r="C301" s="60" t="n"/>
      <c r="D301" s="60" t="n"/>
      <c r="E301" s="63" t="n"/>
      <c r="F301" s="60" t="n"/>
      <c r="G301" s="60" t="n"/>
      <c r="H301" s="13">
        <f>IF($C301="","",IFERROR(INDEX('Lists'!$G$6:$G$35,MATCH($C301,'Lists'!$F$6:$F$35,0))&amp;"","Unknown category"))</f>
        <v/>
      </c>
      <c r="I301" s="80">
        <f>IF(AND($B301="",$C301="",$E301=""),"",IF(NOT(ISNUMBER($B301)),"Enter a valid date",IF($C301="","Pick a category",IF(OR($H301="Unknown category",$H301=""),"Category has no cost type",IF(NOT(ISNUMBER($E301)),"Enter an amount","OK")))))</f>
        <v/>
      </c>
    </row>
    <row r="302" ht="17" customHeight="1">
      <c r="B302" s="66" t="n"/>
      <c r="C302" s="60" t="n"/>
      <c r="D302" s="60" t="n"/>
      <c r="E302" s="63" t="n"/>
      <c r="F302" s="60" t="n"/>
      <c r="G302" s="60" t="n"/>
      <c r="H302" s="13">
        <f>IF($C302="","",IFERROR(INDEX('Lists'!$G$6:$G$35,MATCH($C302,'Lists'!$F$6:$F$35,0))&amp;"","Unknown category"))</f>
        <v/>
      </c>
      <c r="I302" s="80">
        <f>IF(AND($B302="",$C302="",$E302=""),"",IF(NOT(ISNUMBER($B302)),"Enter a valid date",IF($C302="","Pick a category",IF(OR($H302="Unknown category",$H302=""),"Category has no cost type",IF(NOT(ISNUMBER($E302)),"Enter an amount","OK")))))</f>
        <v/>
      </c>
    </row>
    <row r="303" ht="17" customHeight="1">
      <c r="B303" s="66" t="n"/>
      <c r="C303" s="60" t="n"/>
      <c r="D303" s="60" t="n"/>
      <c r="E303" s="63" t="n"/>
      <c r="F303" s="60" t="n"/>
      <c r="G303" s="60" t="n"/>
      <c r="H303" s="13">
        <f>IF($C303="","",IFERROR(INDEX('Lists'!$G$6:$G$35,MATCH($C303,'Lists'!$F$6:$F$35,0))&amp;"","Unknown category"))</f>
        <v/>
      </c>
      <c r="I303" s="80">
        <f>IF(AND($B303="",$C303="",$E303=""),"",IF(NOT(ISNUMBER($B303)),"Enter a valid date",IF($C303="","Pick a category",IF(OR($H303="Unknown category",$H303=""),"Category has no cost type",IF(NOT(ISNUMBER($E303)),"Enter an amount","OK")))))</f>
        <v/>
      </c>
    </row>
    <row r="304" ht="17" customHeight="1">
      <c r="B304" s="66" t="n"/>
      <c r="C304" s="60" t="n"/>
      <c r="D304" s="60" t="n"/>
      <c r="E304" s="63" t="n"/>
      <c r="F304" s="60" t="n"/>
      <c r="G304" s="60" t="n"/>
      <c r="H304" s="13">
        <f>IF($C304="","",IFERROR(INDEX('Lists'!$G$6:$G$35,MATCH($C304,'Lists'!$F$6:$F$35,0))&amp;"","Unknown category"))</f>
        <v/>
      </c>
      <c r="I304" s="80">
        <f>IF(AND($B304="",$C304="",$E304=""),"",IF(NOT(ISNUMBER($B304)),"Enter a valid date",IF($C304="","Pick a category",IF(OR($H304="Unknown category",$H304=""),"Category has no cost type",IF(NOT(ISNUMBER($E304)),"Enter an amount","OK")))))</f>
        <v/>
      </c>
    </row>
    <row r="305" ht="17" customHeight="1">
      <c r="B305" s="66" t="n"/>
      <c r="C305" s="60" t="n"/>
      <c r="D305" s="60" t="n"/>
      <c r="E305" s="63" t="n"/>
      <c r="F305" s="60" t="n"/>
      <c r="G305" s="60" t="n"/>
      <c r="H305" s="13">
        <f>IF($C305="","",IFERROR(INDEX('Lists'!$G$6:$G$35,MATCH($C305,'Lists'!$F$6:$F$35,0))&amp;"","Unknown category"))</f>
        <v/>
      </c>
      <c r="I305" s="80">
        <f>IF(AND($B305="",$C305="",$E305=""),"",IF(NOT(ISNUMBER($B305)),"Enter a valid date",IF($C305="","Pick a category",IF(OR($H305="Unknown category",$H305=""),"Category has no cost type",IF(NOT(ISNUMBER($E305)),"Enter an amount","OK")))))</f>
        <v/>
      </c>
    </row>
    <row r="306" ht="17" customHeight="1">
      <c r="B306" s="66" t="n"/>
      <c r="C306" s="60" t="n"/>
      <c r="D306" s="60" t="n"/>
      <c r="E306" s="63" t="n"/>
      <c r="F306" s="60" t="n"/>
      <c r="G306" s="60" t="n"/>
      <c r="H306" s="13">
        <f>IF($C306="","",IFERROR(INDEX('Lists'!$G$6:$G$35,MATCH($C306,'Lists'!$F$6:$F$35,0))&amp;"","Unknown category"))</f>
        <v/>
      </c>
      <c r="I306" s="80">
        <f>IF(AND($B306="",$C306="",$E306=""),"",IF(NOT(ISNUMBER($B306)),"Enter a valid date",IF($C306="","Pick a category",IF(OR($H306="Unknown category",$H306=""),"Category has no cost type",IF(NOT(ISNUMBER($E306)),"Enter an amount","OK")))))</f>
        <v/>
      </c>
    </row>
    <row r="307" ht="17" customHeight="1">
      <c r="B307" s="66" t="n"/>
      <c r="C307" s="60" t="n"/>
      <c r="D307" s="60" t="n"/>
      <c r="E307" s="63" t="n"/>
      <c r="F307" s="60" t="n"/>
      <c r="G307" s="60" t="n"/>
      <c r="H307" s="13">
        <f>IF($C307="","",IFERROR(INDEX('Lists'!$G$6:$G$35,MATCH($C307,'Lists'!$F$6:$F$35,0))&amp;"","Unknown category"))</f>
        <v/>
      </c>
      <c r="I307" s="80">
        <f>IF(AND($B307="",$C307="",$E307=""),"",IF(NOT(ISNUMBER($B307)),"Enter a valid date",IF($C307="","Pick a category",IF(OR($H307="Unknown category",$H307=""),"Category has no cost type",IF(NOT(ISNUMBER($E307)),"Enter an amount","OK")))))</f>
        <v/>
      </c>
    </row>
    <row r="308" ht="17" customHeight="1">
      <c r="B308" s="66" t="n"/>
      <c r="C308" s="60" t="n"/>
      <c r="D308" s="60" t="n"/>
      <c r="E308" s="63" t="n"/>
      <c r="F308" s="60" t="n"/>
      <c r="G308" s="60" t="n"/>
      <c r="H308" s="13">
        <f>IF($C308="","",IFERROR(INDEX('Lists'!$G$6:$G$35,MATCH($C308,'Lists'!$F$6:$F$35,0))&amp;"","Unknown category"))</f>
        <v/>
      </c>
      <c r="I308" s="80">
        <f>IF(AND($B308="",$C308="",$E308=""),"",IF(NOT(ISNUMBER($B308)),"Enter a valid date",IF($C308="","Pick a category",IF(OR($H308="Unknown category",$H308=""),"Category has no cost type",IF(NOT(ISNUMBER($E308)),"Enter an amount","OK")))))</f>
        <v/>
      </c>
    </row>
    <row r="309" ht="17" customHeight="1">
      <c r="B309" s="66" t="n"/>
      <c r="C309" s="60" t="n"/>
      <c r="D309" s="60" t="n"/>
      <c r="E309" s="63" t="n"/>
      <c r="F309" s="60" t="n"/>
      <c r="G309" s="60" t="n"/>
      <c r="H309" s="13">
        <f>IF($C309="","",IFERROR(INDEX('Lists'!$G$6:$G$35,MATCH($C309,'Lists'!$F$6:$F$35,0))&amp;"","Unknown category"))</f>
        <v/>
      </c>
      <c r="I309" s="80">
        <f>IF(AND($B309="",$C309="",$E309=""),"",IF(NOT(ISNUMBER($B309)),"Enter a valid date",IF($C309="","Pick a category",IF(OR($H309="Unknown category",$H309=""),"Category has no cost type",IF(NOT(ISNUMBER($E309)),"Enter an amount","OK")))))</f>
        <v/>
      </c>
    </row>
    <row r="310" ht="17" customHeight="1">
      <c r="B310" s="66" t="n"/>
      <c r="C310" s="60" t="n"/>
      <c r="D310" s="60" t="n"/>
      <c r="E310" s="63" t="n"/>
      <c r="F310" s="60" t="n"/>
      <c r="G310" s="60" t="n"/>
      <c r="H310" s="13">
        <f>IF($C310="","",IFERROR(INDEX('Lists'!$G$6:$G$35,MATCH($C310,'Lists'!$F$6:$F$35,0))&amp;"","Unknown category"))</f>
        <v/>
      </c>
      <c r="I310" s="80">
        <f>IF(AND($B310="",$C310="",$E310=""),"",IF(NOT(ISNUMBER($B310)),"Enter a valid date",IF($C310="","Pick a category",IF(OR($H310="Unknown category",$H310=""),"Category has no cost type",IF(NOT(ISNUMBER($E310)),"Enter an amount","OK")))))</f>
        <v/>
      </c>
    </row>
    <row r="311" ht="17" customHeight="1">
      <c r="B311" s="66" t="n"/>
      <c r="C311" s="60" t="n"/>
      <c r="D311" s="60" t="n"/>
      <c r="E311" s="63" t="n"/>
      <c r="F311" s="60" t="n"/>
      <c r="G311" s="60" t="n"/>
      <c r="H311" s="13">
        <f>IF($C311="","",IFERROR(INDEX('Lists'!$G$6:$G$35,MATCH($C311,'Lists'!$F$6:$F$35,0))&amp;"","Unknown category"))</f>
        <v/>
      </c>
      <c r="I311" s="80">
        <f>IF(AND($B311="",$C311="",$E311=""),"",IF(NOT(ISNUMBER($B311)),"Enter a valid date",IF($C311="","Pick a category",IF(OR($H311="Unknown category",$H311=""),"Category has no cost type",IF(NOT(ISNUMBER($E311)),"Enter an amount","OK")))))</f>
        <v/>
      </c>
    </row>
    <row r="312" ht="17" customHeight="1">
      <c r="B312" s="66" t="n"/>
      <c r="C312" s="60" t="n"/>
      <c r="D312" s="60" t="n"/>
      <c r="E312" s="63" t="n"/>
      <c r="F312" s="60" t="n"/>
      <c r="G312" s="60" t="n"/>
      <c r="H312" s="13">
        <f>IF($C312="","",IFERROR(INDEX('Lists'!$G$6:$G$35,MATCH($C312,'Lists'!$F$6:$F$35,0))&amp;"","Unknown category"))</f>
        <v/>
      </c>
      <c r="I312" s="80">
        <f>IF(AND($B312="",$C312="",$E312=""),"",IF(NOT(ISNUMBER($B312)),"Enter a valid date",IF($C312="","Pick a category",IF(OR($H312="Unknown category",$H312=""),"Category has no cost type",IF(NOT(ISNUMBER($E312)),"Enter an amount","OK")))))</f>
        <v/>
      </c>
    </row>
    <row r="313" ht="17" customHeight="1">
      <c r="B313" s="66" t="n"/>
      <c r="C313" s="60" t="n"/>
      <c r="D313" s="60" t="n"/>
      <c r="E313" s="63" t="n"/>
      <c r="F313" s="60" t="n"/>
      <c r="G313" s="60" t="n"/>
      <c r="H313" s="13">
        <f>IF($C313="","",IFERROR(INDEX('Lists'!$G$6:$G$35,MATCH($C313,'Lists'!$F$6:$F$35,0))&amp;"","Unknown category"))</f>
        <v/>
      </c>
      <c r="I313" s="80">
        <f>IF(AND($B313="",$C313="",$E313=""),"",IF(NOT(ISNUMBER($B313)),"Enter a valid date",IF($C313="","Pick a category",IF(OR($H313="Unknown category",$H313=""),"Category has no cost type",IF(NOT(ISNUMBER($E313)),"Enter an amount","OK")))))</f>
        <v/>
      </c>
    </row>
    <row r="314" ht="17" customHeight="1">
      <c r="B314" s="66" t="n"/>
      <c r="C314" s="60" t="n"/>
      <c r="D314" s="60" t="n"/>
      <c r="E314" s="63" t="n"/>
      <c r="F314" s="60" t="n"/>
      <c r="G314" s="60" t="n"/>
      <c r="H314" s="13">
        <f>IF($C314="","",IFERROR(INDEX('Lists'!$G$6:$G$35,MATCH($C314,'Lists'!$F$6:$F$35,0))&amp;"","Unknown category"))</f>
        <v/>
      </c>
      <c r="I314" s="80">
        <f>IF(AND($B314="",$C314="",$E314=""),"",IF(NOT(ISNUMBER($B314)),"Enter a valid date",IF($C314="","Pick a category",IF(OR($H314="Unknown category",$H314=""),"Category has no cost type",IF(NOT(ISNUMBER($E314)),"Enter an amount","OK")))))</f>
        <v/>
      </c>
    </row>
    <row r="315" ht="17" customHeight="1">
      <c r="B315" s="66" t="n"/>
      <c r="C315" s="60" t="n"/>
      <c r="D315" s="60" t="n"/>
      <c r="E315" s="63" t="n"/>
      <c r="F315" s="60" t="n"/>
      <c r="G315" s="60" t="n"/>
      <c r="H315" s="13">
        <f>IF($C315="","",IFERROR(INDEX('Lists'!$G$6:$G$35,MATCH($C315,'Lists'!$F$6:$F$35,0))&amp;"","Unknown category"))</f>
        <v/>
      </c>
      <c r="I315" s="80">
        <f>IF(AND($B315="",$C315="",$E315=""),"",IF(NOT(ISNUMBER($B315)),"Enter a valid date",IF($C315="","Pick a category",IF(OR($H315="Unknown category",$H315=""),"Category has no cost type",IF(NOT(ISNUMBER($E315)),"Enter an amount","OK")))))</f>
        <v/>
      </c>
    </row>
    <row r="316" ht="17" customHeight="1">
      <c r="B316" s="66" t="n"/>
      <c r="C316" s="60" t="n"/>
      <c r="D316" s="60" t="n"/>
      <c r="E316" s="63" t="n"/>
      <c r="F316" s="60" t="n"/>
      <c r="G316" s="60" t="n"/>
      <c r="H316" s="13">
        <f>IF($C316="","",IFERROR(INDEX('Lists'!$G$6:$G$35,MATCH($C316,'Lists'!$F$6:$F$35,0))&amp;"","Unknown category"))</f>
        <v/>
      </c>
      <c r="I316" s="80">
        <f>IF(AND($B316="",$C316="",$E316=""),"",IF(NOT(ISNUMBER($B316)),"Enter a valid date",IF($C316="","Pick a category",IF(OR($H316="Unknown category",$H316=""),"Category has no cost type",IF(NOT(ISNUMBER($E316)),"Enter an amount","OK")))))</f>
        <v/>
      </c>
    </row>
    <row r="317" ht="17" customHeight="1">
      <c r="B317" s="66" t="n"/>
      <c r="C317" s="60" t="n"/>
      <c r="D317" s="60" t="n"/>
      <c r="E317" s="63" t="n"/>
      <c r="F317" s="60" t="n"/>
      <c r="G317" s="60" t="n"/>
      <c r="H317" s="13">
        <f>IF($C317="","",IFERROR(INDEX('Lists'!$G$6:$G$35,MATCH($C317,'Lists'!$F$6:$F$35,0))&amp;"","Unknown category"))</f>
        <v/>
      </c>
      <c r="I317" s="80">
        <f>IF(AND($B317="",$C317="",$E317=""),"",IF(NOT(ISNUMBER($B317)),"Enter a valid date",IF($C317="","Pick a category",IF(OR($H317="Unknown category",$H317=""),"Category has no cost type",IF(NOT(ISNUMBER($E317)),"Enter an amount","OK")))))</f>
        <v/>
      </c>
    </row>
    <row r="318" ht="17" customHeight="1">
      <c r="B318" s="66" t="n"/>
      <c r="C318" s="60" t="n"/>
      <c r="D318" s="60" t="n"/>
      <c r="E318" s="63" t="n"/>
      <c r="F318" s="60" t="n"/>
      <c r="G318" s="60" t="n"/>
      <c r="H318" s="13">
        <f>IF($C318="","",IFERROR(INDEX('Lists'!$G$6:$G$35,MATCH($C318,'Lists'!$F$6:$F$35,0))&amp;"","Unknown category"))</f>
        <v/>
      </c>
      <c r="I318" s="80">
        <f>IF(AND($B318="",$C318="",$E318=""),"",IF(NOT(ISNUMBER($B318)),"Enter a valid date",IF($C318="","Pick a category",IF(OR($H318="Unknown category",$H318=""),"Category has no cost type",IF(NOT(ISNUMBER($E318)),"Enter an amount","OK")))))</f>
        <v/>
      </c>
    </row>
    <row r="319" ht="17" customHeight="1">
      <c r="B319" s="66" t="n"/>
      <c r="C319" s="60" t="n"/>
      <c r="D319" s="60" t="n"/>
      <c r="E319" s="63" t="n"/>
      <c r="F319" s="60" t="n"/>
      <c r="G319" s="60" t="n"/>
      <c r="H319" s="13">
        <f>IF($C319="","",IFERROR(INDEX('Lists'!$G$6:$G$35,MATCH($C319,'Lists'!$F$6:$F$35,0))&amp;"","Unknown category"))</f>
        <v/>
      </c>
      <c r="I319" s="80">
        <f>IF(AND($B319="",$C319="",$E319=""),"",IF(NOT(ISNUMBER($B319)),"Enter a valid date",IF($C319="","Pick a category",IF(OR($H319="Unknown category",$H319=""),"Category has no cost type",IF(NOT(ISNUMBER($E319)),"Enter an amount","OK")))))</f>
        <v/>
      </c>
    </row>
    <row r="320" ht="17" customHeight="1">
      <c r="B320" s="66" t="n"/>
      <c r="C320" s="60" t="n"/>
      <c r="D320" s="60" t="n"/>
      <c r="E320" s="63" t="n"/>
      <c r="F320" s="60" t="n"/>
      <c r="G320" s="60" t="n"/>
      <c r="H320" s="13">
        <f>IF($C320="","",IFERROR(INDEX('Lists'!$G$6:$G$35,MATCH($C320,'Lists'!$F$6:$F$35,0))&amp;"","Unknown category"))</f>
        <v/>
      </c>
      <c r="I320" s="80">
        <f>IF(AND($B320="",$C320="",$E320=""),"",IF(NOT(ISNUMBER($B320)),"Enter a valid date",IF($C320="","Pick a category",IF(OR($H320="Unknown category",$H320=""),"Category has no cost type",IF(NOT(ISNUMBER($E320)),"Enter an amount","OK")))))</f>
        <v/>
      </c>
    </row>
    <row r="321" ht="17" customHeight="1">
      <c r="B321" s="66" t="n"/>
      <c r="C321" s="60" t="n"/>
      <c r="D321" s="60" t="n"/>
      <c r="E321" s="63" t="n"/>
      <c r="F321" s="60" t="n"/>
      <c r="G321" s="60" t="n"/>
      <c r="H321" s="13">
        <f>IF($C321="","",IFERROR(INDEX('Lists'!$G$6:$G$35,MATCH($C321,'Lists'!$F$6:$F$35,0))&amp;"","Unknown category"))</f>
        <v/>
      </c>
      <c r="I321" s="80">
        <f>IF(AND($B321="",$C321="",$E321=""),"",IF(NOT(ISNUMBER($B321)),"Enter a valid date",IF($C321="","Pick a category",IF(OR($H321="Unknown category",$H321=""),"Category has no cost type",IF(NOT(ISNUMBER($E321)),"Enter an amount","OK")))))</f>
        <v/>
      </c>
    </row>
    <row r="322" ht="17" customHeight="1">
      <c r="B322" s="66" t="n"/>
      <c r="C322" s="60" t="n"/>
      <c r="D322" s="60" t="n"/>
      <c r="E322" s="63" t="n"/>
      <c r="F322" s="60" t="n"/>
      <c r="G322" s="60" t="n"/>
      <c r="H322" s="13">
        <f>IF($C322="","",IFERROR(INDEX('Lists'!$G$6:$G$35,MATCH($C322,'Lists'!$F$6:$F$35,0))&amp;"","Unknown category"))</f>
        <v/>
      </c>
      <c r="I322" s="80">
        <f>IF(AND($B322="",$C322="",$E322=""),"",IF(NOT(ISNUMBER($B322)),"Enter a valid date",IF($C322="","Pick a category",IF(OR($H322="Unknown category",$H322=""),"Category has no cost type",IF(NOT(ISNUMBER($E322)),"Enter an amount","OK")))))</f>
        <v/>
      </c>
    </row>
    <row r="323" ht="17" customHeight="1">
      <c r="B323" s="66" t="n"/>
      <c r="C323" s="60" t="n"/>
      <c r="D323" s="60" t="n"/>
      <c r="E323" s="63" t="n"/>
      <c r="F323" s="60" t="n"/>
      <c r="G323" s="60" t="n"/>
      <c r="H323" s="13">
        <f>IF($C323="","",IFERROR(INDEX('Lists'!$G$6:$G$35,MATCH($C323,'Lists'!$F$6:$F$35,0))&amp;"","Unknown category"))</f>
        <v/>
      </c>
      <c r="I323" s="80">
        <f>IF(AND($B323="",$C323="",$E323=""),"",IF(NOT(ISNUMBER($B323)),"Enter a valid date",IF($C323="","Pick a category",IF(OR($H323="Unknown category",$H323=""),"Category has no cost type",IF(NOT(ISNUMBER($E323)),"Enter an amount","OK")))))</f>
        <v/>
      </c>
    </row>
    <row r="324" ht="17" customHeight="1">
      <c r="B324" s="66" t="n"/>
      <c r="C324" s="60" t="n"/>
      <c r="D324" s="60" t="n"/>
      <c r="E324" s="63" t="n"/>
      <c r="F324" s="60" t="n"/>
      <c r="G324" s="60" t="n"/>
      <c r="H324" s="13">
        <f>IF($C324="","",IFERROR(INDEX('Lists'!$G$6:$G$35,MATCH($C324,'Lists'!$F$6:$F$35,0))&amp;"","Unknown category"))</f>
        <v/>
      </c>
      <c r="I324" s="80">
        <f>IF(AND($B324="",$C324="",$E324=""),"",IF(NOT(ISNUMBER($B324)),"Enter a valid date",IF($C324="","Pick a category",IF(OR($H324="Unknown category",$H324=""),"Category has no cost type",IF(NOT(ISNUMBER($E324)),"Enter an amount","OK")))))</f>
        <v/>
      </c>
    </row>
    <row r="325" ht="17" customHeight="1">
      <c r="B325" s="66" t="n"/>
      <c r="C325" s="60" t="n"/>
      <c r="D325" s="60" t="n"/>
      <c r="E325" s="63" t="n"/>
      <c r="F325" s="60" t="n"/>
      <c r="G325" s="60" t="n"/>
      <c r="H325" s="13">
        <f>IF($C325="","",IFERROR(INDEX('Lists'!$G$6:$G$35,MATCH($C325,'Lists'!$F$6:$F$35,0))&amp;"","Unknown category"))</f>
        <v/>
      </c>
      <c r="I325" s="80">
        <f>IF(AND($B325="",$C325="",$E325=""),"",IF(NOT(ISNUMBER($B325)),"Enter a valid date",IF($C325="","Pick a category",IF(OR($H325="Unknown category",$H325=""),"Category has no cost type",IF(NOT(ISNUMBER($E325)),"Enter an amount","OK")))))</f>
        <v/>
      </c>
    </row>
    <row r="326" ht="17" customHeight="1">
      <c r="B326" s="66" t="n"/>
      <c r="C326" s="60" t="n"/>
      <c r="D326" s="60" t="n"/>
      <c r="E326" s="63" t="n"/>
      <c r="F326" s="60" t="n"/>
      <c r="G326" s="60" t="n"/>
      <c r="H326" s="13">
        <f>IF($C326="","",IFERROR(INDEX('Lists'!$G$6:$G$35,MATCH($C326,'Lists'!$F$6:$F$35,0))&amp;"","Unknown category"))</f>
        <v/>
      </c>
      <c r="I326" s="80">
        <f>IF(AND($B326="",$C326="",$E326=""),"",IF(NOT(ISNUMBER($B326)),"Enter a valid date",IF($C326="","Pick a category",IF(OR($H326="Unknown category",$H326=""),"Category has no cost type",IF(NOT(ISNUMBER($E326)),"Enter an amount","OK")))))</f>
        <v/>
      </c>
    </row>
    <row r="327" ht="17" customHeight="1">
      <c r="B327" s="66" t="n"/>
      <c r="C327" s="60" t="n"/>
      <c r="D327" s="60" t="n"/>
      <c r="E327" s="63" t="n"/>
      <c r="F327" s="60" t="n"/>
      <c r="G327" s="60" t="n"/>
      <c r="H327" s="13">
        <f>IF($C327="","",IFERROR(INDEX('Lists'!$G$6:$G$35,MATCH($C327,'Lists'!$F$6:$F$35,0))&amp;"","Unknown category"))</f>
        <v/>
      </c>
      <c r="I327" s="80">
        <f>IF(AND($B327="",$C327="",$E327=""),"",IF(NOT(ISNUMBER($B327)),"Enter a valid date",IF($C327="","Pick a category",IF(OR($H327="Unknown category",$H327=""),"Category has no cost type",IF(NOT(ISNUMBER($E327)),"Enter an amount","OK")))))</f>
        <v/>
      </c>
    </row>
    <row r="328" ht="17" customHeight="1">
      <c r="B328" s="66" t="n"/>
      <c r="C328" s="60" t="n"/>
      <c r="D328" s="60" t="n"/>
      <c r="E328" s="63" t="n"/>
      <c r="F328" s="60" t="n"/>
      <c r="G328" s="60" t="n"/>
      <c r="H328" s="13">
        <f>IF($C328="","",IFERROR(INDEX('Lists'!$G$6:$G$35,MATCH($C328,'Lists'!$F$6:$F$35,0))&amp;"","Unknown category"))</f>
        <v/>
      </c>
      <c r="I328" s="80">
        <f>IF(AND($B328="",$C328="",$E328=""),"",IF(NOT(ISNUMBER($B328)),"Enter a valid date",IF($C328="","Pick a category",IF(OR($H328="Unknown category",$H328=""),"Category has no cost type",IF(NOT(ISNUMBER($E328)),"Enter an amount","OK")))))</f>
        <v/>
      </c>
    </row>
    <row r="329" ht="17" customHeight="1">
      <c r="B329" s="66" t="n"/>
      <c r="C329" s="60" t="n"/>
      <c r="D329" s="60" t="n"/>
      <c r="E329" s="63" t="n"/>
      <c r="F329" s="60" t="n"/>
      <c r="G329" s="60" t="n"/>
      <c r="H329" s="13">
        <f>IF($C329="","",IFERROR(INDEX('Lists'!$G$6:$G$35,MATCH($C329,'Lists'!$F$6:$F$35,0))&amp;"","Unknown category"))</f>
        <v/>
      </c>
      <c r="I329" s="80">
        <f>IF(AND($B329="",$C329="",$E329=""),"",IF(NOT(ISNUMBER($B329)),"Enter a valid date",IF($C329="","Pick a category",IF(OR($H329="Unknown category",$H329=""),"Category has no cost type",IF(NOT(ISNUMBER($E329)),"Enter an amount","OK")))))</f>
        <v/>
      </c>
    </row>
    <row r="330" ht="17" customHeight="1">
      <c r="B330" s="66" t="n"/>
      <c r="C330" s="60" t="n"/>
      <c r="D330" s="60" t="n"/>
      <c r="E330" s="63" t="n"/>
      <c r="F330" s="60" t="n"/>
      <c r="G330" s="60" t="n"/>
      <c r="H330" s="13">
        <f>IF($C330="","",IFERROR(INDEX('Lists'!$G$6:$G$35,MATCH($C330,'Lists'!$F$6:$F$35,0))&amp;"","Unknown category"))</f>
        <v/>
      </c>
      <c r="I330" s="80">
        <f>IF(AND($B330="",$C330="",$E330=""),"",IF(NOT(ISNUMBER($B330)),"Enter a valid date",IF($C330="","Pick a category",IF(OR($H330="Unknown category",$H330=""),"Category has no cost type",IF(NOT(ISNUMBER($E330)),"Enter an amount","OK")))))</f>
        <v/>
      </c>
    </row>
    <row r="331" ht="17" customHeight="1">
      <c r="B331" s="66" t="n"/>
      <c r="C331" s="60" t="n"/>
      <c r="D331" s="60" t="n"/>
      <c r="E331" s="63" t="n"/>
      <c r="F331" s="60" t="n"/>
      <c r="G331" s="60" t="n"/>
      <c r="H331" s="13">
        <f>IF($C331="","",IFERROR(INDEX('Lists'!$G$6:$G$35,MATCH($C331,'Lists'!$F$6:$F$35,0))&amp;"","Unknown category"))</f>
        <v/>
      </c>
      <c r="I331" s="80">
        <f>IF(AND($B331="",$C331="",$E331=""),"",IF(NOT(ISNUMBER($B331)),"Enter a valid date",IF($C331="","Pick a category",IF(OR($H331="Unknown category",$H331=""),"Category has no cost type",IF(NOT(ISNUMBER($E331)),"Enter an amount","OK")))))</f>
        <v/>
      </c>
    </row>
    <row r="332" ht="17" customHeight="1">
      <c r="B332" s="66" t="n"/>
      <c r="C332" s="60" t="n"/>
      <c r="D332" s="60" t="n"/>
      <c r="E332" s="63" t="n"/>
      <c r="F332" s="60" t="n"/>
      <c r="G332" s="60" t="n"/>
      <c r="H332" s="13">
        <f>IF($C332="","",IFERROR(INDEX('Lists'!$G$6:$G$35,MATCH($C332,'Lists'!$F$6:$F$35,0))&amp;"","Unknown category"))</f>
        <v/>
      </c>
      <c r="I332" s="80">
        <f>IF(AND($B332="",$C332="",$E332=""),"",IF(NOT(ISNUMBER($B332)),"Enter a valid date",IF($C332="","Pick a category",IF(OR($H332="Unknown category",$H332=""),"Category has no cost type",IF(NOT(ISNUMBER($E332)),"Enter an amount","OK")))))</f>
        <v/>
      </c>
    </row>
    <row r="333" ht="17" customHeight="1">
      <c r="B333" s="66" t="n"/>
      <c r="C333" s="60" t="n"/>
      <c r="D333" s="60" t="n"/>
      <c r="E333" s="63" t="n"/>
      <c r="F333" s="60" t="n"/>
      <c r="G333" s="60" t="n"/>
      <c r="H333" s="13">
        <f>IF($C333="","",IFERROR(INDEX('Lists'!$G$6:$G$35,MATCH($C333,'Lists'!$F$6:$F$35,0))&amp;"","Unknown category"))</f>
        <v/>
      </c>
      <c r="I333" s="80">
        <f>IF(AND($B333="",$C333="",$E333=""),"",IF(NOT(ISNUMBER($B333)),"Enter a valid date",IF($C333="","Pick a category",IF(OR($H333="Unknown category",$H333=""),"Category has no cost type",IF(NOT(ISNUMBER($E333)),"Enter an amount","OK")))))</f>
        <v/>
      </c>
    </row>
    <row r="334" ht="17" customHeight="1">
      <c r="B334" s="66" t="n"/>
      <c r="C334" s="60" t="n"/>
      <c r="D334" s="60" t="n"/>
      <c r="E334" s="63" t="n"/>
      <c r="F334" s="60" t="n"/>
      <c r="G334" s="60" t="n"/>
      <c r="H334" s="13">
        <f>IF($C334="","",IFERROR(INDEX('Lists'!$G$6:$G$35,MATCH($C334,'Lists'!$F$6:$F$35,0))&amp;"","Unknown category"))</f>
        <v/>
      </c>
      <c r="I334" s="80">
        <f>IF(AND($B334="",$C334="",$E334=""),"",IF(NOT(ISNUMBER($B334)),"Enter a valid date",IF($C334="","Pick a category",IF(OR($H334="Unknown category",$H334=""),"Category has no cost type",IF(NOT(ISNUMBER($E334)),"Enter an amount","OK")))))</f>
        <v/>
      </c>
    </row>
    <row r="335" ht="17" customHeight="1">
      <c r="B335" s="66" t="n"/>
      <c r="C335" s="60" t="n"/>
      <c r="D335" s="60" t="n"/>
      <c r="E335" s="63" t="n"/>
      <c r="F335" s="60" t="n"/>
      <c r="G335" s="60" t="n"/>
      <c r="H335" s="13">
        <f>IF($C335="","",IFERROR(INDEX('Lists'!$G$6:$G$35,MATCH($C335,'Lists'!$F$6:$F$35,0))&amp;"","Unknown category"))</f>
        <v/>
      </c>
      <c r="I335" s="80">
        <f>IF(AND($B335="",$C335="",$E335=""),"",IF(NOT(ISNUMBER($B335)),"Enter a valid date",IF($C335="","Pick a category",IF(OR($H335="Unknown category",$H335=""),"Category has no cost type",IF(NOT(ISNUMBER($E335)),"Enter an amount","OK")))))</f>
        <v/>
      </c>
    </row>
    <row r="336" ht="17" customHeight="1">
      <c r="B336" s="66" t="n"/>
      <c r="C336" s="60" t="n"/>
      <c r="D336" s="60" t="n"/>
      <c r="E336" s="63" t="n"/>
      <c r="F336" s="60" t="n"/>
      <c r="G336" s="60" t="n"/>
      <c r="H336" s="13">
        <f>IF($C336="","",IFERROR(INDEX('Lists'!$G$6:$G$35,MATCH($C336,'Lists'!$F$6:$F$35,0))&amp;"","Unknown category"))</f>
        <v/>
      </c>
      <c r="I336" s="80">
        <f>IF(AND($B336="",$C336="",$E336=""),"",IF(NOT(ISNUMBER($B336)),"Enter a valid date",IF($C336="","Pick a category",IF(OR($H336="Unknown category",$H336=""),"Category has no cost type",IF(NOT(ISNUMBER($E336)),"Enter an amount","OK")))))</f>
        <v/>
      </c>
    </row>
    <row r="337" ht="17" customHeight="1">
      <c r="B337" s="66" t="n"/>
      <c r="C337" s="60" t="n"/>
      <c r="D337" s="60" t="n"/>
      <c r="E337" s="63" t="n"/>
      <c r="F337" s="60" t="n"/>
      <c r="G337" s="60" t="n"/>
      <c r="H337" s="13">
        <f>IF($C337="","",IFERROR(INDEX('Lists'!$G$6:$G$35,MATCH($C337,'Lists'!$F$6:$F$35,0))&amp;"","Unknown category"))</f>
        <v/>
      </c>
      <c r="I337" s="80">
        <f>IF(AND($B337="",$C337="",$E337=""),"",IF(NOT(ISNUMBER($B337)),"Enter a valid date",IF($C337="","Pick a category",IF(OR($H337="Unknown category",$H337=""),"Category has no cost type",IF(NOT(ISNUMBER($E337)),"Enter an amount","OK")))))</f>
        <v/>
      </c>
    </row>
    <row r="338" ht="17" customHeight="1">
      <c r="B338" s="66" t="n"/>
      <c r="C338" s="60" t="n"/>
      <c r="D338" s="60" t="n"/>
      <c r="E338" s="63" t="n"/>
      <c r="F338" s="60" t="n"/>
      <c r="G338" s="60" t="n"/>
      <c r="H338" s="13">
        <f>IF($C338="","",IFERROR(INDEX('Lists'!$G$6:$G$35,MATCH($C338,'Lists'!$F$6:$F$35,0))&amp;"","Unknown category"))</f>
        <v/>
      </c>
      <c r="I338" s="80">
        <f>IF(AND($B338="",$C338="",$E338=""),"",IF(NOT(ISNUMBER($B338)),"Enter a valid date",IF($C338="","Pick a category",IF(OR($H338="Unknown category",$H338=""),"Category has no cost type",IF(NOT(ISNUMBER($E338)),"Enter an amount","OK")))))</f>
        <v/>
      </c>
    </row>
    <row r="339" ht="17" customHeight="1">
      <c r="B339" s="66" t="n"/>
      <c r="C339" s="60" t="n"/>
      <c r="D339" s="60" t="n"/>
      <c r="E339" s="63" t="n"/>
      <c r="F339" s="60" t="n"/>
      <c r="G339" s="60" t="n"/>
      <c r="H339" s="13">
        <f>IF($C339="","",IFERROR(INDEX('Lists'!$G$6:$G$35,MATCH($C339,'Lists'!$F$6:$F$35,0))&amp;"","Unknown category"))</f>
        <v/>
      </c>
      <c r="I339" s="80">
        <f>IF(AND($B339="",$C339="",$E339=""),"",IF(NOT(ISNUMBER($B339)),"Enter a valid date",IF($C339="","Pick a category",IF(OR($H339="Unknown category",$H339=""),"Category has no cost type",IF(NOT(ISNUMBER($E339)),"Enter an amount","OK")))))</f>
        <v/>
      </c>
    </row>
    <row r="340" ht="17" customHeight="1">
      <c r="B340" s="66" t="n"/>
      <c r="C340" s="60" t="n"/>
      <c r="D340" s="60" t="n"/>
      <c r="E340" s="63" t="n"/>
      <c r="F340" s="60" t="n"/>
      <c r="G340" s="60" t="n"/>
      <c r="H340" s="13">
        <f>IF($C340="","",IFERROR(INDEX('Lists'!$G$6:$G$35,MATCH($C340,'Lists'!$F$6:$F$35,0))&amp;"","Unknown category"))</f>
        <v/>
      </c>
      <c r="I340" s="80">
        <f>IF(AND($B340="",$C340="",$E340=""),"",IF(NOT(ISNUMBER($B340)),"Enter a valid date",IF($C340="","Pick a category",IF(OR($H340="Unknown category",$H340=""),"Category has no cost type",IF(NOT(ISNUMBER($E340)),"Enter an amount","OK")))))</f>
        <v/>
      </c>
    </row>
    <row r="341" ht="17" customHeight="1">
      <c r="B341" s="66" t="n"/>
      <c r="C341" s="60" t="n"/>
      <c r="D341" s="60" t="n"/>
      <c r="E341" s="63" t="n"/>
      <c r="F341" s="60" t="n"/>
      <c r="G341" s="60" t="n"/>
      <c r="H341" s="13">
        <f>IF($C341="","",IFERROR(INDEX('Lists'!$G$6:$G$35,MATCH($C341,'Lists'!$F$6:$F$35,0))&amp;"","Unknown category"))</f>
        <v/>
      </c>
      <c r="I341" s="80">
        <f>IF(AND($B341="",$C341="",$E341=""),"",IF(NOT(ISNUMBER($B341)),"Enter a valid date",IF($C341="","Pick a category",IF(OR($H341="Unknown category",$H341=""),"Category has no cost type",IF(NOT(ISNUMBER($E341)),"Enter an amount","OK")))))</f>
        <v/>
      </c>
    </row>
    <row r="342" ht="17" customHeight="1">
      <c r="B342" s="66" t="n"/>
      <c r="C342" s="60" t="n"/>
      <c r="D342" s="60" t="n"/>
      <c r="E342" s="63" t="n"/>
      <c r="F342" s="60" t="n"/>
      <c r="G342" s="60" t="n"/>
      <c r="H342" s="13">
        <f>IF($C342="","",IFERROR(INDEX('Lists'!$G$6:$G$35,MATCH($C342,'Lists'!$F$6:$F$35,0))&amp;"","Unknown category"))</f>
        <v/>
      </c>
      <c r="I342" s="80">
        <f>IF(AND($B342="",$C342="",$E342=""),"",IF(NOT(ISNUMBER($B342)),"Enter a valid date",IF($C342="","Pick a category",IF(OR($H342="Unknown category",$H342=""),"Category has no cost type",IF(NOT(ISNUMBER($E342)),"Enter an amount","OK")))))</f>
        <v/>
      </c>
    </row>
    <row r="343" ht="17" customHeight="1">
      <c r="B343" s="66" t="n"/>
      <c r="C343" s="60" t="n"/>
      <c r="D343" s="60" t="n"/>
      <c r="E343" s="63" t="n"/>
      <c r="F343" s="60" t="n"/>
      <c r="G343" s="60" t="n"/>
      <c r="H343" s="13">
        <f>IF($C343="","",IFERROR(INDEX('Lists'!$G$6:$G$35,MATCH($C343,'Lists'!$F$6:$F$35,0))&amp;"","Unknown category"))</f>
        <v/>
      </c>
      <c r="I343" s="80">
        <f>IF(AND($B343="",$C343="",$E343=""),"",IF(NOT(ISNUMBER($B343)),"Enter a valid date",IF($C343="","Pick a category",IF(OR($H343="Unknown category",$H343=""),"Category has no cost type",IF(NOT(ISNUMBER($E343)),"Enter an amount","OK")))))</f>
        <v/>
      </c>
    </row>
    <row r="344" ht="17" customHeight="1">
      <c r="B344" s="66" t="n"/>
      <c r="C344" s="60" t="n"/>
      <c r="D344" s="60" t="n"/>
      <c r="E344" s="63" t="n"/>
      <c r="F344" s="60" t="n"/>
      <c r="G344" s="60" t="n"/>
      <c r="H344" s="13">
        <f>IF($C344="","",IFERROR(INDEX('Lists'!$G$6:$G$35,MATCH($C344,'Lists'!$F$6:$F$35,0))&amp;"","Unknown category"))</f>
        <v/>
      </c>
      <c r="I344" s="80">
        <f>IF(AND($B344="",$C344="",$E344=""),"",IF(NOT(ISNUMBER($B344)),"Enter a valid date",IF($C344="","Pick a category",IF(OR($H344="Unknown category",$H344=""),"Category has no cost type",IF(NOT(ISNUMBER($E344)),"Enter an amount","OK")))))</f>
        <v/>
      </c>
    </row>
    <row r="345" ht="17" customHeight="1">
      <c r="B345" s="66" t="n"/>
      <c r="C345" s="60" t="n"/>
      <c r="D345" s="60" t="n"/>
      <c r="E345" s="63" t="n"/>
      <c r="F345" s="60" t="n"/>
      <c r="G345" s="60" t="n"/>
      <c r="H345" s="13">
        <f>IF($C345="","",IFERROR(INDEX('Lists'!$G$6:$G$35,MATCH($C345,'Lists'!$F$6:$F$35,0))&amp;"","Unknown category"))</f>
        <v/>
      </c>
      <c r="I345" s="80">
        <f>IF(AND($B345="",$C345="",$E345=""),"",IF(NOT(ISNUMBER($B345)),"Enter a valid date",IF($C345="","Pick a category",IF(OR($H345="Unknown category",$H345=""),"Category has no cost type",IF(NOT(ISNUMBER($E345)),"Enter an amount","OK")))))</f>
        <v/>
      </c>
    </row>
    <row r="346" ht="17" customHeight="1">
      <c r="B346" s="66" t="n"/>
      <c r="C346" s="60" t="n"/>
      <c r="D346" s="60" t="n"/>
      <c r="E346" s="63" t="n"/>
      <c r="F346" s="60" t="n"/>
      <c r="G346" s="60" t="n"/>
      <c r="H346" s="13">
        <f>IF($C346="","",IFERROR(INDEX('Lists'!$G$6:$G$35,MATCH($C346,'Lists'!$F$6:$F$35,0))&amp;"","Unknown category"))</f>
        <v/>
      </c>
      <c r="I346" s="80">
        <f>IF(AND($B346="",$C346="",$E346=""),"",IF(NOT(ISNUMBER($B346)),"Enter a valid date",IF($C346="","Pick a category",IF(OR($H346="Unknown category",$H346=""),"Category has no cost type",IF(NOT(ISNUMBER($E346)),"Enter an amount","OK")))))</f>
        <v/>
      </c>
    </row>
    <row r="347" ht="17" customHeight="1">
      <c r="B347" s="66" t="n"/>
      <c r="C347" s="60" t="n"/>
      <c r="D347" s="60" t="n"/>
      <c r="E347" s="63" t="n"/>
      <c r="F347" s="60" t="n"/>
      <c r="G347" s="60" t="n"/>
      <c r="H347" s="13">
        <f>IF($C347="","",IFERROR(INDEX('Lists'!$G$6:$G$35,MATCH($C347,'Lists'!$F$6:$F$35,0))&amp;"","Unknown category"))</f>
        <v/>
      </c>
      <c r="I347" s="80">
        <f>IF(AND($B347="",$C347="",$E347=""),"",IF(NOT(ISNUMBER($B347)),"Enter a valid date",IF($C347="","Pick a category",IF(OR($H347="Unknown category",$H347=""),"Category has no cost type",IF(NOT(ISNUMBER($E347)),"Enter an amount","OK")))))</f>
        <v/>
      </c>
    </row>
    <row r="348" ht="17" customHeight="1">
      <c r="B348" s="66" t="n"/>
      <c r="C348" s="60" t="n"/>
      <c r="D348" s="60" t="n"/>
      <c r="E348" s="63" t="n"/>
      <c r="F348" s="60" t="n"/>
      <c r="G348" s="60" t="n"/>
      <c r="H348" s="13">
        <f>IF($C348="","",IFERROR(INDEX('Lists'!$G$6:$G$35,MATCH($C348,'Lists'!$F$6:$F$35,0))&amp;"","Unknown category"))</f>
        <v/>
      </c>
      <c r="I348" s="80">
        <f>IF(AND($B348="",$C348="",$E348=""),"",IF(NOT(ISNUMBER($B348)),"Enter a valid date",IF($C348="","Pick a category",IF(OR($H348="Unknown category",$H348=""),"Category has no cost type",IF(NOT(ISNUMBER($E348)),"Enter an amount","OK")))))</f>
        <v/>
      </c>
    </row>
    <row r="349" ht="17" customHeight="1">
      <c r="B349" s="66" t="n"/>
      <c r="C349" s="60" t="n"/>
      <c r="D349" s="60" t="n"/>
      <c r="E349" s="63" t="n"/>
      <c r="F349" s="60" t="n"/>
      <c r="G349" s="60" t="n"/>
      <c r="H349" s="13">
        <f>IF($C349="","",IFERROR(INDEX('Lists'!$G$6:$G$35,MATCH($C349,'Lists'!$F$6:$F$35,0))&amp;"","Unknown category"))</f>
        <v/>
      </c>
      <c r="I349" s="80">
        <f>IF(AND($B349="",$C349="",$E349=""),"",IF(NOT(ISNUMBER($B349)),"Enter a valid date",IF($C349="","Pick a category",IF(OR($H349="Unknown category",$H349=""),"Category has no cost type",IF(NOT(ISNUMBER($E349)),"Enter an amount","OK")))))</f>
        <v/>
      </c>
    </row>
    <row r="350" ht="17" customHeight="1">
      <c r="B350" s="66" t="n"/>
      <c r="C350" s="60" t="n"/>
      <c r="D350" s="60" t="n"/>
      <c r="E350" s="63" t="n"/>
      <c r="F350" s="60" t="n"/>
      <c r="G350" s="60" t="n"/>
      <c r="H350" s="13">
        <f>IF($C350="","",IFERROR(INDEX('Lists'!$G$6:$G$35,MATCH($C350,'Lists'!$F$6:$F$35,0))&amp;"","Unknown category"))</f>
        <v/>
      </c>
      <c r="I350" s="80">
        <f>IF(AND($B350="",$C350="",$E350=""),"",IF(NOT(ISNUMBER($B350)),"Enter a valid date",IF($C350="","Pick a category",IF(OR($H350="Unknown category",$H350=""),"Category has no cost type",IF(NOT(ISNUMBER($E350)),"Enter an amount","OK")))))</f>
        <v/>
      </c>
    </row>
    <row r="351" ht="17" customHeight="1">
      <c r="B351" s="66" t="n"/>
      <c r="C351" s="60" t="n"/>
      <c r="D351" s="60" t="n"/>
      <c r="E351" s="63" t="n"/>
      <c r="F351" s="60" t="n"/>
      <c r="G351" s="60" t="n"/>
      <c r="H351" s="13">
        <f>IF($C351="","",IFERROR(INDEX('Lists'!$G$6:$G$35,MATCH($C351,'Lists'!$F$6:$F$35,0))&amp;"","Unknown category"))</f>
        <v/>
      </c>
      <c r="I351" s="80">
        <f>IF(AND($B351="",$C351="",$E351=""),"",IF(NOT(ISNUMBER($B351)),"Enter a valid date",IF($C351="","Pick a category",IF(OR($H351="Unknown category",$H351=""),"Category has no cost type",IF(NOT(ISNUMBER($E351)),"Enter an amount","OK")))))</f>
        <v/>
      </c>
    </row>
    <row r="352" ht="17" customHeight="1">
      <c r="B352" s="66" t="n"/>
      <c r="C352" s="60" t="n"/>
      <c r="D352" s="60" t="n"/>
      <c r="E352" s="63" t="n"/>
      <c r="F352" s="60" t="n"/>
      <c r="G352" s="60" t="n"/>
      <c r="H352" s="13">
        <f>IF($C352="","",IFERROR(INDEX('Lists'!$G$6:$G$35,MATCH($C352,'Lists'!$F$6:$F$35,0))&amp;"","Unknown category"))</f>
        <v/>
      </c>
      <c r="I352" s="80">
        <f>IF(AND($B352="",$C352="",$E352=""),"",IF(NOT(ISNUMBER($B352)),"Enter a valid date",IF($C352="","Pick a category",IF(OR($H352="Unknown category",$H352=""),"Category has no cost type",IF(NOT(ISNUMBER($E352)),"Enter an amount","OK")))))</f>
        <v/>
      </c>
    </row>
    <row r="353" ht="17" customHeight="1">
      <c r="B353" s="66" t="n"/>
      <c r="C353" s="60" t="n"/>
      <c r="D353" s="60" t="n"/>
      <c r="E353" s="63" t="n"/>
      <c r="F353" s="60" t="n"/>
      <c r="G353" s="60" t="n"/>
      <c r="H353" s="13">
        <f>IF($C353="","",IFERROR(INDEX('Lists'!$G$6:$G$35,MATCH($C353,'Lists'!$F$6:$F$35,0))&amp;"","Unknown category"))</f>
        <v/>
      </c>
      <c r="I353" s="80">
        <f>IF(AND($B353="",$C353="",$E353=""),"",IF(NOT(ISNUMBER($B353)),"Enter a valid date",IF($C353="","Pick a category",IF(OR($H353="Unknown category",$H353=""),"Category has no cost type",IF(NOT(ISNUMBER($E353)),"Enter an amount","OK")))))</f>
        <v/>
      </c>
    </row>
    <row r="354" ht="17" customHeight="1">
      <c r="B354" s="66" t="n"/>
      <c r="C354" s="60" t="n"/>
      <c r="D354" s="60" t="n"/>
      <c r="E354" s="63" t="n"/>
      <c r="F354" s="60" t="n"/>
      <c r="G354" s="60" t="n"/>
      <c r="H354" s="13">
        <f>IF($C354="","",IFERROR(INDEX('Lists'!$G$6:$G$35,MATCH($C354,'Lists'!$F$6:$F$35,0))&amp;"","Unknown category"))</f>
        <v/>
      </c>
      <c r="I354" s="80">
        <f>IF(AND($B354="",$C354="",$E354=""),"",IF(NOT(ISNUMBER($B354)),"Enter a valid date",IF($C354="","Pick a category",IF(OR($H354="Unknown category",$H354=""),"Category has no cost type",IF(NOT(ISNUMBER($E354)),"Enter an amount","OK")))))</f>
        <v/>
      </c>
    </row>
    <row r="355" ht="17" customHeight="1">
      <c r="B355" s="66" t="n"/>
      <c r="C355" s="60" t="n"/>
      <c r="D355" s="60" t="n"/>
      <c r="E355" s="63" t="n"/>
      <c r="F355" s="60" t="n"/>
      <c r="G355" s="60" t="n"/>
      <c r="H355" s="13">
        <f>IF($C355="","",IFERROR(INDEX('Lists'!$G$6:$G$35,MATCH($C355,'Lists'!$F$6:$F$35,0))&amp;"","Unknown category"))</f>
        <v/>
      </c>
      <c r="I355" s="80">
        <f>IF(AND($B355="",$C355="",$E355=""),"",IF(NOT(ISNUMBER($B355)),"Enter a valid date",IF($C355="","Pick a category",IF(OR($H355="Unknown category",$H355=""),"Category has no cost type",IF(NOT(ISNUMBER($E355)),"Enter an amount","OK")))))</f>
        <v/>
      </c>
    </row>
    <row r="356" ht="17" customHeight="1">
      <c r="B356" s="66" t="n"/>
      <c r="C356" s="60" t="n"/>
      <c r="D356" s="60" t="n"/>
      <c r="E356" s="63" t="n"/>
      <c r="F356" s="60" t="n"/>
      <c r="G356" s="60" t="n"/>
      <c r="H356" s="13">
        <f>IF($C356="","",IFERROR(INDEX('Lists'!$G$6:$G$35,MATCH($C356,'Lists'!$F$6:$F$35,0))&amp;"","Unknown category"))</f>
        <v/>
      </c>
      <c r="I356" s="80">
        <f>IF(AND($B356="",$C356="",$E356=""),"",IF(NOT(ISNUMBER($B356)),"Enter a valid date",IF($C356="","Pick a category",IF(OR($H356="Unknown category",$H356=""),"Category has no cost type",IF(NOT(ISNUMBER($E356)),"Enter an amount","OK")))))</f>
        <v/>
      </c>
    </row>
    <row r="357" ht="17" customHeight="1">
      <c r="B357" s="66" t="n"/>
      <c r="C357" s="60" t="n"/>
      <c r="D357" s="60" t="n"/>
      <c r="E357" s="63" t="n"/>
      <c r="F357" s="60" t="n"/>
      <c r="G357" s="60" t="n"/>
      <c r="H357" s="13">
        <f>IF($C357="","",IFERROR(INDEX('Lists'!$G$6:$G$35,MATCH($C357,'Lists'!$F$6:$F$35,0))&amp;"","Unknown category"))</f>
        <v/>
      </c>
      <c r="I357" s="80">
        <f>IF(AND($B357="",$C357="",$E357=""),"",IF(NOT(ISNUMBER($B357)),"Enter a valid date",IF($C357="","Pick a category",IF(OR($H357="Unknown category",$H357=""),"Category has no cost type",IF(NOT(ISNUMBER($E357)),"Enter an amount","OK")))))</f>
        <v/>
      </c>
    </row>
    <row r="358" ht="17" customHeight="1">
      <c r="B358" s="66" t="n"/>
      <c r="C358" s="60" t="n"/>
      <c r="D358" s="60" t="n"/>
      <c r="E358" s="63" t="n"/>
      <c r="F358" s="60" t="n"/>
      <c r="G358" s="60" t="n"/>
      <c r="H358" s="13">
        <f>IF($C358="","",IFERROR(INDEX('Lists'!$G$6:$G$35,MATCH($C358,'Lists'!$F$6:$F$35,0))&amp;"","Unknown category"))</f>
        <v/>
      </c>
      <c r="I358" s="80">
        <f>IF(AND($B358="",$C358="",$E358=""),"",IF(NOT(ISNUMBER($B358)),"Enter a valid date",IF($C358="","Pick a category",IF(OR($H358="Unknown category",$H358=""),"Category has no cost type",IF(NOT(ISNUMBER($E358)),"Enter an amount","OK")))))</f>
        <v/>
      </c>
    </row>
    <row r="359" ht="17" customHeight="1">
      <c r="B359" s="66" t="n"/>
      <c r="C359" s="60" t="n"/>
      <c r="D359" s="60" t="n"/>
      <c r="E359" s="63" t="n"/>
      <c r="F359" s="60" t="n"/>
      <c r="G359" s="60" t="n"/>
      <c r="H359" s="13">
        <f>IF($C359="","",IFERROR(INDEX('Lists'!$G$6:$G$35,MATCH($C359,'Lists'!$F$6:$F$35,0))&amp;"","Unknown category"))</f>
        <v/>
      </c>
      <c r="I359" s="80">
        <f>IF(AND($B359="",$C359="",$E359=""),"",IF(NOT(ISNUMBER($B359)),"Enter a valid date",IF($C359="","Pick a category",IF(OR($H359="Unknown category",$H359=""),"Category has no cost type",IF(NOT(ISNUMBER($E359)),"Enter an amount","OK")))))</f>
        <v/>
      </c>
    </row>
    <row r="360" ht="17" customHeight="1">
      <c r="B360" s="66" t="n"/>
      <c r="C360" s="60" t="n"/>
      <c r="D360" s="60" t="n"/>
      <c r="E360" s="63" t="n"/>
      <c r="F360" s="60" t="n"/>
      <c r="G360" s="60" t="n"/>
      <c r="H360" s="13">
        <f>IF($C360="","",IFERROR(INDEX('Lists'!$G$6:$G$35,MATCH($C360,'Lists'!$F$6:$F$35,0))&amp;"","Unknown category"))</f>
        <v/>
      </c>
      <c r="I360" s="80">
        <f>IF(AND($B360="",$C360="",$E360=""),"",IF(NOT(ISNUMBER($B360)),"Enter a valid date",IF($C360="","Pick a category",IF(OR($H360="Unknown category",$H360=""),"Category has no cost type",IF(NOT(ISNUMBER($E360)),"Enter an amount","OK")))))</f>
        <v/>
      </c>
    </row>
    <row r="361" ht="17" customHeight="1">
      <c r="B361" s="66" t="n"/>
      <c r="C361" s="60" t="n"/>
      <c r="D361" s="60" t="n"/>
      <c r="E361" s="63" t="n"/>
      <c r="F361" s="60" t="n"/>
      <c r="G361" s="60" t="n"/>
      <c r="H361" s="13">
        <f>IF($C361="","",IFERROR(INDEX('Lists'!$G$6:$G$35,MATCH($C361,'Lists'!$F$6:$F$35,0))&amp;"","Unknown category"))</f>
        <v/>
      </c>
      <c r="I361" s="80">
        <f>IF(AND($B361="",$C361="",$E361=""),"",IF(NOT(ISNUMBER($B361)),"Enter a valid date",IF($C361="","Pick a category",IF(OR($H361="Unknown category",$H361=""),"Category has no cost type",IF(NOT(ISNUMBER($E361)),"Enter an amount","OK")))))</f>
        <v/>
      </c>
    </row>
    <row r="362" ht="17" customHeight="1">
      <c r="B362" s="66" t="n"/>
      <c r="C362" s="60" t="n"/>
      <c r="D362" s="60" t="n"/>
      <c r="E362" s="63" t="n"/>
      <c r="F362" s="60" t="n"/>
      <c r="G362" s="60" t="n"/>
      <c r="H362" s="13">
        <f>IF($C362="","",IFERROR(INDEX('Lists'!$G$6:$G$35,MATCH($C362,'Lists'!$F$6:$F$35,0))&amp;"","Unknown category"))</f>
        <v/>
      </c>
      <c r="I362" s="80">
        <f>IF(AND($B362="",$C362="",$E362=""),"",IF(NOT(ISNUMBER($B362)),"Enter a valid date",IF($C362="","Pick a category",IF(OR($H362="Unknown category",$H362=""),"Category has no cost type",IF(NOT(ISNUMBER($E362)),"Enter an amount","OK")))))</f>
        <v/>
      </c>
    </row>
    <row r="363" ht="17" customHeight="1">
      <c r="B363" s="66" t="n"/>
      <c r="C363" s="60" t="n"/>
      <c r="D363" s="60" t="n"/>
      <c r="E363" s="63" t="n"/>
      <c r="F363" s="60" t="n"/>
      <c r="G363" s="60" t="n"/>
      <c r="H363" s="13">
        <f>IF($C363="","",IFERROR(INDEX('Lists'!$G$6:$G$35,MATCH($C363,'Lists'!$F$6:$F$35,0))&amp;"","Unknown category"))</f>
        <v/>
      </c>
      <c r="I363" s="80">
        <f>IF(AND($B363="",$C363="",$E363=""),"",IF(NOT(ISNUMBER($B363)),"Enter a valid date",IF($C363="","Pick a category",IF(OR($H363="Unknown category",$H363=""),"Category has no cost type",IF(NOT(ISNUMBER($E363)),"Enter an amount","OK")))))</f>
        <v/>
      </c>
    </row>
    <row r="364" ht="17" customHeight="1">
      <c r="B364" s="66" t="n"/>
      <c r="C364" s="60" t="n"/>
      <c r="D364" s="60" t="n"/>
      <c r="E364" s="63" t="n"/>
      <c r="F364" s="60" t="n"/>
      <c r="G364" s="60" t="n"/>
      <c r="H364" s="13">
        <f>IF($C364="","",IFERROR(INDEX('Lists'!$G$6:$G$35,MATCH($C364,'Lists'!$F$6:$F$35,0))&amp;"","Unknown category"))</f>
        <v/>
      </c>
      <c r="I364" s="80">
        <f>IF(AND($B364="",$C364="",$E364=""),"",IF(NOT(ISNUMBER($B364)),"Enter a valid date",IF($C364="","Pick a category",IF(OR($H364="Unknown category",$H364=""),"Category has no cost type",IF(NOT(ISNUMBER($E364)),"Enter an amount","OK")))))</f>
        <v/>
      </c>
    </row>
    <row r="365" ht="17" customHeight="1">
      <c r="B365" s="66" t="n"/>
      <c r="C365" s="60" t="n"/>
      <c r="D365" s="60" t="n"/>
      <c r="E365" s="63" t="n"/>
      <c r="F365" s="60" t="n"/>
      <c r="G365" s="60" t="n"/>
      <c r="H365" s="13">
        <f>IF($C365="","",IFERROR(INDEX('Lists'!$G$6:$G$35,MATCH($C365,'Lists'!$F$6:$F$35,0))&amp;"","Unknown category"))</f>
        <v/>
      </c>
      <c r="I365" s="80">
        <f>IF(AND($B365="",$C365="",$E365=""),"",IF(NOT(ISNUMBER($B365)),"Enter a valid date",IF($C365="","Pick a category",IF(OR($H365="Unknown category",$H365=""),"Category has no cost type",IF(NOT(ISNUMBER($E365)),"Enter an amount","OK")))))</f>
        <v/>
      </c>
    </row>
    <row r="366" ht="17" customHeight="1">
      <c r="B366" s="66" t="n"/>
      <c r="C366" s="60" t="n"/>
      <c r="D366" s="60" t="n"/>
      <c r="E366" s="63" t="n"/>
      <c r="F366" s="60" t="n"/>
      <c r="G366" s="60" t="n"/>
      <c r="H366" s="13">
        <f>IF($C366="","",IFERROR(INDEX('Lists'!$G$6:$G$35,MATCH($C366,'Lists'!$F$6:$F$35,0))&amp;"","Unknown category"))</f>
        <v/>
      </c>
      <c r="I366" s="80">
        <f>IF(AND($B366="",$C366="",$E366=""),"",IF(NOT(ISNUMBER($B366)),"Enter a valid date",IF($C366="","Pick a category",IF(OR($H366="Unknown category",$H366=""),"Category has no cost type",IF(NOT(ISNUMBER($E366)),"Enter an amount","OK")))))</f>
        <v/>
      </c>
    </row>
    <row r="367" ht="17" customHeight="1">
      <c r="B367" s="66" t="n"/>
      <c r="C367" s="60" t="n"/>
      <c r="D367" s="60" t="n"/>
      <c r="E367" s="63" t="n"/>
      <c r="F367" s="60" t="n"/>
      <c r="G367" s="60" t="n"/>
      <c r="H367" s="13">
        <f>IF($C367="","",IFERROR(INDEX('Lists'!$G$6:$G$35,MATCH($C367,'Lists'!$F$6:$F$35,0))&amp;"","Unknown category"))</f>
        <v/>
      </c>
      <c r="I367" s="80">
        <f>IF(AND($B367="",$C367="",$E367=""),"",IF(NOT(ISNUMBER($B367)),"Enter a valid date",IF($C367="","Pick a category",IF(OR($H367="Unknown category",$H367=""),"Category has no cost type",IF(NOT(ISNUMBER($E367)),"Enter an amount","OK")))))</f>
        <v/>
      </c>
    </row>
    <row r="368" ht="17" customHeight="1">
      <c r="B368" s="66" t="n"/>
      <c r="C368" s="60" t="n"/>
      <c r="D368" s="60" t="n"/>
      <c r="E368" s="63" t="n"/>
      <c r="F368" s="60" t="n"/>
      <c r="G368" s="60" t="n"/>
      <c r="H368" s="13">
        <f>IF($C368="","",IFERROR(INDEX('Lists'!$G$6:$G$35,MATCH($C368,'Lists'!$F$6:$F$35,0))&amp;"","Unknown category"))</f>
        <v/>
      </c>
      <c r="I368" s="80">
        <f>IF(AND($B368="",$C368="",$E368=""),"",IF(NOT(ISNUMBER($B368)),"Enter a valid date",IF($C368="","Pick a category",IF(OR($H368="Unknown category",$H368=""),"Category has no cost type",IF(NOT(ISNUMBER($E368)),"Enter an amount","OK")))))</f>
        <v/>
      </c>
    </row>
    <row r="369" ht="17" customHeight="1">
      <c r="B369" s="66" t="n"/>
      <c r="C369" s="60" t="n"/>
      <c r="D369" s="60" t="n"/>
      <c r="E369" s="63" t="n"/>
      <c r="F369" s="60" t="n"/>
      <c r="G369" s="60" t="n"/>
      <c r="H369" s="13">
        <f>IF($C369="","",IFERROR(INDEX('Lists'!$G$6:$G$35,MATCH($C369,'Lists'!$F$6:$F$35,0))&amp;"","Unknown category"))</f>
        <v/>
      </c>
      <c r="I369" s="80">
        <f>IF(AND($B369="",$C369="",$E369=""),"",IF(NOT(ISNUMBER($B369)),"Enter a valid date",IF($C369="","Pick a category",IF(OR($H369="Unknown category",$H369=""),"Category has no cost type",IF(NOT(ISNUMBER($E369)),"Enter an amount","OK")))))</f>
        <v/>
      </c>
    </row>
    <row r="370" ht="17" customHeight="1">
      <c r="B370" s="66" t="n"/>
      <c r="C370" s="60" t="n"/>
      <c r="D370" s="60" t="n"/>
      <c r="E370" s="63" t="n"/>
      <c r="F370" s="60" t="n"/>
      <c r="G370" s="60" t="n"/>
      <c r="H370" s="13">
        <f>IF($C370="","",IFERROR(INDEX('Lists'!$G$6:$G$35,MATCH($C370,'Lists'!$F$6:$F$35,0))&amp;"","Unknown category"))</f>
        <v/>
      </c>
      <c r="I370" s="80">
        <f>IF(AND($B370="",$C370="",$E370=""),"",IF(NOT(ISNUMBER($B370)),"Enter a valid date",IF($C370="","Pick a category",IF(OR($H370="Unknown category",$H370=""),"Category has no cost type",IF(NOT(ISNUMBER($E370)),"Enter an amount","OK")))))</f>
        <v/>
      </c>
    </row>
    <row r="371" ht="17" customHeight="1">
      <c r="B371" s="66" t="n"/>
      <c r="C371" s="60" t="n"/>
      <c r="D371" s="60" t="n"/>
      <c r="E371" s="63" t="n"/>
      <c r="F371" s="60" t="n"/>
      <c r="G371" s="60" t="n"/>
      <c r="H371" s="13">
        <f>IF($C371="","",IFERROR(INDEX('Lists'!$G$6:$G$35,MATCH($C371,'Lists'!$F$6:$F$35,0))&amp;"","Unknown category"))</f>
        <v/>
      </c>
      <c r="I371" s="80">
        <f>IF(AND($B371="",$C371="",$E371=""),"",IF(NOT(ISNUMBER($B371)),"Enter a valid date",IF($C371="","Pick a category",IF(OR($H371="Unknown category",$H371=""),"Category has no cost type",IF(NOT(ISNUMBER($E371)),"Enter an amount","OK")))))</f>
        <v/>
      </c>
    </row>
    <row r="372" ht="17" customHeight="1">
      <c r="B372" s="66" t="n"/>
      <c r="C372" s="60" t="n"/>
      <c r="D372" s="60" t="n"/>
      <c r="E372" s="63" t="n"/>
      <c r="F372" s="60" t="n"/>
      <c r="G372" s="60" t="n"/>
      <c r="H372" s="13">
        <f>IF($C372="","",IFERROR(INDEX('Lists'!$G$6:$G$35,MATCH($C372,'Lists'!$F$6:$F$35,0))&amp;"","Unknown category"))</f>
        <v/>
      </c>
      <c r="I372" s="80">
        <f>IF(AND($B372="",$C372="",$E372=""),"",IF(NOT(ISNUMBER($B372)),"Enter a valid date",IF($C372="","Pick a category",IF(OR($H372="Unknown category",$H372=""),"Category has no cost type",IF(NOT(ISNUMBER($E372)),"Enter an amount","OK")))))</f>
        <v/>
      </c>
    </row>
    <row r="373" ht="17" customHeight="1">
      <c r="B373" s="66" t="n"/>
      <c r="C373" s="60" t="n"/>
      <c r="D373" s="60" t="n"/>
      <c r="E373" s="63" t="n"/>
      <c r="F373" s="60" t="n"/>
      <c r="G373" s="60" t="n"/>
      <c r="H373" s="13">
        <f>IF($C373="","",IFERROR(INDEX('Lists'!$G$6:$G$35,MATCH($C373,'Lists'!$F$6:$F$35,0))&amp;"","Unknown category"))</f>
        <v/>
      </c>
      <c r="I373" s="80">
        <f>IF(AND($B373="",$C373="",$E373=""),"",IF(NOT(ISNUMBER($B373)),"Enter a valid date",IF($C373="","Pick a category",IF(OR($H373="Unknown category",$H373=""),"Category has no cost type",IF(NOT(ISNUMBER($E373)),"Enter an amount","OK")))))</f>
        <v/>
      </c>
    </row>
    <row r="374" ht="17" customHeight="1">
      <c r="B374" s="66" t="n"/>
      <c r="C374" s="60" t="n"/>
      <c r="D374" s="60" t="n"/>
      <c r="E374" s="63" t="n"/>
      <c r="F374" s="60" t="n"/>
      <c r="G374" s="60" t="n"/>
      <c r="H374" s="13">
        <f>IF($C374="","",IFERROR(INDEX('Lists'!$G$6:$G$35,MATCH($C374,'Lists'!$F$6:$F$35,0))&amp;"","Unknown category"))</f>
        <v/>
      </c>
      <c r="I374" s="80">
        <f>IF(AND($B374="",$C374="",$E374=""),"",IF(NOT(ISNUMBER($B374)),"Enter a valid date",IF($C374="","Pick a category",IF(OR($H374="Unknown category",$H374=""),"Category has no cost type",IF(NOT(ISNUMBER($E374)),"Enter an amount","OK")))))</f>
        <v/>
      </c>
    </row>
    <row r="375" ht="17" customHeight="1">
      <c r="B375" s="66" t="n"/>
      <c r="C375" s="60" t="n"/>
      <c r="D375" s="60" t="n"/>
      <c r="E375" s="63" t="n"/>
      <c r="F375" s="60" t="n"/>
      <c r="G375" s="60" t="n"/>
      <c r="H375" s="13">
        <f>IF($C375="","",IFERROR(INDEX('Lists'!$G$6:$G$35,MATCH($C375,'Lists'!$F$6:$F$35,0))&amp;"","Unknown category"))</f>
        <v/>
      </c>
      <c r="I375" s="80">
        <f>IF(AND($B375="",$C375="",$E375=""),"",IF(NOT(ISNUMBER($B375)),"Enter a valid date",IF($C375="","Pick a category",IF(OR($H375="Unknown category",$H375=""),"Category has no cost type",IF(NOT(ISNUMBER($E375)),"Enter an amount","OK")))))</f>
        <v/>
      </c>
    </row>
    <row r="376" ht="17" customHeight="1">
      <c r="B376" s="66" t="n"/>
      <c r="C376" s="60" t="n"/>
      <c r="D376" s="60" t="n"/>
      <c r="E376" s="63" t="n"/>
      <c r="F376" s="60" t="n"/>
      <c r="G376" s="60" t="n"/>
      <c r="H376" s="13">
        <f>IF($C376="","",IFERROR(INDEX('Lists'!$G$6:$G$35,MATCH($C376,'Lists'!$F$6:$F$35,0))&amp;"","Unknown category"))</f>
        <v/>
      </c>
      <c r="I376" s="80">
        <f>IF(AND($B376="",$C376="",$E376=""),"",IF(NOT(ISNUMBER($B376)),"Enter a valid date",IF($C376="","Pick a category",IF(OR($H376="Unknown category",$H376=""),"Category has no cost type",IF(NOT(ISNUMBER($E376)),"Enter an amount","OK")))))</f>
        <v/>
      </c>
    </row>
    <row r="377" ht="17" customHeight="1">
      <c r="B377" s="66" t="n"/>
      <c r="C377" s="60" t="n"/>
      <c r="D377" s="60" t="n"/>
      <c r="E377" s="63" t="n"/>
      <c r="F377" s="60" t="n"/>
      <c r="G377" s="60" t="n"/>
      <c r="H377" s="13">
        <f>IF($C377="","",IFERROR(INDEX('Lists'!$G$6:$G$35,MATCH($C377,'Lists'!$F$6:$F$35,0))&amp;"","Unknown category"))</f>
        <v/>
      </c>
      <c r="I377" s="80">
        <f>IF(AND($B377="",$C377="",$E377=""),"",IF(NOT(ISNUMBER($B377)),"Enter a valid date",IF($C377="","Pick a category",IF(OR($H377="Unknown category",$H377=""),"Category has no cost type",IF(NOT(ISNUMBER($E377)),"Enter an amount","OK")))))</f>
        <v/>
      </c>
    </row>
    <row r="378" ht="17" customHeight="1">
      <c r="B378" s="66" t="n"/>
      <c r="C378" s="60" t="n"/>
      <c r="D378" s="60" t="n"/>
      <c r="E378" s="63" t="n"/>
      <c r="F378" s="60" t="n"/>
      <c r="G378" s="60" t="n"/>
      <c r="H378" s="13">
        <f>IF($C378="","",IFERROR(INDEX('Lists'!$G$6:$G$35,MATCH($C378,'Lists'!$F$6:$F$35,0))&amp;"","Unknown category"))</f>
        <v/>
      </c>
      <c r="I378" s="80">
        <f>IF(AND($B378="",$C378="",$E378=""),"",IF(NOT(ISNUMBER($B378)),"Enter a valid date",IF($C378="","Pick a category",IF(OR($H378="Unknown category",$H378=""),"Category has no cost type",IF(NOT(ISNUMBER($E378)),"Enter an amount","OK")))))</f>
        <v/>
      </c>
    </row>
    <row r="379" ht="17" customHeight="1">
      <c r="B379" s="66" t="n"/>
      <c r="C379" s="60" t="n"/>
      <c r="D379" s="60" t="n"/>
      <c r="E379" s="63" t="n"/>
      <c r="F379" s="60" t="n"/>
      <c r="G379" s="60" t="n"/>
      <c r="H379" s="13">
        <f>IF($C379="","",IFERROR(INDEX('Lists'!$G$6:$G$35,MATCH($C379,'Lists'!$F$6:$F$35,0))&amp;"","Unknown category"))</f>
        <v/>
      </c>
      <c r="I379" s="80">
        <f>IF(AND($B379="",$C379="",$E379=""),"",IF(NOT(ISNUMBER($B379)),"Enter a valid date",IF($C379="","Pick a category",IF(OR($H379="Unknown category",$H379=""),"Category has no cost type",IF(NOT(ISNUMBER($E379)),"Enter an amount","OK")))))</f>
        <v/>
      </c>
    </row>
    <row r="380" ht="17" customHeight="1">
      <c r="B380" s="66" t="n"/>
      <c r="C380" s="60" t="n"/>
      <c r="D380" s="60" t="n"/>
      <c r="E380" s="63" t="n"/>
      <c r="F380" s="60" t="n"/>
      <c r="G380" s="60" t="n"/>
      <c r="H380" s="13">
        <f>IF($C380="","",IFERROR(INDEX('Lists'!$G$6:$G$35,MATCH($C380,'Lists'!$F$6:$F$35,0))&amp;"","Unknown category"))</f>
        <v/>
      </c>
      <c r="I380" s="80">
        <f>IF(AND($B380="",$C380="",$E380=""),"",IF(NOT(ISNUMBER($B380)),"Enter a valid date",IF($C380="","Pick a category",IF(OR($H380="Unknown category",$H380=""),"Category has no cost type",IF(NOT(ISNUMBER($E380)),"Enter an amount","OK")))))</f>
        <v/>
      </c>
    </row>
    <row r="381" ht="17" customHeight="1">
      <c r="B381" s="66" t="n"/>
      <c r="C381" s="60" t="n"/>
      <c r="D381" s="60" t="n"/>
      <c r="E381" s="63" t="n"/>
      <c r="F381" s="60" t="n"/>
      <c r="G381" s="60" t="n"/>
      <c r="H381" s="13">
        <f>IF($C381="","",IFERROR(INDEX('Lists'!$G$6:$G$35,MATCH($C381,'Lists'!$F$6:$F$35,0))&amp;"","Unknown category"))</f>
        <v/>
      </c>
      <c r="I381" s="80">
        <f>IF(AND($B381="",$C381="",$E381=""),"",IF(NOT(ISNUMBER($B381)),"Enter a valid date",IF($C381="","Pick a category",IF(OR($H381="Unknown category",$H381=""),"Category has no cost type",IF(NOT(ISNUMBER($E381)),"Enter an amount","OK")))))</f>
        <v/>
      </c>
    </row>
    <row r="382" ht="17" customHeight="1">
      <c r="B382" s="66" t="n"/>
      <c r="C382" s="60" t="n"/>
      <c r="D382" s="60" t="n"/>
      <c r="E382" s="63" t="n"/>
      <c r="F382" s="60" t="n"/>
      <c r="G382" s="60" t="n"/>
      <c r="H382" s="13">
        <f>IF($C382="","",IFERROR(INDEX('Lists'!$G$6:$G$35,MATCH($C382,'Lists'!$F$6:$F$35,0))&amp;"","Unknown category"))</f>
        <v/>
      </c>
      <c r="I382" s="80">
        <f>IF(AND($B382="",$C382="",$E382=""),"",IF(NOT(ISNUMBER($B382)),"Enter a valid date",IF($C382="","Pick a category",IF(OR($H382="Unknown category",$H382=""),"Category has no cost type",IF(NOT(ISNUMBER($E382)),"Enter an amount","OK")))))</f>
        <v/>
      </c>
    </row>
    <row r="383" ht="17" customHeight="1">
      <c r="B383" s="66" t="n"/>
      <c r="C383" s="60" t="n"/>
      <c r="D383" s="60" t="n"/>
      <c r="E383" s="63" t="n"/>
      <c r="F383" s="60" t="n"/>
      <c r="G383" s="60" t="n"/>
      <c r="H383" s="13">
        <f>IF($C383="","",IFERROR(INDEX('Lists'!$G$6:$G$35,MATCH($C383,'Lists'!$F$6:$F$35,0))&amp;"","Unknown category"))</f>
        <v/>
      </c>
      <c r="I383" s="80">
        <f>IF(AND($B383="",$C383="",$E383=""),"",IF(NOT(ISNUMBER($B383)),"Enter a valid date",IF($C383="","Pick a category",IF(OR($H383="Unknown category",$H383=""),"Category has no cost type",IF(NOT(ISNUMBER($E383)),"Enter an amount","OK")))))</f>
        <v/>
      </c>
    </row>
    <row r="384" ht="17" customHeight="1">
      <c r="B384" s="66" t="n"/>
      <c r="C384" s="60" t="n"/>
      <c r="D384" s="60" t="n"/>
      <c r="E384" s="63" t="n"/>
      <c r="F384" s="60" t="n"/>
      <c r="G384" s="60" t="n"/>
      <c r="H384" s="13">
        <f>IF($C384="","",IFERROR(INDEX('Lists'!$G$6:$G$35,MATCH($C384,'Lists'!$F$6:$F$35,0))&amp;"","Unknown category"))</f>
        <v/>
      </c>
      <c r="I384" s="80">
        <f>IF(AND($B384="",$C384="",$E384=""),"",IF(NOT(ISNUMBER($B384)),"Enter a valid date",IF($C384="","Pick a category",IF(OR($H384="Unknown category",$H384=""),"Category has no cost type",IF(NOT(ISNUMBER($E384)),"Enter an amount","OK")))))</f>
        <v/>
      </c>
    </row>
    <row r="385" ht="17" customHeight="1">
      <c r="B385" s="66" t="n"/>
      <c r="C385" s="60" t="n"/>
      <c r="D385" s="60" t="n"/>
      <c r="E385" s="63" t="n"/>
      <c r="F385" s="60" t="n"/>
      <c r="G385" s="60" t="n"/>
      <c r="H385" s="13">
        <f>IF($C385="","",IFERROR(INDEX('Lists'!$G$6:$G$35,MATCH($C385,'Lists'!$F$6:$F$35,0))&amp;"","Unknown category"))</f>
        <v/>
      </c>
      <c r="I385" s="80">
        <f>IF(AND($B385="",$C385="",$E385=""),"",IF(NOT(ISNUMBER($B385)),"Enter a valid date",IF($C385="","Pick a category",IF(OR($H385="Unknown category",$H385=""),"Category has no cost type",IF(NOT(ISNUMBER($E385)),"Enter an amount","OK")))))</f>
        <v/>
      </c>
    </row>
    <row r="386" ht="17" customHeight="1">
      <c r="B386" s="66" t="n"/>
      <c r="C386" s="60" t="n"/>
      <c r="D386" s="60" t="n"/>
      <c r="E386" s="63" t="n"/>
      <c r="F386" s="60" t="n"/>
      <c r="G386" s="60" t="n"/>
      <c r="H386" s="13">
        <f>IF($C386="","",IFERROR(INDEX('Lists'!$G$6:$G$35,MATCH($C386,'Lists'!$F$6:$F$35,0))&amp;"","Unknown category"))</f>
        <v/>
      </c>
      <c r="I386" s="80">
        <f>IF(AND($B386="",$C386="",$E386=""),"",IF(NOT(ISNUMBER($B386)),"Enter a valid date",IF($C386="","Pick a category",IF(OR($H386="Unknown category",$H386=""),"Category has no cost type",IF(NOT(ISNUMBER($E386)),"Enter an amount","OK")))))</f>
        <v/>
      </c>
    </row>
    <row r="387" ht="17" customHeight="1">
      <c r="B387" s="66" t="n"/>
      <c r="C387" s="60" t="n"/>
      <c r="D387" s="60" t="n"/>
      <c r="E387" s="63" t="n"/>
      <c r="F387" s="60" t="n"/>
      <c r="G387" s="60" t="n"/>
      <c r="H387" s="13">
        <f>IF($C387="","",IFERROR(INDEX('Lists'!$G$6:$G$35,MATCH($C387,'Lists'!$F$6:$F$35,0))&amp;"","Unknown category"))</f>
        <v/>
      </c>
      <c r="I387" s="80">
        <f>IF(AND($B387="",$C387="",$E387=""),"",IF(NOT(ISNUMBER($B387)),"Enter a valid date",IF($C387="","Pick a category",IF(OR($H387="Unknown category",$H387=""),"Category has no cost type",IF(NOT(ISNUMBER($E387)),"Enter an amount","OK")))))</f>
        <v/>
      </c>
    </row>
    <row r="388" ht="17" customHeight="1">
      <c r="B388" s="66" t="n"/>
      <c r="C388" s="60" t="n"/>
      <c r="D388" s="60" t="n"/>
      <c r="E388" s="63" t="n"/>
      <c r="F388" s="60" t="n"/>
      <c r="G388" s="60" t="n"/>
      <c r="H388" s="13">
        <f>IF($C388="","",IFERROR(INDEX('Lists'!$G$6:$G$35,MATCH($C388,'Lists'!$F$6:$F$35,0))&amp;"","Unknown category"))</f>
        <v/>
      </c>
      <c r="I388" s="80">
        <f>IF(AND($B388="",$C388="",$E388=""),"",IF(NOT(ISNUMBER($B388)),"Enter a valid date",IF($C388="","Pick a category",IF(OR($H388="Unknown category",$H388=""),"Category has no cost type",IF(NOT(ISNUMBER($E388)),"Enter an amount","OK")))))</f>
        <v/>
      </c>
    </row>
    <row r="389" ht="17" customHeight="1">
      <c r="B389" s="66" t="n"/>
      <c r="C389" s="60" t="n"/>
      <c r="D389" s="60" t="n"/>
      <c r="E389" s="63" t="n"/>
      <c r="F389" s="60" t="n"/>
      <c r="G389" s="60" t="n"/>
      <c r="H389" s="13">
        <f>IF($C389="","",IFERROR(INDEX('Lists'!$G$6:$G$35,MATCH($C389,'Lists'!$F$6:$F$35,0))&amp;"","Unknown category"))</f>
        <v/>
      </c>
      <c r="I389" s="80">
        <f>IF(AND($B389="",$C389="",$E389=""),"",IF(NOT(ISNUMBER($B389)),"Enter a valid date",IF($C389="","Pick a category",IF(OR($H389="Unknown category",$H389=""),"Category has no cost type",IF(NOT(ISNUMBER($E389)),"Enter an amount","OK")))))</f>
        <v/>
      </c>
    </row>
    <row r="390" ht="17" customHeight="1">
      <c r="B390" s="66" t="n"/>
      <c r="C390" s="60" t="n"/>
      <c r="D390" s="60" t="n"/>
      <c r="E390" s="63" t="n"/>
      <c r="F390" s="60" t="n"/>
      <c r="G390" s="60" t="n"/>
      <c r="H390" s="13">
        <f>IF($C390="","",IFERROR(INDEX('Lists'!$G$6:$G$35,MATCH($C390,'Lists'!$F$6:$F$35,0))&amp;"","Unknown category"))</f>
        <v/>
      </c>
      <c r="I390" s="80">
        <f>IF(AND($B390="",$C390="",$E390=""),"",IF(NOT(ISNUMBER($B390)),"Enter a valid date",IF($C390="","Pick a category",IF(OR($H390="Unknown category",$H390=""),"Category has no cost type",IF(NOT(ISNUMBER($E390)),"Enter an amount","OK")))))</f>
        <v/>
      </c>
    </row>
    <row r="391" ht="17" customHeight="1">
      <c r="B391" s="66" t="n"/>
      <c r="C391" s="60" t="n"/>
      <c r="D391" s="60" t="n"/>
      <c r="E391" s="63" t="n"/>
      <c r="F391" s="60" t="n"/>
      <c r="G391" s="60" t="n"/>
      <c r="H391" s="13">
        <f>IF($C391="","",IFERROR(INDEX('Lists'!$G$6:$G$35,MATCH($C391,'Lists'!$F$6:$F$35,0))&amp;"","Unknown category"))</f>
        <v/>
      </c>
      <c r="I391" s="80">
        <f>IF(AND($B391="",$C391="",$E391=""),"",IF(NOT(ISNUMBER($B391)),"Enter a valid date",IF($C391="","Pick a category",IF(OR($H391="Unknown category",$H391=""),"Category has no cost type",IF(NOT(ISNUMBER($E391)),"Enter an amount","OK")))))</f>
        <v/>
      </c>
    </row>
    <row r="392" ht="17" customHeight="1">
      <c r="B392" s="66" t="n"/>
      <c r="C392" s="60" t="n"/>
      <c r="D392" s="60" t="n"/>
      <c r="E392" s="63" t="n"/>
      <c r="F392" s="60" t="n"/>
      <c r="G392" s="60" t="n"/>
      <c r="H392" s="13">
        <f>IF($C392="","",IFERROR(INDEX('Lists'!$G$6:$G$35,MATCH($C392,'Lists'!$F$6:$F$35,0))&amp;"","Unknown category"))</f>
        <v/>
      </c>
      <c r="I392" s="80">
        <f>IF(AND($B392="",$C392="",$E392=""),"",IF(NOT(ISNUMBER($B392)),"Enter a valid date",IF($C392="","Pick a category",IF(OR($H392="Unknown category",$H392=""),"Category has no cost type",IF(NOT(ISNUMBER($E392)),"Enter an amount","OK")))))</f>
        <v/>
      </c>
    </row>
    <row r="393" ht="17" customHeight="1">
      <c r="B393" s="66" t="n"/>
      <c r="C393" s="60" t="n"/>
      <c r="D393" s="60" t="n"/>
      <c r="E393" s="63" t="n"/>
      <c r="F393" s="60" t="n"/>
      <c r="G393" s="60" t="n"/>
      <c r="H393" s="13">
        <f>IF($C393="","",IFERROR(INDEX('Lists'!$G$6:$G$35,MATCH($C393,'Lists'!$F$6:$F$35,0))&amp;"","Unknown category"))</f>
        <v/>
      </c>
      <c r="I393" s="80">
        <f>IF(AND($B393="",$C393="",$E393=""),"",IF(NOT(ISNUMBER($B393)),"Enter a valid date",IF($C393="","Pick a category",IF(OR($H393="Unknown category",$H393=""),"Category has no cost type",IF(NOT(ISNUMBER($E393)),"Enter an amount","OK")))))</f>
        <v/>
      </c>
    </row>
    <row r="394" ht="17" customHeight="1">
      <c r="B394" s="66" t="n"/>
      <c r="C394" s="60" t="n"/>
      <c r="D394" s="60" t="n"/>
      <c r="E394" s="63" t="n"/>
      <c r="F394" s="60" t="n"/>
      <c r="G394" s="60" t="n"/>
      <c r="H394" s="13">
        <f>IF($C394="","",IFERROR(INDEX('Lists'!$G$6:$G$35,MATCH($C394,'Lists'!$F$6:$F$35,0))&amp;"","Unknown category"))</f>
        <v/>
      </c>
      <c r="I394" s="80">
        <f>IF(AND($B394="",$C394="",$E394=""),"",IF(NOT(ISNUMBER($B394)),"Enter a valid date",IF($C394="","Pick a category",IF(OR($H394="Unknown category",$H394=""),"Category has no cost type",IF(NOT(ISNUMBER($E394)),"Enter an amount","OK")))))</f>
        <v/>
      </c>
    </row>
    <row r="395" ht="17" customHeight="1">
      <c r="B395" s="66" t="n"/>
      <c r="C395" s="60" t="n"/>
      <c r="D395" s="60" t="n"/>
      <c r="E395" s="63" t="n"/>
      <c r="F395" s="60" t="n"/>
      <c r="G395" s="60" t="n"/>
      <c r="H395" s="13">
        <f>IF($C395="","",IFERROR(INDEX('Lists'!$G$6:$G$35,MATCH($C395,'Lists'!$F$6:$F$35,0))&amp;"","Unknown category"))</f>
        <v/>
      </c>
      <c r="I395" s="80">
        <f>IF(AND($B395="",$C395="",$E395=""),"",IF(NOT(ISNUMBER($B395)),"Enter a valid date",IF($C395="","Pick a category",IF(OR($H395="Unknown category",$H395=""),"Category has no cost type",IF(NOT(ISNUMBER($E395)),"Enter an amount","OK")))))</f>
        <v/>
      </c>
    </row>
    <row r="396" ht="17" customHeight="1">
      <c r="B396" s="66" t="n"/>
      <c r="C396" s="60" t="n"/>
      <c r="D396" s="60" t="n"/>
      <c r="E396" s="63" t="n"/>
      <c r="F396" s="60" t="n"/>
      <c r="G396" s="60" t="n"/>
      <c r="H396" s="13">
        <f>IF($C396="","",IFERROR(INDEX('Lists'!$G$6:$G$35,MATCH($C396,'Lists'!$F$6:$F$35,0))&amp;"","Unknown category"))</f>
        <v/>
      </c>
      <c r="I396" s="80">
        <f>IF(AND($B396="",$C396="",$E396=""),"",IF(NOT(ISNUMBER($B396)),"Enter a valid date",IF($C396="","Pick a category",IF(OR($H396="Unknown category",$H396=""),"Category has no cost type",IF(NOT(ISNUMBER($E396)),"Enter an amount","OK")))))</f>
        <v/>
      </c>
    </row>
    <row r="397" ht="17" customHeight="1">
      <c r="B397" s="66" t="n"/>
      <c r="C397" s="60" t="n"/>
      <c r="D397" s="60" t="n"/>
      <c r="E397" s="63" t="n"/>
      <c r="F397" s="60" t="n"/>
      <c r="G397" s="60" t="n"/>
      <c r="H397" s="13">
        <f>IF($C397="","",IFERROR(INDEX('Lists'!$G$6:$G$35,MATCH($C397,'Lists'!$F$6:$F$35,0))&amp;"","Unknown category"))</f>
        <v/>
      </c>
      <c r="I397" s="80">
        <f>IF(AND($B397="",$C397="",$E397=""),"",IF(NOT(ISNUMBER($B397)),"Enter a valid date",IF($C397="","Pick a category",IF(OR($H397="Unknown category",$H397=""),"Category has no cost type",IF(NOT(ISNUMBER($E397)),"Enter an amount","OK")))))</f>
        <v/>
      </c>
    </row>
    <row r="398" ht="17" customHeight="1">
      <c r="B398" s="66" t="n"/>
      <c r="C398" s="60" t="n"/>
      <c r="D398" s="60" t="n"/>
      <c r="E398" s="63" t="n"/>
      <c r="F398" s="60" t="n"/>
      <c r="G398" s="60" t="n"/>
      <c r="H398" s="13">
        <f>IF($C398="","",IFERROR(INDEX('Lists'!$G$6:$G$35,MATCH($C398,'Lists'!$F$6:$F$35,0))&amp;"","Unknown category"))</f>
        <v/>
      </c>
      <c r="I398" s="80">
        <f>IF(AND($B398="",$C398="",$E398=""),"",IF(NOT(ISNUMBER($B398)),"Enter a valid date",IF($C398="","Pick a category",IF(OR($H398="Unknown category",$H398=""),"Category has no cost type",IF(NOT(ISNUMBER($E398)),"Enter an amount","OK")))))</f>
        <v/>
      </c>
    </row>
    <row r="399" ht="17" customHeight="1">
      <c r="B399" s="66" t="n"/>
      <c r="C399" s="60" t="n"/>
      <c r="D399" s="60" t="n"/>
      <c r="E399" s="63" t="n"/>
      <c r="F399" s="60" t="n"/>
      <c r="G399" s="60" t="n"/>
      <c r="H399" s="13">
        <f>IF($C399="","",IFERROR(INDEX('Lists'!$G$6:$G$35,MATCH($C399,'Lists'!$F$6:$F$35,0))&amp;"","Unknown category"))</f>
        <v/>
      </c>
      <c r="I399" s="80">
        <f>IF(AND($B399="",$C399="",$E399=""),"",IF(NOT(ISNUMBER($B399)),"Enter a valid date",IF($C399="","Pick a category",IF(OR($H399="Unknown category",$H399=""),"Category has no cost type",IF(NOT(ISNUMBER($E399)),"Enter an amount","OK")))))</f>
        <v/>
      </c>
    </row>
    <row r="400" ht="17" customHeight="1">
      <c r="B400" s="66" t="n"/>
      <c r="C400" s="60" t="n"/>
      <c r="D400" s="60" t="n"/>
      <c r="E400" s="63" t="n"/>
      <c r="F400" s="60" t="n"/>
      <c r="G400" s="60" t="n"/>
      <c r="H400" s="13">
        <f>IF($C400="","",IFERROR(INDEX('Lists'!$G$6:$G$35,MATCH($C400,'Lists'!$F$6:$F$35,0))&amp;"","Unknown category"))</f>
        <v/>
      </c>
      <c r="I400" s="80">
        <f>IF(AND($B400="",$C400="",$E400=""),"",IF(NOT(ISNUMBER($B400)),"Enter a valid date",IF($C400="","Pick a category",IF(OR($H400="Unknown category",$H400=""),"Category has no cost type",IF(NOT(ISNUMBER($E400)),"Enter an amount","OK")))))</f>
        <v/>
      </c>
    </row>
    <row r="401" ht="17" customHeight="1">
      <c r="B401" s="66" t="n"/>
      <c r="C401" s="60" t="n"/>
      <c r="D401" s="60" t="n"/>
      <c r="E401" s="63" t="n"/>
      <c r="F401" s="60" t="n"/>
      <c r="G401" s="60" t="n"/>
      <c r="H401" s="13">
        <f>IF($C401="","",IFERROR(INDEX('Lists'!$G$6:$G$35,MATCH($C401,'Lists'!$F$6:$F$35,0))&amp;"","Unknown category"))</f>
        <v/>
      </c>
      <c r="I401" s="80">
        <f>IF(AND($B401="",$C401="",$E401=""),"",IF(NOT(ISNUMBER($B401)),"Enter a valid date",IF($C401="","Pick a category",IF(OR($H401="Unknown category",$H401=""),"Category has no cost type",IF(NOT(ISNUMBER($E401)),"Enter an amount","OK")))))</f>
        <v/>
      </c>
    </row>
    <row r="402" ht="17" customHeight="1">
      <c r="B402" s="66" t="n"/>
      <c r="C402" s="60" t="n"/>
      <c r="D402" s="60" t="n"/>
      <c r="E402" s="63" t="n"/>
      <c r="F402" s="60" t="n"/>
      <c r="G402" s="60" t="n"/>
      <c r="H402" s="13">
        <f>IF($C402="","",IFERROR(INDEX('Lists'!$G$6:$G$35,MATCH($C402,'Lists'!$F$6:$F$35,0))&amp;"","Unknown category"))</f>
        <v/>
      </c>
      <c r="I402" s="80">
        <f>IF(AND($B402="",$C402="",$E402=""),"",IF(NOT(ISNUMBER($B402)),"Enter a valid date",IF($C402="","Pick a category",IF(OR($H402="Unknown category",$H402=""),"Category has no cost type",IF(NOT(ISNUMBER($E402)),"Enter an amount","OK")))))</f>
        <v/>
      </c>
    </row>
    <row r="403" ht="17" customHeight="1">
      <c r="B403" s="66" t="n"/>
      <c r="C403" s="60" t="n"/>
      <c r="D403" s="60" t="n"/>
      <c r="E403" s="63" t="n"/>
      <c r="F403" s="60" t="n"/>
      <c r="G403" s="60" t="n"/>
      <c r="H403" s="13">
        <f>IF($C403="","",IFERROR(INDEX('Lists'!$G$6:$G$35,MATCH($C403,'Lists'!$F$6:$F$35,0))&amp;"","Unknown category"))</f>
        <v/>
      </c>
      <c r="I403" s="80">
        <f>IF(AND($B403="",$C403="",$E403=""),"",IF(NOT(ISNUMBER($B403)),"Enter a valid date",IF($C403="","Pick a category",IF(OR($H403="Unknown category",$H403=""),"Category has no cost type",IF(NOT(ISNUMBER($E403)),"Enter an amount","OK")))))</f>
        <v/>
      </c>
    </row>
    <row r="404" ht="17" customHeight="1">
      <c r="B404" s="66" t="n"/>
      <c r="C404" s="60" t="n"/>
      <c r="D404" s="60" t="n"/>
      <c r="E404" s="63" t="n"/>
      <c r="F404" s="60" t="n"/>
      <c r="G404" s="60" t="n"/>
      <c r="H404" s="13">
        <f>IF($C404="","",IFERROR(INDEX('Lists'!$G$6:$G$35,MATCH($C404,'Lists'!$F$6:$F$35,0))&amp;"","Unknown category"))</f>
        <v/>
      </c>
      <c r="I404" s="80">
        <f>IF(AND($B404="",$C404="",$E404=""),"",IF(NOT(ISNUMBER($B404)),"Enter a valid date",IF($C404="","Pick a category",IF(OR($H404="Unknown category",$H404=""),"Category has no cost type",IF(NOT(ISNUMBER($E404)),"Enter an amount","OK")))))</f>
        <v/>
      </c>
    </row>
    <row r="405" ht="17" customHeight="1">
      <c r="B405" s="66" t="n"/>
      <c r="C405" s="60" t="n"/>
      <c r="D405" s="60" t="n"/>
      <c r="E405" s="63" t="n"/>
      <c r="F405" s="60" t="n"/>
      <c r="G405" s="60" t="n"/>
      <c r="H405" s="13">
        <f>IF($C405="","",IFERROR(INDEX('Lists'!$G$6:$G$35,MATCH($C405,'Lists'!$F$6:$F$35,0))&amp;"","Unknown category"))</f>
        <v/>
      </c>
      <c r="I405" s="80">
        <f>IF(AND($B405="",$C405="",$E405=""),"",IF(NOT(ISNUMBER($B405)),"Enter a valid date",IF($C405="","Pick a category",IF(OR($H405="Unknown category",$H405=""),"Category has no cost type",IF(NOT(ISNUMBER($E405)),"Enter an amount","OK")))))</f>
        <v/>
      </c>
    </row>
    <row r="406" ht="17" customHeight="1">
      <c r="B406" s="66" t="n"/>
      <c r="C406" s="60" t="n"/>
      <c r="D406" s="60" t="n"/>
      <c r="E406" s="63" t="n"/>
      <c r="F406" s="60" t="n"/>
      <c r="G406" s="60" t="n"/>
      <c r="H406" s="13">
        <f>IF($C406="","",IFERROR(INDEX('Lists'!$G$6:$G$35,MATCH($C406,'Lists'!$F$6:$F$35,0))&amp;"","Unknown category"))</f>
        <v/>
      </c>
      <c r="I406" s="80">
        <f>IF(AND($B406="",$C406="",$E406=""),"",IF(NOT(ISNUMBER($B406)),"Enter a valid date",IF($C406="","Pick a category",IF(OR($H406="Unknown category",$H406=""),"Category has no cost type",IF(NOT(ISNUMBER($E406)),"Enter an amount","OK")))))</f>
        <v/>
      </c>
    </row>
    <row r="407" ht="17" customHeight="1">
      <c r="B407" s="66" t="n"/>
      <c r="C407" s="60" t="n"/>
      <c r="D407" s="60" t="n"/>
      <c r="E407" s="63" t="n"/>
      <c r="F407" s="60" t="n"/>
      <c r="G407" s="60" t="n"/>
      <c r="H407" s="13">
        <f>IF($C407="","",IFERROR(INDEX('Lists'!$G$6:$G$35,MATCH($C407,'Lists'!$F$6:$F$35,0))&amp;"","Unknown category"))</f>
        <v/>
      </c>
      <c r="I407" s="80">
        <f>IF(AND($B407="",$C407="",$E407=""),"",IF(NOT(ISNUMBER($B407)),"Enter a valid date",IF($C407="","Pick a category",IF(OR($H407="Unknown category",$H407=""),"Category has no cost type",IF(NOT(ISNUMBER($E407)),"Enter an amount","OK")))))</f>
        <v/>
      </c>
    </row>
    <row r="408" ht="17" customHeight="1">
      <c r="B408" s="66" t="n"/>
      <c r="C408" s="60" t="n"/>
      <c r="D408" s="60" t="n"/>
      <c r="E408" s="63" t="n"/>
      <c r="F408" s="60" t="n"/>
      <c r="G408" s="60" t="n"/>
      <c r="H408" s="13">
        <f>IF($C408="","",IFERROR(INDEX('Lists'!$G$6:$G$35,MATCH($C408,'Lists'!$F$6:$F$35,0))&amp;"","Unknown category"))</f>
        <v/>
      </c>
      <c r="I408" s="80">
        <f>IF(AND($B408="",$C408="",$E408=""),"",IF(NOT(ISNUMBER($B408)),"Enter a valid date",IF($C408="","Pick a category",IF(OR($H408="Unknown category",$H408=""),"Category has no cost type",IF(NOT(ISNUMBER($E408)),"Enter an amount","OK")))))</f>
        <v/>
      </c>
    </row>
    <row r="409" ht="17" customHeight="1">
      <c r="B409" s="66" t="n"/>
      <c r="C409" s="60" t="n"/>
      <c r="D409" s="60" t="n"/>
      <c r="E409" s="63" t="n"/>
      <c r="F409" s="60" t="n"/>
      <c r="G409" s="60" t="n"/>
      <c r="H409" s="13">
        <f>IF($C409="","",IFERROR(INDEX('Lists'!$G$6:$G$35,MATCH($C409,'Lists'!$F$6:$F$35,0))&amp;"","Unknown category"))</f>
        <v/>
      </c>
      <c r="I409" s="80">
        <f>IF(AND($B409="",$C409="",$E409=""),"",IF(NOT(ISNUMBER($B409)),"Enter a valid date",IF($C409="","Pick a category",IF(OR($H409="Unknown category",$H409=""),"Category has no cost type",IF(NOT(ISNUMBER($E409)),"Enter an amount","OK")))))</f>
        <v/>
      </c>
    </row>
    <row r="410" ht="17" customHeight="1">
      <c r="B410" s="66" t="n"/>
      <c r="C410" s="60" t="n"/>
      <c r="D410" s="60" t="n"/>
      <c r="E410" s="63" t="n"/>
      <c r="F410" s="60" t="n"/>
      <c r="G410" s="60" t="n"/>
      <c r="H410" s="13">
        <f>IF($C410="","",IFERROR(INDEX('Lists'!$G$6:$G$35,MATCH($C410,'Lists'!$F$6:$F$35,0))&amp;"","Unknown category"))</f>
        <v/>
      </c>
      <c r="I410" s="80">
        <f>IF(AND($B410="",$C410="",$E410=""),"",IF(NOT(ISNUMBER($B410)),"Enter a valid date",IF($C410="","Pick a category",IF(OR($H410="Unknown category",$H410=""),"Category has no cost type",IF(NOT(ISNUMBER($E410)),"Enter an amount","OK")))))</f>
        <v/>
      </c>
    </row>
    <row r="411" ht="17" customHeight="1">
      <c r="B411" s="66" t="n"/>
      <c r="C411" s="60" t="n"/>
      <c r="D411" s="60" t="n"/>
      <c r="E411" s="63" t="n"/>
      <c r="F411" s="60" t="n"/>
      <c r="G411" s="60" t="n"/>
      <c r="H411" s="13">
        <f>IF($C411="","",IFERROR(INDEX('Lists'!$G$6:$G$35,MATCH($C411,'Lists'!$F$6:$F$35,0))&amp;"","Unknown category"))</f>
        <v/>
      </c>
      <c r="I411" s="80">
        <f>IF(AND($B411="",$C411="",$E411=""),"",IF(NOT(ISNUMBER($B411)),"Enter a valid date",IF($C411="","Pick a category",IF(OR($H411="Unknown category",$H411=""),"Category has no cost type",IF(NOT(ISNUMBER($E411)),"Enter an amount","OK")))))</f>
        <v/>
      </c>
    </row>
    <row r="412" ht="17" customHeight="1">
      <c r="B412" s="66" t="n"/>
      <c r="C412" s="60" t="n"/>
      <c r="D412" s="60" t="n"/>
      <c r="E412" s="63" t="n"/>
      <c r="F412" s="60" t="n"/>
      <c r="G412" s="60" t="n"/>
      <c r="H412" s="13">
        <f>IF($C412="","",IFERROR(INDEX('Lists'!$G$6:$G$35,MATCH($C412,'Lists'!$F$6:$F$35,0))&amp;"","Unknown category"))</f>
        <v/>
      </c>
      <c r="I412" s="80">
        <f>IF(AND($B412="",$C412="",$E412=""),"",IF(NOT(ISNUMBER($B412)),"Enter a valid date",IF($C412="","Pick a category",IF(OR($H412="Unknown category",$H412=""),"Category has no cost type",IF(NOT(ISNUMBER($E412)),"Enter an amount","OK")))))</f>
        <v/>
      </c>
    </row>
    <row r="413" ht="17" customHeight="1">
      <c r="B413" s="66" t="n"/>
      <c r="C413" s="60" t="n"/>
      <c r="D413" s="60" t="n"/>
      <c r="E413" s="63" t="n"/>
      <c r="F413" s="60" t="n"/>
      <c r="G413" s="60" t="n"/>
      <c r="H413" s="13">
        <f>IF($C413="","",IFERROR(INDEX('Lists'!$G$6:$G$35,MATCH($C413,'Lists'!$F$6:$F$35,0))&amp;"","Unknown category"))</f>
        <v/>
      </c>
      <c r="I413" s="80">
        <f>IF(AND($B413="",$C413="",$E413=""),"",IF(NOT(ISNUMBER($B413)),"Enter a valid date",IF($C413="","Pick a category",IF(OR($H413="Unknown category",$H413=""),"Category has no cost type",IF(NOT(ISNUMBER($E413)),"Enter an amount","OK")))))</f>
        <v/>
      </c>
    </row>
    <row r="414" ht="17" customHeight="1">
      <c r="B414" s="66" t="n"/>
      <c r="C414" s="60" t="n"/>
      <c r="D414" s="60" t="n"/>
      <c r="E414" s="63" t="n"/>
      <c r="F414" s="60" t="n"/>
      <c r="G414" s="60" t="n"/>
      <c r="H414" s="13">
        <f>IF($C414="","",IFERROR(INDEX('Lists'!$G$6:$G$35,MATCH($C414,'Lists'!$F$6:$F$35,0))&amp;"","Unknown category"))</f>
        <v/>
      </c>
      <c r="I414" s="80">
        <f>IF(AND($B414="",$C414="",$E414=""),"",IF(NOT(ISNUMBER($B414)),"Enter a valid date",IF($C414="","Pick a category",IF(OR($H414="Unknown category",$H414=""),"Category has no cost type",IF(NOT(ISNUMBER($E414)),"Enter an amount","OK")))))</f>
        <v/>
      </c>
    </row>
    <row r="415" ht="17" customHeight="1">
      <c r="B415" s="66" t="n"/>
      <c r="C415" s="60" t="n"/>
      <c r="D415" s="60" t="n"/>
      <c r="E415" s="63" t="n"/>
      <c r="F415" s="60" t="n"/>
      <c r="G415" s="60" t="n"/>
      <c r="H415" s="13">
        <f>IF($C415="","",IFERROR(INDEX('Lists'!$G$6:$G$35,MATCH($C415,'Lists'!$F$6:$F$35,0))&amp;"","Unknown category"))</f>
        <v/>
      </c>
      <c r="I415" s="80">
        <f>IF(AND($B415="",$C415="",$E415=""),"",IF(NOT(ISNUMBER($B415)),"Enter a valid date",IF($C415="","Pick a category",IF(OR($H415="Unknown category",$H415=""),"Category has no cost type",IF(NOT(ISNUMBER($E415)),"Enter an amount","OK")))))</f>
        <v/>
      </c>
    </row>
    <row r="416" ht="17" customHeight="1">
      <c r="B416" s="66" t="n"/>
      <c r="C416" s="60" t="n"/>
      <c r="D416" s="60" t="n"/>
      <c r="E416" s="63" t="n"/>
      <c r="F416" s="60" t="n"/>
      <c r="G416" s="60" t="n"/>
      <c r="H416" s="13">
        <f>IF($C416="","",IFERROR(INDEX('Lists'!$G$6:$G$35,MATCH($C416,'Lists'!$F$6:$F$35,0))&amp;"","Unknown category"))</f>
        <v/>
      </c>
      <c r="I416" s="80">
        <f>IF(AND($B416="",$C416="",$E416=""),"",IF(NOT(ISNUMBER($B416)),"Enter a valid date",IF($C416="","Pick a category",IF(OR($H416="Unknown category",$H416=""),"Category has no cost type",IF(NOT(ISNUMBER($E416)),"Enter an amount","OK")))))</f>
        <v/>
      </c>
    </row>
    <row r="417" ht="17" customHeight="1">
      <c r="B417" s="66" t="n"/>
      <c r="C417" s="60" t="n"/>
      <c r="D417" s="60" t="n"/>
      <c r="E417" s="63" t="n"/>
      <c r="F417" s="60" t="n"/>
      <c r="G417" s="60" t="n"/>
      <c r="H417" s="13">
        <f>IF($C417="","",IFERROR(INDEX('Lists'!$G$6:$G$35,MATCH($C417,'Lists'!$F$6:$F$35,0))&amp;"","Unknown category"))</f>
        <v/>
      </c>
      <c r="I417" s="80">
        <f>IF(AND($B417="",$C417="",$E417=""),"",IF(NOT(ISNUMBER($B417)),"Enter a valid date",IF($C417="","Pick a category",IF(OR($H417="Unknown category",$H417=""),"Category has no cost type",IF(NOT(ISNUMBER($E417)),"Enter an amount","OK")))))</f>
        <v/>
      </c>
    </row>
    <row r="418" ht="17" customHeight="1">
      <c r="B418" s="66" t="n"/>
      <c r="C418" s="60" t="n"/>
      <c r="D418" s="60" t="n"/>
      <c r="E418" s="63" t="n"/>
      <c r="F418" s="60" t="n"/>
      <c r="G418" s="60" t="n"/>
      <c r="H418" s="13">
        <f>IF($C418="","",IFERROR(INDEX('Lists'!$G$6:$G$35,MATCH($C418,'Lists'!$F$6:$F$35,0))&amp;"","Unknown category"))</f>
        <v/>
      </c>
      <c r="I418" s="80">
        <f>IF(AND($B418="",$C418="",$E418=""),"",IF(NOT(ISNUMBER($B418)),"Enter a valid date",IF($C418="","Pick a category",IF(OR($H418="Unknown category",$H418=""),"Category has no cost type",IF(NOT(ISNUMBER($E418)),"Enter an amount","OK")))))</f>
        <v/>
      </c>
    </row>
    <row r="419" ht="17" customHeight="1">
      <c r="B419" s="66" t="n"/>
      <c r="C419" s="60" t="n"/>
      <c r="D419" s="60" t="n"/>
      <c r="E419" s="63" t="n"/>
      <c r="F419" s="60" t="n"/>
      <c r="G419" s="60" t="n"/>
      <c r="H419" s="13">
        <f>IF($C419="","",IFERROR(INDEX('Lists'!$G$6:$G$35,MATCH($C419,'Lists'!$F$6:$F$35,0))&amp;"","Unknown category"))</f>
        <v/>
      </c>
      <c r="I419" s="80">
        <f>IF(AND($B419="",$C419="",$E419=""),"",IF(NOT(ISNUMBER($B419)),"Enter a valid date",IF($C419="","Pick a category",IF(OR($H419="Unknown category",$H419=""),"Category has no cost type",IF(NOT(ISNUMBER($E419)),"Enter an amount","OK")))))</f>
        <v/>
      </c>
    </row>
    <row r="420" ht="17" customHeight="1">
      <c r="B420" s="66" t="n"/>
      <c r="C420" s="60" t="n"/>
      <c r="D420" s="60" t="n"/>
      <c r="E420" s="63" t="n"/>
      <c r="F420" s="60" t="n"/>
      <c r="G420" s="60" t="n"/>
      <c r="H420" s="13">
        <f>IF($C420="","",IFERROR(INDEX('Lists'!$G$6:$G$35,MATCH($C420,'Lists'!$F$6:$F$35,0))&amp;"","Unknown category"))</f>
        <v/>
      </c>
      <c r="I420" s="80">
        <f>IF(AND($B420="",$C420="",$E420=""),"",IF(NOT(ISNUMBER($B420)),"Enter a valid date",IF($C420="","Pick a category",IF(OR($H420="Unknown category",$H420=""),"Category has no cost type",IF(NOT(ISNUMBER($E420)),"Enter an amount","OK")))))</f>
        <v/>
      </c>
    </row>
    <row r="421" ht="17" customHeight="1">
      <c r="B421" s="66" t="n"/>
      <c r="C421" s="60" t="n"/>
      <c r="D421" s="60" t="n"/>
      <c r="E421" s="63" t="n"/>
      <c r="F421" s="60" t="n"/>
      <c r="G421" s="60" t="n"/>
      <c r="H421" s="13">
        <f>IF($C421="","",IFERROR(INDEX('Lists'!$G$6:$G$35,MATCH($C421,'Lists'!$F$6:$F$35,0))&amp;"","Unknown category"))</f>
        <v/>
      </c>
      <c r="I421" s="80">
        <f>IF(AND($B421="",$C421="",$E421=""),"",IF(NOT(ISNUMBER($B421)),"Enter a valid date",IF($C421="","Pick a category",IF(OR($H421="Unknown category",$H421=""),"Category has no cost type",IF(NOT(ISNUMBER($E421)),"Enter an amount","OK")))))</f>
        <v/>
      </c>
    </row>
    <row r="422" ht="17" customHeight="1">
      <c r="B422" s="66" t="n"/>
      <c r="C422" s="60" t="n"/>
      <c r="D422" s="60" t="n"/>
      <c r="E422" s="63" t="n"/>
      <c r="F422" s="60" t="n"/>
      <c r="G422" s="60" t="n"/>
      <c r="H422" s="13">
        <f>IF($C422="","",IFERROR(INDEX('Lists'!$G$6:$G$35,MATCH($C422,'Lists'!$F$6:$F$35,0))&amp;"","Unknown category"))</f>
        <v/>
      </c>
      <c r="I422" s="80">
        <f>IF(AND($B422="",$C422="",$E422=""),"",IF(NOT(ISNUMBER($B422)),"Enter a valid date",IF($C422="","Pick a category",IF(OR($H422="Unknown category",$H422=""),"Category has no cost type",IF(NOT(ISNUMBER($E422)),"Enter an amount","OK")))))</f>
        <v/>
      </c>
    </row>
    <row r="423" ht="17" customHeight="1">
      <c r="B423" s="66" t="n"/>
      <c r="C423" s="60" t="n"/>
      <c r="D423" s="60" t="n"/>
      <c r="E423" s="63" t="n"/>
      <c r="F423" s="60" t="n"/>
      <c r="G423" s="60" t="n"/>
      <c r="H423" s="13">
        <f>IF($C423="","",IFERROR(INDEX('Lists'!$G$6:$G$35,MATCH($C423,'Lists'!$F$6:$F$35,0))&amp;"","Unknown category"))</f>
        <v/>
      </c>
      <c r="I423" s="80">
        <f>IF(AND($B423="",$C423="",$E423=""),"",IF(NOT(ISNUMBER($B423)),"Enter a valid date",IF($C423="","Pick a category",IF(OR($H423="Unknown category",$H423=""),"Category has no cost type",IF(NOT(ISNUMBER($E423)),"Enter an amount","OK")))))</f>
        <v/>
      </c>
    </row>
    <row r="424" ht="17" customHeight="1">
      <c r="B424" s="66" t="n"/>
      <c r="C424" s="60" t="n"/>
      <c r="D424" s="60" t="n"/>
      <c r="E424" s="63" t="n"/>
      <c r="F424" s="60" t="n"/>
      <c r="G424" s="60" t="n"/>
      <c r="H424" s="13">
        <f>IF($C424="","",IFERROR(INDEX('Lists'!$G$6:$G$35,MATCH($C424,'Lists'!$F$6:$F$35,0))&amp;"","Unknown category"))</f>
        <v/>
      </c>
      <c r="I424" s="80">
        <f>IF(AND($B424="",$C424="",$E424=""),"",IF(NOT(ISNUMBER($B424)),"Enter a valid date",IF($C424="","Pick a category",IF(OR($H424="Unknown category",$H424=""),"Category has no cost type",IF(NOT(ISNUMBER($E424)),"Enter an amount","OK")))))</f>
        <v/>
      </c>
    </row>
    <row r="425" ht="17" customHeight="1">
      <c r="B425" s="66" t="n"/>
      <c r="C425" s="60" t="n"/>
      <c r="D425" s="60" t="n"/>
      <c r="E425" s="63" t="n"/>
      <c r="F425" s="60" t="n"/>
      <c r="G425" s="60" t="n"/>
      <c r="H425" s="13">
        <f>IF($C425="","",IFERROR(INDEX('Lists'!$G$6:$G$35,MATCH($C425,'Lists'!$F$6:$F$35,0))&amp;"","Unknown category"))</f>
        <v/>
      </c>
      <c r="I425" s="80">
        <f>IF(AND($B425="",$C425="",$E425=""),"",IF(NOT(ISNUMBER($B425)),"Enter a valid date",IF($C425="","Pick a category",IF(OR($H425="Unknown category",$H425=""),"Category has no cost type",IF(NOT(ISNUMBER($E425)),"Enter an amount","OK")))))</f>
        <v/>
      </c>
    </row>
    <row r="426" ht="17" customHeight="1">
      <c r="B426" s="66" t="n"/>
      <c r="C426" s="60" t="n"/>
      <c r="D426" s="60" t="n"/>
      <c r="E426" s="63" t="n"/>
      <c r="F426" s="60" t="n"/>
      <c r="G426" s="60" t="n"/>
      <c r="H426" s="13">
        <f>IF($C426="","",IFERROR(INDEX('Lists'!$G$6:$G$35,MATCH($C426,'Lists'!$F$6:$F$35,0))&amp;"","Unknown category"))</f>
        <v/>
      </c>
      <c r="I426" s="80">
        <f>IF(AND($B426="",$C426="",$E426=""),"",IF(NOT(ISNUMBER($B426)),"Enter a valid date",IF($C426="","Pick a category",IF(OR($H426="Unknown category",$H426=""),"Category has no cost type",IF(NOT(ISNUMBER($E426)),"Enter an amount","OK")))))</f>
        <v/>
      </c>
    </row>
    <row r="427" ht="17" customHeight="1">
      <c r="B427" s="66" t="n"/>
      <c r="C427" s="60" t="n"/>
      <c r="D427" s="60" t="n"/>
      <c r="E427" s="63" t="n"/>
      <c r="F427" s="60" t="n"/>
      <c r="G427" s="60" t="n"/>
      <c r="H427" s="13">
        <f>IF($C427="","",IFERROR(INDEX('Lists'!$G$6:$G$35,MATCH($C427,'Lists'!$F$6:$F$35,0))&amp;"","Unknown category"))</f>
        <v/>
      </c>
      <c r="I427" s="80">
        <f>IF(AND($B427="",$C427="",$E427=""),"",IF(NOT(ISNUMBER($B427)),"Enter a valid date",IF($C427="","Pick a category",IF(OR($H427="Unknown category",$H427=""),"Category has no cost type",IF(NOT(ISNUMBER($E427)),"Enter an amount","OK")))))</f>
        <v/>
      </c>
    </row>
    <row r="428" ht="17" customHeight="1">
      <c r="B428" s="66" t="n"/>
      <c r="C428" s="60" t="n"/>
      <c r="D428" s="60" t="n"/>
      <c r="E428" s="63" t="n"/>
      <c r="F428" s="60" t="n"/>
      <c r="G428" s="60" t="n"/>
      <c r="H428" s="13">
        <f>IF($C428="","",IFERROR(INDEX('Lists'!$G$6:$G$35,MATCH($C428,'Lists'!$F$6:$F$35,0))&amp;"","Unknown category"))</f>
        <v/>
      </c>
      <c r="I428" s="80">
        <f>IF(AND($B428="",$C428="",$E428=""),"",IF(NOT(ISNUMBER($B428)),"Enter a valid date",IF($C428="","Pick a category",IF(OR($H428="Unknown category",$H428=""),"Category has no cost type",IF(NOT(ISNUMBER($E428)),"Enter an amount","OK")))))</f>
        <v/>
      </c>
    </row>
    <row r="429" ht="17" customHeight="1">
      <c r="B429" s="66" t="n"/>
      <c r="C429" s="60" t="n"/>
      <c r="D429" s="60" t="n"/>
      <c r="E429" s="63" t="n"/>
      <c r="F429" s="60" t="n"/>
      <c r="G429" s="60" t="n"/>
      <c r="H429" s="13">
        <f>IF($C429="","",IFERROR(INDEX('Lists'!$G$6:$G$35,MATCH($C429,'Lists'!$F$6:$F$35,0))&amp;"","Unknown category"))</f>
        <v/>
      </c>
      <c r="I429" s="80">
        <f>IF(AND($B429="",$C429="",$E429=""),"",IF(NOT(ISNUMBER($B429)),"Enter a valid date",IF($C429="","Pick a category",IF(OR($H429="Unknown category",$H429=""),"Category has no cost type",IF(NOT(ISNUMBER($E429)),"Enter an amount","OK")))))</f>
        <v/>
      </c>
    </row>
    <row r="430" ht="17" customHeight="1">
      <c r="B430" s="66" t="n"/>
      <c r="C430" s="60" t="n"/>
      <c r="D430" s="60" t="n"/>
      <c r="E430" s="63" t="n"/>
      <c r="F430" s="60" t="n"/>
      <c r="G430" s="60" t="n"/>
      <c r="H430" s="13">
        <f>IF($C430="","",IFERROR(INDEX('Lists'!$G$6:$G$35,MATCH($C430,'Lists'!$F$6:$F$35,0))&amp;"","Unknown category"))</f>
        <v/>
      </c>
      <c r="I430" s="80">
        <f>IF(AND($B430="",$C430="",$E430=""),"",IF(NOT(ISNUMBER($B430)),"Enter a valid date",IF($C430="","Pick a category",IF(OR($H430="Unknown category",$H430=""),"Category has no cost type",IF(NOT(ISNUMBER($E430)),"Enter an amount","OK")))))</f>
        <v/>
      </c>
    </row>
    <row r="431" ht="17" customHeight="1">
      <c r="B431" s="66" t="n"/>
      <c r="C431" s="60" t="n"/>
      <c r="D431" s="60" t="n"/>
      <c r="E431" s="63" t="n"/>
      <c r="F431" s="60" t="n"/>
      <c r="G431" s="60" t="n"/>
      <c r="H431" s="13">
        <f>IF($C431="","",IFERROR(INDEX('Lists'!$G$6:$G$35,MATCH($C431,'Lists'!$F$6:$F$35,0))&amp;"","Unknown category"))</f>
        <v/>
      </c>
      <c r="I431" s="80">
        <f>IF(AND($B431="",$C431="",$E431=""),"",IF(NOT(ISNUMBER($B431)),"Enter a valid date",IF($C431="","Pick a category",IF(OR($H431="Unknown category",$H431=""),"Category has no cost type",IF(NOT(ISNUMBER($E431)),"Enter an amount","OK")))))</f>
        <v/>
      </c>
    </row>
    <row r="432" ht="17" customHeight="1">
      <c r="B432" s="66" t="n"/>
      <c r="C432" s="60" t="n"/>
      <c r="D432" s="60" t="n"/>
      <c r="E432" s="63" t="n"/>
      <c r="F432" s="60" t="n"/>
      <c r="G432" s="60" t="n"/>
      <c r="H432" s="13">
        <f>IF($C432="","",IFERROR(INDEX('Lists'!$G$6:$G$35,MATCH($C432,'Lists'!$F$6:$F$35,0))&amp;"","Unknown category"))</f>
        <v/>
      </c>
      <c r="I432" s="80">
        <f>IF(AND($B432="",$C432="",$E432=""),"",IF(NOT(ISNUMBER($B432)),"Enter a valid date",IF($C432="","Pick a category",IF(OR($H432="Unknown category",$H432=""),"Category has no cost type",IF(NOT(ISNUMBER($E432)),"Enter an amount","OK")))))</f>
        <v/>
      </c>
    </row>
    <row r="433" ht="17" customHeight="1">
      <c r="B433" s="66" t="n"/>
      <c r="C433" s="60" t="n"/>
      <c r="D433" s="60" t="n"/>
      <c r="E433" s="63" t="n"/>
      <c r="F433" s="60" t="n"/>
      <c r="G433" s="60" t="n"/>
      <c r="H433" s="13">
        <f>IF($C433="","",IFERROR(INDEX('Lists'!$G$6:$G$35,MATCH($C433,'Lists'!$F$6:$F$35,0))&amp;"","Unknown category"))</f>
        <v/>
      </c>
      <c r="I433" s="80">
        <f>IF(AND($B433="",$C433="",$E433=""),"",IF(NOT(ISNUMBER($B433)),"Enter a valid date",IF($C433="","Pick a category",IF(OR($H433="Unknown category",$H433=""),"Category has no cost type",IF(NOT(ISNUMBER($E433)),"Enter an amount","OK")))))</f>
        <v/>
      </c>
    </row>
    <row r="434" ht="17" customHeight="1">
      <c r="B434" s="66" t="n"/>
      <c r="C434" s="60" t="n"/>
      <c r="D434" s="60" t="n"/>
      <c r="E434" s="63" t="n"/>
      <c r="F434" s="60" t="n"/>
      <c r="G434" s="60" t="n"/>
      <c r="H434" s="13">
        <f>IF($C434="","",IFERROR(INDEX('Lists'!$G$6:$G$35,MATCH($C434,'Lists'!$F$6:$F$35,0))&amp;"","Unknown category"))</f>
        <v/>
      </c>
      <c r="I434" s="80">
        <f>IF(AND($B434="",$C434="",$E434=""),"",IF(NOT(ISNUMBER($B434)),"Enter a valid date",IF($C434="","Pick a category",IF(OR($H434="Unknown category",$H434=""),"Category has no cost type",IF(NOT(ISNUMBER($E434)),"Enter an amount","OK")))))</f>
        <v/>
      </c>
    </row>
    <row r="435" ht="17" customHeight="1">
      <c r="B435" s="66" t="n"/>
      <c r="C435" s="60" t="n"/>
      <c r="D435" s="60" t="n"/>
      <c r="E435" s="63" t="n"/>
      <c r="F435" s="60" t="n"/>
      <c r="G435" s="60" t="n"/>
      <c r="H435" s="13">
        <f>IF($C435="","",IFERROR(INDEX('Lists'!$G$6:$G$35,MATCH($C435,'Lists'!$F$6:$F$35,0))&amp;"","Unknown category"))</f>
        <v/>
      </c>
      <c r="I435" s="80">
        <f>IF(AND($B435="",$C435="",$E435=""),"",IF(NOT(ISNUMBER($B435)),"Enter a valid date",IF($C435="","Pick a category",IF(OR($H435="Unknown category",$H435=""),"Category has no cost type",IF(NOT(ISNUMBER($E435)),"Enter an amount","OK")))))</f>
        <v/>
      </c>
    </row>
    <row r="436" ht="17" customHeight="1">
      <c r="B436" s="66" t="n"/>
      <c r="C436" s="60" t="n"/>
      <c r="D436" s="60" t="n"/>
      <c r="E436" s="63" t="n"/>
      <c r="F436" s="60" t="n"/>
      <c r="G436" s="60" t="n"/>
      <c r="H436" s="13">
        <f>IF($C436="","",IFERROR(INDEX('Lists'!$G$6:$G$35,MATCH($C436,'Lists'!$F$6:$F$35,0))&amp;"","Unknown category"))</f>
        <v/>
      </c>
      <c r="I436" s="80">
        <f>IF(AND($B436="",$C436="",$E436=""),"",IF(NOT(ISNUMBER($B436)),"Enter a valid date",IF($C436="","Pick a category",IF(OR($H436="Unknown category",$H436=""),"Category has no cost type",IF(NOT(ISNUMBER($E436)),"Enter an amount","OK")))))</f>
        <v/>
      </c>
    </row>
    <row r="437" ht="17" customHeight="1">
      <c r="B437" s="66" t="n"/>
      <c r="C437" s="60" t="n"/>
      <c r="D437" s="60" t="n"/>
      <c r="E437" s="63" t="n"/>
      <c r="F437" s="60" t="n"/>
      <c r="G437" s="60" t="n"/>
      <c r="H437" s="13">
        <f>IF($C437="","",IFERROR(INDEX('Lists'!$G$6:$G$35,MATCH($C437,'Lists'!$F$6:$F$35,0))&amp;"","Unknown category"))</f>
        <v/>
      </c>
      <c r="I437" s="80">
        <f>IF(AND($B437="",$C437="",$E437=""),"",IF(NOT(ISNUMBER($B437)),"Enter a valid date",IF($C437="","Pick a category",IF(OR($H437="Unknown category",$H437=""),"Category has no cost type",IF(NOT(ISNUMBER($E437)),"Enter an amount","OK")))))</f>
        <v/>
      </c>
    </row>
    <row r="438" ht="17" customHeight="1">
      <c r="B438" s="66" t="n"/>
      <c r="C438" s="60" t="n"/>
      <c r="D438" s="60" t="n"/>
      <c r="E438" s="63" t="n"/>
      <c r="F438" s="60" t="n"/>
      <c r="G438" s="60" t="n"/>
      <c r="H438" s="13">
        <f>IF($C438="","",IFERROR(INDEX('Lists'!$G$6:$G$35,MATCH($C438,'Lists'!$F$6:$F$35,0))&amp;"","Unknown category"))</f>
        <v/>
      </c>
      <c r="I438" s="80">
        <f>IF(AND($B438="",$C438="",$E438=""),"",IF(NOT(ISNUMBER($B438)),"Enter a valid date",IF($C438="","Pick a category",IF(OR($H438="Unknown category",$H438=""),"Category has no cost type",IF(NOT(ISNUMBER($E438)),"Enter an amount","OK")))))</f>
        <v/>
      </c>
    </row>
    <row r="439" ht="17" customHeight="1">
      <c r="B439" s="66" t="n"/>
      <c r="C439" s="60" t="n"/>
      <c r="D439" s="60" t="n"/>
      <c r="E439" s="63" t="n"/>
      <c r="F439" s="60" t="n"/>
      <c r="G439" s="60" t="n"/>
      <c r="H439" s="13">
        <f>IF($C439="","",IFERROR(INDEX('Lists'!$G$6:$G$35,MATCH($C439,'Lists'!$F$6:$F$35,0))&amp;"","Unknown category"))</f>
        <v/>
      </c>
      <c r="I439" s="80">
        <f>IF(AND($B439="",$C439="",$E439=""),"",IF(NOT(ISNUMBER($B439)),"Enter a valid date",IF($C439="","Pick a category",IF(OR($H439="Unknown category",$H439=""),"Category has no cost type",IF(NOT(ISNUMBER($E439)),"Enter an amount","OK")))))</f>
        <v/>
      </c>
    </row>
    <row r="440" ht="17" customHeight="1">
      <c r="B440" s="66" t="n"/>
      <c r="C440" s="60" t="n"/>
      <c r="D440" s="60" t="n"/>
      <c r="E440" s="63" t="n"/>
      <c r="F440" s="60" t="n"/>
      <c r="G440" s="60" t="n"/>
      <c r="H440" s="13">
        <f>IF($C440="","",IFERROR(INDEX('Lists'!$G$6:$G$35,MATCH($C440,'Lists'!$F$6:$F$35,0))&amp;"","Unknown category"))</f>
        <v/>
      </c>
      <c r="I440" s="80">
        <f>IF(AND($B440="",$C440="",$E440=""),"",IF(NOT(ISNUMBER($B440)),"Enter a valid date",IF($C440="","Pick a category",IF(OR($H440="Unknown category",$H440=""),"Category has no cost type",IF(NOT(ISNUMBER($E440)),"Enter an amount","OK")))))</f>
        <v/>
      </c>
    </row>
    <row r="441" ht="17" customHeight="1">
      <c r="B441" s="66" t="n"/>
      <c r="C441" s="60" t="n"/>
      <c r="D441" s="60" t="n"/>
      <c r="E441" s="63" t="n"/>
      <c r="F441" s="60" t="n"/>
      <c r="G441" s="60" t="n"/>
      <c r="H441" s="13">
        <f>IF($C441="","",IFERROR(INDEX('Lists'!$G$6:$G$35,MATCH($C441,'Lists'!$F$6:$F$35,0))&amp;"","Unknown category"))</f>
        <v/>
      </c>
      <c r="I441" s="80">
        <f>IF(AND($B441="",$C441="",$E441=""),"",IF(NOT(ISNUMBER($B441)),"Enter a valid date",IF($C441="","Pick a category",IF(OR($H441="Unknown category",$H441=""),"Category has no cost type",IF(NOT(ISNUMBER($E441)),"Enter an amount","OK")))))</f>
        <v/>
      </c>
    </row>
    <row r="442" ht="17" customHeight="1">
      <c r="B442" s="66" t="n"/>
      <c r="C442" s="60" t="n"/>
      <c r="D442" s="60" t="n"/>
      <c r="E442" s="63" t="n"/>
      <c r="F442" s="60" t="n"/>
      <c r="G442" s="60" t="n"/>
      <c r="H442" s="13">
        <f>IF($C442="","",IFERROR(INDEX('Lists'!$G$6:$G$35,MATCH($C442,'Lists'!$F$6:$F$35,0))&amp;"","Unknown category"))</f>
        <v/>
      </c>
      <c r="I442" s="80">
        <f>IF(AND($B442="",$C442="",$E442=""),"",IF(NOT(ISNUMBER($B442)),"Enter a valid date",IF($C442="","Pick a category",IF(OR($H442="Unknown category",$H442=""),"Category has no cost type",IF(NOT(ISNUMBER($E442)),"Enter an amount","OK")))))</f>
        <v/>
      </c>
    </row>
    <row r="443" ht="17" customHeight="1">
      <c r="B443" s="66" t="n"/>
      <c r="C443" s="60" t="n"/>
      <c r="D443" s="60" t="n"/>
      <c r="E443" s="63" t="n"/>
      <c r="F443" s="60" t="n"/>
      <c r="G443" s="60" t="n"/>
      <c r="H443" s="13">
        <f>IF($C443="","",IFERROR(INDEX('Lists'!$G$6:$G$35,MATCH($C443,'Lists'!$F$6:$F$35,0))&amp;"","Unknown category"))</f>
        <v/>
      </c>
      <c r="I443" s="80">
        <f>IF(AND($B443="",$C443="",$E443=""),"",IF(NOT(ISNUMBER($B443)),"Enter a valid date",IF($C443="","Pick a category",IF(OR($H443="Unknown category",$H443=""),"Category has no cost type",IF(NOT(ISNUMBER($E443)),"Enter an amount","OK")))))</f>
        <v/>
      </c>
    </row>
    <row r="444" ht="17" customHeight="1">
      <c r="B444" s="66" t="n"/>
      <c r="C444" s="60" t="n"/>
      <c r="D444" s="60" t="n"/>
      <c r="E444" s="63" t="n"/>
      <c r="F444" s="60" t="n"/>
      <c r="G444" s="60" t="n"/>
      <c r="H444" s="13">
        <f>IF($C444="","",IFERROR(INDEX('Lists'!$G$6:$G$35,MATCH($C444,'Lists'!$F$6:$F$35,0))&amp;"","Unknown category"))</f>
        <v/>
      </c>
      <c r="I444" s="80">
        <f>IF(AND($B444="",$C444="",$E444=""),"",IF(NOT(ISNUMBER($B444)),"Enter a valid date",IF($C444="","Pick a category",IF(OR($H444="Unknown category",$H444=""),"Category has no cost type",IF(NOT(ISNUMBER($E444)),"Enter an amount","OK")))))</f>
        <v/>
      </c>
    </row>
    <row r="445" ht="17" customHeight="1">
      <c r="B445" s="66" t="n"/>
      <c r="C445" s="60" t="n"/>
      <c r="D445" s="60" t="n"/>
      <c r="E445" s="63" t="n"/>
      <c r="F445" s="60" t="n"/>
      <c r="G445" s="60" t="n"/>
      <c r="H445" s="13">
        <f>IF($C445="","",IFERROR(INDEX('Lists'!$G$6:$G$35,MATCH($C445,'Lists'!$F$6:$F$35,0))&amp;"","Unknown category"))</f>
        <v/>
      </c>
      <c r="I445" s="80">
        <f>IF(AND($B445="",$C445="",$E445=""),"",IF(NOT(ISNUMBER($B445)),"Enter a valid date",IF($C445="","Pick a category",IF(OR($H445="Unknown category",$H445=""),"Category has no cost type",IF(NOT(ISNUMBER($E445)),"Enter an amount","OK")))))</f>
        <v/>
      </c>
    </row>
    <row r="446" ht="17" customHeight="1">
      <c r="B446" s="66" t="n"/>
      <c r="C446" s="60" t="n"/>
      <c r="D446" s="60" t="n"/>
      <c r="E446" s="63" t="n"/>
      <c r="F446" s="60" t="n"/>
      <c r="G446" s="60" t="n"/>
      <c r="H446" s="13">
        <f>IF($C446="","",IFERROR(INDEX('Lists'!$G$6:$G$35,MATCH($C446,'Lists'!$F$6:$F$35,0))&amp;"","Unknown category"))</f>
        <v/>
      </c>
      <c r="I446" s="80">
        <f>IF(AND($B446="",$C446="",$E446=""),"",IF(NOT(ISNUMBER($B446)),"Enter a valid date",IF($C446="","Pick a category",IF(OR($H446="Unknown category",$H446=""),"Category has no cost type",IF(NOT(ISNUMBER($E446)),"Enter an amount","OK")))))</f>
        <v/>
      </c>
    </row>
    <row r="447" ht="17" customHeight="1">
      <c r="B447" s="66" t="n"/>
      <c r="C447" s="60" t="n"/>
      <c r="D447" s="60" t="n"/>
      <c r="E447" s="63" t="n"/>
      <c r="F447" s="60" t="n"/>
      <c r="G447" s="60" t="n"/>
      <c r="H447" s="13">
        <f>IF($C447="","",IFERROR(INDEX('Lists'!$G$6:$G$35,MATCH($C447,'Lists'!$F$6:$F$35,0))&amp;"","Unknown category"))</f>
        <v/>
      </c>
      <c r="I447" s="80">
        <f>IF(AND($B447="",$C447="",$E447=""),"",IF(NOT(ISNUMBER($B447)),"Enter a valid date",IF($C447="","Pick a category",IF(OR($H447="Unknown category",$H447=""),"Category has no cost type",IF(NOT(ISNUMBER($E447)),"Enter an amount","OK")))))</f>
        <v/>
      </c>
    </row>
    <row r="448" ht="17" customHeight="1">
      <c r="B448" s="66" t="n"/>
      <c r="C448" s="60" t="n"/>
      <c r="D448" s="60" t="n"/>
      <c r="E448" s="63" t="n"/>
      <c r="F448" s="60" t="n"/>
      <c r="G448" s="60" t="n"/>
      <c r="H448" s="13">
        <f>IF($C448="","",IFERROR(INDEX('Lists'!$G$6:$G$35,MATCH($C448,'Lists'!$F$6:$F$35,0))&amp;"","Unknown category"))</f>
        <v/>
      </c>
      <c r="I448" s="80">
        <f>IF(AND($B448="",$C448="",$E448=""),"",IF(NOT(ISNUMBER($B448)),"Enter a valid date",IF($C448="","Pick a category",IF(OR($H448="Unknown category",$H448=""),"Category has no cost type",IF(NOT(ISNUMBER($E448)),"Enter an amount","OK")))))</f>
        <v/>
      </c>
    </row>
    <row r="449" ht="17" customHeight="1">
      <c r="B449" s="66" t="n"/>
      <c r="C449" s="60" t="n"/>
      <c r="D449" s="60" t="n"/>
      <c r="E449" s="63" t="n"/>
      <c r="F449" s="60" t="n"/>
      <c r="G449" s="60" t="n"/>
      <c r="H449" s="13">
        <f>IF($C449="","",IFERROR(INDEX('Lists'!$G$6:$G$35,MATCH($C449,'Lists'!$F$6:$F$35,0))&amp;"","Unknown category"))</f>
        <v/>
      </c>
      <c r="I449" s="80">
        <f>IF(AND($B449="",$C449="",$E449=""),"",IF(NOT(ISNUMBER($B449)),"Enter a valid date",IF($C449="","Pick a category",IF(OR($H449="Unknown category",$H449=""),"Category has no cost type",IF(NOT(ISNUMBER($E449)),"Enter an amount","OK")))))</f>
        <v/>
      </c>
    </row>
    <row r="450" ht="17" customHeight="1">
      <c r="B450" s="66" t="n"/>
      <c r="C450" s="60" t="n"/>
      <c r="D450" s="60" t="n"/>
      <c r="E450" s="63" t="n"/>
      <c r="F450" s="60" t="n"/>
      <c r="G450" s="60" t="n"/>
      <c r="H450" s="13">
        <f>IF($C450="","",IFERROR(INDEX('Lists'!$G$6:$G$35,MATCH($C450,'Lists'!$F$6:$F$35,0))&amp;"","Unknown category"))</f>
        <v/>
      </c>
      <c r="I450" s="80">
        <f>IF(AND($B450="",$C450="",$E450=""),"",IF(NOT(ISNUMBER($B450)),"Enter a valid date",IF($C450="","Pick a category",IF(OR($H450="Unknown category",$H450=""),"Category has no cost type",IF(NOT(ISNUMBER($E450)),"Enter an amount","OK")))))</f>
        <v/>
      </c>
    </row>
    <row r="451" ht="17" customHeight="1">
      <c r="B451" s="66" t="n"/>
      <c r="C451" s="60" t="n"/>
      <c r="D451" s="60" t="n"/>
      <c r="E451" s="63" t="n"/>
      <c r="F451" s="60" t="n"/>
      <c r="G451" s="60" t="n"/>
      <c r="H451" s="13">
        <f>IF($C451="","",IFERROR(INDEX('Lists'!$G$6:$G$35,MATCH($C451,'Lists'!$F$6:$F$35,0))&amp;"","Unknown category"))</f>
        <v/>
      </c>
      <c r="I451" s="80">
        <f>IF(AND($B451="",$C451="",$E451=""),"",IF(NOT(ISNUMBER($B451)),"Enter a valid date",IF($C451="","Pick a category",IF(OR($H451="Unknown category",$H451=""),"Category has no cost type",IF(NOT(ISNUMBER($E451)),"Enter an amount","OK")))))</f>
        <v/>
      </c>
    </row>
    <row r="452" ht="17" customHeight="1">
      <c r="B452" s="66" t="n"/>
      <c r="C452" s="60" t="n"/>
      <c r="D452" s="60" t="n"/>
      <c r="E452" s="63" t="n"/>
      <c r="F452" s="60" t="n"/>
      <c r="G452" s="60" t="n"/>
      <c r="H452" s="13">
        <f>IF($C452="","",IFERROR(INDEX('Lists'!$G$6:$G$35,MATCH($C452,'Lists'!$F$6:$F$35,0))&amp;"","Unknown category"))</f>
        <v/>
      </c>
      <c r="I452" s="80">
        <f>IF(AND($B452="",$C452="",$E452=""),"",IF(NOT(ISNUMBER($B452)),"Enter a valid date",IF($C452="","Pick a category",IF(OR($H452="Unknown category",$H452=""),"Category has no cost type",IF(NOT(ISNUMBER($E452)),"Enter an amount","OK")))))</f>
        <v/>
      </c>
    </row>
    <row r="453" ht="17" customHeight="1">
      <c r="B453" s="66" t="n"/>
      <c r="C453" s="60" t="n"/>
      <c r="D453" s="60" t="n"/>
      <c r="E453" s="63" t="n"/>
      <c r="F453" s="60" t="n"/>
      <c r="G453" s="60" t="n"/>
      <c r="H453" s="13">
        <f>IF($C453="","",IFERROR(INDEX('Lists'!$G$6:$G$35,MATCH($C453,'Lists'!$F$6:$F$35,0))&amp;"","Unknown category"))</f>
        <v/>
      </c>
      <c r="I453" s="80">
        <f>IF(AND($B453="",$C453="",$E453=""),"",IF(NOT(ISNUMBER($B453)),"Enter a valid date",IF($C453="","Pick a category",IF(OR($H453="Unknown category",$H453=""),"Category has no cost type",IF(NOT(ISNUMBER($E453)),"Enter an amount","OK")))))</f>
        <v/>
      </c>
    </row>
    <row r="454" ht="17" customHeight="1">
      <c r="B454" s="66" t="n"/>
      <c r="C454" s="60" t="n"/>
      <c r="D454" s="60" t="n"/>
      <c r="E454" s="63" t="n"/>
      <c r="F454" s="60" t="n"/>
      <c r="G454" s="60" t="n"/>
      <c r="H454" s="13">
        <f>IF($C454="","",IFERROR(INDEX('Lists'!$G$6:$G$35,MATCH($C454,'Lists'!$F$6:$F$35,0))&amp;"","Unknown category"))</f>
        <v/>
      </c>
      <c r="I454" s="80">
        <f>IF(AND($B454="",$C454="",$E454=""),"",IF(NOT(ISNUMBER($B454)),"Enter a valid date",IF($C454="","Pick a category",IF(OR($H454="Unknown category",$H454=""),"Category has no cost type",IF(NOT(ISNUMBER($E454)),"Enter an amount","OK")))))</f>
        <v/>
      </c>
    </row>
    <row r="455" ht="17" customHeight="1">
      <c r="B455" s="66" t="n"/>
      <c r="C455" s="60" t="n"/>
      <c r="D455" s="60" t="n"/>
      <c r="E455" s="63" t="n"/>
      <c r="F455" s="60" t="n"/>
      <c r="G455" s="60" t="n"/>
      <c r="H455" s="13">
        <f>IF($C455="","",IFERROR(INDEX('Lists'!$G$6:$G$35,MATCH($C455,'Lists'!$F$6:$F$35,0))&amp;"","Unknown category"))</f>
        <v/>
      </c>
      <c r="I455" s="80">
        <f>IF(AND($B455="",$C455="",$E455=""),"",IF(NOT(ISNUMBER($B455)),"Enter a valid date",IF($C455="","Pick a category",IF(OR($H455="Unknown category",$H455=""),"Category has no cost type",IF(NOT(ISNUMBER($E455)),"Enter an amount","OK")))))</f>
        <v/>
      </c>
    </row>
    <row r="456" ht="17" customHeight="1">
      <c r="B456" s="66" t="n"/>
      <c r="C456" s="60" t="n"/>
      <c r="D456" s="60" t="n"/>
      <c r="E456" s="63" t="n"/>
      <c r="F456" s="60" t="n"/>
      <c r="G456" s="60" t="n"/>
      <c r="H456" s="13">
        <f>IF($C456="","",IFERROR(INDEX('Lists'!$G$6:$G$35,MATCH($C456,'Lists'!$F$6:$F$35,0))&amp;"","Unknown category"))</f>
        <v/>
      </c>
      <c r="I456" s="80">
        <f>IF(AND($B456="",$C456="",$E456=""),"",IF(NOT(ISNUMBER($B456)),"Enter a valid date",IF($C456="","Pick a category",IF(OR($H456="Unknown category",$H456=""),"Category has no cost type",IF(NOT(ISNUMBER($E456)),"Enter an amount","OK")))))</f>
        <v/>
      </c>
    </row>
    <row r="457" ht="17" customHeight="1">
      <c r="B457" s="66" t="n"/>
      <c r="C457" s="60" t="n"/>
      <c r="D457" s="60" t="n"/>
      <c r="E457" s="63" t="n"/>
      <c r="F457" s="60" t="n"/>
      <c r="G457" s="60" t="n"/>
      <c r="H457" s="13">
        <f>IF($C457="","",IFERROR(INDEX('Lists'!$G$6:$G$35,MATCH($C457,'Lists'!$F$6:$F$35,0))&amp;"","Unknown category"))</f>
        <v/>
      </c>
      <c r="I457" s="80">
        <f>IF(AND($B457="",$C457="",$E457=""),"",IF(NOT(ISNUMBER($B457)),"Enter a valid date",IF($C457="","Pick a category",IF(OR($H457="Unknown category",$H457=""),"Category has no cost type",IF(NOT(ISNUMBER($E457)),"Enter an amount","OK")))))</f>
        <v/>
      </c>
    </row>
    <row r="458" ht="17" customHeight="1">
      <c r="B458" s="66" t="n"/>
      <c r="C458" s="60" t="n"/>
      <c r="D458" s="60" t="n"/>
      <c r="E458" s="63" t="n"/>
      <c r="F458" s="60" t="n"/>
      <c r="G458" s="60" t="n"/>
      <c r="H458" s="13">
        <f>IF($C458="","",IFERROR(INDEX('Lists'!$G$6:$G$35,MATCH($C458,'Lists'!$F$6:$F$35,0))&amp;"","Unknown category"))</f>
        <v/>
      </c>
      <c r="I458" s="80">
        <f>IF(AND($B458="",$C458="",$E458=""),"",IF(NOT(ISNUMBER($B458)),"Enter a valid date",IF($C458="","Pick a category",IF(OR($H458="Unknown category",$H458=""),"Category has no cost type",IF(NOT(ISNUMBER($E458)),"Enter an amount","OK")))))</f>
        <v/>
      </c>
    </row>
    <row r="459" ht="17" customHeight="1">
      <c r="B459" s="66" t="n"/>
      <c r="C459" s="60" t="n"/>
      <c r="D459" s="60" t="n"/>
      <c r="E459" s="63" t="n"/>
      <c r="F459" s="60" t="n"/>
      <c r="G459" s="60" t="n"/>
      <c r="H459" s="13">
        <f>IF($C459="","",IFERROR(INDEX('Lists'!$G$6:$G$35,MATCH($C459,'Lists'!$F$6:$F$35,0))&amp;"","Unknown category"))</f>
        <v/>
      </c>
      <c r="I459" s="80">
        <f>IF(AND($B459="",$C459="",$E459=""),"",IF(NOT(ISNUMBER($B459)),"Enter a valid date",IF($C459="","Pick a category",IF(OR($H459="Unknown category",$H459=""),"Category has no cost type",IF(NOT(ISNUMBER($E459)),"Enter an amount","OK")))))</f>
        <v/>
      </c>
    </row>
    <row r="460" ht="17" customHeight="1">
      <c r="B460" s="66" t="n"/>
      <c r="C460" s="60" t="n"/>
      <c r="D460" s="60" t="n"/>
      <c r="E460" s="63" t="n"/>
      <c r="F460" s="60" t="n"/>
      <c r="G460" s="60" t="n"/>
      <c r="H460" s="13">
        <f>IF($C460="","",IFERROR(INDEX('Lists'!$G$6:$G$35,MATCH($C460,'Lists'!$F$6:$F$35,0))&amp;"","Unknown category"))</f>
        <v/>
      </c>
      <c r="I460" s="80">
        <f>IF(AND($B460="",$C460="",$E460=""),"",IF(NOT(ISNUMBER($B460)),"Enter a valid date",IF($C460="","Pick a category",IF(OR($H460="Unknown category",$H460=""),"Category has no cost type",IF(NOT(ISNUMBER($E460)),"Enter an amount","OK")))))</f>
        <v/>
      </c>
    </row>
    <row r="461" ht="17" customHeight="1">
      <c r="B461" s="66" t="n"/>
      <c r="C461" s="60" t="n"/>
      <c r="D461" s="60" t="n"/>
      <c r="E461" s="63" t="n"/>
      <c r="F461" s="60" t="n"/>
      <c r="G461" s="60" t="n"/>
      <c r="H461" s="13">
        <f>IF($C461="","",IFERROR(INDEX('Lists'!$G$6:$G$35,MATCH($C461,'Lists'!$F$6:$F$35,0))&amp;"","Unknown category"))</f>
        <v/>
      </c>
      <c r="I461" s="80">
        <f>IF(AND($B461="",$C461="",$E461=""),"",IF(NOT(ISNUMBER($B461)),"Enter a valid date",IF($C461="","Pick a category",IF(OR($H461="Unknown category",$H461=""),"Category has no cost type",IF(NOT(ISNUMBER($E461)),"Enter an amount","OK")))))</f>
        <v/>
      </c>
    </row>
    <row r="462" ht="17" customHeight="1">
      <c r="B462" s="66" t="n"/>
      <c r="C462" s="60" t="n"/>
      <c r="D462" s="60" t="n"/>
      <c r="E462" s="63" t="n"/>
      <c r="F462" s="60" t="n"/>
      <c r="G462" s="60" t="n"/>
      <c r="H462" s="13">
        <f>IF($C462="","",IFERROR(INDEX('Lists'!$G$6:$G$35,MATCH($C462,'Lists'!$F$6:$F$35,0))&amp;"","Unknown category"))</f>
        <v/>
      </c>
      <c r="I462" s="80">
        <f>IF(AND($B462="",$C462="",$E462=""),"",IF(NOT(ISNUMBER($B462)),"Enter a valid date",IF($C462="","Pick a category",IF(OR($H462="Unknown category",$H462=""),"Category has no cost type",IF(NOT(ISNUMBER($E462)),"Enter an amount","OK")))))</f>
        <v/>
      </c>
    </row>
    <row r="463" ht="17" customHeight="1">
      <c r="B463" s="66" t="n"/>
      <c r="C463" s="60" t="n"/>
      <c r="D463" s="60" t="n"/>
      <c r="E463" s="63" t="n"/>
      <c r="F463" s="60" t="n"/>
      <c r="G463" s="60" t="n"/>
      <c r="H463" s="13">
        <f>IF($C463="","",IFERROR(INDEX('Lists'!$G$6:$G$35,MATCH($C463,'Lists'!$F$6:$F$35,0))&amp;"","Unknown category"))</f>
        <v/>
      </c>
      <c r="I463" s="80">
        <f>IF(AND($B463="",$C463="",$E463=""),"",IF(NOT(ISNUMBER($B463)),"Enter a valid date",IF($C463="","Pick a category",IF(OR($H463="Unknown category",$H463=""),"Category has no cost type",IF(NOT(ISNUMBER($E463)),"Enter an amount","OK")))))</f>
        <v/>
      </c>
    </row>
    <row r="464" ht="17" customHeight="1">
      <c r="B464" s="66" t="n"/>
      <c r="C464" s="60" t="n"/>
      <c r="D464" s="60" t="n"/>
      <c r="E464" s="63" t="n"/>
      <c r="F464" s="60" t="n"/>
      <c r="G464" s="60" t="n"/>
      <c r="H464" s="13">
        <f>IF($C464="","",IFERROR(INDEX('Lists'!$G$6:$G$35,MATCH($C464,'Lists'!$F$6:$F$35,0))&amp;"","Unknown category"))</f>
        <v/>
      </c>
      <c r="I464" s="80">
        <f>IF(AND($B464="",$C464="",$E464=""),"",IF(NOT(ISNUMBER($B464)),"Enter a valid date",IF($C464="","Pick a category",IF(OR($H464="Unknown category",$H464=""),"Category has no cost type",IF(NOT(ISNUMBER($E464)),"Enter an amount","OK")))))</f>
        <v/>
      </c>
    </row>
    <row r="465" ht="17" customHeight="1">
      <c r="B465" s="66" t="n"/>
      <c r="C465" s="60" t="n"/>
      <c r="D465" s="60" t="n"/>
      <c r="E465" s="63" t="n"/>
      <c r="F465" s="60" t="n"/>
      <c r="G465" s="60" t="n"/>
      <c r="H465" s="13">
        <f>IF($C465="","",IFERROR(INDEX('Lists'!$G$6:$G$35,MATCH($C465,'Lists'!$F$6:$F$35,0))&amp;"","Unknown category"))</f>
        <v/>
      </c>
      <c r="I465" s="80">
        <f>IF(AND($B465="",$C465="",$E465=""),"",IF(NOT(ISNUMBER($B465)),"Enter a valid date",IF($C465="","Pick a category",IF(OR($H465="Unknown category",$H465=""),"Category has no cost type",IF(NOT(ISNUMBER($E465)),"Enter an amount","OK")))))</f>
        <v/>
      </c>
    </row>
    <row r="466" ht="17" customHeight="1">
      <c r="B466" s="66" t="n"/>
      <c r="C466" s="60" t="n"/>
      <c r="D466" s="60" t="n"/>
      <c r="E466" s="63" t="n"/>
      <c r="F466" s="60" t="n"/>
      <c r="G466" s="60" t="n"/>
      <c r="H466" s="13">
        <f>IF($C466="","",IFERROR(INDEX('Lists'!$G$6:$G$35,MATCH($C466,'Lists'!$F$6:$F$35,0))&amp;"","Unknown category"))</f>
        <v/>
      </c>
      <c r="I466" s="80">
        <f>IF(AND($B466="",$C466="",$E466=""),"",IF(NOT(ISNUMBER($B466)),"Enter a valid date",IF($C466="","Pick a category",IF(OR($H466="Unknown category",$H466=""),"Category has no cost type",IF(NOT(ISNUMBER($E466)),"Enter an amount","OK")))))</f>
        <v/>
      </c>
    </row>
    <row r="467" ht="17" customHeight="1">
      <c r="B467" s="66" t="n"/>
      <c r="C467" s="60" t="n"/>
      <c r="D467" s="60" t="n"/>
      <c r="E467" s="63" t="n"/>
      <c r="F467" s="60" t="n"/>
      <c r="G467" s="60" t="n"/>
      <c r="H467" s="13">
        <f>IF($C467="","",IFERROR(INDEX('Lists'!$G$6:$G$35,MATCH($C467,'Lists'!$F$6:$F$35,0))&amp;"","Unknown category"))</f>
        <v/>
      </c>
      <c r="I467" s="80">
        <f>IF(AND($B467="",$C467="",$E467=""),"",IF(NOT(ISNUMBER($B467)),"Enter a valid date",IF($C467="","Pick a category",IF(OR($H467="Unknown category",$H467=""),"Category has no cost type",IF(NOT(ISNUMBER($E467)),"Enter an amount","OK")))))</f>
        <v/>
      </c>
    </row>
    <row r="468" ht="17" customHeight="1">
      <c r="B468" s="66" t="n"/>
      <c r="C468" s="60" t="n"/>
      <c r="D468" s="60" t="n"/>
      <c r="E468" s="63" t="n"/>
      <c r="F468" s="60" t="n"/>
      <c r="G468" s="60" t="n"/>
      <c r="H468" s="13">
        <f>IF($C468="","",IFERROR(INDEX('Lists'!$G$6:$G$35,MATCH($C468,'Lists'!$F$6:$F$35,0))&amp;"","Unknown category"))</f>
        <v/>
      </c>
      <c r="I468" s="80">
        <f>IF(AND($B468="",$C468="",$E468=""),"",IF(NOT(ISNUMBER($B468)),"Enter a valid date",IF($C468="","Pick a category",IF(OR($H468="Unknown category",$H468=""),"Category has no cost type",IF(NOT(ISNUMBER($E468)),"Enter an amount","OK")))))</f>
        <v/>
      </c>
    </row>
    <row r="469" ht="17" customHeight="1">
      <c r="B469" s="66" t="n"/>
      <c r="C469" s="60" t="n"/>
      <c r="D469" s="60" t="n"/>
      <c r="E469" s="63" t="n"/>
      <c r="F469" s="60" t="n"/>
      <c r="G469" s="60" t="n"/>
      <c r="H469" s="13">
        <f>IF($C469="","",IFERROR(INDEX('Lists'!$G$6:$G$35,MATCH($C469,'Lists'!$F$6:$F$35,0))&amp;"","Unknown category"))</f>
        <v/>
      </c>
      <c r="I469" s="80">
        <f>IF(AND($B469="",$C469="",$E469=""),"",IF(NOT(ISNUMBER($B469)),"Enter a valid date",IF($C469="","Pick a category",IF(OR($H469="Unknown category",$H469=""),"Category has no cost type",IF(NOT(ISNUMBER($E469)),"Enter an amount","OK")))))</f>
        <v/>
      </c>
    </row>
    <row r="470" ht="17" customHeight="1">
      <c r="B470" s="66" t="n"/>
      <c r="C470" s="60" t="n"/>
      <c r="D470" s="60" t="n"/>
      <c r="E470" s="63" t="n"/>
      <c r="F470" s="60" t="n"/>
      <c r="G470" s="60" t="n"/>
      <c r="H470" s="13">
        <f>IF($C470="","",IFERROR(INDEX('Lists'!$G$6:$G$35,MATCH($C470,'Lists'!$F$6:$F$35,0))&amp;"","Unknown category"))</f>
        <v/>
      </c>
      <c r="I470" s="80">
        <f>IF(AND($B470="",$C470="",$E470=""),"",IF(NOT(ISNUMBER($B470)),"Enter a valid date",IF($C470="","Pick a category",IF(OR($H470="Unknown category",$H470=""),"Category has no cost type",IF(NOT(ISNUMBER($E470)),"Enter an amount","OK")))))</f>
        <v/>
      </c>
    </row>
    <row r="471" ht="17" customHeight="1">
      <c r="B471" s="66" t="n"/>
      <c r="C471" s="60" t="n"/>
      <c r="D471" s="60" t="n"/>
      <c r="E471" s="63" t="n"/>
      <c r="F471" s="60" t="n"/>
      <c r="G471" s="60" t="n"/>
      <c r="H471" s="13">
        <f>IF($C471="","",IFERROR(INDEX('Lists'!$G$6:$G$35,MATCH($C471,'Lists'!$F$6:$F$35,0))&amp;"","Unknown category"))</f>
        <v/>
      </c>
      <c r="I471" s="80">
        <f>IF(AND($B471="",$C471="",$E471=""),"",IF(NOT(ISNUMBER($B471)),"Enter a valid date",IF($C471="","Pick a category",IF(OR($H471="Unknown category",$H471=""),"Category has no cost type",IF(NOT(ISNUMBER($E471)),"Enter an amount","OK")))))</f>
        <v/>
      </c>
    </row>
    <row r="472" ht="17" customHeight="1">
      <c r="B472" s="66" t="n"/>
      <c r="C472" s="60" t="n"/>
      <c r="D472" s="60" t="n"/>
      <c r="E472" s="63" t="n"/>
      <c r="F472" s="60" t="n"/>
      <c r="G472" s="60" t="n"/>
      <c r="H472" s="13">
        <f>IF($C472="","",IFERROR(INDEX('Lists'!$G$6:$G$35,MATCH($C472,'Lists'!$F$6:$F$35,0))&amp;"","Unknown category"))</f>
        <v/>
      </c>
      <c r="I472" s="80">
        <f>IF(AND($B472="",$C472="",$E472=""),"",IF(NOT(ISNUMBER($B472)),"Enter a valid date",IF($C472="","Pick a category",IF(OR($H472="Unknown category",$H472=""),"Category has no cost type",IF(NOT(ISNUMBER($E472)),"Enter an amount","OK")))))</f>
        <v/>
      </c>
    </row>
    <row r="473" ht="17" customHeight="1">
      <c r="B473" s="66" t="n"/>
      <c r="C473" s="60" t="n"/>
      <c r="D473" s="60" t="n"/>
      <c r="E473" s="63" t="n"/>
      <c r="F473" s="60" t="n"/>
      <c r="G473" s="60" t="n"/>
      <c r="H473" s="13">
        <f>IF($C473="","",IFERROR(INDEX('Lists'!$G$6:$G$35,MATCH($C473,'Lists'!$F$6:$F$35,0))&amp;"","Unknown category"))</f>
        <v/>
      </c>
      <c r="I473" s="80">
        <f>IF(AND($B473="",$C473="",$E473=""),"",IF(NOT(ISNUMBER($B473)),"Enter a valid date",IF($C473="","Pick a category",IF(OR($H473="Unknown category",$H473=""),"Category has no cost type",IF(NOT(ISNUMBER($E473)),"Enter an amount","OK")))))</f>
        <v/>
      </c>
    </row>
    <row r="474" ht="17" customHeight="1">
      <c r="B474" s="66" t="n"/>
      <c r="C474" s="60" t="n"/>
      <c r="D474" s="60" t="n"/>
      <c r="E474" s="63" t="n"/>
      <c r="F474" s="60" t="n"/>
      <c r="G474" s="60" t="n"/>
      <c r="H474" s="13">
        <f>IF($C474="","",IFERROR(INDEX('Lists'!$G$6:$G$35,MATCH($C474,'Lists'!$F$6:$F$35,0))&amp;"","Unknown category"))</f>
        <v/>
      </c>
      <c r="I474" s="80">
        <f>IF(AND($B474="",$C474="",$E474=""),"",IF(NOT(ISNUMBER($B474)),"Enter a valid date",IF($C474="","Pick a category",IF(OR($H474="Unknown category",$H474=""),"Category has no cost type",IF(NOT(ISNUMBER($E474)),"Enter an amount","OK")))))</f>
        <v/>
      </c>
    </row>
    <row r="475" ht="17" customHeight="1">
      <c r="B475" s="66" t="n"/>
      <c r="C475" s="60" t="n"/>
      <c r="D475" s="60" t="n"/>
      <c r="E475" s="63" t="n"/>
      <c r="F475" s="60" t="n"/>
      <c r="G475" s="60" t="n"/>
      <c r="H475" s="13">
        <f>IF($C475="","",IFERROR(INDEX('Lists'!$G$6:$G$35,MATCH($C475,'Lists'!$F$6:$F$35,0))&amp;"","Unknown category"))</f>
        <v/>
      </c>
      <c r="I475" s="80">
        <f>IF(AND($B475="",$C475="",$E475=""),"",IF(NOT(ISNUMBER($B475)),"Enter a valid date",IF($C475="","Pick a category",IF(OR($H475="Unknown category",$H475=""),"Category has no cost type",IF(NOT(ISNUMBER($E475)),"Enter an amount","OK")))))</f>
        <v/>
      </c>
    </row>
    <row r="476" ht="17" customHeight="1">
      <c r="B476" s="66" t="n"/>
      <c r="C476" s="60" t="n"/>
      <c r="D476" s="60" t="n"/>
      <c r="E476" s="63" t="n"/>
      <c r="F476" s="60" t="n"/>
      <c r="G476" s="60" t="n"/>
      <c r="H476" s="13">
        <f>IF($C476="","",IFERROR(INDEX('Lists'!$G$6:$G$35,MATCH($C476,'Lists'!$F$6:$F$35,0))&amp;"","Unknown category"))</f>
        <v/>
      </c>
      <c r="I476" s="80">
        <f>IF(AND($B476="",$C476="",$E476=""),"",IF(NOT(ISNUMBER($B476)),"Enter a valid date",IF($C476="","Pick a category",IF(OR($H476="Unknown category",$H476=""),"Category has no cost type",IF(NOT(ISNUMBER($E476)),"Enter an amount","OK")))))</f>
        <v/>
      </c>
    </row>
    <row r="477" ht="17" customHeight="1">
      <c r="B477" s="66" t="n"/>
      <c r="C477" s="60" t="n"/>
      <c r="D477" s="60" t="n"/>
      <c r="E477" s="63" t="n"/>
      <c r="F477" s="60" t="n"/>
      <c r="G477" s="60" t="n"/>
      <c r="H477" s="13">
        <f>IF($C477="","",IFERROR(INDEX('Lists'!$G$6:$G$35,MATCH($C477,'Lists'!$F$6:$F$35,0))&amp;"","Unknown category"))</f>
        <v/>
      </c>
      <c r="I477" s="80">
        <f>IF(AND($B477="",$C477="",$E477=""),"",IF(NOT(ISNUMBER($B477)),"Enter a valid date",IF($C477="","Pick a category",IF(OR($H477="Unknown category",$H477=""),"Category has no cost type",IF(NOT(ISNUMBER($E477)),"Enter an amount","OK")))))</f>
        <v/>
      </c>
    </row>
    <row r="478" ht="17" customHeight="1">
      <c r="B478" s="66" t="n"/>
      <c r="C478" s="60" t="n"/>
      <c r="D478" s="60" t="n"/>
      <c r="E478" s="63" t="n"/>
      <c r="F478" s="60" t="n"/>
      <c r="G478" s="60" t="n"/>
      <c r="H478" s="13">
        <f>IF($C478="","",IFERROR(INDEX('Lists'!$G$6:$G$35,MATCH($C478,'Lists'!$F$6:$F$35,0))&amp;"","Unknown category"))</f>
        <v/>
      </c>
      <c r="I478" s="80">
        <f>IF(AND($B478="",$C478="",$E478=""),"",IF(NOT(ISNUMBER($B478)),"Enter a valid date",IF($C478="","Pick a category",IF(OR($H478="Unknown category",$H478=""),"Category has no cost type",IF(NOT(ISNUMBER($E478)),"Enter an amount","OK")))))</f>
        <v/>
      </c>
    </row>
    <row r="479" ht="17" customHeight="1">
      <c r="B479" s="66" t="n"/>
      <c r="C479" s="60" t="n"/>
      <c r="D479" s="60" t="n"/>
      <c r="E479" s="63" t="n"/>
      <c r="F479" s="60" t="n"/>
      <c r="G479" s="60" t="n"/>
      <c r="H479" s="13">
        <f>IF($C479="","",IFERROR(INDEX('Lists'!$G$6:$G$35,MATCH($C479,'Lists'!$F$6:$F$35,0))&amp;"","Unknown category"))</f>
        <v/>
      </c>
      <c r="I479" s="80">
        <f>IF(AND($B479="",$C479="",$E479=""),"",IF(NOT(ISNUMBER($B479)),"Enter a valid date",IF($C479="","Pick a category",IF(OR($H479="Unknown category",$H479=""),"Category has no cost type",IF(NOT(ISNUMBER($E479)),"Enter an amount","OK")))))</f>
        <v/>
      </c>
    </row>
    <row r="480" ht="17" customHeight="1">
      <c r="B480" s="66" t="n"/>
      <c r="C480" s="60" t="n"/>
      <c r="D480" s="60" t="n"/>
      <c r="E480" s="63" t="n"/>
      <c r="F480" s="60" t="n"/>
      <c r="G480" s="60" t="n"/>
      <c r="H480" s="13">
        <f>IF($C480="","",IFERROR(INDEX('Lists'!$G$6:$G$35,MATCH($C480,'Lists'!$F$6:$F$35,0))&amp;"","Unknown category"))</f>
        <v/>
      </c>
      <c r="I480" s="80">
        <f>IF(AND($B480="",$C480="",$E480=""),"",IF(NOT(ISNUMBER($B480)),"Enter a valid date",IF($C480="","Pick a category",IF(OR($H480="Unknown category",$H480=""),"Category has no cost type",IF(NOT(ISNUMBER($E480)),"Enter an amount","OK")))))</f>
        <v/>
      </c>
    </row>
    <row r="481" ht="17" customHeight="1">
      <c r="B481" s="66" t="n"/>
      <c r="C481" s="60" t="n"/>
      <c r="D481" s="60" t="n"/>
      <c r="E481" s="63" t="n"/>
      <c r="F481" s="60" t="n"/>
      <c r="G481" s="60" t="n"/>
      <c r="H481" s="13">
        <f>IF($C481="","",IFERROR(INDEX('Lists'!$G$6:$G$35,MATCH($C481,'Lists'!$F$6:$F$35,0))&amp;"","Unknown category"))</f>
        <v/>
      </c>
      <c r="I481" s="80">
        <f>IF(AND($B481="",$C481="",$E481=""),"",IF(NOT(ISNUMBER($B481)),"Enter a valid date",IF($C481="","Pick a category",IF(OR($H481="Unknown category",$H481=""),"Category has no cost type",IF(NOT(ISNUMBER($E481)),"Enter an amount","OK")))))</f>
        <v/>
      </c>
    </row>
    <row r="482" ht="17" customHeight="1">
      <c r="B482" s="66" t="n"/>
      <c r="C482" s="60" t="n"/>
      <c r="D482" s="60" t="n"/>
      <c r="E482" s="63" t="n"/>
      <c r="F482" s="60" t="n"/>
      <c r="G482" s="60" t="n"/>
      <c r="H482" s="13">
        <f>IF($C482="","",IFERROR(INDEX('Lists'!$G$6:$G$35,MATCH($C482,'Lists'!$F$6:$F$35,0))&amp;"","Unknown category"))</f>
        <v/>
      </c>
      <c r="I482" s="80">
        <f>IF(AND($B482="",$C482="",$E482=""),"",IF(NOT(ISNUMBER($B482)),"Enter a valid date",IF($C482="","Pick a category",IF(OR($H482="Unknown category",$H482=""),"Category has no cost type",IF(NOT(ISNUMBER($E482)),"Enter an amount","OK")))))</f>
        <v/>
      </c>
    </row>
    <row r="483" ht="17" customHeight="1">
      <c r="B483" s="66" t="n"/>
      <c r="C483" s="60" t="n"/>
      <c r="D483" s="60" t="n"/>
      <c r="E483" s="63" t="n"/>
      <c r="F483" s="60" t="n"/>
      <c r="G483" s="60" t="n"/>
      <c r="H483" s="13">
        <f>IF($C483="","",IFERROR(INDEX('Lists'!$G$6:$G$35,MATCH($C483,'Lists'!$F$6:$F$35,0))&amp;"","Unknown category"))</f>
        <v/>
      </c>
      <c r="I483" s="80">
        <f>IF(AND($B483="",$C483="",$E483=""),"",IF(NOT(ISNUMBER($B483)),"Enter a valid date",IF($C483="","Pick a category",IF(OR($H483="Unknown category",$H483=""),"Category has no cost type",IF(NOT(ISNUMBER($E483)),"Enter an amount","OK")))))</f>
        <v/>
      </c>
    </row>
    <row r="484" ht="17" customHeight="1">
      <c r="B484" s="66" t="n"/>
      <c r="C484" s="60" t="n"/>
      <c r="D484" s="60" t="n"/>
      <c r="E484" s="63" t="n"/>
      <c r="F484" s="60" t="n"/>
      <c r="G484" s="60" t="n"/>
      <c r="H484" s="13">
        <f>IF($C484="","",IFERROR(INDEX('Lists'!$G$6:$G$35,MATCH($C484,'Lists'!$F$6:$F$35,0))&amp;"","Unknown category"))</f>
        <v/>
      </c>
      <c r="I484" s="80">
        <f>IF(AND($B484="",$C484="",$E484=""),"",IF(NOT(ISNUMBER($B484)),"Enter a valid date",IF($C484="","Pick a category",IF(OR($H484="Unknown category",$H484=""),"Category has no cost type",IF(NOT(ISNUMBER($E484)),"Enter an amount","OK")))))</f>
        <v/>
      </c>
    </row>
    <row r="485" ht="17" customHeight="1">
      <c r="B485" s="66" t="n"/>
      <c r="C485" s="60" t="n"/>
      <c r="D485" s="60" t="n"/>
      <c r="E485" s="63" t="n"/>
      <c r="F485" s="60" t="n"/>
      <c r="G485" s="60" t="n"/>
      <c r="H485" s="13">
        <f>IF($C485="","",IFERROR(INDEX('Lists'!$G$6:$G$35,MATCH($C485,'Lists'!$F$6:$F$35,0))&amp;"","Unknown category"))</f>
        <v/>
      </c>
      <c r="I485" s="80">
        <f>IF(AND($B485="",$C485="",$E485=""),"",IF(NOT(ISNUMBER($B485)),"Enter a valid date",IF($C485="","Pick a category",IF(OR($H485="Unknown category",$H485=""),"Category has no cost type",IF(NOT(ISNUMBER($E485)),"Enter an amount","OK")))))</f>
        <v/>
      </c>
    </row>
    <row r="486" ht="17" customHeight="1">
      <c r="B486" s="66" t="n"/>
      <c r="C486" s="60" t="n"/>
      <c r="D486" s="60" t="n"/>
      <c r="E486" s="63" t="n"/>
      <c r="F486" s="60" t="n"/>
      <c r="G486" s="60" t="n"/>
      <c r="H486" s="13">
        <f>IF($C486="","",IFERROR(INDEX('Lists'!$G$6:$G$35,MATCH($C486,'Lists'!$F$6:$F$35,0))&amp;"","Unknown category"))</f>
        <v/>
      </c>
      <c r="I486" s="80">
        <f>IF(AND($B486="",$C486="",$E486=""),"",IF(NOT(ISNUMBER($B486)),"Enter a valid date",IF($C486="","Pick a category",IF(OR($H486="Unknown category",$H486=""),"Category has no cost type",IF(NOT(ISNUMBER($E486)),"Enter an amount","OK")))))</f>
        <v/>
      </c>
    </row>
    <row r="487" ht="17" customHeight="1">
      <c r="B487" s="66" t="n"/>
      <c r="C487" s="60" t="n"/>
      <c r="D487" s="60" t="n"/>
      <c r="E487" s="63" t="n"/>
      <c r="F487" s="60" t="n"/>
      <c r="G487" s="60" t="n"/>
      <c r="H487" s="13">
        <f>IF($C487="","",IFERROR(INDEX('Lists'!$G$6:$G$35,MATCH($C487,'Lists'!$F$6:$F$35,0))&amp;"","Unknown category"))</f>
        <v/>
      </c>
      <c r="I487" s="80">
        <f>IF(AND($B487="",$C487="",$E487=""),"",IF(NOT(ISNUMBER($B487)),"Enter a valid date",IF($C487="","Pick a category",IF(OR($H487="Unknown category",$H487=""),"Category has no cost type",IF(NOT(ISNUMBER($E487)),"Enter an amount","OK")))))</f>
        <v/>
      </c>
    </row>
    <row r="488" ht="17" customHeight="1">
      <c r="B488" s="66" t="n"/>
      <c r="C488" s="60" t="n"/>
      <c r="D488" s="60" t="n"/>
      <c r="E488" s="63" t="n"/>
      <c r="F488" s="60" t="n"/>
      <c r="G488" s="60" t="n"/>
      <c r="H488" s="13">
        <f>IF($C488="","",IFERROR(INDEX('Lists'!$G$6:$G$35,MATCH($C488,'Lists'!$F$6:$F$35,0))&amp;"","Unknown category"))</f>
        <v/>
      </c>
      <c r="I488" s="80">
        <f>IF(AND($B488="",$C488="",$E488=""),"",IF(NOT(ISNUMBER($B488)),"Enter a valid date",IF($C488="","Pick a category",IF(OR($H488="Unknown category",$H488=""),"Category has no cost type",IF(NOT(ISNUMBER($E488)),"Enter an amount","OK")))))</f>
        <v/>
      </c>
    </row>
    <row r="489" ht="17" customHeight="1">
      <c r="B489" s="66" t="n"/>
      <c r="C489" s="60" t="n"/>
      <c r="D489" s="60" t="n"/>
      <c r="E489" s="63" t="n"/>
      <c r="F489" s="60" t="n"/>
      <c r="G489" s="60" t="n"/>
      <c r="H489" s="13">
        <f>IF($C489="","",IFERROR(INDEX('Lists'!$G$6:$G$35,MATCH($C489,'Lists'!$F$6:$F$35,0))&amp;"","Unknown category"))</f>
        <v/>
      </c>
      <c r="I489" s="80">
        <f>IF(AND($B489="",$C489="",$E489=""),"",IF(NOT(ISNUMBER($B489)),"Enter a valid date",IF($C489="","Pick a category",IF(OR($H489="Unknown category",$H489=""),"Category has no cost type",IF(NOT(ISNUMBER($E489)),"Enter an amount","OK")))))</f>
        <v/>
      </c>
    </row>
    <row r="490" ht="17" customHeight="1">
      <c r="B490" s="66" t="n"/>
      <c r="C490" s="60" t="n"/>
      <c r="D490" s="60" t="n"/>
      <c r="E490" s="63" t="n"/>
      <c r="F490" s="60" t="n"/>
      <c r="G490" s="60" t="n"/>
      <c r="H490" s="13">
        <f>IF($C490="","",IFERROR(INDEX('Lists'!$G$6:$G$35,MATCH($C490,'Lists'!$F$6:$F$35,0))&amp;"","Unknown category"))</f>
        <v/>
      </c>
      <c r="I490" s="80">
        <f>IF(AND($B490="",$C490="",$E490=""),"",IF(NOT(ISNUMBER($B490)),"Enter a valid date",IF($C490="","Pick a category",IF(OR($H490="Unknown category",$H490=""),"Category has no cost type",IF(NOT(ISNUMBER($E490)),"Enter an amount","OK")))))</f>
        <v/>
      </c>
    </row>
    <row r="491" ht="17" customHeight="1">
      <c r="B491" s="66" t="n"/>
      <c r="C491" s="60" t="n"/>
      <c r="D491" s="60" t="n"/>
      <c r="E491" s="63" t="n"/>
      <c r="F491" s="60" t="n"/>
      <c r="G491" s="60" t="n"/>
      <c r="H491" s="13">
        <f>IF($C491="","",IFERROR(INDEX('Lists'!$G$6:$G$35,MATCH($C491,'Lists'!$F$6:$F$35,0))&amp;"","Unknown category"))</f>
        <v/>
      </c>
      <c r="I491" s="80">
        <f>IF(AND($B491="",$C491="",$E491=""),"",IF(NOT(ISNUMBER($B491)),"Enter a valid date",IF($C491="","Pick a category",IF(OR($H491="Unknown category",$H491=""),"Category has no cost type",IF(NOT(ISNUMBER($E491)),"Enter an amount","OK")))))</f>
        <v/>
      </c>
    </row>
    <row r="492" ht="17" customHeight="1">
      <c r="B492" s="66" t="n"/>
      <c r="C492" s="60" t="n"/>
      <c r="D492" s="60" t="n"/>
      <c r="E492" s="63" t="n"/>
      <c r="F492" s="60" t="n"/>
      <c r="G492" s="60" t="n"/>
      <c r="H492" s="13">
        <f>IF($C492="","",IFERROR(INDEX('Lists'!$G$6:$G$35,MATCH($C492,'Lists'!$F$6:$F$35,0))&amp;"","Unknown category"))</f>
        <v/>
      </c>
      <c r="I492" s="80">
        <f>IF(AND($B492="",$C492="",$E492=""),"",IF(NOT(ISNUMBER($B492)),"Enter a valid date",IF($C492="","Pick a category",IF(OR($H492="Unknown category",$H492=""),"Category has no cost type",IF(NOT(ISNUMBER($E492)),"Enter an amount","OK")))))</f>
        <v/>
      </c>
    </row>
    <row r="493" ht="17" customHeight="1">
      <c r="B493" s="66" t="n"/>
      <c r="C493" s="60" t="n"/>
      <c r="D493" s="60" t="n"/>
      <c r="E493" s="63" t="n"/>
      <c r="F493" s="60" t="n"/>
      <c r="G493" s="60" t="n"/>
      <c r="H493" s="13">
        <f>IF($C493="","",IFERROR(INDEX('Lists'!$G$6:$G$35,MATCH($C493,'Lists'!$F$6:$F$35,0))&amp;"","Unknown category"))</f>
        <v/>
      </c>
      <c r="I493" s="80">
        <f>IF(AND($B493="",$C493="",$E493=""),"",IF(NOT(ISNUMBER($B493)),"Enter a valid date",IF($C493="","Pick a category",IF(OR($H493="Unknown category",$H493=""),"Category has no cost type",IF(NOT(ISNUMBER($E493)),"Enter an amount","OK")))))</f>
        <v/>
      </c>
    </row>
    <row r="494" ht="17" customHeight="1">
      <c r="B494" s="66" t="n"/>
      <c r="C494" s="60" t="n"/>
      <c r="D494" s="60" t="n"/>
      <c r="E494" s="63" t="n"/>
      <c r="F494" s="60" t="n"/>
      <c r="G494" s="60" t="n"/>
      <c r="H494" s="13">
        <f>IF($C494="","",IFERROR(INDEX('Lists'!$G$6:$G$35,MATCH($C494,'Lists'!$F$6:$F$35,0))&amp;"","Unknown category"))</f>
        <v/>
      </c>
      <c r="I494" s="80">
        <f>IF(AND($B494="",$C494="",$E494=""),"",IF(NOT(ISNUMBER($B494)),"Enter a valid date",IF($C494="","Pick a category",IF(OR($H494="Unknown category",$H494=""),"Category has no cost type",IF(NOT(ISNUMBER($E494)),"Enter an amount","OK")))))</f>
        <v/>
      </c>
    </row>
    <row r="495" ht="17" customHeight="1">
      <c r="B495" s="66" t="n"/>
      <c r="C495" s="60" t="n"/>
      <c r="D495" s="60" t="n"/>
      <c r="E495" s="63" t="n"/>
      <c r="F495" s="60" t="n"/>
      <c r="G495" s="60" t="n"/>
      <c r="H495" s="13">
        <f>IF($C495="","",IFERROR(INDEX('Lists'!$G$6:$G$35,MATCH($C495,'Lists'!$F$6:$F$35,0))&amp;"","Unknown category"))</f>
        <v/>
      </c>
      <c r="I495" s="80">
        <f>IF(AND($B495="",$C495="",$E495=""),"",IF(NOT(ISNUMBER($B495)),"Enter a valid date",IF($C495="","Pick a category",IF(OR($H495="Unknown category",$H495=""),"Category has no cost type",IF(NOT(ISNUMBER($E495)),"Enter an amount","OK")))))</f>
        <v/>
      </c>
    </row>
    <row r="496" ht="17" customHeight="1">
      <c r="B496" s="66" t="n"/>
      <c r="C496" s="60" t="n"/>
      <c r="D496" s="60" t="n"/>
      <c r="E496" s="63" t="n"/>
      <c r="F496" s="60" t="n"/>
      <c r="G496" s="60" t="n"/>
      <c r="H496" s="13">
        <f>IF($C496="","",IFERROR(INDEX('Lists'!$G$6:$G$35,MATCH($C496,'Lists'!$F$6:$F$35,0))&amp;"","Unknown category"))</f>
        <v/>
      </c>
      <c r="I496" s="80">
        <f>IF(AND($B496="",$C496="",$E496=""),"",IF(NOT(ISNUMBER($B496)),"Enter a valid date",IF($C496="","Pick a category",IF(OR($H496="Unknown category",$H496=""),"Category has no cost type",IF(NOT(ISNUMBER($E496)),"Enter an amount","OK")))))</f>
        <v/>
      </c>
    </row>
    <row r="497" ht="17" customHeight="1">
      <c r="B497" s="66" t="n"/>
      <c r="C497" s="60" t="n"/>
      <c r="D497" s="60" t="n"/>
      <c r="E497" s="63" t="n"/>
      <c r="F497" s="60" t="n"/>
      <c r="G497" s="60" t="n"/>
      <c r="H497" s="13">
        <f>IF($C497="","",IFERROR(INDEX('Lists'!$G$6:$G$35,MATCH($C497,'Lists'!$F$6:$F$35,0))&amp;"","Unknown category"))</f>
        <v/>
      </c>
      <c r="I497" s="80">
        <f>IF(AND($B497="",$C497="",$E497=""),"",IF(NOT(ISNUMBER($B497)),"Enter a valid date",IF($C497="","Pick a category",IF(OR($H497="Unknown category",$H497=""),"Category has no cost type",IF(NOT(ISNUMBER($E497)),"Enter an amount","OK")))))</f>
        <v/>
      </c>
    </row>
    <row r="498" ht="17" customHeight="1">
      <c r="B498" s="66" t="n"/>
      <c r="C498" s="60" t="n"/>
      <c r="D498" s="60" t="n"/>
      <c r="E498" s="63" t="n"/>
      <c r="F498" s="60" t="n"/>
      <c r="G498" s="60" t="n"/>
      <c r="H498" s="13">
        <f>IF($C498="","",IFERROR(INDEX('Lists'!$G$6:$G$35,MATCH($C498,'Lists'!$F$6:$F$35,0))&amp;"","Unknown category"))</f>
        <v/>
      </c>
      <c r="I498" s="80">
        <f>IF(AND($B498="",$C498="",$E498=""),"",IF(NOT(ISNUMBER($B498)),"Enter a valid date",IF($C498="","Pick a category",IF(OR($H498="Unknown category",$H498=""),"Category has no cost type",IF(NOT(ISNUMBER($E498)),"Enter an amount","OK")))))</f>
        <v/>
      </c>
    </row>
    <row r="499" ht="17" customHeight="1">
      <c r="B499" s="66" t="n"/>
      <c r="C499" s="60" t="n"/>
      <c r="D499" s="60" t="n"/>
      <c r="E499" s="63" t="n"/>
      <c r="F499" s="60" t="n"/>
      <c r="G499" s="60" t="n"/>
      <c r="H499" s="13">
        <f>IF($C499="","",IFERROR(INDEX('Lists'!$G$6:$G$35,MATCH($C499,'Lists'!$F$6:$F$35,0))&amp;"","Unknown category"))</f>
        <v/>
      </c>
      <c r="I499" s="80">
        <f>IF(AND($B499="",$C499="",$E499=""),"",IF(NOT(ISNUMBER($B499)),"Enter a valid date",IF($C499="","Pick a category",IF(OR($H499="Unknown category",$H499=""),"Category has no cost type",IF(NOT(ISNUMBER($E499)),"Enter an amount","OK")))))</f>
        <v/>
      </c>
    </row>
    <row r="500" ht="17" customHeight="1">
      <c r="B500" s="66" t="n"/>
      <c r="C500" s="60" t="n"/>
      <c r="D500" s="60" t="n"/>
      <c r="E500" s="63" t="n"/>
      <c r="F500" s="60" t="n"/>
      <c r="G500" s="60" t="n"/>
      <c r="H500" s="13">
        <f>IF($C500="","",IFERROR(INDEX('Lists'!$G$6:$G$35,MATCH($C500,'Lists'!$F$6:$F$35,0))&amp;"","Unknown category"))</f>
        <v/>
      </c>
      <c r="I500" s="80">
        <f>IF(AND($B500="",$C500="",$E500=""),"",IF(NOT(ISNUMBER($B500)),"Enter a valid date",IF($C500="","Pick a category",IF(OR($H500="Unknown category",$H500=""),"Category has no cost type",IF(NOT(ISNUMBER($E500)),"Enter an amount","OK")))))</f>
        <v/>
      </c>
    </row>
    <row r="501" ht="17" customHeight="1">
      <c r="B501" s="66" t="n"/>
      <c r="C501" s="60" t="n"/>
      <c r="D501" s="60" t="n"/>
      <c r="E501" s="63" t="n"/>
      <c r="F501" s="60" t="n"/>
      <c r="G501" s="60" t="n"/>
      <c r="H501" s="13">
        <f>IF($C501="","",IFERROR(INDEX('Lists'!$G$6:$G$35,MATCH($C501,'Lists'!$F$6:$F$35,0))&amp;"","Unknown category"))</f>
        <v/>
      </c>
      <c r="I501" s="80">
        <f>IF(AND($B501="",$C501="",$E501=""),"",IF(NOT(ISNUMBER($B501)),"Enter a valid date",IF($C501="","Pick a category",IF(OR($H501="Unknown category",$H501=""),"Category has no cost type",IF(NOT(ISNUMBER($E501)),"Enter an amount","OK")))))</f>
        <v/>
      </c>
    </row>
    <row r="502" ht="17" customHeight="1">
      <c r="B502" s="66" t="n"/>
      <c r="C502" s="60" t="n"/>
      <c r="D502" s="60" t="n"/>
      <c r="E502" s="63" t="n"/>
      <c r="F502" s="60" t="n"/>
      <c r="G502" s="60" t="n"/>
      <c r="H502" s="13">
        <f>IF($C502="","",IFERROR(INDEX('Lists'!$G$6:$G$35,MATCH($C502,'Lists'!$F$6:$F$35,0))&amp;"","Unknown category"))</f>
        <v/>
      </c>
      <c r="I502" s="80">
        <f>IF(AND($B502="",$C502="",$E502=""),"",IF(NOT(ISNUMBER($B502)),"Enter a valid date",IF($C502="","Pick a category",IF(OR($H502="Unknown category",$H502=""),"Category has no cost type",IF(NOT(ISNUMBER($E502)),"Enter an amount","OK")))))</f>
        <v/>
      </c>
    </row>
    <row r="503" ht="17" customHeight="1">
      <c r="B503" s="66" t="n"/>
      <c r="C503" s="60" t="n"/>
      <c r="D503" s="60" t="n"/>
      <c r="E503" s="63" t="n"/>
      <c r="F503" s="60" t="n"/>
      <c r="G503" s="60" t="n"/>
      <c r="H503" s="13">
        <f>IF($C503="","",IFERROR(INDEX('Lists'!$G$6:$G$35,MATCH($C503,'Lists'!$F$6:$F$35,0))&amp;"","Unknown category"))</f>
        <v/>
      </c>
      <c r="I503" s="80">
        <f>IF(AND($B503="",$C503="",$E503=""),"",IF(NOT(ISNUMBER($B503)),"Enter a valid date",IF($C503="","Pick a category",IF(OR($H503="Unknown category",$H503=""),"Category has no cost type",IF(NOT(ISNUMBER($E503)),"Enter an amount","OK")))))</f>
        <v/>
      </c>
    </row>
    <row r="504" ht="17" customHeight="1">
      <c r="B504" s="66" t="n"/>
      <c r="C504" s="60" t="n"/>
      <c r="D504" s="60" t="n"/>
      <c r="E504" s="63" t="n"/>
      <c r="F504" s="60" t="n"/>
      <c r="G504" s="60" t="n"/>
      <c r="H504" s="13">
        <f>IF($C504="","",IFERROR(INDEX('Lists'!$G$6:$G$35,MATCH($C504,'Lists'!$F$6:$F$35,0))&amp;"","Unknown category"))</f>
        <v/>
      </c>
      <c r="I504" s="80">
        <f>IF(AND($B504="",$C504="",$E504=""),"",IF(NOT(ISNUMBER($B504)),"Enter a valid date",IF($C504="","Pick a category",IF(OR($H504="Unknown category",$H504=""),"Category has no cost type",IF(NOT(ISNUMBER($E504)),"Enter an amount","OK")))))</f>
        <v/>
      </c>
    </row>
    <row r="505" ht="17" customHeight="1">
      <c r="B505" s="66" t="n"/>
      <c r="C505" s="60" t="n"/>
      <c r="D505" s="60" t="n"/>
      <c r="E505" s="63" t="n"/>
      <c r="F505" s="60" t="n"/>
      <c r="G505" s="60" t="n"/>
      <c r="H505" s="13">
        <f>IF($C505="","",IFERROR(INDEX('Lists'!$G$6:$G$35,MATCH($C505,'Lists'!$F$6:$F$35,0))&amp;"","Unknown category"))</f>
        <v/>
      </c>
      <c r="I505" s="80">
        <f>IF(AND($B505="",$C505="",$E505=""),"",IF(NOT(ISNUMBER($B505)),"Enter a valid date",IF($C505="","Pick a category",IF(OR($H505="Unknown category",$H505=""),"Category has no cost type",IF(NOT(ISNUMBER($E505)),"Enter an amount","OK")))))</f>
        <v/>
      </c>
    </row>
    <row r="506" ht="17" customHeight="1">
      <c r="B506" s="66" t="n"/>
      <c r="C506" s="60" t="n"/>
      <c r="D506" s="60" t="n"/>
      <c r="E506" s="63" t="n"/>
      <c r="F506" s="60" t="n"/>
      <c r="G506" s="60" t="n"/>
      <c r="H506" s="13">
        <f>IF($C506="","",IFERROR(INDEX('Lists'!$G$6:$G$35,MATCH($C506,'Lists'!$F$6:$F$35,0))&amp;"","Unknown category"))</f>
        <v/>
      </c>
      <c r="I506" s="80">
        <f>IF(AND($B506="",$C506="",$E506=""),"",IF(NOT(ISNUMBER($B506)),"Enter a valid date",IF($C506="","Pick a category",IF(OR($H506="Unknown category",$H506=""),"Category has no cost type",IF(NOT(ISNUMBER($E506)),"Enter an amount","OK")))))</f>
        <v/>
      </c>
    </row>
    <row r="507" ht="17" customHeight="1">
      <c r="B507" s="66" t="n"/>
      <c r="C507" s="60" t="n"/>
      <c r="D507" s="60" t="n"/>
      <c r="E507" s="63" t="n"/>
      <c r="F507" s="60" t="n"/>
      <c r="G507" s="60" t="n"/>
      <c r="H507" s="13">
        <f>IF($C507="","",IFERROR(INDEX('Lists'!$G$6:$G$35,MATCH($C507,'Lists'!$F$6:$F$35,0))&amp;"","Unknown category"))</f>
        <v/>
      </c>
      <c r="I507" s="80">
        <f>IF(AND($B507="",$C507="",$E507=""),"",IF(NOT(ISNUMBER($B507)),"Enter a valid date",IF($C507="","Pick a category",IF(OR($H507="Unknown category",$H507=""),"Category has no cost type",IF(NOT(ISNUMBER($E507)),"Enter an amount","OK")))))</f>
        <v/>
      </c>
    </row>
    <row r="508" ht="17" customHeight="1">
      <c r="B508" s="66" t="n"/>
      <c r="C508" s="60" t="n"/>
      <c r="D508" s="60" t="n"/>
      <c r="E508" s="63" t="n"/>
      <c r="F508" s="60" t="n"/>
      <c r="G508" s="60" t="n"/>
      <c r="H508" s="13">
        <f>IF($C508="","",IFERROR(INDEX('Lists'!$G$6:$G$35,MATCH($C508,'Lists'!$F$6:$F$35,0))&amp;"","Unknown category"))</f>
        <v/>
      </c>
      <c r="I508" s="80">
        <f>IF(AND($B508="",$C508="",$E508=""),"",IF(NOT(ISNUMBER($B508)),"Enter a valid date",IF($C508="","Pick a category",IF(OR($H508="Unknown category",$H508=""),"Category has no cost type",IF(NOT(ISNUMBER($E508)),"Enter an amount","OK")))))</f>
        <v/>
      </c>
    </row>
    <row r="509" ht="17" customHeight="1">
      <c r="B509" s="66" t="n"/>
      <c r="C509" s="60" t="n"/>
      <c r="D509" s="60" t="n"/>
      <c r="E509" s="63" t="n"/>
      <c r="F509" s="60" t="n"/>
      <c r="G509" s="60" t="n"/>
      <c r="H509" s="13">
        <f>IF($C509="","",IFERROR(INDEX('Lists'!$G$6:$G$35,MATCH($C509,'Lists'!$F$6:$F$35,0))&amp;"","Unknown category"))</f>
        <v/>
      </c>
      <c r="I509" s="80">
        <f>IF(AND($B509="",$C509="",$E509=""),"",IF(NOT(ISNUMBER($B509)),"Enter a valid date",IF($C509="","Pick a category",IF(OR($H509="Unknown category",$H509=""),"Category has no cost type",IF(NOT(ISNUMBER($E509)),"Enter an amount","OK")))))</f>
        <v/>
      </c>
    </row>
    <row r="510" ht="17" customHeight="1">
      <c r="B510" s="66" t="n"/>
      <c r="C510" s="60" t="n"/>
      <c r="D510" s="60" t="n"/>
      <c r="E510" s="63" t="n"/>
      <c r="F510" s="60" t="n"/>
      <c r="G510" s="60" t="n"/>
      <c r="H510" s="13">
        <f>IF($C510="","",IFERROR(INDEX('Lists'!$G$6:$G$35,MATCH($C510,'Lists'!$F$6:$F$35,0))&amp;"","Unknown category"))</f>
        <v/>
      </c>
      <c r="I510" s="80">
        <f>IF(AND($B510="",$C510="",$E510=""),"",IF(NOT(ISNUMBER($B510)),"Enter a valid date",IF($C510="","Pick a category",IF(OR($H510="Unknown category",$H510=""),"Category has no cost type",IF(NOT(ISNUMBER($E510)),"Enter an amount","OK")))))</f>
        <v/>
      </c>
    </row>
    <row r="511" ht="17" customHeight="1">
      <c r="B511" s="66" t="n"/>
      <c r="C511" s="60" t="n"/>
      <c r="D511" s="60" t="n"/>
      <c r="E511" s="63" t="n"/>
      <c r="F511" s="60" t="n"/>
      <c r="G511" s="60" t="n"/>
      <c r="H511" s="13">
        <f>IF($C511="","",IFERROR(INDEX('Lists'!$G$6:$G$35,MATCH($C511,'Lists'!$F$6:$F$35,0))&amp;"","Unknown category"))</f>
        <v/>
      </c>
      <c r="I511" s="80">
        <f>IF(AND($B511="",$C511="",$E511=""),"",IF(NOT(ISNUMBER($B511)),"Enter a valid date",IF($C511="","Pick a category",IF(OR($H511="Unknown category",$H511=""),"Category has no cost type",IF(NOT(ISNUMBER($E511)),"Enter an amount","OK")))))</f>
        <v/>
      </c>
    </row>
    <row r="512" ht="17" customHeight="1">
      <c r="B512" s="66" t="n"/>
      <c r="C512" s="60" t="n"/>
      <c r="D512" s="60" t="n"/>
      <c r="E512" s="63" t="n"/>
      <c r="F512" s="60" t="n"/>
      <c r="G512" s="60" t="n"/>
      <c r="H512" s="13">
        <f>IF($C512="","",IFERROR(INDEX('Lists'!$G$6:$G$35,MATCH($C512,'Lists'!$F$6:$F$35,0))&amp;"","Unknown category"))</f>
        <v/>
      </c>
      <c r="I512" s="80">
        <f>IF(AND($B512="",$C512="",$E512=""),"",IF(NOT(ISNUMBER($B512)),"Enter a valid date",IF($C512="","Pick a category",IF(OR($H512="Unknown category",$H512=""),"Category has no cost type",IF(NOT(ISNUMBER($E512)),"Enter an amount","OK")))))</f>
        <v/>
      </c>
    </row>
    <row r="513" ht="17" customHeight="1">
      <c r="B513" s="66" t="n"/>
      <c r="C513" s="60" t="n"/>
      <c r="D513" s="60" t="n"/>
      <c r="E513" s="63" t="n"/>
      <c r="F513" s="60" t="n"/>
      <c r="G513" s="60" t="n"/>
      <c r="H513" s="13">
        <f>IF($C513="","",IFERROR(INDEX('Lists'!$G$6:$G$35,MATCH($C513,'Lists'!$F$6:$F$35,0))&amp;"","Unknown category"))</f>
        <v/>
      </c>
      <c r="I513" s="80">
        <f>IF(AND($B513="",$C513="",$E513=""),"",IF(NOT(ISNUMBER($B513)),"Enter a valid date",IF($C513="","Pick a category",IF(OR($H513="Unknown category",$H513=""),"Category has no cost type",IF(NOT(ISNUMBER($E513)),"Enter an amount","OK")))))</f>
        <v/>
      </c>
    </row>
    <row r="514" ht="17" customHeight="1">
      <c r="B514" s="66" t="n"/>
      <c r="C514" s="60" t="n"/>
      <c r="D514" s="60" t="n"/>
      <c r="E514" s="63" t="n"/>
      <c r="F514" s="60" t="n"/>
      <c r="G514" s="60" t="n"/>
      <c r="H514" s="13">
        <f>IF($C514="","",IFERROR(INDEX('Lists'!$G$6:$G$35,MATCH($C514,'Lists'!$F$6:$F$35,0))&amp;"","Unknown category"))</f>
        <v/>
      </c>
      <c r="I514" s="80">
        <f>IF(AND($B514="",$C514="",$E514=""),"",IF(NOT(ISNUMBER($B514)),"Enter a valid date",IF($C514="","Pick a category",IF(OR($H514="Unknown category",$H514=""),"Category has no cost type",IF(NOT(ISNUMBER($E514)),"Enter an amount","OK")))))</f>
        <v/>
      </c>
    </row>
    <row r="515" ht="17" customHeight="1">
      <c r="B515" s="66" t="n"/>
      <c r="C515" s="60" t="n"/>
      <c r="D515" s="60" t="n"/>
      <c r="E515" s="63" t="n"/>
      <c r="F515" s="60" t="n"/>
      <c r="G515" s="60" t="n"/>
      <c r="H515" s="13">
        <f>IF($C515="","",IFERROR(INDEX('Lists'!$G$6:$G$35,MATCH($C515,'Lists'!$F$6:$F$35,0))&amp;"","Unknown category"))</f>
        <v/>
      </c>
      <c r="I515" s="80">
        <f>IF(AND($B515="",$C515="",$E515=""),"",IF(NOT(ISNUMBER($B515)),"Enter a valid date",IF($C515="","Pick a category",IF(OR($H515="Unknown category",$H515=""),"Category has no cost type",IF(NOT(ISNUMBER($E515)),"Enter an amount","OK")))))</f>
        <v/>
      </c>
    </row>
    <row r="516" ht="17" customHeight="1">
      <c r="B516" s="66" t="n"/>
      <c r="C516" s="60" t="n"/>
      <c r="D516" s="60" t="n"/>
      <c r="E516" s="63" t="n"/>
      <c r="F516" s="60" t="n"/>
      <c r="G516" s="60" t="n"/>
      <c r="H516" s="13">
        <f>IF($C516="","",IFERROR(INDEX('Lists'!$G$6:$G$35,MATCH($C516,'Lists'!$F$6:$F$35,0))&amp;"","Unknown category"))</f>
        <v/>
      </c>
      <c r="I516" s="80">
        <f>IF(AND($B516="",$C516="",$E516=""),"",IF(NOT(ISNUMBER($B516)),"Enter a valid date",IF($C516="","Pick a category",IF(OR($H516="Unknown category",$H516=""),"Category has no cost type",IF(NOT(ISNUMBER($E516)),"Enter an amount","OK")))))</f>
        <v/>
      </c>
    </row>
    <row r="517" ht="17" customHeight="1">
      <c r="B517" s="66" t="n"/>
      <c r="C517" s="60" t="n"/>
      <c r="D517" s="60" t="n"/>
      <c r="E517" s="63" t="n"/>
      <c r="F517" s="60" t="n"/>
      <c r="G517" s="60" t="n"/>
      <c r="H517" s="13">
        <f>IF($C517="","",IFERROR(INDEX('Lists'!$G$6:$G$35,MATCH($C517,'Lists'!$F$6:$F$35,0))&amp;"","Unknown category"))</f>
        <v/>
      </c>
      <c r="I517" s="80">
        <f>IF(AND($B517="",$C517="",$E517=""),"",IF(NOT(ISNUMBER($B517)),"Enter a valid date",IF($C517="","Pick a category",IF(OR($H517="Unknown category",$H517=""),"Category has no cost type",IF(NOT(ISNUMBER($E517)),"Enter an amount","OK")))))</f>
        <v/>
      </c>
    </row>
    <row r="518" ht="17" customHeight="1">
      <c r="B518" s="66" t="n"/>
      <c r="C518" s="60" t="n"/>
      <c r="D518" s="60" t="n"/>
      <c r="E518" s="63" t="n"/>
      <c r="F518" s="60" t="n"/>
      <c r="G518" s="60" t="n"/>
      <c r="H518" s="13">
        <f>IF($C518="","",IFERROR(INDEX('Lists'!$G$6:$G$35,MATCH($C518,'Lists'!$F$6:$F$35,0))&amp;"","Unknown category"))</f>
        <v/>
      </c>
      <c r="I518" s="80">
        <f>IF(AND($B518="",$C518="",$E518=""),"",IF(NOT(ISNUMBER($B518)),"Enter a valid date",IF($C518="","Pick a category",IF(OR($H518="Unknown category",$H518=""),"Category has no cost type",IF(NOT(ISNUMBER($E518)),"Enter an amount","OK")))))</f>
        <v/>
      </c>
    </row>
    <row r="519" ht="17" customHeight="1">
      <c r="B519" s="66" t="n"/>
      <c r="C519" s="60" t="n"/>
      <c r="D519" s="60" t="n"/>
      <c r="E519" s="63" t="n"/>
      <c r="F519" s="60" t="n"/>
      <c r="G519" s="60" t="n"/>
      <c r="H519" s="13">
        <f>IF($C519="","",IFERROR(INDEX('Lists'!$G$6:$G$35,MATCH($C519,'Lists'!$F$6:$F$35,0))&amp;"","Unknown category"))</f>
        <v/>
      </c>
      <c r="I519" s="80">
        <f>IF(AND($B519="",$C519="",$E519=""),"",IF(NOT(ISNUMBER($B519)),"Enter a valid date",IF($C519="","Pick a category",IF(OR($H519="Unknown category",$H519=""),"Category has no cost type",IF(NOT(ISNUMBER($E519)),"Enter an amount","OK")))))</f>
        <v/>
      </c>
    </row>
    <row r="520" ht="17" customHeight="1">
      <c r="B520" s="66" t="n"/>
      <c r="C520" s="60" t="n"/>
      <c r="D520" s="60" t="n"/>
      <c r="E520" s="63" t="n"/>
      <c r="F520" s="60" t="n"/>
      <c r="G520" s="60" t="n"/>
      <c r="H520" s="13">
        <f>IF($C520="","",IFERROR(INDEX('Lists'!$G$6:$G$35,MATCH($C520,'Lists'!$F$6:$F$35,0))&amp;"","Unknown category"))</f>
        <v/>
      </c>
      <c r="I520" s="80">
        <f>IF(AND($B520="",$C520="",$E520=""),"",IF(NOT(ISNUMBER($B520)),"Enter a valid date",IF($C520="","Pick a category",IF(OR($H520="Unknown category",$H520=""),"Category has no cost type",IF(NOT(ISNUMBER($E520)),"Enter an amount","OK")))))</f>
        <v/>
      </c>
    </row>
    <row r="521" ht="17" customHeight="1">
      <c r="B521" s="66" t="n"/>
      <c r="C521" s="60" t="n"/>
      <c r="D521" s="60" t="n"/>
      <c r="E521" s="63" t="n"/>
      <c r="F521" s="60" t="n"/>
      <c r="G521" s="60" t="n"/>
      <c r="H521" s="13">
        <f>IF($C521="","",IFERROR(INDEX('Lists'!$G$6:$G$35,MATCH($C521,'Lists'!$F$6:$F$35,0))&amp;"","Unknown category"))</f>
        <v/>
      </c>
      <c r="I521" s="80">
        <f>IF(AND($B521="",$C521="",$E521=""),"",IF(NOT(ISNUMBER($B521)),"Enter a valid date",IF($C521="","Pick a category",IF(OR($H521="Unknown category",$H521=""),"Category has no cost type",IF(NOT(ISNUMBER($E521)),"Enter an amount","OK")))))</f>
        <v/>
      </c>
    </row>
    <row r="522" ht="17" customHeight="1">
      <c r="B522" s="66" t="n"/>
      <c r="C522" s="60" t="n"/>
      <c r="D522" s="60" t="n"/>
      <c r="E522" s="63" t="n"/>
      <c r="F522" s="60" t="n"/>
      <c r="G522" s="60" t="n"/>
      <c r="H522" s="13">
        <f>IF($C522="","",IFERROR(INDEX('Lists'!$G$6:$G$35,MATCH($C522,'Lists'!$F$6:$F$35,0))&amp;"","Unknown category"))</f>
        <v/>
      </c>
      <c r="I522" s="80">
        <f>IF(AND($B522="",$C522="",$E522=""),"",IF(NOT(ISNUMBER($B522)),"Enter a valid date",IF($C522="","Pick a category",IF(OR($H522="Unknown category",$H522=""),"Category has no cost type",IF(NOT(ISNUMBER($E522)),"Enter an amount","OK")))))</f>
        <v/>
      </c>
    </row>
    <row r="523" ht="17" customHeight="1">
      <c r="B523" s="66" t="n"/>
      <c r="C523" s="60" t="n"/>
      <c r="D523" s="60" t="n"/>
      <c r="E523" s="63" t="n"/>
      <c r="F523" s="60" t="n"/>
      <c r="G523" s="60" t="n"/>
      <c r="H523" s="13">
        <f>IF($C523="","",IFERROR(INDEX('Lists'!$G$6:$G$35,MATCH($C523,'Lists'!$F$6:$F$35,0))&amp;"","Unknown category"))</f>
        <v/>
      </c>
      <c r="I523" s="80">
        <f>IF(AND($B523="",$C523="",$E523=""),"",IF(NOT(ISNUMBER($B523)),"Enter a valid date",IF($C523="","Pick a category",IF(OR($H523="Unknown category",$H523=""),"Category has no cost type",IF(NOT(ISNUMBER($E523)),"Enter an amount","OK")))))</f>
        <v/>
      </c>
    </row>
    <row r="524" ht="17" customHeight="1">
      <c r="B524" s="66" t="n"/>
      <c r="C524" s="60" t="n"/>
      <c r="D524" s="60" t="n"/>
      <c r="E524" s="63" t="n"/>
      <c r="F524" s="60" t="n"/>
      <c r="G524" s="60" t="n"/>
      <c r="H524" s="13">
        <f>IF($C524="","",IFERROR(INDEX('Lists'!$G$6:$G$35,MATCH($C524,'Lists'!$F$6:$F$35,0))&amp;"","Unknown category"))</f>
        <v/>
      </c>
      <c r="I524" s="80">
        <f>IF(AND($B524="",$C524="",$E524=""),"",IF(NOT(ISNUMBER($B524)),"Enter a valid date",IF($C524="","Pick a category",IF(OR($H524="Unknown category",$H524=""),"Category has no cost type",IF(NOT(ISNUMBER($E524)),"Enter an amount","OK")))))</f>
        <v/>
      </c>
    </row>
    <row r="525" ht="17" customHeight="1">
      <c r="B525" s="66" t="n"/>
      <c r="C525" s="60" t="n"/>
      <c r="D525" s="60" t="n"/>
      <c r="E525" s="63" t="n"/>
      <c r="F525" s="60" t="n"/>
      <c r="G525" s="60" t="n"/>
      <c r="H525" s="13">
        <f>IF($C525="","",IFERROR(INDEX('Lists'!$G$6:$G$35,MATCH($C525,'Lists'!$F$6:$F$35,0))&amp;"","Unknown category"))</f>
        <v/>
      </c>
      <c r="I525" s="80">
        <f>IF(AND($B525="",$C525="",$E525=""),"",IF(NOT(ISNUMBER($B525)),"Enter a valid date",IF($C525="","Pick a category",IF(OR($H525="Unknown category",$H525=""),"Category has no cost type",IF(NOT(ISNUMBER($E525)),"Enter an amount","OK")))))</f>
        <v/>
      </c>
    </row>
    <row r="526" ht="17" customHeight="1">
      <c r="B526" s="66" t="n"/>
      <c r="C526" s="60" t="n"/>
      <c r="D526" s="60" t="n"/>
      <c r="E526" s="63" t="n"/>
      <c r="F526" s="60" t="n"/>
      <c r="G526" s="60" t="n"/>
      <c r="H526" s="13">
        <f>IF($C526="","",IFERROR(INDEX('Lists'!$G$6:$G$35,MATCH($C526,'Lists'!$F$6:$F$35,0))&amp;"","Unknown category"))</f>
        <v/>
      </c>
      <c r="I526" s="80">
        <f>IF(AND($B526="",$C526="",$E526=""),"",IF(NOT(ISNUMBER($B526)),"Enter a valid date",IF($C526="","Pick a category",IF(OR($H526="Unknown category",$H526=""),"Category has no cost type",IF(NOT(ISNUMBER($E526)),"Enter an amount","OK")))))</f>
        <v/>
      </c>
    </row>
    <row r="527" ht="17" customHeight="1">
      <c r="B527" s="66" t="n"/>
      <c r="C527" s="60" t="n"/>
      <c r="D527" s="60" t="n"/>
      <c r="E527" s="63" t="n"/>
      <c r="F527" s="60" t="n"/>
      <c r="G527" s="60" t="n"/>
      <c r="H527" s="13">
        <f>IF($C527="","",IFERROR(INDEX('Lists'!$G$6:$G$35,MATCH($C527,'Lists'!$F$6:$F$35,0))&amp;"","Unknown category"))</f>
        <v/>
      </c>
      <c r="I527" s="80">
        <f>IF(AND($B527="",$C527="",$E527=""),"",IF(NOT(ISNUMBER($B527)),"Enter a valid date",IF($C527="","Pick a category",IF(OR($H527="Unknown category",$H527=""),"Category has no cost type",IF(NOT(ISNUMBER($E527)),"Enter an amount","OK")))))</f>
        <v/>
      </c>
    </row>
    <row r="528" ht="17" customHeight="1">
      <c r="B528" s="66" t="n"/>
      <c r="C528" s="60" t="n"/>
      <c r="D528" s="60" t="n"/>
      <c r="E528" s="63" t="n"/>
      <c r="F528" s="60" t="n"/>
      <c r="G528" s="60" t="n"/>
      <c r="H528" s="13">
        <f>IF($C528="","",IFERROR(INDEX('Lists'!$G$6:$G$35,MATCH($C528,'Lists'!$F$6:$F$35,0))&amp;"","Unknown category"))</f>
        <v/>
      </c>
      <c r="I528" s="80">
        <f>IF(AND($B528="",$C528="",$E528=""),"",IF(NOT(ISNUMBER($B528)),"Enter a valid date",IF($C528="","Pick a category",IF(OR($H528="Unknown category",$H528=""),"Category has no cost type",IF(NOT(ISNUMBER($E528)),"Enter an amount","OK")))))</f>
        <v/>
      </c>
    </row>
    <row r="529" ht="17" customHeight="1">
      <c r="B529" s="66" t="n"/>
      <c r="C529" s="60" t="n"/>
      <c r="D529" s="60" t="n"/>
      <c r="E529" s="63" t="n"/>
      <c r="F529" s="60" t="n"/>
      <c r="G529" s="60" t="n"/>
      <c r="H529" s="13">
        <f>IF($C529="","",IFERROR(INDEX('Lists'!$G$6:$G$35,MATCH($C529,'Lists'!$F$6:$F$35,0))&amp;"","Unknown category"))</f>
        <v/>
      </c>
      <c r="I529" s="80">
        <f>IF(AND($B529="",$C529="",$E529=""),"",IF(NOT(ISNUMBER($B529)),"Enter a valid date",IF($C529="","Pick a category",IF(OR($H529="Unknown category",$H529=""),"Category has no cost type",IF(NOT(ISNUMBER($E529)),"Enter an amount","OK")))))</f>
        <v/>
      </c>
    </row>
    <row r="530" ht="17" customHeight="1">
      <c r="B530" s="66" t="n"/>
      <c r="C530" s="60" t="n"/>
      <c r="D530" s="60" t="n"/>
      <c r="E530" s="63" t="n"/>
      <c r="F530" s="60" t="n"/>
      <c r="G530" s="60" t="n"/>
      <c r="H530" s="13">
        <f>IF($C530="","",IFERROR(INDEX('Lists'!$G$6:$G$35,MATCH($C530,'Lists'!$F$6:$F$35,0))&amp;"","Unknown category"))</f>
        <v/>
      </c>
      <c r="I530" s="80">
        <f>IF(AND($B530="",$C530="",$E530=""),"",IF(NOT(ISNUMBER($B530)),"Enter a valid date",IF($C530="","Pick a category",IF(OR($H530="Unknown category",$H530=""),"Category has no cost type",IF(NOT(ISNUMBER($E530)),"Enter an amount","OK")))))</f>
        <v/>
      </c>
    </row>
    <row r="531" ht="17" customHeight="1">
      <c r="B531" s="66" t="n"/>
      <c r="C531" s="60" t="n"/>
      <c r="D531" s="60" t="n"/>
      <c r="E531" s="63" t="n"/>
      <c r="F531" s="60" t="n"/>
      <c r="G531" s="60" t="n"/>
      <c r="H531" s="13">
        <f>IF($C531="","",IFERROR(INDEX('Lists'!$G$6:$G$35,MATCH($C531,'Lists'!$F$6:$F$35,0))&amp;"","Unknown category"))</f>
        <v/>
      </c>
      <c r="I531" s="80">
        <f>IF(AND($B531="",$C531="",$E531=""),"",IF(NOT(ISNUMBER($B531)),"Enter a valid date",IF($C531="","Pick a category",IF(OR($H531="Unknown category",$H531=""),"Category has no cost type",IF(NOT(ISNUMBER($E531)),"Enter an amount","OK")))))</f>
        <v/>
      </c>
    </row>
    <row r="532" ht="17" customHeight="1">
      <c r="B532" s="66" t="n"/>
      <c r="C532" s="60" t="n"/>
      <c r="D532" s="60" t="n"/>
      <c r="E532" s="63" t="n"/>
      <c r="F532" s="60" t="n"/>
      <c r="G532" s="60" t="n"/>
      <c r="H532" s="13">
        <f>IF($C532="","",IFERROR(INDEX('Lists'!$G$6:$G$35,MATCH($C532,'Lists'!$F$6:$F$35,0))&amp;"","Unknown category"))</f>
        <v/>
      </c>
      <c r="I532" s="80">
        <f>IF(AND($B532="",$C532="",$E532=""),"",IF(NOT(ISNUMBER($B532)),"Enter a valid date",IF($C532="","Pick a category",IF(OR($H532="Unknown category",$H532=""),"Category has no cost type",IF(NOT(ISNUMBER($E532)),"Enter an amount","OK")))))</f>
        <v/>
      </c>
    </row>
    <row r="533" ht="17" customHeight="1">
      <c r="B533" s="66" t="n"/>
      <c r="C533" s="60" t="n"/>
      <c r="D533" s="60" t="n"/>
      <c r="E533" s="63" t="n"/>
      <c r="F533" s="60" t="n"/>
      <c r="G533" s="60" t="n"/>
      <c r="H533" s="13">
        <f>IF($C533="","",IFERROR(INDEX('Lists'!$G$6:$G$35,MATCH($C533,'Lists'!$F$6:$F$35,0))&amp;"","Unknown category"))</f>
        <v/>
      </c>
      <c r="I533" s="80">
        <f>IF(AND($B533="",$C533="",$E533=""),"",IF(NOT(ISNUMBER($B533)),"Enter a valid date",IF($C533="","Pick a category",IF(OR($H533="Unknown category",$H533=""),"Category has no cost type",IF(NOT(ISNUMBER($E533)),"Enter an amount","OK")))))</f>
        <v/>
      </c>
    </row>
    <row r="534" ht="17" customHeight="1">
      <c r="B534" s="66" t="n"/>
      <c r="C534" s="60" t="n"/>
      <c r="D534" s="60" t="n"/>
      <c r="E534" s="63" t="n"/>
      <c r="F534" s="60" t="n"/>
      <c r="G534" s="60" t="n"/>
      <c r="H534" s="13">
        <f>IF($C534="","",IFERROR(INDEX('Lists'!$G$6:$G$35,MATCH($C534,'Lists'!$F$6:$F$35,0))&amp;"","Unknown category"))</f>
        <v/>
      </c>
      <c r="I534" s="80">
        <f>IF(AND($B534="",$C534="",$E534=""),"",IF(NOT(ISNUMBER($B534)),"Enter a valid date",IF($C534="","Pick a category",IF(OR($H534="Unknown category",$H534=""),"Category has no cost type",IF(NOT(ISNUMBER($E534)),"Enter an amount","OK")))))</f>
        <v/>
      </c>
    </row>
    <row r="535" ht="17" customHeight="1">
      <c r="B535" s="66" t="n"/>
      <c r="C535" s="60" t="n"/>
      <c r="D535" s="60" t="n"/>
      <c r="E535" s="63" t="n"/>
      <c r="F535" s="60" t="n"/>
      <c r="G535" s="60" t="n"/>
      <c r="H535" s="13">
        <f>IF($C535="","",IFERROR(INDEX('Lists'!$G$6:$G$35,MATCH($C535,'Lists'!$F$6:$F$35,0))&amp;"","Unknown category"))</f>
        <v/>
      </c>
      <c r="I535" s="80">
        <f>IF(AND($B535="",$C535="",$E535=""),"",IF(NOT(ISNUMBER($B535)),"Enter a valid date",IF($C535="","Pick a category",IF(OR($H535="Unknown category",$H535=""),"Category has no cost type",IF(NOT(ISNUMBER($E535)),"Enter an amount","OK")))))</f>
        <v/>
      </c>
    </row>
    <row r="536" ht="17" customHeight="1">
      <c r="B536" s="66" t="n"/>
      <c r="C536" s="60" t="n"/>
      <c r="D536" s="60" t="n"/>
      <c r="E536" s="63" t="n"/>
      <c r="F536" s="60" t="n"/>
      <c r="G536" s="60" t="n"/>
      <c r="H536" s="13">
        <f>IF($C536="","",IFERROR(INDEX('Lists'!$G$6:$G$35,MATCH($C536,'Lists'!$F$6:$F$35,0))&amp;"","Unknown category"))</f>
        <v/>
      </c>
      <c r="I536" s="80">
        <f>IF(AND($B536="",$C536="",$E536=""),"",IF(NOT(ISNUMBER($B536)),"Enter a valid date",IF($C536="","Pick a category",IF(OR($H536="Unknown category",$H536=""),"Category has no cost type",IF(NOT(ISNUMBER($E536)),"Enter an amount","OK")))))</f>
        <v/>
      </c>
    </row>
    <row r="537" ht="17" customHeight="1">
      <c r="B537" s="66" t="n"/>
      <c r="C537" s="60" t="n"/>
      <c r="D537" s="60" t="n"/>
      <c r="E537" s="63" t="n"/>
      <c r="F537" s="60" t="n"/>
      <c r="G537" s="60" t="n"/>
      <c r="H537" s="13">
        <f>IF($C537="","",IFERROR(INDEX('Lists'!$G$6:$G$35,MATCH($C537,'Lists'!$F$6:$F$35,0))&amp;"","Unknown category"))</f>
        <v/>
      </c>
      <c r="I537" s="80">
        <f>IF(AND($B537="",$C537="",$E537=""),"",IF(NOT(ISNUMBER($B537)),"Enter a valid date",IF($C537="","Pick a category",IF(OR($H537="Unknown category",$H537=""),"Category has no cost type",IF(NOT(ISNUMBER($E537)),"Enter an amount","OK")))))</f>
        <v/>
      </c>
    </row>
    <row r="538" ht="17" customHeight="1">
      <c r="B538" s="66" t="n"/>
      <c r="C538" s="60" t="n"/>
      <c r="D538" s="60" t="n"/>
      <c r="E538" s="63" t="n"/>
      <c r="F538" s="60" t="n"/>
      <c r="G538" s="60" t="n"/>
      <c r="H538" s="13">
        <f>IF($C538="","",IFERROR(INDEX('Lists'!$G$6:$G$35,MATCH($C538,'Lists'!$F$6:$F$35,0))&amp;"","Unknown category"))</f>
        <v/>
      </c>
      <c r="I538" s="80">
        <f>IF(AND($B538="",$C538="",$E538=""),"",IF(NOT(ISNUMBER($B538)),"Enter a valid date",IF($C538="","Pick a category",IF(OR($H538="Unknown category",$H538=""),"Category has no cost type",IF(NOT(ISNUMBER($E538)),"Enter an amount","OK")))))</f>
        <v/>
      </c>
    </row>
    <row r="539" ht="17" customHeight="1">
      <c r="B539" s="66" t="n"/>
      <c r="C539" s="60" t="n"/>
      <c r="D539" s="60" t="n"/>
      <c r="E539" s="63" t="n"/>
      <c r="F539" s="60" t="n"/>
      <c r="G539" s="60" t="n"/>
      <c r="H539" s="13">
        <f>IF($C539="","",IFERROR(INDEX('Lists'!$G$6:$G$35,MATCH($C539,'Lists'!$F$6:$F$35,0))&amp;"","Unknown category"))</f>
        <v/>
      </c>
      <c r="I539" s="80">
        <f>IF(AND($B539="",$C539="",$E539=""),"",IF(NOT(ISNUMBER($B539)),"Enter a valid date",IF($C539="","Pick a category",IF(OR($H539="Unknown category",$H539=""),"Category has no cost type",IF(NOT(ISNUMBER($E539)),"Enter an amount","OK")))))</f>
        <v/>
      </c>
    </row>
    <row r="540" ht="17" customHeight="1">
      <c r="B540" s="66" t="n"/>
      <c r="C540" s="60" t="n"/>
      <c r="D540" s="60" t="n"/>
      <c r="E540" s="63" t="n"/>
      <c r="F540" s="60" t="n"/>
      <c r="G540" s="60" t="n"/>
      <c r="H540" s="13">
        <f>IF($C540="","",IFERROR(INDEX('Lists'!$G$6:$G$35,MATCH($C540,'Lists'!$F$6:$F$35,0))&amp;"","Unknown category"))</f>
        <v/>
      </c>
      <c r="I540" s="80">
        <f>IF(AND($B540="",$C540="",$E540=""),"",IF(NOT(ISNUMBER($B540)),"Enter a valid date",IF($C540="","Pick a category",IF(OR($H540="Unknown category",$H540=""),"Category has no cost type",IF(NOT(ISNUMBER($E540)),"Enter an amount","OK")))))</f>
        <v/>
      </c>
    </row>
    <row r="541" ht="17" customHeight="1">
      <c r="B541" s="66" t="n"/>
      <c r="C541" s="60" t="n"/>
      <c r="D541" s="60" t="n"/>
      <c r="E541" s="63" t="n"/>
      <c r="F541" s="60" t="n"/>
      <c r="G541" s="60" t="n"/>
      <c r="H541" s="13">
        <f>IF($C541="","",IFERROR(INDEX('Lists'!$G$6:$G$35,MATCH($C541,'Lists'!$F$6:$F$35,0))&amp;"","Unknown category"))</f>
        <v/>
      </c>
      <c r="I541" s="80">
        <f>IF(AND($B541="",$C541="",$E541=""),"",IF(NOT(ISNUMBER($B541)),"Enter a valid date",IF($C541="","Pick a category",IF(OR($H541="Unknown category",$H541=""),"Category has no cost type",IF(NOT(ISNUMBER($E541)),"Enter an amount","OK")))))</f>
        <v/>
      </c>
    </row>
    <row r="542" ht="17" customHeight="1">
      <c r="B542" s="66" t="n"/>
      <c r="C542" s="60" t="n"/>
      <c r="D542" s="60" t="n"/>
      <c r="E542" s="63" t="n"/>
      <c r="F542" s="60" t="n"/>
      <c r="G542" s="60" t="n"/>
      <c r="H542" s="13">
        <f>IF($C542="","",IFERROR(INDEX('Lists'!$G$6:$G$35,MATCH($C542,'Lists'!$F$6:$F$35,0))&amp;"","Unknown category"))</f>
        <v/>
      </c>
      <c r="I542" s="80">
        <f>IF(AND($B542="",$C542="",$E542=""),"",IF(NOT(ISNUMBER($B542)),"Enter a valid date",IF($C542="","Pick a category",IF(OR($H542="Unknown category",$H542=""),"Category has no cost type",IF(NOT(ISNUMBER($E542)),"Enter an amount","OK")))))</f>
        <v/>
      </c>
    </row>
    <row r="543" ht="17" customHeight="1">
      <c r="B543" s="66" t="n"/>
      <c r="C543" s="60" t="n"/>
      <c r="D543" s="60" t="n"/>
      <c r="E543" s="63" t="n"/>
      <c r="F543" s="60" t="n"/>
      <c r="G543" s="60" t="n"/>
      <c r="H543" s="13">
        <f>IF($C543="","",IFERROR(INDEX('Lists'!$G$6:$G$35,MATCH($C543,'Lists'!$F$6:$F$35,0))&amp;"","Unknown category"))</f>
        <v/>
      </c>
      <c r="I543" s="80">
        <f>IF(AND($B543="",$C543="",$E543=""),"",IF(NOT(ISNUMBER($B543)),"Enter a valid date",IF($C543="","Pick a category",IF(OR($H543="Unknown category",$H543=""),"Category has no cost type",IF(NOT(ISNUMBER($E543)),"Enter an amount","OK")))))</f>
        <v/>
      </c>
    </row>
    <row r="544" ht="17" customHeight="1">
      <c r="B544" s="66" t="n"/>
      <c r="C544" s="60" t="n"/>
      <c r="D544" s="60" t="n"/>
      <c r="E544" s="63" t="n"/>
      <c r="F544" s="60" t="n"/>
      <c r="G544" s="60" t="n"/>
      <c r="H544" s="13">
        <f>IF($C544="","",IFERROR(INDEX('Lists'!$G$6:$G$35,MATCH($C544,'Lists'!$F$6:$F$35,0))&amp;"","Unknown category"))</f>
        <v/>
      </c>
      <c r="I544" s="80">
        <f>IF(AND($B544="",$C544="",$E544=""),"",IF(NOT(ISNUMBER($B544)),"Enter a valid date",IF($C544="","Pick a category",IF(OR($H544="Unknown category",$H544=""),"Category has no cost type",IF(NOT(ISNUMBER($E544)),"Enter an amount","OK")))))</f>
        <v/>
      </c>
    </row>
    <row r="545" ht="17" customHeight="1">
      <c r="B545" s="66" t="n"/>
      <c r="C545" s="60" t="n"/>
      <c r="D545" s="60" t="n"/>
      <c r="E545" s="63" t="n"/>
      <c r="F545" s="60" t="n"/>
      <c r="G545" s="60" t="n"/>
      <c r="H545" s="13">
        <f>IF($C545="","",IFERROR(INDEX('Lists'!$G$6:$G$35,MATCH($C545,'Lists'!$F$6:$F$35,0))&amp;"","Unknown category"))</f>
        <v/>
      </c>
      <c r="I545" s="80">
        <f>IF(AND($B545="",$C545="",$E545=""),"",IF(NOT(ISNUMBER($B545)),"Enter a valid date",IF($C545="","Pick a category",IF(OR($H545="Unknown category",$H545=""),"Category has no cost type",IF(NOT(ISNUMBER($E545)),"Enter an amount","OK")))))</f>
        <v/>
      </c>
    </row>
    <row r="546" ht="17" customHeight="1">
      <c r="B546" s="66" t="n"/>
      <c r="C546" s="60" t="n"/>
      <c r="D546" s="60" t="n"/>
      <c r="E546" s="63" t="n"/>
      <c r="F546" s="60" t="n"/>
      <c r="G546" s="60" t="n"/>
      <c r="H546" s="13">
        <f>IF($C546="","",IFERROR(INDEX('Lists'!$G$6:$G$35,MATCH($C546,'Lists'!$F$6:$F$35,0))&amp;"","Unknown category"))</f>
        <v/>
      </c>
      <c r="I546" s="80">
        <f>IF(AND($B546="",$C546="",$E546=""),"",IF(NOT(ISNUMBER($B546)),"Enter a valid date",IF($C546="","Pick a category",IF(OR($H546="Unknown category",$H546=""),"Category has no cost type",IF(NOT(ISNUMBER($E546)),"Enter an amount","OK")))))</f>
        <v/>
      </c>
    </row>
    <row r="547" ht="17" customHeight="1">
      <c r="B547" s="66" t="n"/>
      <c r="C547" s="60" t="n"/>
      <c r="D547" s="60" t="n"/>
      <c r="E547" s="63" t="n"/>
      <c r="F547" s="60" t="n"/>
      <c r="G547" s="60" t="n"/>
      <c r="H547" s="13">
        <f>IF($C547="","",IFERROR(INDEX('Lists'!$G$6:$G$35,MATCH($C547,'Lists'!$F$6:$F$35,0))&amp;"","Unknown category"))</f>
        <v/>
      </c>
      <c r="I547" s="80">
        <f>IF(AND($B547="",$C547="",$E547=""),"",IF(NOT(ISNUMBER($B547)),"Enter a valid date",IF($C547="","Pick a category",IF(OR($H547="Unknown category",$H547=""),"Category has no cost type",IF(NOT(ISNUMBER($E547)),"Enter an amount","OK")))))</f>
        <v/>
      </c>
    </row>
    <row r="548" ht="17" customHeight="1">
      <c r="B548" s="66" t="n"/>
      <c r="C548" s="60" t="n"/>
      <c r="D548" s="60" t="n"/>
      <c r="E548" s="63" t="n"/>
      <c r="F548" s="60" t="n"/>
      <c r="G548" s="60" t="n"/>
      <c r="H548" s="13">
        <f>IF($C548="","",IFERROR(INDEX('Lists'!$G$6:$G$35,MATCH($C548,'Lists'!$F$6:$F$35,0))&amp;"","Unknown category"))</f>
        <v/>
      </c>
      <c r="I548" s="80">
        <f>IF(AND($B548="",$C548="",$E548=""),"",IF(NOT(ISNUMBER($B548)),"Enter a valid date",IF($C548="","Pick a category",IF(OR($H548="Unknown category",$H548=""),"Category has no cost type",IF(NOT(ISNUMBER($E548)),"Enter an amount","OK")))))</f>
        <v/>
      </c>
    </row>
    <row r="549" ht="17" customHeight="1">
      <c r="B549" s="66" t="n"/>
      <c r="C549" s="60" t="n"/>
      <c r="D549" s="60" t="n"/>
      <c r="E549" s="63" t="n"/>
      <c r="F549" s="60" t="n"/>
      <c r="G549" s="60" t="n"/>
      <c r="H549" s="13">
        <f>IF($C549="","",IFERROR(INDEX('Lists'!$G$6:$G$35,MATCH($C549,'Lists'!$F$6:$F$35,0))&amp;"","Unknown category"))</f>
        <v/>
      </c>
      <c r="I549" s="80">
        <f>IF(AND($B549="",$C549="",$E549=""),"",IF(NOT(ISNUMBER($B549)),"Enter a valid date",IF($C549="","Pick a category",IF(OR($H549="Unknown category",$H549=""),"Category has no cost type",IF(NOT(ISNUMBER($E549)),"Enter an amount","OK")))))</f>
        <v/>
      </c>
    </row>
    <row r="550" ht="17" customHeight="1">
      <c r="B550" s="66" t="n"/>
      <c r="C550" s="60" t="n"/>
      <c r="D550" s="60" t="n"/>
      <c r="E550" s="63" t="n"/>
      <c r="F550" s="60" t="n"/>
      <c r="G550" s="60" t="n"/>
      <c r="H550" s="13">
        <f>IF($C550="","",IFERROR(INDEX('Lists'!$G$6:$G$35,MATCH($C550,'Lists'!$F$6:$F$35,0))&amp;"","Unknown category"))</f>
        <v/>
      </c>
      <c r="I550" s="80">
        <f>IF(AND($B550="",$C550="",$E550=""),"",IF(NOT(ISNUMBER($B550)),"Enter a valid date",IF($C550="","Pick a category",IF(OR($H550="Unknown category",$H550=""),"Category has no cost type",IF(NOT(ISNUMBER($E550)),"Enter an amount","OK")))))</f>
        <v/>
      </c>
    </row>
    <row r="551" ht="17" customHeight="1">
      <c r="B551" s="66" t="n"/>
      <c r="C551" s="60" t="n"/>
      <c r="D551" s="60" t="n"/>
      <c r="E551" s="63" t="n"/>
      <c r="F551" s="60" t="n"/>
      <c r="G551" s="60" t="n"/>
      <c r="H551" s="13">
        <f>IF($C551="","",IFERROR(INDEX('Lists'!$G$6:$G$35,MATCH($C551,'Lists'!$F$6:$F$35,0))&amp;"","Unknown category"))</f>
        <v/>
      </c>
      <c r="I551" s="80">
        <f>IF(AND($B551="",$C551="",$E551=""),"",IF(NOT(ISNUMBER($B551)),"Enter a valid date",IF($C551="","Pick a category",IF(OR($H551="Unknown category",$H551=""),"Category has no cost type",IF(NOT(ISNUMBER($E551)),"Enter an amount","OK")))))</f>
        <v/>
      </c>
    </row>
    <row r="552" ht="17" customHeight="1">
      <c r="B552" s="66" t="n"/>
      <c r="C552" s="60" t="n"/>
      <c r="D552" s="60" t="n"/>
      <c r="E552" s="63" t="n"/>
      <c r="F552" s="60" t="n"/>
      <c r="G552" s="60" t="n"/>
      <c r="H552" s="13">
        <f>IF($C552="","",IFERROR(INDEX('Lists'!$G$6:$G$35,MATCH($C552,'Lists'!$F$6:$F$35,0))&amp;"","Unknown category"))</f>
        <v/>
      </c>
      <c r="I552" s="80">
        <f>IF(AND($B552="",$C552="",$E552=""),"",IF(NOT(ISNUMBER($B552)),"Enter a valid date",IF($C552="","Pick a category",IF(OR($H552="Unknown category",$H552=""),"Category has no cost type",IF(NOT(ISNUMBER($E552)),"Enter an amount","OK")))))</f>
        <v/>
      </c>
    </row>
    <row r="553" ht="17" customHeight="1">
      <c r="B553" s="66" t="n"/>
      <c r="C553" s="60" t="n"/>
      <c r="D553" s="60" t="n"/>
      <c r="E553" s="63" t="n"/>
      <c r="F553" s="60" t="n"/>
      <c r="G553" s="60" t="n"/>
      <c r="H553" s="13">
        <f>IF($C553="","",IFERROR(INDEX('Lists'!$G$6:$G$35,MATCH($C553,'Lists'!$F$6:$F$35,0))&amp;"","Unknown category"))</f>
        <v/>
      </c>
      <c r="I553" s="80">
        <f>IF(AND($B553="",$C553="",$E553=""),"",IF(NOT(ISNUMBER($B553)),"Enter a valid date",IF($C553="","Pick a category",IF(OR($H553="Unknown category",$H553=""),"Category has no cost type",IF(NOT(ISNUMBER($E553)),"Enter an amount","OK")))))</f>
        <v/>
      </c>
    </row>
    <row r="554" ht="17" customHeight="1">
      <c r="B554" s="66" t="n"/>
      <c r="C554" s="60" t="n"/>
      <c r="D554" s="60" t="n"/>
      <c r="E554" s="63" t="n"/>
      <c r="F554" s="60" t="n"/>
      <c r="G554" s="60" t="n"/>
      <c r="H554" s="13">
        <f>IF($C554="","",IFERROR(INDEX('Lists'!$G$6:$G$35,MATCH($C554,'Lists'!$F$6:$F$35,0))&amp;"","Unknown category"))</f>
        <v/>
      </c>
      <c r="I554" s="80">
        <f>IF(AND($B554="",$C554="",$E554=""),"",IF(NOT(ISNUMBER($B554)),"Enter a valid date",IF($C554="","Pick a category",IF(OR($H554="Unknown category",$H554=""),"Category has no cost type",IF(NOT(ISNUMBER($E554)),"Enter an amount","OK")))))</f>
        <v/>
      </c>
    </row>
    <row r="555" ht="17" customHeight="1">
      <c r="B555" s="66" t="n"/>
      <c r="C555" s="60" t="n"/>
      <c r="D555" s="60" t="n"/>
      <c r="E555" s="63" t="n"/>
      <c r="F555" s="60" t="n"/>
      <c r="G555" s="60" t="n"/>
      <c r="H555" s="13">
        <f>IF($C555="","",IFERROR(INDEX('Lists'!$G$6:$G$35,MATCH($C555,'Lists'!$F$6:$F$35,0))&amp;"","Unknown category"))</f>
        <v/>
      </c>
      <c r="I555" s="80">
        <f>IF(AND($B555="",$C555="",$E555=""),"",IF(NOT(ISNUMBER($B555)),"Enter a valid date",IF($C555="","Pick a category",IF(OR($H555="Unknown category",$H555=""),"Category has no cost type",IF(NOT(ISNUMBER($E555)),"Enter an amount","OK")))))</f>
        <v/>
      </c>
    </row>
    <row r="556" ht="17" customHeight="1">
      <c r="B556" s="66" t="n"/>
      <c r="C556" s="60" t="n"/>
      <c r="D556" s="60" t="n"/>
      <c r="E556" s="63" t="n"/>
      <c r="F556" s="60" t="n"/>
      <c r="G556" s="60" t="n"/>
      <c r="H556" s="13">
        <f>IF($C556="","",IFERROR(INDEX('Lists'!$G$6:$G$35,MATCH($C556,'Lists'!$F$6:$F$35,0))&amp;"","Unknown category"))</f>
        <v/>
      </c>
      <c r="I556" s="80">
        <f>IF(AND($B556="",$C556="",$E556=""),"",IF(NOT(ISNUMBER($B556)),"Enter a valid date",IF($C556="","Pick a category",IF(OR($H556="Unknown category",$H556=""),"Category has no cost type",IF(NOT(ISNUMBER($E556)),"Enter an amount","OK")))))</f>
        <v/>
      </c>
    </row>
    <row r="557" ht="17" customHeight="1">
      <c r="B557" s="66" t="n"/>
      <c r="C557" s="60" t="n"/>
      <c r="D557" s="60" t="n"/>
      <c r="E557" s="63" t="n"/>
      <c r="F557" s="60" t="n"/>
      <c r="G557" s="60" t="n"/>
      <c r="H557" s="13">
        <f>IF($C557="","",IFERROR(INDEX('Lists'!$G$6:$G$35,MATCH($C557,'Lists'!$F$6:$F$35,0))&amp;"","Unknown category"))</f>
        <v/>
      </c>
      <c r="I557" s="80">
        <f>IF(AND($B557="",$C557="",$E557=""),"",IF(NOT(ISNUMBER($B557)),"Enter a valid date",IF($C557="","Pick a category",IF(OR($H557="Unknown category",$H557=""),"Category has no cost type",IF(NOT(ISNUMBER($E557)),"Enter an amount","OK")))))</f>
        <v/>
      </c>
    </row>
    <row r="558" ht="17" customHeight="1">
      <c r="B558" s="66" t="n"/>
      <c r="C558" s="60" t="n"/>
      <c r="D558" s="60" t="n"/>
      <c r="E558" s="63" t="n"/>
      <c r="F558" s="60" t="n"/>
      <c r="G558" s="60" t="n"/>
      <c r="H558" s="13">
        <f>IF($C558="","",IFERROR(INDEX('Lists'!$G$6:$G$35,MATCH($C558,'Lists'!$F$6:$F$35,0))&amp;"","Unknown category"))</f>
        <v/>
      </c>
      <c r="I558" s="80">
        <f>IF(AND($B558="",$C558="",$E558=""),"",IF(NOT(ISNUMBER($B558)),"Enter a valid date",IF($C558="","Pick a category",IF(OR($H558="Unknown category",$H558=""),"Category has no cost type",IF(NOT(ISNUMBER($E558)),"Enter an amount","OK")))))</f>
        <v/>
      </c>
    </row>
    <row r="559" ht="17" customHeight="1">
      <c r="B559" s="66" t="n"/>
      <c r="C559" s="60" t="n"/>
      <c r="D559" s="60" t="n"/>
      <c r="E559" s="63" t="n"/>
      <c r="F559" s="60" t="n"/>
      <c r="G559" s="60" t="n"/>
      <c r="H559" s="13">
        <f>IF($C559="","",IFERROR(INDEX('Lists'!$G$6:$G$35,MATCH($C559,'Lists'!$F$6:$F$35,0))&amp;"","Unknown category"))</f>
        <v/>
      </c>
      <c r="I559" s="80">
        <f>IF(AND($B559="",$C559="",$E559=""),"",IF(NOT(ISNUMBER($B559)),"Enter a valid date",IF($C559="","Pick a category",IF(OR($H559="Unknown category",$H559=""),"Category has no cost type",IF(NOT(ISNUMBER($E559)),"Enter an amount","OK")))))</f>
        <v/>
      </c>
    </row>
    <row r="560" ht="17" customHeight="1">
      <c r="B560" s="66" t="n"/>
      <c r="C560" s="60" t="n"/>
      <c r="D560" s="60" t="n"/>
      <c r="E560" s="63" t="n"/>
      <c r="F560" s="60" t="n"/>
      <c r="G560" s="60" t="n"/>
      <c r="H560" s="13">
        <f>IF($C560="","",IFERROR(INDEX('Lists'!$G$6:$G$35,MATCH($C560,'Lists'!$F$6:$F$35,0))&amp;"","Unknown category"))</f>
        <v/>
      </c>
      <c r="I560" s="80">
        <f>IF(AND($B560="",$C560="",$E560=""),"",IF(NOT(ISNUMBER($B560)),"Enter a valid date",IF($C560="","Pick a category",IF(OR($H560="Unknown category",$H560=""),"Category has no cost type",IF(NOT(ISNUMBER($E560)),"Enter an amount","OK")))))</f>
        <v/>
      </c>
    </row>
    <row r="561" ht="17" customHeight="1">
      <c r="B561" s="66" t="n"/>
      <c r="C561" s="60" t="n"/>
      <c r="D561" s="60" t="n"/>
      <c r="E561" s="63" t="n"/>
      <c r="F561" s="60" t="n"/>
      <c r="G561" s="60" t="n"/>
      <c r="H561" s="13">
        <f>IF($C561="","",IFERROR(INDEX('Lists'!$G$6:$G$35,MATCH($C561,'Lists'!$F$6:$F$35,0))&amp;"","Unknown category"))</f>
        <v/>
      </c>
      <c r="I561" s="80">
        <f>IF(AND($B561="",$C561="",$E561=""),"",IF(NOT(ISNUMBER($B561)),"Enter a valid date",IF($C561="","Pick a category",IF(OR($H561="Unknown category",$H561=""),"Category has no cost type",IF(NOT(ISNUMBER($E561)),"Enter an amount","OK")))))</f>
        <v/>
      </c>
    </row>
    <row r="562" ht="17" customHeight="1">
      <c r="B562" s="66" t="n"/>
      <c r="C562" s="60" t="n"/>
      <c r="D562" s="60" t="n"/>
      <c r="E562" s="63" t="n"/>
      <c r="F562" s="60" t="n"/>
      <c r="G562" s="60" t="n"/>
      <c r="H562" s="13">
        <f>IF($C562="","",IFERROR(INDEX('Lists'!$G$6:$G$35,MATCH($C562,'Lists'!$F$6:$F$35,0))&amp;"","Unknown category"))</f>
        <v/>
      </c>
      <c r="I562" s="80">
        <f>IF(AND($B562="",$C562="",$E562=""),"",IF(NOT(ISNUMBER($B562)),"Enter a valid date",IF($C562="","Pick a category",IF(OR($H562="Unknown category",$H562=""),"Category has no cost type",IF(NOT(ISNUMBER($E562)),"Enter an amount","OK")))))</f>
        <v/>
      </c>
    </row>
    <row r="563" ht="17" customHeight="1">
      <c r="B563" s="66" t="n"/>
      <c r="C563" s="60" t="n"/>
      <c r="D563" s="60" t="n"/>
      <c r="E563" s="63" t="n"/>
      <c r="F563" s="60" t="n"/>
      <c r="G563" s="60" t="n"/>
      <c r="H563" s="13">
        <f>IF($C563="","",IFERROR(INDEX('Lists'!$G$6:$G$35,MATCH($C563,'Lists'!$F$6:$F$35,0))&amp;"","Unknown category"))</f>
        <v/>
      </c>
      <c r="I563" s="80">
        <f>IF(AND($B563="",$C563="",$E563=""),"",IF(NOT(ISNUMBER($B563)),"Enter a valid date",IF($C563="","Pick a category",IF(OR($H563="Unknown category",$H563=""),"Category has no cost type",IF(NOT(ISNUMBER($E563)),"Enter an amount","OK")))))</f>
        <v/>
      </c>
    </row>
    <row r="564" ht="17" customHeight="1">
      <c r="B564" s="66" t="n"/>
      <c r="C564" s="60" t="n"/>
      <c r="D564" s="60" t="n"/>
      <c r="E564" s="63" t="n"/>
      <c r="F564" s="60" t="n"/>
      <c r="G564" s="60" t="n"/>
      <c r="H564" s="13">
        <f>IF($C564="","",IFERROR(INDEX('Lists'!$G$6:$G$35,MATCH($C564,'Lists'!$F$6:$F$35,0))&amp;"","Unknown category"))</f>
        <v/>
      </c>
      <c r="I564" s="80">
        <f>IF(AND($B564="",$C564="",$E564=""),"",IF(NOT(ISNUMBER($B564)),"Enter a valid date",IF($C564="","Pick a category",IF(OR($H564="Unknown category",$H564=""),"Category has no cost type",IF(NOT(ISNUMBER($E564)),"Enter an amount","OK")))))</f>
        <v/>
      </c>
    </row>
    <row r="565" ht="17" customHeight="1">
      <c r="B565" s="66" t="n"/>
      <c r="C565" s="60" t="n"/>
      <c r="D565" s="60" t="n"/>
      <c r="E565" s="63" t="n"/>
      <c r="F565" s="60" t="n"/>
      <c r="G565" s="60" t="n"/>
      <c r="H565" s="13">
        <f>IF($C565="","",IFERROR(INDEX('Lists'!$G$6:$G$35,MATCH($C565,'Lists'!$F$6:$F$35,0))&amp;"","Unknown category"))</f>
        <v/>
      </c>
      <c r="I565" s="80">
        <f>IF(AND($B565="",$C565="",$E565=""),"",IF(NOT(ISNUMBER($B565)),"Enter a valid date",IF($C565="","Pick a category",IF(OR($H565="Unknown category",$H565=""),"Category has no cost type",IF(NOT(ISNUMBER($E565)),"Enter an amount","OK")))))</f>
        <v/>
      </c>
    </row>
    <row r="566" ht="17" customHeight="1">
      <c r="B566" s="66" t="n"/>
      <c r="C566" s="60" t="n"/>
      <c r="D566" s="60" t="n"/>
      <c r="E566" s="63" t="n"/>
      <c r="F566" s="60" t="n"/>
      <c r="G566" s="60" t="n"/>
      <c r="H566" s="13">
        <f>IF($C566="","",IFERROR(INDEX('Lists'!$G$6:$G$35,MATCH($C566,'Lists'!$F$6:$F$35,0))&amp;"","Unknown category"))</f>
        <v/>
      </c>
      <c r="I566" s="80">
        <f>IF(AND($B566="",$C566="",$E566=""),"",IF(NOT(ISNUMBER($B566)),"Enter a valid date",IF($C566="","Pick a category",IF(OR($H566="Unknown category",$H566=""),"Category has no cost type",IF(NOT(ISNUMBER($E566)),"Enter an amount","OK")))))</f>
        <v/>
      </c>
    </row>
    <row r="567" ht="17" customHeight="1">
      <c r="B567" s="66" t="n"/>
      <c r="C567" s="60" t="n"/>
      <c r="D567" s="60" t="n"/>
      <c r="E567" s="63" t="n"/>
      <c r="F567" s="60" t="n"/>
      <c r="G567" s="60" t="n"/>
      <c r="H567" s="13">
        <f>IF($C567="","",IFERROR(INDEX('Lists'!$G$6:$G$35,MATCH($C567,'Lists'!$F$6:$F$35,0))&amp;"","Unknown category"))</f>
        <v/>
      </c>
      <c r="I567" s="80">
        <f>IF(AND($B567="",$C567="",$E567=""),"",IF(NOT(ISNUMBER($B567)),"Enter a valid date",IF($C567="","Pick a category",IF(OR($H567="Unknown category",$H567=""),"Category has no cost type",IF(NOT(ISNUMBER($E567)),"Enter an amount","OK")))))</f>
        <v/>
      </c>
    </row>
    <row r="568" ht="17" customHeight="1">
      <c r="B568" s="66" t="n"/>
      <c r="C568" s="60" t="n"/>
      <c r="D568" s="60" t="n"/>
      <c r="E568" s="63" t="n"/>
      <c r="F568" s="60" t="n"/>
      <c r="G568" s="60" t="n"/>
      <c r="H568" s="13">
        <f>IF($C568="","",IFERROR(INDEX('Lists'!$G$6:$G$35,MATCH($C568,'Lists'!$F$6:$F$35,0))&amp;"","Unknown category"))</f>
        <v/>
      </c>
      <c r="I568" s="80">
        <f>IF(AND($B568="",$C568="",$E568=""),"",IF(NOT(ISNUMBER($B568)),"Enter a valid date",IF($C568="","Pick a category",IF(OR($H568="Unknown category",$H568=""),"Category has no cost type",IF(NOT(ISNUMBER($E568)),"Enter an amount","OK")))))</f>
        <v/>
      </c>
    </row>
    <row r="569" ht="17" customHeight="1">
      <c r="B569" s="66" t="n"/>
      <c r="C569" s="60" t="n"/>
      <c r="D569" s="60" t="n"/>
      <c r="E569" s="63" t="n"/>
      <c r="F569" s="60" t="n"/>
      <c r="G569" s="60" t="n"/>
      <c r="H569" s="13">
        <f>IF($C569="","",IFERROR(INDEX('Lists'!$G$6:$G$35,MATCH($C569,'Lists'!$F$6:$F$35,0))&amp;"","Unknown category"))</f>
        <v/>
      </c>
      <c r="I569" s="80">
        <f>IF(AND($B569="",$C569="",$E569=""),"",IF(NOT(ISNUMBER($B569)),"Enter a valid date",IF($C569="","Pick a category",IF(OR($H569="Unknown category",$H569=""),"Category has no cost type",IF(NOT(ISNUMBER($E569)),"Enter an amount","OK")))))</f>
        <v/>
      </c>
    </row>
    <row r="570" ht="17" customHeight="1">
      <c r="B570" s="66" t="n"/>
      <c r="C570" s="60" t="n"/>
      <c r="D570" s="60" t="n"/>
      <c r="E570" s="63" t="n"/>
      <c r="F570" s="60" t="n"/>
      <c r="G570" s="60" t="n"/>
      <c r="H570" s="13">
        <f>IF($C570="","",IFERROR(INDEX('Lists'!$G$6:$G$35,MATCH($C570,'Lists'!$F$6:$F$35,0))&amp;"","Unknown category"))</f>
        <v/>
      </c>
      <c r="I570" s="80">
        <f>IF(AND($B570="",$C570="",$E570=""),"",IF(NOT(ISNUMBER($B570)),"Enter a valid date",IF($C570="","Pick a category",IF(OR($H570="Unknown category",$H570=""),"Category has no cost type",IF(NOT(ISNUMBER($E570)),"Enter an amount","OK")))))</f>
        <v/>
      </c>
    </row>
    <row r="571" ht="17" customHeight="1">
      <c r="B571" s="66" t="n"/>
      <c r="C571" s="60" t="n"/>
      <c r="D571" s="60" t="n"/>
      <c r="E571" s="63" t="n"/>
      <c r="F571" s="60" t="n"/>
      <c r="G571" s="60" t="n"/>
      <c r="H571" s="13">
        <f>IF($C571="","",IFERROR(INDEX('Lists'!$G$6:$G$35,MATCH($C571,'Lists'!$F$6:$F$35,0))&amp;"","Unknown category"))</f>
        <v/>
      </c>
      <c r="I571" s="80">
        <f>IF(AND($B571="",$C571="",$E571=""),"",IF(NOT(ISNUMBER($B571)),"Enter a valid date",IF($C571="","Pick a category",IF(OR($H571="Unknown category",$H571=""),"Category has no cost type",IF(NOT(ISNUMBER($E571)),"Enter an amount","OK")))))</f>
        <v/>
      </c>
    </row>
    <row r="572" ht="17" customHeight="1">
      <c r="B572" s="66" t="n"/>
      <c r="C572" s="60" t="n"/>
      <c r="D572" s="60" t="n"/>
      <c r="E572" s="63" t="n"/>
      <c r="F572" s="60" t="n"/>
      <c r="G572" s="60" t="n"/>
      <c r="H572" s="13">
        <f>IF($C572="","",IFERROR(INDEX('Lists'!$G$6:$G$35,MATCH($C572,'Lists'!$F$6:$F$35,0))&amp;"","Unknown category"))</f>
        <v/>
      </c>
      <c r="I572" s="80">
        <f>IF(AND($B572="",$C572="",$E572=""),"",IF(NOT(ISNUMBER($B572)),"Enter a valid date",IF($C572="","Pick a category",IF(OR($H572="Unknown category",$H572=""),"Category has no cost type",IF(NOT(ISNUMBER($E572)),"Enter an amount","OK")))))</f>
        <v/>
      </c>
    </row>
    <row r="573" ht="17" customHeight="1">
      <c r="B573" s="66" t="n"/>
      <c r="C573" s="60" t="n"/>
      <c r="D573" s="60" t="n"/>
      <c r="E573" s="63" t="n"/>
      <c r="F573" s="60" t="n"/>
      <c r="G573" s="60" t="n"/>
      <c r="H573" s="13">
        <f>IF($C573="","",IFERROR(INDEX('Lists'!$G$6:$G$35,MATCH($C573,'Lists'!$F$6:$F$35,0))&amp;"","Unknown category"))</f>
        <v/>
      </c>
      <c r="I573" s="80">
        <f>IF(AND($B573="",$C573="",$E573=""),"",IF(NOT(ISNUMBER($B573)),"Enter a valid date",IF($C573="","Pick a category",IF(OR($H573="Unknown category",$H573=""),"Category has no cost type",IF(NOT(ISNUMBER($E573)),"Enter an amount","OK")))))</f>
        <v/>
      </c>
    </row>
    <row r="574" ht="17" customHeight="1">
      <c r="B574" s="66" t="n"/>
      <c r="C574" s="60" t="n"/>
      <c r="D574" s="60" t="n"/>
      <c r="E574" s="63" t="n"/>
      <c r="F574" s="60" t="n"/>
      <c r="G574" s="60" t="n"/>
      <c r="H574" s="13">
        <f>IF($C574="","",IFERROR(INDEX('Lists'!$G$6:$G$35,MATCH($C574,'Lists'!$F$6:$F$35,0))&amp;"","Unknown category"))</f>
        <v/>
      </c>
      <c r="I574" s="80">
        <f>IF(AND($B574="",$C574="",$E574=""),"",IF(NOT(ISNUMBER($B574)),"Enter a valid date",IF($C574="","Pick a category",IF(OR($H574="Unknown category",$H574=""),"Category has no cost type",IF(NOT(ISNUMBER($E574)),"Enter an amount","OK")))))</f>
        <v/>
      </c>
    </row>
    <row r="575" ht="17" customHeight="1">
      <c r="B575" s="66" t="n"/>
      <c r="C575" s="60" t="n"/>
      <c r="D575" s="60" t="n"/>
      <c r="E575" s="63" t="n"/>
      <c r="F575" s="60" t="n"/>
      <c r="G575" s="60" t="n"/>
      <c r="H575" s="13">
        <f>IF($C575="","",IFERROR(INDEX('Lists'!$G$6:$G$35,MATCH($C575,'Lists'!$F$6:$F$35,0))&amp;"","Unknown category"))</f>
        <v/>
      </c>
      <c r="I575" s="80">
        <f>IF(AND($B575="",$C575="",$E575=""),"",IF(NOT(ISNUMBER($B575)),"Enter a valid date",IF($C575="","Pick a category",IF(OR($H575="Unknown category",$H575=""),"Category has no cost type",IF(NOT(ISNUMBER($E575)),"Enter an amount","OK")))))</f>
        <v/>
      </c>
    </row>
    <row r="576" ht="17" customHeight="1">
      <c r="B576" s="66" t="n"/>
      <c r="C576" s="60" t="n"/>
      <c r="D576" s="60" t="n"/>
      <c r="E576" s="63" t="n"/>
      <c r="F576" s="60" t="n"/>
      <c r="G576" s="60" t="n"/>
      <c r="H576" s="13">
        <f>IF($C576="","",IFERROR(INDEX('Lists'!$G$6:$G$35,MATCH($C576,'Lists'!$F$6:$F$35,0))&amp;"","Unknown category"))</f>
        <v/>
      </c>
      <c r="I576" s="80">
        <f>IF(AND($B576="",$C576="",$E576=""),"",IF(NOT(ISNUMBER($B576)),"Enter a valid date",IF($C576="","Pick a category",IF(OR($H576="Unknown category",$H576=""),"Category has no cost type",IF(NOT(ISNUMBER($E576)),"Enter an amount","OK")))))</f>
        <v/>
      </c>
    </row>
    <row r="577" ht="17" customHeight="1">
      <c r="B577" s="66" t="n"/>
      <c r="C577" s="60" t="n"/>
      <c r="D577" s="60" t="n"/>
      <c r="E577" s="63" t="n"/>
      <c r="F577" s="60" t="n"/>
      <c r="G577" s="60" t="n"/>
      <c r="H577" s="13">
        <f>IF($C577="","",IFERROR(INDEX('Lists'!$G$6:$G$35,MATCH($C577,'Lists'!$F$6:$F$35,0))&amp;"","Unknown category"))</f>
        <v/>
      </c>
      <c r="I577" s="80">
        <f>IF(AND($B577="",$C577="",$E577=""),"",IF(NOT(ISNUMBER($B577)),"Enter a valid date",IF($C577="","Pick a category",IF(OR($H577="Unknown category",$H577=""),"Category has no cost type",IF(NOT(ISNUMBER($E577)),"Enter an amount","OK")))))</f>
        <v/>
      </c>
    </row>
    <row r="578" ht="17" customHeight="1">
      <c r="B578" s="66" t="n"/>
      <c r="C578" s="60" t="n"/>
      <c r="D578" s="60" t="n"/>
      <c r="E578" s="63" t="n"/>
      <c r="F578" s="60" t="n"/>
      <c r="G578" s="60" t="n"/>
      <c r="H578" s="13">
        <f>IF($C578="","",IFERROR(INDEX('Lists'!$G$6:$G$35,MATCH($C578,'Lists'!$F$6:$F$35,0))&amp;"","Unknown category"))</f>
        <v/>
      </c>
      <c r="I578" s="80">
        <f>IF(AND($B578="",$C578="",$E578=""),"",IF(NOT(ISNUMBER($B578)),"Enter a valid date",IF($C578="","Pick a category",IF(OR($H578="Unknown category",$H578=""),"Category has no cost type",IF(NOT(ISNUMBER($E578)),"Enter an amount","OK")))))</f>
        <v/>
      </c>
    </row>
    <row r="579" ht="17" customHeight="1">
      <c r="B579" s="66" t="n"/>
      <c r="C579" s="60" t="n"/>
      <c r="D579" s="60" t="n"/>
      <c r="E579" s="63" t="n"/>
      <c r="F579" s="60" t="n"/>
      <c r="G579" s="60" t="n"/>
      <c r="H579" s="13">
        <f>IF($C579="","",IFERROR(INDEX('Lists'!$G$6:$G$35,MATCH($C579,'Lists'!$F$6:$F$35,0))&amp;"","Unknown category"))</f>
        <v/>
      </c>
      <c r="I579" s="80">
        <f>IF(AND($B579="",$C579="",$E579=""),"",IF(NOT(ISNUMBER($B579)),"Enter a valid date",IF($C579="","Pick a category",IF(OR($H579="Unknown category",$H579=""),"Category has no cost type",IF(NOT(ISNUMBER($E579)),"Enter an amount","OK")))))</f>
        <v/>
      </c>
    </row>
    <row r="580" ht="17" customHeight="1">
      <c r="B580" s="66" t="n"/>
      <c r="C580" s="60" t="n"/>
      <c r="D580" s="60" t="n"/>
      <c r="E580" s="63" t="n"/>
      <c r="F580" s="60" t="n"/>
      <c r="G580" s="60" t="n"/>
      <c r="H580" s="13">
        <f>IF($C580="","",IFERROR(INDEX('Lists'!$G$6:$G$35,MATCH($C580,'Lists'!$F$6:$F$35,0))&amp;"","Unknown category"))</f>
        <v/>
      </c>
      <c r="I580" s="80">
        <f>IF(AND($B580="",$C580="",$E580=""),"",IF(NOT(ISNUMBER($B580)),"Enter a valid date",IF($C580="","Pick a category",IF(OR($H580="Unknown category",$H580=""),"Category has no cost type",IF(NOT(ISNUMBER($E580)),"Enter an amount","OK")))))</f>
        <v/>
      </c>
    </row>
    <row r="581" ht="17" customHeight="1">
      <c r="B581" s="66" t="n"/>
      <c r="C581" s="60" t="n"/>
      <c r="D581" s="60" t="n"/>
      <c r="E581" s="63" t="n"/>
      <c r="F581" s="60" t="n"/>
      <c r="G581" s="60" t="n"/>
      <c r="H581" s="13">
        <f>IF($C581="","",IFERROR(INDEX('Lists'!$G$6:$G$35,MATCH($C581,'Lists'!$F$6:$F$35,0))&amp;"","Unknown category"))</f>
        <v/>
      </c>
      <c r="I581" s="80">
        <f>IF(AND($B581="",$C581="",$E581=""),"",IF(NOT(ISNUMBER($B581)),"Enter a valid date",IF($C581="","Pick a category",IF(OR($H581="Unknown category",$H581=""),"Category has no cost type",IF(NOT(ISNUMBER($E581)),"Enter an amount","OK")))))</f>
        <v/>
      </c>
    </row>
    <row r="582" ht="17" customHeight="1">
      <c r="B582" s="66" t="n"/>
      <c r="C582" s="60" t="n"/>
      <c r="D582" s="60" t="n"/>
      <c r="E582" s="63" t="n"/>
      <c r="F582" s="60" t="n"/>
      <c r="G582" s="60" t="n"/>
      <c r="H582" s="13">
        <f>IF($C582="","",IFERROR(INDEX('Lists'!$G$6:$G$35,MATCH($C582,'Lists'!$F$6:$F$35,0))&amp;"","Unknown category"))</f>
        <v/>
      </c>
      <c r="I582" s="80">
        <f>IF(AND($B582="",$C582="",$E582=""),"",IF(NOT(ISNUMBER($B582)),"Enter a valid date",IF($C582="","Pick a category",IF(OR($H582="Unknown category",$H582=""),"Category has no cost type",IF(NOT(ISNUMBER($E582)),"Enter an amount","OK")))))</f>
        <v/>
      </c>
    </row>
    <row r="583" ht="17" customHeight="1">
      <c r="B583" s="66" t="n"/>
      <c r="C583" s="60" t="n"/>
      <c r="D583" s="60" t="n"/>
      <c r="E583" s="63" t="n"/>
      <c r="F583" s="60" t="n"/>
      <c r="G583" s="60" t="n"/>
      <c r="H583" s="13">
        <f>IF($C583="","",IFERROR(INDEX('Lists'!$G$6:$G$35,MATCH($C583,'Lists'!$F$6:$F$35,0))&amp;"","Unknown category"))</f>
        <v/>
      </c>
      <c r="I583" s="80">
        <f>IF(AND($B583="",$C583="",$E583=""),"",IF(NOT(ISNUMBER($B583)),"Enter a valid date",IF($C583="","Pick a category",IF(OR($H583="Unknown category",$H583=""),"Category has no cost type",IF(NOT(ISNUMBER($E583)),"Enter an amount","OK")))))</f>
        <v/>
      </c>
    </row>
    <row r="584" ht="17" customHeight="1">
      <c r="B584" s="66" t="n"/>
      <c r="C584" s="60" t="n"/>
      <c r="D584" s="60" t="n"/>
      <c r="E584" s="63" t="n"/>
      <c r="F584" s="60" t="n"/>
      <c r="G584" s="60" t="n"/>
      <c r="H584" s="13">
        <f>IF($C584="","",IFERROR(INDEX('Lists'!$G$6:$G$35,MATCH($C584,'Lists'!$F$6:$F$35,0))&amp;"","Unknown category"))</f>
        <v/>
      </c>
      <c r="I584" s="80">
        <f>IF(AND($B584="",$C584="",$E584=""),"",IF(NOT(ISNUMBER($B584)),"Enter a valid date",IF($C584="","Pick a category",IF(OR($H584="Unknown category",$H584=""),"Category has no cost type",IF(NOT(ISNUMBER($E584)),"Enter an amount","OK")))))</f>
        <v/>
      </c>
    </row>
    <row r="585" ht="17" customHeight="1">
      <c r="B585" s="66" t="n"/>
      <c r="C585" s="60" t="n"/>
      <c r="D585" s="60" t="n"/>
      <c r="E585" s="63" t="n"/>
      <c r="F585" s="60" t="n"/>
      <c r="G585" s="60" t="n"/>
      <c r="H585" s="13">
        <f>IF($C585="","",IFERROR(INDEX('Lists'!$G$6:$G$35,MATCH($C585,'Lists'!$F$6:$F$35,0))&amp;"","Unknown category"))</f>
        <v/>
      </c>
      <c r="I585" s="80">
        <f>IF(AND($B585="",$C585="",$E585=""),"",IF(NOT(ISNUMBER($B585)),"Enter a valid date",IF($C585="","Pick a category",IF(OR($H585="Unknown category",$H585=""),"Category has no cost type",IF(NOT(ISNUMBER($E585)),"Enter an amount","OK")))))</f>
        <v/>
      </c>
    </row>
    <row r="586" ht="17" customHeight="1">
      <c r="B586" s="66" t="n"/>
      <c r="C586" s="60" t="n"/>
      <c r="D586" s="60" t="n"/>
      <c r="E586" s="63" t="n"/>
      <c r="F586" s="60" t="n"/>
      <c r="G586" s="60" t="n"/>
      <c r="H586" s="13">
        <f>IF($C586="","",IFERROR(INDEX('Lists'!$G$6:$G$35,MATCH($C586,'Lists'!$F$6:$F$35,0))&amp;"","Unknown category"))</f>
        <v/>
      </c>
      <c r="I586" s="80">
        <f>IF(AND($B586="",$C586="",$E586=""),"",IF(NOT(ISNUMBER($B586)),"Enter a valid date",IF($C586="","Pick a category",IF(OR($H586="Unknown category",$H586=""),"Category has no cost type",IF(NOT(ISNUMBER($E586)),"Enter an amount","OK")))))</f>
        <v/>
      </c>
    </row>
    <row r="587" ht="17" customHeight="1">
      <c r="B587" s="66" t="n"/>
      <c r="C587" s="60" t="n"/>
      <c r="D587" s="60" t="n"/>
      <c r="E587" s="63" t="n"/>
      <c r="F587" s="60" t="n"/>
      <c r="G587" s="60" t="n"/>
      <c r="H587" s="13">
        <f>IF($C587="","",IFERROR(INDEX('Lists'!$G$6:$G$35,MATCH($C587,'Lists'!$F$6:$F$35,0))&amp;"","Unknown category"))</f>
        <v/>
      </c>
      <c r="I587" s="80">
        <f>IF(AND($B587="",$C587="",$E587=""),"",IF(NOT(ISNUMBER($B587)),"Enter a valid date",IF($C587="","Pick a category",IF(OR($H587="Unknown category",$H587=""),"Category has no cost type",IF(NOT(ISNUMBER($E587)),"Enter an amount","OK")))))</f>
        <v/>
      </c>
    </row>
    <row r="588" ht="17" customHeight="1">
      <c r="B588" s="66" t="n"/>
      <c r="C588" s="60" t="n"/>
      <c r="D588" s="60" t="n"/>
      <c r="E588" s="63" t="n"/>
      <c r="F588" s="60" t="n"/>
      <c r="G588" s="60" t="n"/>
      <c r="H588" s="13">
        <f>IF($C588="","",IFERROR(INDEX('Lists'!$G$6:$G$35,MATCH($C588,'Lists'!$F$6:$F$35,0))&amp;"","Unknown category"))</f>
        <v/>
      </c>
      <c r="I588" s="80">
        <f>IF(AND($B588="",$C588="",$E588=""),"",IF(NOT(ISNUMBER($B588)),"Enter a valid date",IF($C588="","Pick a category",IF(OR($H588="Unknown category",$H588=""),"Category has no cost type",IF(NOT(ISNUMBER($E588)),"Enter an amount","OK")))))</f>
        <v/>
      </c>
    </row>
    <row r="589" ht="17" customHeight="1">
      <c r="B589" s="66" t="n"/>
      <c r="C589" s="60" t="n"/>
      <c r="D589" s="60" t="n"/>
      <c r="E589" s="63" t="n"/>
      <c r="F589" s="60" t="n"/>
      <c r="G589" s="60" t="n"/>
      <c r="H589" s="13">
        <f>IF($C589="","",IFERROR(INDEX('Lists'!$G$6:$G$35,MATCH($C589,'Lists'!$F$6:$F$35,0))&amp;"","Unknown category"))</f>
        <v/>
      </c>
      <c r="I589" s="80">
        <f>IF(AND($B589="",$C589="",$E589=""),"",IF(NOT(ISNUMBER($B589)),"Enter a valid date",IF($C589="","Pick a category",IF(OR($H589="Unknown category",$H589=""),"Category has no cost type",IF(NOT(ISNUMBER($E589)),"Enter an amount","OK")))))</f>
        <v/>
      </c>
    </row>
    <row r="590" ht="17" customHeight="1">
      <c r="B590" s="66" t="n"/>
      <c r="C590" s="60" t="n"/>
      <c r="D590" s="60" t="n"/>
      <c r="E590" s="63" t="n"/>
      <c r="F590" s="60" t="n"/>
      <c r="G590" s="60" t="n"/>
      <c r="H590" s="13">
        <f>IF($C590="","",IFERROR(INDEX('Lists'!$G$6:$G$35,MATCH($C590,'Lists'!$F$6:$F$35,0))&amp;"","Unknown category"))</f>
        <v/>
      </c>
      <c r="I590" s="80">
        <f>IF(AND($B590="",$C590="",$E590=""),"",IF(NOT(ISNUMBER($B590)),"Enter a valid date",IF($C590="","Pick a category",IF(OR($H590="Unknown category",$H590=""),"Category has no cost type",IF(NOT(ISNUMBER($E590)),"Enter an amount","OK")))))</f>
        <v/>
      </c>
    </row>
    <row r="591" ht="17" customHeight="1">
      <c r="B591" s="66" t="n"/>
      <c r="C591" s="60" t="n"/>
      <c r="D591" s="60" t="n"/>
      <c r="E591" s="63" t="n"/>
      <c r="F591" s="60" t="n"/>
      <c r="G591" s="60" t="n"/>
      <c r="H591" s="13">
        <f>IF($C591="","",IFERROR(INDEX('Lists'!$G$6:$G$35,MATCH($C591,'Lists'!$F$6:$F$35,0))&amp;"","Unknown category"))</f>
        <v/>
      </c>
      <c r="I591" s="80">
        <f>IF(AND($B591="",$C591="",$E591=""),"",IF(NOT(ISNUMBER($B591)),"Enter a valid date",IF($C591="","Pick a category",IF(OR($H591="Unknown category",$H591=""),"Category has no cost type",IF(NOT(ISNUMBER($E591)),"Enter an amount","OK")))))</f>
        <v/>
      </c>
    </row>
    <row r="592" ht="17" customHeight="1">
      <c r="B592" s="66" t="n"/>
      <c r="C592" s="60" t="n"/>
      <c r="D592" s="60" t="n"/>
      <c r="E592" s="63" t="n"/>
      <c r="F592" s="60" t="n"/>
      <c r="G592" s="60" t="n"/>
      <c r="H592" s="13">
        <f>IF($C592="","",IFERROR(INDEX('Lists'!$G$6:$G$35,MATCH($C592,'Lists'!$F$6:$F$35,0))&amp;"","Unknown category"))</f>
        <v/>
      </c>
      <c r="I592" s="80">
        <f>IF(AND($B592="",$C592="",$E592=""),"",IF(NOT(ISNUMBER($B592)),"Enter a valid date",IF($C592="","Pick a category",IF(OR($H592="Unknown category",$H592=""),"Category has no cost type",IF(NOT(ISNUMBER($E592)),"Enter an amount","OK")))))</f>
        <v/>
      </c>
    </row>
    <row r="593" ht="17" customHeight="1">
      <c r="B593" s="66" t="n"/>
      <c r="C593" s="60" t="n"/>
      <c r="D593" s="60" t="n"/>
      <c r="E593" s="63" t="n"/>
      <c r="F593" s="60" t="n"/>
      <c r="G593" s="60" t="n"/>
      <c r="H593" s="13">
        <f>IF($C593="","",IFERROR(INDEX('Lists'!$G$6:$G$35,MATCH($C593,'Lists'!$F$6:$F$35,0))&amp;"","Unknown category"))</f>
        <v/>
      </c>
      <c r="I593" s="80">
        <f>IF(AND($B593="",$C593="",$E593=""),"",IF(NOT(ISNUMBER($B593)),"Enter a valid date",IF($C593="","Pick a category",IF(OR($H593="Unknown category",$H593=""),"Category has no cost type",IF(NOT(ISNUMBER($E593)),"Enter an amount","OK")))))</f>
        <v/>
      </c>
    </row>
    <row r="594" ht="17" customHeight="1">
      <c r="B594" s="66" t="n"/>
      <c r="C594" s="60" t="n"/>
      <c r="D594" s="60" t="n"/>
      <c r="E594" s="63" t="n"/>
      <c r="F594" s="60" t="n"/>
      <c r="G594" s="60" t="n"/>
      <c r="H594" s="13">
        <f>IF($C594="","",IFERROR(INDEX('Lists'!$G$6:$G$35,MATCH($C594,'Lists'!$F$6:$F$35,0))&amp;"","Unknown category"))</f>
        <v/>
      </c>
      <c r="I594" s="80">
        <f>IF(AND($B594="",$C594="",$E594=""),"",IF(NOT(ISNUMBER($B594)),"Enter a valid date",IF($C594="","Pick a category",IF(OR($H594="Unknown category",$H594=""),"Category has no cost type",IF(NOT(ISNUMBER($E594)),"Enter an amount","OK")))))</f>
        <v/>
      </c>
    </row>
    <row r="595" ht="17" customHeight="1">
      <c r="B595" s="66" t="n"/>
      <c r="C595" s="60" t="n"/>
      <c r="D595" s="60" t="n"/>
      <c r="E595" s="63" t="n"/>
      <c r="F595" s="60" t="n"/>
      <c r="G595" s="60" t="n"/>
      <c r="H595" s="13">
        <f>IF($C595="","",IFERROR(INDEX('Lists'!$G$6:$G$35,MATCH($C595,'Lists'!$F$6:$F$35,0))&amp;"","Unknown category"))</f>
        <v/>
      </c>
      <c r="I595" s="80">
        <f>IF(AND($B595="",$C595="",$E595=""),"",IF(NOT(ISNUMBER($B595)),"Enter a valid date",IF($C595="","Pick a category",IF(OR($H595="Unknown category",$H595=""),"Category has no cost type",IF(NOT(ISNUMBER($E595)),"Enter an amount","OK")))))</f>
        <v/>
      </c>
    </row>
    <row r="596" ht="17" customHeight="1">
      <c r="B596" s="66" t="n"/>
      <c r="C596" s="60" t="n"/>
      <c r="D596" s="60" t="n"/>
      <c r="E596" s="63" t="n"/>
      <c r="F596" s="60" t="n"/>
      <c r="G596" s="60" t="n"/>
      <c r="H596" s="13">
        <f>IF($C596="","",IFERROR(INDEX('Lists'!$G$6:$G$35,MATCH($C596,'Lists'!$F$6:$F$35,0))&amp;"","Unknown category"))</f>
        <v/>
      </c>
      <c r="I596" s="80">
        <f>IF(AND($B596="",$C596="",$E596=""),"",IF(NOT(ISNUMBER($B596)),"Enter a valid date",IF($C596="","Pick a category",IF(OR($H596="Unknown category",$H596=""),"Category has no cost type",IF(NOT(ISNUMBER($E596)),"Enter an amount","OK")))))</f>
        <v/>
      </c>
    </row>
    <row r="597" ht="17" customHeight="1">
      <c r="B597" s="66" t="n"/>
      <c r="C597" s="60" t="n"/>
      <c r="D597" s="60" t="n"/>
      <c r="E597" s="63" t="n"/>
      <c r="F597" s="60" t="n"/>
      <c r="G597" s="60" t="n"/>
      <c r="H597" s="13">
        <f>IF($C597="","",IFERROR(INDEX('Lists'!$G$6:$G$35,MATCH($C597,'Lists'!$F$6:$F$35,0))&amp;"","Unknown category"))</f>
        <v/>
      </c>
      <c r="I597" s="80">
        <f>IF(AND($B597="",$C597="",$E597=""),"",IF(NOT(ISNUMBER($B597)),"Enter a valid date",IF($C597="","Pick a category",IF(OR($H597="Unknown category",$H597=""),"Category has no cost type",IF(NOT(ISNUMBER($E597)),"Enter an amount","OK")))))</f>
        <v/>
      </c>
    </row>
    <row r="598" ht="17" customHeight="1">
      <c r="B598" s="66" t="n"/>
      <c r="C598" s="60" t="n"/>
      <c r="D598" s="60" t="n"/>
      <c r="E598" s="63" t="n"/>
      <c r="F598" s="60" t="n"/>
      <c r="G598" s="60" t="n"/>
      <c r="H598" s="13">
        <f>IF($C598="","",IFERROR(INDEX('Lists'!$G$6:$G$35,MATCH($C598,'Lists'!$F$6:$F$35,0))&amp;"","Unknown category"))</f>
        <v/>
      </c>
      <c r="I598" s="80">
        <f>IF(AND($B598="",$C598="",$E598=""),"",IF(NOT(ISNUMBER($B598)),"Enter a valid date",IF($C598="","Pick a category",IF(OR($H598="Unknown category",$H598=""),"Category has no cost type",IF(NOT(ISNUMBER($E598)),"Enter an amount","OK")))))</f>
        <v/>
      </c>
    </row>
    <row r="599" ht="17" customHeight="1">
      <c r="B599" s="66" t="n"/>
      <c r="C599" s="60" t="n"/>
      <c r="D599" s="60" t="n"/>
      <c r="E599" s="63" t="n"/>
      <c r="F599" s="60" t="n"/>
      <c r="G599" s="60" t="n"/>
      <c r="H599" s="13">
        <f>IF($C599="","",IFERROR(INDEX('Lists'!$G$6:$G$35,MATCH($C599,'Lists'!$F$6:$F$35,0))&amp;"","Unknown category"))</f>
        <v/>
      </c>
      <c r="I599" s="80">
        <f>IF(AND($B599="",$C599="",$E599=""),"",IF(NOT(ISNUMBER($B599)),"Enter a valid date",IF($C599="","Pick a category",IF(OR($H599="Unknown category",$H599=""),"Category has no cost type",IF(NOT(ISNUMBER($E599)),"Enter an amount","OK")))))</f>
        <v/>
      </c>
    </row>
    <row r="600" ht="17" customHeight="1">
      <c r="B600" s="66" t="n"/>
      <c r="C600" s="60" t="n"/>
      <c r="D600" s="60" t="n"/>
      <c r="E600" s="63" t="n"/>
      <c r="F600" s="60" t="n"/>
      <c r="G600" s="60" t="n"/>
      <c r="H600" s="13">
        <f>IF($C600="","",IFERROR(INDEX('Lists'!$G$6:$G$35,MATCH($C600,'Lists'!$F$6:$F$35,0))&amp;"","Unknown category"))</f>
        <v/>
      </c>
      <c r="I600" s="80">
        <f>IF(AND($B600="",$C600="",$E600=""),"",IF(NOT(ISNUMBER($B600)),"Enter a valid date",IF($C600="","Pick a category",IF(OR($H600="Unknown category",$H600=""),"Category has no cost type",IF(NOT(ISNUMBER($E600)),"Enter an amount","OK")))))</f>
        <v/>
      </c>
    </row>
    <row r="601" ht="17" customHeight="1">
      <c r="B601" s="66" t="n"/>
      <c r="C601" s="60" t="n"/>
      <c r="D601" s="60" t="n"/>
      <c r="E601" s="63" t="n"/>
      <c r="F601" s="60" t="n"/>
      <c r="G601" s="60" t="n"/>
      <c r="H601" s="13">
        <f>IF($C601="","",IFERROR(INDEX('Lists'!$G$6:$G$35,MATCH($C601,'Lists'!$F$6:$F$35,0))&amp;"","Unknown category"))</f>
        <v/>
      </c>
      <c r="I601" s="80">
        <f>IF(AND($B601="",$C601="",$E601=""),"",IF(NOT(ISNUMBER($B601)),"Enter a valid date",IF($C601="","Pick a category",IF(OR($H601="Unknown category",$H601=""),"Category has no cost type",IF(NOT(ISNUMBER($E601)),"Enter an amount","OK")))))</f>
        <v/>
      </c>
    </row>
    <row r="602" ht="17" customHeight="1">
      <c r="B602" s="66" t="n"/>
      <c r="C602" s="60" t="n"/>
      <c r="D602" s="60" t="n"/>
      <c r="E602" s="63" t="n"/>
      <c r="F602" s="60" t="n"/>
      <c r="G602" s="60" t="n"/>
      <c r="H602" s="13">
        <f>IF($C602="","",IFERROR(INDEX('Lists'!$G$6:$G$35,MATCH($C602,'Lists'!$F$6:$F$35,0))&amp;"","Unknown category"))</f>
        <v/>
      </c>
      <c r="I602" s="80">
        <f>IF(AND($B602="",$C602="",$E602=""),"",IF(NOT(ISNUMBER($B602)),"Enter a valid date",IF($C602="","Pick a category",IF(OR($H602="Unknown category",$H602=""),"Category has no cost type",IF(NOT(ISNUMBER($E602)),"Enter an amount","OK")))))</f>
        <v/>
      </c>
    </row>
    <row r="603" ht="17" customHeight="1">
      <c r="B603" s="66" t="n"/>
      <c r="C603" s="60" t="n"/>
      <c r="D603" s="60" t="n"/>
      <c r="E603" s="63" t="n"/>
      <c r="F603" s="60" t="n"/>
      <c r="G603" s="60" t="n"/>
      <c r="H603" s="13">
        <f>IF($C603="","",IFERROR(INDEX('Lists'!$G$6:$G$35,MATCH($C603,'Lists'!$F$6:$F$35,0))&amp;"","Unknown category"))</f>
        <v/>
      </c>
      <c r="I603" s="80">
        <f>IF(AND($B603="",$C603="",$E603=""),"",IF(NOT(ISNUMBER($B603)),"Enter a valid date",IF($C603="","Pick a category",IF(OR($H603="Unknown category",$H603=""),"Category has no cost type",IF(NOT(ISNUMBER($E603)),"Enter an amount","OK")))))</f>
        <v/>
      </c>
    </row>
    <row r="604" ht="17" customHeight="1">
      <c r="B604" s="66" t="n"/>
      <c r="C604" s="60" t="n"/>
      <c r="D604" s="60" t="n"/>
      <c r="E604" s="63" t="n"/>
      <c r="F604" s="60" t="n"/>
      <c r="G604" s="60" t="n"/>
      <c r="H604" s="13">
        <f>IF($C604="","",IFERROR(INDEX('Lists'!$G$6:$G$35,MATCH($C604,'Lists'!$F$6:$F$35,0))&amp;"","Unknown category"))</f>
        <v/>
      </c>
      <c r="I604" s="80">
        <f>IF(AND($B604="",$C604="",$E604=""),"",IF(NOT(ISNUMBER($B604)),"Enter a valid date",IF($C604="","Pick a category",IF(OR($H604="Unknown category",$H604=""),"Category has no cost type",IF(NOT(ISNUMBER($E604)),"Enter an amount","OK")))))</f>
        <v/>
      </c>
    </row>
    <row r="605" ht="17" customHeight="1">
      <c r="B605" s="66" t="n"/>
      <c r="C605" s="60" t="n"/>
      <c r="D605" s="60" t="n"/>
      <c r="E605" s="63" t="n"/>
      <c r="F605" s="60" t="n"/>
      <c r="G605" s="60" t="n"/>
      <c r="H605" s="13">
        <f>IF($C605="","",IFERROR(INDEX('Lists'!$G$6:$G$35,MATCH($C605,'Lists'!$F$6:$F$35,0))&amp;"","Unknown category"))</f>
        <v/>
      </c>
      <c r="I605" s="80">
        <f>IF(AND($B605="",$C605="",$E605=""),"",IF(NOT(ISNUMBER($B605)),"Enter a valid date",IF($C605="","Pick a category",IF(OR($H605="Unknown category",$H605=""),"Category has no cost type",IF(NOT(ISNUMBER($E605)),"Enter an amount","OK")))))</f>
        <v/>
      </c>
    </row>
    <row r="606" ht="17" customHeight="1">
      <c r="B606" s="66" t="n"/>
      <c r="C606" s="60" t="n"/>
      <c r="D606" s="60" t="n"/>
      <c r="E606" s="63" t="n"/>
      <c r="F606" s="60" t="n"/>
      <c r="G606" s="60" t="n"/>
      <c r="H606" s="13">
        <f>IF($C606="","",IFERROR(INDEX('Lists'!$G$6:$G$35,MATCH($C606,'Lists'!$F$6:$F$35,0))&amp;"","Unknown category"))</f>
        <v/>
      </c>
      <c r="I606" s="80">
        <f>IF(AND($B606="",$C606="",$E606=""),"",IF(NOT(ISNUMBER($B606)),"Enter a valid date",IF($C606="","Pick a category",IF(OR($H606="Unknown category",$H606=""),"Category has no cost type",IF(NOT(ISNUMBER($E606)),"Enter an amount","OK")))))</f>
        <v/>
      </c>
    </row>
    <row r="607" ht="17" customHeight="1">
      <c r="B607" s="66" t="n"/>
      <c r="C607" s="60" t="n"/>
      <c r="D607" s="60" t="n"/>
      <c r="E607" s="63" t="n"/>
      <c r="F607" s="60" t="n"/>
      <c r="G607" s="60" t="n"/>
      <c r="H607" s="13">
        <f>IF($C607="","",IFERROR(INDEX('Lists'!$G$6:$G$35,MATCH($C607,'Lists'!$F$6:$F$35,0))&amp;"","Unknown category"))</f>
        <v/>
      </c>
      <c r="I607" s="80">
        <f>IF(AND($B607="",$C607="",$E607=""),"",IF(NOT(ISNUMBER($B607)),"Enter a valid date",IF($C607="","Pick a category",IF(OR($H607="Unknown category",$H607=""),"Category has no cost type",IF(NOT(ISNUMBER($E607)),"Enter an amount","OK")))))</f>
        <v/>
      </c>
    </row>
    <row r="608" ht="17" customHeight="1">
      <c r="B608" s="66" t="n"/>
      <c r="C608" s="60" t="n"/>
      <c r="D608" s="60" t="n"/>
      <c r="E608" s="63" t="n"/>
      <c r="F608" s="60" t="n"/>
      <c r="G608" s="60" t="n"/>
      <c r="H608" s="13">
        <f>IF($C608="","",IFERROR(INDEX('Lists'!$G$6:$G$35,MATCH($C608,'Lists'!$F$6:$F$35,0))&amp;"","Unknown category"))</f>
        <v/>
      </c>
      <c r="I608" s="80">
        <f>IF(AND($B608="",$C608="",$E608=""),"",IF(NOT(ISNUMBER($B608)),"Enter a valid date",IF($C608="","Pick a category",IF(OR($H608="Unknown category",$H608=""),"Category has no cost type",IF(NOT(ISNUMBER($E608)),"Enter an amount","OK")))))</f>
        <v/>
      </c>
    </row>
    <row r="609" ht="17" customHeight="1">
      <c r="B609" s="66" t="n"/>
      <c r="C609" s="60" t="n"/>
      <c r="D609" s="60" t="n"/>
      <c r="E609" s="63" t="n"/>
      <c r="F609" s="60" t="n"/>
      <c r="G609" s="60" t="n"/>
      <c r="H609" s="13">
        <f>IF($C609="","",IFERROR(INDEX('Lists'!$G$6:$G$35,MATCH($C609,'Lists'!$F$6:$F$35,0))&amp;"","Unknown category"))</f>
        <v/>
      </c>
      <c r="I609" s="80">
        <f>IF(AND($B609="",$C609="",$E609=""),"",IF(NOT(ISNUMBER($B609)),"Enter a valid date",IF($C609="","Pick a category",IF(OR($H609="Unknown category",$H609=""),"Category has no cost type",IF(NOT(ISNUMBER($E609)),"Enter an amount","OK")))))</f>
        <v/>
      </c>
    </row>
    <row r="610" ht="17" customHeight="1">
      <c r="B610" s="66" t="n"/>
      <c r="C610" s="60" t="n"/>
      <c r="D610" s="60" t="n"/>
      <c r="E610" s="63" t="n"/>
      <c r="F610" s="60" t="n"/>
      <c r="G610" s="60" t="n"/>
      <c r="H610" s="13">
        <f>IF($C610="","",IFERROR(INDEX('Lists'!$G$6:$G$35,MATCH($C610,'Lists'!$F$6:$F$35,0))&amp;"","Unknown category"))</f>
        <v/>
      </c>
      <c r="I610" s="80">
        <f>IF(AND($B610="",$C610="",$E610=""),"",IF(NOT(ISNUMBER($B610)),"Enter a valid date",IF($C610="","Pick a category",IF(OR($H610="Unknown category",$H610=""),"Category has no cost type",IF(NOT(ISNUMBER($E610)),"Enter an amount","OK")))))</f>
        <v/>
      </c>
    </row>
    <row r="611" ht="17" customHeight="1">
      <c r="B611" s="66" t="n"/>
      <c r="C611" s="60" t="n"/>
      <c r="D611" s="60" t="n"/>
      <c r="E611" s="63" t="n"/>
      <c r="F611" s="60" t="n"/>
      <c r="G611" s="60" t="n"/>
      <c r="H611" s="13">
        <f>IF($C611="","",IFERROR(INDEX('Lists'!$G$6:$G$35,MATCH($C611,'Lists'!$F$6:$F$35,0))&amp;"","Unknown category"))</f>
        <v/>
      </c>
      <c r="I611" s="80">
        <f>IF(AND($B611="",$C611="",$E611=""),"",IF(NOT(ISNUMBER($B611)),"Enter a valid date",IF($C611="","Pick a category",IF(OR($H611="Unknown category",$H611=""),"Category has no cost type",IF(NOT(ISNUMBER($E611)),"Enter an amount","OK")))))</f>
        <v/>
      </c>
    </row>
    <row r="612" ht="17" customHeight="1">
      <c r="B612" s="66" t="n"/>
      <c r="C612" s="60" t="n"/>
      <c r="D612" s="60" t="n"/>
      <c r="E612" s="63" t="n"/>
      <c r="F612" s="60" t="n"/>
      <c r="G612" s="60" t="n"/>
      <c r="H612" s="13">
        <f>IF($C612="","",IFERROR(INDEX('Lists'!$G$6:$G$35,MATCH($C612,'Lists'!$F$6:$F$35,0))&amp;"","Unknown category"))</f>
        <v/>
      </c>
      <c r="I612" s="80">
        <f>IF(AND($B612="",$C612="",$E612=""),"",IF(NOT(ISNUMBER($B612)),"Enter a valid date",IF($C612="","Pick a category",IF(OR($H612="Unknown category",$H612=""),"Category has no cost type",IF(NOT(ISNUMBER($E612)),"Enter an amount","OK")))))</f>
        <v/>
      </c>
    </row>
    <row r="613" ht="17" customHeight="1">
      <c r="B613" s="66" t="n"/>
      <c r="C613" s="60" t="n"/>
      <c r="D613" s="60" t="n"/>
      <c r="E613" s="63" t="n"/>
      <c r="F613" s="60" t="n"/>
      <c r="G613" s="60" t="n"/>
      <c r="H613" s="13">
        <f>IF($C613="","",IFERROR(INDEX('Lists'!$G$6:$G$35,MATCH($C613,'Lists'!$F$6:$F$35,0))&amp;"","Unknown category"))</f>
        <v/>
      </c>
      <c r="I613" s="80">
        <f>IF(AND($B613="",$C613="",$E613=""),"",IF(NOT(ISNUMBER($B613)),"Enter a valid date",IF($C613="","Pick a category",IF(OR($H613="Unknown category",$H613=""),"Category has no cost type",IF(NOT(ISNUMBER($E613)),"Enter an amount","OK")))))</f>
        <v/>
      </c>
    </row>
    <row r="614" ht="17" customHeight="1">
      <c r="B614" s="66" t="n"/>
      <c r="C614" s="60" t="n"/>
      <c r="D614" s="60" t="n"/>
      <c r="E614" s="63" t="n"/>
      <c r="F614" s="60" t="n"/>
      <c r="G614" s="60" t="n"/>
      <c r="H614" s="13">
        <f>IF($C614="","",IFERROR(INDEX('Lists'!$G$6:$G$35,MATCH($C614,'Lists'!$F$6:$F$35,0))&amp;"","Unknown category"))</f>
        <v/>
      </c>
      <c r="I614" s="80">
        <f>IF(AND($B614="",$C614="",$E614=""),"",IF(NOT(ISNUMBER($B614)),"Enter a valid date",IF($C614="","Pick a category",IF(OR($H614="Unknown category",$H614=""),"Category has no cost type",IF(NOT(ISNUMBER($E614)),"Enter an amount","OK")))))</f>
        <v/>
      </c>
    </row>
    <row r="615" ht="17" customHeight="1">
      <c r="B615" s="66" t="n"/>
      <c r="C615" s="60" t="n"/>
      <c r="D615" s="60" t="n"/>
      <c r="E615" s="63" t="n"/>
      <c r="F615" s="60" t="n"/>
      <c r="G615" s="60" t="n"/>
      <c r="H615" s="13">
        <f>IF($C615="","",IFERROR(INDEX('Lists'!$G$6:$G$35,MATCH($C615,'Lists'!$F$6:$F$35,0))&amp;"","Unknown category"))</f>
        <v/>
      </c>
      <c r="I615" s="80">
        <f>IF(AND($B615="",$C615="",$E615=""),"",IF(NOT(ISNUMBER($B615)),"Enter a valid date",IF($C615="","Pick a category",IF(OR($H615="Unknown category",$H615=""),"Category has no cost type",IF(NOT(ISNUMBER($E615)),"Enter an amount","OK")))))</f>
        <v/>
      </c>
    </row>
    <row r="616" ht="17" customHeight="1">
      <c r="B616" s="66" t="n"/>
      <c r="C616" s="60" t="n"/>
      <c r="D616" s="60" t="n"/>
      <c r="E616" s="63" t="n"/>
      <c r="F616" s="60" t="n"/>
      <c r="G616" s="60" t="n"/>
      <c r="H616" s="13">
        <f>IF($C616="","",IFERROR(INDEX('Lists'!$G$6:$G$35,MATCH($C616,'Lists'!$F$6:$F$35,0))&amp;"","Unknown category"))</f>
        <v/>
      </c>
      <c r="I616" s="80">
        <f>IF(AND($B616="",$C616="",$E616=""),"",IF(NOT(ISNUMBER($B616)),"Enter a valid date",IF($C616="","Pick a category",IF(OR($H616="Unknown category",$H616=""),"Category has no cost type",IF(NOT(ISNUMBER($E616)),"Enter an amount","OK")))))</f>
        <v/>
      </c>
    </row>
    <row r="617" ht="17" customHeight="1">
      <c r="B617" s="66" t="n"/>
      <c r="C617" s="60" t="n"/>
      <c r="D617" s="60" t="n"/>
      <c r="E617" s="63" t="n"/>
      <c r="F617" s="60" t="n"/>
      <c r="G617" s="60" t="n"/>
      <c r="H617" s="13">
        <f>IF($C617="","",IFERROR(INDEX('Lists'!$G$6:$G$35,MATCH($C617,'Lists'!$F$6:$F$35,0))&amp;"","Unknown category"))</f>
        <v/>
      </c>
      <c r="I617" s="80">
        <f>IF(AND($B617="",$C617="",$E617=""),"",IF(NOT(ISNUMBER($B617)),"Enter a valid date",IF($C617="","Pick a category",IF(OR($H617="Unknown category",$H617=""),"Category has no cost type",IF(NOT(ISNUMBER($E617)),"Enter an amount","OK")))))</f>
        <v/>
      </c>
    </row>
    <row r="618" ht="17" customHeight="1">
      <c r="B618" s="66" t="n"/>
      <c r="C618" s="60" t="n"/>
      <c r="D618" s="60" t="n"/>
      <c r="E618" s="63" t="n"/>
      <c r="F618" s="60" t="n"/>
      <c r="G618" s="60" t="n"/>
      <c r="H618" s="13">
        <f>IF($C618="","",IFERROR(INDEX('Lists'!$G$6:$G$35,MATCH($C618,'Lists'!$F$6:$F$35,0))&amp;"","Unknown category"))</f>
        <v/>
      </c>
      <c r="I618" s="80">
        <f>IF(AND($B618="",$C618="",$E618=""),"",IF(NOT(ISNUMBER($B618)),"Enter a valid date",IF($C618="","Pick a category",IF(OR($H618="Unknown category",$H618=""),"Category has no cost type",IF(NOT(ISNUMBER($E618)),"Enter an amount","OK")))))</f>
        <v/>
      </c>
    </row>
    <row r="619" ht="17" customHeight="1">
      <c r="B619" s="66" t="n"/>
      <c r="C619" s="60" t="n"/>
      <c r="D619" s="60" t="n"/>
      <c r="E619" s="63" t="n"/>
      <c r="F619" s="60" t="n"/>
      <c r="G619" s="60" t="n"/>
      <c r="H619" s="13">
        <f>IF($C619="","",IFERROR(INDEX('Lists'!$G$6:$G$35,MATCH($C619,'Lists'!$F$6:$F$35,0))&amp;"","Unknown category"))</f>
        <v/>
      </c>
      <c r="I619" s="80">
        <f>IF(AND($B619="",$C619="",$E619=""),"",IF(NOT(ISNUMBER($B619)),"Enter a valid date",IF($C619="","Pick a category",IF(OR($H619="Unknown category",$H619=""),"Category has no cost type",IF(NOT(ISNUMBER($E619)),"Enter an amount","OK")))))</f>
        <v/>
      </c>
    </row>
    <row r="620" ht="17" customHeight="1">
      <c r="B620" s="66" t="n"/>
      <c r="C620" s="60" t="n"/>
      <c r="D620" s="60" t="n"/>
      <c r="E620" s="63" t="n"/>
      <c r="F620" s="60" t="n"/>
      <c r="G620" s="60" t="n"/>
      <c r="H620" s="13">
        <f>IF($C620="","",IFERROR(INDEX('Lists'!$G$6:$G$35,MATCH($C620,'Lists'!$F$6:$F$35,0))&amp;"","Unknown category"))</f>
        <v/>
      </c>
      <c r="I620" s="80">
        <f>IF(AND($B620="",$C620="",$E620=""),"",IF(NOT(ISNUMBER($B620)),"Enter a valid date",IF($C620="","Pick a category",IF(OR($H620="Unknown category",$H620=""),"Category has no cost type",IF(NOT(ISNUMBER($E620)),"Enter an amount","OK")))))</f>
        <v/>
      </c>
    </row>
    <row r="621" ht="17" customHeight="1">
      <c r="B621" s="66" t="n"/>
      <c r="C621" s="60" t="n"/>
      <c r="D621" s="60" t="n"/>
      <c r="E621" s="63" t="n"/>
      <c r="F621" s="60" t="n"/>
      <c r="G621" s="60" t="n"/>
      <c r="H621" s="13">
        <f>IF($C621="","",IFERROR(INDEX('Lists'!$G$6:$G$35,MATCH($C621,'Lists'!$F$6:$F$35,0))&amp;"","Unknown category"))</f>
        <v/>
      </c>
      <c r="I621" s="80">
        <f>IF(AND($B621="",$C621="",$E621=""),"",IF(NOT(ISNUMBER($B621)),"Enter a valid date",IF($C621="","Pick a category",IF(OR($H621="Unknown category",$H621=""),"Category has no cost type",IF(NOT(ISNUMBER($E621)),"Enter an amount","OK")))))</f>
        <v/>
      </c>
    </row>
    <row r="622" ht="17" customHeight="1">
      <c r="B622" s="66" t="n"/>
      <c r="C622" s="60" t="n"/>
      <c r="D622" s="60" t="n"/>
      <c r="E622" s="63" t="n"/>
      <c r="F622" s="60" t="n"/>
      <c r="G622" s="60" t="n"/>
      <c r="H622" s="13">
        <f>IF($C622="","",IFERROR(INDEX('Lists'!$G$6:$G$35,MATCH($C622,'Lists'!$F$6:$F$35,0))&amp;"","Unknown category"))</f>
        <v/>
      </c>
      <c r="I622" s="80">
        <f>IF(AND($B622="",$C622="",$E622=""),"",IF(NOT(ISNUMBER($B622)),"Enter a valid date",IF($C622="","Pick a category",IF(OR($H622="Unknown category",$H622=""),"Category has no cost type",IF(NOT(ISNUMBER($E622)),"Enter an amount","OK")))))</f>
        <v/>
      </c>
    </row>
    <row r="623" ht="17" customHeight="1">
      <c r="B623" s="66" t="n"/>
      <c r="C623" s="60" t="n"/>
      <c r="D623" s="60" t="n"/>
      <c r="E623" s="63" t="n"/>
      <c r="F623" s="60" t="n"/>
      <c r="G623" s="60" t="n"/>
      <c r="H623" s="13">
        <f>IF($C623="","",IFERROR(INDEX('Lists'!$G$6:$G$35,MATCH($C623,'Lists'!$F$6:$F$35,0))&amp;"","Unknown category"))</f>
        <v/>
      </c>
      <c r="I623" s="80">
        <f>IF(AND($B623="",$C623="",$E623=""),"",IF(NOT(ISNUMBER($B623)),"Enter a valid date",IF($C623="","Pick a category",IF(OR($H623="Unknown category",$H623=""),"Category has no cost type",IF(NOT(ISNUMBER($E623)),"Enter an amount","OK")))))</f>
        <v/>
      </c>
    </row>
    <row r="624" ht="17" customHeight="1">
      <c r="B624" s="66" t="n"/>
      <c r="C624" s="60" t="n"/>
      <c r="D624" s="60" t="n"/>
      <c r="E624" s="63" t="n"/>
      <c r="F624" s="60" t="n"/>
      <c r="G624" s="60" t="n"/>
      <c r="H624" s="13">
        <f>IF($C624="","",IFERROR(INDEX('Lists'!$G$6:$G$35,MATCH($C624,'Lists'!$F$6:$F$35,0))&amp;"","Unknown category"))</f>
        <v/>
      </c>
      <c r="I624" s="80">
        <f>IF(AND($B624="",$C624="",$E624=""),"",IF(NOT(ISNUMBER($B624)),"Enter a valid date",IF($C624="","Pick a category",IF(OR($H624="Unknown category",$H624=""),"Category has no cost type",IF(NOT(ISNUMBER($E624)),"Enter an amount","OK")))))</f>
        <v/>
      </c>
    </row>
    <row r="625" ht="17" customHeight="1">
      <c r="B625" s="66" t="n"/>
      <c r="C625" s="60" t="n"/>
      <c r="D625" s="60" t="n"/>
      <c r="E625" s="63" t="n"/>
      <c r="F625" s="60" t="n"/>
      <c r="G625" s="60" t="n"/>
      <c r="H625" s="13">
        <f>IF($C625="","",IFERROR(INDEX('Lists'!$G$6:$G$35,MATCH($C625,'Lists'!$F$6:$F$35,0))&amp;"","Unknown category"))</f>
        <v/>
      </c>
      <c r="I625" s="80">
        <f>IF(AND($B625="",$C625="",$E625=""),"",IF(NOT(ISNUMBER($B625)),"Enter a valid date",IF($C625="","Pick a category",IF(OR($H625="Unknown category",$H625=""),"Category has no cost type",IF(NOT(ISNUMBER($E625)),"Enter an amount","OK")))))</f>
        <v/>
      </c>
    </row>
    <row r="626" ht="17" customHeight="1">
      <c r="B626" s="66" t="n"/>
      <c r="C626" s="60" t="n"/>
      <c r="D626" s="60" t="n"/>
      <c r="E626" s="63" t="n"/>
      <c r="F626" s="60" t="n"/>
      <c r="G626" s="60" t="n"/>
      <c r="H626" s="13">
        <f>IF($C626="","",IFERROR(INDEX('Lists'!$G$6:$G$35,MATCH($C626,'Lists'!$F$6:$F$35,0))&amp;"","Unknown category"))</f>
        <v/>
      </c>
      <c r="I626" s="80">
        <f>IF(AND($B626="",$C626="",$E626=""),"",IF(NOT(ISNUMBER($B626)),"Enter a valid date",IF($C626="","Pick a category",IF(OR($H626="Unknown category",$H626=""),"Category has no cost type",IF(NOT(ISNUMBER($E626)),"Enter an amount","OK")))))</f>
        <v/>
      </c>
    </row>
    <row r="627" ht="17" customHeight="1">
      <c r="B627" s="66" t="n"/>
      <c r="C627" s="60" t="n"/>
      <c r="D627" s="60" t="n"/>
      <c r="E627" s="63" t="n"/>
      <c r="F627" s="60" t="n"/>
      <c r="G627" s="60" t="n"/>
      <c r="H627" s="13">
        <f>IF($C627="","",IFERROR(INDEX('Lists'!$G$6:$G$35,MATCH($C627,'Lists'!$F$6:$F$35,0))&amp;"","Unknown category"))</f>
        <v/>
      </c>
      <c r="I627" s="80">
        <f>IF(AND($B627="",$C627="",$E627=""),"",IF(NOT(ISNUMBER($B627)),"Enter a valid date",IF($C627="","Pick a category",IF(OR($H627="Unknown category",$H627=""),"Category has no cost type",IF(NOT(ISNUMBER($E627)),"Enter an amount","OK")))))</f>
        <v/>
      </c>
    </row>
    <row r="628" ht="17" customHeight="1">
      <c r="B628" s="66" t="n"/>
      <c r="C628" s="60" t="n"/>
      <c r="D628" s="60" t="n"/>
      <c r="E628" s="63" t="n"/>
      <c r="F628" s="60" t="n"/>
      <c r="G628" s="60" t="n"/>
      <c r="H628" s="13">
        <f>IF($C628="","",IFERROR(INDEX('Lists'!$G$6:$G$35,MATCH($C628,'Lists'!$F$6:$F$35,0))&amp;"","Unknown category"))</f>
        <v/>
      </c>
      <c r="I628" s="80">
        <f>IF(AND($B628="",$C628="",$E628=""),"",IF(NOT(ISNUMBER($B628)),"Enter a valid date",IF($C628="","Pick a category",IF(OR($H628="Unknown category",$H628=""),"Category has no cost type",IF(NOT(ISNUMBER($E628)),"Enter an amount","OK")))))</f>
        <v/>
      </c>
    </row>
    <row r="629" ht="17" customHeight="1">
      <c r="B629" s="66" t="n"/>
      <c r="C629" s="60" t="n"/>
      <c r="D629" s="60" t="n"/>
      <c r="E629" s="63" t="n"/>
      <c r="F629" s="60" t="n"/>
      <c r="G629" s="60" t="n"/>
      <c r="H629" s="13">
        <f>IF($C629="","",IFERROR(INDEX('Lists'!$G$6:$G$35,MATCH($C629,'Lists'!$F$6:$F$35,0))&amp;"","Unknown category"))</f>
        <v/>
      </c>
      <c r="I629" s="80">
        <f>IF(AND($B629="",$C629="",$E629=""),"",IF(NOT(ISNUMBER($B629)),"Enter a valid date",IF($C629="","Pick a category",IF(OR($H629="Unknown category",$H629=""),"Category has no cost type",IF(NOT(ISNUMBER($E629)),"Enter an amount","OK")))))</f>
        <v/>
      </c>
    </row>
    <row r="630" ht="17" customHeight="1">
      <c r="B630" s="66" t="n"/>
      <c r="C630" s="60" t="n"/>
      <c r="D630" s="60" t="n"/>
      <c r="E630" s="63" t="n"/>
      <c r="F630" s="60" t="n"/>
      <c r="G630" s="60" t="n"/>
      <c r="H630" s="13">
        <f>IF($C630="","",IFERROR(INDEX('Lists'!$G$6:$G$35,MATCH($C630,'Lists'!$F$6:$F$35,0))&amp;"","Unknown category"))</f>
        <v/>
      </c>
      <c r="I630" s="80">
        <f>IF(AND($B630="",$C630="",$E630=""),"",IF(NOT(ISNUMBER($B630)),"Enter a valid date",IF($C630="","Pick a category",IF(OR($H630="Unknown category",$H630=""),"Category has no cost type",IF(NOT(ISNUMBER($E630)),"Enter an amount","OK")))))</f>
        <v/>
      </c>
    </row>
    <row r="631" ht="17" customHeight="1">
      <c r="B631" s="66" t="n"/>
      <c r="C631" s="60" t="n"/>
      <c r="D631" s="60" t="n"/>
      <c r="E631" s="63" t="n"/>
      <c r="F631" s="60" t="n"/>
      <c r="G631" s="60" t="n"/>
      <c r="H631" s="13">
        <f>IF($C631="","",IFERROR(INDEX('Lists'!$G$6:$G$35,MATCH($C631,'Lists'!$F$6:$F$35,0))&amp;"","Unknown category"))</f>
        <v/>
      </c>
      <c r="I631" s="80">
        <f>IF(AND($B631="",$C631="",$E631=""),"",IF(NOT(ISNUMBER($B631)),"Enter a valid date",IF($C631="","Pick a category",IF(OR($H631="Unknown category",$H631=""),"Category has no cost type",IF(NOT(ISNUMBER($E631)),"Enter an amount","OK")))))</f>
        <v/>
      </c>
    </row>
    <row r="632" ht="17" customHeight="1">
      <c r="B632" s="66" t="n"/>
      <c r="C632" s="60" t="n"/>
      <c r="D632" s="60" t="n"/>
      <c r="E632" s="63" t="n"/>
      <c r="F632" s="60" t="n"/>
      <c r="G632" s="60" t="n"/>
      <c r="H632" s="13">
        <f>IF($C632="","",IFERROR(INDEX('Lists'!$G$6:$G$35,MATCH($C632,'Lists'!$F$6:$F$35,0))&amp;"","Unknown category"))</f>
        <v/>
      </c>
      <c r="I632" s="80">
        <f>IF(AND($B632="",$C632="",$E632=""),"",IF(NOT(ISNUMBER($B632)),"Enter a valid date",IF($C632="","Pick a category",IF(OR($H632="Unknown category",$H632=""),"Category has no cost type",IF(NOT(ISNUMBER($E632)),"Enter an amount","OK")))))</f>
        <v/>
      </c>
    </row>
    <row r="633" ht="17" customHeight="1">
      <c r="B633" s="66" t="n"/>
      <c r="C633" s="60" t="n"/>
      <c r="D633" s="60" t="n"/>
      <c r="E633" s="63" t="n"/>
      <c r="F633" s="60" t="n"/>
      <c r="G633" s="60" t="n"/>
      <c r="H633" s="13">
        <f>IF($C633="","",IFERROR(INDEX('Lists'!$G$6:$G$35,MATCH($C633,'Lists'!$F$6:$F$35,0))&amp;"","Unknown category"))</f>
        <v/>
      </c>
      <c r="I633" s="80">
        <f>IF(AND($B633="",$C633="",$E633=""),"",IF(NOT(ISNUMBER($B633)),"Enter a valid date",IF($C633="","Pick a category",IF(OR($H633="Unknown category",$H633=""),"Category has no cost type",IF(NOT(ISNUMBER($E633)),"Enter an amount","OK")))))</f>
        <v/>
      </c>
    </row>
    <row r="634" ht="17" customHeight="1">
      <c r="B634" s="66" t="n"/>
      <c r="C634" s="60" t="n"/>
      <c r="D634" s="60" t="n"/>
      <c r="E634" s="63" t="n"/>
      <c r="F634" s="60" t="n"/>
      <c r="G634" s="60" t="n"/>
      <c r="H634" s="13">
        <f>IF($C634="","",IFERROR(INDEX('Lists'!$G$6:$G$35,MATCH($C634,'Lists'!$F$6:$F$35,0))&amp;"","Unknown category"))</f>
        <v/>
      </c>
      <c r="I634" s="80">
        <f>IF(AND($B634="",$C634="",$E634=""),"",IF(NOT(ISNUMBER($B634)),"Enter a valid date",IF($C634="","Pick a category",IF(OR($H634="Unknown category",$H634=""),"Category has no cost type",IF(NOT(ISNUMBER($E634)),"Enter an amount","OK")))))</f>
        <v/>
      </c>
    </row>
    <row r="635" ht="17" customHeight="1">
      <c r="B635" s="66" t="n"/>
      <c r="C635" s="60" t="n"/>
      <c r="D635" s="60" t="n"/>
      <c r="E635" s="63" t="n"/>
      <c r="F635" s="60" t="n"/>
      <c r="G635" s="60" t="n"/>
      <c r="H635" s="13">
        <f>IF($C635="","",IFERROR(INDEX('Lists'!$G$6:$G$35,MATCH($C635,'Lists'!$F$6:$F$35,0))&amp;"","Unknown category"))</f>
        <v/>
      </c>
      <c r="I635" s="80">
        <f>IF(AND($B635="",$C635="",$E635=""),"",IF(NOT(ISNUMBER($B635)),"Enter a valid date",IF($C635="","Pick a category",IF(OR($H635="Unknown category",$H635=""),"Category has no cost type",IF(NOT(ISNUMBER($E635)),"Enter an amount","OK")))))</f>
        <v/>
      </c>
    </row>
    <row r="636" ht="17" customHeight="1">
      <c r="B636" s="66" t="n"/>
      <c r="C636" s="60" t="n"/>
      <c r="D636" s="60" t="n"/>
      <c r="E636" s="63" t="n"/>
      <c r="F636" s="60" t="n"/>
      <c r="G636" s="60" t="n"/>
      <c r="H636" s="13">
        <f>IF($C636="","",IFERROR(INDEX('Lists'!$G$6:$G$35,MATCH($C636,'Lists'!$F$6:$F$35,0))&amp;"","Unknown category"))</f>
        <v/>
      </c>
      <c r="I636" s="80">
        <f>IF(AND($B636="",$C636="",$E636=""),"",IF(NOT(ISNUMBER($B636)),"Enter a valid date",IF($C636="","Pick a category",IF(OR($H636="Unknown category",$H636=""),"Category has no cost type",IF(NOT(ISNUMBER($E636)),"Enter an amount","OK")))))</f>
        <v/>
      </c>
    </row>
    <row r="637" ht="17" customHeight="1">
      <c r="B637" s="66" t="n"/>
      <c r="C637" s="60" t="n"/>
      <c r="D637" s="60" t="n"/>
      <c r="E637" s="63" t="n"/>
      <c r="F637" s="60" t="n"/>
      <c r="G637" s="60" t="n"/>
      <c r="H637" s="13">
        <f>IF($C637="","",IFERROR(INDEX('Lists'!$G$6:$G$35,MATCH($C637,'Lists'!$F$6:$F$35,0))&amp;"","Unknown category"))</f>
        <v/>
      </c>
      <c r="I637" s="80">
        <f>IF(AND($B637="",$C637="",$E637=""),"",IF(NOT(ISNUMBER($B637)),"Enter a valid date",IF($C637="","Pick a category",IF(OR($H637="Unknown category",$H637=""),"Category has no cost type",IF(NOT(ISNUMBER($E637)),"Enter an amount","OK")))))</f>
        <v/>
      </c>
    </row>
    <row r="638" ht="17" customHeight="1">
      <c r="B638" s="66" t="n"/>
      <c r="C638" s="60" t="n"/>
      <c r="D638" s="60" t="n"/>
      <c r="E638" s="63" t="n"/>
      <c r="F638" s="60" t="n"/>
      <c r="G638" s="60" t="n"/>
      <c r="H638" s="13">
        <f>IF($C638="","",IFERROR(INDEX('Lists'!$G$6:$G$35,MATCH($C638,'Lists'!$F$6:$F$35,0))&amp;"","Unknown category"))</f>
        <v/>
      </c>
      <c r="I638" s="80">
        <f>IF(AND($B638="",$C638="",$E638=""),"",IF(NOT(ISNUMBER($B638)),"Enter a valid date",IF($C638="","Pick a category",IF(OR($H638="Unknown category",$H638=""),"Category has no cost type",IF(NOT(ISNUMBER($E638)),"Enter an amount","OK")))))</f>
        <v/>
      </c>
    </row>
    <row r="639" ht="17" customHeight="1">
      <c r="B639" s="66" t="n"/>
      <c r="C639" s="60" t="n"/>
      <c r="D639" s="60" t="n"/>
      <c r="E639" s="63" t="n"/>
      <c r="F639" s="60" t="n"/>
      <c r="G639" s="60" t="n"/>
      <c r="H639" s="13">
        <f>IF($C639="","",IFERROR(INDEX('Lists'!$G$6:$G$35,MATCH($C639,'Lists'!$F$6:$F$35,0))&amp;"","Unknown category"))</f>
        <v/>
      </c>
      <c r="I639" s="80">
        <f>IF(AND($B639="",$C639="",$E639=""),"",IF(NOT(ISNUMBER($B639)),"Enter a valid date",IF($C639="","Pick a category",IF(OR($H639="Unknown category",$H639=""),"Category has no cost type",IF(NOT(ISNUMBER($E639)),"Enter an amount","OK")))))</f>
        <v/>
      </c>
    </row>
    <row r="640" ht="17" customHeight="1">
      <c r="B640" s="66" t="n"/>
      <c r="C640" s="60" t="n"/>
      <c r="D640" s="60" t="n"/>
      <c r="E640" s="63" t="n"/>
      <c r="F640" s="60" t="n"/>
      <c r="G640" s="60" t="n"/>
      <c r="H640" s="13">
        <f>IF($C640="","",IFERROR(INDEX('Lists'!$G$6:$G$35,MATCH($C640,'Lists'!$F$6:$F$35,0))&amp;"","Unknown category"))</f>
        <v/>
      </c>
      <c r="I640" s="80">
        <f>IF(AND($B640="",$C640="",$E640=""),"",IF(NOT(ISNUMBER($B640)),"Enter a valid date",IF($C640="","Pick a category",IF(OR($H640="Unknown category",$H640=""),"Category has no cost type",IF(NOT(ISNUMBER($E640)),"Enter an amount","OK")))))</f>
        <v/>
      </c>
    </row>
    <row r="641" ht="17" customHeight="1">
      <c r="B641" s="66" t="n"/>
      <c r="C641" s="60" t="n"/>
      <c r="D641" s="60" t="n"/>
      <c r="E641" s="63" t="n"/>
      <c r="F641" s="60" t="n"/>
      <c r="G641" s="60" t="n"/>
      <c r="H641" s="13">
        <f>IF($C641="","",IFERROR(INDEX('Lists'!$G$6:$G$35,MATCH($C641,'Lists'!$F$6:$F$35,0))&amp;"","Unknown category"))</f>
        <v/>
      </c>
      <c r="I641" s="80">
        <f>IF(AND($B641="",$C641="",$E641=""),"",IF(NOT(ISNUMBER($B641)),"Enter a valid date",IF($C641="","Pick a category",IF(OR($H641="Unknown category",$H641=""),"Category has no cost type",IF(NOT(ISNUMBER($E641)),"Enter an amount","OK")))))</f>
        <v/>
      </c>
    </row>
    <row r="642" ht="17" customHeight="1">
      <c r="B642" s="66" t="n"/>
      <c r="C642" s="60" t="n"/>
      <c r="D642" s="60" t="n"/>
      <c r="E642" s="63" t="n"/>
      <c r="F642" s="60" t="n"/>
      <c r="G642" s="60" t="n"/>
      <c r="H642" s="13">
        <f>IF($C642="","",IFERROR(INDEX('Lists'!$G$6:$G$35,MATCH($C642,'Lists'!$F$6:$F$35,0))&amp;"","Unknown category"))</f>
        <v/>
      </c>
      <c r="I642" s="80">
        <f>IF(AND($B642="",$C642="",$E642=""),"",IF(NOT(ISNUMBER($B642)),"Enter a valid date",IF($C642="","Pick a category",IF(OR($H642="Unknown category",$H642=""),"Category has no cost type",IF(NOT(ISNUMBER($E642)),"Enter an amount","OK")))))</f>
        <v/>
      </c>
    </row>
    <row r="643" ht="17" customHeight="1">
      <c r="B643" s="66" t="n"/>
      <c r="C643" s="60" t="n"/>
      <c r="D643" s="60" t="n"/>
      <c r="E643" s="63" t="n"/>
      <c r="F643" s="60" t="n"/>
      <c r="G643" s="60" t="n"/>
      <c r="H643" s="13">
        <f>IF($C643="","",IFERROR(INDEX('Lists'!$G$6:$G$35,MATCH($C643,'Lists'!$F$6:$F$35,0))&amp;"","Unknown category"))</f>
        <v/>
      </c>
      <c r="I643" s="80">
        <f>IF(AND($B643="",$C643="",$E643=""),"",IF(NOT(ISNUMBER($B643)),"Enter a valid date",IF($C643="","Pick a category",IF(OR($H643="Unknown category",$H643=""),"Category has no cost type",IF(NOT(ISNUMBER($E643)),"Enter an amount","OK")))))</f>
        <v/>
      </c>
    </row>
    <row r="644" ht="17" customHeight="1">
      <c r="B644" s="66" t="n"/>
      <c r="C644" s="60" t="n"/>
      <c r="D644" s="60" t="n"/>
      <c r="E644" s="63" t="n"/>
      <c r="F644" s="60" t="n"/>
      <c r="G644" s="60" t="n"/>
      <c r="H644" s="13">
        <f>IF($C644="","",IFERROR(INDEX('Lists'!$G$6:$G$35,MATCH($C644,'Lists'!$F$6:$F$35,0))&amp;"","Unknown category"))</f>
        <v/>
      </c>
      <c r="I644" s="80">
        <f>IF(AND($B644="",$C644="",$E644=""),"",IF(NOT(ISNUMBER($B644)),"Enter a valid date",IF($C644="","Pick a category",IF(OR($H644="Unknown category",$H644=""),"Category has no cost type",IF(NOT(ISNUMBER($E644)),"Enter an amount","OK")))))</f>
        <v/>
      </c>
    </row>
    <row r="645" ht="17" customHeight="1">
      <c r="B645" s="66" t="n"/>
      <c r="C645" s="60" t="n"/>
      <c r="D645" s="60" t="n"/>
      <c r="E645" s="63" t="n"/>
      <c r="F645" s="60" t="n"/>
      <c r="G645" s="60" t="n"/>
      <c r="H645" s="13">
        <f>IF($C645="","",IFERROR(INDEX('Lists'!$G$6:$G$35,MATCH($C645,'Lists'!$F$6:$F$35,0))&amp;"","Unknown category"))</f>
        <v/>
      </c>
      <c r="I645" s="80">
        <f>IF(AND($B645="",$C645="",$E645=""),"",IF(NOT(ISNUMBER($B645)),"Enter a valid date",IF($C645="","Pick a category",IF(OR($H645="Unknown category",$H645=""),"Category has no cost type",IF(NOT(ISNUMBER($E645)),"Enter an amount","OK")))))</f>
        <v/>
      </c>
    </row>
    <row r="646" ht="17" customHeight="1">
      <c r="B646" s="66" t="n"/>
      <c r="C646" s="60" t="n"/>
      <c r="D646" s="60" t="n"/>
      <c r="E646" s="63" t="n"/>
      <c r="F646" s="60" t="n"/>
      <c r="G646" s="60" t="n"/>
      <c r="H646" s="13">
        <f>IF($C646="","",IFERROR(INDEX('Lists'!$G$6:$G$35,MATCH($C646,'Lists'!$F$6:$F$35,0))&amp;"","Unknown category"))</f>
        <v/>
      </c>
      <c r="I646" s="80">
        <f>IF(AND($B646="",$C646="",$E646=""),"",IF(NOT(ISNUMBER($B646)),"Enter a valid date",IF($C646="","Pick a category",IF(OR($H646="Unknown category",$H646=""),"Category has no cost type",IF(NOT(ISNUMBER($E646)),"Enter an amount","OK")))))</f>
        <v/>
      </c>
    </row>
    <row r="647" ht="17" customHeight="1">
      <c r="B647" s="66" t="n"/>
      <c r="C647" s="60" t="n"/>
      <c r="D647" s="60" t="n"/>
      <c r="E647" s="63" t="n"/>
      <c r="F647" s="60" t="n"/>
      <c r="G647" s="60" t="n"/>
      <c r="H647" s="13">
        <f>IF($C647="","",IFERROR(INDEX('Lists'!$G$6:$G$35,MATCH($C647,'Lists'!$F$6:$F$35,0))&amp;"","Unknown category"))</f>
        <v/>
      </c>
      <c r="I647" s="80">
        <f>IF(AND($B647="",$C647="",$E647=""),"",IF(NOT(ISNUMBER($B647)),"Enter a valid date",IF($C647="","Pick a category",IF(OR($H647="Unknown category",$H647=""),"Category has no cost type",IF(NOT(ISNUMBER($E647)),"Enter an amount","OK")))))</f>
        <v/>
      </c>
    </row>
    <row r="648" ht="17" customHeight="1">
      <c r="B648" s="66" t="n"/>
      <c r="C648" s="60" t="n"/>
      <c r="D648" s="60" t="n"/>
      <c r="E648" s="63" t="n"/>
      <c r="F648" s="60" t="n"/>
      <c r="G648" s="60" t="n"/>
      <c r="H648" s="13">
        <f>IF($C648="","",IFERROR(INDEX('Lists'!$G$6:$G$35,MATCH($C648,'Lists'!$F$6:$F$35,0))&amp;"","Unknown category"))</f>
        <v/>
      </c>
      <c r="I648" s="80">
        <f>IF(AND($B648="",$C648="",$E648=""),"",IF(NOT(ISNUMBER($B648)),"Enter a valid date",IF($C648="","Pick a category",IF(OR($H648="Unknown category",$H648=""),"Category has no cost type",IF(NOT(ISNUMBER($E648)),"Enter an amount","OK")))))</f>
        <v/>
      </c>
    </row>
    <row r="649" ht="17" customHeight="1">
      <c r="B649" s="66" t="n"/>
      <c r="C649" s="60" t="n"/>
      <c r="D649" s="60" t="n"/>
      <c r="E649" s="63" t="n"/>
      <c r="F649" s="60" t="n"/>
      <c r="G649" s="60" t="n"/>
      <c r="H649" s="13">
        <f>IF($C649="","",IFERROR(INDEX('Lists'!$G$6:$G$35,MATCH($C649,'Lists'!$F$6:$F$35,0))&amp;"","Unknown category"))</f>
        <v/>
      </c>
      <c r="I649" s="80">
        <f>IF(AND($B649="",$C649="",$E649=""),"",IF(NOT(ISNUMBER($B649)),"Enter a valid date",IF($C649="","Pick a category",IF(OR($H649="Unknown category",$H649=""),"Category has no cost type",IF(NOT(ISNUMBER($E649)),"Enter an amount","OK")))))</f>
        <v/>
      </c>
    </row>
    <row r="650" ht="17" customHeight="1">
      <c r="B650" s="66" t="n"/>
      <c r="C650" s="60" t="n"/>
      <c r="D650" s="60" t="n"/>
      <c r="E650" s="63" t="n"/>
      <c r="F650" s="60" t="n"/>
      <c r="G650" s="60" t="n"/>
      <c r="H650" s="13">
        <f>IF($C650="","",IFERROR(INDEX('Lists'!$G$6:$G$35,MATCH($C650,'Lists'!$F$6:$F$35,0))&amp;"","Unknown category"))</f>
        <v/>
      </c>
      <c r="I650" s="80">
        <f>IF(AND($B650="",$C650="",$E650=""),"",IF(NOT(ISNUMBER($B650)),"Enter a valid date",IF($C650="","Pick a category",IF(OR($H650="Unknown category",$H650=""),"Category has no cost type",IF(NOT(ISNUMBER($E650)),"Enter an amount","OK")))))</f>
        <v/>
      </c>
    </row>
    <row r="651" ht="17" customHeight="1">
      <c r="B651" s="66" t="n"/>
      <c r="C651" s="60" t="n"/>
      <c r="D651" s="60" t="n"/>
      <c r="E651" s="63" t="n"/>
      <c r="F651" s="60" t="n"/>
      <c r="G651" s="60" t="n"/>
      <c r="H651" s="13">
        <f>IF($C651="","",IFERROR(INDEX('Lists'!$G$6:$G$35,MATCH($C651,'Lists'!$F$6:$F$35,0))&amp;"","Unknown category"))</f>
        <v/>
      </c>
      <c r="I651" s="80">
        <f>IF(AND($B651="",$C651="",$E651=""),"",IF(NOT(ISNUMBER($B651)),"Enter a valid date",IF($C651="","Pick a category",IF(OR($H651="Unknown category",$H651=""),"Category has no cost type",IF(NOT(ISNUMBER($E651)),"Enter an amount","OK")))))</f>
        <v/>
      </c>
    </row>
    <row r="652" ht="17" customHeight="1">
      <c r="B652" s="66" t="n"/>
      <c r="C652" s="60" t="n"/>
      <c r="D652" s="60" t="n"/>
      <c r="E652" s="63" t="n"/>
      <c r="F652" s="60" t="n"/>
      <c r="G652" s="60" t="n"/>
      <c r="H652" s="13">
        <f>IF($C652="","",IFERROR(INDEX('Lists'!$G$6:$G$35,MATCH($C652,'Lists'!$F$6:$F$35,0))&amp;"","Unknown category"))</f>
        <v/>
      </c>
      <c r="I652" s="80">
        <f>IF(AND($B652="",$C652="",$E652=""),"",IF(NOT(ISNUMBER($B652)),"Enter a valid date",IF($C652="","Pick a category",IF(OR($H652="Unknown category",$H652=""),"Category has no cost type",IF(NOT(ISNUMBER($E652)),"Enter an amount","OK")))))</f>
        <v/>
      </c>
    </row>
    <row r="653" ht="17" customHeight="1">
      <c r="B653" s="66" t="n"/>
      <c r="C653" s="60" t="n"/>
      <c r="D653" s="60" t="n"/>
      <c r="E653" s="63" t="n"/>
      <c r="F653" s="60" t="n"/>
      <c r="G653" s="60" t="n"/>
      <c r="H653" s="13">
        <f>IF($C653="","",IFERROR(INDEX('Lists'!$G$6:$G$35,MATCH($C653,'Lists'!$F$6:$F$35,0))&amp;"","Unknown category"))</f>
        <v/>
      </c>
      <c r="I653" s="80">
        <f>IF(AND($B653="",$C653="",$E653=""),"",IF(NOT(ISNUMBER($B653)),"Enter a valid date",IF($C653="","Pick a category",IF(OR($H653="Unknown category",$H653=""),"Category has no cost type",IF(NOT(ISNUMBER($E653)),"Enter an amount","OK")))))</f>
        <v/>
      </c>
    </row>
    <row r="654" ht="17" customHeight="1">
      <c r="B654" s="66" t="n"/>
      <c r="C654" s="60" t="n"/>
      <c r="D654" s="60" t="n"/>
      <c r="E654" s="63" t="n"/>
      <c r="F654" s="60" t="n"/>
      <c r="G654" s="60" t="n"/>
      <c r="H654" s="13">
        <f>IF($C654="","",IFERROR(INDEX('Lists'!$G$6:$G$35,MATCH($C654,'Lists'!$F$6:$F$35,0))&amp;"","Unknown category"))</f>
        <v/>
      </c>
      <c r="I654" s="80">
        <f>IF(AND($B654="",$C654="",$E654=""),"",IF(NOT(ISNUMBER($B654)),"Enter a valid date",IF($C654="","Pick a category",IF(OR($H654="Unknown category",$H654=""),"Category has no cost type",IF(NOT(ISNUMBER($E654)),"Enter an amount","OK")))))</f>
        <v/>
      </c>
    </row>
    <row r="655" ht="17" customHeight="1">
      <c r="B655" s="66" t="n"/>
      <c r="C655" s="60" t="n"/>
      <c r="D655" s="60" t="n"/>
      <c r="E655" s="63" t="n"/>
      <c r="F655" s="60" t="n"/>
      <c r="G655" s="60" t="n"/>
      <c r="H655" s="13">
        <f>IF($C655="","",IFERROR(INDEX('Lists'!$G$6:$G$35,MATCH($C655,'Lists'!$F$6:$F$35,0))&amp;"","Unknown category"))</f>
        <v/>
      </c>
      <c r="I655" s="80">
        <f>IF(AND($B655="",$C655="",$E655=""),"",IF(NOT(ISNUMBER($B655)),"Enter a valid date",IF($C655="","Pick a category",IF(OR($H655="Unknown category",$H655=""),"Category has no cost type",IF(NOT(ISNUMBER($E655)),"Enter an amount","OK")))))</f>
        <v/>
      </c>
    </row>
    <row r="656" ht="17" customHeight="1">
      <c r="B656" s="66" t="n"/>
      <c r="C656" s="60" t="n"/>
      <c r="D656" s="60" t="n"/>
      <c r="E656" s="63" t="n"/>
      <c r="F656" s="60" t="n"/>
      <c r="G656" s="60" t="n"/>
      <c r="H656" s="13">
        <f>IF($C656="","",IFERROR(INDEX('Lists'!$G$6:$G$35,MATCH($C656,'Lists'!$F$6:$F$35,0))&amp;"","Unknown category"))</f>
        <v/>
      </c>
      <c r="I656" s="80">
        <f>IF(AND($B656="",$C656="",$E656=""),"",IF(NOT(ISNUMBER($B656)),"Enter a valid date",IF($C656="","Pick a category",IF(OR($H656="Unknown category",$H656=""),"Category has no cost type",IF(NOT(ISNUMBER($E656)),"Enter an amount","OK")))))</f>
        <v/>
      </c>
    </row>
    <row r="657" ht="17" customHeight="1">
      <c r="B657" s="66" t="n"/>
      <c r="C657" s="60" t="n"/>
      <c r="D657" s="60" t="n"/>
      <c r="E657" s="63" t="n"/>
      <c r="F657" s="60" t="n"/>
      <c r="G657" s="60" t="n"/>
      <c r="H657" s="13">
        <f>IF($C657="","",IFERROR(INDEX('Lists'!$G$6:$G$35,MATCH($C657,'Lists'!$F$6:$F$35,0))&amp;"","Unknown category"))</f>
        <v/>
      </c>
      <c r="I657" s="80">
        <f>IF(AND($B657="",$C657="",$E657=""),"",IF(NOT(ISNUMBER($B657)),"Enter a valid date",IF($C657="","Pick a category",IF(OR($H657="Unknown category",$H657=""),"Category has no cost type",IF(NOT(ISNUMBER($E657)),"Enter an amount","OK")))))</f>
        <v/>
      </c>
    </row>
    <row r="658" ht="17" customHeight="1">
      <c r="B658" s="66" t="n"/>
      <c r="C658" s="60" t="n"/>
      <c r="D658" s="60" t="n"/>
      <c r="E658" s="63" t="n"/>
      <c r="F658" s="60" t="n"/>
      <c r="G658" s="60" t="n"/>
      <c r="H658" s="13">
        <f>IF($C658="","",IFERROR(INDEX('Lists'!$G$6:$G$35,MATCH($C658,'Lists'!$F$6:$F$35,0))&amp;"","Unknown category"))</f>
        <v/>
      </c>
      <c r="I658" s="80">
        <f>IF(AND($B658="",$C658="",$E658=""),"",IF(NOT(ISNUMBER($B658)),"Enter a valid date",IF($C658="","Pick a category",IF(OR($H658="Unknown category",$H658=""),"Category has no cost type",IF(NOT(ISNUMBER($E658)),"Enter an amount","OK")))))</f>
        <v/>
      </c>
    </row>
    <row r="659" ht="17" customHeight="1">
      <c r="B659" s="66" t="n"/>
      <c r="C659" s="60" t="n"/>
      <c r="D659" s="60" t="n"/>
      <c r="E659" s="63" t="n"/>
      <c r="F659" s="60" t="n"/>
      <c r="G659" s="60" t="n"/>
      <c r="H659" s="13">
        <f>IF($C659="","",IFERROR(INDEX('Lists'!$G$6:$G$35,MATCH($C659,'Lists'!$F$6:$F$35,0))&amp;"","Unknown category"))</f>
        <v/>
      </c>
      <c r="I659" s="80">
        <f>IF(AND($B659="",$C659="",$E659=""),"",IF(NOT(ISNUMBER($B659)),"Enter a valid date",IF($C659="","Pick a category",IF(OR($H659="Unknown category",$H659=""),"Category has no cost type",IF(NOT(ISNUMBER($E659)),"Enter an amount","OK")))))</f>
        <v/>
      </c>
    </row>
    <row r="660" ht="17" customHeight="1">
      <c r="B660" s="66" t="n"/>
      <c r="C660" s="60" t="n"/>
      <c r="D660" s="60" t="n"/>
      <c r="E660" s="63" t="n"/>
      <c r="F660" s="60" t="n"/>
      <c r="G660" s="60" t="n"/>
      <c r="H660" s="13">
        <f>IF($C660="","",IFERROR(INDEX('Lists'!$G$6:$G$35,MATCH($C660,'Lists'!$F$6:$F$35,0))&amp;"","Unknown category"))</f>
        <v/>
      </c>
      <c r="I660" s="80">
        <f>IF(AND($B660="",$C660="",$E660=""),"",IF(NOT(ISNUMBER($B660)),"Enter a valid date",IF($C660="","Pick a category",IF(OR($H660="Unknown category",$H660=""),"Category has no cost type",IF(NOT(ISNUMBER($E660)),"Enter an amount","OK")))))</f>
        <v/>
      </c>
    </row>
    <row r="661" ht="17" customHeight="1">
      <c r="B661" s="66" t="n"/>
      <c r="C661" s="60" t="n"/>
      <c r="D661" s="60" t="n"/>
      <c r="E661" s="63" t="n"/>
      <c r="F661" s="60" t="n"/>
      <c r="G661" s="60" t="n"/>
      <c r="H661" s="13">
        <f>IF($C661="","",IFERROR(INDEX('Lists'!$G$6:$G$35,MATCH($C661,'Lists'!$F$6:$F$35,0))&amp;"","Unknown category"))</f>
        <v/>
      </c>
      <c r="I661" s="80">
        <f>IF(AND($B661="",$C661="",$E661=""),"",IF(NOT(ISNUMBER($B661)),"Enter a valid date",IF($C661="","Pick a category",IF(OR($H661="Unknown category",$H661=""),"Category has no cost type",IF(NOT(ISNUMBER($E661)),"Enter an amount","OK")))))</f>
        <v/>
      </c>
    </row>
    <row r="662" ht="17" customHeight="1">
      <c r="B662" s="66" t="n"/>
      <c r="C662" s="60" t="n"/>
      <c r="D662" s="60" t="n"/>
      <c r="E662" s="63" t="n"/>
      <c r="F662" s="60" t="n"/>
      <c r="G662" s="60" t="n"/>
      <c r="H662" s="13">
        <f>IF($C662="","",IFERROR(INDEX('Lists'!$G$6:$G$35,MATCH($C662,'Lists'!$F$6:$F$35,0))&amp;"","Unknown category"))</f>
        <v/>
      </c>
      <c r="I662" s="80">
        <f>IF(AND($B662="",$C662="",$E662=""),"",IF(NOT(ISNUMBER($B662)),"Enter a valid date",IF($C662="","Pick a category",IF(OR($H662="Unknown category",$H662=""),"Category has no cost type",IF(NOT(ISNUMBER($E662)),"Enter an amount","OK")))))</f>
        <v/>
      </c>
    </row>
    <row r="663" ht="17" customHeight="1">
      <c r="B663" s="66" t="n"/>
      <c r="C663" s="60" t="n"/>
      <c r="D663" s="60" t="n"/>
      <c r="E663" s="63" t="n"/>
      <c r="F663" s="60" t="n"/>
      <c r="G663" s="60" t="n"/>
      <c r="H663" s="13">
        <f>IF($C663="","",IFERROR(INDEX('Lists'!$G$6:$G$35,MATCH($C663,'Lists'!$F$6:$F$35,0))&amp;"","Unknown category"))</f>
        <v/>
      </c>
      <c r="I663" s="80">
        <f>IF(AND($B663="",$C663="",$E663=""),"",IF(NOT(ISNUMBER($B663)),"Enter a valid date",IF($C663="","Pick a category",IF(OR($H663="Unknown category",$H663=""),"Category has no cost type",IF(NOT(ISNUMBER($E663)),"Enter an amount","OK")))))</f>
        <v/>
      </c>
    </row>
    <row r="664" ht="17" customHeight="1">
      <c r="B664" s="66" t="n"/>
      <c r="C664" s="60" t="n"/>
      <c r="D664" s="60" t="n"/>
      <c r="E664" s="63" t="n"/>
      <c r="F664" s="60" t="n"/>
      <c r="G664" s="60" t="n"/>
      <c r="H664" s="13">
        <f>IF($C664="","",IFERROR(INDEX('Lists'!$G$6:$G$35,MATCH($C664,'Lists'!$F$6:$F$35,0))&amp;"","Unknown category"))</f>
        <v/>
      </c>
      <c r="I664" s="80">
        <f>IF(AND($B664="",$C664="",$E664=""),"",IF(NOT(ISNUMBER($B664)),"Enter a valid date",IF($C664="","Pick a category",IF(OR($H664="Unknown category",$H664=""),"Category has no cost type",IF(NOT(ISNUMBER($E664)),"Enter an amount","OK")))))</f>
        <v/>
      </c>
    </row>
    <row r="665" ht="17" customHeight="1">
      <c r="B665" s="66" t="n"/>
      <c r="C665" s="60" t="n"/>
      <c r="D665" s="60" t="n"/>
      <c r="E665" s="63" t="n"/>
      <c r="F665" s="60" t="n"/>
      <c r="G665" s="60" t="n"/>
      <c r="H665" s="13">
        <f>IF($C665="","",IFERROR(INDEX('Lists'!$G$6:$G$35,MATCH($C665,'Lists'!$F$6:$F$35,0))&amp;"","Unknown category"))</f>
        <v/>
      </c>
      <c r="I665" s="80">
        <f>IF(AND($B665="",$C665="",$E665=""),"",IF(NOT(ISNUMBER($B665)),"Enter a valid date",IF($C665="","Pick a category",IF(OR($H665="Unknown category",$H665=""),"Category has no cost type",IF(NOT(ISNUMBER($E665)),"Enter an amount","OK")))))</f>
        <v/>
      </c>
    </row>
    <row r="666" ht="17" customHeight="1">
      <c r="B666" s="66" t="n"/>
      <c r="C666" s="60" t="n"/>
      <c r="D666" s="60" t="n"/>
      <c r="E666" s="63" t="n"/>
      <c r="F666" s="60" t="n"/>
      <c r="G666" s="60" t="n"/>
      <c r="H666" s="13">
        <f>IF($C666="","",IFERROR(INDEX('Lists'!$G$6:$G$35,MATCH($C666,'Lists'!$F$6:$F$35,0))&amp;"","Unknown category"))</f>
        <v/>
      </c>
      <c r="I666" s="80">
        <f>IF(AND($B666="",$C666="",$E666=""),"",IF(NOT(ISNUMBER($B666)),"Enter a valid date",IF($C666="","Pick a category",IF(OR($H666="Unknown category",$H666=""),"Category has no cost type",IF(NOT(ISNUMBER($E666)),"Enter an amount","OK")))))</f>
        <v/>
      </c>
    </row>
    <row r="667" ht="17" customHeight="1">
      <c r="B667" s="66" t="n"/>
      <c r="C667" s="60" t="n"/>
      <c r="D667" s="60" t="n"/>
      <c r="E667" s="63" t="n"/>
      <c r="F667" s="60" t="n"/>
      <c r="G667" s="60" t="n"/>
      <c r="H667" s="13">
        <f>IF($C667="","",IFERROR(INDEX('Lists'!$G$6:$G$35,MATCH($C667,'Lists'!$F$6:$F$35,0))&amp;"","Unknown category"))</f>
        <v/>
      </c>
      <c r="I667" s="80">
        <f>IF(AND($B667="",$C667="",$E667=""),"",IF(NOT(ISNUMBER($B667)),"Enter a valid date",IF($C667="","Pick a category",IF(OR($H667="Unknown category",$H667=""),"Category has no cost type",IF(NOT(ISNUMBER($E667)),"Enter an amount","OK")))))</f>
        <v/>
      </c>
    </row>
    <row r="668" ht="17" customHeight="1">
      <c r="B668" s="66" t="n"/>
      <c r="C668" s="60" t="n"/>
      <c r="D668" s="60" t="n"/>
      <c r="E668" s="63" t="n"/>
      <c r="F668" s="60" t="n"/>
      <c r="G668" s="60" t="n"/>
      <c r="H668" s="13">
        <f>IF($C668="","",IFERROR(INDEX('Lists'!$G$6:$G$35,MATCH($C668,'Lists'!$F$6:$F$35,0))&amp;"","Unknown category"))</f>
        <v/>
      </c>
      <c r="I668" s="80">
        <f>IF(AND($B668="",$C668="",$E668=""),"",IF(NOT(ISNUMBER($B668)),"Enter a valid date",IF($C668="","Pick a category",IF(OR($H668="Unknown category",$H668=""),"Category has no cost type",IF(NOT(ISNUMBER($E668)),"Enter an amount","OK")))))</f>
        <v/>
      </c>
    </row>
    <row r="669" ht="17" customHeight="1">
      <c r="B669" s="66" t="n"/>
      <c r="C669" s="60" t="n"/>
      <c r="D669" s="60" t="n"/>
      <c r="E669" s="63" t="n"/>
      <c r="F669" s="60" t="n"/>
      <c r="G669" s="60" t="n"/>
      <c r="H669" s="13">
        <f>IF($C669="","",IFERROR(INDEX('Lists'!$G$6:$G$35,MATCH($C669,'Lists'!$F$6:$F$35,0))&amp;"","Unknown category"))</f>
        <v/>
      </c>
      <c r="I669" s="80">
        <f>IF(AND($B669="",$C669="",$E669=""),"",IF(NOT(ISNUMBER($B669)),"Enter a valid date",IF($C669="","Pick a category",IF(OR($H669="Unknown category",$H669=""),"Category has no cost type",IF(NOT(ISNUMBER($E669)),"Enter an amount","OK")))))</f>
        <v/>
      </c>
    </row>
    <row r="670" ht="17" customHeight="1">
      <c r="B670" s="66" t="n"/>
      <c r="C670" s="60" t="n"/>
      <c r="D670" s="60" t="n"/>
      <c r="E670" s="63" t="n"/>
      <c r="F670" s="60" t="n"/>
      <c r="G670" s="60" t="n"/>
      <c r="H670" s="13">
        <f>IF($C670="","",IFERROR(INDEX('Lists'!$G$6:$G$35,MATCH($C670,'Lists'!$F$6:$F$35,0))&amp;"","Unknown category"))</f>
        <v/>
      </c>
      <c r="I670" s="80">
        <f>IF(AND($B670="",$C670="",$E670=""),"",IF(NOT(ISNUMBER($B670)),"Enter a valid date",IF($C670="","Pick a category",IF(OR($H670="Unknown category",$H670=""),"Category has no cost type",IF(NOT(ISNUMBER($E670)),"Enter an amount","OK")))))</f>
        <v/>
      </c>
    </row>
    <row r="671" ht="17" customHeight="1">
      <c r="B671" s="66" t="n"/>
      <c r="C671" s="60" t="n"/>
      <c r="D671" s="60" t="n"/>
      <c r="E671" s="63" t="n"/>
      <c r="F671" s="60" t="n"/>
      <c r="G671" s="60" t="n"/>
      <c r="H671" s="13">
        <f>IF($C671="","",IFERROR(INDEX('Lists'!$G$6:$G$35,MATCH($C671,'Lists'!$F$6:$F$35,0))&amp;"","Unknown category"))</f>
        <v/>
      </c>
      <c r="I671" s="80">
        <f>IF(AND($B671="",$C671="",$E671=""),"",IF(NOT(ISNUMBER($B671)),"Enter a valid date",IF($C671="","Pick a category",IF(OR($H671="Unknown category",$H671=""),"Category has no cost type",IF(NOT(ISNUMBER($E671)),"Enter an amount","OK")))))</f>
        <v/>
      </c>
    </row>
    <row r="672" ht="17" customHeight="1">
      <c r="B672" s="66" t="n"/>
      <c r="C672" s="60" t="n"/>
      <c r="D672" s="60" t="n"/>
      <c r="E672" s="63" t="n"/>
      <c r="F672" s="60" t="n"/>
      <c r="G672" s="60" t="n"/>
      <c r="H672" s="13">
        <f>IF($C672="","",IFERROR(INDEX('Lists'!$G$6:$G$35,MATCH($C672,'Lists'!$F$6:$F$35,0))&amp;"","Unknown category"))</f>
        <v/>
      </c>
      <c r="I672" s="80">
        <f>IF(AND($B672="",$C672="",$E672=""),"",IF(NOT(ISNUMBER($B672)),"Enter a valid date",IF($C672="","Pick a category",IF(OR($H672="Unknown category",$H672=""),"Category has no cost type",IF(NOT(ISNUMBER($E672)),"Enter an amount","OK")))))</f>
        <v/>
      </c>
    </row>
    <row r="673" ht="17" customHeight="1">
      <c r="B673" s="66" t="n"/>
      <c r="C673" s="60" t="n"/>
      <c r="D673" s="60" t="n"/>
      <c r="E673" s="63" t="n"/>
      <c r="F673" s="60" t="n"/>
      <c r="G673" s="60" t="n"/>
      <c r="H673" s="13">
        <f>IF($C673="","",IFERROR(INDEX('Lists'!$G$6:$G$35,MATCH($C673,'Lists'!$F$6:$F$35,0))&amp;"","Unknown category"))</f>
        <v/>
      </c>
      <c r="I673" s="80">
        <f>IF(AND($B673="",$C673="",$E673=""),"",IF(NOT(ISNUMBER($B673)),"Enter a valid date",IF($C673="","Pick a category",IF(OR($H673="Unknown category",$H673=""),"Category has no cost type",IF(NOT(ISNUMBER($E673)),"Enter an amount","OK")))))</f>
        <v/>
      </c>
    </row>
    <row r="674" ht="17" customHeight="1">
      <c r="B674" s="66" t="n"/>
      <c r="C674" s="60" t="n"/>
      <c r="D674" s="60" t="n"/>
      <c r="E674" s="63" t="n"/>
      <c r="F674" s="60" t="n"/>
      <c r="G674" s="60" t="n"/>
      <c r="H674" s="13">
        <f>IF($C674="","",IFERROR(INDEX('Lists'!$G$6:$G$35,MATCH($C674,'Lists'!$F$6:$F$35,0))&amp;"","Unknown category"))</f>
        <v/>
      </c>
      <c r="I674" s="80">
        <f>IF(AND($B674="",$C674="",$E674=""),"",IF(NOT(ISNUMBER($B674)),"Enter a valid date",IF($C674="","Pick a category",IF(OR($H674="Unknown category",$H674=""),"Category has no cost type",IF(NOT(ISNUMBER($E674)),"Enter an amount","OK")))))</f>
        <v/>
      </c>
    </row>
    <row r="675" ht="17" customHeight="1">
      <c r="B675" s="66" t="n"/>
      <c r="C675" s="60" t="n"/>
      <c r="D675" s="60" t="n"/>
      <c r="E675" s="63" t="n"/>
      <c r="F675" s="60" t="n"/>
      <c r="G675" s="60" t="n"/>
      <c r="H675" s="13">
        <f>IF($C675="","",IFERROR(INDEX('Lists'!$G$6:$G$35,MATCH($C675,'Lists'!$F$6:$F$35,0))&amp;"","Unknown category"))</f>
        <v/>
      </c>
      <c r="I675" s="80">
        <f>IF(AND($B675="",$C675="",$E675=""),"",IF(NOT(ISNUMBER($B675)),"Enter a valid date",IF($C675="","Pick a category",IF(OR($H675="Unknown category",$H675=""),"Category has no cost type",IF(NOT(ISNUMBER($E675)),"Enter an amount","OK")))))</f>
        <v/>
      </c>
    </row>
    <row r="676" ht="17" customHeight="1">
      <c r="B676" s="66" t="n"/>
      <c r="C676" s="60" t="n"/>
      <c r="D676" s="60" t="n"/>
      <c r="E676" s="63" t="n"/>
      <c r="F676" s="60" t="n"/>
      <c r="G676" s="60" t="n"/>
      <c r="H676" s="13">
        <f>IF($C676="","",IFERROR(INDEX('Lists'!$G$6:$G$35,MATCH($C676,'Lists'!$F$6:$F$35,0))&amp;"","Unknown category"))</f>
        <v/>
      </c>
      <c r="I676" s="80">
        <f>IF(AND($B676="",$C676="",$E676=""),"",IF(NOT(ISNUMBER($B676)),"Enter a valid date",IF($C676="","Pick a category",IF(OR($H676="Unknown category",$H676=""),"Category has no cost type",IF(NOT(ISNUMBER($E676)),"Enter an amount","OK")))))</f>
        <v/>
      </c>
    </row>
    <row r="677" ht="17" customHeight="1">
      <c r="B677" s="66" t="n"/>
      <c r="C677" s="60" t="n"/>
      <c r="D677" s="60" t="n"/>
      <c r="E677" s="63" t="n"/>
      <c r="F677" s="60" t="n"/>
      <c r="G677" s="60" t="n"/>
      <c r="H677" s="13">
        <f>IF($C677="","",IFERROR(INDEX('Lists'!$G$6:$G$35,MATCH($C677,'Lists'!$F$6:$F$35,0))&amp;"","Unknown category"))</f>
        <v/>
      </c>
      <c r="I677" s="80">
        <f>IF(AND($B677="",$C677="",$E677=""),"",IF(NOT(ISNUMBER($B677)),"Enter a valid date",IF($C677="","Pick a category",IF(OR($H677="Unknown category",$H677=""),"Category has no cost type",IF(NOT(ISNUMBER($E677)),"Enter an amount","OK")))))</f>
        <v/>
      </c>
    </row>
    <row r="678" ht="17" customHeight="1">
      <c r="B678" s="66" t="n"/>
      <c r="C678" s="60" t="n"/>
      <c r="D678" s="60" t="n"/>
      <c r="E678" s="63" t="n"/>
      <c r="F678" s="60" t="n"/>
      <c r="G678" s="60" t="n"/>
      <c r="H678" s="13">
        <f>IF($C678="","",IFERROR(INDEX('Lists'!$G$6:$G$35,MATCH($C678,'Lists'!$F$6:$F$35,0))&amp;"","Unknown category"))</f>
        <v/>
      </c>
      <c r="I678" s="80">
        <f>IF(AND($B678="",$C678="",$E678=""),"",IF(NOT(ISNUMBER($B678)),"Enter a valid date",IF($C678="","Pick a category",IF(OR($H678="Unknown category",$H678=""),"Category has no cost type",IF(NOT(ISNUMBER($E678)),"Enter an amount","OK")))))</f>
        <v/>
      </c>
    </row>
    <row r="679" ht="17" customHeight="1">
      <c r="B679" s="66" t="n"/>
      <c r="C679" s="60" t="n"/>
      <c r="D679" s="60" t="n"/>
      <c r="E679" s="63" t="n"/>
      <c r="F679" s="60" t="n"/>
      <c r="G679" s="60" t="n"/>
      <c r="H679" s="13">
        <f>IF($C679="","",IFERROR(INDEX('Lists'!$G$6:$G$35,MATCH($C679,'Lists'!$F$6:$F$35,0))&amp;"","Unknown category"))</f>
        <v/>
      </c>
      <c r="I679" s="80">
        <f>IF(AND($B679="",$C679="",$E679=""),"",IF(NOT(ISNUMBER($B679)),"Enter a valid date",IF($C679="","Pick a category",IF(OR($H679="Unknown category",$H679=""),"Category has no cost type",IF(NOT(ISNUMBER($E679)),"Enter an amount","OK")))))</f>
        <v/>
      </c>
    </row>
    <row r="680" ht="17" customHeight="1">
      <c r="B680" s="66" t="n"/>
      <c r="C680" s="60" t="n"/>
      <c r="D680" s="60" t="n"/>
      <c r="E680" s="63" t="n"/>
      <c r="F680" s="60" t="n"/>
      <c r="G680" s="60" t="n"/>
      <c r="H680" s="13">
        <f>IF($C680="","",IFERROR(INDEX('Lists'!$G$6:$G$35,MATCH($C680,'Lists'!$F$6:$F$35,0))&amp;"","Unknown category"))</f>
        <v/>
      </c>
      <c r="I680" s="80">
        <f>IF(AND($B680="",$C680="",$E680=""),"",IF(NOT(ISNUMBER($B680)),"Enter a valid date",IF($C680="","Pick a category",IF(OR($H680="Unknown category",$H680=""),"Category has no cost type",IF(NOT(ISNUMBER($E680)),"Enter an amount","OK")))))</f>
        <v/>
      </c>
    </row>
    <row r="681" ht="17" customHeight="1">
      <c r="B681" s="66" t="n"/>
      <c r="C681" s="60" t="n"/>
      <c r="D681" s="60" t="n"/>
      <c r="E681" s="63" t="n"/>
      <c r="F681" s="60" t="n"/>
      <c r="G681" s="60" t="n"/>
      <c r="H681" s="13">
        <f>IF($C681="","",IFERROR(INDEX('Lists'!$G$6:$G$35,MATCH($C681,'Lists'!$F$6:$F$35,0))&amp;"","Unknown category"))</f>
        <v/>
      </c>
      <c r="I681" s="80">
        <f>IF(AND($B681="",$C681="",$E681=""),"",IF(NOT(ISNUMBER($B681)),"Enter a valid date",IF($C681="","Pick a category",IF(OR($H681="Unknown category",$H681=""),"Category has no cost type",IF(NOT(ISNUMBER($E681)),"Enter an amount","OK")))))</f>
        <v/>
      </c>
    </row>
    <row r="682" ht="17" customHeight="1">
      <c r="B682" s="66" t="n"/>
      <c r="C682" s="60" t="n"/>
      <c r="D682" s="60" t="n"/>
      <c r="E682" s="63" t="n"/>
      <c r="F682" s="60" t="n"/>
      <c r="G682" s="60" t="n"/>
      <c r="H682" s="13">
        <f>IF($C682="","",IFERROR(INDEX('Lists'!$G$6:$G$35,MATCH($C682,'Lists'!$F$6:$F$35,0))&amp;"","Unknown category"))</f>
        <v/>
      </c>
      <c r="I682" s="80">
        <f>IF(AND($B682="",$C682="",$E682=""),"",IF(NOT(ISNUMBER($B682)),"Enter a valid date",IF($C682="","Pick a category",IF(OR($H682="Unknown category",$H682=""),"Category has no cost type",IF(NOT(ISNUMBER($E682)),"Enter an amount","OK")))))</f>
        <v/>
      </c>
    </row>
    <row r="683" ht="17" customHeight="1">
      <c r="B683" s="66" t="n"/>
      <c r="C683" s="60" t="n"/>
      <c r="D683" s="60" t="n"/>
      <c r="E683" s="63" t="n"/>
      <c r="F683" s="60" t="n"/>
      <c r="G683" s="60" t="n"/>
      <c r="H683" s="13">
        <f>IF($C683="","",IFERROR(INDEX('Lists'!$G$6:$G$35,MATCH($C683,'Lists'!$F$6:$F$35,0))&amp;"","Unknown category"))</f>
        <v/>
      </c>
      <c r="I683" s="80">
        <f>IF(AND($B683="",$C683="",$E683=""),"",IF(NOT(ISNUMBER($B683)),"Enter a valid date",IF($C683="","Pick a category",IF(OR($H683="Unknown category",$H683=""),"Category has no cost type",IF(NOT(ISNUMBER($E683)),"Enter an amount","OK")))))</f>
        <v/>
      </c>
    </row>
    <row r="684" ht="17" customHeight="1">
      <c r="B684" s="66" t="n"/>
      <c r="C684" s="60" t="n"/>
      <c r="D684" s="60" t="n"/>
      <c r="E684" s="63" t="n"/>
      <c r="F684" s="60" t="n"/>
      <c r="G684" s="60" t="n"/>
      <c r="H684" s="13">
        <f>IF($C684="","",IFERROR(INDEX('Lists'!$G$6:$G$35,MATCH($C684,'Lists'!$F$6:$F$35,0))&amp;"","Unknown category"))</f>
        <v/>
      </c>
      <c r="I684" s="80">
        <f>IF(AND($B684="",$C684="",$E684=""),"",IF(NOT(ISNUMBER($B684)),"Enter a valid date",IF($C684="","Pick a category",IF(OR($H684="Unknown category",$H684=""),"Category has no cost type",IF(NOT(ISNUMBER($E684)),"Enter an amount","OK")))))</f>
        <v/>
      </c>
    </row>
    <row r="685" ht="17" customHeight="1">
      <c r="B685" s="66" t="n"/>
      <c r="C685" s="60" t="n"/>
      <c r="D685" s="60" t="n"/>
      <c r="E685" s="63" t="n"/>
      <c r="F685" s="60" t="n"/>
      <c r="G685" s="60" t="n"/>
      <c r="H685" s="13">
        <f>IF($C685="","",IFERROR(INDEX('Lists'!$G$6:$G$35,MATCH($C685,'Lists'!$F$6:$F$35,0))&amp;"","Unknown category"))</f>
        <v/>
      </c>
      <c r="I685" s="80">
        <f>IF(AND($B685="",$C685="",$E685=""),"",IF(NOT(ISNUMBER($B685)),"Enter a valid date",IF($C685="","Pick a category",IF(OR($H685="Unknown category",$H685=""),"Category has no cost type",IF(NOT(ISNUMBER($E685)),"Enter an amount","OK")))))</f>
        <v/>
      </c>
    </row>
    <row r="686" ht="17" customHeight="1">
      <c r="B686" s="66" t="n"/>
      <c r="C686" s="60" t="n"/>
      <c r="D686" s="60" t="n"/>
      <c r="E686" s="63" t="n"/>
      <c r="F686" s="60" t="n"/>
      <c r="G686" s="60" t="n"/>
      <c r="H686" s="13">
        <f>IF($C686="","",IFERROR(INDEX('Lists'!$G$6:$G$35,MATCH($C686,'Lists'!$F$6:$F$35,0))&amp;"","Unknown category"))</f>
        <v/>
      </c>
      <c r="I686" s="80">
        <f>IF(AND($B686="",$C686="",$E686=""),"",IF(NOT(ISNUMBER($B686)),"Enter a valid date",IF($C686="","Pick a category",IF(OR($H686="Unknown category",$H686=""),"Category has no cost type",IF(NOT(ISNUMBER($E686)),"Enter an amount","OK")))))</f>
        <v/>
      </c>
    </row>
    <row r="687" ht="17" customHeight="1">
      <c r="B687" s="66" t="n"/>
      <c r="C687" s="60" t="n"/>
      <c r="D687" s="60" t="n"/>
      <c r="E687" s="63" t="n"/>
      <c r="F687" s="60" t="n"/>
      <c r="G687" s="60" t="n"/>
      <c r="H687" s="13">
        <f>IF($C687="","",IFERROR(INDEX('Lists'!$G$6:$G$35,MATCH($C687,'Lists'!$F$6:$F$35,0))&amp;"","Unknown category"))</f>
        <v/>
      </c>
      <c r="I687" s="80">
        <f>IF(AND($B687="",$C687="",$E687=""),"",IF(NOT(ISNUMBER($B687)),"Enter a valid date",IF($C687="","Pick a category",IF(OR($H687="Unknown category",$H687=""),"Category has no cost type",IF(NOT(ISNUMBER($E687)),"Enter an amount","OK")))))</f>
        <v/>
      </c>
    </row>
    <row r="688" ht="17" customHeight="1">
      <c r="B688" s="66" t="n"/>
      <c r="C688" s="60" t="n"/>
      <c r="D688" s="60" t="n"/>
      <c r="E688" s="63" t="n"/>
      <c r="F688" s="60" t="n"/>
      <c r="G688" s="60" t="n"/>
      <c r="H688" s="13">
        <f>IF($C688="","",IFERROR(INDEX('Lists'!$G$6:$G$35,MATCH($C688,'Lists'!$F$6:$F$35,0))&amp;"","Unknown category"))</f>
        <v/>
      </c>
      <c r="I688" s="80">
        <f>IF(AND($B688="",$C688="",$E688=""),"",IF(NOT(ISNUMBER($B688)),"Enter a valid date",IF($C688="","Pick a category",IF(OR($H688="Unknown category",$H688=""),"Category has no cost type",IF(NOT(ISNUMBER($E688)),"Enter an amount","OK")))))</f>
        <v/>
      </c>
    </row>
    <row r="689" ht="17" customHeight="1">
      <c r="B689" s="66" t="n"/>
      <c r="C689" s="60" t="n"/>
      <c r="D689" s="60" t="n"/>
      <c r="E689" s="63" t="n"/>
      <c r="F689" s="60" t="n"/>
      <c r="G689" s="60" t="n"/>
      <c r="H689" s="13">
        <f>IF($C689="","",IFERROR(INDEX('Lists'!$G$6:$G$35,MATCH($C689,'Lists'!$F$6:$F$35,0))&amp;"","Unknown category"))</f>
        <v/>
      </c>
      <c r="I689" s="80">
        <f>IF(AND($B689="",$C689="",$E689=""),"",IF(NOT(ISNUMBER($B689)),"Enter a valid date",IF($C689="","Pick a category",IF(OR($H689="Unknown category",$H689=""),"Category has no cost type",IF(NOT(ISNUMBER($E689)),"Enter an amount","OK")))))</f>
        <v/>
      </c>
    </row>
    <row r="690" ht="17" customHeight="1">
      <c r="B690" s="66" t="n"/>
      <c r="C690" s="60" t="n"/>
      <c r="D690" s="60" t="n"/>
      <c r="E690" s="63" t="n"/>
      <c r="F690" s="60" t="n"/>
      <c r="G690" s="60" t="n"/>
      <c r="H690" s="13">
        <f>IF($C690="","",IFERROR(INDEX('Lists'!$G$6:$G$35,MATCH($C690,'Lists'!$F$6:$F$35,0))&amp;"","Unknown category"))</f>
        <v/>
      </c>
      <c r="I690" s="80">
        <f>IF(AND($B690="",$C690="",$E690=""),"",IF(NOT(ISNUMBER($B690)),"Enter a valid date",IF($C690="","Pick a category",IF(OR($H690="Unknown category",$H690=""),"Category has no cost type",IF(NOT(ISNUMBER($E690)),"Enter an amount","OK")))))</f>
        <v/>
      </c>
    </row>
    <row r="691" ht="17" customHeight="1">
      <c r="B691" s="66" t="n"/>
      <c r="C691" s="60" t="n"/>
      <c r="D691" s="60" t="n"/>
      <c r="E691" s="63" t="n"/>
      <c r="F691" s="60" t="n"/>
      <c r="G691" s="60" t="n"/>
      <c r="H691" s="13">
        <f>IF($C691="","",IFERROR(INDEX('Lists'!$G$6:$G$35,MATCH($C691,'Lists'!$F$6:$F$35,0))&amp;"","Unknown category"))</f>
        <v/>
      </c>
      <c r="I691" s="80">
        <f>IF(AND($B691="",$C691="",$E691=""),"",IF(NOT(ISNUMBER($B691)),"Enter a valid date",IF($C691="","Pick a category",IF(OR($H691="Unknown category",$H691=""),"Category has no cost type",IF(NOT(ISNUMBER($E691)),"Enter an amount","OK")))))</f>
        <v/>
      </c>
    </row>
    <row r="692" ht="17" customHeight="1">
      <c r="B692" s="66" t="n"/>
      <c r="C692" s="60" t="n"/>
      <c r="D692" s="60" t="n"/>
      <c r="E692" s="63" t="n"/>
      <c r="F692" s="60" t="n"/>
      <c r="G692" s="60" t="n"/>
      <c r="H692" s="13">
        <f>IF($C692="","",IFERROR(INDEX('Lists'!$G$6:$G$35,MATCH($C692,'Lists'!$F$6:$F$35,0))&amp;"","Unknown category"))</f>
        <v/>
      </c>
      <c r="I692" s="80">
        <f>IF(AND($B692="",$C692="",$E692=""),"",IF(NOT(ISNUMBER($B692)),"Enter a valid date",IF($C692="","Pick a category",IF(OR($H692="Unknown category",$H692=""),"Category has no cost type",IF(NOT(ISNUMBER($E692)),"Enter an amount","OK")))))</f>
        <v/>
      </c>
    </row>
    <row r="693" ht="17" customHeight="1">
      <c r="B693" s="66" t="n"/>
      <c r="C693" s="60" t="n"/>
      <c r="D693" s="60" t="n"/>
      <c r="E693" s="63" t="n"/>
      <c r="F693" s="60" t="n"/>
      <c r="G693" s="60" t="n"/>
      <c r="H693" s="13">
        <f>IF($C693="","",IFERROR(INDEX('Lists'!$G$6:$G$35,MATCH($C693,'Lists'!$F$6:$F$35,0))&amp;"","Unknown category"))</f>
        <v/>
      </c>
      <c r="I693" s="80">
        <f>IF(AND($B693="",$C693="",$E693=""),"",IF(NOT(ISNUMBER($B693)),"Enter a valid date",IF($C693="","Pick a category",IF(OR($H693="Unknown category",$H693=""),"Category has no cost type",IF(NOT(ISNUMBER($E693)),"Enter an amount","OK")))))</f>
        <v/>
      </c>
    </row>
    <row r="694" ht="17" customHeight="1">
      <c r="B694" s="66" t="n"/>
      <c r="C694" s="60" t="n"/>
      <c r="D694" s="60" t="n"/>
      <c r="E694" s="63" t="n"/>
      <c r="F694" s="60" t="n"/>
      <c r="G694" s="60" t="n"/>
      <c r="H694" s="13">
        <f>IF($C694="","",IFERROR(INDEX('Lists'!$G$6:$G$35,MATCH($C694,'Lists'!$F$6:$F$35,0))&amp;"","Unknown category"))</f>
        <v/>
      </c>
      <c r="I694" s="80">
        <f>IF(AND($B694="",$C694="",$E694=""),"",IF(NOT(ISNUMBER($B694)),"Enter a valid date",IF($C694="","Pick a category",IF(OR($H694="Unknown category",$H694=""),"Category has no cost type",IF(NOT(ISNUMBER($E694)),"Enter an amount","OK")))))</f>
        <v/>
      </c>
    </row>
    <row r="695" ht="17" customHeight="1">
      <c r="B695" s="66" t="n"/>
      <c r="C695" s="60" t="n"/>
      <c r="D695" s="60" t="n"/>
      <c r="E695" s="63" t="n"/>
      <c r="F695" s="60" t="n"/>
      <c r="G695" s="60" t="n"/>
      <c r="H695" s="13">
        <f>IF($C695="","",IFERROR(INDEX('Lists'!$G$6:$G$35,MATCH($C695,'Lists'!$F$6:$F$35,0))&amp;"","Unknown category"))</f>
        <v/>
      </c>
      <c r="I695" s="80">
        <f>IF(AND($B695="",$C695="",$E695=""),"",IF(NOT(ISNUMBER($B695)),"Enter a valid date",IF($C695="","Pick a category",IF(OR($H695="Unknown category",$H695=""),"Category has no cost type",IF(NOT(ISNUMBER($E695)),"Enter an amount","OK")))))</f>
        <v/>
      </c>
    </row>
    <row r="696" ht="17" customHeight="1">
      <c r="B696" s="66" t="n"/>
      <c r="C696" s="60" t="n"/>
      <c r="D696" s="60" t="n"/>
      <c r="E696" s="63" t="n"/>
      <c r="F696" s="60" t="n"/>
      <c r="G696" s="60" t="n"/>
      <c r="H696" s="13">
        <f>IF($C696="","",IFERROR(INDEX('Lists'!$G$6:$G$35,MATCH($C696,'Lists'!$F$6:$F$35,0))&amp;"","Unknown category"))</f>
        <v/>
      </c>
      <c r="I696" s="80">
        <f>IF(AND($B696="",$C696="",$E696=""),"",IF(NOT(ISNUMBER($B696)),"Enter a valid date",IF($C696="","Pick a category",IF(OR($H696="Unknown category",$H696=""),"Category has no cost type",IF(NOT(ISNUMBER($E696)),"Enter an amount","OK")))))</f>
        <v/>
      </c>
    </row>
    <row r="697" ht="17" customHeight="1">
      <c r="B697" s="66" t="n"/>
      <c r="C697" s="60" t="n"/>
      <c r="D697" s="60" t="n"/>
      <c r="E697" s="63" t="n"/>
      <c r="F697" s="60" t="n"/>
      <c r="G697" s="60" t="n"/>
      <c r="H697" s="13">
        <f>IF($C697="","",IFERROR(INDEX('Lists'!$G$6:$G$35,MATCH($C697,'Lists'!$F$6:$F$35,0))&amp;"","Unknown category"))</f>
        <v/>
      </c>
      <c r="I697" s="80">
        <f>IF(AND($B697="",$C697="",$E697=""),"",IF(NOT(ISNUMBER($B697)),"Enter a valid date",IF($C697="","Pick a category",IF(OR($H697="Unknown category",$H697=""),"Category has no cost type",IF(NOT(ISNUMBER($E697)),"Enter an amount","OK")))))</f>
        <v/>
      </c>
    </row>
    <row r="698" ht="17" customHeight="1">
      <c r="B698" s="66" t="n"/>
      <c r="C698" s="60" t="n"/>
      <c r="D698" s="60" t="n"/>
      <c r="E698" s="63" t="n"/>
      <c r="F698" s="60" t="n"/>
      <c r="G698" s="60" t="n"/>
      <c r="H698" s="13">
        <f>IF($C698="","",IFERROR(INDEX('Lists'!$G$6:$G$35,MATCH($C698,'Lists'!$F$6:$F$35,0))&amp;"","Unknown category"))</f>
        <v/>
      </c>
      <c r="I698" s="80">
        <f>IF(AND($B698="",$C698="",$E698=""),"",IF(NOT(ISNUMBER($B698)),"Enter a valid date",IF($C698="","Pick a category",IF(OR($H698="Unknown category",$H698=""),"Category has no cost type",IF(NOT(ISNUMBER($E698)),"Enter an amount","OK")))))</f>
        <v/>
      </c>
    </row>
    <row r="699" ht="17" customHeight="1">
      <c r="B699" s="66" t="n"/>
      <c r="C699" s="60" t="n"/>
      <c r="D699" s="60" t="n"/>
      <c r="E699" s="63" t="n"/>
      <c r="F699" s="60" t="n"/>
      <c r="G699" s="60" t="n"/>
      <c r="H699" s="13">
        <f>IF($C699="","",IFERROR(INDEX('Lists'!$G$6:$G$35,MATCH($C699,'Lists'!$F$6:$F$35,0))&amp;"","Unknown category"))</f>
        <v/>
      </c>
      <c r="I699" s="80">
        <f>IF(AND($B699="",$C699="",$E699=""),"",IF(NOT(ISNUMBER($B699)),"Enter a valid date",IF($C699="","Pick a category",IF(OR($H699="Unknown category",$H699=""),"Category has no cost type",IF(NOT(ISNUMBER($E699)),"Enter an amount","OK")))))</f>
        <v/>
      </c>
    </row>
    <row r="700" ht="17" customHeight="1">
      <c r="B700" s="66" t="n"/>
      <c r="C700" s="60" t="n"/>
      <c r="D700" s="60" t="n"/>
      <c r="E700" s="63" t="n"/>
      <c r="F700" s="60" t="n"/>
      <c r="G700" s="60" t="n"/>
      <c r="H700" s="13">
        <f>IF($C700="","",IFERROR(INDEX('Lists'!$G$6:$G$35,MATCH($C700,'Lists'!$F$6:$F$35,0))&amp;"","Unknown category"))</f>
        <v/>
      </c>
      <c r="I700" s="80">
        <f>IF(AND($B700="",$C700="",$E700=""),"",IF(NOT(ISNUMBER($B700)),"Enter a valid date",IF($C700="","Pick a category",IF(OR($H700="Unknown category",$H700=""),"Category has no cost type",IF(NOT(ISNUMBER($E700)),"Enter an amount","OK")))))</f>
        <v/>
      </c>
    </row>
    <row r="701" ht="17" customHeight="1">
      <c r="B701" s="66" t="n"/>
      <c r="C701" s="60" t="n"/>
      <c r="D701" s="60" t="n"/>
      <c r="E701" s="63" t="n"/>
      <c r="F701" s="60" t="n"/>
      <c r="G701" s="60" t="n"/>
      <c r="H701" s="13">
        <f>IF($C701="","",IFERROR(INDEX('Lists'!$G$6:$G$35,MATCH($C701,'Lists'!$F$6:$F$35,0))&amp;"","Unknown category"))</f>
        <v/>
      </c>
      <c r="I701" s="80">
        <f>IF(AND($B701="",$C701="",$E701=""),"",IF(NOT(ISNUMBER($B701)),"Enter a valid date",IF($C701="","Pick a category",IF(OR($H701="Unknown category",$H701=""),"Category has no cost type",IF(NOT(ISNUMBER($E701)),"Enter an amount","OK")))))</f>
        <v/>
      </c>
    </row>
    <row r="702" ht="17" customHeight="1">
      <c r="B702" s="66" t="n"/>
      <c r="C702" s="60" t="n"/>
      <c r="D702" s="60" t="n"/>
      <c r="E702" s="63" t="n"/>
      <c r="F702" s="60" t="n"/>
      <c r="G702" s="60" t="n"/>
      <c r="H702" s="13">
        <f>IF($C702="","",IFERROR(INDEX('Lists'!$G$6:$G$35,MATCH($C702,'Lists'!$F$6:$F$35,0))&amp;"","Unknown category"))</f>
        <v/>
      </c>
      <c r="I702" s="80">
        <f>IF(AND($B702="",$C702="",$E702=""),"",IF(NOT(ISNUMBER($B702)),"Enter a valid date",IF($C702="","Pick a category",IF(OR($H702="Unknown category",$H702=""),"Category has no cost type",IF(NOT(ISNUMBER($E702)),"Enter an amount","OK")))))</f>
        <v/>
      </c>
    </row>
    <row r="703" ht="17" customHeight="1">
      <c r="B703" s="66" t="n"/>
      <c r="C703" s="60" t="n"/>
      <c r="D703" s="60" t="n"/>
      <c r="E703" s="63" t="n"/>
      <c r="F703" s="60" t="n"/>
      <c r="G703" s="60" t="n"/>
      <c r="H703" s="13">
        <f>IF($C703="","",IFERROR(INDEX('Lists'!$G$6:$G$35,MATCH($C703,'Lists'!$F$6:$F$35,0))&amp;"","Unknown category"))</f>
        <v/>
      </c>
      <c r="I703" s="80">
        <f>IF(AND($B703="",$C703="",$E703=""),"",IF(NOT(ISNUMBER($B703)),"Enter a valid date",IF($C703="","Pick a category",IF(OR($H703="Unknown category",$H703=""),"Category has no cost type",IF(NOT(ISNUMBER($E703)),"Enter an amount","OK")))))</f>
        <v/>
      </c>
    </row>
    <row r="704" ht="17" customHeight="1">
      <c r="B704" s="66" t="n"/>
      <c r="C704" s="60" t="n"/>
      <c r="D704" s="60" t="n"/>
      <c r="E704" s="63" t="n"/>
      <c r="F704" s="60" t="n"/>
      <c r="G704" s="60" t="n"/>
      <c r="H704" s="13">
        <f>IF($C704="","",IFERROR(INDEX('Lists'!$G$6:$G$35,MATCH($C704,'Lists'!$F$6:$F$35,0))&amp;"","Unknown category"))</f>
        <v/>
      </c>
      <c r="I704" s="80">
        <f>IF(AND($B704="",$C704="",$E704=""),"",IF(NOT(ISNUMBER($B704)),"Enter a valid date",IF($C704="","Pick a category",IF(OR($H704="Unknown category",$H704=""),"Category has no cost type",IF(NOT(ISNUMBER($E704)),"Enter an amount","OK")))))</f>
        <v/>
      </c>
    </row>
    <row r="705" ht="17" customHeight="1">
      <c r="B705" s="66" t="n"/>
      <c r="C705" s="60" t="n"/>
      <c r="D705" s="60" t="n"/>
      <c r="E705" s="63" t="n"/>
      <c r="F705" s="60" t="n"/>
      <c r="G705" s="60" t="n"/>
      <c r="H705" s="13">
        <f>IF($C705="","",IFERROR(INDEX('Lists'!$G$6:$G$35,MATCH($C705,'Lists'!$F$6:$F$35,0))&amp;"","Unknown category"))</f>
        <v/>
      </c>
      <c r="I705" s="80">
        <f>IF(AND($B705="",$C705="",$E705=""),"",IF(NOT(ISNUMBER($B705)),"Enter a valid date",IF($C705="","Pick a category",IF(OR($H705="Unknown category",$H705=""),"Category has no cost type",IF(NOT(ISNUMBER($E705)),"Enter an amount","OK")))))</f>
        <v/>
      </c>
    </row>
    <row r="706" ht="17" customHeight="1">
      <c r="B706" s="66" t="n"/>
      <c r="C706" s="60" t="n"/>
      <c r="D706" s="60" t="n"/>
      <c r="E706" s="63" t="n"/>
      <c r="F706" s="60" t="n"/>
      <c r="G706" s="60" t="n"/>
      <c r="H706" s="13">
        <f>IF($C706="","",IFERROR(INDEX('Lists'!$G$6:$G$35,MATCH($C706,'Lists'!$F$6:$F$35,0))&amp;"","Unknown category"))</f>
        <v/>
      </c>
      <c r="I706" s="80">
        <f>IF(AND($B706="",$C706="",$E706=""),"",IF(NOT(ISNUMBER($B706)),"Enter a valid date",IF($C706="","Pick a category",IF(OR($H706="Unknown category",$H706=""),"Category has no cost type",IF(NOT(ISNUMBER($E706)),"Enter an amount","OK")))))</f>
        <v/>
      </c>
    </row>
    <row r="707" ht="17" customHeight="1">
      <c r="B707" s="66" t="n"/>
      <c r="C707" s="60" t="n"/>
      <c r="D707" s="60" t="n"/>
      <c r="E707" s="63" t="n"/>
      <c r="F707" s="60" t="n"/>
      <c r="G707" s="60" t="n"/>
      <c r="H707" s="13">
        <f>IF($C707="","",IFERROR(INDEX('Lists'!$G$6:$G$35,MATCH($C707,'Lists'!$F$6:$F$35,0))&amp;"","Unknown category"))</f>
        <v/>
      </c>
      <c r="I707" s="80">
        <f>IF(AND($B707="",$C707="",$E707=""),"",IF(NOT(ISNUMBER($B707)),"Enter a valid date",IF($C707="","Pick a category",IF(OR($H707="Unknown category",$H707=""),"Category has no cost type",IF(NOT(ISNUMBER($E707)),"Enter an amount","OK")))))</f>
        <v/>
      </c>
    </row>
    <row r="708" ht="17" customHeight="1">
      <c r="B708" s="66" t="n"/>
      <c r="C708" s="60" t="n"/>
      <c r="D708" s="60" t="n"/>
      <c r="E708" s="63" t="n"/>
      <c r="F708" s="60" t="n"/>
      <c r="G708" s="60" t="n"/>
      <c r="H708" s="13">
        <f>IF($C708="","",IFERROR(INDEX('Lists'!$G$6:$G$35,MATCH($C708,'Lists'!$F$6:$F$35,0))&amp;"","Unknown category"))</f>
        <v/>
      </c>
      <c r="I708" s="80">
        <f>IF(AND($B708="",$C708="",$E708=""),"",IF(NOT(ISNUMBER($B708)),"Enter a valid date",IF($C708="","Pick a category",IF(OR($H708="Unknown category",$H708=""),"Category has no cost type",IF(NOT(ISNUMBER($E708)),"Enter an amount","OK")))))</f>
        <v/>
      </c>
    </row>
    <row r="709" ht="17" customHeight="1">
      <c r="B709" s="66" t="n"/>
      <c r="C709" s="60" t="n"/>
      <c r="D709" s="60" t="n"/>
      <c r="E709" s="63" t="n"/>
      <c r="F709" s="60" t="n"/>
      <c r="G709" s="60" t="n"/>
      <c r="H709" s="13">
        <f>IF($C709="","",IFERROR(INDEX('Lists'!$G$6:$G$35,MATCH($C709,'Lists'!$F$6:$F$35,0))&amp;"","Unknown category"))</f>
        <v/>
      </c>
      <c r="I709" s="80">
        <f>IF(AND($B709="",$C709="",$E709=""),"",IF(NOT(ISNUMBER($B709)),"Enter a valid date",IF($C709="","Pick a category",IF(OR($H709="Unknown category",$H709=""),"Category has no cost type",IF(NOT(ISNUMBER($E709)),"Enter an amount","OK")))))</f>
        <v/>
      </c>
    </row>
    <row r="710" ht="17" customHeight="1">
      <c r="B710" s="66" t="n"/>
      <c r="C710" s="60" t="n"/>
      <c r="D710" s="60" t="n"/>
      <c r="E710" s="63" t="n"/>
      <c r="F710" s="60" t="n"/>
      <c r="G710" s="60" t="n"/>
      <c r="H710" s="13">
        <f>IF($C710="","",IFERROR(INDEX('Lists'!$G$6:$G$35,MATCH($C710,'Lists'!$F$6:$F$35,0))&amp;"","Unknown category"))</f>
        <v/>
      </c>
      <c r="I710" s="80">
        <f>IF(AND($B710="",$C710="",$E710=""),"",IF(NOT(ISNUMBER($B710)),"Enter a valid date",IF($C710="","Pick a category",IF(OR($H710="Unknown category",$H710=""),"Category has no cost type",IF(NOT(ISNUMBER($E710)),"Enter an amount","OK")))))</f>
        <v/>
      </c>
    </row>
    <row r="711" ht="17" customHeight="1">
      <c r="B711" s="66" t="n"/>
      <c r="C711" s="60" t="n"/>
      <c r="D711" s="60" t="n"/>
      <c r="E711" s="63" t="n"/>
      <c r="F711" s="60" t="n"/>
      <c r="G711" s="60" t="n"/>
      <c r="H711" s="13">
        <f>IF($C711="","",IFERROR(INDEX('Lists'!$G$6:$G$35,MATCH($C711,'Lists'!$F$6:$F$35,0))&amp;"","Unknown category"))</f>
        <v/>
      </c>
      <c r="I711" s="80">
        <f>IF(AND($B711="",$C711="",$E711=""),"",IF(NOT(ISNUMBER($B711)),"Enter a valid date",IF($C711="","Pick a category",IF(OR($H711="Unknown category",$H711=""),"Category has no cost type",IF(NOT(ISNUMBER($E711)),"Enter an amount","OK")))))</f>
        <v/>
      </c>
    </row>
    <row r="712" ht="17" customHeight="1">
      <c r="B712" s="66" t="n"/>
      <c r="C712" s="60" t="n"/>
      <c r="D712" s="60" t="n"/>
      <c r="E712" s="63" t="n"/>
      <c r="F712" s="60" t="n"/>
      <c r="G712" s="60" t="n"/>
      <c r="H712" s="13">
        <f>IF($C712="","",IFERROR(INDEX('Lists'!$G$6:$G$35,MATCH($C712,'Lists'!$F$6:$F$35,0))&amp;"","Unknown category"))</f>
        <v/>
      </c>
      <c r="I712" s="80">
        <f>IF(AND($B712="",$C712="",$E712=""),"",IF(NOT(ISNUMBER($B712)),"Enter a valid date",IF($C712="","Pick a category",IF(OR($H712="Unknown category",$H712=""),"Category has no cost type",IF(NOT(ISNUMBER($E712)),"Enter an amount","OK")))))</f>
        <v/>
      </c>
    </row>
    <row r="713" ht="17" customHeight="1">
      <c r="B713" s="66" t="n"/>
      <c r="C713" s="60" t="n"/>
      <c r="D713" s="60" t="n"/>
      <c r="E713" s="63" t="n"/>
      <c r="F713" s="60" t="n"/>
      <c r="G713" s="60" t="n"/>
      <c r="H713" s="13">
        <f>IF($C713="","",IFERROR(INDEX('Lists'!$G$6:$G$35,MATCH($C713,'Lists'!$F$6:$F$35,0))&amp;"","Unknown category"))</f>
        <v/>
      </c>
      <c r="I713" s="80">
        <f>IF(AND($B713="",$C713="",$E713=""),"",IF(NOT(ISNUMBER($B713)),"Enter a valid date",IF($C713="","Pick a category",IF(OR($H713="Unknown category",$H713=""),"Category has no cost type",IF(NOT(ISNUMBER($E713)),"Enter an amount","OK")))))</f>
        <v/>
      </c>
    </row>
    <row r="714" ht="17" customHeight="1">
      <c r="B714" s="66" t="n"/>
      <c r="C714" s="60" t="n"/>
      <c r="D714" s="60" t="n"/>
      <c r="E714" s="63" t="n"/>
      <c r="F714" s="60" t="n"/>
      <c r="G714" s="60" t="n"/>
      <c r="H714" s="13">
        <f>IF($C714="","",IFERROR(INDEX('Lists'!$G$6:$G$35,MATCH($C714,'Lists'!$F$6:$F$35,0))&amp;"","Unknown category"))</f>
        <v/>
      </c>
      <c r="I714" s="80">
        <f>IF(AND($B714="",$C714="",$E714=""),"",IF(NOT(ISNUMBER($B714)),"Enter a valid date",IF($C714="","Pick a category",IF(OR($H714="Unknown category",$H714=""),"Category has no cost type",IF(NOT(ISNUMBER($E714)),"Enter an amount","OK")))))</f>
        <v/>
      </c>
    </row>
    <row r="715" ht="17" customHeight="1">
      <c r="B715" s="66" t="n"/>
      <c r="C715" s="60" t="n"/>
      <c r="D715" s="60" t="n"/>
      <c r="E715" s="63" t="n"/>
      <c r="F715" s="60" t="n"/>
      <c r="G715" s="60" t="n"/>
      <c r="H715" s="13">
        <f>IF($C715="","",IFERROR(INDEX('Lists'!$G$6:$G$35,MATCH($C715,'Lists'!$F$6:$F$35,0))&amp;"","Unknown category"))</f>
        <v/>
      </c>
      <c r="I715" s="80">
        <f>IF(AND($B715="",$C715="",$E715=""),"",IF(NOT(ISNUMBER($B715)),"Enter a valid date",IF($C715="","Pick a category",IF(OR($H715="Unknown category",$H715=""),"Category has no cost type",IF(NOT(ISNUMBER($E715)),"Enter an amount","OK")))))</f>
        <v/>
      </c>
    </row>
    <row r="716" ht="17" customHeight="1">
      <c r="B716" s="66" t="n"/>
      <c r="C716" s="60" t="n"/>
      <c r="D716" s="60" t="n"/>
      <c r="E716" s="63" t="n"/>
      <c r="F716" s="60" t="n"/>
      <c r="G716" s="60" t="n"/>
      <c r="H716" s="13">
        <f>IF($C716="","",IFERROR(INDEX('Lists'!$G$6:$G$35,MATCH($C716,'Lists'!$F$6:$F$35,0))&amp;"","Unknown category"))</f>
        <v/>
      </c>
      <c r="I716" s="80">
        <f>IF(AND($B716="",$C716="",$E716=""),"",IF(NOT(ISNUMBER($B716)),"Enter a valid date",IF($C716="","Pick a category",IF(OR($H716="Unknown category",$H716=""),"Category has no cost type",IF(NOT(ISNUMBER($E716)),"Enter an amount","OK")))))</f>
        <v/>
      </c>
    </row>
    <row r="717" ht="17" customHeight="1">
      <c r="B717" s="66" t="n"/>
      <c r="C717" s="60" t="n"/>
      <c r="D717" s="60" t="n"/>
      <c r="E717" s="63" t="n"/>
      <c r="F717" s="60" t="n"/>
      <c r="G717" s="60" t="n"/>
      <c r="H717" s="13">
        <f>IF($C717="","",IFERROR(INDEX('Lists'!$G$6:$G$35,MATCH($C717,'Lists'!$F$6:$F$35,0))&amp;"","Unknown category"))</f>
        <v/>
      </c>
      <c r="I717" s="80">
        <f>IF(AND($B717="",$C717="",$E717=""),"",IF(NOT(ISNUMBER($B717)),"Enter a valid date",IF($C717="","Pick a category",IF(OR($H717="Unknown category",$H717=""),"Category has no cost type",IF(NOT(ISNUMBER($E717)),"Enter an amount","OK")))))</f>
        <v/>
      </c>
    </row>
    <row r="718" ht="17" customHeight="1">
      <c r="B718" s="66" t="n"/>
      <c r="C718" s="60" t="n"/>
      <c r="D718" s="60" t="n"/>
      <c r="E718" s="63" t="n"/>
      <c r="F718" s="60" t="n"/>
      <c r="G718" s="60" t="n"/>
      <c r="H718" s="13">
        <f>IF($C718="","",IFERROR(INDEX('Lists'!$G$6:$G$35,MATCH($C718,'Lists'!$F$6:$F$35,0))&amp;"","Unknown category"))</f>
        <v/>
      </c>
      <c r="I718" s="80">
        <f>IF(AND($B718="",$C718="",$E718=""),"",IF(NOT(ISNUMBER($B718)),"Enter a valid date",IF($C718="","Pick a category",IF(OR($H718="Unknown category",$H718=""),"Category has no cost type",IF(NOT(ISNUMBER($E718)),"Enter an amount","OK")))))</f>
        <v/>
      </c>
    </row>
    <row r="719" ht="17" customHeight="1">
      <c r="B719" s="66" t="n"/>
      <c r="C719" s="60" t="n"/>
      <c r="D719" s="60" t="n"/>
      <c r="E719" s="63" t="n"/>
      <c r="F719" s="60" t="n"/>
      <c r="G719" s="60" t="n"/>
      <c r="H719" s="13">
        <f>IF($C719="","",IFERROR(INDEX('Lists'!$G$6:$G$35,MATCH($C719,'Lists'!$F$6:$F$35,0))&amp;"","Unknown category"))</f>
        <v/>
      </c>
      <c r="I719" s="80">
        <f>IF(AND($B719="",$C719="",$E719=""),"",IF(NOT(ISNUMBER($B719)),"Enter a valid date",IF($C719="","Pick a category",IF(OR($H719="Unknown category",$H719=""),"Category has no cost type",IF(NOT(ISNUMBER($E719)),"Enter an amount","OK")))))</f>
        <v/>
      </c>
    </row>
    <row r="720" ht="17" customHeight="1">
      <c r="B720" s="66" t="n"/>
      <c r="C720" s="60" t="n"/>
      <c r="D720" s="60" t="n"/>
      <c r="E720" s="63" t="n"/>
      <c r="F720" s="60" t="n"/>
      <c r="G720" s="60" t="n"/>
      <c r="H720" s="13">
        <f>IF($C720="","",IFERROR(INDEX('Lists'!$G$6:$G$35,MATCH($C720,'Lists'!$F$6:$F$35,0))&amp;"","Unknown category"))</f>
        <v/>
      </c>
      <c r="I720" s="80">
        <f>IF(AND($B720="",$C720="",$E720=""),"",IF(NOT(ISNUMBER($B720)),"Enter a valid date",IF($C720="","Pick a category",IF(OR($H720="Unknown category",$H720=""),"Category has no cost type",IF(NOT(ISNUMBER($E720)),"Enter an amount","OK")))))</f>
        <v/>
      </c>
    </row>
    <row r="721" ht="17" customHeight="1">
      <c r="B721" s="66" t="n"/>
      <c r="C721" s="60" t="n"/>
      <c r="D721" s="60" t="n"/>
      <c r="E721" s="63" t="n"/>
      <c r="F721" s="60" t="n"/>
      <c r="G721" s="60" t="n"/>
      <c r="H721" s="13">
        <f>IF($C721="","",IFERROR(INDEX('Lists'!$G$6:$G$35,MATCH($C721,'Lists'!$F$6:$F$35,0))&amp;"","Unknown category"))</f>
        <v/>
      </c>
      <c r="I721" s="80">
        <f>IF(AND($B721="",$C721="",$E721=""),"",IF(NOT(ISNUMBER($B721)),"Enter a valid date",IF($C721="","Pick a category",IF(OR($H721="Unknown category",$H721=""),"Category has no cost type",IF(NOT(ISNUMBER($E721)),"Enter an amount","OK")))))</f>
        <v/>
      </c>
    </row>
    <row r="722" ht="17" customHeight="1">
      <c r="B722" s="66" t="n"/>
      <c r="C722" s="60" t="n"/>
      <c r="D722" s="60" t="n"/>
      <c r="E722" s="63" t="n"/>
      <c r="F722" s="60" t="n"/>
      <c r="G722" s="60" t="n"/>
      <c r="H722" s="13">
        <f>IF($C722="","",IFERROR(INDEX('Lists'!$G$6:$G$35,MATCH($C722,'Lists'!$F$6:$F$35,0))&amp;"","Unknown category"))</f>
        <v/>
      </c>
      <c r="I722" s="80">
        <f>IF(AND($B722="",$C722="",$E722=""),"",IF(NOT(ISNUMBER($B722)),"Enter a valid date",IF($C722="","Pick a category",IF(OR($H722="Unknown category",$H722=""),"Category has no cost type",IF(NOT(ISNUMBER($E722)),"Enter an amount","OK")))))</f>
        <v/>
      </c>
    </row>
    <row r="723" ht="17" customHeight="1">
      <c r="B723" s="66" t="n"/>
      <c r="C723" s="60" t="n"/>
      <c r="D723" s="60" t="n"/>
      <c r="E723" s="63" t="n"/>
      <c r="F723" s="60" t="n"/>
      <c r="G723" s="60" t="n"/>
      <c r="H723" s="13">
        <f>IF($C723="","",IFERROR(INDEX('Lists'!$G$6:$G$35,MATCH($C723,'Lists'!$F$6:$F$35,0))&amp;"","Unknown category"))</f>
        <v/>
      </c>
      <c r="I723" s="80">
        <f>IF(AND($B723="",$C723="",$E723=""),"",IF(NOT(ISNUMBER($B723)),"Enter a valid date",IF($C723="","Pick a category",IF(OR($H723="Unknown category",$H723=""),"Category has no cost type",IF(NOT(ISNUMBER($E723)),"Enter an amount","OK")))))</f>
        <v/>
      </c>
    </row>
    <row r="724" ht="17" customHeight="1">
      <c r="B724" s="66" t="n"/>
      <c r="C724" s="60" t="n"/>
      <c r="D724" s="60" t="n"/>
      <c r="E724" s="63" t="n"/>
      <c r="F724" s="60" t="n"/>
      <c r="G724" s="60" t="n"/>
      <c r="H724" s="13">
        <f>IF($C724="","",IFERROR(INDEX('Lists'!$G$6:$G$35,MATCH($C724,'Lists'!$F$6:$F$35,0))&amp;"","Unknown category"))</f>
        <v/>
      </c>
      <c r="I724" s="80">
        <f>IF(AND($B724="",$C724="",$E724=""),"",IF(NOT(ISNUMBER($B724)),"Enter a valid date",IF($C724="","Pick a category",IF(OR($H724="Unknown category",$H724=""),"Category has no cost type",IF(NOT(ISNUMBER($E724)),"Enter an amount","OK")))))</f>
        <v/>
      </c>
    </row>
    <row r="725" ht="17" customHeight="1">
      <c r="B725" s="66" t="n"/>
      <c r="C725" s="60" t="n"/>
      <c r="D725" s="60" t="n"/>
      <c r="E725" s="63" t="n"/>
      <c r="F725" s="60" t="n"/>
      <c r="G725" s="60" t="n"/>
      <c r="H725" s="13">
        <f>IF($C725="","",IFERROR(INDEX('Lists'!$G$6:$G$35,MATCH($C725,'Lists'!$F$6:$F$35,0))&amp;"","Unknown category"))</f>
        <v/>
      </c>
      <c r="I725" s="80">
        <f>IF(AND($B725="",$C725="",$E725=""),"",IF(NOT(ISNUMBER($B725)),"Enter a valid date",IF($C725="","Pick a category",IF(OR($H725="Unknown category",$H725=""),"Category has no cost type",IF(NOT(ISNUMBER($E725)),"Enter an amount","OK")))))</f>
        <v/>
      </c>
    </row>
    <row r="726" ht="17" customHeight="1">
      <c r="B726" s="66" t="n"/>
      <c r="C726" s="60" t="n"/>
      <c r="D726" s="60" t="n"/>
      <c r="E726" s="63" t="n"/>
      <c r="F726" s="60" t="n"/>
      <c r="G726" s="60" t="n"/>
      <c r="H726" s="13">
        <f>IF($C726="","",IFERROR(INDEX('Lists'!$G$6:$G$35,MATCH($C726,'Lists'!$F$6:$F$35,0))&amp;"","Unknown category"))</f>
        <v/>
      </c>
      <c r="I726" s="80">
        <f>IF(AND($B726="",$C726="",$E726=""),"",IF(NOT(ISNUMBER($B726)),"Enter a valid date",IF($C726="","Pick a category",IF(OR($H726="Unknown category",$H726=""),"Category has no cost type",IF(NOT(ISNUMBER($E726)),"Enter an amount","OK")))))</f>
        <v/>
      </c>
    </row>
    <row r="727" ht="17" customHeight="1">
      <c r="B727" s="66" t="n"/>
      <c r="C727" s="60" t="n"/>
      <c r="D727" s="60" t="n"/>
      <c r="E727" s="63" t="n"/>
      <c r="F727" s="60" t="n"/>
      <c r="G727" s="60" t="n"/>
      <c r="H727" s="13">
        <f>IF($C727="","",IFERROR(INDEX('Lists'!$G$6:$G$35,MATCH($C727,'Lists'!$F$6:$F$35,0))&amp;"","Unknown category"))</f>
        <v/>
      </c>
      <c r="I727" s="80">
        <f>IF(AND($B727="",$C727="",$E727=""),"",IF(NOT(ISNUMBER($B727)),"Enter a valid date",IF($C727="","Pick a category",IF(OR($H727="Unknown category",$H727=""),"Category has no cost type",IF(NOT(ISNUMBER($E727)),"Enter an amount","OK")))))</f>
        <v/>
      </c>
    </row>
    <row r="728" ht="17" customHeight="1">
      <c r="B728" s="66" t="n"/>
      <c r="C728" s="60" t="n"/>
      <c r="D728" s="60" t="n"/>
      <c r="E728" s="63" t="n"/>
      <c r="F728" s="60" t="n"/>
      <c r="G728" s="60" t="n"/>
      <c r="H728" s="13">
        <f>IF($C728="","",IFERROR(INDEX('Lists'!$G$6:$G$35,MATCH($C728,'Lists'!$F$6:$F$35,0))&amp;"","Unknown category"))</f>
        <v/>
      </c>
      <c r="I728" s="80">
        <f>IF(AND($B728="",$C728="",$E728=""),"",IF(NOT(ISNUMBER($B728)),"Enter a valid date",IF($C728="","Pick a category",IF(OR($H728="Unknown category",$H728=""),"Category has no cost type",IF(NOT(ISNUMBER($E728)),"Enter an amount","OK")))))</f>
        <v/>
      </c>
    </row>
    <row r="729" ht="17" customHeight="1">
      <c r="B729" s="66" t="n"/>
      <c r="C729" s="60" t="n"/>
      <c r="D729" s="60" t="n"/>
      <c r="E729" s="63" t="n"/>
      <c r="F729" s="60" t="n"/>
      <c r="G729" s="60" t="n"/>
      <c r="H729" s="13">
        <f>IF($C729="","",IFERROR(INDEX('Lists'!$G$6:$G$35,MATCH($C729,'Lists'!$F$6:$F$35,0))&amp;"","Unknown category"))</f>
        <v/>
      </c>
      <c r="I729" s="80">
        <f>IF(AND($B729="",$C729="",$E729=""),"",IF(NOT(ISNUMBER($B729)),"Enter a valid date",IF($C729="","Pick a category",IF(OR($H729="Unknown category",$H729=""),"Category has no cost type",IF(NOT(ISNUMBER($E729)),"Enter an amount","OK")))))</f>
        <v/>
      </c>
    </row>
    <row r="730" ht="17" customHeight="1">
      <c r="B730" s="66" t="n"/>
      <c r="C730" s="60" t="n"/>
      <c r="D730" s="60" t="n"/>
      <c r="E730" s="63" t="n"/>
      <c r="F730" s="60" t="n"/>
      <c r="G730" s="60" t="n"/>
      <c r="H730" s="13">
        <f>IF($C730="","",IFERROR(INDEX('Lists'!$G$6:$G$35,MATCH($C730,'Lists'!$F$6:$F$35,0))&amp;"","Unknown category"))</f>
        <v/>
      </c>
      <c r="I730" s="80">
        <f>IF(AND($B730="",$C730="",$E730=""),"",IF(NOT(ISNUMBER($B730)),"Enter a valid date",IF($C730="","Pick a category",IF(OR($H730="Unknown category",$H730=""),"Category has no cost type",IF(NOT(ISNUMBER($E730)),"Enter an amount","OK")))))</f>
        <v/>
      </c>
    </row>
    <row r="731" ht="17" customHeight="1">
      <c r="B731" s="66" t="n"/>
      <c r="C731" s="60" t="n"/>
      <c r="D731" s="60" t="n"/>
      <c r="E731" s="63" t="n"/>
      <c r="F731" s="60" t="n"/>
      <c r="G731" s="60" t="n"/>
      <c r="H731" s="13">
        <f>IF($C731="","",IFERROR(INDEX('Lists'!$G$6:$G$35,MATCH($C731,'Lists'!$F$6:$F$35,0))&amp;"","Unknown category"))</f>
        <v/>
      </c>
      <c r="I731" s="80">
        <f>IF(AND($B731="",$C731="",$E731=""),"",IF(NOT(ISNUMBER($B731)),"Enter a valid date",IF($C731="","Pick a category",IF(OR($H731="Unknown category",$H731=""),"Category has no cost type",IF(NOT(ISNUMBER($E731)),"Enter an amount","OK")))))</f>
        <v/>
      </c>
    </row>
    <row r="732" ht="17" customHeight="1">
      <c r="B732" s="66" t="n"/>
      <c r="C732" s="60" t="n"/>
      <c r="D732" s="60" t="n"/>
      <c r="E732" s="63" t="n"/>
      <c r="F732" s="60" t="n"/>
      <c r="G732" s="60" t="n"/>
      <c r="H732" s="13">
        <f>IF($C732="","",IFERROR(INDEX('Lists'!$G$6:$G$35,MATCH($C732,'Lists'!$F$6:$F$35,0))&amp;"","Unknown category"))</f>
        <v/>
      </c>
      <c r="I732" s="80">
        <f>IF(AND($B732="",$C732="",$E732=""),"",IF(NOT(ISNUMBER($B732)),"Enter a valid date",IF($C732="","Pick a category",IF(OR($H732="Unknown category",$H732=""),"Category has no cost type",IF(NOT(ISNUMBER($E732)),"Enter an amount","OK")))))</f>
        <v/>
      </c>
    </row>
    <row r="733" ht="17" customHeight="1">
      <c r="B733" s="66" t="n"/>
      <c r="C733" s="60" t="n"/>
      <c r="D733" s="60" t="n"/>
      <c r="E733" s="63" t="n"/>
      <c r="F733" s="60" t="n"/>
      <c r="G733" s="60" t="n"/>
      <c r="H733" s="13">
        <f>IF($C733="","",IFERROR(INDEX('Lists'!$G$6:$G$35,MATCH($C733,'Lists'!$F$6:$F$35,0))&amp;"","Unknown category"))</f>
        <v/>
      </c>
      <c r="I733" s="80">
        <f>IF(AND($B733="",$C733="",$E733=""),"",IF(NOT(ISNUMBER($B733)),"Enter a valid date",IF($C733="","Pick a category",IF(OR($H733="Unknown category",$H733=""),"Category has no cost type",IF(NOT(ISNUMBER($E733)),"Enter an amount","OK")))))</f>
        <v/>
      </c>
    </row>
    <row r="734" ht="17" customHeight="1">
      <c r="B734" s="66" t="n"/>
      <c r="C734" s="60" t="n"/>
      <c r="D734" s="60" t="n"/>
      <c r="E734" s="63" t="n"/>
      <c r="F734" s="60" t="n"/>
      <c r="G734" s="60" t="n"/>
      <c r="H734" s="13">
        <f>IF($C734="","",IFERROR(INDEX('Lists'!$G$6:$G$35,MATCH($C734,'Lists'!$F$6:$F$35,0))&amp;"","Unknown category"))</f>
        <v/>
      </c>
      <c r="I734" s="80">
        <f>IF(AND($B734="",$C734="",$E734=""),"",IF(NOT(ISNUMBER($B734)),"Enter a valid date",IF($C734="","Pick a category",IF(OR($H734="Unknown category",$H734=""),"Category has no cost type",IF(NOT(ISNUMBER($E734)),"Enter an amount","OK")))))</f>
        <v/>
      </c>
    </row>
    <row r="735" ht="17" customHeight="1">
      <c r="B735" s="66" t="n"/>
      <c r="C735" s="60" t="n"/>
      <c r="D735" s="60" t="n"/>
      <c r="E735" s="63" t="n"/>
      <c r="F735" s="60" t="n"/>
      <c r="G735" s="60" t="n"/>
      <c r="H735" s="13">
        <f>IF($C735="","",IFERROR(INDEX('Lists'!$G$6:$G$35,MATCH($C735,'Lists'!$F$6:$F$35,0))&amp;"","Unknown category"))</f>
        <v/>
      </c>
      <c r="I735" s="80">
        <f>IF(AND($B735="",$C735="",$E735=""),"",IF(NOT(ISNUMBER($B735)),"Enter a valid date",IF($C735="","Pick a category",IF(OR($H735="Unknown category",$H735=""),"Category has no cost type",IF(NOT(ISNUMBER($E735)),"Enter an amount","OK")))))</f>
        <v/>
      </c>
    </row>
    <row r="736" ht="17" customHeight="1">
      <c r="B736" s="66" t="n"/>
      <c r="C736" s="60" t="n"/>
      <c r="D736" s="60" t="n"/>
      <c r="E736" s="63" t="n"/>
      <c r="F736" s="60" t="n"/>
      <c r="G736" s="60" t="n"/>
      <c r="H736" s="13">
        <f>IF($C736="","",IFERROR(INDEX('Lists'!$G$6:$G$35,MATCH($C736,'Lists'!$F$6:$F$35,0))&amp;"","Unknown category"))</f>
        <v/>
      </c>
      <c r="I736" s="80">
        <f>IF(AND($B736="",$C736="",$E736=""),"",IF(NOT(ISNUMBER($B736)),"Enter a valid date",IF($C736="","Pick a category",IF(OR($H736="Unknown category",$H736=""),"Category has no cost type",IF(NOT(ISNUMBER($E736)),"Enter an amount","OK")))))</f>
        <v/>
      </c>
    </row>
    <row r="737" ht="17" customHeight="1">
      <c r="B737" s="66" t="n"/>
      <c r="C737" s="60" t="n"/>
      <c r="D737" s="60" t="n"/>
      <c r="E737" s="63" t="n"/>
      <c r="F737" s="60" t="n"/>
      <c r="G737" s="60" t="n"/>
      <c r="H737" s="13">
        <f>IF($C737="","",IFERROR(INDEX('Lists'!$G$6:$G$35,MATCH($C737,'Lists'!$F$6:$F$35,0))&amp;"","Unknown category"))</f>
        <v/>
      </c>
      <c r="I737" s="80">
        <f>IF(AND($B737="",$C737="",$E737=""),"",IF(NOT(ISNUMBER($B737)),"Enter a valid date",IF($C737="","Pick a category",IF(OR($H737="Unknown category",$H737=""),"Category has no cost type",IF(NOT(ISNUMBER($E737)),"Enter an amount","OK")))))</f>
        <v/>
      </c>
    </row>
    <row r="738" ht="17" customHeight="1">
      <c r="B738" s="66" t="n"/>
      <c r="C738" s="60" t="n"/>
      <c r="D738" s="60" t="n"/>
      <c r="E738" s="63" t="n"/>
      <c r="F738" s="60" t="n"/>
      <c r="G738" s="60" t="n"/>
      <c r="H738" s="13">
        <f>IF($C738="","",IFERROR(INDEX('Lists'!$G$6:$G$35,MATCH($C738,'Lists'!$F$6:$F$35,0))&amp;"","Unknown category"))</f>
        <v/>
      </c>
      <c r="I738" s="80">
        <f>IF(AND($B738="",$C738="",$E738=""),"",IF(NOT(ISNUMBER($B738)),"Enter a valid date",IF($C738="","Pick a category",IF(OR($H738="Unknown category",$H738=""),"Category has no cost type",IF(NOT(ISNUMBER($E738)),"Enter an amount","OK")))))</f>
        <v/>
      </c>
    </row>
    <row r="739" ht="17" customHeight="1">
      <c r="B739" s="66" t="n"/>
      <c r="C739" s="60" t="n"/>
      <c r="D739" s="60" t="n"/>
      <c r="E739" s="63" t="n"/>
      <c r="F739" s="60" t="n"/>
      <c r="G739" s="60" t="n"/>
      <c r="H739" s="13">
        <f>IF($C739="","",IFERROR(INDEX('Lists'!$G$6:$G$35,MATCH($C739,'Lists'!$F$6:$F$35,0))&amp;"","Unknown category"))</f>
        <v/>
      </c>
      <c r="I739" s="80">
        <f>IF(AND($B739="",$C739="",$E739=""),"",IF(NOT(ISNUMBER($B739)),"Enter a valid date",IF($C739="","Pick a category",IF(OR($H739="Unknown category",$H739=""),"Category has no cost type",IF(NOT(ISNUMBER($E739)),"Enter an amount","OK")))))</f>
        <v/>
      </c>
    </row>
    <row r="740" ht="17" customHeight="1">
      <c r="B740" s="66" t="n"/>
      <c r="C740" s="60" t="n"/>
      <c r="D740" s="60" t="n"/>
      <c r="E740" s="63" t="n"/>
      <c r="F740" s="60" t="n"/>
      <c r="G740" s="60" t="n"/>
      <c r="H740" s="13">
        <f>IF($C740="","",IFERROR(INDEX('Lists'!$G$6:$G$35,MATCH($C740,'Lists'!$F$6:$F$35,0))&amp;"","Unknown category"))</f>
        <v/>
      </c>
      <c r="I740" s="80">
        <f>IF(AND($B740="",$C740="",$E740=""),"",IF(NOT(ISNUMBER($B740)),"Enter a valid date",IF($C740="","Pick a category",IF(OR($H740="Unknown category",$H740=""),"Category has no cost type",IF(NOT(ISNUMBER($E740)),"Enter an amount","OK")))))</f>
        <v/>
      </c>
    </row>
    <row r="741" ht="17" customHeight="1">
      <c r="B741" s="66" t="n"/>
      <c r="C741" s="60" t="n"/>
      <c r="D741" s="60" t="n"/>
      <c r="E741" s="63" t="n"/>
      <c r="F741" s="60" t="n"/>
      <c r="G741" s="60" t="n"/>
      <c r="H741" s="13">
        <f>IF($C741="","",IFERROR(INDEX('Lists'!$G$6:$G$35,MATCH($C741,'Lists'!$F$6:$F$35,0))&amp;"","Unknown category"))</f>
        <v/>
      </c>
      <c r="I741" s="80">
        <f>IF(AND($B741="",$C741="",$E741=""),"",IF(NOT(ISNUMBER($B741)),"Enter a valid date",IF($C741="","Pick a category",IF(OR($H741="Unknown category",$H741=""),"Category has no cost type",IF(NOT(ISNUMBER($E741)),"Enter an amount","OK")))))</f>
        <v/>
      </c>
    </row>
    <row r="742" ht="17" customHeight="1">
      <c r="B742" s="66" t="n"/>
      <c r="C742" s="60" t="n"/>
      <c r="D742" s="60" t="n"/>
      <c r="E742" s="63" t="n"/>
      <c r="F742" s="60" t="n"/>
      <c r="G742" s="60" t="n"/>
      <c r="H742" s="13">
        <f>IF($C742="","",IFERROR(INDEX('Lists'!$G$6:$G$35,MATCH($C742,'Lists'!$F$6:$F$35,0))&amp;"","Unknown category"))</f>
        <v/>
      </c>
      <c r="I742" s="80">
        <f>IF(AND($B742="",$C742="",$E742=""),"",IF(NOT(ISNUMBER($B742)),"Enter a valid date",IF($C742="","Pick a category",IF(OR($H742="Unknown category",$H742=""),"Category has no cost type",IF(NOT(ISNUMBER($E742)),"Enter an amount","OK")))))</f>
        <v/>
      </c>
    </row>
    <row r="743" ht="17" customHeight="1">
      <c r="B743" s="66" t="n"/>
      <c r="C743" s="60" t="n"/>
      <c r="D743" s="60" t="n"/>
      <c r="E743" s="63" t="n"/>
      <c r="F743" s="60" t="n"/>
      <c r="G743" s="60" t="n"/>
      <c r="H743" s="13">
        <f>IF($C743="","",IFERROR(INDEX('Lists'!$G$6:$G$35,MATCH($C743,'Lists'!$F$6:$F$35,0))&amp;"","Unknown category"))</f>
        <v/>
      </c>
      <c r="I743" s="80">
        <f>IF(AND($B743="",$C743="",$E743=""),"",IF(NOT(ISNUMBER($B743)),"Enter a valid date",IF($C743="","Pick a category",IF(OR($H743="Unknown category",$H743=""),"Category has no cost type",IF(NOT(ISNUMBER($E743)),"Enter an amount","OK")))))</f>
        <v/>
      </c>
    </row>
    <row r="744" ht="17" customHeight="1">
      <c r="B744" s="66" t="n"/>
      <c r="C744" s="60" t="n"/>
      <c r="D744" s="60" t="n"/>
      <c r="E744" s="63" t="n"/>
      <c r="F744" s="60" t="n"/>
      <c r="G744" s="60" t="n"/>
      <c r="H744" s="13">
        <f>IF($C744="","",IFERROR(INDEX('Lists'!$G$6:$G$35,MATCH($C744,'Lists'!$F$6:$F$35,0))&amp;"","Unknown category"))</f>
        <v/>
      </c>
      <c r="I744" s="80">
        <f>IF(AND($B744="",$C744="",$E744=""),"",IF(NOT(ISNUMBER($B744)),"Enter a valid date",IF($C744="","Pick a category",IF(OR($H744="Unknown category",$H744=""),"Category has no cost type",IF(NOT(ISNUMBER($E744)),"Enter an amount","OK")))))</f>
        <v/>
      </c>
    </row>
    <row r="745" ht="17" customHeight="1">
      <c r="B745" s="66" t="n"/>
      <c r="C745" s="60" t="n"/>
      <c r="D745" s="60" t="n"/>
      <c r="E745" s="63" t="n"/>
      <c r="F745" s="60" t="n"/>
      <c r="G745" s="60" t="n"/>
      <c r="H745" s="13">
        <f>IF($C745="","",IFERROR(INDEX('Lists'!$G$6:$G$35,MATCH($C745,'Lists'!$F$6:$F$35,0))&amp;"","Unknown category"))</f>
        <v/>
      </c>
      <c r="I745" s="80">
        <f>IF(AND($B745="",$C745="",$E745=""),"",IF(NOT(ISNUMBER($B745)),"Enter a valid date",IF($C745="","Pick a category",IF(OR($H745="Unknown category",$H745=""),"Category has no cost type",IF(NOT(ISNUMBER($E745)),"Enter an amount","OK")))))</f>
        <v/>
      </c>
    </row>
    <row r="746" ht="17" customHeight="1">
      <c r="B746" s="66" t="n"/>
      <c r="C746" s="60" t="n"/>
      <c r="D746" s="60" t="n"/>
      <c r="E746" s="63" t="n"/>
      <c r="F746" s="60" t="n"/>
      <c r="G746" s="60" t="n"/>
      <c r="H746" s="13">
        <f>IF($C746="","",IFERROR(INDEX('Lists'!$G$6:$G$35,MATCH($C746,'Lists'!$F$6:$F$35,0))&amp;"","Unknown category"))</f>
        <v/>
      </c>
      <c r="I746" s="80">
        <f>IF(AND($B746="",$C746="",$E746=""),"",IF(NOT(ISNUMBER($B746)),"Enter a valid date",IF($C746="","Pick a category",IF(OR($H746="Unknown category",$H746=""),"Category has no cost type",IF(NOT(ISNUMBER($E746)),"Enter an amount","OK")))))</f>
        <v/>
      </c>
    </row>
    <row r="747" ht="17" customHeight="1">
      <c r="B747" s="66" t="n"/>
      <c r="C747" s="60" t="n"/>
      <c r="D747" s="60" t="n"/>
      <c r="E747" s="63" t="n"/>
      <c r="F747" s="60" t="n"/>
      <c r="G747" s="60" t="n"/>
      <c r="H747" s="13">
        <f>IF($C747="","",IFERROR(INDEX('Lists'!$G$6:$G$35,MATCH($C747,'Lists'!$F$6:$F$35,0))&amp;"","Unknown category"))</f>
        <v/>
      </c>
      <c r="I747" s="80">
        <f>IF(AND($B747="",$C747="",$E747=""),"",IF(NOT(ISNUMBER($B747)),"Enter a valid date",IF($C747="","Pick a category",IF(OR($H747="Unknown category",$H747=""),"Category has no cost type",IF(NOT(ISNUMBER($E747)),"Enter an amount","OK")))))</f>
        <v/>
      </c>
    </row>
    <row r="748" ht="17" customHeight="1">
      <c r="B748" s="66" t="n"/>
      <c r="C748" s="60" t="n"/>
      <c r="D748" s="60" t="n"/>
      <c r="E748" s="63" t="n"/>
      <c r="F748" s="60" t="n"/>
      <c r="G748" s="60" t="n"/>
      <c r="H748" s="13">
        <f>IF($C748="","",IFERROR(INDEX('Lists'!$G$6:$G$35,MATCH($C748,'Lists'!$F$6:$F$35,0))&amp;"","Unknown category"))</f>
        <v/>
      </c>
      <c r="I748" s="80">
        <f>IF(AND($B748="",$C748="",$E748=""),"",IF(NOT(ISNUMBER($B748)),"Enter a valid date",IF($C748="","Pick a category",IF(OR($H748="Unknown category",$H748=""),"Category has no cost type",IF(NOT(ISNUMBER($E748)),"Enter an amount","OK")))))</f>
        <v/>
      </c>
    </row>
    <row r="749" ht="17" customHeight="1">
      <c r="B749" s="66" t="n"/>
      <c r="C749" s="60" t="n"/>
      <c r="D749" s="60" t="n"/>
      <c r="E749" s="63" t="n"/>
      <c r="F749" s="60" t="n"/>
      <c r="G749" s="60" t="n"/>
      <c r="H749" s="13">
        <f>IF($C749="","",IFERROR(INDEX('Lists'!$G$6:$G$35,MATCH($C749,'Lists'!$F$6:$F$35,0))&amp;"","Unknown category"))</f>
        <v/>
      </c>
      <c r="I749" s="80">
        <f>IF(AND($B749="",$C749="",$E749=""),"",IF(NOT(ISNUMBER($B749)),"Enter a valid date",IF($C749="","Pick a category",IF(OR($H749="Unknown category",$H749=""),"Category has no cost type",IF(NOT(ISNUMBER($E749)),"Enter an amount","OK")))))</f>
        <v/>
      </c>
    </row>
    <row r="750" ht="17" customHeight="1">
      <c r="B750" s="66" t="n"/>
      <c r="C750" s="60" t="n"/>
      <c r="D750" s="60" t="n"/>
      <c r="E750" s="63" t="n"/>
      <c r="F750" s="60" t="n"/>
      <c r="G750" s="60" t="n"/>
      <c r="H750" s="13">
        <f>IF($C750="","",IFERROR(INDEX('Lists'!$G$6:$G$35,MATCH($C750,'Lists'!$F$6:$F$35,0))&amp;"","Unknown category"))</f>
        <v/>
      </c>
      <c r="I750" s="80">
        <f>IF(AND($B750="",$C750="",$E750=""),"",IF(NOT(ISNUMBER($B750)),"Enter a valid date",IF($C750="","Pick a category",IF(OR($H750="Unknown category",$H750=""),"Category has no cost type",IF(NOT(ISNUMBER($E750)),"Enter an amount","OK")))))</f>
        <v/>
      </c>
    </row>
    <row r="751" ht="17" customHeight="1">
      <c r="B751" s="66" t="n"/>
      <c r="C751" s="60" t="n"/>
      <c r="D751" s="60" t="n"/>
      <c r="E751" s="63" t="n"/>
      <c r="F751" s="60" t="n"/>
      <c r="G751" s="60" t="n"/>
      <c r="H751" s="13">
        <f>IF($C751="","",IFERROR(INDEX('Lists'!$G$6:$G$35,MATCH($C751,'Lists'!$F$6:$F$35,0))&amp;"","Unknown category"))</f>
        <v/>
      </c>
      <c r="I751" s="80">
        <f>IF(AND($B751="",$C751="",$E751=""),"",IF(NOT(ISNUMBER($B751)),"Enter a valid date",IF($C751="","Pick a category",IF(OR($H751="Unknown category",$H751=""),"Category has no cost type",IF(NOT(ISNUMBER($E751)),"Enter an amount","OK")))))</f>
        <v/>
      </c>
    </row>
    <row r="752" ht="17" customHeight="1">
      <c r="B752" s="66" t="n"/>
      <c r="C752" s="60" t="n"/>
      <c r="D752" s="60" t="n"/>
      <c r="E752" s="63" t="n"/>
      <c r="F752" s="60" t="n"/>
      <c r="G752" s="60" t="n"/>
      <c r="H752" s="13">
        <f>IF($C752="","",IFERROR(INDEX('Lists'!$G$6:$G$35,MATCH($C752,'Lists'!$F$6:$F$35,0))&amp;"","Unknown category"))</f>
        <v/>
      </c>
      <c r="I752" s="80">
        <f>IF(AND($B752="",$C752="",$E752=""),"",IF(NOT(ISNUMBER($B752)),"Enter a valid date",IF($C752="","Pick a category",IF(OR($H752="Unknown category",$H752=""),"Category has no cost type",IF(NOT(ISNUMBER($E752)),"Enter an amount","OK")))))</f>
        <v/>
      </c>
    </row>
    <row r="753" ht="17" customHeight="1">
      <c r="B753" s="66" t="n"/>
      <c r="C753" s="60" t="n"/>
      <c r="D753" s="60" t="n"/>
      <c r="E753" s="63" t="n"/>
      <c r="F753" s="60" t="n"/>
      <c r="G753" s="60" t="n"/>
      <c r="H753" s="13">
        <f>IF($C753="","",IFERROR(INDEX('Lists'!$G$6:$G$35,MATCH($C753,'Lists'!$F$6:$F$35,0))&amp;"","Unknown category"))</f>
        <v/>
      </c>
      <c r="I753" s="80">
        <f>IF(AND($B753="",$C753="",$E753=""),"",IF(NOT(ISNUMBER($B753)),"Enter a valid date",IF($C753="","Pick a category",IF(OR($H753="Unknown category",$H753=""),"Category has no cost type",IF(NOT(ISNUMBER($E753)),"Enter an amount","OK")))))</f>
        <v/>
      </c>
    </row>
    <row r="754" ht="17" customHeight="1">
      <c r="B754" s="66" t="n"/>
      <c r="C754" s="60" t="n"/>
      <c r="D754" s="60" t="n"/>
      <c r="E754" s="63" t="n"/>
      <c r="F754" s="60" t="n"/>
      <c r="G754" s="60" t="n"/>
      <c r="H754" s="13">
        <f>IF($C754="","",IFERROR(INDEX('Lists'!$G$6:$G$35,MATCH($C754,'Lists'!$F$6:$F$35,0))&amp;"","Unknown category"))</f>
        <v/>
      </c>
      <c r="I754" s="80">
        <f>IF(AND($B754="",$C754="",$E754=""),"",IF(NOT(ISNUMBER($B754)),"Enter a valid date",IF($C754="","Pick a category",IF(OR($H754="Unknown category",$H754=""),"Category has no cost type",IF(NOT(ISNUMBER($E754)),"Enter an amount","OK")))))</f>
        <v/>
      </c>
    </row>
    <row r="755" ht="17" customHeight="1">
      <c r="B755" s="66" t="n"/>
      <c r="C755" s="60" t="n"/>
      <c r="D755" s="60" t="n"/>
      <c r="E755" s="63" t="n"/>
      <c r="F755" s="60" t="n"/>
      <c r="G755" s="60" t="n"/>
      <c r="H755" s="13">
        <f>IF($C755="","",IFERROR(INDEX('Lists'!$G$6:$G$35,MATCH($C755,'Lists'!$F$6:$F$35,0))&amp;"","Unknown category"))</f>
        <v/>
      </c>
      <c r="I755" s="80">
        <f>IF(AND($B755="",$C755="",$E755=""),"",IF(NOT(ISNUMBER($B755)),"Enter a valid date",IF($C755="","Pick a category",IF(OR($H755="Unknown category",$H755=""),"Category has no cost type",IF(NOT(ISNUMBER($E755)),"Enter an amount","OK")))))</f>
        <v/>
      </c>
    </row>
    <row r="756" ht="17" customHeight="1">
      <c r="B756" s="66" t="n"/>
      <c r="C756" s="60" t="n"/>
      <c r="D756" s="60" t="n"/>
      <c r="E756" s="63" t="n"/>
      <c r="F756" s="60" t="n"/>
      <c r="G756" s="60" t="n"/>
      <c r="H756" s="13">
        <f>IF($C756="","",IFERROR(INDEX('Lists'!$G$6:$G$35,MATCH($C756,'Lists'!$F$6:$F$35,0))&amp;"","Unknown category"))</f>
        <v/>
      </c>
      <c r="I756" s="80">
        <f>IF(AND($B756="",$C756="",$E756=""),"",IF(NOT(ISNUMBER($B756)),"Enter a valid date",IF($C756="","Pick a category",IF(OR($H756="Unknown category",$H756=""),"Category has no cost type",IF(NOT(ISNUMBER($E756)),"Enter an amount","OK")))))</f>
        <v/>
      </c>
    </row>
    <row r="757" ht="17" customHeight="1">
      <c r="B757" s="66" t="n"/>
      <c r="C757" s="60" t="n"/>
      <c r="D757" s="60" t="n"/>
      <c r="E757" s="63" t="n"/>
      <c r="F757" s="60" t="n"/>
      <c r="G757" s="60" t="n"/>
      <c r="H757" s="13">
        <f>IF($C757="","",IFERROR(INDEX('Lists'!$G$6:$G$35,MATCH($C757,'Lists'!$F$6:$F$35,0))&amp;"","Unknown category"))</f>
        <v/>
      </c>
      <c r="I757" s="80">
        <f>IF(AND($B757="",$C757="",$E757=""),"",IF(NOT(ISNUMBER($B757)),"Enter a valid date",IF($C757="","Pick a category",IF(OR($H757="Unknown category",$H757=""),"Category has no cost type",IF(NOT(ISNUMBER($E757)),"Enter an amount","OK")))))</f>
        <v/>
      </c>
    </row>
    <row r="758" ht="17" customHeight="1">
      <c r="B758" s="66" t="n"/>
      <c r="C758" s="60" t="n"/>
      <c r="D758" s="60" t="n"/>
      <c r="E758" s="63" t="n"/>
      <c r="F758" s="60" t="n"/>
      <c r="G758" s="60" t="n"/>
      <c r="H758" s="13">
        <f>IF($C758="","",IFERROR(INDEX('Lists'!$G$6:$G$35,MATCH($C758,'Lists'!$F$6:$F$35,0))&amp;"","Unknown category"))</f>
        <v/>
      </c>
      <c r="I758" s="80">
        <f>IF(AND($B758="",$C758="",$E758=""),"",IF(NOT(ISNUMBER($B758)),"Enter a valid date",IF($C758="","Pick a category",IF(OR($H758="Unknown category",$H758=""),"Category has no cost type",IF(NOT(ISNUMBER($E758)),"Enter an amount","OK")))))</f>
        <v/>
      </c>
    </row>
    <row r="759" ht="17" customHeight="1">
      <c r="B759" s="66" t="n"/>
      <c r="C759" s="60" t="n"/>
      <c r="D759" s="60" t="n"/>
      <c r="E759" s="63" t="n"/>
      <c r="F759" s="60" t="n"/>
      <c r="G759" s="60" t="n"/>
      <c r="H759" s="13">
        <f>IF($C759="","",IFERROR(INDEX('Lists'!$G$6:$G$35,MATCH($C759,'Lists'!$F$6:$F$35,0))&amp;"","Unknown category"))</f>
        <v/>
      </c>
      <c r="I759" s="80">
        <f>IF(AND($B759="",$C759="",$E759=""),"",IF(NOT(ISNUMBER($B759)),"Enter a valid date",IF($C759="","Pick a category",IF(OR($H759="Unknown category",$H759=""),"Category has no cost type",IF(NOT(ISNUMBER($E759)),"Enter an amount","OK")))))</f>
        <v/>
      </c>
    </row>
    <row r="760" ht="17" customHeight="1">
      <c r="B760" s="66" t="n"/>
      <c r="C760" s="60" t="n"/>
      <c r="D760" s="60" t="n"/>
      <c r="E760" s="63" t="n"/>
      <c r="F760" s="60" t="n"/>
      <c r="G760" s="60" t="n"/>
      <c r="H760" s="13">
        <f>IF($C760="","",IFERROR(INDEX('Lists'!$G$6:$G$35,MATCH($C760,'Lists'!$F$6:$F$35,0))&amp;"","Unknown category"))</f>
        <v/>
      </c>
      <c r="I760" s="80">
        <f>IF(AND($B760="",$C760="",$E760=""),"",IF(NOT(ISNUMBER($B760)),"Enter a valid date",IF($C760="","Pick a category",IF(OR($H760="Unknown category",$H760=""),"Category has no cost type",IF(NOT(ISNUMBER($E760)),"Enter an amount","OK")))))</f>
        <v/>
      </c>
    </row>
    <row r="761" ht="17" customHeight="1">
      <c r="B761" s="66" t="n"/>
      <c r="C761" s="60" t="n"/>
      <c r="D761" s="60" t="n"/>
      <c r="E761" s="63" t="n"/>
      <c r="F761" s="60" t="n"/>
      <c r="G761" s="60" t="n"/>
      <c r="H761" s="13">
        <f>IF($C761="","",IFERROR(INDEX('Lists'!$G$6:$G$35,MATCH($C761,'Lists'!$F$6:$F$35,0))&amp;"","Unknown category"))</f>
        <v/>
      </c>
      <c r="I761" s="80">
        <f>IF(AND($B761="",$C761="",$E761=""),"",IF(NOT(ISNUMBER($B761)),"Enter a valid date",IF($C761="","Pick a category",IF(OR($H761="Unknown category",$H761=""),"Category has no cost type",IF(NOT(ISNUMBER($E761)),"Enter an amount","OK")))))</f>
        <v/>
      </c>
    </row>
    <row r="762" ht="17" customHeight="1">
      <c r="B762" s="66" t="n"/>
      <c r="C762" s="60" t="n"/>
      <c r="D762" s="60" t="n"/>
      <c r="E762" s="63" t="n"/>
      <c r="F762" s="60" t="n"/>
      <c r="G762" s="60" t="n"/>
      <c r="H762" s="13">
        <f>IF($C762="","",IFERROR(INDEX('Lists'!$G$6:$G$35,MATCH($C762,'Lists'!$F$6:$F$35,0))&amp;"","Unknown category"))</f>
        <v/>
      </c>
      <c r="I762" s="80">
        <f>IF(AND($B762="",$C762="",$E762=""),"",IF(NOT(ISNUMBER($B762)),"Enter a valid date",IF($C762="","Pick a category",IF(OR($H762="Unknown category",$H762=""),"Category has no cost type",IF(NOT(ISNUMBER($E762)),"Enter an amount","OK")))))</f>
        <v/>
      </c>
    </row>
    <row r="763" ht="17" customHeight="1">
      <c r="B763" s="66" t="n"/>
      <c r="C763" s="60" t="n"/>
      <c r="D763" s="60" t="n"/>
      <c r="E763" s="63" t="n"/>
      <c r="F763" s="60" t="n"/>
      <c r="G763" s="60" t="n"/>
      <c r="H763" s="13">
        <f>IF($C763="","",IFERROR(INDEX('Lists'!$G$6:$G$35,MATCH($C763,'Lists'!$F$6:$F$35,0))&amp;"","Unknown category"))</f>
        <v/>
      </c>
      <c r="I763" s="80">
        <f>IF(AND($B763="",$C763="",$E763=""),"",IF(NOT(ISNUMBER($B763)),"Enter a valid date",IF($C763="","Pick a category",IF(OR($H763="Unknown category",$H763=""),"Category has no cost type",IF(NOT(ISNUMBER($E763)),"Enter an amount","OK")))))</f>
        <v/>
      </c>
    </row>
    <row r="764" ht="17" customHeight="1">
      <c r="B764" s="66" t="n"/>
      <c r="C764" s="60" t="n"/>
      <c r="D764" s="60" t="n"/>
      <c r="E764" s="63" t="n"/>
      <c r="F764" s="60" t="n"/>
      <c r="G764" s="60" t="n"/>
      <c r="H764" s="13">
        <f>IF($C764="","",IFERROR(INDEX('Lists'!$G$6:$G$35,MATCH($C764,'Lists'!$F$6:$F$35,0))&amp;"","Unknown category"))</f>
        <v/>
      </c>
      <c r="I764" s="80">
        <f>IF(AND($B764="",$C764="",$E764=""),"",IF(NOT(ISNUMBER($B764)),"Enter a valid date",IF($C764="","Pick a category",IF(OR($H764="Unknown category",$H764=""),"Category has no cost type",IF(NOT(ISNUMBER($E764)),"Enter an amount","OK")))))</f>
        <v/>
      </c>
    </row>
    <row r="765" ht="17" customHeight="1">
      <c r="B765" s="66" t="n"/>
      <c r="C765" s="60" t="n"/>
      <c r="D765" s="60" t="n"/>
      <c r="E765" s="63" t="n"/>
      <c r="F765" s="60" t="n"/>
      <c r="G765" s="60" t="n"/>
      <c r="H765" s="13">
        <f>IF($C765="","",IFERROR(INDEX('Lists'!$G$6:$G$35,MATCH($C765,'Lists'!$F$6:$F$35,0))&amp;"","Unknown category"))</f>
        <v/>
      </c>
      <c r="I765" s="80">
        <f>IF(AND($B765="",$C765="",$E765=""),"",IF(NOT(ISNUMBER($B765)),"Enter a valid date",IF($C765="","Pick a category",IF(OR($H765="Unknown category",$H765=""),"Category has no cost type",IF(NOT(ISNUMBER($E765)),"Enter an amount","OK")))))</f>
        <v/>
      </c>
    </row>
    <row r="766" ht="17" customHeight="1">
      <c r="B766" s="66" t="n"/>
      <c r="C766" s="60" t="n"/>
      <c r="D766" s="60" t="n"/>
      <c r="E766" s="63" t="n"/>
      <c r="F766" s="60" t="n"/>
      <c r="G766" s="60" t="n"/>
      <c r="H766" s="13">
        <f>IF($C766="","",IFERROR(INDEX('Lists'!$G$6:$G$35,MATCH($C766,'Lists'!$F$6:$F$35,0))&amp;"","Unknown category"))</f>
        <v/>
      </c>
      <c r="I766" s="80">
        <f>IF(AND($B766="",$C766="",$E766=""),"",IF(NOT(ISNUMBER($B766)),"Enter a valid date",IF($C766="","Pick a category",IF(OR($H766="Unknown category",$H766=""),"Category has no cost type",IF(NOT(ISNUMBER($E766)),"Enter an amount","OK")))))</f>
        <v/>
      </c>
    </row>
    <row r="767" ht="17" customHeight="1">
      <c r="B767" s="66" t="n"/>
      <c r="C767" s="60" t="n"/>
      <c r="D767" s="60" t="n"/>
      <c r="E767" s="63" t="n"/>
      <c r="F767" s="60" t="n"/>
      <c r="G767" s="60" t="n"/>
      <c r="H767" s="13">
        <f>IF($C767="","",IFERROR(INDEX('Lists'!$G$6:$G$35,MATCH($C767,'Lists'!$F$6:$F$35,0))&amp;"","Unknown category"))</f>
        <v/>
      </c>
      <c r="I767" s="80">
        <f>IF(AND($B767="",$C767="",$E767=""),"",IF(NOT(ISNUMBER($B767)),"Enter a valid date",IF($C767="","Pick a category",IF(OR($H767="Unknown category",$H767=""),"Category has no cost type",IF(NOT(ISNUMBER($E767)),"Enter an amount","OK")))))</f>
        <v/>
      </c>
    </row>
    <row r="768" ht="17" customHeight="1">
      <c r="B768" s="66" t="n"/>
      <c r="C768" s="60" t="n"/>
      <c r="D768" s="60" t="n"/>
      <c r="E768" s="63" t="n"/>
      <c r="F768" s="60" t="n"/>
      <c r="G768" s="60" t="n"/>
      <c r="H768" s="13">
        <f>IF($C768="","",IFERROR(INDEX('Lists'!$G$6:$G$35,MATCH($C768,'Lists'!$F$6:$F$35,0))&amp;"","Unknown category"))</f>
        <v/>
      </c>
      <c r="I768" s="80">
        <f>IF(AND($B768="",$C768="",$E768=""),"",IF(NOT(ISNUMBER($B768)),"Enter a valid date",IF($C768="","Pick a category",IF(OR($H768="Unknown category",$H768=""),"Category has no cost type",IF(NOT(ISNUMBER($E768)),"Enter an amount","OK")))))</f>
        <v/>
      </c>
    </row>
    <row r="769" ht="17" customHeight="1">
      <c r="B769" s="66" t="n"/>
      <c r="C769" s="60" t="n"/>
      <c r="D769" s="60" t="n"/>
      <c r="E769" s="63" t="n"/>
      <c r="F769" s="60" t="n"/>
      <c r="G769" s="60" t="n"/>
      <c r="H769" s="13">
        <f>IF($C769="","",IFERROR(INDEX('Lists'!$G$6:$G$35,MATCH($C769,'Lists'!$F$6:$F$35,0))&amp;"","Unknown category"))</f>
        <v/>
      </c>
      <c r="I769" s="80">
        <f>IF(AND($B769="",$C769="",$E769=""),"",IF(NOT(ISNUMBER($B769)),"Enter a valid date",IF($C769="","Pick a category",IF(OR($H769="Unknown category",$H769=""),"Category has no cost type",IF(NOT(ISNUMBER($E769)),"Enter an amount","OK")))))</f>
        <v/>
      </c>
    </row>
    <row r="770" ht="17" customHeight="1">
      <c r="B770" s="66" t="n"/>
      <c r="C770" s="60" t="n"/>
      <c r="D770" s="60" t="n"/>
      <c r="E770" s="63" t="n"/>
      <c r="F770" s="60" t="n"/>
      <c r="G770" s="60" t="n"/>
      <c r="H770" s="13">
        <f>IF($C770="","",IFERROR(INDEX('Lists'!$G$6:$G$35,MATCH($C770,'Lists'!$F$6:$F$35,0))&amp;"","Unknown category"))</f>
        <v/>
      </c>
      <c r="I770" s="80">
        <f>IF(AND($B770="",$C770="",$E770=""),"",IF(NOT(ISNUMBER($B770)),"Enter a valid date",IF($C770="","Pick a category",IF(OR($H770="Unknown category",$H770=""),"Category has no cost type",IF(NOT(ISNUMBER($E770)),"Enter an amount","OK")))))</f>
        <v/>
      </c>
    </row>
    <row r="771" ht="17" customHeight="1">
      <c r="B771" s="66" t="n"/>
      <c r="C771" s="60" t="n"/>
      <c r="D771" s="60" t="n"/>
      <c r="E771" s="63" t="n"/>
      <c r="F771" s="60" t="n"/>
      <c r="G771" s="60" t="n"/>
      <c r="H771" s="13">
        <f>IF($C771="","",IFERROR(INDEX('Lists'!$G$6:$G$35,MATCH($C771,'Lists'!$F$6:$F$35,0))&amp;"","Unknown category"))</f>
        <v/>
      </c>
      <c r="I771" s="80">
        <f>IF(AND($B771="",$C771="",$E771=""),"",IF(NOT(ISNUMBER($B771)),"Enter a valid date",IF($C771="","Pick a category",IF(OR($H771="Unknown category",$H771=""),"Category has no cost type",IF(NOT(ISNUMBER($E771)),"Enter an amount","OK")))))</f>
        <v/>
      </c>
    </row>
    <row r="772" ht="17" customHeight="1">
      <c r="B772" s="66" t="n"/>
      <c r="C772" s="60" t="n"/>
      <c r="D772" s="60" t="n"/>
      <c r="E772" s="63" t="n"/>
      <c r="F772" s="60" t="n"/>
      <c r="G772" s="60" t="n"/>
      <c r="H772" s="13">
        <f>IF($C772="","",IFERROR(INDEX('Lists'!$G$6:$G$35,MATCH($C772,'Lists'!$F$6:$F$35,0))&amp;"","Unknown category"))</f>
        <v/>
      </c>
      <c r="I772" s="80">
        <f>IF(AND($B772="",$C772="",$E772=""),"",IF(NOT(ISNUMBER($B772)),"Enter a valid date",IF($C772="","Pick a category",IF(OR($H772="Unknown category",$H772=""),"Category has no cost type",IF(NOT(ISNUMBER($E772)),"Enter an amount","OK")))))</f>
        <v/>
      </c>
    </row>
    <row r="773" ht="17" customHeight="1">
      <c r="B773" s="66" t="n"/>
      <c r="C773" s="60" t="n"/>
      <c r="D773" s="60" t="n"/>
      <c r="E773" s="63" t="n"/>
      <c r="F773" s="60" t="n"/>
      <c r="G773" s="60" t="n"/>
      <c r="H773" s="13">
        <f>IF($C773="","",IFERROR(INDEX('Lists'!$G$6:$G$35,MATCH($C773,'Lists'!$F$6:$F$35,0))&amp;"","Unknown category"))</f>
        <v/>
      </c>
      <c r="I773" s="80">
        <f>IF(AND($B773="",$C773="",$E773=""),"",IF(NOT(ISNUMBER($B773)),"Enter a valid date",IF($C773="","Pick a category",IF(OR($H773="Unknown category",$H773=""),"Category has no cost type",IF(NOT(ISNUMBER($E773)),"Enter an amount","OK")))))</f>
        <v/>
      </c>
    </row>
    <row r="774" ht="17" customHeight="1">
      <c r="B774" s="66" t="n"/>
      <c r="C774" s="60" t="n"/>
      <c r="D774" s="60" t="n"/>
      <c r="E774" s="63" t="n"/>
      <c r="F774" s="60" t="n"/>
      <c r="G774" s="60" t="n"/>
      <c r="H774" s="13">
        <f>IF($C774="","",IFERROR(INDEX('Lists'!$G$6:$G$35,MATCH($C774,'Lists'!$F$6:$F$35,0))&amp;"","Unknown category"))</f>
        <v/>
      </c>
      <c r="I774" s="80">
        <f>IF(AND($B774="",$C774="",$E774=""),"",IF(NOT(ISNUMBER($B774)),"Enter a valid date",IF($C774="","Pick a category",IF(OR($H774="Unknown category",$H774=""),"Category has no cost type",IF(NOT(ISNUMBER($E774)),"Enter an amount","OK")))))</f>
        <v/>
      </c>
    </row>
    <row r="775" ht="17" customHeight="1">
      <c r="B775" s="66" t="n"/>
      <c r="C775" s="60" t="n"/>
      <c r="D775" s="60" t="n"/>
      <c r="E775" s="63" t="n"/>
      <c r="F775" s="60" t="n"/>
      <c r="G775" s="60" t="n"/>
      <c r="H775" s="13">
        <f>IF($C775="","",IFERROR(INDEX('Lists'!$G$6:$G$35,MATCH($C775,'Lists'!$F$6:$F$35,0))&amp;"","Unknown category"))</f>
        <v/>
      </c>
      <c r="I775" s="80">
        <f>IF(AND($B775="",$C775="",$E775=""),"",IF(NOT(ISNUMBER($B775)),"Enter a valid date",IF($C775="","Pick a category",IF(OR($H775="Unknown category",$H775=""),"Category has no cost type",IF(NOT(ISNUMBER($E775)),"Enter an amount","OK")))))</f>
        <v/>
      </c>
    </row>
    <row r="776" ht="17" customHeight="1">
      <c r="B776" s="66" t="n"/>
      <c r="C776" s="60" t="n"/>
      <c r="D776" s="60" t="n"/>
      <c r="E776" s="63" t="n"/>
      <c r="F776" s="60" t="n"/>
      <c r="G776" s="60" t="n"/>
      <c r="H776" s="13">
        <f>IF($C776="","",IFERROR(INDEX('Lists'!$G$6:$G$35,MATCH($C776,'Lists'!$F$6:$F$35,0))&amp;"","Unknown category"))</f>
        <v/>
      </c>
      <c r="I776" s="80">
        <f>IF(AND($B776="",$C776="",$E776=""),"",IF(NOT(ISNUMBER($B776)),"Enter a valid date",IF($C776="","Pick a category",IF(OR($H776="Unknown category",$H776=""),"Category has no cost type",IF(NOT(ISNUMBER($E776)),"Enter an amount","OK")))))</f>
        <v/>
      </c>
    </row>
    <row r="777" ht="17" customHeight="1">
      <c r="B777" s="66" t="n"/>
      <c r="C777" s="60" t="n"/>
      <c r="D777" s="60" t="n"/>
      <c r="E777" s="63" t="n"/>
      <c r="F777" s="60" t="n"/>
      <c r="G777" s="60" t="n"/>
      <c r="H777" s="13">
        <f>IF($C777="","",IFERROR(INDEX('Lists'!$G$6:$G$35,MATCH($C777,'Lists'!$F$6:$F$35,0))&amp;"","Unknown category"))</f>
        <v/>
      </c>
      <c r="I777" s="80">
        <f>IF(AND($B777="",$C777="",$E777=""),"",IF(NOT(ISNUMBER($B777)),"Enter a valid date",IF($C777="","Pick a category",IF(OR($H777="Unknown category",$H777=""),"Category has no cost type",IF(NOT(ISNUMBER($E777)),"Enter an amount","OK")))))</f>
        <v/>
      </c>
    </row>
    <row r="778" ht="17" customHeight="1">
      <c r="B778" s="66" t="n"/>
      <c r="C778" s="60" t="n"/>
      <c r="D778" s="60" t="n"/>
      <c r="E778" s="63" t="n"/>
      <c r="F778" s="60" t="n"/>
      <c r="G778" s="60" t="n"/>
      <c r="H778" s="13">
        <f>IF($C778="","",IFERROR(INDEX('Lists'!$G$6:$G$35,MATCH($C778,'Lists'!$F$6:$F$35,0))&amp;"","Unknown category"))</f>
        <v/>
      </c>
      <c r="I778" s="80">
        <f>IF(AND($B778="",$C778="",$E778=""),"",IF(NOT(ISNUMBER($B778)),"Enter a valid date",IF($C778="","Pick a category",IF(OR($H778="Unknown category",$H778=""),"Category has no cost type",IF(NOT(ISNUMBER($E778)),"Enter an amount","OK")))))</f>
        <v/>
      </c>
    </row>
    <row r="779" ht="17" customHeight="1">
      <c r="B779" s="66" t="n"/>
      <c r="C779" s="60" t="n"/>
      <c r="D779" s="60" t="n"/>
      <c r="E779" s="63" t="n"/>
      <c r="F779" s="60" t="n"/>
      <c r="G779" s="60" t="n"/>
      <c r="H779" s="13">
        <f>IF($C779="","",IFERROR(INDEX('Lists'!$G$6:$G$35,MATCH($C779,'Lists'!$F$6:$F$35,0))&amp;"","Unknown category"))</f>
        <v/>
      </c>
      <c r="I779" s="80">
        <f>IF(AND($B779="",$C779="",$E779=""),"",IF(NOT(ISNUMBER($B779)),"Enter a valid date",IF($C779="","Pick a category",IF(OR($H779="Unknown category",$H779=""),"Category has no cost type",IF(NOT(ISNUMBER($E779)),"Enter an amount","OK")))))</f>
        <v/>
      </c>
    </row>
    <row r="780" ht="17" customHeight="1">
      <c r="B780" s="66" t="n"/>
      <c r="C780" s="60" t="n"/>
      <c r="D780" s="60" t="n"/>
      <c r="E780" s="63" t="n"/>
      <c r="F780" s="60" t="n"/>
      <c r="G780" s="60" t="n"/>
      <c r="H780" s="13">
        <f>IF($C780="","",IFERROR(INDEX('Lists'!$G$6:$G$35,MATCH($C780,'Lists'!$F$6:$F$35,0))&amp;"","Unknown category"))</f>
        <v/>
      </c>
      <c r="I780" s="80">
        <f>IF(AND($B780="",$C780="",$E780=""),"",IF(NOT(ISNUMBER($B780)),"Enter a valid date",IF($C780="","Pick a category",IF(OR($H780="Unknown category",$H780=""),"Category has no cost type",IF(NOT(ISNUMBER($E780)),"Enter an amount","OK")))))</f>
        <v/>
      </c>
    </row>
    <row r="781" ht="17" customHeight="1">
      <c r="B781" s="66" t="n"/>
      <c r="C781" s="60" t="n"/>
      <c r="D781" s="60" t="n"/>
      <c r="E781" s="63" t="n"/>
      <c r="F781" s="60" t="n"/>
      <c r="G781" s="60" t="n"/>
      <c r="H781" s="13">
        <f>IF($C781="","",IFERROR(INDEX('Lists'!$G$6:$G$35,MATCH($C781,'Lists'!$F$6:$F$35,0))&amp;"","Unknown category"))</f>
        <v/>
      </c>
      <c r="I781" s="80">
        <f>IF(AND($B781="",$C781="",$E781=""),"",IF(NOT(ISNUMBER($B781)),"Enter a valid date",IF($C781="","Pick a category",IF(OR($H781="Unknown category",$H781=""),"Category has no cost type",IF(NOT(ISNUMBER($E781)),"Enter an amount","OK")))))</f>
        <v/>
      </c>
    </row>
    <row r="782" ht="17" customHeight="1">
      <c r="B782" s="66" t="n"/>
      <c r="C782" s="60" t="n"/>
      <c r="D782" s="60" t="n"/>
      <c r="E782" s="63" t="n"/>
      <c r="F782" s="60" t="n"/>
      <c r="G782" s="60" t="n"/>
      <c r="H782" s="13">
        <f>IF($C782="","",IFERROR(INDEX('Lists'!$G$6:$G$35,MATCH($C782,'Lists'!$F$6:$F$35,0))&amp;"","Unknown category"))</f>
        <v/>
      </c>
      <c r="I782" s="80">
        <f>IF(AND($B782="",$C782="",$E782=""),"",IF(NOT(ISNUMBER($B782)),"Enter a valid date",IF($C782="","Pick a category",IF(OR($H782="Unknown category",$H782=""),"Category has no cost type",IF(NOT(ISNUMBER($E782)),"Enter an amount","OK")))))</f>
        <v/>
      </c>
    </row>
    <row r="783" ht="17" customHeight="1">
      <c r="B783" s="66" t="n"/>
      <c r="C783" s="60" t="n"/>
      <c r="D783" s="60" t="n"/>
      <c r="E783" s="63" t="n"/>
      <c r="F783" s="60" t="n"/>
      <c r="G783" s="60" t="n"/>
      <c r="H783" s="13">
        <f>IF($C783="","",IFERROR(INDEX('Lists'!$G$6:$G$35,MATCH($C783,'Lists'!$F$6:$F$35,0))&amp;"","Unknown category"))</f>
        <v/>
      </c>
      <c r="I783" s="80">
        <f>IF(AND($B783="",$C783="",$E783=""),"",IF(NOT(ISNUMBER($B783)),"Enter a valid date",IF($C783="","Pick a category",IF(OR($H783="Unknown category",$H783=""),"Category has no cost type",IF(NOT(ISNUMBER($E783)),"Enter an amount","OK")))))</f>
        <v/>
      </c>
    </row>
    <row r="784" ht="17" customHeight="1">
      <c r="B784" s="66" t="n"/>
      <c r="C784" s="60" t="n"/>
      <c r="D784" s="60" t="n"/>
      <c r="E784" s="63" t="n"/>
      <c r="F784" s="60" t="n"/>
      <c r="G784" s="60" t="n"/>
      <c r="H784" s="13">
        <f>IF($C784="","",IFERROR(INDEX('Lists'!$G$6:$G$35,MATCH($C784,'Lists'!$F$6:$F$35,0))&amp;"","Unknown category"))</f>
        <v/>
      </c>
      <c r="I784" s="80">
        <f>IF(AND($B784="",$C784="",$E784=""),"",IF(NOT(ISNUMBER($B784)),"Enter a valid date",IF($C784="","Pick a category",IF(OR($H784="Unknown category",$H784=""),"Category has no cost type",IF(NOT(ISNUMBER($E784)),"Enter an amount","OK")))))</f>
        <v/>
      </c>
    </row>
    <row r="785" ht="17" customHeight="1">
      <c r="B785" s="66" t="n"/>
      <c r="C785" s="60" t="n"/>
      <c r="D785" s="60" t="n"/>
      <c r="E785" s="63" t="n"/>
      <c r="F785" s="60" t="n"/>
      <c r="G785" s="60" t="n"/>
      <c r="H785" s="13">
        <f>IF($C785="","",IFERROR(INDEX('Lists'!$G$6:$G$35,MATCH($C785,'Lists'!$F$6:$F$35,0))&amp;"","Unknown category"))</f>
        <v/>
      </c>
      <c r="I785" s="80">
        <f>IF(AND($B785="",$C785="",$E785=""),"",IF(NOT(ISNUMBER($B785)),"Enter a valid date",IF($C785="","Pick a category",IF(OR($H785="Unknown category",$H785=""),"Category has no cost type",IF(NOT(ISNUMBER($E785)),"Enter an amount","OK")))))</f>
        <v/>
      </c>
    </row>
    <row r="786" ht="17" customHeight="1">
      <c r="B786" s="66" t="n"/>
      <c r="C786" s="60" t="n"/>
      <c r="D786" s="60" t="n"/>
      <c r="E786" s="63" t="n"/>
      <c r="F786" s="60" t="n"/>
      <c r="G786" s="60" t="n"/>
      <c r="H786" s="13">
        <f>IF($C786="","",IFERROR(INDEX('Lists'!$G$6:$G$35,MATCH($C786,'Lists'!$F$6:$F$35,0))&amp;"","Unknown category"))</f>
        <v/>
      </c>
      <c r="I786" s="80">
        <f>IF(AND($B786="",$C786="",$E786=""),"",IF(NOT(ISNUMBER($B786)),"Enter a valid date",IF($C786="","Pick a category",IF(OR($H786="Unknown category",$H786=""),"Category has no cost type",IF(NOT(ISNUMBER($E786)),"Enter an amount","OK")))))</f>
        <v/>
      </c>
    </row>
    <row r="787" ht="17" customHeight="1">
      <c r="B787" s="66" t="n"/>
      <c r="C787" s="60" t="n"/>
      <c r="D787" s="60" t="n"/>
      <c r="E787" s="63" t="n"/>
      <c r="F787" s="60" t="n"/>
      <c r="G787" s="60" t="n"/>
      <c r="H787" s="13">
        <f>IF($C787="","",IFERROR(INDEX('Lists'!$G$6:$G$35,MATCH($C787,'Lists'!$F$6:$F$35,0))&amp;"","Unknown category"))</f>
        <v/>
      </c>
      <c r="I787" s="80">
        <f>IF(AND($B787="",$C787="",$E787=""),"",IF(NOT(ISNUMBER($B787)),"Enter a valid date",IF($C787="","Pick a category",IF(OR($H787="Unknown category",$H787=""),"Category has no cost type",IF(NOT(ISNUMBER($E787)),"Enter an amount","OK")))))</f>
        <v/>
      </c>
    </row>
    <row r="788" ht="17" customHeight="1">
      <c r="B788" s="66" t="n"/>
      <c r="C788" s="60" t="n"/>
      <c r="D788" s="60" t="n"/>
      <c r="E788" s="63" t="n"/>
      <c r="F788" s="60" t="n"/>
      <c r="G788" s="60" t="n"/>
      <c r="H788" s="13">
        <f>IF($C788="","",IFERROR(INDEX('Lists'!$G$6:$G$35,MATCH($C788,'Lists'!$F$6:$F$35,0))&amp;"","Unknown category"))</f>
        <v/>
      </c>
      <c r="I788" s="80">
        <f>IF(AND($B788="",$C788="",$E788=""),"",IF(NOT(ISNUMBER($B788)),"Enter a valid date",IF($C788="","Pick a category",IF(OR($H788="Unknown category",$H788=""),"Category has no cost type",IF(NOT(ISNUMBER($E788)),"Enter an amount","OK")))))</f>
        <v/>
      </c>
    </row>
    <row r="789" ht="17" customHeight="1">
      <c r="B789" s="66" t="n"/>
      <c r="C789" s="60" t="n"/>
      <c r="D789" s="60" t="n"/>
      <c r="E789" s="63" t="n"/>
      <c r="F789" s="60" t="n"/>
      <c r="G789" s="60" t="n"/>
      <c r="H789" s="13">
        <f>IF($C789="","",IFERROR(INDEX('Lists'!$G$6:$G$35,MATCH($C789,'Lists'!$F$6:$F$35,0))&amp;"","Unknown category"))</f>
        <v/>
      </c>
      <c r="I789" s="80">
        <f>IF(AND($B789="",$C789="",$E789=""),"",IF(NOT(ISNUMBER($B789)),"Enter a valid date",IF($C789="","Pick a category",IF(OR($H789="Unknown category",$H789=""),"Category has no cost type",IF(NOT(ISNUMBER($E789)),"Enter an amount","OK")))))</f>
        <v/>
      </c>
    </row>
    <row r="790" ht="17" customHeight="1">
      <c r="B790" s="66" t="n"/>
      <c r="C790" s="60" t="n"/>
      <c r="D790" s="60" t="n"/>
      <c r="E790" s="63" t="n"/>
      <c r="F790" s="60" t="n"/>
      <c r="G790" s="60" t="n"/>
      <c r="H790" s="13">
        <f>IF($C790="","",IFERROR(INDEX('Lists'!$G$6:$G$35,MATCH($C790,'Lists'!$F$6:$F$35,0))&amp;"","Unknown category"))</f>
        <v/>
      </c>
      <c r="I790" s="80">
        <f>IF(AND($B790="",$C790="",$E790=""),"",IF(NOT(ISNUMBER($B790)),"Enter a valid date",IF($C790="","Pick a category",IF(OR($H790="Unknown category",$H790=""),"Category has no cost type",IF(NOT(ISNUMBER($E790)),"Enter an amount","OK")))))</f>
        <v/>
      </c>
    </row>
    <row r="791" ht="17" customHeight="1">
      <c r="B791" s="66" t="n"/>
      <c r="C791" s="60" t="n"/>
      <c r="D791" s="60" t="n"/>
      <c r="E791" s="63" t="n"/>
      <c r="F791" s="60" t="n"/>
      <c r="G791" s="60" t="n"/>
      <c r="H791" s="13">
        <f>IF($C791="","",IFERROR(INDEX('Lists'!$G$6:$G$35,MATCH($C791,'Lists'!$F$6:$F$35,0))&amp;"","Unknown category"))</f>
        <v/>
      </c>
      <c r="I791" s="80">
        <f>IF(AND($B791="",$C791="",$E791=""),"",IF(NOT(ISNUMBER($B791)),"Enter a valid date",IF($C791="","Pick a category",IF(OR($H791="Unknown category",$H791=""),"Category has no cost type",IF(NOT(ISNUMBER($E791)),"Enter an amount","OK")))))</f>
        <v/>
      </c>
    </row>
    <row r="792" ht="17" customHeight="1">
      <c r="B792" s="66" t="n"/>
      <c r="C792" s="60" t="n"/>
      <c r="D792" s="60" t="n"/>
      <c r="E792" s="63" t="n"/>
      <c r="F792" s="60" t="n"/>
      <c r="G792" s="60" t="n"/>
      <c r="H792" s="13">
        <f>IF($C792="","",IFERROR(INDEX('Lists'!$G$6:$G$35,MATCH($C792,'Lists'!$F$6:$F$35,0))&amp;"","Unknown category"))</f>
        <v/>
      </c>
      <c r="I792" s="80">
        <f>IF(AND($B792="",$C792="",$E792=""),"",IF(NOT(ISNUMBER($B792)),"Enter a valid date",IF($C792="","Pick a category",IF(OR($H792="Unknown category",$H792=""),"Category has no cost type",IF(NOT(ISNUMBER($E792)),"Enter an amount","OK")))))</f>
        <v/>
      </c>
    </row>
    <row r="793" ht="17" customHeight="1">
      <c r="B793" s="66" t="n"/>
      <c r="C793" s="60" t="n"/>
      <c r="D793" s="60" t="n"/>
      <c r="E793" s="63" t="n"/>
      <c r="F793" s="60" t="n"/>
      <c r="G793" s="60" t="n"/>
      <c r="H793" s="13">
        <f>IF($C793="","",IFERROR(INDEX('Lists'!$G$6:$G$35,MATCH($C793,'Lists'!$F$6:$F$35,0))&amp;"","Unknown category"))</f>
        <v/>
      </c>
      <c r="I793" s="80">
        <f>IF(AND($B793="",$C793="",$E793=""),"",IF(NOT(ISNUMBER($B793)),"Enter a valid date",IF($C793="","Pick a category",IF(OR($H793="Unknown category",$H793=""),"Category has no cost type",IF(NOT(ISNUMBER($E793)),"Enter an amount","OK")))))</f>
        <v/>
      </c>
    </row>
    <row r="794" ht="17" customHeight="1">
      <c r="B794" s="66" t="n"/>
      <c r="C794" s="60" t="n"/>
      <c r="D794" s="60" t="n"/>
      <c r="E794" s="63" t="n"/>
      <c r="F794" s="60" t="n"/>
      <c r="G794" s="60" t="n"/>
      <c r="H794" s="13">
        <f>IF($C794="","",IFERROR(INDEX('Lists'!$G$6:$G$35,MATCH($C794,'Lists'!$F$6:$F$35,0))&amp;"","Unknown category"))</f>
        <v/>
      </c>
      <c r="I794" s="80">
        <f>IF(AND($B794="",$C794="",$E794=""),"",IF(NOT(ISNUMBER($B794)),"Enter a valid date",IF($C794="","Pick a category",IF(OR($H794="Unknown category",$H794=""),"Category has no cost type",IF(NOT(ISNUMBER($E794)),"Enter an amount","OK")))))</f>
        <v/>
      </c>
    </row>
    <row r="795" ht="17" customHeight="1">
      <c r="B795" s="66" t="n"/>
      <c r="C795" s="60" t="n"/>
      <c r="D795" s="60" t="n"/>
      <c r="E795" s="63" t="n"/>
      <c r="F795" s="60" t="n"/>
      <c r="G795" s="60" t="n"/>
      <c r="H795" s="13">
        <f>IF($C795="","",IFERROR(INDEX('Lists'!$G$6:$G$35,MATCH($C795,'Lists'!$F$6:$F$35,0))&amp;"","Unknown category"))</f>
        <v/>
      </c>
      <c r="I795" s="80">
        <f>IF(AND($B795="",$C795="",$E795=""),"",IF(NOT(ISNUMBER($B795)),"Enter a valid date",IF($C795="","Pick a category",IF(OR($H795="Unknown category",$H795=""),"Category has no cost type",IF(NOT(ISNUMBER($E795)),"Enter an amount","OK")))))</f>
        <v/>
      </c>
    </row>
    <row r="796" ht="17" customHeight="1">
      <c r="B796" s="66" t="n"/>
      <c r="C796" s="60" t="n"/>
      <c r="D796" s="60" t="n"/>
      <c r="E796" s="63" t="n"/>
      <c r="F796" s="60" t="n"/>
      <c r="G796" s="60" t="n"/>
      <c r="H796" s="13">
        <f>IF($C796="","",IFERROR(INDEX('Lists'!$G$6:$G$35,MATCH($C796,'Lists'!$F$6:$F$35,0))&amp;"","Unknown category"))</f>
        <v/>
      </c>
      <c r="I796" s="80">
        <f>IF(AND($B796="",$C796="",$E796=""),"",IF(NOT(ISNUMBER($B796)),"Enter a valid date",IF($C796="","Pick a category",IF(OR($H796="Unknown category",$H796=""),"Category has no cost type",IF(NOT(ISNUMBER($E796)),"Enter an amount","OK")))))</f>
        <v/>
      </c>
    </row>
    <row r="797" ht="17" customHeight="1">
      <c r="B797" s="66" t="n"/>
      <c r="C797" s="60" t="n"/>
      <c r="D797" s="60" t="n"/>
      <c r="E797" s="63" t="n"/>
      <c r="F797" s="60" t="n"/>
      <c r="G797" s="60" t="n"/>
      <c r="H797" s="13">
        <f>IF($C797="","",IFERROR(INDEX('Lists'!$G$6:$G$35,MATCH($C797,'Lists'!$F$6:$F$35,0))&amp;"","Unknown category"))</f>
        <v/>
      </c>
      <c r="I797" s="80">
        <f>IF(AND($B797="",$C797="",$E797=""),"",IF(NOT(ISNUMBER($B797)),"Enter a valid date",IF($C797="","Pick a category",IF(OR($H797="Unknown category",$H797=""),"Category has no cost type",IF(NOT(ISNUMBER($E797)),"Enter an amount","OK")))))</f>
        <v/>
      </c>
    </row>
    <row r="798" ht="17" customHeight="1">
      <c r="B798" s="66" t="n"/>
      <c r="C798" s="60" t="n"/>
      <c r="D798" s="60" t="n"/>
      <c r="E798" s="63" t="n"/>
      <c r="F798" s="60" t="n"/>
      <c r="G798" s="60" t="n"/>
      <c r="H798" s="13">
        <f>IF($C798="","",IFERROR(INDEX('Lists'!$G$6:$G$35,MATCH($C798,'Lists'!$F$6:$F$35,0))&amp;"","Unknown category"))</f>
        <v/>
      </c>
      <c r="I798" s="80">
        <f>IF(AND($B798="",$C798="",$E798=""),"",IF(NOT(ISNUMBER($B798)),"Enter a valid date",IF($C798="","Pick a category",IF(OR($H798="Unknown category",$H798=""),"Category has no cost type",IF(NOT(ISNUMBER($E798)),"Enter an amount","OK")))))</f>
        <v/>
      </c>
    </row>
    <row r="799" ht="17" customHeight="1">
      <c r="B799" s="66" t="n"/>
      <c r="C799" s="60" t="n"/>
      <c r="D799" s="60" t="n"/>
      <c r="E799" s="63" t="n"/>
      <c r="F799" s="60" t="n"/>
      <c r="G799" s="60" t="n"/>
      <c r="H799" s="13">
        <f>IF($C799="","",IFERROR(INDEX('Lists'!$G$6:$G$35,MATCH($C799,'Lists'!$F$6:$F$35,0))&amp;"","Unknown category"))</f>
        <v/>
      </c>
      <c r="I799" s="80">
        <f>IF(AND($B799="",$C799="",$E799=""),"",IF(NOT(ISNUMBER($B799)),"Enter a valid date",IF($C799="","Pick a category",IF(OR($H799="Unknown category",$H799=""),"Category has no cost type",IF(NOT(ISNUMBER($E799)),"Enter an amount","OK")))))</f>
        <v/>
      </c>
    </row>
    <row r="800" ht="17" customHeight="1">
      <c r="B800" s="66" t="n"/>
      <c r="C800" s="60" t="n"/>
      <c r="D800" s="60" t="n"/>
      <c r="E800" s="63" t="n"/>
      <c r="F800" s="60" t="n"/>
      <c r="G800" s="60" t="n"/>
      <c r="H800" s="13">
        <f>IF($C800="","",IFERROR(INDEX('Lists'!$G$6:$G$35,MATCH($C800,'Lists'!$F$6:$F$35,0))&amp;"","Unknown category"))</f>
        <v/>
      </c>
      <c r="I800" s="80">
        <f>IF(AND($B800="",$C800="",$E800=""),"",IF(NOT(ISNUMBER($B800)),"Enter a valid date",IF($C800="","Pick a category",IF(OR($H800="Unknown category",$H800=""),"Category has no cost type",IF(NOT(ISNUMBER($E800)),"Enter an amount","OK")))))</f>
        <v/>
      </c>
    </row>
    <row r="801" ht="17" customHeight="1">
      <c r="B801" s="66" t="n"/>
      <c r="C801" s="60" t="n"/>
      <c r="D801" s="60" t="n"/>
      <c r="E801" s="63" t="n"/>
      <c r="F801" s="60" t="n"/>
      <c r="G801" s="60" t="n"/>
      <c r="H801" s="13">
        <f>IF($C801="","",IFERROR(INDEX('Lists'!$G$6:$G$35,MATCH($C801,'Lists'!$F$6:$F$35,0))&amp;"","Unknown category"))</f>
        <v/>
      </c>
      <c r="I801" s="80">
        <f>IF(AND($B801="",$C801="",$E801=""),"",IF(NOT(ISNUMBER($B801)),"Enter a valid date",IF($C801="","Pick a category",IF(OR($H801="Unknown category",$H801=""),"Category has no cost type",IF(NOT(ISNUMBER($E801)),"Enter an amount","OK")))))</f>
        <v/>
      </c>
    </row>
    <row r="802" ht="17" customHeight="1">
      <c r="B802" s="66" t="n"/>
      <c r="C802" s="60" t="n"/>
      <c r="D802" s="60" t="n"/>
      <c r="E802" s="63" t="n"/>
      <c r="F802" s="60" t="n"/>
      <c r="G802" s="60" t="n"/>
      <c r="H802" s="13">
        <f>IF($C802="","",IFERROR(INDEX('Lists'!$G$6:$G$35,MATCH($C802,'Lists'!$F$6:$F$35,0))&amp;"","Unknown category"))</f>
        <v/>
      </c>
      <c r="I802" s="80">
        <f>IF(AND($B802="",$C802="",$E802=""),"",IF(NOT(ISNUMBER($B802)),"Enter a valid date",IF($C802="","Pick a category",IF(OR($H802="Unknown category",$H802=""),"Category has no cost type",IF(NOT(ISNUMBER($E802)),"Enter an amount","OK")))))</f>
        <v/>
      </c>
    </row>
    <row r="803" ht="17" customHeight="1">
      <c r="B803" s="66" t="n"/>
      <c r="C803" s="60" t="n"/>
      <c r="D803" s="60" t="n"/>
      <c r="E803" s="63" t="n"/>
      <c r="F803" s="60" t="n"/>
      <c r="G803" s="60" t="n"/>
      <c r="H803" s="13">
        <f>IF($C803="","",IFERROR(INDEX('Lists'!$G$6:$G$35,MATCH($C803,'Lists'!$F$6:$F$35,0))&amp;"","Unknown category"))</f>
        <v/>
      </c>
      <c r="I803" s="80">
        <f>IF(AND($B803="",$C803="",$E803=""),"",IF(NOT(ISNUMBER($B803)),"Enter a valid date",IF($C803="","Pick a category",IF(OR($H803="Unknown category",$H803=""),"Category has no cost type",IF(NOT(ISNUMBER($E803)),"Enter an amount","OK")))))</f>
        <v/>
      </c>
    </row>
    <row r="804" ht="17" customHeight="1">
      <c r="B804" s="66" t="n"/>
      <c r="C804" s="60" t="n"/>
      <c r="D804" s="60" t="n"/>
      <c r="E804" s="63" t="n"/>
      <c r="F804" s="60" t="n"/>
      <c r="G804" s="60" t="n"/>
      <c r="H804" s="13">
        <f>IF($C804="","",IFERROR(INDEX('Lists'!$G$6:$G$35,MATCH($C804,'Lists'!$F$6:$F$35,0))&amp;"","Unknown category"))</f>
        <v/>
      </c>
      <c r="I804" s="80">
        <f>IF(AND($B804="",$C804="",$E804=""),"",IF(NOT(ISNUMBER($B804)),"Enter a valid date",IF($C804="","Pick a category",IF(OR($H804="Unknown category",$H804=""),"Category has no cost type",IF(NOT(ISNUMBER($E804)),"Enter an amount","OK")))))</f>
        <v/>
      </c>
    </row>
    <row r="805" ht="17" customHeight="1">
      <c r="B805" s="66" t="n"/>
      <c r="C805" s="60" t="n"/>
      <c r="D805" s="60" t="n"/>
      <c r="E805" s="63" t="n"/>
      <c r="F805" s="60" t="n"/>
      <c r="G805" s="60" t="n"/>
      <c r="H805" s="13">
        <f>IF($C805="","",IFERROR(INDEX('Lists'!$G$6:$G$35,MATCH($C805,'Lists'!$F$6:$F$35,0))&amp;"","Unknown category"))</f>
        <v/>
      </c>
      <c r="I805" s="80">
        <f>IF(AND($B805="",$C805="",$E805=""),"",IF(NOT(ISNUMBER($B805)),"Enter a valid date",IF($C805="","Pick a category",IF(OR($H805="Unknown category",$H805=""),"Category has no cost type",IF(NOT(ISNUMBER($E805)),"Enter an amount","OK")))))</f>
        <v/>
      </c>
    </row>
    <row r="806" ht="17" customHeight="1">
      <c r="B806" s="66" t="n"/>
      <c r="C806" s="60" t="n"/>
      <c r="D806" s="60" t="n"/>
      <c r="E806" s="63" t="n"/>
      <c r="F806" s="60" t="n"/>
      <c r="G806" s="60" t="n"/>
      <c r="H806" s="13">
        <f>IF($C806="","",IFERROR(INDEX('Lists'!$G$6:$G$35,MATCH($C806,'Lists'!$F$6:$F$35,0))&amp;"","Unknown category"))</f>
        <v/>
      </c>
      <c r="I806" s="80">
        <f>IF(AND($B806="",$C806="",$E806=""),"",IF(NOT(ISNUMBER($B806)),"Enter a valid date",IF($C806="","Pick a category",IF(OR($H806="Unknown category",$H806=""),"Category has no cost type",IF(NOT(ISNUMBER($E806)),"Enter an amount","OK")))))</f>
        <v/>
      </c>
    </row>
    <row r="807" ht="17" customHeight="1">
      <c r="B807" s="66" t="n"/>
      <c r="C807" s="60" t="n"/>
      <c r="D807" s="60" t="n"/>
      <c r="E807" s="63" t="n"/>
      <c r="F807" s="60" t="n"/>
      <c r="G807" s="60" t="n"/>
      <c r="H807" s="13">
        <f>IF($C807="","",IFERROR(INDEX('Lists'!$G$6:$G$35,MATCH($C807,'Lists'!$F$6:$F$35,0))&amp;"","Unknown category"))</f>
        <v/>
      </c>
      <c r="I807" s="80">
        <f>IF(AND($B807="",$C807="",$E807=""),"",IF(NOT(ISNUMBER($B807)),"Enter a valid date",IF($C807="","Pick a category",IF(OR($H807="Unknown category",$H807=""),"Category has no cost type",IF(NOT(ISNUMBER($E807)),"Enter an amount","OK")))))</f>
        <v/>
      </c>
    </row>
    <row r="808" ht="17" customHeight="1">
      <c r="B808" s="66" t="n"/>
      <c r="C808" s="60" t="n"/>
      <c r="D808" s="60" t="n"/>
      <c r="E808" s="63" t="n"/>
      <c r="F808" s="60" t="n"/>
      <c r="G808" s="60" t="n"/>
      <c r="H808" s="13">
        <f>IF($C808="","",IFERROR(INDEX('Lists'!$G$6:$G$35,MATCH($C808,'Lists'!$F$6:$F$35,0))&amp;"","Unknown category"))</f>
        <v/>
      </c>
      <c r="I808" s="80">
        <f>IF(AND($B808="",$C808="",$E808=""),"",IF(NOT(ISNUMBER($B808)),"Enter a valid date",IF($C808="","Pick a category",IF(OR($H808="Unknown category",$H808=""),"Category has no cost type",IF(NOT(ISNUMBER($E808)),"Enter an amount","OK")))))</f>
        <v/>
      </c>
    </row>
    <row r="809" ht="17" customHeight="1">
      <c r="B809" s="66" t="n"/>
      <c r="C809" s="60" t="n"/>
      <c r="D809" s="60" t="n"/>
      <c r="E809" s="63" t="n"/>
      <c r="F809" s="60" t="n"/>
      <c r="G809" s="60" t="n"/>
      <c r="H809" s="13">
        <f>IF($C809="","",IFERROR(INDEX('Lists'!$G$6:$G$35,MATCH($C809,'Lists'!$F$6:$F$35,0))&amp;"","Unknown category"))</f>
        <v/>
      </c>
      <c r="I809" s="80">
        <f>IF(AND($B809="",$C809="",$E809=""),"",IF(NOT(ISNUMBER($B809)),"Enter a valid date",IF($C809="","Pick a category",IF(OR($H809="Unknown category",$H809=""),"Category has no cost type",IF(NOT(ISNUMBER($E809)),"Enter an amount","OK")))))</f>
        <v/>
      </c>
    </row>
    <row r="810" ht="17" customHeight="1">
      <c r="B810" s="66" t="n"/>
      <c r="C810" s="60" t="n"/>
      <c r="D810" s="60" t="n"/>
      <c r="E810" s="63" t="n"/>
      <c r="F810" s="60" t="n"/>
      <c r="G810" s="60" t="n"/>
      <c r="H810" s="13">
        <f>IF($C810="","",IFERROR(INDEX('Lists'!$G$6:$G$35,MATCH($C810,'Lists'!$F$6:$F$35,0))&amp;"","Unknown category"))</f>
        <v/>
      </c>
      <c r="I810" s="80">
        <f>IF(AND($B810="",$C810="",$E810=""),"",IF(NOT(ISNUMBER($B810)),"Enter a valid date",IF($C810="","Pick a category",IF(OR($H810="Unknown category",$H810=""),"Category has no cost type",IF(NOT(ISNUMBER($E810)),"Enter an amount","OK")))))</f>
        <v/>
      </c>
    </row>
    <row r="811" ht="17" customHeight="1">
      <c r="B811" s="66" t="n"/>
      <c r="C811" s="60" t="n"/>
      <c r="D811" s="60" t="n"/>
      <c r="E811" s="63" t="n"/>
      <c r="F811" s="60" t="n"/>
      <c r="G811" s="60" t="n"/>
      <c r="H811" s="13">
        <f>IF($C811="","",IFERROR(INDEX('Lists'!$G$6:$G$35,MATCH($C811,'Lists'!$F$6:$F$35,0))&amp;"","Unknown category"))</f>
        <v/>
      </c>
      <c r="I811" s="80">
        <f>IF(AND($B811="",$C811="",$E811=""),"",IF(NOT(ISNUMBER($B811)),"Enter a valid date",IF($C811="","Pick a category",IF(OR($H811="Unknown category",$H811=""),"Category has no cost type",IF(NOT(ISNUMBER($E811)),"Enter an amount","OK")))))</f>
        <v/>
      </c>
    </row>
    <row r="812" ht="17" customHeight="1">
      <c r="B812" s="66" t="n"/>
      <c r="C812" s="60" t="n"/>
      <c r="D812" s="60" t="n"/>
      <c r="E812" s="63" t="n"/>
      <c r="F812" s="60" t="n"/>
      <c r="G812" s="60" t="n"/>
      <c r="H812" s="13">
        <f>IF($C812="","",IFERROR(INDEX('Lists'!$G$6:$G$35,MATCH($C812,'Lists'!$F$6:$F$35,0))&amp;"","Unknown category"))</f>
        <v/>
      </c>
      <c r="I812" s="80">
        <f>IF(AND($B812="",$C812="",$E812=""),"",IF(NOT(ISNUMBER($B812)),"Enter a valid date",IF($C812="","Pick a category",IF(OR($H812="Unknown category",$H812=""),"Category has no cost type",IF(NOT(ISNUMBER($E812)),"Enter an amount","OK")))))</f>
        <v/>
      </c>
    </row>
    <row r="813" ht="17" customHeight="1">
      <c r="B813" s="66" t="n"/>
      <c r="C813" s="60" t="n"/>
      <c r="D813" s="60" t="n"/>
      <c r="E813" s="63" t="n"/>
      <c r="F813" s="60" t="n"/>
      <c r="G813" s="60" t="n"/>
      <c r="H813" s="13">
        <f>IF($C813="","",IFERROR(INDEX('Lists'!$G$6:$G$35,MATCH($C813,'Lists'!$F$6:$F$35,0))&amp;"","Unknown category"))</f>
        <v/>
      </c>
      <c r="I813" s="80">
        <f>IF(AND($B813="",$C813="",$E813=""),"",IF(NOT(ISNUMBER($B813)),"Enter a valid date",IF($C813="","Pick a category",IF(OR($H813="Unknown category",$H813=""),"Category has no cost type",IF(NOT(ISNUMBER($E813)),"Enter an amount","OK")))))</f>
        <v/>
      </c>
    </row>
    <row r="814" ht="17" customHeight="1">
      <c r="B814" s="66" t="n"/>
      <c r="C814" s="60" t="n"/>
      <c r="D814" s="60" t="n"/>
      <c r="E814" s="63" t="n"/>
      <c r="F814" s="60" t="n"/>
      <c r="G814" s="60" t="n"/>
      <c r="H814" s="13">
        <f>IF($C814="","",IFERROR(INDEX('Lists'!$G$6:$G$35,MATCH($C814,'Lists'!$F$6:$F$35,0))&amp;"","Unknown category"))</f>
        <v/>
      </c>
      <c r="I814" s="80">
        <f>IF(AND($B814="",$C814="",$E814=""),"",IF(NOT(ISNUMBER($B814)),"Enter a valid date",IF($C814="","Pick a category",IF(OR($H814="Unknown category",$H814=""),"Category has no cost type",IF(NOT(ISNUMBER($E814)),"Enter an amount","OK")))))</f>
        <v/>
      </c>
    </row>
    <row r="815" ht="17" customHeight="1">
      <c r="B815" s="66" t="n"/>
      <c r="C815" s="60" t="n"/>
      <c r="D815" s="60" t="n"/>
      <c r="E815" s="63" t="n"/>
      <c r="F815" s="60" t="n"/>
      <c r="G815" s="60" t="n"/>
      <c r="H815" s="13">
        <f>IF($C815="","",IFERROR(INDEX('Lists'!$G$6:$G$35,MATCH($C815,'Lists'!$F$6:$F$35,0))&amp;"","Unknown category"))</f>
        <v/>
      </c>
      <c r="I815" s="80">
        <f>IF(AND($B815="",$C815="",$E815=""),"",IF(NOT(ISNUMBER($B815)),"Enter a valid date",IF($C815="","Pick a category",IF(OR($H815="Unknown category",$H815=""),"Category has no cost type",IF(NOT(ISNUMBER($E815)),"Enter an amount","OK")))))</f>
        <v/>
      </c>
    </row>
    <row r="816" ht="17" customHeight="1">
      <c r="B816" s="66" t="n"/>
      <c r="C816" s="60" t="n"/>
      <c r="D816" s="60" t="n"/>
      <c r="E816" s="63" t="n"/>
      <c r="F816" s="60" t="n"/>
      <c r="G816" s="60" t="n"/>
      <c r="H816" s="13">
        <f>IF($C816="","",IFERROR(INDEX('Lists'!$G$6:$G$35,MATCH($C816,'Lists'!$F$6:$F$35,0))&amp;"","Unknown category"))</f>
        <v/>
      </c>
      <c r="I816" s="80">
        <f>IF(AND($B816="",$C816="",$E816=""),"",IF(NOT(ISNUMBER($B816)),"Enter a valid date",IF($C816="","Pick a category",IF(OR($H816="Unknown category",$H816=""),"Category has no cost type",IF(NOT(ISNUMBER($E816)),"Enter an amount","OK")))))</f>
        <v/>
      </c>
    </row>
    <row r="817" ht="17" customHeight="1">
      <c r="B817" s="66" t="n"/>
      <c r="C817" s="60" t="n"/>
      <c r="D817" s="60" t="n"/>
      <c r="E817" s="63" t="n"/>
      <c r="F817" s="60" t="n"/>
      <c r="G817" s="60" t="n"/>
      <c r="H817" s="13">
        <f>IF($C817="","",IFERROR(INDEX('Lists'!$G$6:$G$35,MATCH($C817,'Lists'!$F$6:$F$35,0))&amp;"","Unknown category"))</f>
        <v/>
      </c>
      <c r="I817" s="80">
        <f>IF(AND($B817="",$C817="",$E817=""),"",IF(NOT(ISNUMBER($B817)),"Enter a valid date",IF($C817="","Pick a category",IF(OR($H817="Unknown category",$H817=""),"Category has no cost type",IF(NOT(ISNUMBER($E817)),"Enter an amount","OK")))))</f>
        <v/>
      </c>
    </row>
    <row r="818" ht="17" customHeight="1">
      <c r="B818" s="66" t="n"/>
      <c r="C818" s="60" t="n"/>
      <c r="D818" s="60" t="n"/>
      <c r="E818" s="63" t="n"/>
      <c r="F818" s="60" t="n"/>
      <c r="G818" s="60" t="n"/>
      <c r="H818" s="13">
        <f>IF($C818="","",IFERROR(INDEX('Lists'!$G$6:$G$35,MATCH($C818,'Lists'!$F$6:$F$35,0))&amp;"","Unknown category"))</f>
        <v/>
      </c>
      <c r="I818" s="80">
        <f>IF(AND($B818="",$C818="",$E818=""),"",IF(NOT(ISNUMBER($B818)),"Enter a valid date",IF($C818="","Pick a category",IF(OR($H818="Unknown category",$H818=""),"Category has no cost type",IF(NOT(ISNUMBER($E818)),"Enter an amount","OK")))))</f>
        <v/>
      </c>
    </row>
    <row r="819" ht="17" customHeight="1">
      <c r="B819" s="66" t="n"/>
      <c r="C819" s="60" t="n"/>
      <c r="D819" s="60" t="n"/>
      <c r="E819" s="63" t="n"/>
      <c r="F819" s="60" t="n"/>
      <c r="G819" s="60" t="n"/>
      <c r="H819" s="13">
        <f>IF($C819="","",IFERROR(INDEX('Lists'!$G$6:$G$35,MATCH($C819,'Lists'!$F$6:$F$35,0))&amp;"","Unknown category"))</f>
        <v/>
      </c>
      <c r="I819" s="80">
        <f>IF(AND($B819="",$C819="",$E819=""),"",IF(NOT(ISNUMBER($B819)),"Enter a valid date",IF($C819="","Pick a category",IF(OR($H819="Unknown category",$H819=""),"Category has no cost type",IF(NOT(ISNUMBER($E819)),"Enter an amount","OK")))))</f>
        <v/>
      </c>
    </row>
    <row r="820" ht="17" customHeight="1">
      <c r="B820" s="66" t="n"/>
      <c r="C820" s="60" t="n"/>
      <c r="D820" s="60" t="n"/>
      <c r="E820" s="63" t="n"/>
      <c r="F820" s="60" t="n"/>
      <c r="G820" s="60" t="n"/>
      <c r="H820" s="13">
        <f>IF($C820="","",IFERROR(INDEX('Lists'!$G$6:$G$35,MATCH($C820,'Lists'!$F$6:$F$35,0))&amp;"","Unknown category"))</f>
        <v/>
      </c>
      <c r="I820" s="80">
        <f>IF(AND($B820="",$C820="",$E820=""),"",IF(NOT(ISNUMBER($B820)),"Enter a valid date",IF($C820="","Pick a category",IF(OR($H820="Unknown category",$H820=""),"Category has no cost type",IF(NOT(ISNUMBER($E820)),"Enter an amount","OK")))))</f>
        <v/>
      </c>
    </row>
    <row r="821" ht="17" customHeight="1">
      <c r="B821" s="66" t="n"/>
      <c r="C821" s="60" t="n"/>
      <c r="D821" s="60" t="n"/>
      <c r="E821" s="63" t="n"/>
      <c r="F821" s="60" t="n"/>
      <c r="G821" s="60" t="n"/>
      <c r="H821" s="13">
        <f>IF($C821="","",IFERROR(INDEX('Lists'!$G$6:$G$35,MATCH($C821,'Lists'!$F$6:$F$35,0))&amp;"","Unknown category"))</f>
        <v/>
      </c>
      <c r="I821" s="80">
        <f>IF(AND($B821="",$C821="",$E821=""),"",IF(NOT(ISNUMBER($B821)),"Enter a valid date",IF($C821="","Pick a category",IF(OR($H821="Unknown category",$H821=""),"Category has no cost type",IF(NOT(ISNUMBER($E821)),"Enter an amount","OK")))))</f>
        <v/>
      </c>
    </row>
    <row r="822" ht="17" customHeight="1">
      <c r="B822" s="66" t="n"/>
      <c r="C822" s="60" t="n"/>
      <c r="D822" s="60" t="n"/>
      <c r="E822" s="63" t="n"/>
      <c r="F822" s="60" t="n"/>
      <c r="G822" s="60" t="n"/>
      <c r="H822" s="13">
        <f>IF($C822="","",IFERROR(INDEX('Lists'!$G$6:$G$35,MATCH($C822,'Lists'!$F$6:$F$35,0))&amp;"","Unknown category"))</f>
        <v/>
      </c>
      <c r="I822" s="80">
        <f>IF(AND($B822="",$C822="",$E822=""),"",IF(NOT(ISNUMBER($B822)),"Enter a valid date",IF($C822="","Pick a category",IF(OR($H822="Unknown category",$H822=""),"Category has no cost type",IF(NOT(ISNUMBER($E822)),"Enter an amount","OK")))))</f>
        <v/>
      </c>
    </row>
    <row r="823" ht="17" customHeight="1">
      <c r="B823" s="66" t="n"/>
      <c r="C823" s="60" t="n"/>
      <c r="D823" s="60" t="n"/>
      <c r="E823" s="63" t="n"/>
      <c r="F823" s="60" t="n"/>
      <c r="G823" s="60" t="n"/>
      <c r="H823" s="13">
        <f>IF($C823="","",IFERROR(INDEX('Lists'!$G$6:$G$35,MATCH($C823,'Lists'!$F$6:$F$35,0))&amp;"","Unknown category"))</f>
        <v/>
      </c>
      <c r="I823" s="80">
        <f>IF(AND($B823="",$C823="",$E823=""),"",IF(NOT(ISNUMBER($B823)),"Enter a valid date",IF($C823="","Pick a category",IF(OR($H823="Unknown category",$H823=""),"Category has no cost type",IF(NOT(ISNUMBER($E823)),"Enter an amount","OK")))))</f>
        <v/>
      </c>
    </row>
    <row r="824" ht="17" customHeight="1">
      <c r="B824" s="66" t="n"/>
      <c r="C824" s="60" t="n"/>
      <c r="D824" s="60" t="n"/>
      <c r="E824" s="63" t="n"/>
      <c r="F824" s="60" t="n"/>
      <c r="G824" s="60" t="n"/>
      <c r="H824" s="13">
        <f>IF($C824="","",IFERROR(INDEX('Lists'!$G$6:$G$35,MATCH($C824,'Lists'!$F$6:$F$35,0))&amp;"","Unknown category"))</f>
        <v/>
      </c>
      <c r="I824" s="80">
        <f>IF(AND($B824="",$C824="",$E824=""),"",IF(NOT(ISNUMBER($B824)),"Enter a valid date",IF($C824="","Pick a category",IF(OR($H824="Unknown category",$H824=""),"Category has no cost type",IF(NOT(ISNUMBER($E824)),"Enter an amount","OK")))))</f>
        <v/>
      </c>
    </row>
    <row r="825" ht="17" customHeight="1">
      <c r="B825" s="66" t="n"/>
      <c r="C825" s="60" t="n"/>
      <c r="D825" s="60" t="n"/>
      <c r="E825" s="63" t="n"/>
      <c r="F825" s="60" t="n"/>
      <c r="G825" s="60" t="n"/>
      <c r="H825" s="13">
        <f>IF($C825="","",IFERROR(INDEX('Lists'!$G$6:$G$35,MATCH($C825,'Lists'!$F$6:$F$35,0))&amp;"","Unknown category"))</f>
        <v/>
      </c>
      <c r="I825" s="80">
        <f>IF(AND($B825="",$C825="",$E825=""),"",IF(NOT(ISNUMBER($B825)),"Enter a valid date",IF($C825="","Pick a category",IF(OR($H825="Unknown category",$H825=""),"Category has no cost type",IF(NOT(ISNUMBER($E825)),"Enter an amount","OK")))))</f>
        <v/>
      </c>
    </row>
    <row r="826" ht="17" customHeight="1">
      <c r="B826" s="66" t="n"/>
      <c r="C826" s="60" t="n"/>
      <c r="D826" s="60" t="n"/>
      <c r="E826" s="63" t="n"/>
      <c r="F826" s="60" t="n"/>
      <c r="G826" s="60" t="n"/>
      <c r="H826" s="13">
        <f>IF($C826="","",IFERROR(INDEX('Lists'!$G$6:$G$35,MATCH($C826,'Lists'!$F$6:$F$35,0))&amp;"","Unknown category"))</f>
        <v/>
      </c>
      <c r="I826" s="80">
        <f>IF(AND($B826="",$C826="",$E826=""),"",IF(NOT(ISNUMBER($B826)),"Enter a valid date",IF($C826="","Pick a category",IF(OR($H826="Unknown category",$H826=""),"Category has no cost type",IF(NOT(ISNUMBER($E826)),"Enter an amount","OK")))))</f>
        <v/>
      </c>
    </row>
    <row r="827" ht="17" customHeight="1">
      <c r="B827" s="66" t="n"/>
      <c r="C827" s="60" t="n"/>
      <c r="D827" s="60" t="n"/>
      <c r="E827" s="63" t="n"/>
      <c r="F827" s="60" t="n"/>
      <c r="G827" s="60" t="n"/>
      <c r="H827" s="13">
        <f>IF($C827="","",IFERROR(INDEX('Lists'!$G$6:$G$35,MATCH($C827,'Lists'!$F$6:$F$35,0))&amp;"","Unknown category"))</f>
        <v/>
      </c>
      <c r="I827" s="80">
        <f>IF(AND($B827="",$C827="",$E827=""),"",IF(NOT(ISNUMBER($B827)),"Enter a valid date",IF($C827="","Pick a category",IF(OR($H827="Unknown category",$H827=""),"Category has no cost type",IF(NOT(ISNUMBER($E827)),"Enter an amount","OK")))))</f>
        <v/>
      </c>
    </row>
    <row r="828" ht="17" customHeight="1">
      <c r="B828" s="66" t="n"/>
      <c r="C828" s="60" t="n"/>
      <c r="D828" s="60" t="n"/>
      <c r="E828" s="63" t="n"/>
      <c r="F828" s="60" t="n"/>
      <c r="G828" s="60" t="n"/>
      <c r="H828" s="13">
        <f>IF($C828="","",IFERROR(INDEX('Lists'!$G$6:$G$35,MATCH($C828,'Lists'!$F$6:$F$35,0))&amp;"","Unknown category"))</f>
        <v/>
      </c>
      <c r="I828" s="80">
        <f>IF(AND($B828="",$C828="",$E828=""),"",IF(NOT(ISNUMBER($B828)),"Enter a valid date",IF($C828="","Pick a category",IF(OR($H828="Unknown category",$H828=""),"Category has no cost type",IF(NOT(ISNUMBER($E828)),"Enter an amount","OK")))))</f>
        <v/>
      </c>
    </row>
    <row r="829" ht="17" customHeight="1">
      <c r="B829" s="66" t="n"/>
      <c r="C829" s="60" t="n"/>
      <c r="D829" s="60" t="n"/>
      <c r="E829" s="63" t="n"/>
      <c r="F829" s="60" t="n"/>
      <c r="G829" s="60" t="n"/>
      <c r="H829" s="13">
        <f>IF($C829="","",IFERROR(INDEX('Lists'!$G$6:$G$35,MATCH($C829,'Lists'!$F$6:$F$35,0))&amp;"","Unknown category"))</f>
        <v/>
      </c>
      <c r="I829" s="80">
        <f>IF(AND($B829="",$C829="",$E829=""),"",IF(NOT(ISNUMBER($B829)),"Enter a valid date",IF($C829="","Pick a category",IF(OR($H829="Unknown category",$H829=""),"Category has no cost type",IF(NOT(ISNUMBER($E829)),"Enter an amount","OK")))))</f>
        <v/>
      </c>
    </row>
    <row r="830" ht="17" customHeight="1">
      <c r="B830" s="66" t="n"/>
      <c r="C830" s="60" t="n"/>
      <c r="D830" s="60" t="n"/>
      <c r="E830" s="63" t="n"/>
      <c r="F830" s="60" t="n"/>
      <c r="G830" s="60" t="n"/>
      <c r="H830" s="13">
        <f>IF($C830="","",IFERROR(INDEX('Lists'!$G$6:$G$35,MATCH($C830,'Lists'!$F$6:$F$35,0))&amp;"","Unknown category"))</f>
        <v/>
      </c>
      <c r="I830" s="80">
        <f>IF(AND($B830="",$C830="",$E830=""),"",IF(NOT(ISNUMBER($B830)),"Enter a valid date",IF($C830="","Pick a category",IF(OR($H830="Unknown category",$H830=""),"Category has no cost type",IF(NOT(ISNUMBER($E830)),"Enter an amount","OK")))))</f>
        <v/>
      </c>
    </row>
    <row r="831" ht="17" customHeight="1">
      <c r="B831" s="66" t="n"/>
      <c r="C831" s="60" t="n"/>
      <c r="D831" s="60" t="n"/>
      <c r="E831" s="63" t="n"/>
      <c r="F831" s="60" t="n"/>
      <c r="G831" s="60" t="n"/>
      <c r="H831" s="13">
        <f>IF($C831="","",IFERROR(INDEX('Lists'!$G$6:$G$35,MATCH($C831,'Lists'!$F$6:$F$35,0))&amp;"","Unknown category"))</f>
        <v/>
      </c>
      <c r="I831" s="80">
        <f>IF(AND($B831="",$C831="",$E831=""),"",IF(NOT(ISNUMBER($B831)),"Enter a valid date",IF($C831="","Pick a category",IF(OR($H831="Unknown category",$H831=""),"Category has no cost type",IF(NOT(ISNUMBER($E831)),"Enter an amount","OK")))))</f>
        <v/>
      </c>
    </row>
    <row r="832" ht="17" customHeight="1">
      <c r="B832" s="66" t="n"/>
      <c r="C832" s="60" t="n"/>
      <c r="D832" s="60" t="n"/>
      <c r="E832" s="63" t="n"/>
      <c r="F832" s="60" t="n"/>
      <c r="G832" s="60" t="n"/>
      <c r="H832" s="13">
        <f>IF($C832="","",IFERROR(INDEX('Lists'!$G$6:$G$35,MATCH($C832,'Lists'!$F$6:$F$35,0))&amp;"","Unknown category"))</f>
        <v/>
      </c>
      <c r="I832" s="80">
        <f>IF(AND($B832="",$C832="",$E832=""),"",IF(NOT(ISNUMBER($B832)),"Enter a valid date",IF($C832="","Pick a category",IF(OR($H832="Unknown category",$H832=""),"Category has no cost type",IF(NOT(ISNUMBER($E832)),"Enter an amount","OK")))))</f>
        <v/>
      </c>
    </row>
    <row r="833" ht="17" customHeight="1">
      <c r="B833" s="66" t="n"/>
      <c r="C833" s="60" t="n"/>
      <c r="D833" s="60" t="n"/>
      <c r="E833" s="63" t="n"/>
      <c r="F833" s="60" t="n"/>
      <c r="G833" s="60" t="n"/>
      <c r="H833" s="13">
        <f>IF($C833="","",IFERROR(INDEX('Lists'!$G$6:$G$35,MATCH($C833,'Lists'!$F$6:$F$35,0))&amp;"","Unknown category"))</f>
        <v/>
      </c>
      <c r="I833" s="80">
        <f>IF(AND($B833="",$C833="",$E833=""),"",IF(NOT(ISNUMBER($B833)),"Enter a valid date",IF($C833="","Pick a category",IF(OR($H833="Unknown category",$H833=""),"Category has no cost type",IF(NOT(ISNUMBER($E833)),"Enter an amount","OK")))))</f>
        <v/>
      </c>
    </row>
    <row r="834" ht="17" customHeight="1">
      <c r="B834" s="66" t="n"/>
      <c r="C834" s="60" t="n"/>
      <c r="D834" s="60" t="n"/>
      <c r="E834" s="63" t="n"/>
      <c r="F834" s="60" t="n"/>
      <c r="G834" s="60" t="n"/>
      <c r="H834" s="13">
        <f>IF($C834="","",IFERROR(INDEX('Lists'!$G$6:$G$35,MATCH($C834,'Lists'!$F$6:$F$35,0))&amp;"","Unknown category"))</f>
        <v/>
      </c>
      <c r="I834" s="80">
        <f>IF(AND($B834="",$C834="",$E834=""),"",IF(NOT(ISNUMBER($B834)),"Enter a valid date",IF($C834="","Pick a category",IF(OR($H834="Unknown category",$H834=""),"Category has no cost type",IF(NOT(ISNUMBER($E834)),"Enter an amount","OK")))))</f>
        <v/>
      </c>
    </row>
    <row r="835" ht="17" customHeight="1">
      <c r="B835" s="66" t="n"/>
      <c r="C835" s="60" t="n"/>
      <c r="D835" s="60" t="n"/>
      <c r="E835" s="63" t="n"/>
      <c r="F835" s="60" t="n"/>
      <c r="G835" s="60" t="n"/>
      <c r="H835" s="13">
        <f>IF($C835="","",IFERROR(INDEX('Lists'!$G$6:$G$35,MATCH($C835,'Lists'!$F$6:$F$35,0))&amp;"","Unknown category"))</f>
        <v/>
      </c>
      <c r="I835" s="80">
        <f>IF(AND($B835="",$C835="",$E835=""),"",IF(NOT(ISNUMBER($B835)),"Enter a valid date",IF($C835="","Pick a category",IF(OR($H835="Unknown category",$H835=""),"Category has no cost type",IF(NOT(ISNUMBER($E835)),"Enter an amount","OK")))))</f>
        <v/>
      </c>
    </row>
    <row r="836" ht="17" customHeight="1">
      <c r="B836" s="66" t="n"/>
      <c r="C836" s="60" t="n"/>
      <c r="D836" s="60" t="n"/>
      <c r="E836" s="63" t="n"/>
      <c r="F836" s="60" t="n"/>
      <c r="G836" s="60" t="n"/>
      <c r="H836" s="13">
        <f>IF($C836="","",IFERROR(INDEX('Lists'!$G$6:$G$35,MATCH($C836,'Lists'!$F$6:$F$35,0))&amp;"","Unknown category"))</f>
        <v/>
      </c>
      <c r="I836" s="80">
        <f>IF(AND($B836="",$C836="",$E836=""),"",IF(NOT(ISNUMBER($B836)),"Enter a valid date",IF($C836="","Pick a category",IF(OR($H836="Unknown category",$H836=""),"Category has no cost type",IF(NOT(ISNUMBER($E836)),"Enter an amount","OK")))))</f>
        <v/>
      </c>
    </row>
    <row r="837" ht="17" customHeight="1">
      <c r="B837" s="66" t="n"/>
      <c r="C837" s="60" t="n"/>
      <c r="D837" s="60" t="n"/>
      <c r="E837" s="63" t="n"/>
      <c r="F837" s="60" t="n"/>
      <c r="G837" s="60" t="n"/>
      <c r="H837" s="13">
        <f>IF($C837="","",IFERROR(INDEX('Lists'!$G$6:$G$35,MATCH($C837,'Lists'!$F$6:$F$35,0))&amp;"","Unknown category"))</f>
        <v/>
      </c>
      <c r="I837" s="80">
        <f>IF(AND($B837="",$C837="",$E837=""),"",IF(NOT(ISNUMBER($B837)),"Enter a valid date",IF($C837="","Pick a category",IF(OR($H837="Unknown category",$H837=""),"Category has no cost type",IF(NOT(ISNUMBER($E837)),"Enter an amount","OK")))))</f>
        <v/>
      </c>
    </row>
    <row r="838" ht="17" customHeight="1">
      <c r="B838" s="66" t="n"/>
      <c r="C838" s="60" t="n"/>
      <c r="D838" s="60" t="n"/>
      <c r="E838" s="63" t="n"/>
      <c r="F838" s="60" t="n"/>
      <c r="G838" s="60" t="n"/>
      <c r="H838" s="13">
        <f>IF($C838="","",IFERROR(INDEX('Lists'!$G$6:$G$35,MATCH($C838,'Lists'!$F$6:$F$35,0))&amp;"","Unknown category"))</f>
        <v/>
      </c>
      <c r="I838" s="80">
        <f>IF(AND($B838="",$C838="",$E838=""),"",IF(NOT(ISNUMBER($B838)),"Enter a valid date",IF($C838="","Pick a category",IF(OR($H838="Unknown category",$H838=""),"Category has no cost type",IF(NOT(ISNUMBER($E838)),"Enter an amount","OK")))))</f>
        <v/>
      </c>
    </row>
    <row r="839" ht="17" customHeight="1">
      <c r="B839" s="66" t="n"/>
      <c r="C839" s="60" t="n"/>
      <c r="D839" s="60" t="n"/>
      <c r="E839" s="63" t="n"/>
      <c r="F839" s="60" t="n"/>
      <c r="G839" s="60" t="n"/>
      <c r="H839" s="13">
        <f>IF($C839="","",IFERROR(INDEX('Lists'!$G$6:$G$35,MATCH($C839,'Lists'!$F$6:$F$35,0))&amp;"","Unknown category"))</f>
        <v/>
      </c>
      <c r="I839" s="80">
        <f>IF(AND($B839="",$C839="",$E839=""),"",IF(NOT(ISNUMBER($B839)),"Enter a valid date",IF($C839="","Pick a category",IF(OR($H839="Unknown category",$H839=""),"Category has no cost type",IF(NOT(ISNUMBER($E839)),"Enter an amount","OK")))))</f>
        <v/>
      </c>
    </row>
    <row r="840" ht="17" customHeight="1">
      <c r="B840" s="66" t="n"/>
      <c r="C840" s="60" t="n"/>
      <c r="D840" s="60" t="n"/>
      <c r="E840" s="63" t="n"/>
      <c r="F840" s="60" t="n"/>
      <c r="G840" s="60" t="n"/>
      <c r="H840" s="13">
        <f>IF($C840="","",IFERROR(INDEX('Lists'!$G$6:$G$35,MATCH($C840,'Lists'!$F$6:$F$35,0))&amp;"","Unknown category"))</f>
        <v/>
      </c>
      <c r="I840" s="80">
        <f>IF(AND($B840="",$C840="",$E840=""),"",IF(NOT(ISNUMBER($B840)),"Enter a valid date",IF($C840="","Pick a category",IF(OR($H840="Unknown category",$H840=""),"Category has no cost type",IF(NOT(ISNUMBER($E840)),"Enter an amount","OK")))))</f>
        <v/>
      </c>
    </row>
    <row r="841" ht="17" customHeight="1">
      <c r="B841" s="66" t="n"/>
      <c r="C841" s="60" t="n"/>
      <c r="D841" s="60" t="n"/>
      <c r="E841" s="63" t="n"/>
      <c r="F841" s="60" t="n"/>
      <c r="G841" s="60" t="n"/>
      <c r="H841" s="13">
        <f>IF($C841="","",IFERROR(INDEX('Lists'!$G$6:$G$35,MATCH($C841,'Lists'!$F$6:$F$35,0))&amp;"","Unknown category"))</f>
        <v/>
      </c>
      <c r="I841" s="80">
        <f>IF(AND($B841="",$C841="",$E841=""),"",IF(NOT(ISNUMBER($B841)),"Enter a valid date",IF($C841="","Pick a category",IF(OR($H841="Unknown category",$H841=""),"Category has no cost type",IF(NOT(ISNUMBER($E841)),"Enter an amount","OK")))))</f>
        <v/>
      </c>
    </row>
    <row r="842" ht="17" customHeight="1">
      <c r="B842" s="66" t="n"/>
      <c r="C842" s="60" t="n"/>
      <c r="D842" s="60" t="n"/>
      <c r="E842" s="63" t="n"/>
      <c r="F842" s="60" t="n"/>
      <c r="G842" s="60" t="n"/>
      <c r="H842" s="13">
        <f>IF($C842="","",IFERROR(INDEX('Lists'!$G$6:$G$35,MATCH($C842,'Lists'!$F$6:$F$35,0))&amp;"","Unknown category"))</f>
        <v/>
      </c>
      <c r="I842" s="80">
        <f>IF(AND($B842="",$C842="",$E842=""),"",IF(NOT(ISNUMBER($B842)),"Enter a valid date",IF($C842="","Pick a category",IF(OR($H842="Unknown category",$H842=""),"Category has no cost type",IF(NOT(ISNUMBER($E842)),"Enter an amount","OK")))))</f>
        <v/>
      </c>
    </row>
    <row r="843" ht="17" customHeight="1">
      <c r="B843" s="66" t="n"/>
      <c r="C843" s="60" t="n"/>
      <c r="D843" s="60" t="n"/>
      <c r="E843" s="63" t="n"/>
      <c r="F843" s="60" t="n"/>
      <c r="G843" s="60" t="n"/>
      <c r="H843" s="13">
        <f>IF($C843="","",IFERROR(INDEX('Lists'!$G$6:$G$35,MATCH($C843,'Lists'!$F$6:$F$35,0))&amp;"","Unknown category"))</f>
        <v/>
      </c>
      <c r="I843" s="80">
        <f>IF(AND($B843="",$C843="",$E843=""),"",IF(NOT(ISNUMBER($B843)),"Enter a valid date",IF($C843="","Pick a category",IF(OR($H843="Unknown category",$H843=""),"Category has no cost type",IF(NOT(ISNUMBER($E843)),"Enter an amount","OK")))))</f>
        <v/>
      </c>
    </row>
    <row r="844" ht="17" customHeight="1">
      <c r="B844" s="66" t="n"/>
      <c r="C844" s="60" t="n"/>
      <c r="D844" s="60" t="n"/>
      <c r="E844" s="63" t="n"/>
      <c r="F844" s="60" t="n"/>
      <c r="G844" s="60" t="n"/>
      <c r="H844" s="13">
        <f>IF($C844="","",IFERROR(INDEX('Lists'!$G$6:$G$35,MATCH($C844,'Lists'!$F$6:$F$35,0))&amp;"","Unknown category"))</f>
        <v/>
      </c>
      <c r="I844" s="80">
        <f>IF(AND($B844="",$C844="",$E844=""),"",IF(NOT(ISNUMBER($B844)),"Enter a valid date",IF($C844="","Pick a category",IF(OR($H844="Unknown category",$H844=""),"Category has no cost type",IF(NOT(ISNUMBER($E844)),"Enter an amount","OK")))))</f>
        <v/>
      </c>
    </row>
    <row r="845" ht="17" customHeight="1">
      <c r="B845" s="66" t="n"/>
      <c r="C845" s="60" t="n"/>
      <c r="D845" s="60" t="n"/>
      <c r="E845" s="63" t="n"/>
      <c r="F845" s="60" t="n"/>
      <c r="G845" s="60" t="n"/>
      <c r="H845" s="13">
        <f>IF($C845="","",IFERROR(INDEX('Lists'!$G$6:$G$35,MATCH($C845,'Lists'!$F$6:$F$35,0))&amp;"","Unknown category"))</f>
        <v/>
      </c>
      <c r="I845" s="80">
        <f>IF(AND($B845="",$C845="",$E845=""),"",IF(NOT(ISNUMBER($B845)),"Enter a valid date",IF($C845="","Pick a category",IF(OR($H845="Unknown category",$H845=""),"Category has no cost type",IF(NOT(ISNUMBER($E845)),"Enter an amount","OK")))))</f>
        <v/>
      </c>
    </row>
    <row r="846" ht="17" customHeight="1">
      <c r="B846" s="66" t="n"/>
      <c r="C846" s="60" t="n"/>
      <c r="D846" s="60" t="n"/>
      <c r="E846" s="63" t="n"/>
      <c r="F846" s="60" t="n"/>
      <c r="G846" s="60" t="n"/>
      <c r="H846" s="13">
        <f>IF($C846="","",IFERROR(INDEX('Lists'!$G$6:$G$35,MATCH($C846,'Lists'!$F$6:$F$35,0))&amp;"","Unknown category"))</f>
        <v/>
      </c>
      <c r="I846" s="80">
        <f>IF(AND($B846="",$C846="",$E846=""),"",IF(NOT(ISNUMBER($B846)),"Enter a valid date",IF($C846="","Pick a category",IF(OR($H846="Unknown category",$H846=""),"Category has no cost type",IF(NOT(ISNUMBER($E846)),"Enter an amount","OK")))))</f>
        <v/>
      </c>
    </row>
    <row r="847" ht="17" customHeight="1">
      <c r="B847" s="66" t="n"/>
      <c r="C847" s="60" t="n"/>
      <c r="D847" s="60" t="n"/>
      <c r="E847" s="63" t="n"/>
      <c r="F847" s="60" t="n"/>
      <c r="G847" s="60" t="n"/>
      <c r="H847" s="13">
        <f>IF($C847="","",IFERROR(INDEX('Lists'!$G$6:$G$35,MATCH($C847,'Lists'!$F$6:$F$35,0))&amp;"","Unknown category"))</f>
        <v/>
      </c>
      <c r="I847" s="80">
        <f>IF(AND($B847="",$C847="",$E847=""),"",IF(NOT(ISNUMBER($B847)),"Enter a valid date",IF($C847="","Pick a category",IF(OR($H847="Unknown category",$H847=""),"Category has no cost type",IF(NOT(ISNUMBER($E847)),"Enter an amount","OK")))))</f>
        <v/>
      </c>
    </row>
    <row r="848" ht="17" customHeight="1">
      <c r="B848" s="66" t="n"/>
      <c r="C848" s="60" t="n"/>
      <c r="D848" s="60" t="n"/>
      <c r="E848" s="63" t="n"/>
      <c r="F848" s="60" t="n"/>
      <c r="G848" s="60" t="n"/>
      <c r="H848" s="13">
        <f>IF($C848="","",IFERROR(INDEX('Lists'!$G$6:$G$35,MATCH($C848,'Lists'!$F$6:$F$35,0))&amp;"","Unknown category"))</f>
        <v/>
      </c>
      <c r="I848" s="80">
        <f>IF(AND($B848="",$C848="",$E848=""),"",IF(NOT(ISNUMBER($B848)),"Enter a valid date",IF($C848="","Pick a category",IF(OR($H848="Unknown category",$H848=""),"Category has no cost type",IF(NOT(ISNUMBER($E848)),"Enter an amount","OK")))))</f>
        <v/>
      </c>
    </row>
    <row r="849" ht="17" customHeight="1">
      <c r="B849" s="66" t="n"/>
      <c r="C849" s="60" t="n"/>
      <c r="D849" s="60" t="n"/>
      <c r="E849" s="63" t="n"/>
      <c r="F849" s="60" t="n"/>
      <c r="G849" s="60" t="n"/>
      <c r="H849" s="13">
        <f>IF($C849="","",IFERROR(INDEX('Lists'!$G$6:$G$35,MATCH($C849,'Lists'!$F$6:$F$35,0))&amp;"","Unknown category"))</f>
        <v/>
      </c>
      <c r="I849" s="80">
        <f>IF(AND($B849="",$C849="",$E849=""),"",IF(NOT(ISNUMBER($B849)),"Enter a valid date",IF($C849="","Pick a category",IF(OR($H849="Unknown category",$H849=""),"Category has no cost type",IF(NOT(ISNUMBER($E849)),"Enter an amount","OK")))))</f>
        <v/>
      </c>
    </row>
    <row r="850" ht="17" customHeight="1">
      <c r="B850" s="66" t="n"/>
      <c r="C850" s="60" t="n"/>
      <c r="D850" s="60" t="n"/>
      <c r="E850" s="63" t="n"/>
      <c r="F850" s="60" t="n"/>
      <c r="G850" s="60" t="n"/>
      <c r="H850" s="13">
        <f>IF($C850="","",IFERROR(INDEX('Lists'!$G$6:$G$35,MATCH($C850,'Lists'!$F$6:$F$35,0))&amp;"","Unknown category"))</f>
        <v/>
      </c>
      <c r="I850" s="80">
        <f>IF(AND($B850="",$C850="",$E850=""),"",IF(NOT(ISNUMBER($B850)),"Enter a valid date",IF($C850="","Pick a category",IF(OR($H850="Unknown category",$H850=""),"Category has no cost type",IF(NOT(ISNUMBER($E850)),"Enter an amount","OK")))))</f>
        <v/>
      </c>
    </row>
    <row r="851" ht="17" customHeight="1">
      <c r="B851" s="66" t="n"/>
      <c r="C851" s="60" t="n"/>
      <c r="D851" s="60" t="n"/>
      <c r="E851" s="63" t="n"/>
      <c r="F851" s="60" t="n"/>
      <c r="G851" s="60" t="n"/>
      <c r="H851" s="13">
        <f>IF($C851="","",IFERROR(INDEX('Lists'!$G$6:$G$35,MATCH($C851,'Lists'!$F$6:$F$35,0))&amp;"","Unknown category"))</f>
        <v/>
      </c>
      <c r="I851" s="80">
        <f>IF(AND($B851="",$C851="",$E851=""),"",IF(NOT(ISNUMBER($B851)),"Enter a valid date",IF($C851="","Pick a category",IF(OR($H851="Unknown category",$H851=""),"Category has no cost type",IF(NOT(ISNUMBER($E851)),"Enter an amount","OK")))))</f>
        <v/>
      </c>
    </row>
    <row r="852" ht="17" customHeight="1">
      <c r="B852" s="66" t="n"/>
      <c r="C852" s="60" t="n"/>
      <c r="D852" s="60" t="n"/>
      <c r="E852" s="63" t="n"/>
      <c r="F852" s="60" t="n"/>
      <c r="G852" s="60" t="n"/>
      <c r="H852" s="13">
        <f>IF($C852="","",IFERROR(INDEX('Lists'!$G$6:$G$35,MATCH($C852,'Lists'!$F$6:$F$35,0))&amp;"","Unknown category"))</f>
        <v/>
      </c>
      <c r="I852" s="80">
        <f>IF(AND($B852="",$C852="",$E852=""),"",IF(NOT(ISNUMBER($B852)),"Enter a valid date",IF($C852="","Pick a category",IF(OR($H852="Unknown category",$H852=""),"Category has no cost type",IF(NOT(ISNUMBER($E852)),"Enter an amount","OK")))))</f>
        <v/>
      </c>
    </row>
    <row r="853" ht="17" customHeight="1">
      <c r="B853" s="66" t="n"/>
      <c r="C853" s="60" t="n"/>
      <c r="D853" s="60" t="n"/>
      <c r="E853" s="63" t="n"/>
      <c r="F853" s="60" t="n"/>
      <c r="G853" s="60" t="n"/>
      <c r="H853" s="13">
        <f>IF($C853="","",IFERROR(INDEX('Lists'!$G$6:$G$35,MATCH($C853,'Lists'!$F$6:$F$35,0))&amp;"","Unknown category"))</f>
        <v/>
      </c>
      <c r="I853" s="80">
        <f>IF(AND($B853="",$C853="",$E853=""),"",IF(NOT(ISNUMBER($B853)),"Enter a valid date",IF($C853="","Pick a category",IF(OR($H853="Unknown category",$H853=""),"Category has no cost type",IF(NOT(ISNUMBER($E853)),"Enter an amount","OK")))))</f>
        <v/>
      </c>
    </row>
    <row r="854" ht="17" customHeight="1">
      <c r="B854" s="66" t="n"/>
      <c r="C854" s="60" t="n"/>
      <c r="D854" s="60" t="n"/>
      <c r="E854" s="63" t="n"/>
      <c r="F854" s="60" t="n"/>
      <c r="G854" s="60" t="n"/>
      <c r="H854" s="13">
        <f>IF($C854="","",IFERROR(INDEX('Lists'!$G$6:$G$35,MATCH($C854,'Lists'!$F$6:$F$35,0))&amp;"","Unknown category"))</f>
        <v/>
      </c>
      <c r="I854" s="80">
        <f>IF(AND($B854="",$C854="",$E854=""),"",IF(NOT(ISNUMBER($B854)),"Enter a valid date",IF($C854="","Pick a category",IF(OR($H854="Unknown category",$H854=""),"Category has no cost type",IF(NOT(ISNUMBER($E854)),"Enter an amount","OK")))))</f>
        <v/>
      </c>
    </row>
    <row r="855" ht="17" customHeight="1">
      <c r="B855" s="66" t="n"/>
      <c r="C855" s="60" t="n"/>
      <c r="D855" s="60" t="n"/>
      <c r="E855" s="63" t="n"/>
      <c r="F855" s="60" t="n"/>
      <c r="G855" s="60" t="n"/>
      <c r="H855" s="13">
        <f>IF($C855="","",IFERROR(INDEX('Lists'!$G$6:$G$35,MATCH($C855,'Lists'!$F$6:$F$35,0))&amp;"","Unknown category"))</f>
        <v/>
      </c>
      <c r="I855" s="80">
        <f>IF(AND($B855="",$C855="",$E855=""),"",IF(NOT(ISNUMBER($B855)),"Enter a valid date",IF($C855="","Pick a category",IF(OR($H855="Unknown category",$H855=""),"Category has no cost type",IF(NOT(ISNUMBER($E855)),"Enter an amount","OK")))))</f>
        <v/>
      </c>
    </row>
    <row r="856" ht="17" customHeight="1">
      <c r="B856" s="66" t="n"/>
      <c r="C856" s="60" t="n"/>
      <c r="D856" s="60" t="n"/>
      <c r="E856" s="63" t="n"/>
      <c r="F856" s="60" t="n"/>
      <c r="G856" s="60" t="n"/>
      <c r="H856" s="13">
        <f>IF($C856="","",IFERROR(INDEX('Lists'!$G$6:$G$35,MATCH($C856,'Lists'!$F$6:$F$35,0))&amp;"","Unknown category"))</f>
        <v/>
      </c>
      <c r="I856" s="80">
        <f>IF(AND($B856="",$C856="",$E856=""),"",IF(NOT(ISNUMBER($B856)),"Enter a valid date",IF($C856="","Pick a category",IF(OR($H856="Unknown category",$H856=""),"Category has no cost type",IF(NOT(ISNUMBER($E856)),"Enter an amount","OK")))))</f>
        <v/>
      </c>
    </row>
    <row r="857" ht="17" customHeight="1">
      <c r="B857" s="66" t="n"/>
      <c r="C857" s="60" t="n"/>
      <c r="D857" s="60" t="n"/>
      <c r="E857" s="63" t="n"/>
      <c r="F857" s="60" t="n"/>
      <c r="G857" s="60" t="n"/>
      <c r="H857" s="13">
        <f>IF($C857="","",IFERROR(INDEX('Lists'!$G$6:$G$35,MATCH($C857,'Lists'!$F$6:$F$35,0))&amp;"","Unknown category"))</f>
        <v/>
      </c>
      <c r="I857" s="80">
        <f>IF(AND($B857="",$C857="",$E857=""),"",IF(NOT(ISNUMBER($B857)),"Enter a valid date",IF($C857="","Pick a category",IF(OR($H857="Unknown category",$H857=""),"Category has no cost type",IF(NOT(ISNUMBER($E857)),"Enter an amount","OK")))))</f>
        <v/>
      </c>
    </row>
    <row r="858" ht="17" customHeight="1">
      <c r="B858" s="66" t="n"/>
      <c r="C858" s="60" t="n"/>
      <c r="D858" s="60" t="n"/>
      <c r="E858" s="63" t="n"/>
      <c r="F858" s="60" t="n"/>
      <c r="G858" s="60" t="n"/>
      <c r="H858" s="13">
        <f>IF($C858="","",IFERROR(INDEX('Lists'!$G$6:$G$35,MATCH($C858,'Lists'!$F$6:$F$35,0))&amp;"","Unknown category"))</f>
        <v/>
      </c>
      <c r="I858" s="80">
        <f>IF(AND($B858="",$C858="",$E858=""),"",IF(NOT(ISNUMBER($B858)),"Enter a valid date",IF($C858="","Pick a category",IF(OR($H858="Unknown category",$H858=""),"Category has no cost type",IF(NOT(ISNUMBER($E858)),"Enter an amount","OK")))))</f>
        <v/>
      </c>
    </row>
    <row r="859" ht="17" customHeight="1">
      <c r="B859" s="66" t="n"/>
      <c r="C859" s="60" t="n"/>
      <c r="D859" s="60" t="n"/>
      <c r="E859" s="63" t="n"/>
      <c r="F859" s="60" t="n"/>
      <c r="G859" s="60" t="n"/>
      <c r="H859" s="13">
        <f>IF($C859="","",IFERROR(INDEX('Lists'!$G$6:$G$35,MATCH($C859,'Lists'!$F$6:$F$35,0))&amp;"","Unknown category"))</f>
        <v/>
      </c>
      <c r="I859" s="80">
        <f>IF(AND($B859="",$C859="",$E859=""),"",IF(NOT(ISNUMBER($B859)),"Enter a valid date",IF($C859="","Pick a category",IF(OR($H859="Unknown category",$H859=""),"Category has no cost type",IF(NOT(ISNUMBER($E859)),"Enter an amount","OK")))))</f>
        <v/>
      </c>
    </row>
    <row r="860" ht="17" customHeight="1">
      <c r="B860" s="66" t="n"/>
      <c r="C860" s="60" t="n"/>
      <c r="D860" s="60" t="n"/>
      <c r="E860" s="63" t="n"/>
      <c r="F860" s="60" t="n"/>
      <c r="G860" s="60" t="n"/>
      <c r="H860" s="13">
        <f>IF($C860="","",IFERROR(INDEX('Lists'!$G$6:$G$35,MATCH($C860,'Lists'!$F$6:$F$35,0))&amp;"","Unknown category"))</f>
        <v/>
      </c>
      <c r="I860" s="80">
        <f>IF(AND($B860="",$C860="",$E860=""),"",IF(NOT(ISNUMBER($B860)),"Enter a valid date",IF($C860="","Pick a category",IF(OR($H860="Unknown category",$H860=""),"Category has no cost type",IF(NOT(ISNUMBER($E860)),"Enter an amount","OK")))))</f>
        <v/>
      </c>
    </row>
    <row r="861" ht="17" customHeight="1">
      <c r="B861" s="66" t="n"/>
      <c r="C861" s="60" t="n"/>
      <c r="D861" s="60" t="n"/>
      <c r="E861" s="63" t="n"/>
      <c r="F861" s="60" t="n"/>
      <c r="G861" s="60" t="n"/>
      <c r="H861" s="13">
        <f>IF($C861="","",IFERROR(INDEX('Lists'!$G$6:$G$35,MATCH($C861,'Lists'!$F$6:$F$35,0))&amp;"","Unknown category"))</f>
        <v/>
      </c>
      <c r="I861" s="80">
        <f>IF(AND($B861="",$C861="",$E861=""),"",IF(NOT(ISNUMBER($B861)),"Enter a valid date",IF($C861="","Pick a category",IF(OR($H861="Unknown category",$H861=""),"Category has no cost type",IF(NOT(ISNUMBER($E861)),"Enter an amount","OK")))))</f>
        <v/>
      </c>
    </row>
    <row r="862" ht="17" customHeight="1">
      <c r="B862" s="66" t="n"/>
      <c r="C862" s="60" t="n"/>
      <c r="D862" s="60" t="n"/>
      <c r="E862" s="63" t="n"/>
      <c r="F862" s="60" t="n"/>
      <c r="G862" s="60" t="n"/>
      <c r="H862" s="13">
        <f>IF($C862="","",IFERROR(INDEX('Lists'!$G$6:$G$35,MATCH($C862,'Lists'!$F$6:$F$35,0))&amp;"","Unknown category"))</f>
        <v/>
      </c>
      <c r="I862" s="80">
        <f>IF(AND($B862="",$C862="",$E862=""),"",IF(NOT(ISNUMBER($B862)),"Enter a valid date",IF($C862="","Pick a category",IF(OR($H862="Unknown category",$H862=""),"Category has no cost type",IF(NOT(ISNUMBER($E862)),"Enter an amount","OK")))))</f>
        <v/>
      </c>
    </row>
    <row r="863" ht="17" customHeight="1">
      <c r="B863" s="66" t="n"/>
      <c r="C863" s="60" t="n"/>
      <c r="D863" s="60" t="n"/>
      <c r="E863" s="63" t="n"/>
      <c r="F863" s="60" t="n"/>
      <c r="G863" s="60" t="n"/>
      <c r="H863" s="13">
        <f>IF($C863="","",IFERROR(INDEX('Lists'!$G$6:$G$35,MATCH($C863,'Lists'!$F$6:$F$35,0))&amp;"","Unknown category"))</f>
        <v/>
      </c>
      <c r="I863" s="80">
        <f>IF(AND($B863="",$C863="",$E863=""),"",IF(NOT(ISNUMBER($B863)),"Enter a valid date",IF($C863="","Pick a category",IF(OR($H863="Unknown category",$H863=""),"Category has no cost type",IF(NOT(ISNUMBER($E863)),"Enter an amount","OK")))))</f>
        <v/>
      </c>
    </row>
    <row r="864" ht="17" customHeight="1">
      <c r="B864" s="66" t="n"/>
      <c r="C864" s="60" t="n"/>
      <c r="D864" s="60" t="n"/>
      <c r="E864" s="63" t="n"/>
      <c r="F864" s="60" t="n"/>
      <c r="G864" s="60" t="n"/>
      <c r="H864" s="13">
        <f>IF($C864="","",IFERROR(INDEX('Lists'!$G$6:$G$35,MATCH($C864,'Lists'!$F$6:$F$35,0))&amp;"","Unknown category"))</f>
        <v/>
      </c>
      <c r="I864" s="80">
        <f>IF(AND($B864="",$C864="",$E864=""),"",IF(NOT(ISNUMBER($B864)),"Enter a valid date",IF($C864="","Pick a category",IF(OR($H864="Unknown category",$H864=""),"Category has no cost type",IF(NOT(ISNUMBER($E864)),"Enter an amount","OK")))))</f>
        <v/>
      </c>
    </row>
    <row r="865" ht="17" customHeight="1">
      <c r="B865" s="66" t="n"/>
      <c r="C865" s="60" t="n"/>
      <c r="D865" s="60" t="n"/>
      <c r="E865" s="63" t="n"/>
      <c r="F865" s="60" t="n"/>
      <c r="G865" s="60" t="n"/>
      <c r="H865" s="13">
        <f>IF($C865="","",IFERROR(INDEX('Lists'!$G$6:$G$35,MATCH($C865,'Lists'!$F$6:$F$35,0))&amp;"","Unknown category"))</f>
        <v/>
      </c>
      <c r="I865" s="80">
        <f>IF(AND($B865="",$C865="",$E865=""),"",IF(NOT(ISNUMBER($B865)),"Enter a valid date",IF($C865="","Pick a category",IF(OR($H865="Unknown category",$H865=""),"Category has no cost type",IF(NOT(ISNUMBER($E865)),"Enter an amount","OK")))))</f>
        <v/>
      </c>
    </row>
    <row r="866" ht="17" customHeight="1">
      <c r="B866" s="66" t="n"/>
      <c r="C866" s="60" t="n"/>
      <c r="D866" s="60" t="n"/>
      <c r="E866" s="63" t="n"/>
      <c r="F866" s="60" t="n"/>
      <c r="G866" s="60" t="n"/>
      <c r="H866" s="13">
        <f>IF($C866="","",IFERROR(INDEX('Lists'!$G$6:$G$35,MATCH($C866,'Lists'!$F$6:$F$35,0))&amp;"","Unknown category"))</f>
        <v/>
      </c>
      <c r="I866" s="80">
        <f>IF(AND($B866="",$C866="",$E866=""),"",IF(NOT(ISNUMBER($B866)),"Enter a valid date",IF($C866="","Pick a category",IF(OR($H866="Unknown category",$H866=""),"Category has no cost type",IF(NOT(ISNUMBER($E866)),"Enter an amount","OK")))))</f>
        <v/>
      </c>
    </row>
    <row r="867" ht="17" customHeight="1">
      <c r="B867" s="66" t="n"/>
      <c r="C867" s="60" t="n"/>
      <c r="D867" s="60" t="n"/>
      <c r="E867" s="63" t="n"/>
      <c r="F867" s="60" t="n"/>
      <c r="G867" s="60" t="n"/>
      <c r="H867" s="13">
        <f>IF($C867="","",IFERROR(INDEX('Lists'!$G$6:$G$35,MATCH($C867,'Lists'!$F$6:$F$35,0))&amp;"","Unknown category"))</f>
        <v/>
      </c>
      <c r="I867" s="80">
        <f>IF(AND($B867="",$C867="",$E867=""),"",IF(NOT(ISNUMBER($B867)),"Enter a valid date",IF($C867="","Pick a category",IF(OR($H867="Unknown category",$H867=""),"Category has no cost type",IF(NOT(ISNUMBER($E867)),"Enter an amount","OK")))))</f>
        <v/>
      </c>
    </row>
    <row r="868" ht="17" customHeight="1">
      <c r="B868" s="66" t="n"/>
      <c r="C868" s="60" t="n"/>
      <c r="D868" s="60" t="n"/>
      <c r="E868" s="63" t="n"/>
      <c r="F868" s="60" t="n"/>
      <c r="G868" s="60" t="n"/>
      <c r="H868" s="13">
        <f>IF($C868="","",IFERROR(INDEX('Lists'!$G$6:$G$35,MATCH($C868,'Lists'!$F$6:$F$35,0))&amp;"","Unknown category"))</f>
        <v/>
      </c>
      <c r="I868" s="80">
        <f>IF(AND($B868="",$C868="",$E868=""),"",IF(NOT(ISNUMBER($B868)),"Enter a valid date",IF($C868="","Pick a category",IF(OR($H868="Unknown category",$H868=""),"Category has no cost type",IF(NOT(ISNUMBER($E868)),"Enter an amount","OK")))))</f>
        <v/>
      </c>
    </row>
    <row r="869" ht="17" customHeight="1">
      <c r="B869" s="66" t="n"/>
      <c r="C869" s="60" t="n"/>
      <c r="D869" s="60" t="n"/>
      <c r="E869" s="63" t="n"/>
      <c r="F869" s="60" t="n"/>
      <c r="G869" s="60" t="n"/>
      <c r="H869" s="13">
        <f>IF($C869="","",IFERROR(INDEX('Lists'!$G$6:$G$35,MATCH($C869,'Lists'!$F$6:$F$35,0))&amp;"","Unknown category"))</f>
        <v/>
      </c>
      <c r="I869" s="80">
        <f>IF(AND($B869="",$C869="",$E869=""),"",IF(NOT(ISNUMBER($B869)),"Enter a valid date",IF($C869="","Pick a category",IF(OR($H869="Unknown category",$H869=""),"Category has no cost type",IF(NOT(ISNUMBER($E869)),"Enter an amount","OK")))))</f>
        <v/>
      </c>
    </row>
    <row r="870" ht="17" customHeight="1">
      <c r="B870" s="66" t="n"/>
      <c r="C870" s="60" t="n"/>
      <c r="D870" s="60" t="n"/>
      <c r="E870" s="63" t="n"/>
      <c r="F870" s="60" t="n"/>
      <c r="G870" s="60" t="n"/>
      <c r="H870" s="13">
        <f>IF($C870="","",IFERROR(INDEX('Lists'!$G$6:$G$35,MATCH($C870,'Lists'!$F$6:$F$35,0))&amp;"","Unknown category"))</f>
        <v/>
      </c>
      <c r="I870" s="80">
        <f>IF(AND($B870="",$C870="",$E870=""),"",IF(NOT(ISNUMBER($B870)),"Enter a valid date",IF($C870="","Pick a category",IF(OR($H870="Unknown category",$H870=""),"Category has no cost type",IF(NOT(ISNUMBER($E870)),"Enter an amount","OK")))))</f>
        <v/>
      </c>
    </row>
    <row r="871" ht="17" customHeight="1">
      <c r="B871" s="66" t="n"/>
      <c r="C871" s="60" t="n"/>
      <c r="D871" s="60" t="n"/>
      <c r="E871" s="63" t="n"/>
      <c r="F871" s="60" t="n"/>
      <c r="G871" s="60" t="n"/>
      <c r="H871" s="13">
        <f>IF($C871="","",IFERROR(INDEX('Lists'!$G$6:$G$35,MATCH($C871,'Lists'!$F$6:$F$35,0))&amp;"","Unknown category"))</f>
        <v/>
      </c>
      <c r="I871" s="80">
        <f>IF(AND($B871="",$C871="",$E871=""),"",IF(NOT(ISNUMBER($B871)),"Enter a valid date",IF($C871="","Pick a category",IF(OR($H871="Unknown category",$H871=""),"Category has no cost type",IF(NOT(ISNUMBER($E871)),"Enter an amount","OK")))))</f>
        <v/>
      </c>
    </row>
    <row r="872" ht="17" customHeight="1">
      <c r="B872" s="66" t="n"/>
      <c r="C872" s="60" t="n"/>
      <c r="D872" s="60" t="n"/>
      <c r="E872" s="63" t="n"/>
      <c r="F872" s="60" t="n"/>
      <c r="G872" s="60" t="n"/>
      <c r="H872" s="13">
        <f>IF($C872="","",IFERROR(INDEX('Lists'!$G$6:$G$35,MATCH($C872,'Lists'!$F$6:$F$35,0))&amp;"","Unknown category"))</f>
        <v/>
      </c>
      <c r="I872" s="80">
        <f>IF(AND($B872="",$C872="",$E872=""),"",IF(NOT(ISNUMBER($B872)),"Enter a valid date",IF($C872="","Pick a category",IF(OR($H872="Unknown category",$H872=""),"Category has no cost type",IF(NOT(ISNUMBER($E872)),"Enter an amount","OK")))))</f>
        <v/>
      </c>
    </row>
    <row r="873" ht="17" customHeight="1">
      <c r="B873" s="66" t="n"/>
      <c r="C873" s="60" t="n"/>
      <c r="D873" s="60" t="n"/>
      <c r="E873" s="63" t="n"/>
      <c r="F873" s="60" t="n"/>
      <c r="G873" s="60" t="n"/>
      <c r="H873" s="13">
        <f>IF($C873="","",IFERROR(INDEX('Lists'!$G$6:$G$35,MATCH($C873,'Lists'!$F$6:$F$35,0))&amp;"","Unknown category"))</f>
        <v/>
      </c>
      <c r="I873" s="80">
        <f>IF(AND($B873="",$C873="",$E873=""),"",IF(NOT(ISNUMBER($B873)),"Enter a valid date",IF($C873="","Pick a category",IF(OR($H873="Unknown category",$H873=""),"Category has no cost type",IF(NOT(ISNUMBER($E873)),"Enter an amount","OK")))))</f>
        <v/>
      </c>
    </row>
    <row r="874" ht="17" customHeight="1">
      <c r="B874" s="66" t="n"/>
      <c r="C874" s="60" t="n"/>
      <c r="D874" s="60" t="n"/>
      <c r="E874" s="63" t="n"/>
      <c r="F874" s="60" t="n"/>
      <c r="G874" s="60" t="n"/>
      <c r="H874" s="13">
        <f>IF($C874="","",IFERROR(INDEX('Lists'!$G$6:$G$35,MATCH($C874,'Lists'!$F$6:$F$35,0))&amp;"","Unknown category"))</f>
        <v/>
      </c>
      <c r="I874" s="80">
        <f>IF(AND($B874="",$C874="",$E874=""),"",IF(NOT(ISNUMBER($B874)),"Enter a valid date",IF($C874="","Pick a category",IF(OR($H874="Unknown category",$H874=""),"Category has no cost type",IF(NOT(ISNUMBER($E874)),"Enter an amount","OK")))))</f>
        <v/>
      </c>
    </row>
    <row r="875" ht="17" customHeight="1">
      <c r="B875" s="66" t="n"/>
      <c r="C875" s="60" t="n"/>
      <c r="D875" s="60" t="n"/>
      <c r="E875" s="63" t="n"/>
      <c r="F875" s="60" t="n"/>
      <c r="G875" s="60" t="n"/>
      <c r="H875" s="13">
        <f>IF($C875="","",IFERROR(INDEX('Lists'!$G$6:$G$35,MATCH($C875,'Lists'!$F$6:$F$35,0))&amp;"","Unknown category"))</f>
        <v/>
      </c>
      <c r="I875" s="80">
        <f>IF(AND($B875="",$C875="",$E875=""),"",IF(NOT(ISNUMBER($B875)),"Enter a valid date",IF($C875="","Pick a category",IF(OR($H875="Unknown category",$H875=""),"Category has no cost type",IF(NOT(ISNUMBER($E875)),"Enter an amount","OK")))))</f>
        <v/>
      </c>
    </row>
    <row r="876" ht="17" customHeight="1">
      <c r="B876" s="66" t="n"/>
      <c r="C876" s="60" t="n"/>
      <c r="D876" s="60" t="n"/>
      <c r="E876" s="63" t="n"/>
      <c r="F876" s="60" t="n"/>
      <c r="G876" s="60" t="n"/>
      <c r="H876" s="13">
        <f>IF($C876="","",IFERROR(INDEX('Lists'!$G$6:$G$35,MATCH($C876,'Lists'!$F$6:$F$35,0))&amp;"","Unknown category"))</f>
        <v/>
      </c>
      <c r="I876" s="80">
        <f>IF(AND($B876="",$C876="",$E876=""),"",IF(NOT(ISNUMBER($B876)),"Enter a valid date",IF($C876="","Pick a category",IF(OR($H876="Unknown category",$H876=""),"Category has no cost type",IF(NOT(ISNUMBER($E876)),"Enter an amount","OK")))))</f>
        <v/>
      </c>
    </row>
    <row r="877" ht="17" customHeight="1">
      <c r="B877" s="66" t="n"/>
      <c r="C877" s="60" t="n"/>
      <c r="D877" s="60" t="n"/>
      <c r="E877" s="63" t="n"/>
      <c r="F877" s="60" t="n"/>
      <c r="G877" s="60" t="n"/>
      <c r="H877" s="13">
        <f>IF($C877="","",IFERROR(INDEX('Lists'!$G$6:$G$35,MATCH($C877,'Lists'!$F$6:$F$35,0))&amp;"","Unknown category"))</f>
        <v/>
      </c>
      <c r="I877" s="80">
        <f>IF(AND($B877="",$C877="",$E877=""),"",IF(NOT(ISNUMBER($B877)),"Enter a valid date",IF($C877="","Pick a category",IF(OR($H877="Unknown category",$H877=""),"Category has no cost type",IF(NOT(ISNUMBER($E877)),"Enter an amount","OK")))))</f>
        <v/>
      </c>
    </row>
    <row r="878" ht="17" customHeight="1">
      <c r="B878" s="66" t="n"/>
      <c r="C878" s="60" t="n"/>
      <c r="D878" s="60" t="n"/>
      <c r="E878" s="63" t="n"/>
      <c r="F878" s="60" t="n"/>
      <c r="G878" s="60" t="n"/>
      <c r="H878" s="13">
        <f>IF($C878="","",IFERROR(INDEX('Lists'!$G$6:$G$35,MATCH($C878,'Lists'!$F$6:$F$35,0))&amp;"","Unknown category"))</f>
        <v/>
      </c>
      <c r="I878" s="80">
        <f>IF(AND($B878="",$C878="",$E878=""),"",IF(NOT(ISNUMBER($B878)),"Enter a valid date",IF($C878="","Pick a category",IF(OR($H878="Unknown category",$H878=""),"Category has no cost type",IF(NOT(ISNUMBER($E878)),"Enter an amount","OK")))))</f>
        <v/>
      </c>
    </row>
    <row r="879" ht="17" customHeight="1">
      <c r="B879" s="66" t="n"/>
      <c r="C879" s="60" t="n"/>
      <c r="D879" s="60" t="n"/>
      <c r="E879" s="63" t="n"/>
      <c r="F879" s="60" t="n"/>
      <c r="G879" s="60" t="n"/>
      <c r="H879" s="13">
        <f>IF($C879="","",IFERROR(INDEX('Lists'!$G$6:$G$35,MATCH($C879,'Lists'!$F$6:$F$35,0))&amp;"","Unknown category"))</f>
        <v/>
      </c>
      <c r="I879" s="80">
        <f>IF(AND($B879="",$C879="",$E879=""),"",IF(NOT(ISNUMBER($B879)),"Enter a valid date",IF($C879="","Pick a category",IF(OR($H879="Unknown category",$H879=""),"Category has no cost type",IF(NOT(ISNUMBER($E879)),"Enter an amount","OK")))))</f>
        <v/>
      </c>
    </row>
    <row r="880" ht="17" customHeight="1">
      <c r="B880" s="66" t="n"/>
      <c r="C880" s="60" t="n"/>
      <c r="D880" s="60" t="n"/>
      <c r="E880" s="63" t="n"/>
      <c r="F880" s="60" t="n"/>
      <c r="G880" s="60" t="n"/>
      <c r="H880" s="13">
        <f>IF($C880="","",IFERROR(INDEX('Lists'!$G$6:$G$35,MATCH($C880,'Lists'!$F$6:$F$35,0))&amp;"","Unknown category"))</f>
        <v/>
      </c>
      <c r="I880" s="80">
        <f>IF(AND($B880="",$C880="",$E880=""),"",IF(NOT(ISNUMBER($B880)),"Enter a valid date",IF($C880="","Pick a category",IF(OR($H880="Unknown category",$H880=""),"Category has no cost type",IF(NOT(ISNUMBER($E880)),"Enter an amount","OK")))))</f>
        <v/>
      </c>
    </row>
    <row r="881" ht="17" customHeight="1">
      <c r="B881" s="66" t="n"/>
      <c r="C881" s="60" t="n"/>
      <c r="D881" s="60" t="n"/>
      <c r="E881" s="63" t="n"/>
      <c r="F881" s="60" t="n"/>
      <c r="G881" s="60" t="n"/>
      <c r="H881" s="13">
        <f>IF($C881="","",IFERROR(INDEX('Lists'!$G$6:$G$35,MATCH($C881,'Lists'!$F$6:$F$35,0))&amp;"","Unknown category"))</f>
        <v/>
      </c>
      <c r="I881" s="80">
        <f>IF(AND($B881="",$C881="",$E881=""),"",IF(NOT(ISNUMBER($B881)),"Enter a valid date",IF($C881="","Pick a category",IF(OR($H881="Unknown category",$H881=""),"Category has no cost type",IF(NOT(ISNUMBER($E881)),"Enter an amount","OK")))))</f>
        <v/>
      </c>
    </row>
    <row r="882" ht="17" customHeight="1">
      <c r="B882" s="66" t="n"/>
      <c r="C882" s="60" t="n"/>
      <c r="D882" s="60" t="n"/>
      <c r="E882" s="63" t="n"/>
      <c r="F882" s="60" t="n"/>
      <c r="G882" s="60" t="n"/>
      <c r="H882" s="13">
        <f>IF($C882="","",IFERROR(INDEX('Lists'!$G$6:$G$35,MATCH($C882,'Lists'!$F$6:$F$35,0))&amp;"","Unknown category"))</f>
        <v/>
      </c>
      <c r="I882" s="80">
        <f>IF(AND($B882="",$C882="",$E882=""),"",IF(NOT(ISNUMBER($B882)),"Enter a valid date",IF($C882="","Pick a category",IF(OR($H882="Unknown category",$H882=""),"Category has no cost type",IF(NOT(ISNUMBER($E882)),"Enter an amount","OK")))))</f>
        <v/>
      </c>
    </row>
    <row r="883" ht="17" customHeight="1">
      <c r="B883" s="66" t="n"/>
      <c r="C883" s="60" t="n"/>
      <c r="D883" s="60" t="n"/>
      <c r="E883" s="63" t="n"/>
      <c r="F883" s="60" t="n"/>
      <c r="G883" s="60" t="n"/>
      <c r="H883" s="13">
        <f>IF($C883="","",IFERROR(INDEX('Lists'!$G$6:$G$35,MATCH($C883,'Lists'!$F$6:$F$35,0))&amp;"","Unknown category"))</f>
        <v/>
      </c>
      <c r="I883" s="80">
        <f>IF(AND($B883="",$C883="",$E883=""),"",IF(NOT(ISNUMBER($B883)),"Enter a valid date",IF($C883="","Pick a category",IF(OR($H883="Unknown category",$H883=""),"Category has no cost type",IF(NOT(ISNUMBER($E883)),"Enter an amount","OK")))))</f>
        <v/>
      </c>
    </row>
    <row r="884" ht="17" customHeight="1">
      <c r="B884" s="66" t="n"/>
      <c r="C884" s="60" t="n"/>
      <c r="D884" s="60" t="n"/>
      <c r="E884" s="63" t="n"/>
      <c r="F884" s="60" t="n"/>
      <c r="G884" s="60" t="n"/>
      <c r="H884" s="13">
        <f>IF($C884="","",IFERROR(INDEX('Lists'!$G$6:$G$35,MATCH($C884,'Lists'!$F$6:$F$35,0))&amp;"","Unknown category"))</f>
        <v/>
      </c>
      <c r="I884" s="80">
        <f>IF(AND($B884="",$C884="",$E884=""),"",IF(NOT(ISNUMBER($B884)),"Enter a valid date",IF($C884="","Pick a category",IF(OR($H884="Unknown category",$H884=""),"Category has no cost type",IF(NOT(ISNUMBER($E884)),"Enter an amount","OK")))))</f>
        <v/>
      </c>
    </row>
    <row r="885" ht="17" customHeight="1">
      <c r="B885" s="66" t="n"/>
      <c r="C885" s="60" t="n"/>
      <c r="D885" s="60" t="n"/>
      <c r="E885" s="63" t="n"/>
      <c r="F885" s="60" t="n"/>
      <c r="G885" s="60" t="n"/>
      <c r="H885" s="13">
        <f>IF($C885="","",IFERROR(INDEX('Lists'!$G$6:$G$35,MATCH($C885,'Lists'!$F$6:$F$35,0))&amp;"","Unknown category"))</f>
        <v/>
      </c>
      <c r="I885" s="80">
        <f>IF(AND($B885="",$C885="",$E885=""),"",IF(NOT(ISNUMBER($B885)),"Enter a valid date",IF($C885="","Pick a category",IF(OR($H885="Unknown category",$H885=""),"Category has no cost type",IF(NOT(ISNUMBER($E885)),"Enter an amount","OK")))))</f>
        <v/>
      </c>
    </row>
    <row r="886" ht="17" customHeight="1">
      <c r="B886" s="66" t="n"/>
      <c r="C886" s="60" t="n"/>
      <c r="D886" s="60" t="n"/>
      <c r="E886" s="63" t="n"/>
      <c r="F886" s="60" t="n"/>
      <c r="G886" s="60" t="n"/>
      <c r="H886" s="13">
        <f>IF($C886="","",IFERROR(INDEX('Lists'!$G$6:$G$35,MATCH($C886,'Lists'!$F$6:$F$35,0))&amp;"","Unknown category"))</f>
        <v/>
      </c>
      <c r="I886" s="80">
        <f>IF(AND($B886="",$C886="",$E886=""),"",IF(NOT(ISNUMBER($B886)),"Enter a valid date",IF($C886="","Pick a category",IF(OR($H886="Unknown category",$H886=""),"Category has no cost type",IF(NOT(ISNUMBER($E886)),"Enter an amount","OK")))))</f>
        <v/>
      </c>
    </row>
    <row r="887" ht="17" customHeight="1">
      <c r="B887" s="66" t="n"/>
      <c r="C887" s="60" t="n"/>
      <c r="D887" s="60" t="n"/>
      <c r="E887" s="63" t="n"/>
      <c r="F887" s="60" t="n"/>
      <c r="G887" s="60" t="n"/>
      <c r="H887" s="13">
        <f>IF($C887="","",IFERROR(INDEX('Lists'!$G$6:$G$35,MATCH($C887,'Lists'!$F$6:$F$35,0))&amp;"","Unknown category"))</f>
        <v/>
      </c>
      <c r="I887" s="80">
        <f>IF(AND($B887="",$C887="",$E887=""),"",IF(NOT(ISNUMBER($B887)),"Enter a valid date",IF($C887="","Pick a category",IF(OR($H887="Unknown category",$H887=""),"Category has no cost type",IF(NOT(ISNUMBER($E887)),"Enter an amount","OK")))))</f>
        <v/>
      </c>
    </row>
    <row r="888" ht="17" customHeight="1">
      <c r="B888" s="66" t="n"/>
      <c r="C888" s="60" t="n"/>
      <c r="D888" s="60" t="n"/>
      <c r="E888" s="63" t="n"/>
      <c r="F888" s="60" t="n"/>
      <c r="G888" s="60" t="n"/>
      <c r="H888" s="13">
        <f>IF($C888="","",IFERROR(INDEX('Lists'!$G$6:$G$35,MATCH($C888,'Lists'!$F$6:$F$35,0))&amp;"","Unknown category"))</f>
        <v/>
      </c>
      <c r="I888" s="80">
        <f>IF(AND($B888="",$C888="",$E888=""),"",IF(NOT(ISNUMBER($B888)),"Enter a valid date",IF($C888="","Pick a category",IF(OR($H888="Unknown category",$H888=""),"Category has no cost type",IF(NOT(ISNUMBER($E888)),"Enter an amount","OK")))))</f>
        <v/>
      </c>
    </row>
    <row r="889" ht="17" customHeight="1">
      <c r="B889" s="66" t="n"/>
      <c r="C889" s="60" t="n"/>
      <c r="D889" s="60" t="n"/>
      <c r="E889" s="63" t="n"/>
      <c r="F889" s="60" t="n"/>
      <c r="G889" s="60" t="n"/>
      <c r="H889" s="13">
        <f>IF($C889="","",IFERROR(INDEX('Lists'!$G$6:$G$35,MATCH($C889,'Lists'!$F$6:$F$35,0))&amp;"","Unknown category"))</f>
        <v/>
      </c>
      <c r="I889" s="80">
        <f>IF(AND($B889="",$C889="",$E889=""),"",IF(NOT(ISNUMBER($B889)),"Enter a valid date",IF($C889="","Pick a category",IF(OR($H889="Unknown category",$H889=""),"Category has no cost type",IF(NOT(ISNUMBER($E889)),"Enter an amount","OK")))))</f>
        <v/>
      </c>
    </row>
    <row r="890" ht="17" customHeight="1">
      <c r="B890" s="66" t="n"/>
      <c r="C890" s="60" t="n"/>
      <c r="D890" s="60" t="n"/>
      <c r="E890" s="63" t="n"/>
      <c r="F890" s="60" t="n"/>
      <c r="G890" s="60" t="n"/>
      <c r="H890" s="13">
        <f>IF($C890="","",IFERROR(INDEX('Lists'!$G$6:$G$35,MATCH($C890,'Lists'!$F$6:$F$35,0))&amp;"","Unknown category"))</f>
        <v/>
      </c>
      <c r="I890" s="80">
        <f>IF(AND($B890="",$C890="",$E890=""),"",IF(NOT(ISNUMBER($B890)),"Enter a valid date",IF($C890="","Pick a category",IF(OR($H890="Unknown category",$H890=""),"Category has no cost type",IF(NOT(ISNUMBER($E890)),"Enter an amount","OK")))))</f>
        <v/>
      </c>
    </row>
    <row r="891" ht="17" customHeight="1">
      <c r="B891" s="66" t="n"/>
      <c r="C891" s="60" t="n"/>
      <c r="D891" s="60" t="n"/>
      <c r="E891" s="63" t="n"/>
      <c r="F891" s="60" t="n"/>
      <c r="G891" s="60" t="n"/>
      <c r="H891" s="13">
        <f>IF($C891="","",IFERROR(INDEX('Lists'!$G$6:$G$35,MATCH($C891,'Lists'!$F$6:$F$35,0))&amp;"","Unknown category"))</f>
        <v/>
      </c>
      <c r="I891" s="80">
        <f>IF(AND($B891="",$C891="",$E891=""),"",IF(NOT(ISNUMBER($B891)),"Enter a valid date",IF($C891="","Pick a category",IF(OR($H891="Unknown category",$H891=""),"Category has no cost type",IF(NOT(ISNUMBER($E891)),"Enter an amount","OK")))))</f>
        <v/>
      </c>
    </row>
    <row r="892" ht="17" customHeight="1">
      <c r="B892" s="66" t="n"/>
      <c r="C892" s="60" t="n"/>
      <c r="D892" s="60" t="n"/>
      <c r="E892" s="63" t="n"/>
      <c r="F892" s="60" t="n"/>
      <c r="G892" s="60" t="n"/>
      <c r="H892" s="13">
        <f>IF($C892="","",IFERROR(INDEX('Lists'!$G$6:$G$35,MATCH($C892,'Lists'!$F$6:$F$35,0))&amp;"","Unknown category"))</f>
        <v/>
      </c>
      <c r="I892" s="80">
        <f>IF(AND($B892="",$C892="",$E892=""),"",IF(NOT(ISNUMBER($B892)),"Enter a valid date",IF($C892="","Pick a category",IF(OR($H892="Unknown category",$H892=""),"Category has no cost type",IF(NOT(ISNUMBER($E892)),"Enter an amount","OK")))))</f>
        <v/>
      </c>
    </row>
    <row r="893" ht="17" customHeight="1">
      <c r="B893" s="66" t="n"/>
      <c r="C893" s="60" t="n"/>
      <c r="D893" s="60" t="n"/>
      <c r="E893" s="63" t="n"/>
      <c r="F893" s="60" t="n"/>
      <c r="G893" s="60" t="n"/>
      <c r="H893" s="13">
        <f>IF($C893="","",IFERROR(INDEX('Lists'!$G$6:$G$35,MATCH($C893,'Lists'!$F$6:$F$35,0))&amp;"","Unknown category"))</f>
        <v/>
      </c>
      <c r="I893" s="80">
        <f>IF(AND($B893="",$C893="",$E893=""),"",IF(NOT(ISNUMBER($B893)),"Enter a valid date",IF($C893="","Pick a category",IF(OR($H893="Unknown category",$H893=""),"Category has no cost type",IF(NOT(ISNUMBER($E893)),"Enter an amount","OK")))))</f>
        <v/>
      </c>
    </row>
    <row r="894" ht="17" customHeight="1">
      <c r="B894" s="66" t="n"/>
      <c r="C894" s="60" t="n"/>
      <c r="D894" s="60" t="n"/>
      <c r="E894" s="63" t="n"/>
      <c r="F894" s="60" t="n"/>
      <c r="G894" s="60" t="n"/>
      <c r="H894" s="13">
        <f>IF($C894="","",IFERROR(INDEX('Lists'!$G$6:$G$35,MATCH($C894,'Lists'!$F$6:$F$35,0))&amp;"","Unknown category"))</f>
        <v/>
      </c>
      <c r="I894" s="80">
        <f>IF(AND($B894="",$C894="",$E894=""),"",IF(NOT(ISNUMBER($B894)),"Enter a valid date",IF($C894="","Pick a category",IF(OR($H894="Unknown category",$H894=""),"Category has no cost type",IF(NOT(ISNUMBER($E894)),"Enter an amount","OK")))))</f>
        <v/>
      </c>
    </row>
    <row r="895" ht="17" customHeight="1">
      <c r="B895" s="66" t="n"/>
      <c r="C895" s="60" t="n"/>
      <c r="D895" s="60" t="n"/>
      <c r="E895" s="63" t="n"/>
      <c r="F895" s="60" t="n"/>
      <c r="G895" s="60" t="n"/>
      <c r="H895" s="13">
        <f>IF($C895="","",IFERROR(INDEX('Lists'!$G$6:$G$35,MATCH($C895,'Lists'!$F$6:$F$35,0))&amp;"","Unknown category"))</f>
        <v/>
      </c>
      <c r="I895" s="80">
        <f>IF(AND($B895="",$C895="",$E895=""),"",IF(NOT(ISNUMBER($B895)),"Enter a valid date",IF($C895="","Pick a category",IF(OR($H895="Unknown category",$H895=""),"Category has no cost type",IF(NOT(ISNUMBER($E895)),"Enter an amount","OK")))))</f>
        <v/>
      </c>
    </row>
    <row r="896" ht="17" customHeight="1">
      <c r="B896" s="66" t="n"/>
      <c r="C896" s="60" t="n"/>
      <c r="D896" s="60" t="n"/>
      <c r="E896" s="63" t="n"/>
      <c r="F896" s="60" t="n"/>
      <c r="G896" s="60" t="n"/>
      <c r="H896" s="13">
        <f>IF($C896="","",IFERROR(INDEX('Lists'!$G$6:$G$35,MATCH($C896,'Lists'!$F$6:$F$35,0))&amp;"","Unknown category"))</f>
        <v/>
      </c>
      <c r="I896" s="80">
        <f>IF(AND($B896="",$C896="",$E896=""),"",IF(NOT(ISNUMBER($B896)),"Enter a valid date",IF($C896="","Pick a category",IF(OR($H896="Unknown category",$H896=""),"Category has no cost type",IF(NOT(ISNUMBER($E896)),"Enter an amount","OK")))))</f>
        <v/>
      </c>
    </row>
    <row r="897" ht="17" customHeight="1">
      <c r="B897" s="66" t="n"/>
      <c r="C897" s="60" t="n"/>
      <c r="D897" s="60" t="n"/>
      <c r="E897" s="63" t="n"/>
      <c r="F897" s="60" t="n"/>
      <c r="G897" s="60" t="n"/>
      <c r="H897" s="13">
        <f>IF($C897="","",IFERROR(INDEX('Lists'!$G$6:$G$35,MATCH($C897,'Lists'!$F$6:$F$35,0))&amp;"","Unknown category"))</f>
        <v/>
      </c>
      <c r="I897" s="80">
        <f>IF(AND($B897="",$C897="",$E897=""),"",IF(NOT(ISNUMBER($B897)),"Enter a valid date",IF($C897="","Pick a category",IF(OR($H897="Unknown category",$H897=""),"Category has no cost type",IF(NOT(ISNUMBER($E897)),"Enter an amount","OK")))))</f>
        <v/>
      </c>
    </row>
    <row r="898" ht="17" customHeight="1">
      <c r="B898" s="66" t="n"/>
      <c r="C898" s="60" t="n"/>
      <c r="D898" s="60" t="n"/>
      <c r="E898" s="63" t="n"/>
      <c r="F898" s="60" t="n"/>
      <c r="G898" s="60" t="n"/>
      <c r="H898" s="13">
        <f>IF($C898="","",IFERROR(INDEX('Lists'!$G$6:$G$35,MATCH($C898,'Lists'!$F$6:$F$35,0))&amp;"","Unknown category"))</f>
        <v/>
      </c>
      <c r="I898" s="80">
        <f>IF(AND($B898="",$C898="",$E898=""),"",IF(NOT(ISNUMBER($B898)),"Enter a valid date",IF($C898="","Pick a category",IF(OR($H898="Unknown category",$H898=""),"Category has no cost type",IF(NOT(ISNUMBER($E898)),"Enter an amount","OK")))))</f>
        <v/>
      </c>
    </row>
    <row r="899" ht="17" customHeight="1">
      <c r="B899" s="66" t="n"/>
      <c r="C899" s="60" t="n"/>
      <c r="D899" s="60" t="n"/>
      <c r="E899" s="63" t="n"/>
      <c r="F899" s="60" t="n"/>
      <c r="G899" s="60" t="n"/>
      <c r="H899" s="13">
        <f>IF($C899="","",IFERROR(INDEX('Lists'!$G$6:$G$35,MATCH($C899,'Lists'!$F$6:$F$35,0))&amp;"","Unknown category"))</f>
        <v/>
      </c>
      <c r="I899" s="80">
        <f>IF(AND($B899="",$C899="",$E899=""),"",IF(NOT(ISNUMBER($B899)),"Enter a valid date",IF($C899="","Pick a category",IF(OR($H899="Unknown category",$H899=""),"Category has no cost type",IF(NOT(ISNUMBER($E899)),"Enter an amount","OK")))))</f>
        <v/>
      </c>
    </row>
    <row r="900" ht="17" customHeight="1">
      <c r="B900" s="66" t="n"/>
      <c r="C900" s="60" t="n"/>
      <c r="D900" s="60" t="n"/>
      <c r="E900" s="63" t="n"/>
      <c r="F900" s="60" t="n"/>
      <c r="G900" s="60" t="n"/>
      <c r="H900" s="13">
        <f>IF($C900="","",IFERROR(INDEX('Lists'!$G$6:$G$35,MATCH($C900,'Lists'!$F$6:$F$35,0))&amp;"","Unknown category"))</f>
        <v/>
      </c>
      <c r="I900" s="80">
        <f>IF(AND($B900="",$C900="",$E900=""),"",IF(NOT(ISNUMBER($B900)),"Enter a valid date",IF($C900="","Pick a category",IF(OR($H900="Unknown category",$H900=""),"Category has no cost type",IF(NOT(ISNUMBER($E900)),"Enter an amount","OK")))))</f>
        <v/>
      </c>
    </row>
    <row r="901" ht="17" customHeight="1">
      <c r="B901" s="66" t="n"/>
      <c r="C901" s="60" t="n"/>
      <c r="D901" s="60" t="n"/>
      <c r="E901" s="63" t="n"/>
      <c r="F901" s="60" t="n"/>
      <c r="G901" s="60" t="n"/>
      <c r="H901" s="13">
        <f>IF($C901="","",IFERROR(INDEX('Lists'!$G$6:$G$35,MATCH($C901,'Lists'!$F$6:$F$35,0))&amp;"","Unknown category"))</f>
        <v/>
      </c>
      <c r="I901" s="80">
        <f>IF(AND($B901="",$C901="",$E901=""),"",IF(NOT(ISNUMBER($B901)),"Enter a valid date",IF($C901="","Pick a category",IF(OR($H901="Unknown category",$H901=""),"Category has no cost type",IF(NOT(ISNUMBER($E901)),"Enter an amount","OK")))))</f>
        <v/>
      </c>
    </row>
    <row r="902" ht="17" customHeight="1">
      <c r="B902" s="66" t="n"/>
      <c r="C902" s="60" t="n"/>
      <c r="D902" s="60" t="n"/>
      <c r="E902" s="63" t="n"/>
      <c r="F902" s="60" t="n"/>
      <c r="G902" s="60" t="n"/>
      <c r="H902" s="13">
        <f>IF($C902="","",IFERROR(INDEX('Lists'!$G$6:$G$35,MATCH($C902,'Lists'!$F$6:$F$35,0))&amp;"","Unknown category"))</f>
        <v/>
      </c>
      <c r="I902" s="80">
        <f>IF(AND($B902="",$C902="",$E902=""),"",IF(NOT(ISNUMBER($B902)),"Enter a valid date",IF($C902="","Pick a category",IF(OR($H902="Unknown category",$H902=""),"Category has no cost type",IF(NOT(ISNUMBER($E902)),"Enter an amount","OK")))))</f>
        <v/>
      </c>
    </row>
    <row r="903" ht="17" customHeight="1">
      <c r="B903" s="66" t="n"/>
      <c r="C903" s="60" t="n"/>
      <c r="D903" s="60" t="n"/>
      <c r="E903" s="63" t="n"/>
      <c r="F903" s="60" t="n"/>
      <c r="G903" s="60" t="n"/>
      <c r="H903" s="13">
        <f>IF($C903="","",IFERROR(INDEX('Lists'!$G$6:$G$35,MATCH($C903,'Lists'!$F$6:$F$35,0))&amp;"","Unknown category"))</f>
        <v/>
      </c>
      <c r="I903" s="80">
        <f>IF(AND($B903="",$C903="",$E903=""),"",IF(NOT(ISNUMBER($B903)),"Enter a valid date",IF($C903="","Pick a category",IF(OR($H903="Unknown category",$H903=""),"Category has no cost type",IF(NOT(ISNUMBER($E903)),"Enter an amount","OK")))))</f>
        <v/>
      </c>
    </row>
    <row r="904" ht="17" customHeight="1">
      <c r="B904" s="66" t="n"/>
      <c r="C904" s="60" t="n"/>
      <c r="D904" s="60" t="n"/>
      <c r="E904" s="63" t="n"/>
      <c r="F904" s="60" t="n"/>
      <c r="G904" s="60" t="n"/>
      <c r="H904" s="13">
        <f>IF($C904="","",IFERROR(INDEX('Lists'!$G$6:$G$35,MATCH($C904,'Lists'!$F$6:$F$35,0))&amp;"","Unknown category"))</f>
        <v/>
      </c>
      <c r="I904" s="80">
        <f>IF(AND($B904="",$C904="",$E904=""),"",IF(NOT(ISNUMBER($B904)),"Enter a valid date",IF($C904="","Pick a category",IF(OR($H904="Unknown category",$H904=""),"Category has no cost type",IF(NOT(ISNUMBER($E904)),"Enter an amount","OK")))))</f>
        <v/>
      </c>
    </row>
    <row r="905" ht="17" customHeight="1">
      <c r="B905" s="66" t="n"/>
      <c r="C905" s="60" t="n"/>
      <c r="D905" s="60" t="n"/>
      <c r="E905" s="63" t="n"/>
      <c r="F905" s="60" t="n"/>
      <c r="G905" s="60" t="n"/>
      <c r="H905" s="13">
        <f>IF($C905="","",IFERROR(INDEX('Lists'!$G$6:$G$35,MATCH($C905,'Lists'!$F$6:$F$35,0))&amp;"","Unknown category"))</f>
        <v/>
      </c>
      <c r="I905" s="80">
        <f>IF(AND($B905="",$C905="",$E905=""),"",IF(NOT(ISNUMBER($B905)),"Enter a valid date",IF($C905="","Pick a category",IF(OR($H905="Unknown category",$H905=""),"Category has no cost type",IF(NOT(ISNUMBER($E905)),"Enter an amount","OK")))))</f>
        <v/>
      </c>
    </row>
    <row r="906" ht="17" customHeight="1">
      <c r="B906" s="66" t="n"/>
      <c r="C906" s="60" t="n"/>
      <c r="D906" s="60" t="n"/>
      <c r="E906" s="63" t="n"/>
      <c r="F906" s="60" t="n"/>
      <c r="G906" s="60" t="n"/>
      <c r="H906" s="13">
        <f>IF($C906="","",IFERROR(INDEX('Lists'!$G$6:$G$35,MATCH($C906,'Lists'!$F$6:$F$35,0))&amp;"","Unknown category"))</f>
        <v/>
      </c>
      <c r="I906" s="80">
        <f>IF(AND($B906="",$C906="",$E906=""),"",IF(NOT(ISNUMBER($B906)),"Enter a valid date",IF($C906="","Pick a category",IF(OR($H906="Unknown category",$H906=""),"Category has no cost type",IF(NOT(ISNUMBER($E906)),"Enter an amount","OK")))))</f>
        <v/>
      </c>
    </row>
    <row r="907" ht="17" customHeight="1">
      <c r="B907" s="66" t="n"/>
      <c r="C907" s="60" t="n"/>
      <c r="D907" s="60" t="n"/>
      <c r="E907" s="63" t="n"/>
      <c r="F907" s="60" t="n"/>
      <c r="G907" s="60" t="n"/>
      <c r="H907" s="13">
        <f>IF($C907="","",IFERROR(INDEX('Lists'!$G$6:$G$35,MATCH($C907,'Lists'!$F$6:$F$35,0))&amp;"","Unknown category"))</f>
        <v/>
      </c>
      <c r="I907" s="80">
        <f>IF(AND($B907="",$C907="",$E907=""),"",IF(NOT(ISNUMBER($B907)),"Enter a valid date",IF($C907="","Pick a category",IF(OR($H907="Unknown category",$H907=""),"Category has no cost type",IF(NOT(ISNUMBER($E907)),"Enter an amount","OK")))))</f>
        <v/>
      </c>
    </row>
    <row r="908" ht="17" customHeight="1">
      <c r="B908" s="66" t="n"/>
      <c r="C908" s="60" t="n"/>
      <c r="D908" s="60" t="n"/>
      <c r="E908" s="63" t="n"/>
      <c r="F908" s="60" t="n"/>
      <c r="G908" s="60" t="n"/>
      <c r="H908" s="13">
        <f>IF($C908="","",IFERROR(INDEX('Lists'!$G$6:$G$35,MATCH($C908,'Lists'!$F$6:$F$35,0))&amp;"","Unknown category"))</f>
        <v/>
      </c>
      <c r="I908" s="80">
        <f>IF(AND($B908="",$C908="",$E908=""),"",IF(NOT(ISNUMBER($B908)),"Enter a valid date",IF($C908="","Pick a category",IF(OR($H908="Unknown category",$H908=""),"Category has no cost type",IF(NOT(ISNUMBER($E908)),"Enter an amount","OK")))))</f>
        <v/>
      </c>
    </row>
    <row r="909" ht="17" customHeight="1">
      <c r="B909" s="66" t="n"/>
      <c r="C909" s="60" t="n"/>
      <c r="D909" s="60" t="n"/>
      <c r="E909" s="63" t="n"/>
      <c r="F909" s="60" t="n"/>
      <c r="G909" s="60" t="n"/>
      <c r="H909" s="13">
        <f>IF($C909="","",IFERROR(INDEX('Lists'!$G$6:$G$35,MATCH($C909,'Lists'!$F$6:$F$35,0))&amp;"","Unknown category"))</f>
        <v/>
      </c>
      <c r="I909" s="80">
        <f>IF(AND($B909="",$C909="",$E909=""),"",IF(NOT(ISNUMBER($B909)),"Enter a valid date",IF($C909="","Pick a category",IF(OR($H909="Unknown category",$H909=""),"Category has no cost type",IF(NOT(ISNUMBER($E909)),"Enter an amount","OK")))))</f>
        <v/>
      </c>
    </row>
    <row r="910" ht="17" customHeight="1">
      <c r="B910" s="66" t="n"/>
      <c r="C910" s="60" t="n"/>
      <c r="D910" s="60" t="n"/>
      <c r="E910" s="63" t="n"/>
      <c r="F910" s="60" t="n"/>
      <c r="G910" s="60" t="n"/>
      <c r="H910" s="13">
        <f>IF($C910="","",IFERROR(INDEX('Lists'!$G$6:$G$35,MATCH($C910,'Lists'!$F$6:$F$35,0))&amp;"","Unknown category"))</f>
        <v/>
      </c>
      <c r="I910" s="80">
        <f>IF(AND($B910="",$C910="",$E910=""),"",IF(NOT(ISNUMBER($B910)),"Enter a valid date",IF($C910="","Pick a category",IF(OR($H910="Unknown category",$H910=""),"Category has no cost type",IF(NOT(ISNUMBER($E910)),"Enter an amount","OK")))))</f>
        <v/>
      </c>
    </row>
    <row r="911" ht="17" customHeight="1">
      <c r="B911" s="66" t="n"/>
      <c r="C911" s="60" t="n"/>
      <c r="D911" s="60" t="n"/>
      <c r="E911" s="63" t="n"/>
      <c r="F911" s="60" t="n"/>
      <c r="G911" s="60" t="n"/>
      <c r="H911" s="13">
        <f>IF($C911="","",IFERROR(INDEX('Lists'!$G$6:$G$35,MATCH($C911,'Lists'!$F$6:$F$35,0))&amp;"","Unknown category"))</f>
        <v/>
      </c>
      <c r="I911" s="80">
        <f>IF(AND($B911="",$C911="",$E911=""),"",IF(NOT(ISNUMBER($B911)),"Enter a valid date",IF($C911="","Pick a category",IF(OR($H911="Unknown category",$H911=""),"Category has no cost type",IF(NOT(ISNUMBER($E911)),"Enter an amount","OK")))))</f>
        <v/>
      </c>
    </row>
    <row r="912" ht="17" customHeight="1">
      <c r="B912" s="66" t="n"/>
      <c r="C912" s="60" t="n"/>
      <c r="D912" s="60" t="n"/>
      <c r="E912" s="63" t="n"/>
      <c r="F912" s="60" t="n"/>
      <c r="G912" s="60" t="n"/>
      <c r="H912" s="13">
        <f>IF($C912="","",IFERROR(INDEX('Lists'!$G$6:$G$35,MATCH($C912,'Lists'!$F$6:$F$35,0))&amp;"","Unknown category"))</f>
        <v/>
      </c>
      <c r="I912" s="80">
        <f>IF(AND($B912="",$C912="",$E912=""),"",IF(NOT(ISNUMBER($B912)),"Enter a valid date",IF($C912="","Pick a category",IF(OR($H912="Unknown category",$H912=""),"Category has no cost type",IF(NOT(ISNUMBER($E912)),"Enter an amount","OK")))))</f>
        <v/>
      </c>
    </row>
    <row r="913" ht="17" customHeight="1">
      <c r="B913" s="66" t="n"/>
      <c r="C913" s="60" t="n"/>
      <c r="D913" s="60" t="n"/>
      <c r="E913" s="63" t="n"/>
      <c r="F913" s="60" t="n"/>
      <c r="G913" s="60" t="n"/>
      <c r="H913" s="13">
        <f>IF($C913="","",IFERROR(INDEX('Lists'!$G$6:$G$35,MATCH($C913,'Lists'!$F$6:$F$35,0))&amp;"","Unknown category"))</f>
        <v/>
      </c>
      <c r="I913" s="80">
        <f>IF(AND($B913="",$C913="",$E913=""),"",IF(NOT(ISNUMBER($B913)),"Enter a valid date",IF($C913="","Pick a category",IF(OR($H913="Unknown category",$H913=""),"Category has no cost type",IF(NOT(ISNUMBER($E913)),"Enter an amount","OK")))))</f>
        <v/>
      </c>
    </row>
    <row r="914" ht="17" customHeight="1">
      <c r="B914" s="66" t="n"/>
      <c r="C914" s="60" t="n"/>
      <c r="D914" s="60" t="n"/>
      <c r="E914" s="63" t="n"/>
      <c r="F914" s="60" t="n"/>
      <c r="G914" s="60" t="n"/>
      <c r="H914" s="13">
        <f>IF($C914="","",IFERROR(INDEX('Lists'!$G$6:$G$35,MATCH($C914,'Lists'!$F$6:$F$35,0))&amp;"","Unknown category"))</f>
        <v/>
      </c>
      <c r="I914" s="80">
        <f>IF(AND($B914="",$C914="",$E914=""),"",IF(NOT(ISNUMBER($B914)),"Enter a valid date",IF($C914="","Pick a category",IF(OR($H914="Unknown category",$H914=""),"Category has no cost type",IF(NOT(ISNUMBER($E914)),"Enter an amount","OK")))))</f>
        <v/>
      </c>
    </row>
    <row r="915" ht="17" customHeight="1">
      <c r="B915" s="66" t="n"/>
      <c r="C915" s="60" t="n"/>
      <c r="D915" s="60" t="n"/>
      <c r="E915" s="63" t="n"/>
      <c r="F915" s="60" t="n"/>
      <c r="G915" s="60" t="n"/>
      <c r="H915" s="13">
        <f>IF($C915="","",IFERROR(INDEX('Lists'!$G$6:$G$35,MATCH($C915,'Lists'!$F$6:$F$35,0))&amp;"","Unknown category"))</f>
        <v/>
      </c>
      <c r="I915" s="80">
        <f>IF(AND($B915="",$C915="",$E915=""),"",IF(NOT(ISNUMBER($B915)),"Enter a valid date",IF($C915="","Pick a category",IF(OR($H915="Unknown category",$H915=""),"Category has no cost type",IF(NOT(ISNUMBER($E915)),"Enter an amount","OK")))))</f>
        <v/>
      </c>
    </row>
    <row r="916" ht="17" customHeight="1">
      <c r="B916" s="66" t="n"/>
      <c r="C916" s="60" t="n"/>
      <c r="D916" s="60" t="n"/>
      <c r="E916" s="63" t="n"/>
      <c r="F916" s="60" t="n"/>
      <c r="G916" s="60" t="n"/>
      <c r="H916" s="13">
        <f>IF($C916="","",IFERROR(INDEX('Lists'!$G$6:$G$35,MATCH($C916,'Lists'!$F$6:$F$35,0))&amp;"","Unknown category"))</f>
        <v/>
      </c>
      <c r="I916" s="80">
        <f>IF(AND($B916="",$C916="",$E916=""),"",IF(NOT(ISNUMBER($B916)),"Enter a valid date",IF($C916="","Pick a category",IF(OR($H916="Unknown category",$H916=""),"Category has no cost type",IF(NOT(ISNUMBER($E916)),"Enter an amount","OK")))))</f>
        <v/>
      </c>
    </row>
    <row r="917" ht="17" customHeight="1">
      <c r="B917" s="66" t="n"/>
      <c r="C917" s="60" t="n"/>
      <c r="D917" s="60" t="n"/>
      <c r="E917" s="63" t="n"/>
      <c r="F917" s="60" t="n"/>
      <c r="G917" s="60" t="n"/>
      <c r="H917" s="13">
        <f>IF($C917="","",IFERROR(INDEX('Lists'!$G$6:$G$35,MATCH($C917,'Lists'!$F$6:$F$35,0))&amp;"","Unknown category"))</f>
        <v/>
      </c>
      <c r="I917" s="80">
        <f>IF(AND($B917="",$C917="",$E917=""),"",IF(NOT(ISNUMBER($B917)),"Enter a valid date",IF($C917="","Pick a category",IF(OR($H917="Unknown category",$H917=""),"Category has no cost type",IF(NOT(ISNUMBER($E917)),"Enter an amount","OK")))))</f>
        <v/>
      </c>
    </row>
    <row r="918" ht="17" customHeight="1">
      <c r="B918" s="66" t="n"/>
      <c r="C918" s="60" t="n"/>
      <c r="D918" s="60" t="n"/>
      <c r="E918" s="63" t="n"/>
      <c r="F918" s="60" t="n"/>
      <c r="G918" s="60" t="n"/>
      <c r="H918" s="13">
        <f>IF($C918="","",IFERROR(INDEX('Lists'!$G$6:$G$35,MATCH($C918,'Lists'!$F$6:$F$35,0))&amp;"","Unknown category"))</f>
        <v/>
      </c>
      <c r="I918" s="80">
        <f>IF(AND($B918="",$C918="",$E918=""),"",IF(NOT(ISNUMBER($B918)),"Enter a valid date",IF($C918="","Pick a category",IF(OR($H918="Unknown category",$H918=""),"Category has no cost type",IF(NOT(ISNUMBER($E918)),"Enter an amount","OK")))))</f>
        <v/>
      </c>
    </row>
    <row r="919" ht="17" customHeight="1">
      <c r="B919" s="66" t="n"/>
      <c r="C919" s="60" t="n"/>
      <c r="D919" s="60" t="n"/>
      <c r="E919" s="63" t="n"/>
      <c r="F919" s="60" t="n"/>
      <c r="G919" s="60" t="n"/>
      <c r="H919" s="13">
        <f>IF($C919="","",IFERROR(INDEX('Lists'!$G$6:$G$35,MATCH($C919,'Lists'!$F$6:$F$35,0))&amp;"","Unknown category"))</f>
        <v/>
      </c>
      <c r="I919" s="80">
        <f>IF(AND($B919="",$C919="",$E919=""),"",IF(NOT(ISNUMBER($B919)),"Enter a valid date",IF($C919="","Pick a category",IF(OR($H919="Unknown category",$H919=""),"Category has no cost type",IF(NOT(ISNUMBER($E919)),"Enter an amount","OK")))))</f>
        <v/>
      </c>
    </row>
    <row r="920" ht="17" customHeight="1">
      <c r="B920" s="66" t="n"/>
      <c r="C920" s="60" t="n"/>
      <c r="D920" s="60" t="n"/>
      <c r="E920" s="63" t="n"/>
      <c r="F920" s="60" t="n"/>
      <c r="G920" s="60" t="n"/>
      <c r="H920" s="13">
        <f>IF($C920="","",IFERROR(INDEX('Lists'!$G$6:$G$35,MATCH($C920,'Lists'!$F$6:$F$35,0))&amp;"","Unknown category"))</f>
        <v/>
      </c>
      <c r="I920" s="80">
        <f>IF(AND($B920="",$C920="",$E920=""),"",IF(NOT(ISNUMBER($B920)),"Enter a valid date",IF($C920="","Pick a category",IF(OR($H920="Unknown category",$H920=""),"Category has no cost type",IF(NOT(ISNUMBER($E920)),"Enter an amount","OK")))))</f>
        <v/>
      </c>
    </row>
    <row r="921" ht="17" customHeight="1">
      <c r="B921" s="66" t="n"/>
      <c r="C921" s="60" t="n"/>
      <c r="D921" s="60" t="n"/>
      <c r="E921" s="63" t="n"/>
      <c r="F921" s="60" t="n"/>
      <c r="G921" s="60" t="n"/>
      <c r="H921" s="13">
        <f>IF($C921="","",IFERROR(INDEX('Lists'!$G$6:$G$35,MATCH($C921,'Lists'!$F$6:$F$35,0))&amp;"","Unknown category"))</f>
        <v/>
      </c>
      <c r="I921" s="80">
        <f>IF(AND($B921="",$C921="",$E921=""),"",IF(NOT(ISNUMBER($B921)),"Enter a valid date",IF($C921="","Pick a category",IF(OR($H921="Unknown category",$H921=""),"Category has no cost type",IF(NOT(ISNUMBER($E921)),"Enter an amount","OK")))))</f>
        <v/>
      </c>
    </row>
    <row r="922" ht="17" customHeight="1">
      <c r="B922" s="66" t="n"/>
      <c r="C922" s="60" t="n"/>
      <c r="D922" s="60" t="n"/>
      <c r="E922" s="63" t="n"/>
      <c r="F922" s="60" t="n"/>
      <c r="G922" s="60" t="n"/>
      <c r="H922" s="13">
        <f>IF($C922="","",IFERROR(INDEX('Lists'!$G$6:$G$35,MATCH($C922,'Lists'!$F$6:$F$35,0))&amp;"","Unknown category"))</f>
        <v/>
      </c>
      <c r="I922" s="80">
        <f>IF(AND($B922="",$C922="",$E922=""),"",IF(NOT(ISNUMBER($B922)),"Enter a valid date",IF($C922="","Pick a category",IF(OR($H922="Unknown category",$H922=""),"Category has no cost type",IF(NOT(ISNUMBER($E922)),"Enter an amount","OK")))))</f>
        <v/>
      </c>
    </row>
    <row r="923" ht="17" customHeight="1">
      <c r="B923" s="66" t="n"/>
      <c r="C923" s="60" t="n"/>
      <c r="D923" s="60" t="n"/>
      <c r="E923" s="63" t="n"/>
      <c r="F923" s="60" t="n"/>
      <c r="G923" s="60" t="n"/>
      <c r="H923" s="13">
        <f>IF($C923="","",IFERROR(INDEX('Lists'!$G$6:$G$35,MATCH($C923,'Lists'!$F$6:$F$35,0))&amp;"","Unknown category"))</f>
        <v/>
      </c>
      <c r="I923" s="80">
        <f>IF(AND($B923="",$C923="",$E923=""),"",IF(NOT(ISNUMBER($B923)),"Enter a valid date",IF($C923="","Pick a category",IF(OR($H923="Unknown category",$H923=""),"Category has no cost type",IF(NOT(ISNUMBER($E923)),"Enter an amount","OK")))))</f>
        <v/>
      </c>
    </row>
    <row r="924" ht="17" customHeight="1">
      <c r="B924" s="66" t="n"/>
      <c r="C924" s="60" t="n"/>
      <c r="D924" s="60" t="n"/>
      <c r="E924" s="63" t="n"/>
      <c r="F924" s="60" t="n"/>
      <c r="G924" s="60" t="n"/>
      <c r="H924" s="13">
        <f>IF($C924="","",IFERROR(INDEX('Lists'!$G$6:$G$35,MATCH($C924,'Lists'!$F$6:$F$35,0))&amp;"","Unknown category"))</f>
        <v/>
      </c>
      <c r="I924" s="80">
        <f>IF(AND($B924="",$C924="",$E924=""),"",IF(NOT(ISNUMBER($B924)),"Enter a valid date",IF($C924="","Pick a category",IF(OR($H924="Unknown category",$H924=""),"Category has no cost type",IF(NOT(ISNUMBER($E924)),"Enter an amount","OK")))))</f>
        <v/>
      </c>
    </row>
    <row r="925" ht="17" customHeight="1">
      <c r="B925" s="66" t="n"/>
      <c r="C925" s="60" t="n"/>
      <c r="D925" s="60" t="n"/>
      <c r="E925" s="63" t="n"/>
      <c r="F925" s="60" t="n"/>
      <c r="G925" s="60" t="n"/>
      <c r="H925" s="13">
        <f>IF($C925="","",IFERROR(INDEX('Lists'!$G$6:$G$35,MATCH($C925,'Lists'!$F$6:$F$35,0))&amp;"","Unknown category"))</f>
        <v/>
      </c>
      <c r="I925" s="80">
        <f>IF(AND($B925="",$C925="",$E925=""),"",IF(NOT(ISNUMBER($B925)),"Enter a valid date",IF($C925="","Pick a category",IF(OR($H925="Unknown category",$H925=""),"Category has no cost type",IF(NOT(ISNUMBER($E925)),"Enter an amount","OK")))))</f>
        <v/>
      </c>
    </row>
    <row r="926" ht="17" customHeight="1">
      <c r="B926" s="66" t="n"/>
      <c r="C926" s="60" t="n"/>
      <c r="D926" s="60" t="n"/>
      <c r="E926" s="63" t="n"/>
      <c r="F926" s="60" t="n"/>
      <c r="G926" s="60" t="n"/>
      <c r="H926" s="13">
        <f>IF($C926="","",IFERROR(INDEX('Lists'!$G$6:$G$35,MATCH($C926,'Lists'!$F$6:$F$35,0))&amp;"","Unknown category"))</f>
        <v/>
      </c>
      <c r="I926" s="80">
        <f>IF(AND($B926="",$C926="",$E926=""),"",IF(NOT(ISNUMBER($B926)),"Enter a valid date",IF($C926="","Pick a category",IF(OR($H926="Unknown category",$H926=""),"Category has no cost type",IF(NOT(ISNUMBER($E926)),"Enter an amount","OK")))))</f>
        <v/>
      </c>
    </row>
    <row r="927" ht="17" customHeight="1">
      <c r="B927" s="66" t="n"/>
      <c r="C927" s="60" t="n"/>
      <c r="D927" s="60" t="n"/>
      <c r="E927" s="63" t="n"/>
      <c r="F927" s="60" t="n"/>
      <c r="G927" s="60" t="n"/>
      <c r="H927" s="13">
        <f>IF($C927="","",IFERROR(INDEX('Lists'!$G$6:$G$35,MATCH($C927,'Lists'!$F$6:$F$35,0))&amp;"","Unknown category"))</f>
        <v/>
      </c>
      <c r="I927" s="80">
        <f>IF(AND($B927="",$C927="",$E927=""),"",IF(NOT(ISNUMBER($B927)),"Enter a valid date",IF($C927="","Pick a category",IF(OR($H927="Unknown category",$H927=""),"Category has no cost type",IF(NOT(ISNUMBER($E927)),"Enter an amount","OK")))))</f>
        <v/>
      </c>
    </row>
    <row r="928" ht="17" customHeight="1">
      <c r="B928" s="66" t="n"/>
      <c r="C928" s="60" t="n"/>
      <c r="D928" s="60" t="n"/>
      <c r="E928" s="63" t="n"/>
      <c r="F928" s="60" t="n"/>
      <c r="G928" s="60" t="n"/>
      <c r="H928" s="13">
        <f>IF($C928="","",IFERROR(INDEX('Lists'!$G$6:$G$35,MATCH($C928,'Lists'!$F$6:$F$35,0))&amp;"","Unknown category"))</f>
        <v/>
      </c>
      <c r="I928" s="80">
        <f>IF(AND($B928="",$C928="",$E928=""),"",IF(NOT(ISNUMBER($B928)),"Enter a valid date",IF($C928="","Pick a category",IF(OR($H928="Unknown category",$H928=""),"Category has no cost type",IF(NOT(ISNUMBER($E928)),"Enter an amount","OK")))))</f>
        <v/>
      </c>
    </row>
    <row r="929" ht="17" customHeight="1">
      <c r="B929" s="66" t="n"/>
      <c r="C929" s="60" t="n"/>
      <c r="D929" s="60" t="n"/>
      <c r="E929" s="63" t="n"/>
      <c r="F929" s="60" t="n"/>
      <c r="G929" s="60" t="n"/>
      <c r="H929" s="13">
        <f>IF($C929="","",IFERROR(INDEX('Lists'!$G$6:$G$35,MATCH($C929,'Lists'!$F$6:$F$35,0))&amp;"","Unknown category"))</f>
        <v/>
      </c>
      <c r="I929" s="80">
        <f>IF(AND($B929="",$C929="",$E929=""),"",IF(NOT(ISNUMBER($B929)),"Enter a valid date",IF($C929="","Pick a category",IF(OR($H929="Unknown category",$H929=""),"Category has no cost type",IF(NOT(ISNUMBER($E929)),"Enter an amount","OK")))))</f>
        <v/>
      </c>
    </row>
    <row r="930" ht="17" customHeight="1">
      <c r="B930" s="66" t="n"/>
      <c r="C930" s="60" t="n"/>
      <c r="D930" s="60" t="n"/>
      <c r="E930" s="63" t="n"/>
      <c r="F930" s="60" t="n"/>
      <c r="G930" s="60" t="n"/>
      <c r="H930" s="13">
        <f>IF($C930="","",IFERROR(INDEX('Lists'!$G$6:$G$35,MATCH($C930,'Lists'!$F$6:$F$35,0))&amp;"","Unknown category"))</f>
        <v/>
      </c>
      <c r="I930" s="80">
        <f>IF(AND($B930="",$C930="",$E930=""),"",IF(NOT(ISNUMBER($B930)),"Enter a valid date",IF($C930="","Pick a category",IF(OR($H930="Unknown category",$H930=""),"Category has no cost type",IF(NOT(ISNUMBER($E930)),"Enter an amount","OK")))))</f>
        <v/>
      </c>
    </row>
    <row r="931" ht="17" customHeight="1">
      <c r="B931" s="66" t="n"/>
      <c r="C931" s="60" t="n"/>
      <c r="D931" s="60" t="n"/>
      <c r="E931" s="63" t="n"/>
      <c r="F931" s="60" t="n"/>
      <c r="G931" s="60" t="n"/>
      <c r="H931" s="13">
        <f>IF($C931="","",IFERROR(INDEX('Lists'!$G$6:$G$35,MATCH($C931,'Lists'!$F$6:$F$35,0))&amp;"","Unknown category"))</f>
        <v/>
      </c>
      <c r="I931" s="80">
        <f>IF(AND($B931="",$C931="",$E931=""),"",IF(NOT(ISNUMBER($B931)),"Enter a valid date",IF($C931="","Pick a category",IF(OR($H931="Unknown category",$H931=""),"Category has no cost type",IF(NOT(ISNUMBER($E931)),"Enter an amount","OK")))))</f>
        <v/>
      </c>
    </row>
    <row r="932" ht="17" customHeight="1">
      <c r="B932" s="66" t="n"/>
      <c r="C932" s="60" t="n"/>
      <c r="D932" s="60" t="n"/>
      <c r="E932" s="63" t="n"/>
      <c r="F932" s="60" t="n"/>
      <c r="G932" s="60" t="n"/>
      <c r="H932" s="13">
        <f>IF($C932="","",IFERROR(INDEX('Lists'!$G$6:$G$35,MATCH($C932,'Lists'!$F$6:$F$35,0))&amp;"","Unknown category"))</f>
        <v/>
      </c>
      <c r="I932" s="80">
        <f>IF(AND($B932="",$C932="",$E932=""),"",IF(NOT(ISNUMBER($B932)),"Enter a valid date",IF($C932="","Pick a category",IF(OR($H932="Unknown category",$H932=""),"Category has no cost type",IF(NOT(ISNUMBER($E932)),"Enter an amount","OK")))))</f>
        <v/>
      </c>
    </row>
    <row r="933" ht="17" customHeight="1">
      <c r="B933" s="66" t="n"/>
      <c r="C933" s="60" t="n"/>
      <c r="D933" s="60" t="n"/>
      <c r="E933" s="63" t="n"/>
      <c r="F933" s="60" t="n"/>
      <c r="G933" s="60" t="n"/>
      <c r="H933" s="13">
        <f>IF($C933="","",IFERROR(INDEX('Lists'!$G$6:$G$35,MATCH($C933,'Lists'!$F$6:$F$35,0))&amp;"","Unknown category"))</f>
        <v/>
      </c>
      <c r="I933" s="80">
        <f>IF(AND($B933="",$C933="",$E933=""),"",IF(NOT(ISNUMBER($B933)),"Enter a valid date",IF($C933="","Pick a category",IF(OR($H933="Unknown category",$H933=""),"Category has no cost type",IF(NOT(ISNUMBER($E933)),"Enter an amount","OK")))))</f>
        <v/>
      </c>
    </row>
    <row r="934" ht="17" customHeight="1">
      <c r="B934" s="66" t="n"/>
      <c r="C934" s="60" t="n"/>
      <c r="D934" s="60" t="n"/>
      <c r="E934" s="63" t="n"/>
      <c r="F934" s="60" t="n"/>
      <c r="G934" s="60" t="n"/>
      <c r="H934" s="13">
        <f>IF($C934="","",IFERROR(INDEX('Lists'!$G$6:$G$35,MATCH($C934,'Lists'!$F$6:$F$35,0))&amp;"","Unknown category"))</f>
        <v/>
      </c>
      <c r="I934" s="80">
        <f>IF(AND($B934="",$C934="",$E934=""),"",IF(NOT(ISNUMBER($B934)),"Enter a valid date",IF($C934="","Pick a category",IF(OR($H934="Unknown category",$H934=""),"Category has no cost type",IF(NOT(ISNUMBER($E934)),"Enter an amount","OK")))))</f>
        <v/>
      </c>
    </row>
    <row r="935" ht="17" customHeight="1">
      <c r="B935" s="66" t="n"/>
      <c r="C935" s="60" t="n"/>
      <c r="D935" s="60" t="n"/>
      <c r="E935" s="63" t="n"/>
      <c r="F935" s="60" t="n"/>
      <c r="G935" s="60" t="n"/>
      <c r="H935" s="13">
        <f>IF($C935="","",IFERROR(INDEX('Lists'!$G$6:$G$35,MATCH($C935,'Lists'!$F$6:$F$35,0))&amp;"","Unknown category"))</f>
        <v/>
      </c>
      <c r="I935" s="80">
        <f>IF(AND($B935="",$C935="",$E935=""),"",IF(NOT(ISNUMBER($B935)),"Enter a valid date",IF($C935="","Pick a category",IF(OR($H935="Unknown category",$H935=""),"Category has no cost type",IF(NOT(ISNUMBER($E935)),"Enter an amount","OK")))))</f>
        <v/>
      </c>
    </row>
    <row r="936" ht="17" customHeight="1">
      <c r="B936" s="66" t="n"/>
      <c r="C936" s="60" t="n"/>
      <c r="D936" s="60" t="n"/>
      <c r="E936" s="63" t="n"/>
      <c r="F936" s="60" t="n"/>
      <c r="G936" s="60" t="n"/>
      <c r="H936" s="13">
        <f>IF($C936="","",IFERROR(INDEX('Lists'!$G$6:$G$35,MATCH($C936,'Lists'!$F$6:$F$35,0))&amp;"","Unknown category"))</f>
        <v/>
      </c>
      <c r="I936" s="80">
        <f>IF(AND($B936="",$C936="",$E936=""),"",IF(NOT(ISNUMBER($B936)),"Enter a valid date",IF($C936="","Pick a category",IF(OR($H936="Unknown category",$H936=""),"Category has no cost type",IF(NOT(ISNUMBER($E936)),"Enter an amount","OK")))))</f>
        <v/>
      </c>
    </row>
    <row r="937" ht="17" customHeight="1">
      <c r="B937" s="66" t="n"/>
      <c r="C937" s="60" t="n"/>
      <c r="D937" s="60" t="n"/>
      <c r="E937" s="63" t="n"/>
      <c r="F937" s="60" t="n"/>
      <c r="G937" s="60" t="n"/>
      <c r="H937" s="13">
        <f>IF($C937="","",IFERROR(INDEX('Lists'!$G$6:$G$35,MATCH($C937,'Lists'!$F$6:$F$35,0))&amp;"","Unknown category"))</f>
        <v/>
      </c>
      <c r="I937" s="80">
        <f>IF(AND($B937="",$C937="",$E937=""),"",IF(NOT(ISNUMBER($B937)),"Enter a valid date",IF($C937="","Pick a category",IF(OR($H937="Unknown category",$H937=""),"Category has no cost type",IF(NOT(ISNUMBER($E937)),"Enter an amount","OK")))))</f>
        <v/>
      </c>
    </row>
    <row r="938" ht="17" customHeight="1">
      <c r="B938" s="66" t="n"/>
      <c r="C938" s="60" t="n"/>
      <c r="D938" s="60" t="n"/>
      <c r="E938" s="63" t="n"/>
      <c r="F938" s="60" t="n"/>
      <c r="G938" s="60" t="n"/>
      <c r="H938" s="13">
        <f>IF($C938="","",IFERROR(INDEX('Lists'!$G$6:$G$35,MATCH($C938,'Lists'!$F$6:$F$35,0))&amp;"","Unknown category"))</f>
        <v/>
      </c>
      <c r="I938" s="80">
        <f>IF(AND($B938="",$C938="",$E938=""),"",IF(NOT(ISNUMBER($B938)),"Enter a valid date",IF($C938="","Pick a category",IF(OR($H938="Unknown category",$H938=""),"Category has no cost type",IF(NOT(ISNUMBER($E938)),"Enter an amount","OK")))))</f>
        <v/>
      </c>
    </row>
    <row r="939" ht="17" customHeight="1">
      <c r="B939" s="66" t="n"/>
      <c r="C939" s="60" t="n"/>
      <c r="D939" s="60" t="n"/>
      <c r="E939" s="63" t="n"/>
      <c r="F939" s="60" t="n"/>
      <c r="G939" s="60" t="n"/>
      <c r="H939" s="13">
        <f>IF($C939="","",IFERROR(INDEX('Lists'!$G$6:$G$35,MATCH($C939,'Lists'!$F$6:$F$35,0))&amp;"","Unknown category"))</f>
        <v/>
      </c>
      <c r="I939" s="80">
        <f>IF(AND($B939="",$C939="",$E939=""),"",IF(NOT(ISNUMBER($B939)),"Enter a valid date",IF($C939="","Pick a category",IF(OR($H939="Unknown category",$H939=""),"Category has no cost type",IF(NOT(ISNUMBER($E939)),"Enter an amount","OK")))))</f>
        <v/>
      </c>
    </row>
    <row r="940" ht="17" customHeight="1">
      <c r="B940" s="66" t="n"/>
      <c r="C940" s="60" t="n"/>
      <c r="D940" s="60" t="n"/>
      <c r="E940" s="63" t="n"/>
      <c r="F940" s="60" t="n"/>
      <c r="G940" s="60" t="n"/>
      <c r="H940" s="13">
        <f>IF($C940="","",IFERROR(INDEX('Lists'!$G$6:$G$35,MATCH($C940,'Lists'!$F$6:$F$35,0))&amp;"","Unknown category"))</f>
        <v/>
      </c>
      <c r="I940" s="80">
        <f>IF(AND($B940="",$C940="",$E940=""),"",IF(NOT(ISNUMBER($B940)),"Enter a valid date",IF($C940="","Pick a category",IF(OR($H940="Unknown category",$H940=""),"Category has no cost type",IF(NOT(ISNUMBER($E940)),"Enter an amount","OK")))))</f>
        <v/>
      </c>
    </row>
    <row r="941" ht="17" customHeight="1">
      <c r="B941" s="66" t="n"/>
      <c r="C941" s="60" t="n"/>
      <c r="D941" s="60" t="n"/>
      <c r="E941" s="63" t="n"/>
      <c r="F941" s="60" t="n"/>
      <c r="G941" s="60" t="n"/>
      <c r="H941" s="13">
        <f>IF($C941="","",IFERROR(INDEX('Lists'!$G$6:$G$35,MATCH($C941,'Lists'!$F$6:$F$35,0))&amp;"","Unknown category"))</f>
        <v/>
      </c>
      <c r="I941" s="80">
        <f>IF(AND($B941="",$C941="",$E941=""),"",IF(NOT(ISNUMBER($B941)),"Enter a valid date",IF($C941="","Pick a category",IF(OR($H941="Unknown category",$H941=""),"Category has no cost type",IF(NOT(ISNUMBER($E941)),"Enter an amount","OK")))))</f>
        <v/>
      </c>
    </row>
    <row r="942" ht="17" customHeight="1">
      <c r="B942" s="66" t="n"/>
      <c r="C942" s="60" t="n"/>
      <c r="D942" s="60" t="n"/>
      <c r="E942" s="63" t="n"/>
      <c r="F942" s="60" t="n"/>
      <c r="G942" s="60" t="n"/>
      <c r="H942" s="13">
        <f>IF($C942="","",IFERROR(INDEX('Lists'!$G$6:$G$35,MATCH($C942,'Lists'!$F$6:$F$35,0))&amp;"","Unknown category"))</f>
        <v/>
      </c>
      <c r="I942" s="80">
        <f>IF(AND($B942="",$C942="",$E942=""),"",IF(NOT(ISNUMBER($B942)),"Enter a valid date",IF($C942="","Pick a category",IF(OR($H942="Unknown category",$H942=""),"Category has no cost type",IF(NOT(ISNUMBER($E942)),"Enter an amount","OK")))))</f>
        <v/>
      </c>
    </row>
    <row r="943" ht="17" customHeight="1">
      <c r="B943" s="66" t="n"/>
      <c r="C943" s="60" t="n"/>
      <c r="D943" s="60" t="n"/>
      <c r="E943" s="63" t="n"/>
      <c r="F943" s="60" t="n"/>
      <c r="G943" s="60" t="n"/>
      <c r="H943" s="13">
        <f>IF($C943="","",IFERROR(INDEX('Lists'!$G$6:$G$35,MATCH($C943,'Lists'!$F$6:$F$35,0))&amp;"","Unknown category"))</f>
        <v/>
      </c>
      <c r="I943" s="80">
        <f>IF(AND($B943="",$C943="",$E943=""),"",IF(NOT(ISNUMBER($B943)),"Enter a valid date",IF($C943="","Pick a category",IF(OR($H943="Unknown category",$H943=""),"Category has no cost type",IF(NOT(ISNUMBER($E943)),"Enter an amount","OK")))))</f>
        <v/>
      </c>
    </row>
    <row r="944" ht="17" customHeight="1">
      <c r="B944" s="66" t="n"/>
      <c r="C944" s="60" t="n"/>
      <c r="D944" s="60" t="n"/>
      <c r="E944" s="63" t="n"/>
      <c r="F944" s="60" t="n"/>
      <c r="G944" s="60" t="n"/>
      <c r="H944" s="13">
        <f>IF($C944="","",IFERROR(INDEX('Lists'!$G$6:$G$35,MATCH($C944,'Lists'!$F$6:$F$35,0))&amp;"","Unknown category"))</f>
        <v/>
      </c>
      <c r="I944" s="80">
        <f>IF(AND($B944="",$C944="",$E944=""),"",IF(NOT(ISNUMBER($B944)),"Enter a valid date",IF($C944="","Pick a category",IF(OR($H944="Unknown category",$H944=""),"Category has no cost type",IF(NOT(ISNUMBER($E944)),"Enter an amount","OK")))))</f>
        <v/>
      </c>
    </row>
    <row r="945" ht="17" customHeight="1">
      <c r="B945" s="66" t="n"/>
      <c r="C945" s="60" t="n"/>
      <c r="D945" s="60" t="n"/>
      <c r="E945" s="63" t="n"/>
      <c r="F945" s="60" t="n"/>
      <c r="G945" s="60" t="n"/>
      <c r="H945" s="13">
        <f>IF($C945="","",IFERROR(INDEX('Lists'!$G$6:$G$35,MATCH($C945,'Lists'!$F$6:$F$35,0))&amp;"","Unknown category"))</f>
        <v/>
      </c>
      <c r="I945" s="80">
        <f>IF(AND($B945="",$C945="",$E945=""),"",IF(NOT(ISNUMBER($B945)),"Enter a valid date",IF($C945="","Pick a category",IF(OR($H945="Unknown category",$H945=""),"Category has no cost type",IF(NOT(ISNUMBER($E945)),"Enter an amount","OK")))))</f>
        <v/>
      </c>
    </row>
    <row r="946" ht="17" customHeight="1">
      <c r="B946" s="66" t="n"/>
      <c r="C946" s="60" t="n"/>
      <c r="D946" s="60" t="n"/>
      <c r="E946" s="63" t="n"/>
      <c r="F946" s="60" t="n"/>
      <c r="G946" s="60" t="n"/>
      <c r="H946" s="13">
        <f>IF($C946="","",IFERROR(INDEX('Lists'!$G$6:$G$35,MATCH($C946,'Lists'!$F$6:$F$35,0))&amp;"","Unknown category"))</f>
        <v/>
      </c>
      <c r="I946" s="80">
        <f>IF(AND($B946="",$C946="",$E946=""),"",IF(NOT(ISNUMBER($B946)),"Enter a valid date",IF($C946="","Pick a category",IF(OR($H946="Unknown category",$H946=""),"Category has no cost type",IF(NOT(ISNUMBER($E946)),"Enter an amount","OK")))))</f>
        <v/>
      </c>
    </row>
    <row r="947" ht="17" customHeight="1">
      <c r="B947" s="66" t="n"/>
      <c r="C947" s="60" t="n"/>
      <c r="D947" s="60" t="n"/>
      <c r="E947" s="63" t="n"/>
      <c r="F947" s="60" t="n"/>
      <c r="G947" s="60" t="n"/>
      <c r="H947" s="13">
        <f>IF($C947="","",IFERROR(INDEX('Lists'!$G$6:$G$35,MATCH($C947,'Lists'!$F$6:$F$35,0))&amp;"","Unknown category"))</f>
        <v/>
      </c>
      <c r="I947" s="80">
        <f>IF(AND($B947="",$C947="",$E947=""),"",IF(NOT(ISNUMBER($B947)),"Enter a valid date",IF($C947="","Pick a category",IF(OR($H947="Unknown category",$H947=""),"Category has no cost type",IF(NOT(ISNUMBER($E947)),"Enter an amount","OK")))))</f>
        <v/>
      </c>
    </row>
    <row r="948" ht="17" customHeight="1">
      <c r="B948" s="66" t="n"/>
      <c r="C948" s="60" t="n"/>
      <c r="D948" s="60" t="n"/>
      <c r="E948" s="63" t="n"/>
      <c r="F948" s="60" t="n"/>
      <c r="G948" s="60" t="n"/>
      <c r="H948" s="13">
        <f>IF($C948="","",IFERROR(INDEX('Lists'!$G$6:$G$35,MATCH($C948,'Lists'!$F$6:$F$35,0))&amp;"","Unknown category"))</f>
        <v/>
      </c>
      <c r="I948" s="80">
        <f>IF(AND($B948="",$C948="",$E948=""),"",IF(NOT(ISNUMBER($B948)),"Enter a valid date",IF($C948="","Pick a category",IF(OR($H948="Unknown category",$H948=""),"Category has no cost type",IF(NOT(ISNUMBER($E948)),"Enter an amount","OK")))))</f>
        <v/>
      </c>
    </row>
    <row r="949" ht="17" customHeight="1">
      <c r="B949" s="66" t="n"/>
      <c r="C949" s="60" t="n"/>
      <c r="D949" s="60" t="n"/>
      <c r="E949" s="63" t="n"/>
      <c r="F949" s="60" t="n"/>
      <c r="G949" s="60" t="n"/>
      <c r="H949" s="13">
        <f>IF($C949="","",IFERROR(INDEX('Lists'!$G$6:$G$35,MATCH($C949,'Lists'!$F$6:$F$35,0))&amp;"","Unknown category"))</f>
        <v/>
      </c>
      <c r="I949" s="80">
        <f>IF(AND($B949="",$C949="",$E949=""),"",IF(NOT(ISNUMBER($B949)),"Enter a valid date",IF($C949="","Pick a category",IF(OR($H949="Unknown category",$H949=""),"Category has no cost type",IF(NOT(ISNUMBER($E949)),"Enter an amount","OK")))))</f>
        <v/>
      </c>
    </row>
    <row r="950" ht="17" customHeight="1">
      <c r="B950" s="66" t="n"/>
      <c r="C950" s="60" t="n"/>
      <c r="D950" s="60" t="n"/>
      <c r="E950" s="63" t="n"/>
      <c r="F950" s="60" t="n"/>
      <c r="G950" s="60" t="n"/>
      <c r="H950" s="13">
        <f>IF($C950="","",IFERROR(INDEX('Lists'!$G$6:$G$35,MATCH($C950,'Lists'!$F$6:$F$35,0))&amp;"","Unknown category"))</f>
        <v/>
      </c>
      <c r="I950" s="80">
        <f>IF(AND($B950="",$C950="",$E950=""),"",IF(NOT(ISNUMBER($B950)),"Enter a valid date",IF($C950="","Pick a category",IF(OR($H950="Unknown category",$H950=""),"Category has no cost type",IF(NOT(ISNUMBER($E950)),"Enter an amount","OK")))))</f>
        <v/>
      </c>
    </row>
    <row r="951" ht="17" customHeight="1">
      <c r="B951" s="66" t="n"/>
      <c r="C951" s="60" t="n"/>
      <c r="D951" s="60" t="n"/>
      <c r="E951" s="63" t="n"/>
      <c r="F951" s="60" t="n"/>
      <c r="G951" s="60" t="n"/>
      <c r="H951" s="13">
        <f>IF($C951="","",IFERROR(INDEX('Lists'!$G$6:$G$35,MATCH($C951,'Lists'!$F$6:$F$35,0))&amp;"","Unknown category"))</f>
        <v/>
      </c>
      <c r="I951" s="80">
        <f>IF(AND($B951="",$C951="",$E951=""),"",IF(NOT(ISNUMBER($B951)),"Enter a valid date",IF($C951="","Pick a category",IF(OR($H951="Unknown category",$H951=""),"Category has no cost type",IF(NOT(ISNUMBER($E951)),"Enter an amount","OK")))))</f>
        <v/>
      </c>
    </row>
    <row r="952" ht="17" customHeight="1">
      <c r="B952" s="66" t="n"/>
      <c r="C952" s="60" t="n"/>
      <c r="D952" s="60" t="n"/>
      <c r="E952" s="63" t="n"/>
      <c r="F952" s="60" t="n"/>
      <c r="G952" s="60" t="n"/>
      <c r="H952" s="13">
        <f>IF($C952="","",IFERROR(INDEX('Lists'!$G$6:$G$35,MATCH($C952,'Lists'!$F$6:$F$35,0))&amp;"","Unknown category"))</f>
        <v/>
      </c>
      <c r="I952" s="80">
        <f>IF(AND($B952="",$C952="",$E952=""),"",IF(NOT(ISNUMBER($B952)),"Enter a valid date",IF($C952="","Pick a category",IF(OR($H952="Unknown category",$H952=""),"Category has no cost type",IF(NOT(ISNUMBER($E952)),"Enter an amount","OK")))))</f>
        <v/>
      </c>
    </row>
    <row r="953" ht="17" customHeight="1">
      <c r="B953" s="66" t="n"/>
      <c r="C953" s="60" t="n"/>
      <c r="D953" s="60" t="n"/>
      <c r="E953" s="63" t="n"/>
      <c r="F953" s="60" t="n"/>
      <c r="G953" s="60" t="n"/>
      <c r="H953" s="13">
        <f>IF($C953="","",IFERROR(INDEX('Lists'!$G$6:$G$35,MATCH($C953,'Lists'!$F$6:$F$35,0))&amp;"","Unknown category"))</f>
        <v/>
      </c>
      <c r="I953" s="80">
        <f>IF(AND($B953="",$C953="",$E953=""),"",IF(NOT(ISNUMBER($B953)),"Enter a valid date",IF($C953="","Pick a category",IF(OR($H953="Unknown category",$H953=""),"Category has no cost type",IF(NOT(ISNUMBER($E953)),"Enter an amount","OK")))))</f>
        <v/>
      </c>
    </row>
    <row r="954" ht="17" customHeight="1">
      <c r="B954" s="66" t="n"/>
      <c r="C954" s="60" t="n"/>
      <c r="D954" s="60" t="n"/>
      <c r="E954" s="63" t="n"/>
      <c r="F954" s="60" t="n"/>
      <c r="G954" s="60" t="n"/>
      <c r="H954" s="13">
        <f>IF($C954="","",IFERROR(INDEX('Lists'!$G$6:$G$35,MATCH($C954,'Lists'!$F$6:$F$35,0))&amp;"","Unknown category"))</f>
        <v/>
      </c>
      <c r="I954" s="80">
        <f>IF(AND($B954="",$C954="",$E954=""),"",IF(NOT(ISNUMBER($B954)),"Enter a valid date",IF($C954="","Pick a category",IF(OR($H954="Unknown category",$H954=""),"Category has no cost type",IF(NOT(ISNUMBER($E954)),"Enter an amount","OK")))))</f>
        <v/>
      </c>
    </row>
    <row r="955" ht="17" customHeight="1">
      <c r="B955" s="66" t="n"/>
      <c r="C955" s="60" t="n"/>
      <c r="D955" s="60" t="n"/>
      <c r="E955" s="63" t="n"/>
      <c r="F955" s="60" t="n"/>
      <c r="G955" s="60" t="n"/>
      <c r="H955" s="13">
        <f>IF($C955="","",IFERROR(INDEX('Lists'!$G$6:$G$35,MATCH($C955,'Lists'!$F$6:$F$35,0))&amp;"","Unknown category"))</f>
        <v/>
      </c>
      <c r="I955" s="80">
        <f>IF(AND($B955="",$C955="",$E955=""),"",IF(NOT(ISNUMBER($B955)),"Enter a valid date",IF($C955="","Pick a category",IF(OR($H955="Unknown category",$H955=""),"Category has no cost type",IF(NOT(ISNUMBER($E955)),"Enter an amount","OK")))))</f>
        <v/>
      </c>
    </row>
    <row r="956" ht="17" customHeight="1">
      <c r="B956" s="66" t="n"/>
      <c r="C956" s="60" t="n"/>
      <c r="D956" s="60" t="n"/>
      <c r="E956" s="63" t="n"/>
      <c r="F956" s="60" t="n"/>
      <c r="G956" s="60" t="n"/>
      <c r="H956" s="13">
        <f>IF($C956="","",IFERROR(INDEX('Lists'!$G$6:$G$35,MATCH($C956,'Lists'!$F$6:$F$35,0))&amp;"","Unknown category"))</f>
        <v/>
      </c>
      <c r="I956" s="80">
        <f>IF(AND($B956="",$C956="",$E956=""),"",IF(NOT(ISNUMBER($B956)),"Enter a valid date",IF($C956="","Pick a category",IF(OR($H956="Unknown category",$H956=""),"Category has no cost type",IF(NOT(ISNUMBER($E956)),"Enter an amount","OK")))))</f>
        <v/>
      </c>
    </row>
    <row r="957" ht="17" customHeight="1">
      <c r="B957" s="66" t="n"/>
      <c r="C957" s="60" t="n"/>
      <c r="D957" s="60" t="n"/>
      <c r="E957" s="63" t="n"/>
      <c r="F957" s="60" t="n"/>
      <c r="G957" s="60" t="n"/>
      <c r="H957" s="13">
        <f>IF($C957="","",IFERROR(INDEX('Lists'!$G$6:$G$35,MATCH($C957,'Lists'!$F$6:$F$35,0))&amp;"","Unknown category"))</f>
        <v/>
      </c>
      <c r="I957" s="80">
        <f>IF(AND($B957="",$C957="",$E957=""),"",IF(NOT(ISNUMBER($B957)),"Enter a valid date",IF($C957="","Pick a category",IF(OR($H957="Unknown category",$H957=""),"Category has no cost type",IF(NOT(ISNUMBER($E957)),"Enter an amount","OK")))))</f>
        <v/>
      </c>
    </row>
    <row r="958" ht="17" customHeight="1">
      <c r="B958" s="66" t="n"/>
      <c r="C958" s="60" t="n"/>
      <c r="D958" s="60" t="n"/>
      <c r="E958" s="63" t="n"/>
      <c r="F958" s="60" t="n"/>
      <c r="G958" s="60" t="n"/>
      <c r="H958" s="13">
        <f>IF($C958="","",IFERROR(INDEX('Lists'!$G$6:$G$35,MATCH($C958,'Lists'!$F$6:$F$35,0))&amp;"","Unknown category"))</f>
        <v/>
      </c>
      <c r="I958" s="80">
        <f>IF(AND($B958="",$C958="",$E958=""),"",IF(NOT(ISNUMBER($B958)),"Enter a valid date",IF($C958="","Pick a category",IF(OR($H958="Unknown category",$H958=""),"Category has no cost type",IF(NOT(ISNUMBER($E958)),"Enter an amount","OK")))))</f>
        <v/>
      </c>
    </row>
    <row r="959" ht="17" customHeight="1">
      <c r="B959" s="66" t="n"/>
      <c r="C959" s="60" t="n"/>
      <c r="D959" s="60" t="n"/>
      <c r="E959" s="63" t="n"/>
      <c r="F959" s="60" t="n"/>
      <c r="G959" s="60" t="n"/>
      <c r="H959" s="13">
        <f>IF($C959="","",IFERROR(INDEX('Lists'!$G$6:$G$35,MATCH($C959,'Lists'!$F$6:$F$35,0))&amp;"","Unknown category"))</f>
        <v/>
      </c>
      <c r="I959" s="80">
        <f>IF(AND($B959="",$C959="",$E959=""),"",IF(NOT(ISNUMBER($B959)),"Enter a valid date",IF($C959="","Pick a category",IF(OR($H959="Unknown category",$H959=""),"Category has no cost type",IF(NOT(ISNUMBER($E959)),"Enter an amount","OK")))))</f>
        <v/>
      </c>
    </row>
    <row r="960" ht="17" customHeight="1">
      <c r="B960" s="66" t="n"/>
      <c r="C960" s="60" t="n"/>
      <c r="D960" s="60" t="n"/>
      <c r="E960" s="63" t="n"/>
      <c r="F960" s="60" t="n"/>
      <c r="G960" s="60" t="n"/>
      <c r="H960" s="13">
        <f>IF($C960="","",IFERROR(INDEX('Lists'!$G$6:$G$35,MATCH($C960,'Lists'!$F$6:$F$35,0))&amp;"","Unknown category"))</f>
        <v/>
      </c>
      <c r="I960" s="80">
        <f>IF(AND($B960="",$C960="",$E960=""),"",IF(NOT(ISNUMBER($B960)),"Enter a valid date",IF($C960="","Pick a category",IF(OR($H960="Unknown category",$H960=""),"Category has no cost type",IF(NOT(ISNUMBER($E960)),"Enter an amount","OK")))))</f>
        <v/>
      </c>
    </row>
    <row r="961" ht="17" customHeight="1">
      <c r="B961" s="66" t="n"/>
      <c r="C961" s="60" t="n"/>
      <c r="D961" s="60" t="n"/>
      <c r="E961" s="63" t="n"/>
      <c r="F961" s="60" t="n"/>
      <c r="G961" s="60" t="n"/>
      <c r="H961" s="13">
        <f>IF($C961="","",IFERROR(INDEX('Lists'!$G$6:$G$35,MATCH($C961,'Lists'!$F$6:$F$35,0))&amp;"","Unknown category"))</f>
        <v/>
      </c>
      <c r="I961" s="80">
        <f>IF(AND($B961="",$C961="",$E961=""),"",IF(NOT(ISNUMBER($B961)),"Enter a valid date",IF($C961="","Pick a category",IF(OR($H961="Unknown category",$H961=""),"Category has no cost type",IF(NOT(ISNUMBER($E961)),"Enter an amount","OK")))))</f>
        <v/>
      </c>
    </row>
    <row r="962" ht="17" customHeight="1">
      <c r="B962" s="66" t="n"/>
      <c r="C962" s="60" t="n"/>
      <c r="D962" s="60" t="n"/>
      <c r="E962" s="63" t="n"/>
      <c r="F962" s="60" t="n"/>
      <c r="G962" s="60" t="n"/>
      <c r="H962" s="13">
        <f>IF($C962="","",IFERROR(INDEX('Lists'!$G$6:$G$35,MATCH($C962,'Lists'!$F$6:$F$35,0))&amp;"","Unknown category"))</f>
        <v/>
      </c>
      <c r="I962" s="80">
        <f>IF(AND($B962="",$C962="",$E962=""),"",IF(NOT(ISNUMBER($B962)),"Enter a valid date",IF($C962="","Pick a category",IF(OR($H962="Unknown category",$H962=""),"Category has no cost type",IF(NOT(ISNUMBER($E962)),"Enter an amount","OK")))))</f>
        <v/>
      </c>
    </row>
    <row r="963" ht="17" customHeight="1">
      <c r="B963" s="66" t="n"/>
      <c r="C963" s="60" t="n"/>
      <c r="D963" s="60" t="n"/>
      <c r="E963" s="63" t="n"/>
      <c r="F963" s="60" t="n"/>
      <c r="G963" s="60" t="n"/>
      <c r="H963" s="13">
        <f>IF($C963="","",IFERROR(INDEX('Lists'!$G$6:$G$35,MATCH($C963,'Lists'!$F$6:$F$35,0))&amp;"","Unknown category"))</f>
        <v/>
      </c>
      <c r="I963" s="80">
        <f>IF(AND($B963="",$C963="",$E963=""),"",IF(NOT(ISNUMBER($B963)),"Enter a valid date",IF($C963="","Pick a category",IF(OR($H963="Unknown category",$H963=""),"Category has no cost type",IF(NOT(ISNUMBER($E963)),"Enter an amount","OK")))))</f>
        <v/>
      </c>
    </row>
    <row r="964" ht="17" customHeight="1">
      <c r="B964" s="66" t="n"/>
      <c r="C964" s="60" t="n"/>
      <c r="D964" s="60" t="n"/>
      <c r="E964" s="63" t="n"/>
      <c r="F964" s="60" t="n"/>
      <c r="G964" s="60" t="n"/>
      <c r="H964" s="13">
        <f>IF($C964="","",IFERROR(INDEX('Lists'!$G$6:$G$35,MATCH($C964,'Lists'!$F$6:$F$35,0))&amp;"","Unknown category"))</f>
        <v/>
      </c>
      <c r="I964" s="80">
        <f>IF(AND($B964="",$C964="",$E964=""),"",IF(NOT(ISNUMBER($B964)),"Enter a valid date",IF($C964="","Pick a category",IF(OR($H964="Unknown category",$H964=""),"Category has no cost type",IF(NOT(ISNUMBER($E964)),"Enter an amount","OK")))))</f>
        <v/>
      </c>
    </row>
    <row r="965" ht="17" customHeight="1">
      <c r="B965" s="66" t="n"/>
      <c r="C965" s="60" t="n"/>
      <c r="D965" s="60" t="n"/>
      <c r="E965" s="63" t="n"/>
      <c r="F965" s="60" t="n"/>
      <c r="G965" s="60" t="n"/>
      <c r="H965" s="13">
        <f>IF($C965="","",IFERROR(INDEX('Lists'!$G$6:$G$35,MATCH($C965,'Lists'!$F$6:$F$35,0))&amp;"","Unknown category"))</f>
        <v/>
      </c>
      <c r="I965" s="80">
        <f>IF(AND($B965="",$C965="",$E965=""),"",IF(NOT(ISNUMBER($B965)),"Enter a valid date",IF($C965="","Pick a category",IF(OR($H965="Unknown category",$H965=""),"Category has no cost type",IF(NOT(ISNUMBER($E965)),"Enter an amount","OK")))))</f>
        <v/>
      </c>
    </row>
    <row r="966" ht="17" customHeight="1">
      <c r="B966" s="66" t="n"/>
      <c r="C966" s="60" t="n"/>
      <c r="D966" s="60" t="n"/>
      <c r="E966" s="63" t="n"/>
      <c r="F966" s="60" t="n"/>
      <c r="G966" s="60" t="n"/>
      <c r="H966" s="13">
        <f>IF($C966="","",IFERROR(INDEX('Lists'!$G$6:$G$35,MATCH($C966,'Lists'!$F$6:$F$35,0))&amp;"","Unknown category"))</f>
        <v/>
      </c>
      <c r="I966" s="80">
        <f>IF(AND($B966="",$C966="",$E966=""),"",IF(NOT(ISNUMBER($B966)),"Enter a valid date",IF($C966="","Pick a category",IF(OR($H966="Unknown category",$H966=""),"Category has no cost type",IF(NOT(ISNUMBER($E966)),"Enter an amount","OK")))))</f>
        <v/>
      </c>
    </row>
    <row r="967" ht="17" customHeight="1">
      <c r="B967" s="66" t="n"/>
      <c r="C967" s="60" t="n"/>
      <c r="D967" s="60" t="n"/>
      <c r="E967" s="63" t="n"/>
      <c r="F967" s="60" t="n"/>
      <c r="G967" s="60" t="n"/>
      <c r="H967" s="13">
        <f>IF($C967="","",IFERROR(INDEX('Lists'!$G$6:$G$35,MATCH($C967,'Lists'!$F$6:$F$35,0))&amp;"","Unknown category"))</f>
        <v/>
      </c>
      <c r="I967" s="80">
        <f>IF(AND($B967="",$C967="",$E967=""),"",IF(NOT(ISNUMBER($B967)),"Enter a valid date",IF($C967="","Pick a category",IF(OR($H967="Unknown category",$H967=""),"Category has no cost type",IF(NOT(ISNUMBER($E967)),"Enter an amount","OK")))))</f>
        <v/>
      </c>
    </row>
    <row r="968" ht="17" customHeight="1">
      <c r="B968" s="66" t="n"/>
      <c r="C968" s="60" t="n"/>
      <c r="D968" s="60" t="n"/>
      <c r="E968" s="63" t="n"/>
      <c r="F968" s="60" t="n"/>
      <c r="G968" s="60" t="n"/>
      <c r="H968" s="13">
        <f>IF($C968="","",IFERROR(INDEX('Lists'!$G$6:$G$35,MATCH($C968,'Lists'!$F$6:$F$35,0))&amp;"","Unknown category"))</f>
        <v/>
      </c>
      <c r="I968" s="80">
        <f>IF(AND($B968="",$C968="",$E968=""),"",IF(NOT(ISNUMBER($B968)),"Enter a valid date",IF($C968="","Pick a category",IF(OR($H968="Unknown category",$H968=""),"Category has no cost type",IF(NOT(ISNUMBER($E968)),"Enter an amount","OK")))))</f>
        <v/>
      </c>
    </row>
    <row r="969" ht="17" customHeight="1">
      <c r="B969" s="66" t="n"/>
      <c r="C969" s="60" t="n"/>
      <c r="D969" s="60" t="n"/>
      <c r="E969" s="63" t="n"/>
      <c r="F969" s="60" t="n"/>
      <c r="G969" s="60" t="n"/>
      <c r="H969" s="13">
        <f>IF($C969="","",IFERROR(INDEX('Lists'!$G$6:$G$35,MATCH($C969,'Lists'!$F$6:$F$35,0))&amp;"","Unknown category"))</f>
        <v/>
      </c>
      <c r="I969" s="80">
        <f>IF(AND($B969="",$C969="",$E969=""),"",IF(NOT(ISNUMBER($B969)),"Enter a valid date",IF($C969="","Pick a category",IF(OR($H969="Unknown category",$H969=""),"Category has no cost type",IF(NOT(ISNUMBER($E969)),"Enter an amount","OK")))))</f>
        <v/>
      </c>
    </row>
    <row r="970" ht="17" customHeight="1">
      <c r="B970" s="66" t="n"/>
      <c r="C970" s="60" t="n"/>
      <c r="D970" s="60" t="n"/>
      <c r="E970" s="63" t="n"/>
      <c r="F970" s="60" t="n"/>
      <c r="G970" s="60" t="n"/>
      <c r="H970" s="13">
        <f>IF($C970="","",IFERROR(INDEX('Lists'!$G$6:$G$35,MATCH($C970,'Lists'!$F$6:$F$35,0))&amp;"","Unknown category"))</f>
        <v/>
      </c>
      <c r="I970" s="80">
        <f>IF(AND($B970="",$C970="",$E970=""),"",IF(NOT(ISNUMBER($B970)),"Enter a valid date",IF($C970="","Pick a category",IF(OR($H970="Unknown category",$H970=""),"Category has no cost type",IF(NOT(ISNUMBER($E970)),"Enter an amount","OK")))))</f>
        <v/>
      </c>
    </row>
    <row r="971" ht="17" customHeight="1">
      <c r="B971" s="66" t="n"/>
      <c r="C971" s="60" t="n"/>
      <c r="D971" s="60" t="n"/>
      <c r="E971" s="63" t="n"/>
      <c r="F971" s="60" t="n"/>
      <c r="G971" s="60" t="n"/>
      <c r="H971" s="13">
        <f>IF($C971="","",IFERROR(INDEX('Lists'!$G$6:$G$35,MATCH($C971,'Lists'!$F$6:$F$35,0))&amp;"","Unknown category"))</f>
        <v/>
      </c>
      <c r="I971" s="80">
        <f>IF(AND($B971="",$C971="",$E971=""),"",IF(NOT(ISNUMBER($B971)),"Enter a valid date",IF($C971="","Pick a category",IF(OR($H971="Unknown category",$H971=""),"Category has no cost type",IF(NOT(ISNUMBER($E971)),"Enter an amount","OK")))))</f>
        <v/>
      </c>
    </row>
    <row r="972" ht="17" customHeight="1">
      <c r="B972" s="66" t="n"/>
      <c r="C972" s="60" t="n"/>
      <c r="D972" s="60" t="n"/>
      <c r="E972" s="63" t="n"/>
      <c r="F972" s="60" t="n"/>
      <c r="G972" s="60" t="n"/>
      <c r="H972" s="13">
        <f>IF($C972="","",IFERROR(INDEX('Lists'!$G$6:$G$35,MATCH($C972,'Lists'!$F$6:$F$35,0))&amp;"","Unknown category"))</f>
        <v/>
      </c>
      <c r="I972" s="80">
        <f>IF(AND($B972="",$C972="",$E972=""),"",IF(NOT(ISNUMBER($B972)),"Enter a valid date",IF($C972="","Pick a category",IF(OR($H972="Unknown category",$H972=""),"Category has no cost type",IF(NOT(ISNUMBER($E972)),"Enter an amount","OK")))))</f>
        <v/>
      </c>
    </row>
    <row r="973" ht="17" customHeight="1">
      <c r="B973" s="66" t="n"/>
      <c r="C973" s="60" t="n"/>
      <c r="D973" s="60" t="n"/>
      <c r="E973" s="63" t="n"/>
      <c r="F973" s="60" t="n"/>
      <c r="G973" s="60" t="n"/>
      <c r="H973" s="13">
        <f>IF($C973="","",IFERROR(INDEX('Lists'!$G$6:$G$35,MATCH($C973,'Lists'!$F$6:$F$35,0))&amp;"","Unknown category"))</f>
        <v/>
      </c>
      <c r="I973" s="80">
        <f>IF(AND($B973="",$C973="",$E973=""),"",IF(NOT(ISNUMBER($B973)),"Enter a valid date",IF($C973="","Pick a category",IF(OR($H973="Unknown category",$H973=""),"Category has no cost type",IF(NOT(ISNUMBER($E973)),"Enter an amount","OK")))))</f>
        <v/>
      </c>
    </row>
    <row r="974" ht="17" customHeight="1">
      <c r="B974" s="66" t="n"/>
      <c r="C974" s="60" t="n"/>
      <c r="D974" s="60" t="n"/>
      <c r="E974" s="63" t="n"/>
      <c r="F974" s="60" t="n"/>
      <c r="G974" s="60" t="n"/>
      <c r="H974" s="13">
        <f>IF($C974="","",IFERROR(INDEX('Lists'!$G$6:$G$35,MATCH($C974,'Lists'!$F$6:$F$35,0))&amp;"","Unknown category"))</f>
        <v/>
      </c>
      <c r="I974" s="80">
        <f>IF(AND($B974="",$C974="",$E974=""),"",IF(NOT(ISNUMBER($B974)),"Enter a valid date",IF($C974="","Pick a category",IF(OR($H974="Unknown category",$H974=""),"Category has no cost type",IF(NOT(ISNUMBER($E974)),"Enter an amount","OK")))))</f>
        <v/>
      </c>
    </row>
    <row r="975" ht="17" customHeight="1">
      <c r="B975" s="66" t="n"/>
      <c r="C975" s="60" t="n"/>
      <c r="D975" s="60" t="n"/>
      <c r="E975" s="63" t="n"/>
      <c r="F975" s="60" t="n"/>
      <c r="G975" s="60" t="n"/>
      <c r="H975" s="13">
        <f>IF($C975="","",IFERROR(INDEX('Lists'!$G$6:$G$35,MATCH($C975,'Lists'!$F$6:$F$35,0))&amp;"","Unknown category"))</f>
        <v/>
      </c>
      <c r="I975" s="80">
        <f>IF(AND($B975="",$C975="",$E975=""),"",IF(NOT(ISNUMBER($B975)),"Enter a valid date",IF($C975="","Pick a category",IF(OR($H975="Unknown category",$H975=""),"Category has no cost type",IF(NOT(ISNUMBER($E975)),"Enter an amount","OK")))))</f>
        <v/>
      </c>
    </row>
    <row r="976" ht="17" customHeight="1">
      <c r="B976" s="66" t="n"/>
      <c r="C976" s="60" t="n"/>
      <c r="D976" s="60" t="n"/>
      <c r="E976" s="63" t="n"/>
      <c r="F976" s="60" t="n"/>
      <c r="G976" s="60" t="n"/>
      <c r="H976" s="13">
        <f>IF($C976="","",IFERROR(INDEX('Lists'!$G$6:$G$35,MATCH($C976,'Lists'!$F$6:$F$35,0))&amp;"","Unknown category"))</f>
        <v/>
      </c>
      <c r="I976" s="80">
        <f>IF(AND($B976="",$C976="",$E976=""),"",IF(NOT(ISNUMBER($B976)),"Enter a valid date",IF($C976="","Pick a category",IF(OR($H976="Unknown category",$H976=""),"Category has no cost type",IF(NOT(ISNUMBER($E976)),"Enter an amount","OK")))))</f>
        <v/>
      </c>
    </row>
    <row r="977" ht="17" customHeight="1">
      <c r="B977" s="66" t="n"/>
      <c r="C977" s="60" t="n"/>
      <c r="D977" s="60" t="n"/>
      <c r="E977" s="63" t="n"/>
      <c r="F977" s="60" t="n"/>
      <c r="G977" s="60" t="n"/>
      <c r="H977" s="13">
        <f>IF($C977="","",IFERROR(INDEX('Lists'!$G$6:$G$35,MATCH($C977,'Lists'!$F$6:$F$35,0))&amp;"","Unknown category"))</f>
        <v/>
      </c>
      <c r="I977" s="80">
        <f>IF(AND($B977="",$C977="",$E977=""),"",IF(NOT(ISNUMBER($B977)),"Enter a valid date",IF($C977="","Pick a category",IF(OR($H977="Unknown category",$H977=""),"Category has no cost type",IF(NOT(ISNUMBER($E977)),"Enter an amount","OK")))))</f>
        <v/>
      </c>
    </row>
    <row r="978" ht="17" customHeight="1">
      <c r="B978" s="66" t="n"/>
      <c r="C978" s="60" t="n"/>
      <c r="D978" s="60" t="n"/>
      <c r="E978" s="63" t="n"/>
      <c r="F978" s="60" t="n"/>
      <c r="G978" s="60" t="n"/>
      <c r="H978" s="13">
        <f>IF($C978="","",IFERROR(INDEX('Lists'!$G$6:$G$35,MATCH($C978,'Lists'!$F$6:$F$35,0))&amp;"","Unknown category"))</f>
        <v/>
      </c>
      <c r="I978" s="80">
        <f>IF(AND($B978="",$C978="",$E978=""),"",IF(NOT(ISNUMBER($B978)),"Enter a valid date",IF($C978="","Pick a category",IF(OR($H978="Unknown category",$H978=""),"Category has no cost type",IF(NOT(ISNUMBER($E978)),"Enter an amount","OK")))))</f>
        <v/>
      </c>
    </row>
    <row r="979" ht="17" customHeight="1">
      <c r="B979" s="66" t="n"/>
      <c r="C979" s="60" t="n"/>
      <c r="D979" s="60" t="n"/>
      <c r="E979" s="63" t="n"/>
      <c r="F979" s="60" t="n"/>
      <c r="G979" s="60" t="n"/>
      <c r="H979" s="13">
        <f>IF($C979="","",IFERROR(INDEX('Lists'!$G$6:$G$35,MATCH($C979,'Lists'!$F$6:$F$35,0))&amp;"","Unknown category"))</f>
        <v/>
      </c>
      <c r="I979" s="80">
        <f>IF(AND($B979="",$C979="",$E979=""),"",IF(NOT(ISNUMBER($B979)),"Enter a valid date",IF($C979="","Pick a category",IF(OR($H979="Unknown category",$H979=""),"Category has no cost type",IF(NOT(ISNUMBER($E979)),"Enter an amount","OK")))))</f>
        <v/>
      </c>
    </row>
    <row r="980" ht="17" customHeight="1">
      <c r="B980" s="66" t="n"/>
      <c r="C980" s="60" t="n"/>
      <c r="D980" s="60" t="n"/>
      <c r="E980" s="63" t="n"/>
      <c r="F980" s="60" t="n"/>
      <c r="G980" s="60" t="n"/>
      <c r="H980" s="13">
        <f>IF($C980="","",IFERROR(INDEX('Lists'!$G$6:$G$35,MATCH($C980,'Lists'!$F$6:$F$35,0))&amp;"","Unknown category"))</f>
        <v/>
      </c>
      <c r="I980" s="80">
        <f>IF(AND($B980="",$C980="",$E980=""),"",IF(NOT(ISNUMBER($B980)),"Enter a valid date",IF($C980="","Pick a category",IF(OR($H980="Unknown category",$H980=""),"Category has no cost type",IF(NOT(ISNUMBER($E980)),"Enter an amount","OK")))))</f>
        <v/>
      </c>
    </row>
    <row r="981" ht="17" customHeight="1">
      <c r="B981" s="66" t="n"/>
      <c r="C981" s="60" t="n"/>
      <c r="D981" s="60" t="n"/>
      <c r="E981" s="63" t="n"/>
      <c r="F981" s="60" t="n"/>
      <c r="G981" s="60" t="n"/>
      <c r="H981" s="13">
        <f>IF($C981="","",IFERROR(INDEX('Lists'!$G$6:$G$35,MATCH($C981,'Lists'!$F$6:$F$35,0))&amp;"","Unknown category"))</f>
        <v/>
      </c>
      <c r="I981" s="80">
        <f>IF(AND($B981="",$C981="",$E981=""),"",IF(NOT(ISNUMBER($B981)),"Enter a valid date",IF($C981="","Pick a category",IF(OR($H981="Unknown category",$H981=""),"Category has no cost type",IF(NOT(ISNUMBER($E981)),"Enter an amount","OK")))))</f>
        <v/>
      </c>
    </row>
    <row r="982" ht="17" customHeight="1">
      <c r="B982" s="66" t="n"/>
      <c r="C982" s="60" t="n"/>
      <c r="D982" s="60" t="n"/>
      <c r="E982" s="63" t="n"/>
      <c r="F982" s="60" t="n"/>
      <c r="G982" s="60" t="n"/>
      <c r="H982" s="13">
        <f>IF($C982="","",IFERROR(INDEX('Lists'!$G$6:$G$35,MATCH($C982,'Lists'!$F$6:$F$35,0))&amp;"","Unknown category"))</f>
        <v/>
      </c>
      <c r="I982" s="80">
        <f>IF(AND($B982="",$C982="",$E982=""),"",IF(NOT(ISNUMBER($B982)),"Enter a valid date",IF($C982="","Pick a category",IF(OR($H982="Unknown category",$H982=""),"Category has no cost type",IF(NOT(ISNUMBER($E982)),"Enter an amount","OK")))))</f>
        <v/>
      </c>
    </row>
    <row r="983" ht="17" customHeight="1">
      <c r="B983" s="66" t="n"/>
      <c r="C983" s="60" t="n"/>
      <c r="D983" s="60" t="n"/>
      <c r="E983" s="63" t="n"/>
      <c r="F983" s="60" t="n"/>
      <c r="G983" s="60" t="n"/>
      <c r="H983" s="13">
        <f>IF($C983="","",IFERROR(INDEX('Lists'!$G$6:$G$35,MATCH($C983,'Lists'!$F$6:$F$35,0))&amp;"","Unknown category"))</f>
        <v/>
      </c>
      <c r="I983" s="80">
        <f>IF(AND($B983="",$C983="",$E983=""),"",IF(NOT(ISNUMBER($B983)),"Enter a valid date",IF($C983="","Pick a category",IF(OR($H983="Unknown category",$H983=""),"Category has no cost type",IF(NOT(ISNUMBER($E983)),"Enter an amount","OK")))))</f>
        <v/>
      </c>
    </row>
    <row r="984" ht="17" customHeight="1">
      <c r="B984" s="66" t="n"/>
      <c r="C984" s="60" t="n"/>
      <c r="D984" s="60" t="n"/>
      <c r="E984" s="63" t="n"/>
      <c r="F984" s="60" t="n"/>
      <c r="G984" s="60" t="n"/>
      <c r="H984" s="13">
        <f>IF($C984="","",IFERROR(INDEX('Lists'!$G$6:$G$35,MATCH($C984,'Lists'!$F$6:$F$35,0))&amp;"","Unknown category"))</f>
        <v/>
      </c>
      <c r="I984" s="80">
        <f>IF(AND($B984="",$C984="",$E984=""),"",IF(NOT(ISNUMBER($B984)),"Enter a valid date",IF($C984="","Pick a category",IF(OR($H984="Unknown category",$H984=""),"Category has no cost type",IF(NOT(ISNUMBER($E984)),"Enter an amount","OK")))))</f>
        <v/>
      </c>
    </row>
    <row r="985" ht="17" customHeight="1">
      <c r="B985" s="66" t="n"/>
      <c r="C985" s="60" t="n"/>
      <c r="D985" s="60" t="n"/>
      <c r="E985" s="63" t="n"/>
      <c r="F985" s="60" t="n"/>
      <c r="G985" s="60" t="n"/>
      <c r="H985" s="13">
        <f>IF($C985="","",IFERROR(INDEX('Lists'!$G$6:$G$35,MATCH($C985,'Lists'!$F$6:$F$35,0))&amp;"","Unknown category"))</f>
        <v/>
      </c>
      <c r="I985" s="80">
        <f>IF(AND($B985="",$C985="",$E985=""),"",IF(NOT(ISNUMBER($B985)),"Enter a valid date",IF($C985="","Pick a category",IF(OR($H985="Unknown category",$H985=""),"Category has no cost type",IF(NOT(ISNUMBER($E985)),"Enter an amount","OK")))))</f>
        <v/>
      </c>
    </row>
    <row r="986" ht="17" customHeight="1">
      <c r="B986" s="66" t="n"/>
      <c r="C986" s="60" t="n"/>
      <c r="D986" s="60" t="n"/>
      <c r="E986" s="63" t="n"/>
      <c r="F986" s="60" t="n"/>
      <c r="G986" s="60" t="n"/>
      <c r="H986" s="13">
        <f>IF($C986="","",IFERROR(INDEX('Lists'!$G$6:$G$35,MATCH($C986,'Lists'!$F$6:$F$35,0))&amp;"","Unknown category"))</f>
        <v/>
      </c>
      <c r="I986" s="80">
        <f>IF(AND($B986="",$C986="",$E986=""),"",IF(NOT(ISNUMBER($B986)),"Enter a valid date",IF($C986="","Pick a category",IF(OR($H986="Unknown category",$H986=""),"Category has no cost type",IF(NOT(ISNUMBER($E986)),"Enter an amount","OK")))))</f>
        <v/>
      </c>
    </row>
    <row r="987" ht="17" customHeight="1">
      <c r="B987" s="66" t="n"/>
      <c r="C987" s="60" t="n"/>
      <c r="D987" s="60" t="n"/>
      <c r="E987" s="63" t="n"/>
      <c r="F987" s="60" t="n"/>
      <c r="G987" s="60" t="n"/>
      <c r="H987" s="13">
        <f>IF($C987="","",IFERROR(INDEX('Lists'!$G$6:$G$35,MATCH($C987,'Lists'!$F$6:$F$35,0))&amp;"","Unknown category"))</f>
        <v/>
      </c>
      <c r="I987" s="80">
        <f>IF(AND($B987="",$C987="",$E987=""),"",IF(NOT(ISNUMBER($B987)),"Enter a valid date",IF($C987="","Pick a category",IF(OR($H987="Unknown category",$H987=""),"Category has no cost type",IF(NOT(ISNUMBER($E987)),"Enter an amount","OK")))))</f>
        <v/>
      </c>
    </row>
    <row r="988" ht="17" customHeight="1">
      <c r="B988" s="66" t="n"/>
      <c r="C988" s="60" t="n"/>
      <c r="D988" s="60" t="n"/>
      <c r="E988" s="63" t="n"/>
      <c r="F988" s="60" t="n"/>
      <c r="G988" s="60" t="n"/>
      <c r="H988" s="13">
        <f>IF($C988="","",IFERROR(INDEX('Lists'!$G$6:$G$35,MATCH($C988,'Lists'!$F$6:$F$35,0))&amp;"","Unknown category"))</f>
        <v/>
      </c>
      <c r="I988" s="80">
        <f>IF(AND($B988="",$C988="",$E988=""),"",IF(NOT(ISNUMBER($B988)),"Enter a valid date",IF($C988="","Pick a category",IF(OR($H988="Unknown category",$H988=""),"Category has no cost type",IF(NOT(ISNUMBER($E988)),"Enter an amount","OK")))))</f>
        <v/>
      </c>
    </row>
    <row r="989" ht="17" customHeight="1">
      <c r="B989" s="66" t="n"/>
      <c r="C989" s="60" t="n"/>
      <c r="D989" s="60" t="n"/>
      <c r="E989" s="63" t="n"/>
      <c r="F989" s="60" t="n"/>
      <c r="G989" s="60" t="n"/>
      <c r="H989" s="13">
        <f>IF($C989="","",IFERROR(INDEX('Lists'!$G$6:$G$35,MATCH($C989,'Lists'!$F$6:$F$35,0))&amp;"","Unknown category"))</f>
        <v/>
      </c>
      <c r="I989" s="80">
        <f>IF(AND($B989="",$C989="",$E989=""),"",IF(NOT(ISNUMBER($B989)),"Enter a valid date",IF($C989="","Pick a category",IF(OR($H989="Unknown category",$H989=""),"Category has no cost type",IF(NOT(ISNUMBER($E989)),"Enter an amount","OK")))))</f>
        <v/>
      </c>
    </row>
    <row r="990" ht="17" customHeight="1">
      <c r="B990" s="66" t="n"/>
      <c r="C990" s="60" t="n"/>
      <c r="D990" s="60" t="n"/>
      <c r="E990" s="63" t="n"/>
      <c r="F990" s="60" t="n"/>
      <c r="G990" s="60" t="n"/>
      <c r="H990" s="13">
        <f>IF($C990="","",IFERROR(INDEX('Lists'!$G$6:$G$35,MATCH($C990,'Lists'!$F$6:$F$35,0))&amp;"","Unknown category"))</f>
        <v/>
      </c>
      <c r="I990" s="80">
        <f>IF(AND($B990="",$C990="",$E990=""),"",IF(NOT(ISNUMBER($B990)),"Enter a valid date",IF($C990="","Pick a category",IF(OR($H990="Unknown category",$H990=""),"Category has no cost type",IF(NOT(ISNUMBER($E990)),"Enter an amount","OK")))))</f>
        <v/>
      </c>
    </row>
    <row r="991" ht="17" customHeight="1">
      <c r="B991" s="66" t="n"/>
      <c r="C991" s="60" t="n"/>
      <c r="D991" s="60" t="n"/>
      <c r="E991" s="63" t="n"/>
      <c r="F991" s="60" t="n"/>
      <c r="G991" s="60" t="n"/>
      <c r="H991" s="13">
        <f>IF($C991="","",IFERROR(INDEX('Lists'!$G$6:$G$35,MATCH($C991,'Lists'!$F$6:$F$35,0))&amp;"","Unknown category"))</f>
        <v/>
      </c>
      <c r="I991" s="80">
        <f>IF(AND($B991="",$C991="",$E991=""),"",IF(NOT(ISNUMBER($B991)),"Enter a valid date",IF($C991="","Pick a category",IF(OR($H991="Unknown category",$H991=""),"Category has no cost type",IF(NOT(ISNUMBER($E991)),"Enter an amount","OK")))))</f>
        <v/>
      </c>
    </row>
    <row r="992" ht="17" customHeight="1">
      <c r="B992" s="66" t="n"/>
      <c r="C992" s="60" t="n"/>
      <c r="D992" s="60" t="n"/>
      <c r="E992" s="63" t="n"/>
      <c r="F992" s="60" t="n"/>
      <c r="G992" s="60" t="n"/>
      <c r="H992" s="13">
        <f>IF($C992="","",IFERROR(INDEX('Lists'!$G$6:$G$35,MATCH($C992,'Lists'!$F$6:$F$35,0))&amp;"","Unknown category"))</f>
        <v/>
      </c>
      <c r="I992" s="80">
        <f>IF(AND($B992="",$C992="",$E992=""),"",IF(NOT(ISNUMBER($B992)),"Enter a valid date",IF($C992="","Pick a category",IF(OR($H992="Unknown category",$H992=""),"Category has no cost type",IF(NOT(ISNUMBER($E992)),"Enter an amount","OK")))))</f>
        <v/>
      </c>
    </row>
    <row r="993" ht="17" customHeight="1">
      <c r="B993" s="66" t="n"/>
      <c r="C993" s="60" t="n"/>
      <c r="D993" s="60" t="n"/>
      <c r="E993" s="63" t="n"/>
      <c r="F993" s="60" t="n"/>
      <c r="G993" s="60" t="n"/>
      <c r="H993" s="13">
        <f>IF($C993="","",IFERROR(INDEX('Lists'!$G$6:$G$35,MATCH($C993,'Lists'!$F$6:$F$35,0))&amp;"","Unknown category"))</f>
        <v/>
      </c>
      <c r="I993" s="80">
        <f>IF(AND($B993="",$C993="",$E993=""),"",IF(NOT(ISNUMBER($B993)),"Enter a valid date",IF($C993="","Pick a category",IF(OR($H993="Unknown category",$H993=""),"Category has no cost type",IF(NOT(ISNUMBER($E993)),"Enter an amount","OK")))))</f>
        <v/>
      </c>
    </row>
    <row r="994" ht="17" customHeight="1">
      <c r="B994" s="66" t="n"/>
      <c r="C994" s="60" t="n"/>
      <c r="D994" s="60" t="n"/>
      <c r="E994" s="63" t="n"/>
      <c r="F994" s="60" t="n"/>
      <c r="G994" s="60" t="n"/>
      <c r="H994" s="13">
        <f>IF($C994="","",IFERROR(INDEX('Lists'!$G$6:$G$35,MATCH($C994,'Lists'!$F$6:$F$35,0))&amp;"","Unknown category"))</f>
        <v/>
      </c>
      <c r="I994" s="80">
        <f>IF(AND($B994="",$C994="",$E994=""),"",IF(NOT(ISNUMBER($B994)),"Enter a valid date",IF($C994="","Pick a category",IF(OR($H994="Unknown category",$H994=""),"Category has no cost type",IF(NOT(ISNUMBER($E994)),"Enter an amount","OK")))))</f>
        <v/>
      </c>
    </row>
    <row r="995" ht="17" customHeight="1">
      <c r="B995" s="66" t="n"/>
      <c r="C995" s="60" t="n"/>
      <c r="D995" s="60" t="n"/>
      <c r="E995" s="63" t="n"/>
      <c r="F995" s="60" t="n"/>
      <c r="G995" s="60" t="n"/>
      <c r="H995" s="13">
        <f>IF($C995="","",IFERROR(INDEX('Lists'!$G$6:$G$35,MATCH($C995,'Lists'!$F$6:$F$35,0))&amp;"","Unknown category"))</f>
        <v/>
      </c>
      <c r="I995" s="80">
        <f>IF(AND($B995="",$C995="",$E995=""),"",IF(NOT(ISNUMBER($B995)),"Enter a valid date",IF($C995="","Pick a category",IF(OR($H995="Unknown category",$H995=""),"Category has no cost type",IF(NOT(ISNUMBER($E995)),"Enter an amount","OK")))))</f>
        <v/>
      </c>
    </row>
    <row r="996" ht="17" customHeight="1">
      <c r="B996" s="66" t="n"/>
      <c r="C996" s="60" t="n"/>
      <c r="D996" s="60" t="n"/>
      <c r="E996" s="63" t="n"/>
      <c r="F996" s="60" t="n"/>
      <c r="G996" s="60" t="n"/>
      <c r="H996" s="13">
        <f>IF($C996="","",IFERROR(INDEX('Lists'!$G$6:$G$35,MATCH($C996,'Lists'!$F$6:$F$35,0))&amp;"","Unknown category"))</f>
        <v/>
      </c>
      <c r="I996" s="80">
        <f>IF(AND($B996="",$C996="",$E996=""),"",IF(NOT(ISNUMBER($B996)),"Enter a valid date",IF($C996="","Pick a category",IF(OR($H996="Unknown category",$H996=""),"Category has no cost type",IF(NOT(ISNUMBER($E996)),"Enter an amount","OK")))))</f>
        <v/>
      </c>
    </row>
    <row r="997" ht="17" customHeight="1">
      <c r="B997" s="66" t="n"/>
      <c r="C997" s="60" t="n"/>
      <c r="D997" s="60" t="n"/>
      <c r="E997" s="63" t="n"/>
      <c r="F997" s="60" t="n"/>
      <c r="G997" s="60" t="n"/>
      <c r="H997" s="13">
        <f>IF($C997="","",IFERROR(INDEX('Lists'!$G$6:$G$35,MATCH($C997,'Lists'!$F$6:$F$35,0))&amp;"","Unknown category"))</f>
        <v/>
      </c>
      <c r="I997" s="80">
        <f>IF(AND($B997="",$C997="",$E997=""),"",IF(NOT(ISNUMBER($B997)),"Enter a valid date",IF($C997="","Pick a category",IF(OR($H997="Unknown category",$H997=""),"Category has no cost type",IF(NOT(ISNUMBER($E997)),"Enter an amount","OK")))))</f>
        <v/>
      </c>
    </row>
    <row r="998" ht="17" customHeight="1">
      <c r="B998" s="66" t="n"/>
      <c r="C998" s="60" t="n"/>
      <c r="D998" s="60" t="n"/>
      <c r="E998" s="63" t="n"/>
      <c r="F998" s="60" t="n"/>
      <c r="G998" s="60" t="n"/>
      <c r="H998" s="13">
        <f>IF($C998="","",IFERROR(INDEX('Lists'!$G$6:$G$35,MATCH($C998,'Lists'!$F$6:$F$35,0))&amp;"","Unknown category"))</f>
        <v/>
      </c>
      <c r="I998" s="80">
        <f>IF(AND($B998="",$C998="",$E998=""),"",IF(NOT(ISNUMBER($B998)),"Enter a valid date",IF($C998="","Pick a category",IF(OR($H998="Unknown category",$H998=""),"Category has no cost type",IF(NOT(ISNUMBER($E998)),"Enter an amount","OK")))))</f>
        <v/>
      </c>
    </row>
    <row r="999" ht="17" customHeight="1">
      <c r="B999" s="66" t="n"/>
      <c r="C999" s="60" t="n"/>
      <c r="D999" s="60" t="n"/>
      <c r="E999" s="63" t="n"/>
      <c r="F999" s="60" t="n"/>
      <c r="G999" s="60" t="n"/>
      <c r="H999" s="13">
        <f>IF($C999="","",IFERROR(INDEX('Lists'!$G$6:$G$35,MATCH($C999,'Lists'!$F$6:$F$35,0))&amp;"","Unknown category"))</f>
        <v/>
      </c>
      <c r="I999" s="80">
        <f>IF(AND($B999="",$C999="",$E999=""),"",IF(NOT(ISNUMBER($B999)),"Enter a valid date",IF($C999="","Pick a category",IF(OR($H999="Unknown category",$H999=""),"Category has no cost type",IF(NOT(ISNUMBER($E999)),"Enter an amount","OK")))))</f>
        <v/>
      </c>
    </row>
    <row r="1000" ht="17" customHeight="1">
      <c r="B1000" s="66" t="n"/>
      <c r="C1000" s="60" t="n"/>
      <c r="D1000" s="60" t="n"/>
      <c r="E1000" s="63" t="n"/>
      <c r="F1000" s="60" t="n"/>
      <c r="G1000" s="60" t="n"/>
      <c r="H1000" s="13">
        <f>IF($C1000="","",IFERROR(INDEX('Lists'!$G$6:$G$35,MATCH($C1000,'Lists'!$F$6:$F$35,0))&amp;"","Unknown category"))</f>
        <v/>
      </c>
      <c r="I1000" s="80">
        <f>IF(AND($B1000="",$C1000="",$E1000=""),"",IF(NOT(ISNUMBER($B1000)),"Enter a valid date",IF($C1000="","Pick a category",IF(OR($H1000="Unknown category",$H1000=""),"Category has no cost type",IF(NOT(ISNUMBER($E1000)),"Enter an amount","OK")))))</f>
        <v/>
      </c>
    </row>
    <row r="1001" ht="17" customHeight="1">
      <c r="B1001" s="66" t="n"/>
      <c r="C1001" s="60" t="n"/>
      <c r="D1001" s="60" t="n"/>
      <c r="E1001" s="63" t="n"/>
      <c r="F1001" s="60" t="n"/>
      <c r="G1001" s="60" t="n"/>
      <c r="H1001" s="13">
        <f>IF($C1001="","",IFERROR(INDEX('Lists'!$G$6:$G$35,MATCH($C1001,'Lists'!$F$6:$F$35,0))&amp;"","Unknown category"))</f>
        <v/>
      </c>
      <c r="I1001" s="80">
        <f>IF(AND($B1001="",$C1001="",$E1001=""),"",IF(NOT(ISNUMBER($B1001)),"Enter a valid date",IF($C1001="","Pick a category",IF(OR($H1001="Unknown category",$H1001=""),"Category has no cost type",IF(NOT(ISNUMBER($E1001)),"Enter an amount","OK")))))</f>
        <v/>
      </c>
    </row>
    <row r="1002" ht="17" customHeight="1">
      <c r="B1002" s="66" t="n"/>
      <c r="C1002" s="60" t="n"/>
      <c r="D1002" s="60" t="n"/>
      <c r="E1002" s="63" t="n"/>
      <c r="F1002" s="60" t="n"/>
      <c r="G1002" s="60" t="n"/>
      <c r="H1002" s="13">
        <f>IF($C1002="","",IFERROR(INDEX('Lists'!$G$6:$G$35,MATCH($C1002,'Lists'!$F$6:$F$35,0))&amp;"","Unknown category"))</f>
        <v/>
      </c>
      <c r="I1002" s="80">
        <f>IF(AND($B1002="",$C1002="",$E1002=""),"",IF(NOT(ISNUMBER($B1002)),"Enter a valid date",IF($C1002="","Pick a category",IF(OR($H1002="Unknown category",$H1002=""),"Category has no cost type",IF(NOT(ISNUMBER($E1002)),"Enter an amount","OK")))))</f>
        <v/>
      </c>
    </row>
    <row r="1003" ht="17" customHeight="1">
      <c r="B1003" s="66" t="n"/>
      <c r="C1003" s="60" t="n"/>
      <c r="D1003" s="60" t="n"/>
      <c r="E1003" s="63" t="n"/>
      <c r="F1003" s="60" t="n"/>
      <c r="G1003" s="60" t="n"/>
      <c r="H1003" s="13">
        <f>IF($C1003="","",IFERROR(INDEX('Lists'!$G$6:$G$35,MATCH($C1003,'Lists'!$F$6:$F$35,0))&amp;"","Unknown category"))</f>
        <v/>
      </c>
      <c r="I1003" s="80">
        <f>IF(AND($B1003="",$C1003="",$E1003=""),"",IF(NOT(ISNUMBER($B1003)),"Enter a valid date",IF($C1003="","Pick a category",IF(OR($H1003="Unknown category",$H1003=""),"Category has no cost type",IF(NOT(ISNUMBER($E1003)),"Enter an amount","OK")))))</f>
        <v/>
      </c>
    </row>
    <row r="1004" ht="17" customHeight="1">
      <c r="B1004" s="66" t="n"/>
      <c r="C1004" s="60" t="n"/>
      <c r="D1004" s="60" t="n"/>
      <c r="E1004" s="63" t="n"/>
      <c r="F1004" s="60" t="n"/>
      <c r="G1004" s="60" t="n"/>
      <c r="H1004" s="13">
        <f>IF($C1004="","",IFERROR(INDEX('Lists'!$G$6:$G$35,MATCH($C1004,'Lists'!$F$6:$F$35,0))&amp;"","Unknown category"))</f>
        <v/>
      </c>
      <c r="I1004" s="80">
        <f>IF(AND($B1004="",$C1004="",$E1004=""),"",IF(NOT(ISNUMBER($B1004)),"Enter a valid date",IF($C1004="","Pick a category",IF(OR($H1004="Unknown category",$H1004=""),"Category has no cost type",IF(NOT(ISNUMBER($E1004)),"Enter an amount","OK")))))</f>
        <v/>
      </c>
    </row>
    <row r="1005" ht="17" customHeight="1">
      <c r="B1005" s="66" t="n"/>
      <c r="C1005" s="60" t="n"/>
      <c r="D1005" s="60" t="n"/>
      <c r="E1005" s="63" t="n"/>
      <c r="F1005" s="60" t="n"/>
      <c r="G1005" s="60" t="n"/>
      <c r="H1005" s="13">
        <f>IF($C1005="","",IFERROR(INDEX('Lists'!$G$6:$G$35,MATCH($C1005,'Lists'!$F$6:$F$35,0))&amp;"","Unknown category"))</f>
        <v/>
      </c>
      <c r="I1005" s="80">
        <f>IF(AND($B1005="",$C1005="",$E1005=""),"",IF(NOT(ISNUMBER($B1005)),"Enter a valid date",IF($C1005="","Pick a category",IF(OR($H1005="Unknown category",$H1005=""),"Category has no cost type",IF(NOT(ISNUMBER($E1005)),"Enter an amount","OK")))))</f>
        <v/>
      </c>
    </row>
    <row r="1006" ht="17" customHeight="1">
      <c r="B1006" s="66" t="n"/>
      <c r="C1006" s="60" t="n"/>
      <c r="D1006" s="60" t="n"/>
      <c r="E1006" s="63" t="n"/>
      <c r="F1006" s="60" t="n"/>
      <c r="G1006" s="60" t="n"/>
      <c r="H1006" s="13">
        <f>IF($C1006="","",IFERROR(INDEX('Lists'!$G$6:$G$35,MATCH($C1006,'Lists'!$F$6:$F$35,0))&amp;"","Unknown category"))</f>
        <v/>
      </c>
      <c r="I1006" s="80">
        <f>IF(AND($B1006="",$C1006="",$E1006=""),"",IF(NOT(ISNUMBER($B1006)),"Enter a valid date",IF($C1006="","Pick a category",IF(OR($H1006="Unknown category",$H1006=""),"Category has no cost type",IF(NOT(ISNUMBER($E1006)),"Enter an amount","OK")))))</f>
        <v/>
      </c>
    </row>
    <row r="1007" ht="17" customHeight="1">
      <c r="B1007" s="66" t="n"/>
      <c r="C1007" s="60" t="n"/>
      <c r="D1007" s="60" t="n"/>
      <c r="E1007" s="63" t="n"/>
      <c r="F1007" s="60" t="n"/>
      <c r="G1007" s="60" t="n"/>
      <c r="H1007" s="13">
        <f>IF($C1007="","",IFERROR(INDEX('Lists'!$G$6:$G$35,MATCH($C1007,'Lists'!$F$6:$F$35,0))&amp;"","Unknown category"))</f>
        <v/>
      </c>
      <c r="I1007" s="80">
        <f>IF(AND($B1007="",$C1007="",$E1007=""),"",IF(NOT(ISNUMBER($B1007)),"Enter a valid date",IF($C1007="","Pick a category",IF(OR($H1007="Unknown category",$H1007=""),"Category has no cost type",IF(NOT(ISNUMBER($E1007)),"Enter an amount","OK")))))</f>
        <v/>
      </c>
    </row>
    <row r="1008" ht="17" customHeight="1">
      <c r="B1008" s="66" t="n"/>
      <c r="C1008" s="60" t="n"/>
      <c r="D1008" s="60" t="n"/>
      <c r="E1008" s="63" t="n"/>
      <c r="F1008" s="60" t="n"/>
      <c r="G1008" s="60" t="n"/>
      <c r="H1008" s="13">
        <f>IF($C1008="","",IFERROR(INDEX('Lists'!$G$6:$G$35,MATCH($C1008,'Lists'!$F$6:$F$35,0))&amp;"","Unknown category"))</f>
        <v/>
      </c>
      <c r="I1008" s="80">
        <f>IF(AND($B1008="",$C1008="",$E1008=""),"",IF(NOT(ISNUMBER($B1008)),"Enter a valid date",IF($C1008="","Pick a category",IF(OR($H1008="Unknown category",$H1008=""),"Category has no cost type",IF(NOT(ISNUMBER($E1008)),"Enter an amount","OK")))))</f>
        <v/>
      </c>
    </row>
    <row r="1009" ht="17" customHeight="1">
      <c r="B1009" s="66" t="n"/>
      <c r="C1009" s="60" t="n"/>
      <c r="D1009" s="60" t="n"/>
      <c r="E1009" s="63" t="n"/>
      <c r="F1009" s="60" t="n"/>
      <c r="G1009" s="60" t="n"/>
      <c r="H1009" s="13">
        <f>IF($C1009="","",IFERROR(INDEX('Lists'!$G$6:$G$35,MATCH($C1009,'Lists'!$F$6:$F$35,0))&amp;"","Unknown category"))</f>
        <v/>
      </c>
      <c r="I1009" s="80">
        <f>IF(AND($B1009="",$C1009="",$E1009=""),"",IF(NOT(ISNUMBER($B1009)),"Enter a valid date",IF($C1009="","Pick a category",IF(OR($H1009="Unknown category",$H1009=""),"Category has no cost type",IF(NOT(ISNUMBER($E1009)),"Enter an amount","OK")))))</f>
        <v/>
      </c>
    </row>
    <row r="1010" ht="17" customHeight="1">
      <c r="B1010" s="66" t="n"/>
      <c r="C1010" s="60" t="n"/>
      <c r="D1010" s="60" t="n"/>
      <c r="E1010" s="63" t="n"/>
      <c r="F1010" s="60" t="n"/>
      <c r="G1010" s="60" t="n"/>
      <c r="H1010" s="13">
        <f>IF($C1010="","",IFERROR(INDEX('Lists'!$G$6:$G$35,MATCH($C1010,'Lists'!$F$6:$F$35,0))&amp;"","Unknown category"))</f>
        <v/>
      </c>
      <c r="I1010" s="80">
        <f>IF(AND($B1010="",$C1010="",$E1010=""),"",IF(NOT(ISNUMBER($B1010)),"Enter a valid date",IF($C1010="","Pick a category",IF(OR($H1010="Unknown category",$H1010=""),"Category has no cost type",IF(NOT(ISNUMBER($E1010)),"Enter an amount","OK")))))</f>
        <v/>
      </c>
    </row>
    <row r="1011" ht="17" customHeight="1">
      <c r="B1011" s="66" t="n"/>
      <c r="C1011" s="60" t="n"/>
      <c r="D1011" s="60" t="n"/>
      <c r="E1011" s="63" t="n"/>
      <c r="F1011" s="60" t="n"/>
      <c r="G1011" s="60" t="n"/>
      <c r="H1011" s="13">
        <f>IF($C1011="","",IFERROR(INDEX('Lists'!$G$6:$G$35,MATCH($C1011,'Lists'!$F$6:$F$35,0))&amp;"","Unknown category"))</f>
        <v/>
      </c>
      <c r="I1011" s="80">
        <f>IF(AND($B1011="",$C1011="",$E1011=""),"",IF(NOT(ISNUMBER($B1011)),"Enter a valid date",IF($C1011="","Pick a category",IF(OR($H1011="Unknown category",$H1011=""),"Category has no cost type",IF(NOT(ISNUMBER($E1011)),"Enter an amount","OK")))))</f>
        <v/>
      </c>
    </row>
    <row r="1012" ht="17" customHeight="1">
      <c r="B1012" s="66" t="n"/>
      <c r="C1012" s="60" t="n"/>
      <c r="D1012" s="60" t="n"/>
      <c r="E1012" s="63" t="n"/>
      <c r="F1012" s="60" t="n"/>
      <c r="G1012" s="60" t="n"/>
      <c r="H1012" s="13">
        <f>IF($C1012="","",IFERROR(INDEX('Lists'!$G$6:$G$35,MATCH($C1012,'Lists'!$F$6:$F$35,0))&amp;"","Unknown category"))</f>
        <v/>
      </c>
      <c r="I1012" s="80">
        <f>IF(AND($B1012="",$C1012="",$E1012=""),"",IF(NOT(ISNUMBER($B1012)),"Enter a valid date",IF($C1012="","Pick a category",IF(OR($H1012="Unknown category",$H1012=""),"Category has no cost type",IF(NOT(ISNUMBER($E1012)),"Enter an amount","OK")))))</f>
        <v/>
      </c>
    </row>
    <row r="1013" ht="17" customHeight="1">
      <c r="B1013" s="66" t="n"/>
      <c r="C1013" s="60" t="n"/>
      <c r="D1013" s="60" t="n"/>
      <c r="E1013" s="63" t="n"/>
      <c r="F1013" s="60" t="n"/>
      <c r="G1013" s="60" t="n"/>
      <c r="H1013" s="13">
        <f>IF($C1013="","",IFERROR(INDEX('Lists'!$G$6:$G$35,MATCH($C1013,'Lists'!$F$6:$F$35,0))&amp;"","Unknown category"))</f>
        <v/>
      </c>
      <c r="I1013" s="80">
        <f>IF(AND($B1013="",$C1013="",$E1013=""),"",IF(NOT(ISNUMBER($B1013)),"Enter a valid date",IF($C1013="","Pick a category",IF(OR($H1013="Unknown category",$H1013=""),"Category has no cost type",IF(NOT(ISNUMBER($E1013)),"Enter an amount","OK")))))</f>
        <v/>
      </c>
    </row>
    <row r="1014" ht="17" customHeight="1">
      <c r="B1014" s="66" t="n"/>
      <c r="C1014" s="60" t="n"/>
      <c r="D1014" s="60" t="n"/>
      <c r="E1014" s="63" t="n"/>
      <c r="F1014" s="60" t="n"/>
      <c r="G1014" s="60" t="n"/>
      <c r="H1014" s="13">
        <f>IF($C1014="","",IFERROR(INDEX('Lists'!$G$6:$G$35,MATCH($C1014,'Lists'!$F$6:$F$35,0))&amp;"","Unknown category"))</f>
        <v/>
      </c>
      <c r="I1014" s="80">
        <f>IF(AND($B1014="",$C1014="",$E1014=""),"",IF(NOT(ISNUMBER($B1014)),"Enter a valid date",IF($C1014="","Pick a category",IF(OR($H1014="Unknown category",$H1014=""),"Category has no cost type",IF(NOT(ISNUMBER($E1014)),"Enter an amount","OK")))))</f>
        <v/>
      </c>
    </row>
    <row r="1015" ht="17" customHeight="1">
      <c r="B1015" s="66" t="n"/>
      <c r="C1015" s="60" t="n"/>
      <c r="D1015" s="60" t="n"/>
      <c r="E1015" s="63" t="n"/>
      <c r="F1015" s="60" t="n"/>
      <c r="G1015" s="60" t="n"/>
      <c r="H1015" s="13">
        <f>IF($C1015="","",IFERROR(INDEX('Lists'!$G$6:$G$35,MATCH($C1015,'Lists'!$F$6:$F$35,0))&amp;"","Unknown category"))</f>
        <v/>
      </c>
      <c r="I1015" s="80">
        <f>IF(AND($B1015="",$C1015="",$E1015=""),"",IF(NOT(ISNUMBER($B1015)),"Enter a valid date",IF($C1015="","Pick a category",IF(OR($H1015="Unknown category",$H1015=""),"Category has no cost type",IF(NOT(ISNUMBER($E1015)),"Enter an amount","OK")))))</f>
        <v/>
      </c>
    </row>
    <row r="1016" ht="17" customHeight="1">
      <c r="B1016" s="66" t="n"/>
      <c r="C1016" s="60" t="n"/>
      <c r="D1016" s="60" t="n"/>
      <c r="E1016" s="63" t="n"/>
      <c r="F1016" s="60" t="n"/>
      <c r="G1016" s="60" t="n"/>
      <c r="H1016" s="13">
        <f>IF($C1016="","",IFERROR(INDEX('Lists'!$G$6:$G$35,MATCH($C1016,'Lists'!$F$6:$F$35,0))&amp;"","Unknown category"))</f>
        <v/>
      </c>
      <c r="I1016" s="80">
        <f>IF(AND($B1016="",$C1016="",$E1016=""),"",IF(NOT(ISNUMBER($B1016)),"Enter a valid date",IF($C1016="","Pick a category",IF(OR($H1016="Unknown category",$H1016=""),"Category has no cost type",IF(NOT(ISNUMBER($E1016)),"Enter an amount","OK")))))</f>
        <v/>
      </c>
    </row>
    <row r="1017" ht="17" customHeight="1">
      <c r="B1017" s="66" t="n"/>
      <c r="C1017" s="60" t="n"/>
      <c r="D1017" s="60" t="n"/>
      <c r="E1017" s="63" t="n"/>
      <c r="F1017" s="60" t="n"/>
      <c r="G1017" s="60" t="n"/>
      <c r="H1017" s="13">
        <f>IF($C1017="","",IFERROR(INDEX('Lists'!$G$6:$G$35,MATCH($C1017,'Lists'!$F$6:$F$35,0))&amp;"","Unknown category"))</f>
        <v/>
      </c>
      <c r="I1017" s="80">
        <f>IF(AND($B1017="",$C1017="",$E1017=""),"",IF(NOT(ISNUMBER($B1017)),"Enter a valid date",IF($C1017="","Pick a category",IF(OR($H1017="Unknown category",$H1017=""),"Category has no cost type",IF(NOT(ISNUMBER($E1017)),"Enter an amount","OK")))))</f>
        <v/>
      </c>
    </row>
    <row r="1018" ht="17" customHeight="1">
      <c r="B1018" s="66" t="n"/>
      <c r="C1018" s="60" t="n"/>
      <c r="D1018" s="60" t="n"/>
      <c r="E1018" s="63" t="n"/>
      <c r="F1018" s="60" t="n"/>
      <c r="G1018" s="60" t="n"/>
      <c r="H1018" s="13">
        <f>IF($C1018="","",IFERROR(INDEX('Lists'!$G$6:$G$35,MATCH($C1018,'Lists'!$F$6:$F$35,0))&amp;"","Unknown category"))</f>
        <v/>
      </c>
      <c r="I1018" s="80">
        <f>IF(AND($B1018="",$C1018="",$E1018=""),"",IF(NOT(ISNUMBER($B1018)),"Enter a valid date",IF($C1018="","Pick a category",IF(OR($H1018="Unknown category",$H1018=""),"Category has no cost type",IF(NOT(ISNUMBER($E1018)),"Enter an amount","OK")))))</f>
        <v/>
      </c>
    </row>
    <row r="1019" ht="17" customHeight="1">
      <c r="B1019" s="66" t="n"/>
      <c r="C1019" s="60" t="n"/>
      <c r="D1019" s="60" t="n"/>
      <c r="E1019" s="63" t="n"/>
      <c r="F1019" s="60" t="n"/>
      <c r="G1019" s="60" t="n"/>
      <c r="H1019" s="13">
        <f>IF($C1019="","",IFERROR(INDEX('Lists'!$G$6:$G$35,MATCH($C1019,'Lists'!$F$6:$F$35,0))&amp;"","Unknown category"))</f>
        <v/>
      </c>
      <c r="I1019" s="80">
        <f>IF(AND($B1019="",$C1019="",$E1019=""),"",IF(NOT(ISNUMBER($B1019)),"Enter a valid date",IF($C1019="","Pick a category",IF(OR($H1019="Unknown category",$H1019=""),"Category has no cost type",IF(NOT(ISNUMBER($E1019)),"Enter an amount","OK")))))</f>
        <v/>
      </c>
    </row>
    <row r="1020" ht="17" customHeight="1">
      <c r="B1020" s="66" t="n"/>
      <c r="C1020" s="60" t="n"/>
      <c r="D1020" s="60" t="n"/>
      <c r="E1020" s="63" t="n"/>
      <c r="F1020" s="60" t="n"/>
      <c r="G1020" s="60" t="n"/>
      <c r="H1020" s="13">
        <f>IF($C1020="","",IFERROR(INDEX('Lists'!$G$6:$G$35,MATCH($C1020,'Lists'!$F$6:$F$35,0))&amp;"","Unknown category"))</f>
        <v/>
      </c>
      <c r="I1020" s="80">
        <f>IF(AND($B1020="",$C1020="",$E1020=""),"",IF(NOT(ISNUMBER($B1020)),"Enter a valid date",IF($C1020="","Pick a category",IF(OR($H1020="Unknown category",$H1020=""),"Category has no cost type",IF(NOT(ISNUMBER($E1020)),"Enter an amount","OK")))))</f>
        <v/>
      </c>
    </row>
    <row r="1021" ht="17" customHeight="1">
      <c r="B1021" s="66" t="n"/>
      <c r="C1021" s="60" t="n"/>
      <c r="D1021" s="60" t="n"/>
      <c r="E1021" s="63" t="n"/>
      <c r="F1021" s="60" t="n"/>
      <c r="G1021" s="60" t="n"/>
      <c r="H1021" s="13">
        <f>IF($C1021="","",IFERROR(INDEX('Lists'!$G$6:$G$35,MATCH($C1021,'Lists'!$F$6:$F$35,0))&amp;"","Unknown category"))</f>
        <v/>
      </c>
      <c r="I1021" s="80">
        <f>IF(AND($B1021="",$C1021="",$E1021=""),"",IF(NOT(ISNUMBER($B1021)),"Enter a valid date",IF($C1021="","Pick a category",IF(OR($H1021="Unknown category",$H1021=""),"Category has no cost type",IF(NOT(ISNUMBER($E1021)),"Enter an amount","OK")))))</f>
        <v/>
      </c>
    </row>
    <row r="1022" ht="17" customHeight="1">
      <c r="B1022" s="66" t="n"/>
      <c r="C1022" s="60" t="n"/>
      <c r="D1022" s="60" t="n"/>
      <c r="E1022" s="63" t="n"/>
      <c r="F1022" s="60" t="n"/>
      <c r="G1022" s="60" t="n"/>
      <c r="H1022" s="13">
        <f>IF($C1022="","",IFERROR(INDEX('Lists'!$G$6:$G$35,MATCH($C1022,'Lists'!$F$6:$F$35,0))&amp;"","Unknown category"))</f>
        <v/>
      </c>
      <c r="I1022" s="80">
        <f>IF(AND($B1022="",$C1022="",$E1022=""),"",IF(NOT(ISNUMBER($B1022)),"Enter a valid date",IF($C1022="","Pick a category",IF(OR($H1022="Unknown category",$H1022=""),"Category has no cost type",IF(NOT(ISNUMBER($E1022)),"Enter an amount","OK")))))</f>
        <v/>
      </c>
    </row>
    <row r="1023" ht="17" customHeight="1">
      <c r="B1023" s="66" t="n"/>
      <c r="C1023" s="60" t="n"/>
      <c r="D1023" s="60" t="n"/>
      <c r="E1023" s="63" t="n"/>
      <c r="F1023" s="60" t="n"/>
      <c r="G1023" s="60" t="n"/>
      <c r="H1023" s="13">
        <f>IF($C1023="","",IFERROR(INDEX('Lists'!$G$6:$G$35,MATCH($C1023,'Lists'!$F$6:$F$35,0))&amp;"","Unknown category"))</f>
        <v/>
      </c>
      <c r="I1023" s="80">
        <f>IF(AND($B1023="",$C1023="",$E1023=""),"",IF(NOT(ISNUMBER($B1023)),"Enter a valid date",IF($C1023="","Pick a category",IF(OR($H1023="Unknown category",$H1023=""),"Category has no cost type",IF(NOT(ISNUMBER($E1023)),"Enter an amount","OK")))))</f>
        <v/>
      </c>
    </row>
    <row r="1024" ht="17" customHeight="1">
      <c r="B1024" s="66" t="n"/>
      <c r="C1024" s="60" t="n"/>
      <c r="D1024" s="60" t="n"/>
      <c r="E1024" s="63" t="n"/>
      <c r="F1024" s="60" t="n"/>
      <c r="G1024" s="60" t="n"/>
      <c r="H1024" s="13">
        <f>IF($C1024="","",IFERROR(INDEX('Lists'!$G$6:$G$35,MATCH($C1024,'Lists'!$F$6:$F$35,0))&amp;"","Unknown category"))</f>
        <v/>
      </c>
      <c r="I1024" s="80">
        <f>IF(AND($B1024="",$C1024="",$E1024=""),"",IF(NOT(ISNUMBER($B1024)),"Enter a valid date",IF($C1024="","Pick a category",IF(OR($H1024="Unknown category",$H1024=""),"Category has no cost type",IF(NOT(ISNUMBER($E1024)),"Enter an amount","OK")))))</f>
        <v/>
      </c>
    </row>
    <row r="1025" ht="17" customHeight="1">
      <c r="B1025" s="66" t="n"/>
      <c r="C1025" s="60" t="n"/>
      <c r="D1025" s="60" t="n"/>
      <c r="E1025" s="63" t="n"/>
      <c r="F1025" s="60" t="n"/>
      <c r="G1025" s="60" t="n"/>
      <c r="H1025" s="13">
        <f>IF($C1025="","",IFERROR(INDEX('Lists'!$G$6:$G$35,MATCH($C1025,'Lists'!$F$6:$F$35,0))&amp;"","Unknown category"))</f>
        <v/>
      </c>
      <c r="I1025" s="80">
        <f>IF(AND($B1025="",$C1025="",$E1025=""),"",IF(NOT(ISNUMBER($B1025)),"Enter a valid date",IF($C1025="","Pick a category",IF(OR($H1025="Unknown category",$H1025=""),"Category has no cost type",IF(NOT(ISNUMBER($E1025)),"Enter an amount","OK")))))</f>
        <v/>
      </c>
    </row>
    <row r="1026" ht="17" customHeight="1">
      <c r="B1026" s="66" t="n"/>
      <c r="C1026" s="60" t="n"/>
      <c r="D1026" s="60" t="n"/>
      <c r="E1026" s="63" t="n"/>
      <c r="F1026" s="60" t="n"/>
      <c r="G1026" s="60" t="n"/>
      <c r="H1026" s="13">
        <f>IF($C1026="","",IFERROR(INDEX('Lists'!$G$6:$G$35,MATCH($C1026,'Lists'!$F$6:$F$35,0))&amp;"","Unknown category"))</f>
        <v/>
      </c>
      <c r="I1026" s="80">
        <f>IF(AND($B1026="",$C1026="",$E1026=""),"",IF(NOT(ISNUMBER($B1026)),"Enter a valid date",IF($C1026="","Pick a category",IF(OR($H1026="Unknown category",$H1026=""),"Category has no cost type",IF(NOT(ISNUMBER($E1026)),"Enter an amount","OK")))))</f>
        <v/>
      </c>
    </row>
    <row r="1027" ht="17" customHeight="1">
      <c r="B1027" s="66" t="n"/>
      <c r="C1027" s="60" t="n"/>
      <c r="D1027" s="60" t="n"/>
      <c r="E1027" s="63" t="n"/>
      <c r="F1027" s="60" t="n"/>
      <c r="G1027" s="60" t="n"/>
      <c r="H1027" s="13">
        <f>IF($C1027="","",IFERROR(INDEX('Lists'!$G$6:$G$35,MATCH($C1027,'Lists'!$F$6:$F$35,0))&amp;"","Unknown category"))</f>
        <v/>
      </c>
      <c r="I1027" s="80">
        <f>IF(AND($B1027="",$C1027="",$E1027=""),"",IF(NOT(ISNUMBER($B1027)),"Enter a valid date",IF($C1027="","Pick a category",IF(OR($H1027="Unknown category",$H1027=""),"Category has no cost type",IF(NOT(ISNUMBER($E1027)),"Enter an amount","OK")))))</f>
        <v/>
      </c>
    </row>
    <row r="1028" ht="17" customHeight="1">
      <c r="B1028" s="66" t="n"/>
      <c r="C1028" s="60" t="n"/>
      <c r="D1028" s="60" t="n"/>
      <c r="E1028" s="63" t="n"/>
      <c r="F1028" s="60" t="n"/>
      <c r="G1028" s="60" t="n"/>
      <c r="H1028" s="13">
        <f>IF($C1028="","",IFERROR(INDEX('Lists'!$G$6:$G$35,MATCH($C1028,'Lists'!$F$6:$F$35,0))&amp;"","Unknown category"))</f>
        <v/>
      </c>
      <c r="I1028" s="80">
        <f>IF(AND($B1028="",$C1028="",$E1028=""),"",IF(NOT(ISNUMBER($B1028)),"Enter a valid date",IF($C1028="","Pick a category",IF(OR($H1028="Unknown category",$H1028=""),"Category has no cost type",IF(NOT(ISNUMBER($E1028)),"Enter an amount","OK")))))</f>
        <v/>
      </c>
    </row>
    <row r="1029" ht="17" customHeight="1">
      <c r="B1029" s="66" t="n"/>
      <c r="C1029" s="60" t="n"/>
      <c r="D1029" s="60" t="n"/>
      <c r="E1029" s="63" t="n"/>
      <c r="F1029" s="60" t="n"/>
      <c r="G1029" s="60" t="n"/>
      <c r="H1029" s="13">
        <f>IF($C1029="","",IFERROR(INDEX('Lists'!$G$6:$G$35,MATCH($C1029,'Lists'!$F$6:$F$35,0))&amp;"","Unknown category"))</f>
        <v/>
      </c>
      <c r="I1029" s="80">
        <f>IF(AND($B1029="",$C1029="",$E1029=""),"",IF(NOT(ISNUMBER($B1029)),"Enter a valid date",IF($C1029="","Pick a category",IF(OR($H1029="Unknown category",$H1029=""),"Category has no cost type",IF(NOT(ISNUMBER($E1029)),"Enter an amount","OK")))))</f>
        <v/>
      </c>
    </row>
    <row r="1030" ht="17" customHeight="1">
      <c r="B1030" s="66" t="n"/>
      <c r="C1030" s="60" t="n"/>
      <c r="D1030" s="60" t="n"/>
      <c r="E1030" s="63" t="n"/>
      <c r="F1030" s="60" t="n"/>
      <c r="G1030" s="60" t="n"/>
      <c r="H1030" s="13">
        <f>IF($C1030="","",IFERROR(INDEX('Lists'!$G$6:$G$35,MATCH($C1030,'Lists'!$F$6:$F$35,0))&amp;"","Unknown category"))</f>
        <v/>
      </c>
      <c r="I1030" s="80">
        <f>IF(AND($B1030="",$C1030="",$E1030=""),"",IF(NOT(ISNUMBER($B1030)),"Enter a valid date",IF($C1030="","Pick a category",IF(OR($H1030="Unknown category",$H1030=""),"Category has no cost type",IF(NOT(ISNUMBER($E1030)),"Enter an amount","OK")))))</f>
        <v/>
      </c>
    </row>
    <row r="1031" ht="17" customHeight="1">
      <c r="B1031" s="66" t="n"/>
      <c r="C1031" s="60" t="n"/>
      <c r="D1031" s="60" t="n"/>
      <c r="E1031" s="63" t="n"/>
      <c r="F1031" s="60" t="n"/>
      <c r="G1031" s="60" t="n"/>
      <c r="H1031" s="13">
        <f>IF($C1031="","",IFERROR(INDEX('Lists'!$G$6:$G$35,MATCH($C1031,'Lists'!$F$6:$F$35,0))&amp;"","Unknown category"))</f>
        <v/>
      </c>
      <c r="I1031" s="80">
        <f>IF(AND($B1031="",$C1031="",$E1031=""),"",IF(NOT(ISNUMBER($B1031)),"Enter a valid date",IF($C1031="","Pick a category",IF(OR($H1031="Unknown category",$H1031=""),"Category has no cost type",IF(NOT(ISNUMBER($E1031)),"Enter an amount","OK")))))</f>
        <v/>
      </c>
    </row>
    <row r="1032" ht="17" customHeight="1">
      <c r="B1032" s="66" t="n"/>
      <c r="C1032" s="60" t="n"/>
      <c r="D1032" s="60" t="n"/>
      <c r="E1032" s="63" t="n"/>
      <c r="F1032" s="60" t="n"/>
      <c r="G1032" s="60" t="n"/>
      <c r="H1032" s="13">
        <f>IF($C1032="","",IFERROR(INDEX('Lists'!$G$6:$G$35,MATCH($C1032,'Lists'!$F$6:$F$35,0))&amp;"","Unknown category"))</f>
        <v/>
      </c>
      <c r="I1032" s="80">
        <f>IF(AND($B1032="",$C1032="",$E1032=""),"",IF(NOT(ISNUMBER($B1032)),"Enter a valid date",IF($C1032="","Pick a category",IF(OR($H1032="Unknown category",$H1032=""),"Category has no cost type",IF(NOT(ISNUMBER($E1032)),"Enter an amount","OK")))))</f>
        <v/>
      </c>
    </row>
    <row r="1033" ht="17" customHeight="1">
      <c r="B1033" s="66" t="n"/>
      <c r="C1033" s="60" t="n"/>
      <c r="D1033" s="60" t="n"/>
      <c r="E1033" s="63" t="n"/>
      <c r="F1033" s="60" t="n"/>
      <c r="G1033" s="60" t="n"/>
      <c r="H1033" s="13">
        <f>IF($C1033="","",IFERROR(INDEX('Lists'!$G$6:$G$35,MATCH($C1033,'Lists'!$F$6:$F$35,0))&amp;"","Unknown category"))</f>
        <v/>
      </c>
      <c r="I1033" s="80">
        <f>IF(AND($B1033="",$C1033="",$E1033=""),"",IF(NOT(ISNUMBER($B1033)),"Enter a valid date",IF($C1033="","Pick a category",IF(OR($H1033="Unknown category",$H1033=""),"Category has no cost type",IF(NOT(ISNUMBER($E1033)),"Enter an amount","OK")))))</f>
        <v/>
      </c>
    </row>
    <row r="1034" ht="17" customHeight="1">
      <c r="B1034" s="66" t="n"/>
      <c r="C1034" s="60" t="n"/>
      <c r="D1034" s="60" t="n"/>
      <c r="E1034" s="63" t="n"/>
      <c r="F1034" s="60" t="n"/>
      <c r="G1034" s="60" t="n"/>
      <c r="H1034" s="13">
        <f>IF($C1034="","",IFERROR(INDEX('Lists'!$G$6:$G$35,MATCH($C1034,'Lists'!$F$6:$F$35,0))&amp;"","Unknown category"))</f>
        <v/>
      </c>
      <c r="I1034" s="80">
        <f>IF(AND($B1034="",$C1034="",$E1034=""),"",IF(NOT(ISNUMBER($B1034)),"Enter a valid date",IF($C1034="","Pick a category",IF(OR($H1034="Unknown category",$H1034=""),"Category has no cost type",IF(NOT(ISNUMBER($E1034)),"Enter an amount","OK")))))</f>
        <v/>
      </c>
    </row>
    <row r="1035" ht="17" customHeight="1">
      <c r="B1035" s="66" t="n"/>
      <c r="C1035" s="60" t="n"/>
      <c r="D1035" s="60" t="n"/>
      <c r="E1035" s="63" t="n"/>
      <c r="F1035" s="60" t="n"/>
      <c r="G1035" s="60" t="n"/>
      <c r="H1035" s="13">
        <f>IF($C1035="","",IFERROR(INDEX('Lists'!$G$6:$G$35,MATCH($C1035,'Lists'!$F$6:$F$35,0))&amp;"","Unknown category"))</f>
        <v/>
      </c>
      <c r="I1035" s="80">
        <f>IF(AND($B1035="",$C1035="",$E1035=""),"",IF(NOT(ISNUMBER($B1035)),"Enter a valid date",IF($C1035="","Pick a category",IF(OR($H1035="Unknown category",$H1035=""),"Category has no cost type",IF(NOT(ISNUMBER($E1035)),"Enter an amount","OK")))))</f>
        <v/>
      </c>
    </row>
    <row r="1036" ht="17" customHeight="1">
      <c r="B1036" s="66" t="n"/>
      <c r="C1036" s="60" t="n"/>
      <c r="D1036" s="60" t="n"/>
      <c r="E1036" s="63" t="n"/>
      <c r="F1036" s="60" t="n"/>
      <c r="G1036" s="60" t="n"/>
      <c r="H1036" s="13">
        <f>IF($C1036="","",IFERROR(INDEX('Lists'!$G$6:$G$35,MATCH($C1036,'Lists'!$F$6:$F$35,0))&amp;"","Unknown category"))</f>
        <v/>
      </c>
      <c r="I1036" s="80">
        <f>IF(AND($B1036="",$C1036="",$E1036=""),"",IF(NOT(ISNUMBER($B1036)),"Enter a valid date",IF($C1036="","Pick a category",IF(OR($H1036="Unknown category",$H1036=""),"Category has no cost type",IF(NOT(ISNUMBER($E1036)),"Enter an amount","OK")))))</f>
        <v/>
      </c>
    </row>
    <row r="1037" ht="17" customHeight="1">
      <c r="B1037" s="66" t="n"/>
      <c r="C1037" s="60" t="n"/>
      <c r="D1037" s="60" t="n"/>
      <c r="E1037" s="63" t="n"/>
      <c r="F1037" s="60" t="n"/>
      <c r="G1037" s="60" t="n"/>
      <c r="H1037" s="13">
        <f>IF($C1037="","",IFERROR(INDEX('Lists'!$G$6:$G$35,MATCH($C1037,'Lists'!$F$6:$F$35,0))&amp;"","Unknown category"))</f>
        <v/>
      </c>
      <c r="I1037" s="80">
        <f>IF(AND($B1037="",$C1037="",$E1037=""),"",IF(NOT(ISNUMBER($B1037)),"Enter a valid date",IF($C1037="","Pick a category",IF(OR($H1037="Unknown category",$H1037=""),"Category has no cost type",IF(NOT(ISNUMBER($E1037)),"Enter an amount","OK")))))</f>
        <v/>
      </c>
    </row>
    <row r="1038" ht="17" customHeight="1">
      <c r="B1038" s="66" t="n"/>
      <c r="C1038" s="60" t="n"/>
      <c r="D1038" s="60" t="n"/>
      <c r="E1038" s="63" t="n"/>
      <c r="F1038" s="60" t="n"/>
      <c r="G1038" s="60" t="n"/>
      <c r="H1038" s="13">
        <f>IF($C1038="","",IFERROR(INDEX('Lists'!$G$6:$G$35,MATCH($C1038,'Lists'!$F$6:$F$35,0))&amp;"","Unknown category"))</f>
        <v/>
      </c>
      <c r="I1038" s="80">
        <f>IF(AND($B1038="",$C1038="",$E1038=""),"",IF(NOT(ISNUMBER($B1038)),"Enter a valid date",IF($C1038="","Pick a category",IF(OR($H1038="Unknown category",$H1038=""),"Category has no cost type",IF(NOT(ISNUMBER($E1038)),"Enter an amount","OK")))))</f>
        <v/>
      </c>
    </row>
    <row r="1039" ht="17" customHeight="1">
      <c r="B1039" s="66" t="n"/>
      <c r="C1039" s="60" t="n"/>
      <c r="D1039" s="60" t="n"/>
      <c r="E1039" s="63" t="n"/>
      <c r="F1039" s="60" t="n"/>
      <c r="G1039" s="60" t="n"/>
      <c r="H1039" s="13">
        <f>IF($C1039="","",IFERROR(INDEX('Lists'!$G$6:$G$35,MATCH($C1039,'Lists'!$F$6:$F$35,0))&amp;"","Unknown category"))</f>
        <v/>
      </c>
      <c r="I1039" s="80">
        <f>IF(AND($B1039="",$C1039="",$E1039=""),"",IF(NOT(ISNUMBER($B1039)),"Enter a valid date",IF($C1039="","Pick a category",IF(OR($H1039="Unknown category",$H1039=""),"Category has no cost type",IF(NOT(ISNUMBER($E1039)),"Enter an amount","OK")))))</f>
        <v/>
      </c>
    </row>
    <row r="1040" ht="17" customHeight="1">
      <c r="B1040" s="66" t="n"/>
      <c r="C1040" s="60" t="n"/>
      <c r="D1040" s="60" t="n"/>
      <c r="E1040" s="63" t="n"/>
      <c r="F1040" s="60" t="n"/>
      <c r="G1040" s="60" t="n"/>
      <c r="H1040" s="13">
        <f>IF($C1040="","",IFERROR(INDEX('Lists'!$G$6:$G$35,MATCH($C1040,'Lists'!$F$6:$F$35,0))&amp;"","Unknown category"))</f>
        <v/>
      </c>
      <c r="I1040" s="80">
        <f>IF(AND($B1040="",$C1040="",$E1040=""),"",IF(NOT(ISNUMBER($B1040)),"Enter a valid date",IF($C1040="","Pick a category",IF(OR($H1040="Unknown category",$H1040=""),"Category has no cost type",IF(NOT(ISNUMBER($E1040)),"Enter an amount","OK")))))</f>
        <v/>
      </c>
    </row>
    <row r="1041" ht="17" customHeight="1">
      <c r="B1041" s="66" t="n"/>
      <c r="C1041" s="60" t="n"/>
      <c r="D1041" s="60" t="n"/>
      <c r="E1041" s="63" t="n"/>
      <c r="F1041" s="60" t="n"/>
      <c r="G1041" s="60" t="n"/>
      <c r="H1041" s="13">
        <f>IF($C1041="","",IFERROR(INDEX('Lists'!$G$6:$G$35,MATCH($C1041,'Lists'!$F$6:$F$35,0))&amp;"","Unknown category"))</f>
        <v/>
      </c>
      <c r="I1041" s="80">
        <f>IF(AND($B1041="",$C1041="",$E1041=""),"",IF(NOT(ISNUMBER($B1041)),"Enter a valid date",IF($C1041="","Pick a category",IF(OR($H1041="Unknown category",$H1041=""),"Category has no cost type",IF(NOT(ISNUMBER($E1041)),"Enter an amount","OK")))))</f>
        <v/>
      </c>
    </row>
    <row r="1042" ht="17" customHeight="1">
      <c r="B1042" s="66" t="n"/>
      <c r="C1042" s="60" t="n"/>
      <c r="D1042" s="60" t="n"/>
      <c r="E1042" s="63" t="n"/>
      <c r="F1042" s="60" t="n"/>
      <c r="G1042" s="60" t="n"/>
      <c r="H1042" s="13">
        <f>IF($C1042="","",IFERROR(INDEX('Lists'!$G$6:$G$35,MATCH($C1042,'Lists'!$F$6:$F$35,0))&amp;"","Unknown category"))</f>
        <v/>
      </c>
      <c r="I1042" s="80">
        <f>IF(AND($B1042="",$C1042="",$E1042=""),"",IF(NOT(ISNUMBER($B1042)),"Enter a valid date",IF($C1042="","Pick a category",IF(OR($H1042="Unknown category",$H1042=""),"Category has no cost type",IF(NOT(ISNUMBER($E1042)),"Enter an amount","OK")))))</f>
        <v/>
      </c>
    </row>
    <row r="1043" ht="17" customHeight="1">
      <c r="B1043" s="66" t="n"/>
      <c r="C1043" s="60" t="n"/>
      <c r="D1043" s="60" t="n"/>
      <c r="E1043" s="63" t="n"/>
      <c r="F1043" s="60" t="n"/>
      <c r="G1043" s="60" t="n"/>
      <c r="H1043" s="13">
        <f>IF($C1043="","",IFERROR(INDEX('Lists'!$G$6:$G$35,MATCH($C1043,'Lists'!$F$6:$F$35,0))&amp;"","Unknown category"))</f>
        <v/>
      </c>
      <c r="I1043" s="80">
        <f>IF(AND($B1043="",$C1043="",$E1043=""),"",IF(NOT(ISNUMBER($B1043)),"Enter a valid date",IF($C1043="","Pick a category",IF(OR($H1043="Unknown category",$H1043=""),"Category has no cost type",IF(NOT(ISNUMBER($E1043)),"Enter an amount","OK")))))</f>
        <v/>
      </c>
    </row>
    <row r="1044" ht="17" customHeight="1">
      <c r="B1044" s="66" t="n"/>
      <c r="C1044" s="60" t="n"/>
      <c r="D1044" s="60" t="n"/>
      <c r="E1044" s="63" t="n"/>
      <c r="F1044" s="60" t="n"/>
      <c r="G1044" s="60" t="n"/>
      <c r="H1044" s="13">
        <f>IF($C1044="","",IFERROR(INDEX('Lists'!$G$6:$G$35,MATCH($C1044,'Lists'!$F$6:$F$35,0))&amp;"","Unknown category"))</f>
        <v/>
      </c>
      <c r="I1044" s="80">
        <f>IF(AND($B1044="",$C1044="",$E1044=""),"",IF(NOT(ISNUMBER($B1044)),"Enter a valid date",IF($C1044="","Pick a category",IF(OR($H1044="Unknown category",$H1044=""),"Category has no cost type",IF(NOT(ISNUMBER($E1044)),"Enter an amount","OK")))))</f>
        <v/>
      </c>
    </row>
    <row r="1045" ht="17" customHeight="1">
      <c r="B1045" s="66" t="n"/>
      <c r="C1045" s="60" t="n"/>
      <c r="D1045" s="60" t="n"/>
      <c r="E1045" s="63" t="n"/>
      <c r="F1045" s="60" t="n"/>
      <c r="G1045" s="60" t="n"/>
      <c r="H1045" s="13">
        <f>IF($C1045="","",IFERROR(INDEX('Lists'!$G$6:$G$35,MATCH($C1045,'Lists'!$F$6:$F$35,0))&amp;"","Unknown category"))</f>
        <v/>
      </c>
      <c r="I1045" s="80">
        <f>IF(AND($B1045="",$C1045="",$E1045=""),"",IF(NOT(ISNUMBER($B1045)),"Enter a valid date",IF($C1045="","Pick a category",IF(OR($H1045="Unknown category",$H1045=""),"Category has no cost type",IF(NOT(ISNUMBER($E1045)),"Enter an amount","OK")))))</f>
        <v/>
      </c>
    </row>
    <row r="1046" ht="17" customHeight="1">
      <c r="B1046" s="66" t="n"/>
      <c r="C1046" s="60" t="n"/>
      <c r="D1046" s="60" t="n"/>
      <c r="E1046" s="63" t="n"/>
      <c r="F1046" s="60" t="n"/>
      <c r="G1046" s="60" t="n"/>
      <c r="H1046" s="13">
        <f>IF($C1046="","",IFERROR(INDEX('Lists'!$G$6:$G$35,MATCH($C1046,'Lists'!$F$6:$F$35,0))&amp;"","Unknown category"))</f>
        <v/>
      </c>
      <c r="I1046" s="80">
        <f>IF(AND($B1046="",$C1046="",$E1046=""),"",IF(NOT(ISNUMBER($B1046)),"Enter a valid date",IF($C1046="","Pick a category",IF(OR($H1046="Unknown category",$H1046=""),"Category has no cost type",IF(NOT(ISNUMBER($E1046)),"Enter an amount","OK")))))</f>
        <v/>
      </c>
    </row>
    <row r="1047" ht="17" customHeight="1">
      <c r="B1047" s="66" t="n"/>
      <c r="C1047" s="60" t="n"/>
      <c r="D1047" s="60" t="n"/>
      <c r="E1047" s="63" t="n"/>
      <c r="F1047" s="60" t="n"/>
      <c r="G1047" s="60" t="n"/>
      <c r="H1047" s="13">
        <f>IF($C1047="","",IFERROR(INDEX('Lists'!$G$6:$G$35,MATCH($C1047,'Lists'!$F$6:$F$35,0))&amp;"","Unknown category"))</f>
        <v/>
      </c>
      <c r="I1047" s="80">
        <f>IF(AND($B1047="",$C1047="",$E1047=""),"",IF(NOT(ISNUMBER($B1047)),"Enter a valid date",IF($C1047="","Pick a category",IF(OR($H1047="Unknown category",$H1047=""),"Category has no cost type",IF(NOT(ISNUMBER($E1047)),"Enter an amount","OK")))))</f>
        <v/>
      </c>
    </row>
    <row r="1048" ht="17" customHeight="1">
      <c r="B1048" s="66" t="n"/>
      <c r="C1048" s="60" t="n"/>
      <c r="D1048" s="60" t="n"/>
      <c r="E1048" s="63" t="n"/>
      <c r="F1048" s="60" t="n"/>
      <c r="G1048" s="60" t="n"/>
      <c r="H1048" s="13">
        <f>IF($C1048="","",IFERROR(INDEX('Lists'!$G$6:$G$35,MATCH($C1048,'Lists'!$F$6:$F$35,0))&amp;"","Unknown category"))</f>
        <v/>
      </c>
      <c r="I1048" s="80">
        <f>IF(AND($B1048="",$C1048="",$E1048=""),"",IF(NOT(ISNUMBER($B1048)),"Enter a valid date",IF($C1048="","Pick a category",IF(OR($H1048="Unknown category",$H1048=""),"Category has no cost type",IF(NOT(ISNUMBER($E1048)),"Enter an amount","OK")))))</f>
        <v/>
      </c>
    </row>
    <row r="1049" ht="17" customHeight="1">
      <c r="B1049" s="66" t="n"/>
      <c r="C1049" s="60" t="n"/>
      <c r="D1049" s="60" t="n"/>
      <c r="E1049" s="63" t="n"/>
      <c r="F1049" s="60" t="n"/>
      <c r="G1049" s="60" t="n"/>
      <c r="H1049" s="13">
        <f>IF($C1049="","",IFERROR(INDEX('Lists'!$G$6:$G$35,MATCH($C1049,'Lists'!$F$6:$F$35,0))&amp;"","Unknown category"))</f>
        <v/>
      </c>
      <c r="I1049" s="80">
        <f>IF(AND($B1049="",$C1049="",$E1049=""),"",IF(NOT(ISNUMBER($B1049)),"Enter a valid date",IF($C1049="","Pick a category",IF(OR($H1049="Unknown category",$H1049=""),"Category has no cost type",IF(NOT(ISNUMBER($E1049)),"Enter an amount","OK")))))</f>
        <v/>
      </c>
    </row>
    <row r="1050" ht="17" customHeight="1">
      <c r="B1050" s="66" t="n"/>
      <c r="C1050" s="60" t="n"/>
      <c r="D1050" s="60" t="n"/>
      <c r="E1050" s="63" t="n"/>
      <c r="F1050" s="60" t="n"/>
      <c r="G1050" s="60" t="n"/>
      <c r="H1050" s="13">
        <f>IF($C1050="","",IFERROR(INDEX('Lists'!$G$6:$G$35,MATCH($C1050,'Lists'!$F$6:$F$35,0))&amp;"","Unknown category"))</f>
        <v/>
      </c>
      <c r="I1050" s="80">
        <f>IF(AND($B1050="",$C1050="",$E1050=""),"",IF(NOT(ISNUMBER($B1050)),"Enter a valid date",IF($C1050="","Pick a category",IF(OR($H1050="Unknown category",$H1050=""),"Category has no cost type",IF(NOT(ISNUMBER($E1050)),"Enter an amount","OK")))))</f>
        <v/>
      </c>
    </row>
    <row r="1051" ht="17" customHeight="1">
      <c r="B1051" s="66" t="n"/>
      <c r="C1051" s="60" t="n"/>
      <c r="D1051" s="60" t="n"/>
      <c r="E1051" s="63" t="n"/>
      <c r="F1051" s="60" t="n"/>
      <c r="G1051" s="60" t="n"/>
      <c r="H1051" s="13">
        <f>IF($C1051="","",IFERROR(INDEX('Lists'!$G$6:$G$35,MATCH($C1051,'Lists'!$F$6:$F$35,0))&amp;"","Unknown category"))</f>
        <v/>
      </c>
      <c r="I1051" s="80">
        <f>IF(AND($B1051="",$C1051="",$E1051=""),"",IF(NOT(ISNUMBER($B1051)),"Enter a valid date",IF($C1051="","Pick a category",IF(OR($H1051="Unknown category",$H1051=""),"Category has no cost type",IF(NOT(ISNUMBER($E1051)),"Enter an amount","OK")))))</f>
        <v/>
      </c>
    </row>
    <row r="1052" ht="17" customHeight="1">
      <c r="B1052" s="66" t="n"/>
      <c r="C1052" s="60" t="n"/>
      <c r="D1052" s="60" t="n"/>
      <c r="E1052" s="63" t="n"/>
      <c r="F1052" s="60" t="n"/>
      <c r="G1052" s="60" t="n"/>
      <c r="H1052" s="13">
        <f>IF($C1052="","",IFERROR(INDEX('Lists'!$G$6:$G$35,MATCH($C1052,'Lists'!$F$6:$F$35,0))&amp;"","Unknown category"))</f>
        <v/>
      </c>
      <c r="I1052" s="80">
        <f>IF(AND($B1052="",$C1052="",$E1052=""),"",IF(NOT(ISNUMBER($B1052)),"Enter a valid date",IF($C1052="","Pick a category",IF(OR($H1052="Unknown category",$H1052=""),"Category has no cost type",IF(NOT(ISNUMBER($E1052)),"Enter an amount","OK")))))</f>
        <v/>
      </c>
    </row>
    <row r="1053" ht="17" customHeight="1">
      <c r="B1053" s="66" t="n"/>
      <c r="C1053" s="60" t="n"/>
      <c r="D1053" s="60" t="n"/>
      <c r="E1053" s="63" t="n"/>
      <c r="F1053" s="60" t="n"/>
      <c r="G1053" s="60" t="n"/>
      <c r="H1053" s="13">
        <f>IF($C1053="","",IFERROR(INDEX('Lists'!$G$6:$G$35,MATCH($C1053,'Lists'!$F$6:$F$35,0))&amp;"","Unknown category"))</f>
        <v/>
      </c>
      <c r="I1053" s="80">
        <f>IF(AND($B1053="",$C1053="",$E1053=""),"",IF(NOT(ISNUMBER($B1053)),"Enter a valid date",IF($C1053="","Pick a category",IF(OR($H1053="Unknown category",$H1053=""),"Category has no cost type",IF(NOT(ISNUMBER($E1053)),"Enter an amount","OK")))))</f>
        <v/>
      </c>
    </row>
    <row r="1054" ht="17" customHeight="1">
      <c r="B1054" s="66" t="n"/>
      <c r="C1054" s="60" t="n"/>
      <c r="D1054" s="60" t="n"/>
      <c r="E1054" s="63" t="n"/>
      <c r="F1054" s="60" t="n"/>
      <c r="G1054" s="60" t="n"/>
      <c r="H1054" s="13">
        <f>IF($C1054="","",IFERROR(INDEX('Lists'!$G$6:$G$35,MATCH($C1054,'Lists'!$F$6:$F$35,0))&amp;"","Unknown category"))</f>
        <v/>
      </c>
      <c r="I1054" s="80">
        <f>IF(AND($B1054="",$C1054="",$E1054=""),"",IF(NOT(ISNUMBER($B1054)),"Enter a valid date",IF($C1054="","Pick a category",IF(OR($H1054="Unknown category",$H1054=""),"Category has no cost type",IF(NOT(ISNUMBER($E1054)),"Enter an amount","OK")))))</f>
        <v/>
      </c>
    </row>
    <row r="1055" ht="17" customHeight="1">
      <c r="B1055" s="66" t="n"/>
      <c r="C1055" s="60" t="n"/>
      <c r="D1055" s="60" t="n"/>
      <c r="E1055" s="63" t="n"/>
      <c r="F1055" s="60" t="n"/>
      <c r="G1055" s="60" t="n"/>
      <c r="H1055" s="13">
        <f>IF($C1055="","",IFERROR(INDEX('Lists'!$G$6:$G$35,MATCH($C1055,'Lists'!$F$6:$F$35,0))&amp;"","Unknown category"))</f>
        <v/>
      </c>
      <c r="I1055" s="80">
        <f>IF(AND($B1055="",$C1055="",$E1055=""),"",IF(NOT(ISNUMBER($B1055)),"Enter a valid date",IF($C1055="","Pick a category",IF(OR($H1055="Unknown category",$H1055=""),"Category has no cost type",IF(NOT(ISNUMBER($E1055)),"Enter an amount","OK")))))</f>
        <v/>
      </c>
    </row>
    <row r="1056" ht="17" customHeight="1">
      <c r="B1056" s="66" t="n"/>
      <c r="C1056" s="60" t="n"/>
      <c r="D1056" s="60" t="n"/>
      <c r="E1056" s="63" t="n"/>
      <c r="F1056" s="60" t="n"/>
      <c r="G1056" s="60" t="n"/>
      <c r="H1056" s="13">
        <f>IF($C1056="","",IFERROR(INDEX('Lists'!$G$6:$G$35,MATCH($C1056,'Lists'!$F$6:$F$35,0))&amp;"","Unknown category"))</f>
        <v/>
      </c>
      <c r="I1056" s="80">
        <f>IF(AND($B1056="",$C1056="",$E1056=""),"",IF(NOT(ISNUMBER($B1056)),"Enter a valid date",IF($C1056="","Pick a category",IF(OR($H1056="Unknown category",$H1056=""),"Category has no cost type",IF(NOT(ISNUMBER($E1056)),"Enter an amount","OK")))))</f>
        <v/>
      </c>
    </row>
    <row r="1057" ht="17" customHeight="1">
      <c r="B1057" s="66" t="n"/>
      <c r="C1057" s="60" t="n"/>
      <c r="D1057" s="60" t="n"/>
      <c r="E1057" s="63" t="n"/>
      <c r="F1057" s="60" t="n"/>
      <c r="G1057" s="60" t="n"/>
      <c r="H1057" s="13">
        <f>IF($C1057="","",IFERROR(INDEX('Lists'!$G$6:$G$35,MATCH($C1057,'Lists'!$F$6:$F$35,0))&amp;"","Unknown category"))</f>
        <v/>
      </c>
      <c r="I1057" s="80">
        <f>IF(AND($B1057="",$C1057="",$E1057=""),"",IF(NOT(ISNUMBER($B1057)),"Enter a valid date",IF($C1057="","Pick a category",IF(OR($H1057="Unknown category",$H1057=""),"Category has no cost type",IF(NOT(ISNUMBER($E1057)),"Enter an amount","OK")))))</f>
        <v/>
      </c>
    </row>
    <row r="1058" ht="17" customHeight="1">
      <c r="B1058" s="66" t="n"/>
      <c r="C1058" s="60" t="n"/>
      <c r="D1058" s="60" t="n"/>
      <c r="E1058" s="63" t="n"/>
      <c r="F1058" s="60" t="n"/>
      <c r="G1058" s="60" t="n"/>
      <c r="H1058" s="13">
        <f>IF($C1058="","",IFERROR(INDEX('Lists'!$G$6:$G$35,MATCH($C1058,'Lists'!$F$6:$F$35,0))&amp;"","Unknown category"))</f>
        <v/>
      </c>
      <c r="I1058" s="80">
        <f>IF(AND($B1058="",$C1058="",$E1058=""),"",IF(NOT(ISNUMBER($B1058)),"Enter a valid date",IF($C1058="","Pick a category",IF(OR($H1058="Unknown category",$H1058=""),"Category has no cost type",IF(NOT(ISNUMBER($E1058)),"Enter an amount","OK")))))</f>
        <v/>
      </c>
    </row>
    <row r="1059" ht="17" customHeight="1">
      <c r="B1059" s="66" t="n"/>
      <c r="C1059" s="60" t="n"/>
      <c r="D1059" s="60" t="n"/>
      <c r="E1059" s="63" t="n"/>
      <c r="F1059" s="60" t="n"/>
      <c r="G1059" s="60" t="n"/>
      <c r="H1059" s="13">
        <f>IF($C1059="","",IFERROR(INDEX('Lists'!$G$6:$G$35,MATCH($C1059,'Lists'!$F$6:$F$35,0))&amp;"","Unknown category"))</f>
        <v/>
      </c>
      <c r="I1059" s="80">
        <f>IF(AND($B1059="",$C1059="",$E1059=""),"",IF(NOT(ISNUMBER($B1059)),"Enter a valid date",IF($C1059="","Pick a category",IF(OR($H1059="Unknown category",$H1059=""),"Category has no cost type",IF(NOT(ISNUMBER($E1059)),"Enter an amount","OK")))))</f>
        <v/>
      </c>
    </row>
    <row r="1060" ht="17" customHeight="1">
      <c r="B1060" s="66" t="n"/>
      <c r="C1060" s="60" t="n"/>
      <c r="D1060" s="60" t="n"/>
      <c r="E1060" s="63" t="n"/>
      <c r="F1060" s="60" t="n"/>
      <c r="G1060" s="60" t="n"/>
      <c r="H1060" s="13">
        <f>IF($C1060="","",IFERROR(INDEX('Lists'!$G$6:$G$35,MATCH($C1060,'Lists'!$F$6:$F$35,0))&amp;"","Unknown category"))</f>
        <v/>
      </c>
      <c r="I1060" s="80">
        <f>IF(AND($B1060="",$C1060="",$E1060=""),"",IF(NOT(ISNUMBER($B1060)),"Enter a valid date",IF($C1060="","Pick a category",IF(OR($H1060="Unknown category",$H1060=""),"Category has no cost type",IF(NOT(ISNUMBER($E1060)),"Enter an amount","OK")))))</f>
        <v/>
      </c>
    </row>
    <row r="1061" ht="17" customHeight="1">
      <c r="B1061" s="66" t="n"/>
      <c r="C1061" s="60" t="n"/>
      <c r="D1061" s="60" t="n"/>
      <c r="E1061" s="63" t="n"/>
      <c r="F1061" s="60" t="n"/>
      <c r="G1061" s="60" t="n"/>
      <c r="H1061" s="13">
        <f>IF($C1061="","",IFERROR(INDEX('Lists'!$G$6:$G$35,MATCH($C1061,'Lists'!$F$6:$F$35,0))&amp;"","Unknown category"))</f>
        <v/>
      </c>
      <c r="I1061" s="80">
        <f>IF(AND($B1061="",$C1061="",$E1061=""),"",IF(NOT(ISNUMBER($B1061)),"Enter a valid date",IF($C1061="","Pick a category",IF(OR($H1061="Unknown category",$H1061=""),"Category has no cost type",IF(NOT(ISNUMBER($E1061)),"Enter an amount","OK")))))</f>
        <v/>
      </c>
    </row>
    <row r="1062" ht="17" customHeight="1">
      <c r="B1062" s="66" t="n"/>
      <c r="C1062" s="60" t="n"/>
      <c r="D1062" s="60" t="n"/>
      <c r="E1062" s="63" t="n"/>
      <c r="F1062" s="60" t="n"/>
      <c r="G1062" s="60" t="n"/>
      <c r="H1062" s="13">
        <f>IF($C1062="","",IFERROR(INDEX('Lists'!$G$6:$G$35,MATCH($C1062,'Lists'!$F$6:$F$35,0))&amp;"","Unknown category"))</f>
        <v/>
      </c>
      <c r="I1062" s="80">
        <f>IF(AND($B1062="",$C1062="",$E1062=""),"",IF(NOT(ISNUMBER($B1062)),"Enter a valid date",IF($C1062="","Pick a category",IF(OR($H1062="Unknown category",$H1062=""),"Category has no cost type",IF(NOT(ISNUMBER($E1062)),"Enter an amount","OK")))))</f>
        <v/>
      </c>
    </row>
    <row r="1063" ht="17" customHeight="1">
      <c r="B1063" s="66" t="n"/>
      <c r="C1063" s="60" t="n"/>
      <c r="D1063" s="60" t="n"/>
      <c r="E1063" s="63" t="n"/>
      <c r="F1063" s="60" t="n"/>
      <c r="G1063" s="60" t="n"/>
      <c r="H1063" s="13">
        <f>IF($C1063="","",IFERROR(INDEX('Lists'!$G$6:$G$35,MATCH($C1063,'Lists'!$F$6:$F$35,0))&amp;"","Unknown category"))</f>
        <v/>
      </c>
      <c r="I1063" s="80">
        <f>IF(AND($B1063="",$C1063="",$E1063=""),"",IF(NOT(ISNUMBER($B1063)),"Enter a valid date",IF($C1063="","Pick a category",IF(OR($H1063="Unknown category",$H1063=""),"Category has no cost type",IF(NOT(ISNUMBER($E1063)),"Enter an amount","OK")))))</f>
        <v/>
      </c>
    </row>
    <row r="1064" ht="17" customHeight="1">
      <c r="B1064" s="66" t="n"/>
      <c r="C1064" s="60" t="n"/>
      <c r="D1064" s="60" t="n"/>
      <c r="E1064" s="63" t="n"/>
      <c r="F1064" s="60" t="n"/>
      <c r="G1064" s="60" t="n"/>
      <c r="H1064" s="13">
        <f>IF($C1064="","",IFERROR(INDEX('Lists'!$G$6:$G$35,MATCH($C1064,'Lists'!$F$6:$F$35,0))&amp;"","Unknown category"))</f>
        <v/>
      </c>
      <c r="I1064" s="80">
        <f>IF(AND($B1064="",$C1064="",$E1064=""),"",IF(NOT(ISNUMBER($B1064)),"Enter a valid date",IF($C1064="","Pick a category",IF(OR($H1064="Unknown category",$H1064=""),"Category has no cost type",IF(NOT(ISNUMBER($E1064)),"Enter an amount","OK")))))</f>
        <v/>
      </c>
    </row>
    <row r="1065" ht="17" customHeight="1">
      <c r="B1065" s="66" t="n"/>
      <c r="C1065" s="60" t="n"/>
      <c r="D1065" s="60" t="n"/>
      <c r="E1065" s="63" t="n"/>
      <c r="F1065" s="60" t="n"/>
      <c r="G1065" s="60" t="n"/>
      <c r="H1065" s="13">
        <f>IF($C1065="","",IFERROR(INDEX('Lists'!$G$6:$G$35,MATCH($C1065,'Lists'!$F$6:$F$35,0))&amp;"","Unknown category"))</f>
        <v/>
      </c>
      <c r="I1065" s="80">
        <f>IF(AND($B1065="",$C1065="",$E1065=""),"",IF(NOT(ISNUMBER($B1065)),"Enter a valid date",IF($C1065="","Pick a category",IF(OR($H1065="Unknown category",$H1065=""),"Category has no cost type",IF(NOT(ISNUMBER($E1065)),"Enter an amount","OK")))))</f>
        <v/>
      </c>
    </row>
    <row r="1066" ht="17" customHeight="1">
      <c r="B1066" s="66" t="n"/>
      <c r="C1066" s="60" t="n"/>
      <c r="D1066" s="60" t="n"/>
      <c r="E1066" s="63" t="n"/>
      <c r="F1066" s="60" t="n"/>
      <c r="G1066" s="60" t="n"/>
      <c r="H1066" s="13">
        <f>IF($C1066="","",IFERROR(INDEX('Lists'!$G$6:$G$35,MATCH($C1066,'Lists'!$F$6:$F$35,0))&amp;"","Unknown category"))</f>
        <v/>
      </c>
      <c r="I1066" s="80">
        <f>IF(AND($B1066="",$C1066="",$E1066=""),"",IF(NOT(ISNUMBER($B1066)),"Enter a valid date",IF($C1066="","Pick a category",IF(OR($H1066="Unknown category",$H1066=""),"Category has no cost type",IF(NOT(ISNUMBER($E1066)),"Enter an amount","OK")))))</f>
        <v/>
      </c>
    </row>
    <row r="1067" ht="17" customHeight="1">
      <c r="B1067" s="66" t="n"/>
      <c r="C1067" s="60" t="n"/>
      <c r="D1067" s="60" t="n"/>
      <c r="E1067" s="63" t="n"/>
      <c r="F1067" s="60" t="n"/>
      <c r="G1067" s="60" t="n"/>
      <c r="H1067" s="13">
        <f>IF($C1067="","",IFERROR(INDEX('Lists'!$G$6:$G$35,MATCH($C1067,'Lists'!$F$6:$F$35,0))&amp;"","Unknown category"))</f>
        <v/>
      </c>
      <c r="I1067" s="80">
        <f>IF(AND($B1067="",$C1067="",$E1067=""),"",IF(NOT(ISNUMBER($B1067)),"Enter a valid date",IF($C1067="","Pick a category",IF(OR($H1067="Unknown category",$H1067=""),"Category has no cost type",IF(NOT(ISNUMBER($E1067)),"Enter an amount","OK")))))</f>
        <v/>
      </c>
    </row>
    <row r="1068" ht="17" customHeight="1">
      <c r="B1068" s="66" t="n"/>
      <c r="C1068" s="60" t="n"/>
      <c r="D1068" s="60" t="n"/>
      <c r="E1068" s="63" t="n"/>
      <c r="F1068" s="60" t="n"/>
      <c r="G1068" s="60" t="n"/>
      <c r="H1068" s="13">
        <f>IF($C1068="","",IFERROR(INDEX('Lists'!$G$6:$G$35,MATCH($C1068,'Lists'!$F$6:$F$35,0))&amp;"","Unknown category"))</f>
        <v/>
      </c>
      <c r="I1068" s="80">
        <f>IF(AND($B1068="",$C1068="",$E1068=""),"",IF(NOT(ISNUMBER($B1068)),"Enter a valid date",IF($C1068="","Pick a category",IF(OR($H1068="Unknown category",$H1068=""),"Category has no cost type",IF(NOT(ISNUMBER($E1068)),"Enter an amount","OK")))))</f>
        <v/>
      </c>
    </row>
    <row r="1069" ht="17" customHeight="1">
      <c r="B1069" s="66" t="n"/>
      <c r="C1069" s="60" t="n"/>
      <c r="D1069" s="60" t="n"/>
      <c r="E1069" s="63" t="n"/>
      <c r="F1069" s="60" t="n"/>
      <c r="G1069" s="60" t="n"/>
      <c r="H1069" s="13">
        <f>IF($C1069="","",IFERROR(INDEX('Lists'!$G$6:$G$35,MATCH($C1069,'Lists'!$F$6:$F$35,0))&amp;"","Unknown category"))</f>
        <v/>
      </c>
      <c r="I1069" s="80">
        <f>IF(AND($B1069="",$C1069="",$E1069=""),"",IF(NOT(ISNUMBER($B1069)),"Enter a valid date",IF($C1069="","Pick a category",IF(OR($H1069="Unknown category",$H1069=""),"Category has no cost type",IF(NOT(ISNUMBER($E1069)),"Enter an amount","OK")))))</f>
        <v/>
      </c>
    </row>
    <row r="1070" ht="17" customHeight="1">
      <c r="B1070" s="66" t="n"/>
      <c r="C1070" s="60" t="n"/>
      <c r="D1070" s="60" t="n"/>
      <c r="E1070" s="63" t="n"/>
      <c r="F1070" s="60" t="n"/>
      <c r="G1070" s="60" t="n"/>
      <c r="H1070" s="13">
        <f>IF($C1070="","",IFERROR(INDEX('Lists'!$G$6:$G$35,MATCH($C1070,'Lists'!$F$6:$F$35,0))&amp;"","Unknown category"))</f>
        <v/>
      </c>
      <c r="I1070" s="80">
        <f>IF(AND($B1070="",$C1070="",$E1070=""),"",IF(NOT(ISNUMBER($B1070)),"Enter a valid date",IF($C1070="","Pick a category",IF(OR($H1070="Unknown category",$H1070=""),"Category has no cost type",IF(NOT(ISNUMBER($E1070)),"Enter an amount","OK")))))</f>
        <v/>
      </c>
    </row>
    <row r="1071" ht="17" customHeight="1">
      <c r="B1071" s="66" t="n"/>
      <c r="C1071" s="60" t="n"/>
      <c r="D1071" s="60" t="n"/>
      <c r="E1071" s="63" t="n"/>
      <c r="F1071" s="60" t="n"/>
      <c r="G1071" s="60" t="n"/>
      <c r="H1071" s="13">
        <f>IF($C1071="","",IFERROR(INDEX('Lists'!$G$6:$G$35,MATCH($C1071,'Lists'!$F$6:$F$35,0))&amp;"","Unknown category"))</f>
        <v/>
      </c>
      <c r="I1071" s="80">
        <f>IF(AND($B1071="",$C1071="",$E1071=""),"",IF(NOT(ISNUMBER($B1071)),"Enter a valid date",IF($C1071="","Pick a category",IF(OR($H1071="Unknown category",$H1071=""),"Category has no cost type",IF(NOT(ISNUMBER($E1071)),"Enter an amount","OK")))))</f>
        <v/>
      </c>
    </row>
    <row r="1072" ht="17" customHeight="1">
      <c r="B1072" s="66" t="n"/>
      <c r="C1072" s="60" t="n"/>
      <c r="D1072" s="60" t="n"/>
      <c r="E1072" s="63" t="n"/>
      <c r="F1072" s="60" t="n"/>
      <c r="G1072" s="60" t="n"/>
      <c r="H1072" s="13">
        <f>IF($C1072="","",IFERROR(INDEX('Lists'!$G$6:$G$35,MATCH($C1072,'Lists'!$F$6:$F$35,0))&amp;"","Unknown category"))</f>
        <v/>
      </c>
      <c r="I1072" s="80">
        <f>IF(AND($B1072="",$C1072="",$E1072=""),"",IF(NOT(ISNUMBER($B1072)),"Enter a valid date",IF($C1072="","Pick a category",IF(OR($H1072="Unknown category",$H1072=""),"Category has no cost type",IF(NOT(ISNUMBER($E1072)),"Enter an amount","OK")))))</f>
        <v/>
      </c>
    </row>
    <row r="1073" ht="17" customHeight="1">
      <c r="B1073" s="66" t="n"/>
      <c r="C1073" s="60" t="n"/>
      <c r="D1073" s="60" t="n"/>
      <c r="E1073" s="63" t="n"/>
      <c r="F1073" s="60" t="n"/>
      <c r="G1073" s="60" t="n"/>
      <c r="H1073" s="13">
        <f>IF($C1073="","",IFERROR(INDEX('Lists'!$G$6:$G$35,MATCH($C1073,'Lists'!$F$6:$F$35,0))&amp;"","Unknown category"))</f>
        <v/>
      </c>
      <c r="I1073" s="80">
        <f>IF(AND($B1073="",$C1073="",$E1073=""),"",IF(NOT(ISNUMBER($B1073)),"Enter a valid date",IF($C1073="","Pick a category",IF(OR($H1073="Unknown category",$H1073=""),"Category has no cost type",IF(NOT(ISNUMBER($E1073)),"Enter an amount","OK")))))</f>
        <v/>
      </c>
    </row>
    <row r="1074" ht="17" customHeight="1">
      <c r="B1074" s="66" t="n"/>
      <c r="C1074" s="60" t="n"/>
      <c r="D1074" s="60" t="n"/>
      <c r="E1074" s="63" t="n"/>
      <c r="F1074" s="60" t="n"/>
      <c r="G1074" s="60" t="n"/>
      <c r="H1074" s="13">
        <f>IF($C1074="","",IFERROR(INDEX('Lists'!$G$6:$G$35,MATCH($C1074,'Lists'!$F$6:$F$35,0))&amp;"","Unknown category"))</f>
        <v/>
      </c>
      <c r="I1074" s="80">
        <f>IF(AND($B1074="",$C1074="",$E1074=""),"",IF(NOT(ISNUMBER($B1074)),"Enter a valid date",IF($C1074="","Pick a category",IF(OR($H1074="Unknown category",$H1074=""),"Category has no cost type",IF(NOT(ISNUMBER($E1074)),"Enter an amount","OK")))))</f>
        <v/>
      </c>
    </row>
    <row r="1075" ht="17" customHeight="1">
      <c r="B1075" s="66" t="n"/>
      <c r="C1075" s="60" t="n"/>
      <c r="D1075" s="60" t="n"/>
      <c r="E1075" s="63" t="n"/>
      <c r="F1075" s="60" t="n"/>
      <c r="G1075" s="60" t="n"/>
      <c r="H1075" s="13">
        <f>IF($C1075="","",IFERROR(INDEX('Lists'!$G$6:$G$35,MATCH($C1075,'Lists'!$F$6:$F$35,0))&amp;"","Unknown category"))</f>
        <v/>
      </c>
      <c r="I1075" s="80">
        <f>IF(AND($B1075="",$C1075="",$E1075=""),"",IF(NOT(ISNUMBER($B1075)),"Enter a valid date",IF($C1075="","Pick a category",IF(OR($H1075="Unknown category",$H1075=""),"Category has no cost type",IF(NOT(ISNUMBER($E1075)),"Enter an amount","OK")))))</f>
        <v/>
      </c>
    </row>
    <row r="1076" ht="17" customHeight="1">
      <c r="B1076" s="66" t="n"/>
      <c r="C1076" s="60" t="n"/>
      <c r="D1076" s="60" t="n"/>
      <c r="E1076" s="63" t="n"/>
      <c r="F1076" s="60" t="n"/>
      <c r="G1076" s="60" t="n"/>
      <c r="H1076" s="13">
        <f>IF($C1076="","",IFERROR(INDEX('Lists'!$G$6:$G$35,MATCH($C1076,'Lists'!$F$6:$F$35,0))&amp;"","Unknown category"))</f>
        <v/>
      </c>
      <c r="I1076" s="80">
        <f>IF(AND($B1076="",$C1076="",$E1076=""),"",IF(NOT(ISNUMBER($B1076)),"Enter a valid date",IF($C1076="","Pick a category",IF(OR($H1076="Unknown category",$H1076=""),"Category has no cost type",IF(NOT(ISNUMBER($E1076)),"Enter an amount","OK")))))</f>
        <v/>
      </c>
    </row>
    <row r="1077" ht="17" customHeight="1">
      <c r="B1077" s="66" t="n"/>
      <c r="C1077" s="60" t="n"/>
      <c r="D1077" s="60" t="n"/>
      <c r="E1077" s="63" t="n"/>
      <c r="F1077" s="60" t="n"/>
      <c r="G1077" s="60" t="n"/>
      <c r="H1077" s="13">
        <f>IF($C1077="","",IFERROR(INDEX('Lists'!$G$6:$G$35,MATCH($C1077,'Lists'!$F$6:$F$35,0))&amp;"","Unknown category"))</f>
        <v/>
      </c>
      <c r="I1077" s="80">
        <f>IF(AND($B1077="",$C1077="",$E1077=""),"",IF(NOT(ISNUMBER($B1077)),"Enter a valid date",IF($C1077="","Pick a category",IF(OR($H1077="Unknown category",$H1077=""),"Category has no cost type",IF(NOT(ISNUMBER($E1077)),"Enter an amount","OK")))))</f>
        <v/>
      </c>
    </row>
    <row r="1078" ht="17" customHeight="1">
      <c r="B1078" s="66" t="n"/>
      <c r="C1078" s="60" t="n"/>
      <c r="D1078" s="60" t="n"/>
      <c r="E1078" s="63" t="n"/>
      <c r="F1078" s="60" t="n"/>
      <c r="G1078" s="60" t="n"/>
      <c r="H1078" s="13">
        <f>IF($C1078="","",IFERROR(INDEX('Lists'!$G$6:$G$35,MATCH($C1078,'Lists'!$F$6:$F$35,0))&amp;"","Unknown category"))</f>
        <v/>
      </c>
      <c r="I1078" s="80">
        <f>IF(AND($B1078="",$C1078="",$E1078=""),"",IF(NOT(ISNUMBER($B1078)),"Enter a valid date",IF($C1078="","Pick a category",IF(OR($H1078="Unknown category",$H1078=""),"Category has no cost type",IF(NOT(ISNUMBER($E1078)),"Enter an amount","OK")))))</f>
        <v/>
      </c>
    </row>
    <row r="1079" ht="17" customHeight="1">
      <c r="B1079" s="66" t="n"/>
      <c r="C1079" s="60" t="n"/>
      <c r="D1079" s="60" t="n"/>
      <c r="E1079" s="63" t="n"/>
      <c r="F1079" s="60" t="n"/>
      <c r="G1079" s="60" t="n"/>
      <c r="H1079" s="13">
        <f>IF($C1079="","",IFERROR(INDEX('Lists'!$G$6:$G$35,MATCH($C1079,'Lists'!$F$6:$F$35,0))&amp;"","Unknown category"))</f>
        <v/>
      </c>
      <c r="I1079" s="80">
        <f>IF(AND($B1079="",$C1079="",$E1079=""),"",IF(NOT(ISNUMBER($B1079)),"Enter a valid date",IF($C1079="","Pick a category",IF(OR($H1079="Unknown category",$H1079=""),"Category has no cost type",IF(NOT(ISNUMBER($E1079)),"Enter an amount","OK")))))</f>
        <v/>
      </c>
    </row>
    <row r="1080" ht="17" customHeight="1">
      <c r="B1080" s="66" t="n"/>
      <c r="C1080" s="60" t="n"/>
      <c r="D1080" s="60" t="n"/>
      <c r="E1080" s="63" t="n"/>
      <c r="F1080" s="60" t="n"/>
      <c r="G1080" s="60" t="n"/>
      <c r="H1080" s="13">
        <f>IF($C1080="","",IFERROR(INDEX('Lists'!$G$6:$G$35,MATCH($C1080,'Lists'!$F$6:$F$35,0))&amp;"","Unknown category"))</f>
        <v/>
      </c>
      <c r="I1080" s="80">
        <f>IF(AND($B1080="",$C1080="",$E1080=""),"",IF(NOT(ISNUMBER($B1080)),"Enter a valid date",IF($C1080="","Pick a category",IF(OR($H1080="Unknown category",$H1080=""),"Category has no cost type",IF(NOT(ISNUMBER($E1080)),"Enter an amount","OK")))))</f>
        <v/>
      </c>
    </row>
    <row r="1081" ht="17" customHeight="1">
      <c r="B1081" s="66" t="n"/>
      <c r="C1081" s="60" t="n"/>
      <c r="D1081" s="60" t="n"/>
      <c r="E1081" s="63" t="n"/>
      <c r="F1081" s="60" t="n"/>
      <c r="G1081" s="60" t="n"/>
      <c r="H1081" s="13">
        <f>IF($C1081="","",IFERROR(INDEX('Lists'!$G$6:$G$35,MATCH($C1081,'Lists'!$F$6:$F$35,0))&amp;"","Unknown category"))</f>
        <v/>
      </c>
      <c r="I1081" s="80">
        <f>IF(AND($B1081="",$C1081="",$E1081=""),"",IF(NOT(ISNUMBER($B1081)),"Enter a valid date",IF($C1081="","Pick a category",IF(OR($H1081="Unknown category",$H1081=""),"Category has no cost type",IF(NOT(ISNUMBER($E1081)),"Enter an amount","OK")))))</f>
        <v/>
      </c>
    </row>
    <row r="1082" ht="17" customHeight="1">
      <c r="B1082" s="66" t="n"/>
      <c r="C1082" s="60" t="n"/>
      <c r="D1082" s="60" t="n"/>
      <c r="E1082" s="63" t="n"/>
      <c r="F1082" s="60" t="n"/>
      <c r="G1082" s="60" t="n"/>
      <c r="H1082" s="13">
        <f>IF($C1082="","",IFERROR(INDEX('Lists'!$G$6:$G$35,MATCH($C1082,'Lists'!$F$6:$F$35,0))&amp;"","Unknown category"))</f>
        <v/>
      </c>
      <c r="I1082" s="80">
        <f>IF(AND($B1082="",$C1082="",$E1082=""),"",IF(NOT(ISNUMBER($B1082)),"Enter a valid date",IF($C1082="","Pick a category",IF(OR($H1082="Unknown category",$H1082=""),"Category has no cost type",IF(NOT(ISNUMBER($E1082)),"Enter an amount","OK")))))</f>
        <v/>
      </c>
    </row>
    <row r="1083" ht="17" customHeight="1">
      <c r="B1083" s="66" t="n"/>
      <c r="C1083" s="60" t="n"/>
      <c r="D1083" s="60" t="n"/>
      <c r="E1083" s="63" t="n"/>
      <c r="F1083" s="60" t="n"/>
      <c r="G1083" s="60" t="n"/>
      <c r="H1083" s="13">
        <f>IF($C1083="","",IFERROR(INDEX('Lists'!$G$6:$G$35,MATCH($C1083,'Lists'!$F$6:$F$35,0))&amp;"","Unknown category"))</f>
        <v/>
      </c>
      <c r="I1083" s="80">
        <f>IF(AND($B1083="",$C1083="",$E1083=""),"",IF(NOT(ISNUMBER($B1083)),"Enter a valid date",IF($C1083="","Pick a category",IF(OR($H1083="Unknown category",$H1083=""),"Category has no cost type",IF(NOT(ISNUMBER($E1083)),"Enter an amount","OK")))))</f>
        <v/>
      </c>
    </row>
    <row r="1084" ht="17" customHeight="1">
      <c r="B1084" s="66" t="n"/>
      <c r="C1084" s="60" t="n"/>
      <c r="D1084" s="60" t="n"/>
      <c r="E1084" s="63" t="n"/>
      <c r="F1084" s="60" t="n"/>
      <c r="G1084" s="60" t="n"/>
      <c r="H1084" s="13">
        <f>IF($C1084="","",IFERROR(INDEX('Lists'!$G$6:$G$35,MATCH($C1084,'Lists'!$F$6:$F$35,0))&amp;"","Unknown category"))</f>
        <v/>
      </c>
      <c r="I1084" s="80">
        <f>IF(AND($B1084="",$C1084="",$E1084=""),"",IF(NOT(ISNUMBER($B1084)),"Enter a valid date",IF($C1084="","Pick a category",IF(OR($H1084="Unknown category",$H1084=""),"Category has no cost type",IF(NOT(ISNUMBER($E1084)),"Enter an amount","OK")))))</f>
        <v/>
      </c>
    </row>
    <row r="1085" ht="17" customHeight="1">
      <c r="B1085" s="66" t="n"/>
      <c r="C1085" s="60" t="n"/>
      <c r="D1085" s="60" t="n"/>
      <c r="E1085" s="63" t="n"/>
      <c r="F1085" s="60" t="n"/>
      <c r="G1085" s="60" t="n"/>
      <c r="H1085" s="13">
        <f>IF($C1085="","",IFERROR(INDEX('Lists'!$G$6:$G$35,MATCH($C1085,'Lists'!$F$6:$F$35,0))&amp;"","Unknown category"))</f>
        <v/>
      </c>
      <c r="I1085" s="80">
        <f>IF(AND($B1085="",$C1085="",$E1085=""),"",IF(NOT(ISNUMBER($B1085)),"Enter a valid date",IF($C1085="","Pick a category",IF(OR($H1085="Unknown category",$H1085=""),"Category has no cost type",IF(NOT(ISNUMBER($E1085)),"Enter an amount","OK")))))</f>
        <v/>
      </c>
    </row>
    <row r="1086" ht="17" customHeight="1">
      <c r="B1086" s="66" t="n"/>
      <c r="C1086" s="60" t="n"/>
      <c r="D1086" s="60" t="n"/>
      <c r="E1086" s="63" t="n"/>
      <c r="F1086" s="60" t="n"/>
      <c r="G1086" s="60" t="n"/>
      <c r="H1086" s="13">
        <f>IF($C1086="","",IFERROR(INDEX('Lists'!$G$6:$G$35,MATCH($C1086,'Lists'!$F$6:$F$35,0))&amp;"","Unknown category"))</f>
        <v/>
      </c>
      <c r="I1086" s="80">
        <f>IF(AND($B1086="",$C1086="",$E1086=""),"",IF(NOT(ISNUMBER($B1086)),"Enter a valid date",IF($C1086="","Pick a category",IF(OR($H1086="Unknown category",$H1086=""),"Category has no cost type",IF(NOT(ISNUMBER($E1086)),"Enter an amount","OK")))))</f>
        <v/>
      </c>
    </row>
    <row r="1087" ht="17" customHeight="1">
      <c r="B1087" s="66" t="n"/>
      <c r="C1087" s="60" t="n"/>
      <c r="D1087" s="60" t="n"/>
      <c r="E1087" s="63" t="n"/>
      <c r="F1087" s="60" t="n"/>
      <c r="G1087" s="60" t="n"/>
      <c r="H1087" s="13">
        <f>IF($C1087="","",IFERROR(INDEX('Lists'!$G$6:$G$35,MATCH($C1087,'Lists'!$F$6:$F$35,0))&amp;"","Unknown category"))</f>
        <v/>
      </c>
      <c r="I1087" s="80">
        <f>IF(AND($B1087="",$C1087="",$E1087=""),"",IF(NOT(ISNUMBER($B1087)),"Enter a valid date",IF($C1087="","Pick a category",IF(OR($H1087="Unknown category",$H1087=""),"Category has no cost type",IF(NOT(ISNUMBER($E1087)),"Enter an amount","OK")))))</f>
        <v/>
      </c>
    </row>
    <row r="1088" ht="17" customHeight="1">
      <c r="B1088" s="66" t="n"/>
      <c r="C1088" s="60" t="n"/>
      <c r="D1088" s="60" t="n"/>
      <c r="E1088" s="63" t="n"/>
      <c r="F1088" s="60" t="n"/>
      <c r="G1088" s="60" t="n"/>
      <c r="H1088" s="13">
        <f>IF($C1088="","",IFERROR(INDEX('Lists'!$G$6:$G$35,MATCH($C1088,'Lists'!$F$6:$F$35,0))&amp;"","Unknown category"))</f>
        <v/>
      </c>
      <c r="I1088" s="80">
        <f>IF(AND($B1088="",$C1088="",$E1088=""),"",IF(NOT(ISNUMBER($B1088)),"Enter a valid date",IF($C1088="","Pick a category",IF(OR($H1088="Unknown category",$H1088=""),"Category has no cost type",IF(NOT(ISNUMBER($E1088)),"Enter an amount","OK")))))</f>
        <v/>
      </c>
    </row>
    <row r="1089" ht="17" customHeight="1">
      <c r="B1089" s="66" t="n"/>
      <c r="C1089" s="60" t="n"/>
      <c r="D1089" s="60" t="n"/>
      <c r="E1089" s="63" t="n"/>
      <c r="F1089" s="60" t="n"/>
      <c r="G1089" s="60" t="n"/>
      <c r="H1089" s="13">
        <f>IF($C1089="","",IFERROR(INDEX('Lists'!$G$6:$G$35,MATCH($C1089,'Lists'!$F$6:$F$35,0))&amp;"","Unknown category"))</f>
        <v/>
      </c>
      <c r="I1089" s="80">
        <f>IF(AND($B1089="",$C1089="",$E1089=""),"",IF(NOT(ISNUMBER($B1089)),"Enter a valid date",IF($C1089="","Pick a category",IF(OR($H1089="Unknown category",$H1089=""),"Category has no cost type",IF(NOT(ISNUMBER($E1089)),"Enter an amount","OK")))))</f>
        <v/>
      </c>
    </row>
    <row r="1090" ht="17" customHeight="1">
      <c r="B1090" s="66" t="n"/>
      <c r="C1090" s="60" t="n"/>
      <c r="D1090" s="60" t="n"/>
      <c r="E1090" s="63" t="n"/>
      <c r="F1090" s="60" t="n"/>
      <c r="G1090" s="60" t="n"/>
      <c r="H1090" s="13">
        <f>IF($C1090="","",IFERROR(INDEX('Lists'!$G$6:$G$35,MATCH($C1090,'Lists'!$F$6:$F$35,0))&amp;"","Unknown category"))</f>
        <v/>
      </c>
      <c r="I1090" s="80">
        <f>IF(AND($B1090="",$C1090="",$E1090=""),"",IF(NOT(ISNUMBER($B1090)),"Enter a valid date",IF($C1090="","Pick a category",IF(OR($H1090="Unknown category",$H1090=""),"Category has no cost type",IF(NOT(ISNUMBER($E1090)),"Enter an amount","OK")))))</f>
        <v/>
      </c>
    </row>
    <row r="1091" ht="17" customHeight="1">
      <c r="B1091" s="66" t="n"/>
      <c r="C1091" s="60" t="n"/>
      <c r="D1091" s="60" t="n"/>
      <c r="E1091" s="63" t="n"/>
      <c r="F1091" s="60" t="n"/>
      <c r="G1091" s="60" t="n"/>
      <c r="H1091" s="13">
        <f>IF($C1091="","",IFERROR(INDEX('Lists'!$G$6:$G$35,MATCH($C1091,'Lists'!$F$6:$F$35,0))&amp;"","Unknown category"))</f>
        <v/>
      </c>
      <c r="I1091" s="80">
        <f>IF(AND($B1091="",$C1091="",$E1091=""),"",IF(NOT(ISNUMBER($B1091)),"Enter a valid date",IF($C1091="","Pick a category",IF(OR($H1091="Unknown category",$H1091=""),"Category has no cost type",IF(NOT(ISNUMBER($E1091)),"Enter an amount","OK")))))</f>
        <v/>
      </c>
    </row>
    <row r="1092" ht="17" customHeight="1">
      <c r="B1092" s="66" t="n"/>
      <c r="C1092" s="60" t="n"/>
      <c r="D1092" s="60" t="n"/>
      <c r="E1092" s="63" t="n"/>
      <c r="F1092" s="60" t="n"/>
      <c r="G1092" s="60" t="n"/>
      <c r="H1092" s="13">
        <f>IF($C1092="","",IFERROR(INDEX('Lists'!$G$6:$G$35,MATCH($C1092,'Lists'!$F$6:$F$35,0))&amp;"","Unknown category"))</f>
        <v/>
      </c>
      <c r="I1092" s="80">
        <f>IF(AND($B1092="",$C1092="",$E1092=""),"",IF(NOT(ISNUMBER($B1092)),"Enter a valid date",IF($C1092="","Pick a category",IF(OR($H1092="Unknown category",$H1092=""),"Category has no cost type",IF(NOT(ISNUMBER($E1092)),"Enter an amount","OK")))))</f>
        <v/>
      </c>
    </row>
    <row r="1093" ht="17" customHeight="1">
      <c r="B1093" s="66" t="n"/>
      <c r="C1093" s="60" t="n"/>
      <c r="D1093" s="60" t="n"/>
      <c r="E1093" s="63" t="n"/>
      <c r="F1093" s="60" t="n"/>
      <c r="G1093" s="60" t="n"/>
      <c r="H1093" s="13">
        <f>IF($C1093="","",IFERROR(INDEX('Lists'!$G$6:$G$35,MATCH($C1093,'Lists'!$F$6:$F$35,0))&amp;"","Unknown category"))</f>
        <v/>
      </c>
      <c r="I1093" s="80">
        <f>IF(AND($B1093="",$C1093="",$E1093=""),"",IF(NOT(ISNUMBER($B1093)),"Enter a valid date",IF($C1093="","Pick a category",IF(OR($H1093="Unknown category",$H1093=""),"Category has no cost type",IF(NOT(ISNUMBER($E1093)),"Enter an amount","OK")))))</f>
        <v/>
      </c>
    </row>
    <row r="1094" ht="17" customHeight="1">
      <c r="B1094" s="66" t="n"/>
      <c r="C1094" s="60" t="n"/>
      <c r="D1094" s="60" t="n"/>
      <c r="E1094" s="63" t="n"/>
      <c r="F1094" s="60" t="n"/>
      <c r="G1094" s="60" t="n"/>
      <c r="H1094" s="13">
        <f>IF($C1094="","",IFERROR(INDEX('Lists'!$G$6:$G$35,MATCH($C1094,'Lists'!$F$6:$F$35,0))&amp;"","Unknown category"))</f>
        <v/>
      </c>
      <c r="I1094" s="80">
        <f>IF(AND($B1094="",$C1094="",$E1094=""),"",IF(NOT(ISNUMBER($B1094)),"Enter a valid date",IF($C1094="","Pick a category",IF(OR($H1094="Unknown category",$H1094=""),"Category has no cost type",IF(NOT(ISNUMBER($E1094)),"Enter an amount","OK")))))</f>
        <v/>
      </c>
    </row>
    <row r="1095" ht="17" customHeight="1">
      <c r="B1095" s="66" t="n"/>
      <c r="C1095" s="60" t="n"/>
      <c r="D1095" s="60" t="n"/>
      <c r="E1095" s="63" t="n"/>
      <c r="F1095" s="60" t="n"/>
      <c r="G1095" s="60" t="n"/>
      <c r="H1095" s="13">
        <f>IF($C1095="","",IFERROR(INDEX('Lists'!$G$6:$G$35,MATCH($C1095,'Lists'!$F$6:$F$35,0))&amp;"","Unknown category"))</f>
        <v/>
      </c>
      <c r="I1095" s="80">
        <f>IF(AND($B1095="",$C1095="",$E1095=""),"",IF(NOT(ISNUMBER($B1095)),"Enter a valid date",IF($C1095="","Pick a category",IF(OR($H1095="Unknown category",$H1095=""),"Category has no cost type",IF(NOT(ISNUMBER($E1095)),"Enter an amount","OK")))))</f>
        <v/>
      </c>
    </row>
    <row r="1096" ht="17" customHeight="1">
      <c r="B1096" s="66" t="n"/>
      <c r="C1096" s="60" t="n"/>
      <c r="D1096" s="60" t="n"/>
      <c r="E1096" s="63" t="n"/>
      <c r="F1096" s="60" t="n"/>
      <c r="G1096" s="60" t="n"/>
      <c r="H1096" s="13">
        <f>IF($C1096="","",IFERROR(INDEX('Lists'!$G$6:$G$35,MATCH($C1096,'Lists'!$F$6:$F$35,0))&amp;"","Unknown category"))</f>
        <v/>
      </c>
      <c r="I1096" s="80">
        <f>IF(AND($B1096="",$C1096="",$E1096=""),"",IF(NOT(ISNUMBER($B1096)),"Enter a valid date",IF($C1096="","Pick a category",IF(OR($H1096="Unknown category",$H1096=""),"Category has no cost type",IF(NOT(ISNUMBER($E1096)),"Enter an amount","OK")))))</f>
        <v/>
      </c>
    </row>
    <row r="1097" ht="17" customHeight="1">
      <c r="B1097" s="66" t="n"/>
      <c r="C1097" s="60" t="n"/>
      <c r="D1097" s="60" t="n"/>
      <c r="E1097" s="63" t="n"/>
      <c r="F1097" s="60" t="n"/>
      <c r="G1097" s="60" t="n"/>
      <c r="H1097" s="13">
        <f>IF($C1097="","",IFERROR(INDEX('Lists'!$G$6:$G$35,MATCH($C1097,'Lists'!$F$6:$F$35,0))&amp;"","Unknown category"))</f>
        <v/>
      </c>
      <c r="I1097" s="80">
        <f>IF(AND($B1097="",$C1097="",$E1097=""),"",IF(NOT(ISNUMBER($B1097)),"Enter a valid date",IF($C1097="","Pick a category",IF(OR($H1097="Unknown category",$H1097=""),"Category has no cost type",IF(NOT(ISNUMBER($E1097)),"Enter an amount","OK")))))</f>
        <v/>
      </c>
    </row>
    <row r="1098" ht="17" customHeight="1">
      <c r="B1098" s="66" t="n"/>
      <c r="C1098" s="60" t="n"/>
      <c r="D1098" s="60" t="n"/>
      <c r="E1098" s="63" t="n"/>
      <c r="F1098" s="60" t="n"/>
      <c r="G1098" s="60" t="n"/>
      <c r="H1098" s="13">
        <f>IF($C1098="","",IFERROR(INDEX('Lists'!$G$6:$G$35,MATCH($C1098,'Lists'!$F$6:$F$35,0))&amp;"","Unknown category"))</f>
        <v/>
      </c>
      <c r="I1098" s="80">
        <f>IF(AND($B1098="",$C1098="",$E1098=""),"",IF(NOT(ISNUMBER($B1098)),"Enter a valid date",IF($C1098="","Pick a category",IF(OR($H1098="Unknown category",$H1098=""),"Category has no cost type",IF(NOT(ISNUMBER($E1098)),"Enter an amount","OK")))))</f>
        <v/>
      </c>
    </row>
    <row r="1099" ht="17" customHeight="1">
      <c r="B1099" s="66" t="n"/>
      <c r="C1099" s="60" t="n"/>
      <c r="D1099" s="60" t="n"/>
      <c r="E1099" s="63" t="n"/>
      <c r="F1099" s="60" t="n"/>
      <c r="G1099" s="60" t="n"/>
      <c r="H1099" s="13">
        <f>IF($C1099="","",IFERROR(INDEX('Lists'!$G$6:$G$35,MATCH($C1099,'Lists'!$F$6:$F$35,0))&amp;"","Unknown category"))</f>
        <v/>
      </c>
      <c r="I1099" s="80">
        <f>IF(AND($B1099="",$C1099="",$E1099=""),"",IF(NOT(ISNUMBER($B1099)),"Enter a valid date",IF($C1099="","Pick a category",IF(OR($H1099="Unknown category",$H1099=""),"Category has no cost type",IF(NOT(ISNUMBER($E1099)),"Enter an amount","OK")))))</f>
        <v/>
      </c>
    </row>
    <row r="1100" ht="17" customHeight="1">
      <c r="B1100" s="66" t="n"/>
      <c r="C1100" s="60" t="n"/>
      <c r="D1100" s="60" t="n"/>
      <c r="E1100" s="63" t="n"/>
      <c r="F1100" s="60" t="n"/>
      <c r="G1100" s="60" t="n"/>
      <c r="H1100" s="13">
        <f>IF($C1100="","",IFERROR(INDEX('Lists'!$G$6:$G$35,MATCH($C1100,'Lists'!$F$6:$F$35,0))&amp;"","Unknown category"))</f>
        <v/>
      </c>
      <c r="I1100" s="80">
        <f>IF(AND($B1100="",$C1100="",$E1100=""),"",IF(NOT(ISNUMBER($B1100)),"Enter a valid date",IF($C1100="","Pick a category",IF(OR($H1100="Unknown category",$H1100=""),"Category has no cost type",IF(NOT(ISNUMBER($E1100)),"Enter an amount","OK")))))</f>
        <v/>
      </c>
    </row>
    <row r="1101" ht="17" customHeight="1">
      <c r="B1101" s="66" t="n"/>
      <c r="C1101" s="60" t="n"/>
      <c r="D1101" s="60" t="n"/>
      <c r="E1101" s="63" t="n"/>
      <c r="F1101" s="60" t="n"/>
      <c r="G1101" s="60" t="n"/>
      <c r="H1101" s="13">
        <f>IF($C1101="","",IFERROR(INDEX('Lists'!$G$6:$G$35,MATCH($C1101,'Lists'!$F$6:$F$35,0))&amp;"","Unknown category"))</f>
        <v/>
      </c>
      <c r="I1101" s="80">
        <f>IF(AND($B1101="",$C1101="",$E1101=""),"",IF(NOT(ISNUMBER($B1101)),"Enter a valid date",IF($C1101="","Pick a category",IF(OR($H1101="Unknown category",$H1101=""),"Category has no cost type",IF(NOT(ISNUMBER($E1101)),"Enter an amount","OK")))))</f>
        <v/>
      </c>
    </row>
    <row r="1102" ht="17" customHeight="1">
      <c r="B1102" s="66" t="n"/>
      <c r="C1102" s="60" t="n"/>
      <c r="D1102" s="60" t="n"/>
      <c r="E1102" s="63" t="n"/>
      <c r="F1102" s="60" t="n"/>
      <c r="G1102" s="60" t="n"/>
      <c r="H1102" s="13">
        <f>IF($C1102="","",IFERROR(INDEX('Lists'!$G$6:$G$35,MATCH($C1102,'Lists'!$F$6:$F$35,0))&amp;"","Unknown category"))</f>
        <v/>
      </c>
      <c r="I1102" s="80">
        <f>IF(AND($B1102="",$C1102="",$E1102=""),"",IF(NOT(ISNUMBER($B1102)),"Enter a valid date",IF($C1102="","Pick a category",IF(OR($H1102="Unknown category",$H1102=""),"Category has no cost type",IF(NOT(ISNUMBER($E1102)),"Enter an amount","OK")))))</f>
        <v/>
      </c>
    </row>
    <row r="1103" ht="17" customHeight="1">
      <c r="B1103" s="66" t="n"/>
      <c r="C1103" s="60" t="n"/>
      <c r="D1103" s="60" t="n"/>
      <c r="E1103" s="63" t="n"/>
      <c r="F1103" s="60" t="n"/>
      <c r="G1103" s="60" t="n"/>
      <c r="H1103" s="13">
        <f>IF($C1103="","",IFERROR(INDEX('Lists'!$G$6:$G$35,MATCH($C1103,'Lists'!$F$6:$F$35,0))&amp;"","Unknown category"))</f>
        <v/>
      </c>
      <c r="I1103" s="80">
        <f>IF(AND($B1103="",$C1103="",$E1103=""),"",IF(NOT(ISNUMBER($B1103)),"Enter a valid date",IF($C1103="","Pick a category",IF(OR($H1103="Unknown category",$H1103=""),"Category has no cost type",IF(NOT(ISNUMBER($E1103)),"Enter an amount","OK")))))</f>
        <v/>
      </c>
    </row>
    <row r="1104" ht="17" customHeight="1">
      <c r="B1104" s="66" t="n"/>
      <c r="C1104" s="60" t="n"/>
      <c r="D1104" s="60" t="n"/>
      <c r="E1104" s="63" t="n"/>
      <c r="F1104" s="60" t="n"/>
      <c r="G1104" s="60" t="n"/>
      <c r="H1104" s="13">
        <f>IF($C1104="","",IFERROR(INDEX('Lists'!$G$6:$G$35,MATCH($C1104,'Lists'!$F$6:$F$35,0))&amp;"","Unknown category"))</f>
        <v/>
      </c>
      <c r="I1104" s="80">
        <f>IF(AND($B1104="",$C1104="",$E1104=""),"",IF(NOT(ISNUMBER($B1104)),"Enter a valid date",IF($C1104="","Pick a category",IF(OR($H1104="Unknown category",$H1104=""),"Category has no cost type",IF(NOT(ISNUMBER($E1104)),"Enter an amount","OK")))))</f>
        <v/>
      </c>
    </row>
    <row r="1105" ht="17" customHeight="1">
      <c r="B1105" s="66" t="n"/>
      <c r="C1105" s="60" t="n"/>
      <c r="D1105" s="60" t="n"/>
      <c r="E1105" s="63" t="n"/>
      <c r="F1105" s="60" t="n"/>
      <c r="G1105" s="60" t="n"/>
      <c r="H1105" s="13">
        <f>IF($C1105="","",IFERROR(INDEX('Lists'!$G$6:$G$35,MATCH($C1105,'Lists'!$F$6:$F$35,0))&amp;"","Unknown category"))</f>
        <v/>
      </c>
      <c r="I1105" s="80">
        <f>IF(AND($B1105="",$C1105="",$E1105=""),"",IF(NOT(ISNUMBER($B1105)),"Enter a valid date",IF($C1105="","Pick a category",IF(OR($H1105="Unknown category",$H1105=""),"Category has no cost type",IF(NOT(ISNUMBER($E1105)),"Enter an amount","OK")))))</f>
        <v/>
      </c>
    </row>
    <row r="1106" ht="17" customHeight="1">
      <c r="B1106" s="66" t="n"/>
      <c r="C1106" s="60" t="n"/>
      <c r="D1106" s="60" t="n"/>
      <c r="E1106" s="63" t="n"/>
      <c r="F1106" s="60" t="n"/>
      <c r="G1106" s="60" t="n"/>
      <c r="H1106" s="13">
        <f>IF($C1106="","",IFERROR(INDEX('Lists'!$G$6:$G$35,MATCH($C1106,'Lists'!$F$6:$F$35,0))&amp;"","Unknown category"))</f>
        <v/>
      </c>
      <c r="I1106" s="80">
        <f>IF(AND($B1106="",$C1106="",$E1106=""),"",IF(NOT(ISNUMBER($B1106)),"Enter a valid date",IF($C1106="","Pick a category",IF(OR($H1106="Unknown category",$H1106=""),"Category has no cost type",IF(NOT(ISNUMBER($E1106)),"Enter an amount","OK")))))</f>
        <v/>
      </c>
    </row>
    <row r="1107" ht="17" customHeight="1">
      <c r="B1107" s="66" t="n"/>
      <c r="C1107" s="60" t="n"/>
      <c r="D1107" s="60" t="n"/>
      <c r="E1107" s="63" t="n"/>
      <c r="F1107" s="60" t="n"/>
      <c r="G1107" s="60" t="n"/>
      <c r="H1107" s="13">
        <f>IF($C1107="","",IFERROR(INDEX('Lists'!$G$6:$G$35,MATCH($C1107,'Lists'!$F$6:$F$35,0))&amp;"","Unknown category"))</f>
        <v/>
      </c>
      <c r="I1107" s="80">
        <f>IF(AND($B1107="",$C1107="",$E1107=""),"",IF(NOT(ISNUMBER($B1107)),"Enter a valid date",IF($C1107="","Pick a category",IF(OR($H1107="Unknown category",$H1107=""),"Category has no cost type",IF(NOT(ISNUMBER($E1107)),"Enter an amount","OK")))))</f>
        <v/>
      </c>
    </row>
    <row r="1108" ht="17" customHeight="1">
      <c r="B1108" s="66" t="n"/>
      <c r="C1108" s="60" t="n"/>
      <c r="D1108" s="60" t="n"/>
      <c r="E1108" s="63" t="n"/>
      <c r="F1108" s="60" t="n"/>
      <c r="G1108" s="60" t="n"/>
      <c r="H1108" s="13">
        <f>IF($C1108="","",IFERROR(INDEX('Lists'!$G$6:$G$35,MATCH($C1108,'Lists'!$F$6:$F$35,0))&amp;"","Unknown category"))</f>
        <v/>
      </c>
      <c r="I1108" s="80">
        <f>IF(AND($B1108="",$C1108="",$E1108=""),"",IF(NOT(ISNUMBER($B1108)),"Enter a valid date",IF($C1108="","Pick a category",IF(OR($H1108="Unknown category",$H1108=""),"Category has no cost type",IF(NOT(ISNUMBER($E1108)),"Enter an amount","OK")))))</f>
        <v/>
      </c>
    </row>
    <row r="1109" ht="17" customHeight="1">
      <c r="B1109" s="66" t="n"/>
      <c r="C1109" s="60" t="n"/>
      <c r="D1109" s="60" t="n"/>
      <c r="E1109" s="63" t="n"/>
      <c r="F1109" s="60" t="n"/>
      <c r="G1109" s="60" t="n"/>
      <c r="H1109" s="13">
        <f>IF($C1109="","",IFERROR(INDEX('Lists'!$G$6:$G$35,MATCH($C1109,'Lists'!$F$6:$F$35,0))&amp;"","Unknown category"))</f>
        <v/>
      </c>
      <c r="I1109" s="80">
        <f>IF(AND($B1109="",$C1109="",$E1109=""),"",IF(NOT(ISNUMBER($B1109)),"Enter a valid date",IF($C1109="","Pick a category",IF(OR($H1109="Unknown category",$H1109=""),"Category has no cost type",IF(NOT(ISNUMBER($E1109)),"Enter an amount","OK")))))</f>
        <v/>
      </c>
    </row>
    <row r="1110" ht="17" customHeight="1">
      <c r="B1110" s="66" t="n"/>
      <c r="C1110" s="60" t="n"/>
      <c r="D1110" s="60" t="n"/>
      <c r="E1110" s="63" t="n"/>
      <c r="F1110" s="60" t="n"/>
      <c r="G1110" s="60" t="n"/>
      <c r="H1110" s="13">
        <f>IF($C1110="","",IFERROR(INDEX('Lists'!$G$6:$G$35,MATCH($C1110,'Lists'!$F$6:$F$35,0))&amp;"","Unknown category"))</f>
        <v/>
      </c>
      <c r="I1110" s="80">
        <f>IF(AND($B1110="",$C1110="",$E1110=""),"",IF(NOT(ISNUMBER($B1110)),"Enter a valid date",IF($C1110="","Pick a category",IF(OR($H1110="Unknown category",$H1110=""),"Category has no cost type",IF(NOT(ISNUMBER($E1110)),"Enter an amount","OK")))))</f>
        <v/>
      </c>
    </row>
    <row r="1111" ht="17" customHeight="1">
      <c r="B1111" s="66" t="n"/>
      <c r="C1111" s="60" t="n"/>
      <c r="D1111" s="60" t="n"/>
      <c r="E1111" s="63" t="n"/>
      <c r="F1111" s="60" t="n"/>
      <c r="G1111" s="60" t="n"/>
      <c r="H1111" s="13">
        <f>IF($C1111="","",IFERROR(INDEX('Lists'!$G$6:$G$35,MATCH($C1111,'Lists'!$F$6:$F$35,0))&amp;"","Unknown category"))</f>
        <v/>
      </c>
      <c r="I1111" s="80">
        <f>IF(AND($B1111="",$C1111="",$E1111=""),"",IF(NOT(ISNUMBER($B1111)),"Enter a valid date",IF($C1111="","Pick a category",IF(OR($H1111="Unknown category",$H1111=""),"Category has no cost type",IF(NOT(ISNUMBER($E1111)),"Enter an amount","OK")))))</f>
        <v/>
      </c>
    </row>
    <row r="1112" ht="17" customHeight="1">
      <c r="B1112" s="66" t="n"/>
      <c r="C1112" s="60" t="n"/>
      <c r="D1112" s="60" t="n"/>
      <c r="E1112" s="63" t="n"/>
      <c r="F1112" s="60" t="n"/>
      <c r="G1112" s="60" t="n"/>
      <c r="H1112" s="13">
        <f>IF($C1112="","",IFERROR(INDEX('Lists'!$G$6:$G$35,MATCH($C1112,'Lists'!$F$6:$F$35,0))&amp;"","Unknown category"))</f>
        <v/>
      </c>
      <c r="I1112" s="80">
        <f>IF(AND($B1112="",$C1112="",$E1112=""),"",IF(NOT(ISNUMBER($B1112)),"Enter a valid date",IF($C1112="","Pick a category",IF(OR($H1112="Unknown category",$H1112=""),"Category has no cost type",IF(NOT(ISNUMBER($E1112)),"Enter an amount","OK")))))</f>
        <v/>
      </c>
    </row>
    <row r="1113" ht="17" customHeight="1">
      <c r="B1113" s="66" t="n"/>
      <c r="C1113" s="60" t="n"/>
      <c r="D1113" s="60" t="n"/>
      <c r="E1113" s="63" t="n"/>
      <c r="F1113" s="60" t="n"/>
      <c r="G1113" s="60" t="n"/>
      <c r="H1113" s="13">
        <f>IF($C1113="","",IFERROR(INDEX('Lists'!$G$6:$G$35,MATCH($C1113,'Lists'!$F$6:$F$35,0))&amp;"","Unknown category"))</f>
        <v/>
      </c>
      <c r="I1113" s="80">
        <f>IF(AND($B1113="",$C1113="",$E1113=""),"",IF(NOT(ISNUMBER($B1113)),"Enter a valid date",IF($C1113="","Pick a category",IF(OR($H1113="Unknown category",$H1113=""),"Category has no cost type",IF(NOT(ISNUMBER($E1113)),"Enter an amount","OK")))))</f>
        <v/>
      </c>
    </row>
    <row r="1114" ht="17" customHeight="1">
      <c r="B1114" s="66" t="n"/>
      <c r="C1114" s="60" t="n"/>
      <c r="D1114" s="60" t="n"/>
      <c r="E1114" s="63" t="n"/>
      <c r="F1114" s="60" t="n"/>
      <c r="G1114" s="60" t="n"/>
      <c r="H1114" s="13">
        <f>IF($C1114="","",IFERROR(INDEX('Lists'!$G$6:$G$35,MATCH($C1114,'Lists'!$F$6:$F$35,0))&amp;"","Unknown category"))</f>
        <v/>
      </c>
      <c r="I1114" s="80">
        <f>IF(AND($B1114="",$C1114="",$E1114=""),"",IF(NOT(ISNUMBER($B1114)),"Enter a valid date",IF($C1114="","Pick a category",IF(OR($H1114="Unknown category",$H1114=""),"Category has no cost type",IF(NOT(ISNUMBER($E1114)),"Enter an amount","OK")))))</f>
        <v/>
      </c>
    </row>
    <row r="1115" ht="17" customHeight="1">
      <c r="B1115" s="66" t="n"/>
      <c r="C1115" s="60" t="n"/>
      <c r="D1115" s="60" t="n"/>
      <c r="E1115" s="63" t="n"/>
      <c r="F1115" s="60" t="n"/>
      <c r="G1115" s="60" t="n"/>
      <c r="H1115" s="13">
        <f>IF($C1115="","",IFERROR(INDEX('Lists'!$G$6:$G$35,MATCH($C1115,'Lists'!$F$6:$F$35,0))&amp;"","Unknown category"))</f>
        <v/>
      </c>
      <c r="I1115" s="80">
        <f>IF(AND($B1115="",$C1115="",$E1115=""),"",IF(NOT(ISNUMBER($B1115)),"Enter a valid date",IF($C1115="","Pick a category",IF(OR($H1115="Unknown category",$H1115=""),"Category has no cost type",IF(NOT(ISNUMBER($E1115)),"Enter an amount","OK")))))</f>
        <v/>
      </c>
    </row>
    <row r="1116" ht="17" customHeight="1">
      <c r="B1116" s="66" t="n"/>
      <c r="C1116" s="60" t="n"/>
      <c r="D1116" s="60" t="n"/>
      <c r="E1116" s="63" t="n"/>
      <c r="F1116" s="60" t="n"/>
      <c r="G1116" s="60" t="n"/>
      <c r="H1116" s="13">
        <f>IF($C1116="","",IFERROR(INDEX('Lists'!$G$6:$G$35,MATCH($C1116,'Lists'!$F$6:$F$35,0))&amp;"","Unknown category"))</f>
        <v/>
      </c>
      <c r="I1116" s="80">
        <f>IF(AND($B1116="",$C1116="",$E1116=""),"",IF(NOT(ISNUMBER($B1116)),"Enter a valid date",IF($C1116="","Pick a category",IF(OR($H1116="Unknown category",$H1116=""),"Category has no cost type",IF(NOT(ISNUMBER($E1116)),"Enter an amount","OK")))))</f>
        <v/>
      </c>
    </row>
    <row r="1117" ht="17" customHeight="1">
      <c r="B1117" s="66" t="n"/>
      <c r="C1117" s="60" t="n"/>
      <c r="D1117" s="60" t="n"/>
      <c r="E1117" s="63" t="n"/>
      <c r="F1117" s="60" t="n"/>
      <c r="G1117" s="60" t="n"/>
      <c r="H1117" s="13">
        <f>IF($C1117="","",IFERROR(INDEX('Lists'!$G$6:$G$35,MATCH($C1117,'Lists'!$F$6:$F$35,0))&amp;"","Unknown category"))</f>
        <v/>
      </c>
      <c r="I1117" s="80">
        <f>IF(AND($B1117="",$C1117="",$E1117=""),"",IF(NOT(ISNUMBER($B1117)),"Enter a valid date",IF($C1117="","Pick a category",IF(OR($H1117="Unknown category",$H1117=""),"Category has no cost type",IF(NOT(ISNUMBER($E1117)),"Enter an amount","OK")))))</f>
        <v/>
      </c>
    </row>
    <row r="1118" ht="17" customHeight="1">
      <c r="B1118" s="66" t="n"/>
      <c r="C1118" s="60" t="n"/>
      <c r="D1118" s="60" t="n"/>
      <c r="E1118" s="63" t="n"/>
      <c r="F1118" s="60" t="n"/>
      <c r="G1118" s="60" t="n"/>
      <c r="H1118" s="13">
        <f>IF($C1118="","",IFERROR(INDEX('Lists'!$G$6:$G$35,MATCH($C1118,'Lists'!$F$6:$F$35,0))&amp;"","Unknown category"))</f>
        <v/>
      </c>
      <c r="I1118" s="80">
        <f>IF(AND($B1118="",$C1118="",$E1118=""),"",IF(NOT(ISNUMBER($B1118)),"Enter a valid date",IF($C1118="","Pick a category",IF(OR($H1118="Unknown category",$H1118=""),"Category has no cost type",IF(NOT(ISNUMBER($E1118)),"Enter an amount","OK")))))</f>
        <v/>
      </c>
    </row>
    <row r="1119" ht="17" customHeight="1">
      <c r="B1119" s="66" t="n"/>
      <c r="C1119" s="60" t="n"/>
      <c r="D1119" s="60" t="n"/>
      <c r="E1119" s="63" t="n"/>
      <c r="F1119" s="60" t="n"/>
      <c r="G1119" s="60" t="n"/>
      <c r="H1119" s="13">
        <f>IF($C1119="","",IFERROR(INDEX('Lists'!$G$6:$G$35,MATCH($C1119,'Lists'!$F$6:$F$35,0))&amp;"","Unknown category"))</f>
        <v/>
      </c>
      <c r="I1119" s="80">
        <f>IF(AND($B1119="",$C1119="",$E1119=""),"",IF(NOT(ISNUMBER($B1119)),"Enter a valid date",IF($C1119="","Pick a category",IF(OR($H1119="Unknown category",$H1119=""),"Category has no cost type",IF(NOT(ISNUMBER($E1119)),"Enter an amount","OK")))))</f>
        <v/>
      </c>
    </row>
    <row r="1120" ht="17" customHeight="1">
      <c r="B1120" s="66" t="n"/>
      <c r="C1120" s="60" t="n"/>
      <c r="D1120" s="60" t="n"/>
      <c r="E1120" s="63" t="n"/>
      <c r="F1120" s="60" t="n"/>
      <c r="G1120" s="60" t="n"/>
      <c r="H1120" s="13">
        <f>IF($C1120="","",IFERROR(INDEX('Lists'!$G$6:$G$35,MATCH($C1120,'Lists'!$F$6:$F$35,0))&amp;"","Unknown category"))</f>
        <v/>
      </c>
      <c r="I1120" s="80">
        <f>IF(AND($B1120="",$C1120="",$E1120=""),"",IF(NOT(ISNUMBER($B1120)),"Enter a valid date",IF($C1120="","Pick a category",IF(OR($H1120="Unknown category",$H1120=""),"Category has no cost type",IF(NOT(ISNUMBER($E1120)),"Enter an amount","OK")))))</f>
        <v/>
      </c>
    </row>
    <row r="1121" ht="17" customHeight="1">
      <c r="B1121" s="66" t="n"/>
      <c r="C1121" s="60" t="n"/>
      <c r="D1121" s="60" t="n"/>
      <c r="E1121" s="63" t="n"/>
      <c r="F1121" s="60" t="n"/>
      <c r="G1121" s="60" t="n"/>
      <c r="H1121" s="13">
        <f>IF($C1121="","",IFERROR(INDEX('Lists'!$G$6:$G$35,MATCH($C1121,'Lists'!$F$6:$F$35,0))&amp;"","Unknown category"))</f>
        <v/>
      </c>
      <c r="I1121" s="80">
        <f>IF(AND($B1121="",$C1121="",$E1121=""),"",IF(NOT(ISNUMBER($B1121)),"Enter a valid date",IF($C1121="","Pick a category",IF(OR($H1121="Unknown category",$H1121=""),"Category has no cost type",IF(NOT(ISNUMBER($E1121)),"Enter an amount","OK")))))</f>
        <v/>
      </c>
    </row>
    <row r="1122" ht="17" customHeight="1">
      <c r="B1122" s="66" t="n"/>
      <c r="C1122" s="60" t="n"/>
      <c r="D1122" s="60" t="n"/>
      <c r="E1122" s="63" t="n"/>
      <c r="F1122" s="60" t="n"/>
      <c r="G1122" s="60" t="n"/>
      <c r="H1122" s="13">
        <f>IF($C1122="","",IFERROR(INDEX('Lists'!$G$6:$G$35,MATCH($C1122,'Lists'!$F$6:$F$35,0))&amp;"","Unknown category"))</f>
        <v/>
      </c>
      <c r="I1122" s="80">
        <f>IF(AND($B1122="",$C1122="",$E1122=""),"",IF(NOT(ISNUMBER($B1122)),"Enter a valid date",IF($C1122="","Pick a category",IF(OR($H1122="Unknown category",$H1122=""),"Category has no cost type",IF(NOT(ISNUMBER($E1122)),"Enter an amount","OK")))))</f>
        <v/>
      </c>
    </row>
    <row r="1123" ht="17" customHeight="1">
      <c r="B1123" s="66" t="n"/>
      <c r="C1123" s="60" t="n"/>
      <c r="D1123" s="60" t="n"/>
      <c r="E1123" s="63" t="n"/>
      <c r="F1123" s="60" t="n"/>
      <c r="G1123" s="60" t="n"/>
      <c r="H1123" s="13">
        <f>IF($C1123="","",IFERROR(INDEX('Lists'!$G$6:$G$35,MATCH($C1123,'Lists'!$F$6:$F$35,0))&amp;"","Unknown category"))</f>
        <v/>
      </c>
      <c r="I1123" s="80">
        <f>IF(AND($B1123="",$C1123="",$E1123=""),"",IF(NOT(ISNUMBER($B1123)),"Enter a valid date",IF($C1123="","Pick a category",IF(OR($H1123="Unknown category",$H1123=""),"Category has no cost type",IF(NOT(ISNUMBER($E1123)),"Enter an amount","OK")))))</f>
        <v/>
      </c>
    </row>
    <row r="1124" ht="17" customHeight="1">
      <c r="B1124" s="66" t="n"/>
      <c r="C1124" s="60" t="n"/>
      <c r="D1124" s="60" t="n"/>
      <c r="E1124" s="63" t="n"/>
      <c r="F1124" s="60" t="n"/>
      <c r="G1124" s="60" t="n"/>
      <c r="H1124" s="13">
        <f>IF($C1124="","",IFERROR(INDEX('Lists'!$G$6:$G$35,MATCH($C1124,'Lists'!$F$6:$F$35,0))&amp;"","Unknown category"))</f>
        <v/>
      </c>
      <c r="I1124" s="80">
        <f>IF(AND($B1124="",$C1124="",$E1124=""),"",IF(NOT(ISNUMBER($B1124)),"Enter a valid date",IF($C1124="","Pick a category",IF(OR($H1124="Unknown category",$H1124=""),"Category has no cost type",IF(NOT(ISNUMBER($E1124)),"Enter an amount","OK")))))</f>
        <v/>
      </c>
    </row>
    <row r="1125" ht="17" customHeight="1">
      <c r="B1125" s="66" t="n"/>
      <c r="C1125" s="60" t="n"/>
      <c r="D1125" s="60" t="n"/>
      <c r="E1125" s="63" t="n"/>
      <c r="F1125" s="60" t="n"/>
      <c r="G1125" s="60" t="n"/>
      <c r="H1125" s="13">
        <f>IF($C1125="","",IFERROR(INDEX('Lists'!$G$6:$G$35,MATCH($C1125,'Lists'!$F$6:$F$35,0))&amp;"","Unknown category"))</f>
        <v/>
      </c>
      <c r="I1125" s="80">
        <f>IF(AND($B1125="",$C1125="",$E1125=""),"",IF(NOT(ISNUMBER($B1125)),"Enter a valid date",IF($C1125="","Pick a category",IF(OR($H1125="Unknown category",$H1125=""),"Category has no cost type",IF(NOT(ISNUMBER($E1125)),"Enter an amount","OK")))))</f>
        <v/>
      </c>
    </row>
    <row r="1126" ht="17" customHeight="1">
      <c r="B1126" s="66" t="n"/>
      <c r="C1126" s="60" t="n"/>
      <c r="D1126" s="60" t="n"/>
      <c r="E1126" s="63" t="n"/>
      <c r="F1126" s="60" t="n"/>
      <c r="G1126" s="60" t="n"/>
      <c r="H1126" s="13">
        <f>IF($C1126="","",IFERROR(INDEX('Lists'!$G$6:$G$35,MATCH($C1126,'Lists'!$F$6:$F$35,0))&amp;"","Unknown category"))</f>
        <v/>
      </c>
      <c r="I1126" s="80">
        <f>IF(AND($B1126="",$C1126="",$E1126=""),"",IF(NOT(ISNUMBER($B1126)),"Enter a valid date",IF($C1126="","Pick a category",IF(OR($H1126="Unknown category",$H1126=""),"Category has no cost type",IF(NOT(ISNUMBER($E1126)),"Enter an amount","OK")))))</f>
        <v/>
      </c>
    </row>
    <row r="1127" ht="17" customHeight="1">
      <c r="B1127" s="66" t="n"/>
      <c r="C1127" s="60" t="n"/>
      <c r="D1127" s="60" t="n"/>
      <c r="E1127" s="63" t="n"/>
      <c r="F1127" s="60" t="n"/>
      <c r="G1127" s="60" t="n"/>
      <c r="H1127" s="13">
        <f>IF($C1127="","",IFERROR(INDEX('Lists'!$G$6:$G$35,MATCH($C1127,'Lists'!$F$6:$F$35,0))&amp;"","Unknown category"))</f>
        <v/>
      </c>
      <c r="I1127" s="80">
        <f>IF(AND($B1127="",$C1127="",$E1127=""),"",IF(NOT(ISNUMBER($B1127)),"Enter a valid date",IF($C1127="","Pick a category",IF(OR($H1127="Unknown category",$H1127=""),"Category has no cost type",IF(NOT(ISNUMBER($E1127)),"Enter an amount","OK")))))</f>
        <v/>
      </c>
    </row>
    <row r="1128" ht="17" customHeight="1">
      <c r="B1128" s="66" t="n"/>
      <c r="C1128" s="60" t="n"/>
      <c r="D1128" s="60" t="n"/>
      <c r="E1128" s="63" t="n"/>
      <c r="F1128" s="60" t="n"/>
      <c r="G1128" s="60" t="n"/>
      <c r="H1128" s="13">
        <f>IF($C1128="","",IFERROR(INDEX('Lists'!$G$6:$G$35,MATCH($C1128,'Lists'!$F$6:$F$35,0))&amp;"","Unknown category"))</f>
        <v/>
      </c>
      <c r="I1128" s="80">
        <f>IF(AND($B1128="",$C1128="",$E1128=""),"",IF(NOT(ISNUMBER($B1128)),"Enter a valid date",IF($C1128="","Pick a category",IF(OR($H1128="Unknown category",$H1128=""),"Category has no cost type",IF(NOT(ISNUMBER($E1128)),"Enter an amount","OK")))))</f>
        <v/>
      </c>
    </row>
    <row r="1129" ht="17" customHeight="1">
      <c r="B1129" s="66" t="n"/>
      <c r="C1129" s="60" t="n"/>
      <c r="D1129" s="60" t="n"/>
      <c r="E1129" s="63" t="n"/>
      <c r="F1129" s="60" t="n"/>
      <c r="G1129" s="60" t="n"/>
      <c r="H1129" s="13">
        <f>IF($C1129="","",IFERROR(INDEX('Lists'!$G$6:$G$35,MATCH($C1129,'Lists'!$F$6:$F$35,0))&amp;"","Unknown category"))</f>
        <v/>
      </c>
      <c r="I1129" s="80">
        <f>IF(AND($B1129="",$C1129="",$E1129=""),"",IF(NOT(ISNUMBER($B1129)),"Enter a valid date",IF($C1129="","Pick a category",IF(OR($H1129="Unknown category",$H1129=""),"Category has no cost type",IF(NOT(ISNUMBER($E1129)),"Enter an amount","OK")))))</f>
        <v/>
      </c>
    </row>
    <row r="1130" ht="17" customHeight="1">
      <c r="B1130" s="66" t="n"/>
      <c r="C1130" s="60" t="n"/>
      <c r="D1130" s="60" t="n"/>
      <c r="E1130" s="63" t="n"/>
      <c r="F1130" s="60" t="n"/>
      <c r="G1130" s="60" t="n"/>
      <c r="H1130" s="13">
        <f>IF($C1130="","",IFERROR(INDEX('Lists'!$G$6:$G$35,MATCH($C1130,'Lists'!$F$6:$F$35,0))&amp;"","Unknown category"))</f>
        <v/>
      </c>
      <c r="I1130" s="80">
        <f>IF(AND($B1130="",$C1130="",$E1130=""),"",IF(NOT(ISNUMBER($B1130)),"Enter a valid date",IF($C1130="","Pick a category",IF(OR($H1130="Unknown category",$H1130=""),"Category has no cost type",IF(NOT(ISNUMBER($E1130)),"Enter an amount","OK")))))</f>
        <v/>
      </c>
    </row>
    <row r="1131" ht="17" customHeight="1">
      <c r="B1131" s="66" t="n"/>
      <c r="C1131" s="60" t="n"/>
      <c r="D1131" s="60" t="n"/>
      <c r="E1131" s="63" t="n"/>
      <c r="F1131" s="60" t="n"/>
      <c r="G1131" s="60" t="n"/>
      <c r="H1131" s="13">
        <f>IF($C1131="","",IFERROR(INDEX('Lists'!$G$6:$G$35,MATCH($C1131,'Lists'!$F$6:$F$35,0))&amp;"","Unknown category"))</f>
        <v/>
      </c>
      <c r="I1131" s="80">
        <f>IF(AND($B1131="",$C1131="",$E1131=""),"",IF(NOT(ISNUMBER($B1131)),"Enter a valid date",IF($C1131="","Pick a category",IF(OR($H1131="Unknown category",$H1131=""),"Category has no cost type",IF(NOT(ISNUMBER($E1131)),"Enter an amount","OK")))))</f>
        <v/>
      </c>
    </row>
    <row r="1132" ht="17" customHeight="1">
      <c r="B1132" s="66" t="n"/>
      <c r="C1132" s="60" t="n"/>
      <c r="D1132" s="60" t="n"/>
      <c r="E1132" s="63" t="n"/>
      <c r="F1132" s="60" t="n"/>
      <c r="G1132" s="60" t="n"/>
      <c r="H1132" s="13">
        <f>IF($C1132="","",IFERROR(INDEX('Lists'!$G$6:$G$35,MATCH($C1132,'Lists'!$F$6:$F$35,0))&amp;"","Unknown category"))</f>
        <v/>
      </c>
      <c r="I1132" s="80">
        <f>IF(AND($B1132="",$C1132="",$E1132=""),"",IF(NOT(ISNUMBER($B1132)),"Enter a valid date",IF($C1132="","Pick a category",IF(OR($H1132="Unknown category",$H1132=""),"Category has no cost type",IF(NOT(ISNUMBER($E1132)),"Enter an amount","OK")))))</f>
        <v/>
      </c>
    </row>
    <row r="1133" ht="17" customHeight="1">
      <c r="B1133" s="66" t="n"/>
      <c r="C1133" s="60" t="n"/>
      <c r="D1133" s="60" t="n"/>
      <c r="E1133" s="63" t="n"/>
      <c r="F1133" s="60" t="n"/>
      <c r="G1133" s="60" t="n"/>
      <c r="H1133" s="13">
        <f>IF($C1133="","",IFERROR(INDEX('Lists'!$G$6:$G$35,MATCH($C1133,'Lists'!$F$6:$F$35,0))&amp;"","Unknown category"))</f>
        <v/>
      </c>
      <c r="I1133" s="80">
        <f>IF(AND($B1133="",$C1133="",$E1133=""),"",IF(NOT(ISNUMBER($B1133)),"Enter a valid date",IF($C1133="","Pick a category",IF(OR($H1133="Unknown category",$H1133=""),"Category has no cost type",IF(NOT(ISNUMBER($E1133)),"Enter an amount","OK")))))</f>
        <v/>
      </c>
    </row>
    <row r="1134" ht="17" customHeight="1">
      <c r="B1134" s="66" t="n"/>
      <c r="C1134" s="60" t="n"/>
      <c r="D1134" s="60" t="n"/>
      <c r="E1134" s="63" t="n"/>
      <c r="F1134" s="60" t="n"/>
      <c r="G1134" s="60" t="n"/>
      <c r="H1134" s="13">
        <f>IF($C1134="","",IFERROR(INDEX('Lists'!$G$6:$G$35,MATCH($C1134,'Lists'!$F$6:$F$35,0))&amp;"","Unknown category"))</f>
        <v/>
      </c>
      <c r="I1134" s="80">
        <f>IF(AND($B1134="",$C1134="",$E1134=""),"",IF(NOT(ISNUMBER($B1134)),"Enter a valid date",IF($C1134="","Pick a category",IF(OR($H1134="Unknown category",$H1134=""),"Category has no cost type",IF(NOT(ISNUMBER($E1134)),"Enter an amount","OK")))))</f>
        <v/>
      </c>
    </row>
    <row r="1135" ht="17" customHeight="1">
      <c r="B1135" s="66" t="n"/>
      <c r="C1135" s="60" t="n"/>
      <c r="D1135" s="60" t="n"/>
      <c r="E1135" s="63" t="n"/>
      <c r="F1135" s="60" t="n"/>
      <c r="G1135" s="60" t="n"/>
      <c r="H1135" s="13">
        <f>IF($C1135="","",IFERROR(INDEX('Lists'!$G$6:$G$35,MATCH($C1135,'Lists'!$F$6:$F$35,0))&amp;"","Unknown category"))</f>
        <v/>
      </c>
      <c r="I1135" s="80">
        <f>IF(AND($B1135="",$C1135="",$E1135=""),"",IF(NOT(ISNUMBER($B1135)),"Enter a valid date",IF($C1135="","Pick a category",IF(OR($H1135="Unknown category",$H1135=""),"Category has no cost type",IF(NOT(ISNUMBER($E1135)),"Enter an amount","OK")))))</f>
        <v/>
      </c>
    </row>
    <row r="1136" ht="17" customHeight="1">
      <c r="B1136" s="66" t="n"/>
      <c r="C1136" s="60" t="n"/>
      <c r="D1136" s="60" t="n"/>
      <c r="E1136" s="63" t="n"/>
      <c r="F1136" s="60" t="n"/>
      <c r="G1136" s="60" t="n"/>
      <c r="H1136" s="13">
        <f>IF($C1136="","",IFERROR(INDEX('Lists'!$G$6:$G$35,MATCH($C1136,'Lists'!$F$6:$F$35,0))&amp;"","Unknown category"))</f>
        <v/>
      </c>
      <c r="I1136" s="80">
        <f>IF(AND($B1136="",$C1136="",$E1136=""),"",IF(NOT(ISNUMBER($B1136)),"Enter a valid date",IF($C1136="","Pick a category",IF(OR($H1136="Unknown category",$H1136=""),"Category has no cost type",IF(NOT(ISNUMBER($E1136)),"Enter an amount","OK")))))</f>
        <v/>
      </c>
    </row>
    <row r="1137" ht="17" customHeight="1">
      <c r="B1137" s="66" t="n"/>
      <c r="C1137" s="60" t="n"/>
      <c r="D1137" s="60" t="n"/>
      <c r="E1137" s="63" t="n"/>
      <c r="F1137" s="60" t="n"/>
      <c r="G1137" s="60" t="n"/>
      <c r="H1137" s="13">
        <f>IF($C1137="","",IFERROR(INDEX('Lists'!$G$6:$G$35,MATCH($C1137,'Lists'!$F$6:$F$35,0))&amp;"","Unknown category"))</f>
        <v/>
      </c>
      <c r="I1137" s="80">
        <f>IF(AND($B1137="",$C1137="",$E1137=""),"",IF(NOT(ISNUMBER($B1137)),"Enter a valid date",IF($C1137="","Pick a category",IF(OR($H1137="Unknown category",$H1137=""),"Category has no cost type",IF(NOT(ISNUMBER($E1137)),"Enter an amount","OK")))))</f>
        <v/>
      </c>
    </row>
    <row r="1138" ht="17" customHeight="1">
      <c r="B1138" s="66" t="n"/>
      <c r="C1138" s="60" t="n"/>
      <c r="D1138" s="60" t="n"/>
      <c r="E1138" s="63" t="n"/>
      <c r="F1138" s="60" t="n"/>
      <c r="G1138" s="60" t="n"/>
      <c r="H1138" s="13">
        <f>IF($C1138="","",IFERROR(INDEX('Lists'!$G$6:$G$35,MATCH($C1138,'Lists'!$F$6:$F$35,0))&amp;"","Unknown category"))</f>
        <v/>
      </c>
      <c r="I1138" s="80">
        <f>IF(AND($B1138="",$C1138="",$E1138=""),"",IF(NOT(ISNUMBER($B1138)),"Enter a valid date",IF($C1138="","Pick a category",IF(OR($H1138="Unknown category",$H1138=""),"Category has no cost type",IF(NOT(ISNUMBER($E1138)),"Enter an amount","OK")))))</f>
        <v/>
      </c>
    </row>
    <row r="1139" ht="17" customHeight="1">
      <c r="B1139" s="66" t="n"/>
      <c r="C1139" s="60" t="n"/>
      <c r="D1139" s="60" t="n"/>
      <c r="E1139" s="63" t="n"/>
      <c r="F1139" s="60" t="n"/>
      <c r="G1139" s="60" t="n"/>
      <c r="H1139" s="13">
        <f>IF($C1139="","",IFERROR(INDEX('Lists'!$G$6:$G$35,MATCH($C1139,'Lists'!$F$6:$F$35,0))&amp;"","Unknown category"))</f>
        <v/>
      </c>
      <c r="I1139" s="80">
        <f>IF(AND($B1139="",$C1139="",$E1139=""),"",IF(NOT(ISNUMBER($B1139)),"Enter a valid date",IF($C1139="","Pick a category",IF(OR($H1139="Unknown category",$H1139=""),"Category has no cost type",IF(NOT(ISNUMBER($E1139)),"Enter an amount","OK")))))</f>
        <v/>
      </c>
    </row>
    <row r="1140" ht="17" customHeight="1">
      <c r="B1140" s="66" t="n"/>
      <c r="C1140" s="60" t="n"/>
      <c r="D1140" s="60" t="n"/>
      <c r="E1140" s="63" t="n"/>
      <c r="F1140" s="60" t="n"/>
      <c r="G1140" s="60" t="n"/>
      <c r="H1140" s="13">
        <f>IF($C1140="","",IFERROR(INDEX('Lists'!$G$6:$G$35,MATCH($C1140,'Lists'!$F$6:$F$35,0))&amp;"","Unknown category"))</f>
        <v/>
      </c>
      <c r="I1140" s="80">
        <f>IF(AND($B1140="",$C1140="",$E1140=""),"",IF(NOT(ISNUMBER($B1140)),"Enter a valid date",IF($C1140="","Pick a category",IF(OR($H1140="Unknown category",$H1140=""),"Category has no cost type",IF(NOT(ISNUMBER($E1140)),"Enter an amount","OK")))))</f>
        <v/>
      </c>
    </row>
    <row r="1141" ht="17" customHeight="1">
      <c r="B1141" s="66" t="n"/>
      <c r="C1141" s="60" t="n"/>
      <c r="D1141" s="60" t="n"/>
      <c r="E1141" s="63" t="n"/>
      <c r="F1141" s="60" t="n"/>
      <c r="G1141" s="60" t="n"/>
      <c r="H1141" s="13">
        <f>IF($C1141="","",IFERROR(INDEX('Lists'!$G$6:$G$35,MATCH($C1141,'Lists'!$F$6:$F$35,0))&amp;"","Unknown category"))</f>
        <v/>
      </c>
      <c r="I1141" s="80">
        <f>IF(AND($B1141="",$C1141="",$E1141=""),"",IF(NOT(ISNUMBER($B1141)),"Enter a valid date",IF($C1141="","Pick a category",IF(OR($H1141="Unknown category",$H1141=""),"Category has no cost type",IF(NOT(ISNUMBER($E1141)),"Enter an amount","OK")))))</f>
        <v/>
      </c>
    </row>
    <row r="1142" ht="17" customHeight="1">
      <c r="B1142" s="66" t="n"/>
      <c r="C1142" s="60" t="n"/>
      <c r="D1142" s="60" t="n"/>
      <c r="E1142" s="63" t="n"/>
      <c r="F1142" s="60" t="n"/>
      <c r="G1142" s="60" t="n"/>
      <c r="H1142" s="13">
        <f>IF($C1142="","",IFERROR(INDEX('Lists'!$G$6:$G$35,MATCH($C1142,'Lists'!$F$6:$F$35,0))&amp;"","Unknown category"))</f>
        <v/>
      </c>
      <c r="I1142" s="80">
        <f>IF(AND($B1142="",$C1142="",$E1142=""),"",IF(NOT(ISNUMBER($B1142)),"Enter a valid date",IF($C1142="","Pick a category",IF(OR($H1142="Unknown category",$H1142=""),"Category has no cost type",IF(NOT(ISNUMBER($E1142)),"Enter an amount","OK")))))</f>
        <v/>
      </c>
    </row>
    <row r="1143" ht="17" customHeight="1">
      <c r="B1143" s="66" t="n"/>
      <c r="C1143" s="60" t="n"/>
      <c r="D1143" s="60" t="n"/>
      <c r="E1143" s="63" t="n"/>
      <c r="F1143" s="60" t="n"/>
      <c r="G1143" s="60" t="n"/>
      <c r="H1143" s="13">
        <f>IF($C1143="","",IFERROR(INDEX('Lists'!$G$6:$G$35,MATCH($C1143,'Lists'!$F$6:$F$35,0))&amp;"","Unknown category"))</f>
        <v/>
      </c>
      <c r="I1143" s="80">
        <f>IF(AND($B1143="",$C1143="",$E1143=""),"",IF(NOT(ISNUMBER($B1143)),"Enter a valid date",IF($C1143="","Pick a category",IF(OR($H1143="Unknown category",$H1143=""),"Category has no cost type",IF(NOT(ISNUMBER($E1143)),"Enter an amount","OK")))))</f>
        <v/>
      </c>
    </row>
    <row r="1144" ht="17" customHeight="1">
      <c r="B1144" s="66" t="n"/>
      <c r="C1144" s="60" t="n"/>
      <c r="D1144" s="60" t="n"/>
      <c r="E1144" s="63" t="n"/>
      <c r="F1144" s="60" t="n"/>
      <c r="G1144" s="60" t="n"/>
      <c r="H1144" s="13">
        <f>IF($C1144="","",IFERROR(INDEX('Lists'!$G$6:$G$35,MATCH($C1144,'Lists'!$F$6:$F$35,0))&amp;"","Unknown category"))</f>
        <v/>
      </c>
      <c r="I1144" s="80">
        <f>IF(AND($B1144="",$C1144="",$E1144=""),"",IF(NOT(ISNUMBER($B1144)),"Enter a valid date",IF($C1144="","Pick a category",IF(OR($H1144="Unknown category",$H1144=""),"Category has no cost type",IF(NOT(ISNUMBER($E1144)),"Enter an amount","OK")))))</f>
        <v/>
      </c>
    </row>
    <row r="1145" ht="17" customHeight="1">
      <c r="B1145" s="66" t="n"/>
      <c r="C1145" s="60" t="n"/>
      <c r="D1145" s="60" t="n"/>
      <c r="E1145" s="63" t="n"/>
      <c r="F1145" s="60" t="n"/>
      <c r="G1145" s="60" t="n"/>
      <c r="H1145" s="13">
        <f>IF($C1145="","",IFERROR(INDEX('Lists'!$G$6:$G$35,MATCH($C1145,'Lists'!$F$6:$F$35,0))&amp;"","Unknown category"))</f>
        <v/>
      </c>
      <c r="I1145" s="80">
        <f>IF(AND($B1145="",$C1145="",$E1145=""),"",IF(NOT(ISNUMBER($B1145)),"Enter a valid date",IF($C1145="","Pick a category",IF(OR($H1145="Unknown category",$H1145=""),"Category has no cost type",IF(NOT(ISNUMBER($E1145)),"Enter an amount","OK")))))</f>
        <v/>
      </c>
    </row>
    <row r="1146" ht="17" customHeight="1">
      <c r="B1146" s="66" t="n"/>
      <c r="C1146" s="60" t="n"/>
      <c r="D1146" s="60" t="n"/>
      <c r="E1146" s="63" t="n"/>
      <c r="F1146" s="60" t="n"/>
      <c r="G1146" s="60" t="n"/>
      <c r="H1146" s="13">
        <f>IF($C1146="","",IFERROR(INDEX('Lists'!$G$6:$G$35,MATCH($C1146,'Lists'!$F$6:$F$35,0))&amp;"","Unknown category"))</f>
        <v/>
      </c>
      <c r="I1146" s="80">
        <f>IF(AND($B1146="",$C1146="",$E1146=""),"",IF(NOT(ISNUMBER($B1146)),"Enter a valid date",IF($C1146="","Pick a category",IF(OR($H1146="Unknown category",$H1146=""),"Category has no cost type",IF(NOT(ISNUMBER($E1146)),"Enter an amount","OK")))))</f>
        <v/>
      </c>
    </row>
    <row r="1147" ht="17" customHeight="1">
      <c r="B1147" s="66" t="n"/>
      <c r="C1147" s="60" t="n"/>
      <c r="D1147" s="60" t="n"/>
      <c r="E1147" s="63" t="n"/>
      <c r="F1147" s="60" t="n"/>
      <c r="G1147" s="60" t="n"/>
      <c r="H1147" s="13">
        <f>IF($C1147="","",IFERROR(INDEX('Lists'!$G$6:$G$35,MATCH($C1147,'Lists'!$F$6:$F$35,0))&amp;"","Unknown category"))</f>
        <v/>
      </c>
      <c r="I1147" s="80">
        <f>IF(AND($B1147="",$C1147="",$E1147=""),"",IF(NOT(ISNUMBER($B1147)),"Enter a valid date",IF($C1147="","Pick a category",IF(OR($H1147="Unknown category",$H1147=""),"Category has no cost type",IF(NOT(ISNUMBER($E1147)),"Enter an amount","OK")))))</f>
        <v/>
      </c>
    </row>
    <row r="1148" ht="17" customHeight="1">
      <c r="B1148" s="66" t="n"/>
      <c r="C1148" s="60" t="n"/>
      <c r="D1148" s="60" t="n"/>
      <c r="E1148" s="63" t="n"/>
      <c r="F1148" s="60" t="n"/>
      <c r="G1148" s="60" t="n"/>
      <c r="H1148" s="13">
        <f>IF($C1148="","",IFERROR(INDEX('Lists'!$G$6:$G$35,MATCH($C1148,'Lists'!$F$6:$F$35,0))&amp;"","Unknown category"))</f>
        <v/>
      </c>
      <c r="I1148" s="80">
        <f>IF(AND($B1148="",$C1148="",$E1148=""),"",IF(NOT(ISNUMBER($B1148)),"Enter a valid date",IF($C1148="","Pick a category",IF(OR($H1148="Unknown category",$H1148=""),"Category has no cost type",IF(NOT(ISNUMBER($E1148)),"Enter an amount","OK")))))</f>
        <v/>
      </c>
    </row>
    <row r="1149" ht="17" customHeight="1">
      <c r="B1149" s="66" t="n"/>
      <c r="C1149" s="60" t="n"/>
      <c r="D1149" s="60" t="n"/>
      <c r="E1149" s="63" t="n"/>
      <c r="F1149" s="60" t="n"/>
      <c r="G1149" s="60" t="n"/>
      <c r="H1149" s="13">
        <f>IF($C1149="","",IFERROR(INDEX('Lists'!$G$6:$G$35,MATCH($C1149,'Lists'!$F$6:$F$35,0))&amp;"","Unknown category"))</f>
        <v/>
      </c>
      <c r="I1149" s="80">
        <f>IF(AND($B1149="",$C1149="",$E1149=""),"",IF(NOT(ISNUMBER($B1149)),"Enter a valid date",IF($C1149="","Pick a category",IF(OR($H1149="Unknown category",$H1149=""),"Category has no cost type",IF(NOT(ISNUMBER($E1149)),"Enter an amount","OK")))))</f>
        <v/>
      </c>
    </row>
    <row r="1150" ht="17" customHeight="1">
      <c r="B1150" s="66" t="n"/>
      <c r="C1150" s="60" t="n"/>
      <c r="D1150" s="60" t="n"/>
      <c r="E1150" s="63" t="n"/>
      <c r="F1150" s="60" t="n"/>
      <c r="G1150" s="60" t="n"/>
      <c r="H1150" s="13">
        <f>IF($C1150="","",IFERROR(INDEX('Lists'!$G$6:$G$35,MATCH($C1150,'Lists'!$F$6:$F$35,0))&amp;"","Unknown category"))</f>
        <v/>
      </c>
      <c r="I1150" s="80">
        <f>IF(AND($B1150="",$C1150="",$E1150=""),"",IF(NOT(ISNUMBER($B1150)),"Enter a valid date",IF($C1150="","Pick a category",IF(OR($H1150="Unknown category",$H1150=""),"Category has no cost type",IF(NOT(ISNUMBER($E1150)),"Enter an amount","OK")))))</f>
        <v/>
      </c>
    </row>
    <row r="1151" ht="17" customHeight="1">
      <c r="B1151" s="66" t="n"/>
      <c r="C1151" s="60" t="n"/>
      <c r="D1151" s="60" t="n"/>
      <c r="E1151" s="63" t="n"/>
      <c r="F1151" s="60" t="n"/>
      <c r="G1151" s="60" t="n"/>
      <c r="H1151" s="13">
        <f>IF($C1151="","",IFERROR(INDEX('Lists'!$G$6:$G$35,MATCH($C1151,'Lists'!$F$6:$F$35,0))&amp;"","Unknown category"))</f>
        <v/>
      </c>
      <c r="I1151" s="80">
        <f>IF(AND($B1151="",$C1151="",$E1151=""),"",IF(NOT(ISNUMBER($B1151)),"Enter a valid date",IF($C1151="","Pick a category",IF(OR($H1151="Unknown category",$H1151=""),"Category has no cost type",IF(NOT(ISNUMBER($E1151)),"Enter an amount","OK")))))</f>
        <v/>
      </c>
    </row>
    <row r="1152" ht="17" customHeight="1">
      <c r="B1152" s="66" t="n"/>
      <c r="C1152" s="60" t="n"/>
      <c r="D1152" s="60" t="n"/>
      <c r="E1152" s="63" t="n"/>
      <c r="F1152" s="60" t="n"/>
      <c r="G1152" s="60" t="n"/>
      <c r="H1152" s="13">
        <f>IF($C1152="","",IFERROR(INDEX('Lists'!$G$6:$G$35,MATCH($C1152,'Lists'!$F$6:$F$35,0))&amp;"","Unknown category"))</f>
        <v/>
      </c>
      <c r="I1152" s="80">
        <f>IF(AND($B1152="",$C1152="",$E1152=""),"",IF(NOT(ISNUMBER($B1152)),"Enter a valid date",IF($C1152="","Pick a category",IF(OR($H1152="Unknown category",$H1152=""),"Category has no cost type",IF(NOT(ISNUMBER($E1152)),"Enter an amount","OK")))))</f>
        <v/>
      </c>
    </row>
    <row r="1153" ht="17" customHeight="1">
      <c r="B1153" s="66" t="n"/>
      <c r="C1153" s="60" t="n"/>
      <c r="D1153" s="60" t="n"/>
      <c r="E1153" s="63" t="n"/>
      <c r="F1153" s="60" t="n"/>
      <c r="G1153" s="60" t="n"/>
      <c r="H1153" s="13">
        <f>IF($C1153="","",IFERROR(INDEX('Lists'!$G$6:$G$35,MATCH($C1153,'Lists'!$F$6:$F$35,0))&amp;"","Unknown category"))</f>
        <v/>
      </c>
      <c r="I1153" s="80">
        <f>IF(AND($B1153="",$C1153="",$E1153=""),"",IF(NOT(ISNUMBER($B1153)),"Enter a valid date",IF($C1153="","Pick a category",IF(OR($H1153="Unknown category",$H1153=""),"Category has no cost type",IF(NOT(ISNUMBER($E1153)),"Enter an amount","OK")))))</f>
        <v/>
      </c>
    </row>
    <row r="1154" ht="17" customHeight="1">
      <c r="B1154" s="66" t="n"/>
      <c r="C1154" s="60" t="n"/>
      <c r="D1154" s="60" t="n"/>
      <c r="E1154" s="63" t="n"/>
      <c r="F1154" s="60" t="n"/>
      <c r="G1154" s="60" t="n"/>
      <c r="H1154" s="13">
        <f>IF($C1154="","",IFERROR(INDEX('Lists'!$G$6:$G$35,MATCH($C1154,'Lists'!$F$6:$F$35,0))&amp;"","Unknown category"))</f>
        <v/>
      </c>
      <c r="I1154" s="80">
        <f>IF(AND($B1154="",$C1154="",$E1154=""),"",IF(NOT(ISNUMBER($B1154)),"Enter a valid date",IF($C1154="","Pick a category",IF(OR($H1154="Unknown category",$H1154=""),"Category has no cost type",IF(NOT(ISNUMBER($E1154)),"Enter an amount","OK")))))</f>
        <v/>
      </c>
    </row>
    <row r="1155" ht="17" customHeight="1">
      <c r="B1155" s="66" t="n"/>
      <c r="C1155" s="60" t="n"/>
      <c r="D1155" s="60" t="n"/>
      <c r="E1155" s="63" t="n"/>
      <c r="F1155" s="60" t="n"/>
      <c r="G1155" s="60" t="n"/>
      <c r="H1155" s="13">
        <f>IF($C1155="","",IFERROR(INDEX('Lists'!$G$6:$G$35,MATCH($C1155,'Lists'!$F$6:$F$35,0))&amp;"","Unknown category"))</f>
        <v/>
      </c>
      <c r="I1155" s="80">
        <f>IF(AND($B1155="",$C1155="",$E1155=""),"",IF(NOT(ISNUMBER($B1155)),"Enter a valid date",IF($C1155="","Pick a category",IF(OR($H1155="Unknown category",$H1155=""),"Category has no cost type",IF(NOT(ISNUMBER($E1155)),"Enter an amount","OK")))))</f>
        <v/>
      </c>
    </row>
    <row r="1156" ht="17" customHeight="1">
      <c r="B1156" s="66" t="n"/>
      <c r="C1156" s="60" t="n"/>
      <c r="D1156" s="60" t="n"/>
      <c r="E1156" s="63" t="n"/>
      <c r="F1156" s="60" t="n"/>
      <c r="G1156" s="60" t="n"/>
      <c r="H1156" s="13">
        <f>IF($C1156="","",IFERROR(INDEX('Lists'!$G$6:$G$35,MATCH($C1156,'Lists'!$F$6:$F$35,0))&amp;"","Unknown category"))</f>
        <v/>
      </c>
      <c r="I1156" s="80">
        <f>IF(AND($B1156="",$C1156="",$E1156=""),"",IF(NOT(ISNUMBER($B1156)),"Enter a valid date",IF($C1156="","Pick a category",IF(OR($H1156="Unknown category",$H1156=""),"Category has no cost type",IF(NOT(ISNUMBER($E1156)),"Enter an amount","OK")))))</f>
        <v/>
      </c>
    </row>
    <row r="1157" ht="17" customHeight="1">
      <c r="B1157" s="66" t="n"/>
      <c r="C1157" s="60" t="n"/>
      <c r="D1157" s="60" t="n"/>
      <c r="E1157" s="63" t="n"/>
      <c r="F1157" s="60" t="n"/>
      <c r="G1157" s="60" t="n"/>
      <c r="H1157" s="13">
        <f>IF($C1157="","",IFERROR(INDEX('Lists'!$G$6:$G$35,MATCH($C1157,'Lists'!$F$6:$F$35,0))&amp;"","Unknown category"))</f>
        <v/>
      </c>
      <c r="I1157" s="80">
        <f>IF(AND($B1157="",$C1157="",$E1157=""),"",IF(NOT(ISNUMBER($B1157)),"Enter a valid date",IF($C1157="","Pick a category",IF(OR($H1157="Unknown category",$H1157=""),"Category has no cost type",IF(NOT(ISNUMBER($E1157)),"Enter an amount","OK")))))</f>
        <v/>
      </c>
    </row>
    <row r="1158" ht="17" customHeight="1">
      <c r="B1158" s="66" t="n"/>
      <c r="C1158" s="60" t="n"/>
      <c r="D1158" s="60" t="n"/>
      <c r="E1158" s="63" t="n"/>
      <c r="F1158" s="60" t="n"/>
      <c r="G1158" s="60" t="n"/>
      <c r="H1158" s="13">
        <f>IF($C1158="","",IFERROR(INDEX('Lists'!$G$6:$G$35,MATCH($C1158,'Lists'!$F$6:$F$35,0))&amp;"","Unknown category"))</f>
        <v/>
      </c>
      <c r="I1158" s="80">
        <f>IF(AND($B1158="",$C1158="",$E1158=""),"",IF(NOT(ISNUMBER($B1158)),"Enter a valid date",IF($C1158="","Pick a category",IF(OR($H1158="Unknown category",$H1158=""),"Category has no cost type",IF(NOT(ISNUMBER($E1158)),"Enter an amount","OK")))))</f>
        <v/>
      </c>
    </row>
    <row r="1159" ht="17" customHeight="1">
      <c r="B1159" s="66" t="n"/>
      <c r="C1159" s="60" t="n"/>
      <c r="D1159" s="60" t="n"/>
      <c r="E1159" s="63" t="n"/>
      <c r="F1159" s="60" t="n"/>
      <c r="G1159" s="60" t="n"/>
      <c r="H1159" s="13">
        <f>IF($C1159="","",IFERROR(INDEX('Lists'!$G$6:$G$35,MATCH($C1159,'Lists'!$F$6:$F$35,0))&amp;"","Unknown category"))</f>
        <v/>
      </c>
      <c r="I1159" s="80">
        <f>IF(AND($B1159="",$C1159="",$E1159=""),"",IF(NOT(ISNUMBER($B1159)),"Enter a valid date",IF($C1159="","Pick a category",IF(OR($H1159="Unknown category",$H1159=""),"Category has no cost type",IF(NOT(ISNUMBER($E1159)),"Enter an amount","OK")))))</f>
        <v/>
      </c>
    </row>
    <row r="1160" ht="17" customHeight="1">
      <c r="B1160" s="66" t="n"/>
      <c r="C1160" s="60" t="n"/>
      <c r="D1160" s="60" t="n"/>
      <c r="E1160" s="63" t="n"/>
      <c r="F1160" s="60" t="n"/>
      <c r="G1160" s="60" t="n"/>
      <c r="H1160" s="13">
        <f>IF($C1160="","",IFERROR(INDEX('Lists'!$G$6:$G$35,MATCH($C1160,'Lists'!$F$6:$F$35,0))&amp;"","Unknown category"))</f>
        <v/>
      </c>
      <c r="I1160" s="80">
        <f>IF(AND($B1160="",$C1160="",$E1160=""),"",IF(NOT(ISNUMBER($B1160)),"Enter a valid date",IF($C1160="","Pick a category",IF(OR($H1160="Unknown category",$H1160=""),"Category has no cost type",IF(NOT(ISNUMBER($E1160)),"Enter an amount","OK")))))</f>
        <v/>
      </c>
    </row>
    <row r="1161" ht="17" customHeight="1">
      <c r="B1161" s="66" t="n"/>
      <c r="C1161" s="60" t="n"/>
      <c r="D1161" s="60" t="n"/>
      <c r="E1161" s="63" t="n"/>
      <c r="F1161" s="60" t="n"/>
      <c r="G1161" s="60" t="n"/>
      <c r="H1161" s="13">
        <f>IF($C1161="","",IFERROR(INDEX('Lists'!$G$6:$G$35,MATCH($C1161,'Lists'!$F$6:$F$35,0))&amp;"","Unknown category"))</f>
        <v/>
      </c>
      <c r="I1161" s="80">
        <f>IF(AND($B1161="",$C1161="",$E1161=""),"",IF(NOT(ISNUMBER($B1161)),"Enter a valid date",IF($C1161="","Pick a category",IF(OR($H1161="Unknown category",$H1161=""),"Category has no cost type",IF(NOT(ISNUMBER($E1161)),"Enter an amount","OK")))))</f>
        <v/>
      </c>
    </row>
    <row r="1162" ht="17" customHeight="1">
      <c r="B1162" s="66" t="n"/>
      <c r="C1162" s="60" t="n"/>
      <c r="D1162" s="60" t="n"/>
      <c r="E1162" s="63" t="n"/>
      <c r="F1162" s="60" t="n"/>
      <c r="G1162" s="60" t="n"/>
      <c r="H1162" s="13">
        <f>IF($C1162="","",IFERROR(INDEX('Lists'!$G$6:$G$35,MATCH($C1162,'Lists'!$F$6:$F$35,0))&amp;"","Unknown category"))</f>
        <v/>
      </c>
      <c r="I1162" s="80">
        <f>IF(AND($B1162="",$C1162="",$E1162=""),"",IF(NOT(ISNUMBER($B1162)),"Enter a valid date",IF($C1162="","Pick a category",IF(OR($H1162="Unknown category",$H1162=""),"Category has no cost type",IF(NOT(ISNUMBER($E1162)),"Enter an amount","OK")))))</f>
        <v/>
      </c>
    </row>
    <row r="1163" ht="17" customHeight="1">
      <c r="B1163" s="66" t="n"/>
      <c r="C1163" s="60" t="n"/>
      <c r="D1163" s="60" t="n"/>
      <c r="E1163" s="63" t="n"/>
      <c r="F1163" s="60" t="n"/>
      <c r="G1163" s="60" t="n"/>
      <c r="H1163" s="13">
        <f>IF($C1163="","",IFERROR(INDEX('Lists'!$G$6:$G$35,MATCH($C1163,'Lists'!$F$6:$F$35,0))&amp;"","Unknown category"))</f>
        <v/>
      </c>
      <c r="I1163" s="80">
        <f>IF(AND($B1163="",$C1163="",$E1163=""),"",IF(NOT(ISNUMBER($B1163)),"Enter a valid date",IF($C1163="","Pick a category",IF(OR($H1163="Unknown category",$H1163=""),"Category has no cost type",IF(NOT(ISNUMBER($E1163)),"Enter an amount","OK")))))</f>
        <v/>
      </c>
    </row>
    <row r="1164" ht="17" customHeight="1">
      <c r="B1164" s="66" t="n"/>
      <c r="C1164" s="60" t="n"/>
      <c r="D1164" s="60" t="n"/>
      <c r="E1164" s="63" t="n"/>
      <c r="F1164" s="60" t="n"/>
      <c r="G1164" s="60" t="n"/>
      <c r="H1164" s="13">
        <f>IF($C1164="","",IFERROR(INDEX('Lists'!$G$6:$G$35,MATCH($C1164,'Lists'!$F$6:$F$35,0))&amp;"","Unknown category"))</f>
        <v/>
      </c>
      <c r="I1164" s="80">
        <f>IF(AND($B1164="",$C1164="",$E1164=""),"",IF(NOT(ISNUMBER($B1164)),"Enter a valid date",IF($C1164="","Pick a category",IF(OR($H1164="Unknown category",$H1164=""),"Category has no cost type",IF(NOT(ISNUMBER($E1164)),"Enter an amount","OK")))))</f>
        <v/>
      </c>
    </row>
    <row r="1165" ht="17" customHeight="1">
      <c r="B1165" s="66" t="n"/>
      <c r="C1165" s="60" t="n"/>
      <c r="D1165" s="60" t="n"/>
      <c r="E1165" s="63" t="n"/>
      <c r="F1165" s="60" t="n"/>
      <c r="G1165" s="60" t="n"/>
      <c r="H1165" s="13">
        <f>IF($C1165="","",IFERROR(INDEX('Lists'!$G$6:$G$35,MATCH($C1165,'Lists'!$F$6:$F$35,0))&amp;"","Unknown category"))</f>
        <v/>
      </c>
      <c r="I1165" s="80">
        <f>IF(AND($B1165="",$C1165="",$E1165=""),"",IF(NOT(ISNUMBER($B1165)),"Enter a valid date",IF($C1165="","Pick a category",IF(OR($H1165="Unknown category",$H1165=""),"Category has no cost type",IF(NOT(ISNUMBER($E1165)),"Enter an amount","OK")))))</f>
        <v/>
      </c>
    </row>
    <row r="1166" ht="17" customHeight="1">
      <c r="B1166" s="66" t="n"/>
      <c r="C1166" s="60" t="n"/>
      <c r="D1166" s="60" t="n"/>
      <c r="E1166" s="63" t="n"/>
      <c r="F1166" s="60" t="n"/>
      <c r="G1166" s="60" t="n"/>
      <c r="H1166" s="13">
        <f>IF($C1166="","",IFERROR(INDEX('Lists'!$G$6:$G$35,MATCH($C1166,'Lists'!$F$6:$F$35,0))&amp;"","Unknown category"))</f>
        <v/>
      </c>
      <c r="I1166" s="80">
        <f>IF(AND($B1166="",$C1166="",$E1166=""),"",IF(NOT(ISNUMBER($B1166)),"Enter a valid date",IF($C1166="","Pick a category",IF(OR($H1166="Unknown category",$H1166=""),"Category has no cost type",IF(NOT(ISNUMBER($E1166)),"Enter an amount","OK")))))</f>
        <v/>
      </c>
    </row>
    <row r="1167" ht="17" customHeight="1">
      <c r="B1167" s="66" t="n"/>
      <c r="C1167" s="60" t="n"/>
      <c r="D1167" s="60" t="n"/>
      <c r="E1167" s="63" t="n"/>
      <c r="F1167" s="60" t="n"/>
      <c r="G1167" s="60" t="n"/>
      <c r="H1167" s="13">
        <f>IF($C1167="","",IFERROR(INDEX('Lists'!$G$6:$G$35,MATCH($C1167,'Lists'!$F$6:$F$35,0))&amp;"","Unknown category"))</f>
        <v/>
      </c>
      <c r="I1167" s="80">
        <f>IF(AND($B1167="",$C1167="",$E1167=""),"",IF(NOT(ISNUMBER($B1167)),"Enter a valid date",IF($C1167="","Pick a category",IF(OR($H1167="Unknown category",$H1167=""),"Category has no cost type",IF(NOT(ISNUMBER($E1167)),"Enter an amount","OK")))))</f>
        <v/>
      </c>
    </row>
    <row r="1168" ht="17" customHeight="1">
      <c r="B1168" s="66" t="n"/>
      <c r="C1168" s="60" t="n"/>
      <c r="D1168" s="60" t="n"/>
      <c r="E1168" s="63" t="n"/>
      <c r="F1168" s="60" t="n"/>
      <c r="G1168" s="60" t="n"/>
      <c r="H1168" s="13">
        <f>IF($C1168="","",IFERROR(INDEX('Lists'!$G$6:$G$35,MATCH($C1168,'Lists'!$F$6:$F$35,0))&amp;"","Unknown category"))</f>
        <v/>
      </c>
      <c r="I1168" s="80">
        <f>IF(AND($B1168="",$C1168="",$E1168=""),"",IF(NOT(ISNUMBER($B1168)),"Enter a valid date",IF($C1168="","Pick a category",IF(OR($H1168="Unknown category",$H1168=""),"Category has no cost type",IF(NOT(ISNUMBER($E1168)),"Enter an amount","OK")))))</f>
        <v/>
      </c>
    </row>
    <row r="1169" ht="17" customHeight="1">
      <c r="B1169" s="66" t="n"/>
      <c r="C1169" s="60" t="n"/>
      <c r="D1169" s="60" t="n"/>
      <c r="E1169" s="63" t="n"/>
      <c r="F1169" s="60" t="n"/>
      <c r="G1169" s="60" t="n"/>
      <c r="H1169" s="13">
        <f>IF($C1169="","",IFERROR(INDEX('Lists'!$G$6:$G$35,MATCH($C1169,'Lists'!$F$6:$F$35,0))&amp;"","Unknown category"))</f>
        <v/>
      </c>
      <c r="I1169" s="80">
        <f>IF(AND($B1169="",$C1169="",$E1169=""),"",IF(NOT(ISNUMBER($B1169)),"Enter a valid date",IF($C1169="","Pick a category",IF(OR($H1169="Unknown category",$H1169=""),"Category has no cost type",IF(NOT(ISNUMBER($E1169)),"Enter an amount","OK")))))</f>
        <v/>
      </c>
    </row>
    <row r="1170" ht="17" customHeight="1">
      <c r="B1170" s="66" t="n"/>
      <c r="C1170" s="60" t="n"/>
      <c r="D1170" s="60" t="n"/>
      <c r="E1170" s="63" t="n"/>
      <c r="F1170" s="60" t="n"/>
      <c r="G1170" s="60" t="n"/>
      <c r="H1170" s="13">
        <f>IF($C1170="","",IFERROR(INDEX('Lists'!$G$6:$G$35,MATCH($C1170,'Lists'!$F$6:$F$35,0))&amp;"","Unknown category"))</f>
        <v/>
      </c>
      <c r="I1170" s="80">
        <f>IF(AND($B1170="",$C1170="",$E1170=""),"",IF(NOT(ISNUMBER($B1170)),"Enter a valid date",IF($C1170="","Pick a category",IF(OR($H1170="Unknown category",$H1170=""),"Category has no cost type",IF(NOT(ISNUMBER($E1170)),"Enter an amount","OK")))))</f>
        <v/>
      </c>
    </row>
    <row r="1171" ht="17" customHeight="1">
      <c r="B1171" s="66" t="n"/>
      <c r="C1171" s="60" t="n"/>
      <c r="D1171" s="60" t="n"/>
      <c r="E1171" s="63" t="n"/>
      <c r="F1171" s="60" t="n"/>
      <c r="G1171" s="60" t="n"/>
      <c r="H1171" s="13">
        <f>IF($C1171="","",IFERROR(INDEX('Lists'!$G$6:$G$35,MATCH($C1171,'Lists'!$F$6:$F$35,0))&amp;"","Unknown category"))</f>
        <v/>
      </c>
      <c r="I1171" s="80">
        <f>IF(AND($B1171="",$C1171="",$E1171=""),"",IF(NOT(ISNUMBER($B1171)),"Enter a valid date",IF($C1171="","Pick a category",IF(OR($H1171="Unknown category",$H1171=""),"Category has no cost type",IF(NOT(ISNUMBER($E1171)),"Enter an amount","OK")))))</f>
        <v/>
      </c>
    </row>
    <row r="1172" ht="17" customHeight="1">
      <c r="B1172" s="66" t="n"/>
      <c r="C1172" s="60" t="n"/>
      <c r="D1172" s="60" t="n"/>
      <c r="E1172" s="63" t="n"/>
      <c r="F1172" s="60" t="n"/>
      <c r="G1172" s="60" t="n"/>
      <c r="H1172" s="13">
        <f>IF($C1172="","",IFERROR(INDEX('Lists'!$G$6:$G$35,MATCH($C1172,'Lists'!$F$6:$F$35,0))&amp;"","Unknown category"))</f>
        <v/>
      </c>
      <c r="I1172" s="80">
        <f>IF(AND($B1172="",$C1172="",$E1172=""),"",IF(NOT(ISNUMBER($B1172)),"Enter a valid date",IF($C1172="","Pick a category",IF(OR($H1172="Unknown category",$H1172=""),"Category has no cost type",IF(NOT(ISNUMBER($E1172)),"Enter an amount","OK")))))</f>
        <v/>
      </c>
    </row>
    <row r="1173" ht="17" customHeight="1">
      <c r="B1173" s="66" t="n"/>
      <c r="C1173" s="60" t="n"/>
      <c r="D1173" s="60" t="n"/>
      <c r="E1173" s="63" t="n"/>
      <c r="F1173" s="60" t="n"/>
      <c r="G1173" s="60" t="n"/>
      <c r="H1173" s="13">
        <f>IF($C1173="","",IFERROR(INDEX('Lists'!$G$6:$G$35,MATCH($C1173,'Lists'!$F$6:$F$35,0))&amp;"","Unknown category"))</f>
        <v/>
      </c>
      <c r="I1173" s="80">
        <f>IF(AND($B1173="",$C1173="",$E1173=""),"",IF(NOT(ISNUMBER($B1173)),"Enter a valid date",IF($C1173="","Pick a category",IF(OR($H1173="Unknown category",$H1173=""),"Category has no cost type",IF(NOT(ISNUMBER($E1173)),"Enter an amount","OK")))))</f>
        <v/>
      </c>
    </row>
    <row r="1174" ht="17" customHeight="1">
      <c r="B1174" s="66" t="n"/>
      <c r="C1174" s="60" t="n"/>
      <c r="D1174" s="60" t="n"/>
      <c r="E1174" s="63" t="n"/>
      <c r="F1174" s="60" t="n"/>
      <c r="G1174" s="60" t="n"/>
      <c r="H1174" s="13">
        <f>IF($C1174="","",IFERROR(INDEX('Lists'!$G$6:$G$35,MATCH($C1174,'Lists'!$F$6:$F$35,0))&amp;"","Unknown category"))</f>
        <v/>
      </c>
      <c r="I1174" s="80">
        <f>IF(AND($B1174="",$C1174="",$E1174=""),"",IF(NOT(ISNUMBER($B1174)),"Enter a valid date",IF($C1174="","Pick a category",IF(OR($H1174="Unknown category",$H1174=""),"Category has no cost type",IF(NOT(ISNUMBER($E1174)),"Enter an amount","OK")))))</f>
        <v/>
      </c>
    </row>
    <row r="1175" ht="17" customHeight="1">
      <c r="B1175" s="66" t="n"/>
      <c r="C1175" s="60" t="n"/>
      <c r="D1175" s="60" t="n"/>
      <c r="E1175" s="63" t="n"/>
      <c r="F1175" s="60" t="n"/>
      <c r="G1175" s="60" t="n"/>
      <c r="H1175" s="13">
        <f>IF($C1175="","",IFERROR(INDEX('Lists'!$G$6:$G$35,MATCH($C1175,'Lists'!$F$6:$F$35,0))&amp;"","Unknown category"))</f>
        <v/>
      </c>
      <c r="I1175" s="80">
        <f>IF(AND($B1175="",$C1175="",$E1175=""),"",IF(NOT(ISNUMBER($B1175)),"Enter a valid date",IF($C1175="","Pick a category",IF(OR($H1175="Unknown category",$H1175=""),"Category has no cost type",IF(NOT(ISNUMBER($E1175)),"Enter an amount","OK")))))</f>
        <v/>
      </c>
    </row>
    <row r="1176" ht="17" customHeight="1">
      <c r="B1176" s="66" t="n"/>
      <c r="C1176" s="60" t="n"/>
      <c r="D1176" s="60" t="n"/>
      <c r="E1176" s="63" t="n"/>
      <c r="F1176" s="60" t="n"/>
      <c r="G1176" s="60" t="n"/>
      <c r="H1176" s="13">
        <f>IF($C1176="","",IFERROR(INDEX('Lists'!$G$6:$G$35,MATCH($C1176,'Lists'!$F$6:$F$35,0))&amp;"","Unknown category"))</f>
        <v/>
      </c>
      <c r="I1176" s="80">
        <f>IF(AND($B1176="",$C1176="",$E1176=""),"",IF(NOT(ISNUMBER($B1176)),"Enter a valid date",IF($C1176="","Pick a category",IF(OR($H1176="Unknown category",$H1176=""),"Category has no cost type",IF(NOT(ISNUMBER($E1176)),"Enter an amount","OK")))))</f>
        <v/>
      </c>
    </row>
    <row r="1177" ht="17" customHeight="1">
      <c r="B1177" s="66" t="n"/>
      <c r="C1177" s="60" t="n"/>
      <c r="D1177" s="60" t="n"/>
      <c r="E1177" s="63" t="n"/>
      <c r="F1177" s="60" t="n"/>
      <c r="G1177" s="60" t="n"/>
      <c r="H1177" s="13">
        <f>IF($C1177="","",IFERROR(INDEX('Lists'!$G$6:$G$35,MATCH($C1177,'Lists'!$F$6:$F$35,0))&amp;"","Unknown category"))</f>
        <v/>
      </c>
      <c r="I1177" s="80">
        <f>IF(AND($B1177="",$C1177="",$E1177=""),"",IF(NOT(ISNUMBER($B1177)),"Enter a valid date",IF($C1177="","Pick a category",IF(OR($H1177="Unknown category",$H1177=""),"Category has no cost type",IF(NOT(ISNUMBER($E1177)),"Enter an amount","OK")))))</f>
        <v/>
      </c>
    </row>
    <row r="1178" ht="17" customHeight="1">
      <c r="B1178" s="66" t="n"/>
      <c r="C1178" s="60" t="n"/>
      <c r="D1178" s="60" t="n"/>
      <c r="E1178" s="63" t="n"/>
      <c r="F1178" s="60" t="n"/>
      <c r="G1178" s="60" t="n"/>
      <c r="H1178" s="13">
        <f>IF($C1178="","",IFERROR(INDEX('Lists'!$G$6:$G$35,MATCH($C1178,'Lists'!$F$6:$F$35,0))&amp;"","Unknown category"))</f>
        <v/>
      </c>
      <c r="I1178" s="80">
        <f>IF(AND($B1178="",$C1178="",$E1178=""),"",IF(NOT(ISNUMBER($B1178)),"Enter a valid date",IF($C1178="","Pick a category",IF(OR($H1178="Unknown category",$H1178=""),"Category has no cost type",IF(NOT(ISNUMBER($E1178)),"Enter an amount","OK")))))</f>
        <v/>
      </c>
    </row>
    <row r="1179" ht="17" customHeight="1">
      <c r="B1179" s="66" t="n"/>
      <c r="C1179" s="60" t="n"/>
      <c r="D1179" s="60" t="n"/>
      <c r="E1179" s="63" t="n"/>
      <c r="F1179" s="60" t="n"/>
      <c r="G1179" s="60" t="n"/>
      <c r="H1179" s="13">
        <f>IF($C1179="","",IFERROR(INDEX('Lists'!$G$6:$G$35,MATCH($C1179,'Lists'!$F$6:$F$35,0))&amp;"","Unknown category"))</f>
        <v/>
      </c>
      <c r="I1179" s="80">
        <f>IF(AND($B1179="",$C1179="",$E1179=""),"",IF(NOT(ISNUMBER($B1179)),"Enter a valid date",IF($C1179="","Pick a category",IF(OR($H1179="Unknown category",$H1179=""),"Category has no cost type",IF(NOT(ISNUMBER($E1179)),"Enter an amount","OK")))))</f>
        <v/>
      </c>
    </row>
    <row r="1180" ht="17" customHeight="1">
      <c r="B1180" s="66" t="n"/>
      <c r="C1180" s="60" t="n"/>
      <c r="D1180" s="60" t="n"/>
      <c r="E1180" s="63" t="n"/>
      <c r="F1180" s="60" t="n"/>
      <c r="G1180" s="60" t="n"/>
      <c r="H1180" s="13">
        <f>IF($C1180="","",IFERROR(INDEX('Lists'!$G$6:$G$35,MATCH($C1180,'Lists'!$F$6:$F$35,0))&amp;"","Unknown category"))</f>
        <v/>
      </c>
      <c r="I1180" s="80">
        <f>IF(AND($B1180="",$C1180="",$E1180=""),"",IF(NOT(ISNUMBER($B1180)),"Enter a valid date",IF($C1180="","Pick a category",IF(OR($H1180="Unknown category",$H1180=""),"Category has no cost type",IF(NOT(ISNUMBER($E1180)),"Enter an amount","OK")))))</f>
        <v/>
      </c>
    </row>
    <row r="1181" ht="17" customHeight="1">
      <c r="B1181" s="66" t="n"/>
      <c r="C1181" s="60" t="n"/>
      <c r="D1181" s="60" t="n"/>
      <c r="E1181" s="63" t="n"/>
      <c r="F1181" s="60" t="n"/>
      <c r="G1181" s="60" t="n"/>
      <c r="H1181" s="13">
        <f>IF($C1181="","",IFERROR(INDEX('Lists'!$G$6:$G$35,MATCH($C1181,'Lists'!$F$6:$F$35,0))&amp;"","Unknown category"))</f>
        <v/>
      </c>
      <c r="I1181" s="80">
        <f>IF(AND($B1181="",$C1181="",$E1181=""),"",IF(NOT(ISNUMBER($B1181)),"Enter a valid date",IF($C1181="","Pick a category",IF(OR($H1181="Unknown category",$H1181=""),"Category has no cost type",IF(NOT(ISNUMBER($E1181)),"Enter an amount","OK")))))</f>
        <v/>
      </c>
    </row>
    <row r="1182" ht="17" customHeight="1">
      <c r="B1182" s="66" t="n"/>
      <c r="C1182" s="60" t="n"/>
      <c r="D1182" s="60" t="n"/>
      <c r="E1182" s="63" t="n"/>
      <c r="F1182" s="60" t="n"/>
      <c r="G1182" s="60" t="n"/>
      <c r="H1182" s="13">
        <f>IF($C1182="","",IFERROR(INDEX('Lists'!$G$6:$G$35,MATCH($C1182,'Lists'!$F$6:$F$35,0))&amp;"","Unknown category"))</f>
        <v/>
      </c>
      <c r="I1182" s="80">
        <f>IF(AND($B1182="",$C1182="",$E1182=""),"",IF(NOT(ISNUMBER($B1182)),"Enter a valid date",IF($C1182="","Pick a category",IF(OR($H1182="Unknown category",$H1182=""),"Category has no cost type",IF(NOT(ISNUMBER($E1182)),"Enter an amount","OK")))))</f>
        <v/>
      </c>
    </row>
    <row r="1183" ht="17" customHeight="1">
      <c r="B1183" s="66" t="n"/>
      <c r="C1183" s="60" t="n"/>
      <c r="D1183" s="60" t="n"/>
      <c r="E1183" s="63" t="n"/>
      <c r="F1183" s="60" t="n"/>
      <c r="G1183" s="60" t="n"/>
      <c r="H1183" s="13">
        <f>IF($C1183="","",IFERROR(INDEX('Lists'!$G$6:$G$35,MATCH($C1183,'Lists'!$F$6:$F$35,0))&amp;"","Unknown category"))</f>
        <v/>
      </c>
      <c r="I1183" s="80">
        <f>IF(AND($B1183="",$C1183="",$E1183=""),"",IF(NOT(ISNUMBER($B1183)),"Enter a valid date",IF($C1183="","Pick a category",IF(OR($H1183="Unknown category",$H1183=""),"Category has no cost type",IF(NOT(ISNUMBER($E1183)),"Enter an amount","OK")))))</f>
        <v/>
      </c>
    </row>
    <row r="1184" ht="17" customHeight="1">
      <c r="B1184" s="66" t="n"/>
      <c r="C1184" s="60" t="n"/>
      <c r="D1184" s="60" t="n"/>
      <c r="E1184" s="63" t="n"/>
      <c r="F1184" s="60" t="n"/>
      <c r="G1184" s="60" t="n"/>
      <c r="H1184" s="13">
        <f>IF($C1184="","",IFERROR(INDEX('Lists'!$G$6:$G$35,MATCH($C1184,'Lists'!$F$6:$F$35,0))&amp;"","Unknown category"))</f>
        <v/>
      </c>
      <c r="I1184" s="80">
        <f>IF(AND($B1184="",$C1184="",$E1184=""),"",IF(NOT(ISNUMBER($B1184)),"Enter a valid date",IF($C1184="","Pick a category",IF(OR($H1184="Unknown category",$H1184=""),"Category has no cost type",IF(NOT(ISNUMBER($E1184)),"Enter an amount","OK")))))</f>
        <v/>
      </c>
    </row>
    <row r="1185" ht="17" customHeight="1">
      <c r="B1185" s="66" t="n"/>
      <c r="C1185" s="60" t="n"/>
      <c r="D1185" s="60" t="n"/>
      <c r="E1185" s="63" t="n"/>
      <c r="F1185" s="60" t="n"/>
      <c r="G1185" s="60" t="n"/>
      <c r="H1185" s="13">
        <f>IF($C1185="","",IFERROR(INDEX('Lists'!$G$6:$G$35,MATCH($C1185,'Lists'!$F$6:$F$35,0))&amp;"","Unknown category"))</f>
        <v/>
      </c>
      <c r="I1185" s="80">
        <f>IF(AND($B1185="",$C1185="",$E1185=""),"",IF(NOT(ISNUMBER($B1185)),"Enter a valid date",IF($C1185="","Pick a category",IF(OR($H1185="Unknown category",$H1185=""),"Category has no cost type",IF(NOT(ISNUMBER($E1185)),"Enter an amount","OK")))))</f>
        <v/>
      </c>
    </row>
    <row r="1186" ht="17" customHeight="1">
      <c r="B1186" s="66" t="n"/>
      <c r="C1186" s="60" t="n"/>
      <c r="D1186" s="60" t="n"/>
      <c r="E1186" s="63" t="n"/>
      <c r="F1186" s="60" t="n"/>
      <c r="G1186" s="60" t="n"/>
      <c r="H1186" s="13">
        <f>IF($C1186="","",IFERROR(INDEX('Lists'!$G$6:$G$35,MATCH($C1186,'Lists'!$F$6:$F$35,0))&amp;"","Unknown category"))</f>
        <v/>
      </c>
      <c r="I1186" s="80">
        <f>IF(AND($B1186="",$C1186="",$E1186=""),"",IF(NOT(ISNUMBER($B1186)),"Enter a valid date",IF($C1186="","Pick a category",IF(OR($H1186="Unknown category",$H1186=""),"Category has no cost type",IF(NOT(ISNUMBER($E1186)),"Enter an amount","OK")))))</f>
        <v/>
      </c>
    </row>
    <row r="1187" ht="17" customHeight="1">
      <c r="B1187" s="66" t="n"/>
      <c r="C1187" s="60" t="n"/>
      <c r="D1187" s="60" t="n"/>
      <c r="E1187" s="63" t="n"/>
      <c r="F1187" s="60" t="n"/>
      <c r="G1187" s="60" t="n"/>
      <c r="H1187" s="13">
        <f>IF($C1187="","",IFERROR(INDEX('Lists'!$G$6:$G$35,MATCH($C1187,'Lists'!$F$6:$F$35,0))&amp;"","Unknown category"))</f>
        <v/>
      </c>
      <c r="I1187" s="80">
        <f>IF(AND($B1187="",$C1187="",$E1187=""),"",IF(NOT(ISNUMBER($B1187)),"Enter a valid date",IF($C1187="","Pick a category",IF(OR($H1187="Unknown category",$H1187=""),"Category has no cost type",IF(NOT(ISNUMBER($E1187)),"Enter an amount","OK")))))</f>
        <v/>
      </c>
    </row>
    <row r="1188" ht="17" customHeight="1">
      <c r="B1188" s="66" t="n"/>
      <c r="C1188" s="60" t="n"/>
      <c r="D1188" s="60" t="n"/>
      <c r="E1188" s="63" t="n"/>
      <c r="F1188" s="60" t="n"/>
      <c r="G1188" s="60" t="n"/>
      <c r="H1188" s="13">
        <f>IF($C1188="","",IFERROR(INDEX('Lists'!$G$6:$G$35,MATCH($C1188,'Lists'!$F$6:$F$35,0))&amp;"","Unknown category"))</f>
        <v/>
      </c>
      <c r="I1188" s="80">
        <f>IF(AND($B1188="",$C1188="",$E1188=""),"",IF(NOT(ISNUMBER($B1188)),"Enter a valid date",IF($C1188="","Pick a category",IF(OR($H1188="Unknown category",$H1188=""),"Category has no cost type",IF(NOT(ISNUMBER($E1188)),"Enter an amount","OK")))))</f>
        <v/>
      </c>
    </row>
    <row r="1189" ht="17" customHeight="1">
      <c r="B1189" s="66" t="n"/>
      <c r="C1189" s="60" t="n"/>
      <c r="D1189" s="60" t="n"/>
      <c r="E1189" s="63" t="n"/>
      <c r="F1189" s="60" t="n"/>
      <c r="G1189" s="60" t="n"/>
      <c r="H1189" s="13">
        <f>IF($C1189="","",IFERROR(INDEX('Lists'!$G$6:$G$35,MATCH($C1189,'Lists'!$F$6:$F$35,0))&amp;"","Unknown category"))</f>
        <v/>
      </c>
      <c r="I1189" s="80">
        <f>IF(AND($B1189="",$C1189="",$E1189=""),"",IF(NOT(ISNUMBER($B1189)),"Enter a valid date",IF($C1189="","Pick a category",IF(OR($H1189="Unknown category",$H1189=""),"Category has no cost type",IF(NOT(ISNUMBER($E1189)),"Enter an amount","OK")))))</f>
        <v/>
      </c>
    </row>
    <row r="1190" ht="17" customHeight="1">
      <c r="B1190" s="66" t="n"/>
      <c r="C1190" s="60" t="n"/>
      <c r="D1190" s="60" t="n"/>
      <c r="E1190" s="63" t="n"/>
      <c r="F1190" s="60" t="n"/>
      <c r="G1190" s="60" t="n"/>
      <c r="H1190" s="13">
        <f>IF($C1190="","",IFERROR(INDEX('Lists'!$G$6:$G$35,MATCH($C1190,'Lists'!$F$6:$F$35,0))&amp;"","Unknown category"))</f>
        <v/>
      </c>
      <c r="I1190" s="80">
        <f>IF(AND($B1190="",$C1190="",$E1190=""),"",IF(NOT(ISNUMBER($B1190)),"Enter a valid date",IF($C1190="","Pick a category",IF(OR($H1190="Unknown category",$H1190=""),"Category has no cost type",IF(NOT(ISNUMBER($E1190)),"Enter an amount","OK")))))</f>
        <v/>
      </c>
    </row>
    <row r="1191" ht="17" customHeight="1">
      <c r="B1191" s="66" t="n"/>
      <c r="C1191" s="60" t="n"/>
      <c r="D1191" s="60" t="n"/>
      <c r="E1191" s="63" t="n"/>
      <c r="F1191" s="60" t="n"/>
      <c r="G1191" s="60" t="n"/>
      <c r="H1191" s="13">
        <f>IF($C1191="","",IFERROR(INDEX('Lists'!$G$6:$G$35,MATCH($C1191,'Lists'!$F$6:$F$35,0))&amp;"","Unknown category"))</f>
        <v/>
      </c>
      <c r="I1191" s="80">
        <f>IF(AND($B1191="",$C1191="",$E1191=""),"",IF(NOT(ISNUMBER($B1191)),"Enter a valid date",IF($C1191="","Pick a category",IF(OR($H1191="Unknown category",$H1191=""),"Category has no cost type",IF(NOT(ISNUMBER($E1191)),"Enter an amount","OK")))))</f>
        <v/>
      </c>
    </row>
    <row r="1192" ht="17" customHeight="1">
      <c r="B1192" s="66" t="n"/>
      <c r="C1192" s="60" t="n"/>
      <c r="D1192" s="60" t="n"/>
      <c r="E1192" s="63" t="n"/>
      <c r="F1192" s="60" t="n"/>
      <c r="G1192" s="60" t="n"/>
      <c r="H1192" s="13">
        <f>IF($C1192="","",IFERROR(INDEX('Lists'!$G$6:$G$35,MATCH($C1192,'Lists'!$F$6:$F$35,0))&amp;"","Unknown category"))</f>
        <v/>
      </c>
      <c r="I1192" s="80">
        <f>IF(AND($B1192="",$C1192="",$E1192=""),"",IF(NOT(ISNUMBER($B1192)),"Enter a valid date",IF($C1192="","Pick a category",IF(OR($H1192="Unknown category",$H1192=""),"Category has no cost type",IF(NOT(ISNUMBER($E1192)),"Enter an amount","OK")))))</f>
        <v/>
      </c>
    </row>
    <row r="1193" ht="17" customHeight="1">
      <c r="B1193" s="66" t="n"/>
      <c r="C1193" s="60" t="n"/>
      <c r="D1193" s="60" t="n"/>
      <c r="E1193" s="63" t="n"/>
      <c r="F1193" s="60" t="n"/>
      <c r="G1193" s="60" t="n"/>
      <c r="H1193" s="13">
        <f>IF($C1193="","",IFERROR(INDEX('Lists'!$G$6:$G$35,MATCH($C1193,'Lists'!$F$6:$F$35,0))&amp;"","Unknown category"))</f>
        <v/>
      </c>
      <c r="I1193" s="80">
        <f>IF(AND($B1193="",$C1193="",$E1193=""),"",IF(NOT(ISNUMBER($B1193)),"Enter a valid date",IF($C1193="","Pick a category",IF(OR($H1193="Unknown category",$H1193=""),"Category has no cost type",IF(NOT(ISNUMBER($E1193)),"Enter an amount","OK")))))</f>
        <v/>
      </c>
    </row>
    <row r="1194" ht="17" customHeight="1">
      <c r="B1194" s="66" t="n"/>
      <c r="C1194" s="60" t="n"/>
      <c r="D1194" s="60" t="n"/>
      <c r="E1194" s="63" t="n"/>
      <c r="F1194" s="60" t="n"/>
      <c r="G1194" s="60" t="n"/>
      <c r="H1194" s="13">
        <f>IF($C1194="","",IFERROR(INDEX('Lists'!$G$6:$G$35,MATCH($C1194,'Lists'!$F$6:$F$35,0))&amp;"","Unknown category"))</f>
        <v/>
      </c>
      <c r="I1194" s="80">
        <f>IF(AND($B1194="",$C1194="",$E1194=""),"",IF(NOT(ISNUMBER($B1194)),"Enter a valid date",IF($C1194="","Pick a category",IF(OR($H1194="Unknown category",$H1194=""),"Category has no cost type",IF(NOT(ISNUMBER($E1194)),"Enter an amount","OK")))))</f>
        <v/>
      </c>
    </row>
    <row r="1195" ht="17" customHeight="1">
      <c r="B1195" s="66" t="n"/>
      <c r="C1195" s="60" t="n"/>
      <c r="D1195" s="60" t="n"/>
      <c r="E1195" s="63" t="n"/>
      <c r="F1195" s="60" t="n"/>
      <c r="G1195" s="60" t="n"/>
      <c r="H1195" s="13">
        <f>IF($C1195="","",IFERROR(INDEX('Lists'!$G$6:$G$35,MATCH($C1195,'Lists'!$F$6:$F$35,0))&amp;"","Unknown category"))</f>
        <v/>
      </c>
      <c r="I1195" s="80">
        <f>IF(AND($B1195="",$C1195="",$E1195=""),"",IF(NOT(ISNUMBER($B1195)),"Enter a valid date",IF($C1195="","Pick a category",IF(OR($H1195="Unknown category",$H1195=""),"Category has no cost type",IF(NOT(ISNUMBER($E1195)),"Enter an amount","OK")))))</f>
        <v/>
      </c>
    </row>
    <row r="1196" ht="17" customHeight="1">
      <c r="B1196" s="66" t="n"/>
      <c r="C1196" s="60" t="n"/>
      <c r="D1196" s="60" t="n"/>
      <c r="E1196" s="63" t="n"/>
      <c r="F1196" s="60" t="n"/>
      <c r="G1196" s="60" t="n"/>
      <c r="H1196" s="13">
        <f>IF($C1196="","",IFERROR(INDEX('Lists'!$G$6:$G$35,MATCH($C1196,'Lists'!$F$6:$F$35,0))&amp;"","Unknown category"))</f>
        <v/>
      </c>
      <c r="I1196" s="80">
        <f>IF(AND($B1196="",$C1196="",$E1196=""),"",IF(NOT(ISNUMBER($B1196)),"Enter a valid date",IF($C1196="","Pick a category",IF(OR($H1196="Unknown category",$H1196=""),"Category has no cost type",IF(NOT(ISNUMBER($E1196)),"Enter an amount","OK")))))</f>
        <v/>
      </c>
    </row>
    <row r="1197" ht="17" customHeight="1">
      <c r="B1197" s="66" t="n"/>
      <c r="C1197" s="60" t="n"/>
      <c r="D1197" s="60" t="n"/>
      <c r="E1197" s="63" t="n"/>
      <c r="F1197" s="60" t="n"/>
      <c r="G1197" s="60" t="n"/>
      <c r="H1197" s="13">
        <f>IF($C1197="","",IFERROR(INDEX('Lists'!$G$6:$G$35,MATCH($C1197,'Lists'!$F$6:$F$35,0))&amp;"","Unknown category"))</f>
        <v/>
      </c>
      <c r="I1197" s="80">
        <f>IF(AND($B1197="",$C1197="",$E1197=""),"",IF(NOT(ISNUMBER($B1197)),"Enter a valid date",IF($C1197="","Pick a category",IF(OR($H1197="Unknown category",$H1197=""),"Category has no cost type",IF(NOT(ISNUMBER($E1197)),"Enter an amount","OK")))))</f>
        <v/>
      </c>
    </row>
    <row r="1198" ht="17" customHeight="1">
      <c r="B1198" s="66" t="n"/>
      <c r="C1198" s="60" t="n"/>
      <c r="D1198" s="60" t="n"/>
      <c r="E1198" s="63" t="n"/>
      <c r="F1198" s="60" t="n"/>
      <c r="G1198" s="60" t="n"/>
      <c r="H1198" s="13">
        <f>IF($C1198="","",IFERROR(INDEX('Lists'!$G$6:$G$35,MATCH($C1198,'Lists'!$F$6:$F$35,0))&amp;"","Unknown category"))</f>
        <v/>
      </c>
      <c r="I1198" s="80">
        <f>IF(AND($B1198="",$C1198="",$E1198=""),"",IF(NOT(ISNUMBER($B1198)),"Enter a valid date",IF($C1198="","Pick a category",IF(OR($H1198="Unknown category",$H1198=""),"Category has no cost type",IF(NOT(ISNUMBER($E1198)),"Enter an amount","OK")))))</f>
        <v/>
      </c>
    </row>
    <row r="1199" ht="17" customHeight="1">
      <c r="B1199" s="66" t="n"/>
      <c r="C1199" s="60" t="n"/>
      <c r="D1199" s="60" t="n"/>
      <c r="E1199" s="63" t="n"/>
      <c r="F1199" s="60" t="n"/>
      <c r="G1199" s="60" t="n"/>
      <c r="H1199" s="13">
        <f>IF($C1199="","",IFERROR(INDEX('Lists'!$G$6:$G$35,MATCH($C1199,'Lists'!$F$6:$F$35,0))&amp;"","Unknown category"))</f>
        <v/>
      </c>
      <c r="I1199" s="80">
        <f>IF(AND($B1199="",$C1199="",$E1199=""),"",IF(NOT(ISNUMBER($B1199)),"Enter a valid date",IF($C1199="","Pick a category",IF(OR($H1199="Unknown category",$H1199=""),"Category has no cost type",IF(NOT(ISNUMBER($E1199)),"Enter an amount","OK")))))</f>
        <v/>
      </c>
    </row>
    <row r="1200" ht="17" customHeight="1">
      <c r="B1200" s="66" t="n"/>
      <c r="C1200" s="60" t="n"/>
      <c r="D1200" s="60" t="n"/>
      <c r="E1200" s="63" t="n"/>
      <c r="F1200" s="60" t="n"/>
      <c r="G1200" s="60" t="n"/>
      <c r="H1200" s="13">
        <f>IF($C1200="","",IFERROR(INDEX('Lists'!$G$6:$G$35,MATCH($C1200,'Lists'!$F$6:$F$35,0))&amp;"","Unknown category"))</f>
        <v/>
      </c>
      <c r="I1200" s="80">
        <f>IF(AND($B1200="",$C1200="",$E1200=""),"",IF(NOT(ISNUMBER($B1200)),"Enter a valid date",IF($C1200="","Pick a category",IF(OR($H1200="Unknown category",$H1200=""),"Category has no cost type",IF(NOT(ISNUMBER($E1200)),"Enter an amount","OK")))))</f>
        <v/>
      </c>
    </row>
    <row r="1201" ht="17" customHeight="1">
      <c r="B1201" s="66" t="n"/>
      <c r="C1201" s="60" t="n"/>
      <c r="D1201" s="60" t="n"/>
      <c r="E1201" s="63" t="n"/>
      <c r="F1201" s="60" t="n"/>
      <c r="G1201" s="60" t="n"/>
      <c r="H1201" s="13">
        <f>IF($C1201="","",IFERROR(INDEX('Lists'!$G$6:$G$35,MATCH($C1201,'Lists'!$F$6:$F$35,0))&amp;"","Unknown category"))</f>
        <v/>
      </c>
      <c r="I1201" s="80">
        <f>IF(AND($B1201="",$C1201="",$E1201=""),"",IF(NOT(ISNUMBER($B1201)),"Enter a valid date",IF($C1201="","Pick a category",IF(OR($H1201="Unknown category",$H1201=""),"Category has no cost type",IF(NOT(ISNUMBER($E1201)),"Enter an amount","OK")))))</f>
        <v/>
      </c>
    </row>
    <row r="1202" ht="17" customHeight="1">
      <c r="B1202" s="66" t="n"/>
      <c r="C1202" s="60" t="n"/>
      <c r="D1202" s="60" t="n"/>
      <c r="E1202" s="63" t="n"/>
      <c r="F1202" s="60" t="n"/>
      <c r="G1202" s="60" t="n"/>
      <c r="H1202" s="13">
        <f>IF($C1202="","",IFERROR(INDEX('Lists'!$G$6:$G$35,MATCH($C1202,'Lists'!$F$6:$F$35,0))&amp;"","Unknown category"))</f>
        <v/>
      </c>
      <c r="I1202" s="80">
        <f>IF(AND($B1202="",$C1202="",$E1202=""),"",IF(NOT(ISNUMBER($B1202)),"Enter a valid date",IF($C1202="","Pick a category",IF(OR($H1202="Unknown category",$H1202=""),"Category has no cost type",IF(NOT(ISNUMBER($E1202)),"Enter an amount","OK")))))</f>
        <v/>
      </c>
    </row>
    <row r="1203" ht="17" customHeight="1">
      <c r="B1203" s="66" t="n"/>
      <c r="C1203" s="60" t="n"/>
      <c r="D1203" s="60" t="n"/>
      <c r="E1203" s="63" t="n"/>
      <c r="F1203" s="60" t="n"/>
      <c r="G1203" s="60" t="n"/>
      <c r="H1203" s="13">
        <f>IF($C1203="","",IFERROR(INDEX('Lists'!$G$6:$G$35,MATCH($C1203,'Lists'!$F$6:$F$35,0))&amp;"","Unknown category"))</f>
        <v/>
      </c>
      <c r="I1203" s="80">
        <f>IF(AND($B1203="",$C1203="",$E1203=""),"",IF(NOT(ISNUMBER($B1203)),"Enter a valid date",IF($C1203="","Pick a category",IF(OR($H1203="Unknown category",$H1203=""),"Category has no cost type",IF(NOT(ISNUMBER($E1203)),"Enter an amount","OK")))))</f>
        <v/>
      </c>
    </row>
    <row r="1204" ht="17" customHeight="1">
      <c r="B1204" s="66" t="n"/>
      <c r="C1204" s="60" t="n"/>
      <c r="D1204" s="60" t="n"/>
      <c r="E1204" s="63" t="n"/>
      <c r="F1204" s="60" t="n"/>
      <c r="G1204" s="60" t="n"/>
      <c r="H1204" s="13">
        <f>IF($C1204="","",IFERROR(INDEX('Lists'!$G$6:$G$35,MATCH($C1204,'Lists'!$F$6:$F$35,0))&amp;"","Unknown category"))</f>
        <v/>
      </c>
      <c r="I1204" s="80">
        <f>IF(AND($B1204="",$C1204="",$E1204=""),"",IF(NOT(ISNUMBER($B1204)),"Enter a valid date",IF($C1204="","Pick a category",IF(OR($H1204="Unknown category",$H1204=""),"Category has no cost type",IF(NOT(ISNUMBER($E1204)),"Enter an amount","OK")))))</f>
        <v/>
      </c>
    </row>
    <row r="1205" ht="17" customHeight="1">
      <c r="B1205" s="66" t="n"/>
      <c r="C1205" s="60" t="n"/>
      <c r="D1205" s="60" t="n"/>
      <c r="E1205" s="63" t="n"/>
      <c r="F1205" s="60" t="n"/>
      <c r="G1205" s="60" t="n"/>
      <c r="H1205" s="13">
        <f>IF($C1205="","",IFERROR(INDEX('Lists'!$G$6:$G$35,MATCH($C1205,'Lists'!$F$6:$F$35,0))&amp;"","Unknown category"))</f>
        <v/>
      </c>
      <c r="I1205" s="80">
        <f>IF(AND($B1205="",$C1205="",$E1205=""),"",IF(NOT(ISNUMBER($B1205)),"Enter a valid date",IF($C1205="","Pick a category",IF(OR($H1205="Unknown category",$H1205=""),"Category has no cost type",IF(NOT(ISNUMBER($E1205)),"Enter an amount","OK")))))</f>
        <v/>
      </c>
    </row>
    <row r="1206" ht="17" customHeight="1">
      <c r="B1206" s="66" t="n"/>
      <c r="C1206" s="60" t="n"/>
      <c r="D1206" s="60" t="n"/>
      <c r="E1206" s="63" t="n"/>
      <c r="F1206" s="60" t="n"/>
      <c r="G1206" s="60" t="n"/>
      <c r="H1206" s="13">
        <f>IF($C1206="","",IFERROR(INDEX('Lists'!$G$6:$G$35,MATCH($C1206,'Lists'!$F$6:$F$35,0))&amp;"","Unknown category"))</f>
        <v/>
      </c>
      <c r="I1206" s="80">
        <f>IF(AND($B1206="",$C1206="",$E1206=""),"",IF(NOT(ISNUMBER($B1206)),"Enter a valid date",IF($C1206="","Pick a category",IF(OR($H1206="Unknown category",$H1206=""),"Category has no cost type",IF(NOT(ISNUMBER($E1206)),"Enter an amount","OK")))))</f>
        <v/>
      </c>
    </row>
    <row r="1207" ht="17" customHeight="1">
      <c r="B1207" s="66" t="n"/>
      <c r="C1207" s="60" t="n"/>
      <c r="D1207" s="60" t="n"/>
      <c r="E1207" s="63" t="n"/>
      <c r="F1207" s="60" t="n"/>
      <c r="G1207" s="60" t="n"/>
      <c r="H1207" s="13">
        <f>IF($C1207="","",IFERROR(INDEX('Lists'!$G$6:$G$35,MATCH($C1207,'Lists'!$F$6:$F$35,0))&amp;"","Unknown category"))</f>
        <v/>
      </c>
      <c r="I1207" s="80">
        <f>IF(AND($B1207="",$C1207="",$E1207=""),"",IF(NOT(ISNUMBER($B1207)),"Enter a valid date",IF($C1207="","Pick a category",IF(OR($H1207="Unknown category",$H1207=""),"Category has no cost type",IF(NOT(ISNUMBER($E1207)),"Enter an amount","OK")))))</f>
        <v/>
      </c>
    </row>
    <row r="1208" ht="17" customHeight="1">
      <c r="B1208" s="66" t="n"/>
      <c r="C1208" s="60" t="n"/>
      <c r="D1208" s="60" t="n"/>
      <c r="E1208" s="63" t="n"/>
      <c r="F1208" s="60" t="n"/>
      <c r="G1208" s="60" t="n"/>
      <c r="H1208" s="13">
        <f>IF($C1208="","",IFERROR(INDEX('Lists'!$G$6:$G$35,MATCH($C1208,'Lists'!$F$6:$F$35,0))&amp;"","Unknown category"))</f>
        <v/>
      </c>
      <c r="I1208" s="80">
        <f>IF(AND($B1208="",$C1208="",$E1208=""),"",IF(NOT(ISNUMBER($B1208)),"Enter a valid date",IF($C1208="","Pick a category",IF(OR($H1208="Unknown category",$H1208=""),"Category has no cost type",IF(NOT(ISNUMBER($E1208)),"Enter an amount","OK")))))</f>
        <v/>
      </c>
    </row>
    <row r="1209" ht="17" customHeight="1">
      <c r="B1209" s="66" t="n"/>
      <c r="C1209" s="60" t="n"/>
      <c r="D1209" s="60" t="n"/>
      <c r="E1209" s="63" t="n"/>
      <c r="F1209" s="60" t="n"/>
      <c r="G1209" s="60" t="n"/>
      <c r="H1209" s="13">
        <f>IF($C1209="","",IFERROR(INDEX('Lists'!$G$6:$G$35,MATCH($C1209,'Lists'!$F$6:$F$35,0))&amp;"","Unknown category"))</f>
        <v/>
      </c>
      <c r="I1209" s="80">
        <f>IF(AND($B1209="",$C1209="",$E1209=""),"",IF(NOT(ISNUMBER($B1209)),"Enter a valid date",IF($C1209="","Pick a category",IF(OR($H1209="Unknown category",$H1209=""),"Category has no cost type",IF(NOT(ISNUMBER($E1209)),"Enter an amount","OK")))))</f>
        <v/>
      </c>
    </row>
    <row r="1210" ht="17" customHeight="1">
      <c r="B1210" s="66" t="n"/>
      <c r="C1210" s="60" t="n"/>
      <c r="D1210" s="60" t="n"/>
      <c r="E1210" s="63" t="n"/>
      <c r="F1210" s="60" t="n"/>
      <c r="G1210" s="60" t="n"/>
      <c r="H1210" s="13">
        <f>IF($C1210="","",IFERROR(INDEX('Lists'!$G$6:$G$35,MATCH($C1210,'Lists'!$F$6:$F$35,0))&amp;"","Unknown category"))</f>
        <v/>
      </c>
      <c r="I1210" s="80">
        <f>IF(AND($B1210="",$C1210="",$E1210=""),"",IF(NOT(ISNUMBER($B1210)),"Enter a valid date",IF($C1210="","Pick a category",IF(OR($H1210="Unknown category",$H1210=""),"Category has no cost type",IF(NOT(ISNUMBER($E1210)),"Enter an amount","OK")))))</f>
        <v/>
      </c>
    </row>
    <row r="1211" ht="17" customHeight="1">
      <c r="B1211" s="66" t="n"/>
      <c r="C1211" s="60" t="n"/>
      <c r="D1211" s="60" t="n"/>
      <c r="E1211" s="63" t="n"/>
      <c r="F1211" s="60" t="n"/>
      <c r="G1211" s="60" t="n"/>
      <c r="H1211" s="13">
        <f>IF($C1211="","",IFERROR(INDEX('Lists'!$G$6:$G$35,MATCH($C1211,'Lists'!$F$6:$F$35,0))&amp;"","Unknown category"))</f>
        <v/>
      </c>
      <c r="I1211" s="80">
        <f>IF(AND($B1211="",$C1211="",$E1211=""),"",IF(NOT(ISNUMBER($B1211)),"Enter a valid date",IF($C1211="","Pick a category",IF(OR($H1211="Unknown category",$H1211=""),"Category has no cost type",IF(NOT(ISNUMBER($E1211)),"Enter an amount","OK")))))</f>
        <v/>
      </c>
    </row>
    <row r="1212" ht="17" customHeight="1">
      <c r="B1212" s="66" t="n"/>
      <c r="C1212" s="60" t="n"/>
      <c r="D1212" s="60" t="n"/>
      <c r="E1212" s="63" t="n"/>
      <c r="F1212" s="60" t="n"/>
      <c r="G1212" s="60" t="n"/>
      <c r="H1212" s="13">
        <f>IF($C1212="","",IFERROR(INDEX('Lists'!$G$6:$G$35,MATCH($C1212,'Lists'!$F$6:$F$35,0))&amp;"","Unknown category"))</f>
        <v/>
      </c>
      <c r="I1212" s="80">
        <f>IF(AND($B1212="",$C1212="",$E1212=""),"",IF(NOT(ISNUMBER($B1212)),"Enter a valid date",IF($C1212="","Pick a category",IF(OR($H1212="Unknown category",$H1212=""),"Category has no cost type",IF(NOT(ISNUMBER($E1212)),"Enter an amount","OK")))))</f>
        <v/>
      </c>
    </row>
    <row r="1213" ht="17" customHeight="1">
      <c r="B1213" s="66" t="n"/>
      <c r="C1213" s="60" t="n"/>
      <c r="D1213" s="60" t="n"/>
      <c r="E1213" s="63" t="n"/>
      <c r="F1213" s="60" t="n"/>
      <c r="G1213" s="60" t="n"/>
      <c r="H1213" s="13">
        <f>IF($C1213="","",IFERROR(INDEX('Lists'!$G$6:$G$35,MATCH($C1213,'Lists'!$F$6:$F$35,0))&amp;"","Unknown category"))</f>
        <v/>
      </c>
      <c r="I1213" s="80">
        <f>IF(AND($B1213="",$C1213="",$E1213=""),"",IF(NOT(ISNUMBER($B1213)),"Enter a valid date",IF($C1213="","Pick a category",IF(OR($H1213="Unknown category",$H1213=""),"Category has no cost type",IF(NOT(ISNUMBER($E1213)),"Enter an amount","OK")))))</f>
        <v/>
      </c>
    </row>
    <row r="1214" ht="17" customHeight="1">
      <c r="B1214" s="66" t="n"/>
      <c r="C1214" s="60" t="n"/>
      <c r="D1214" s="60" t="n"/>
      <c r="E1214" s="63" t="n"/>
      <c r="F1214" s="60" t="n"/>
      <c r="G1214" s="60" t="n"/>
      <c r="H1214" s="13">
        <f>IF($C1214="","",IFERROR(INDEX('Lists'!$G$6:$G$35,MATCH($C1214,'Lists'!$F$6:$F$35,0))&amp;"","Unknown category"))</f>
        <v/>
      </c>
      <c r="I1214" s="80">
        <f>IF(AND($B1214="",$C1214="",$E1214=""),"",IF(NOT(ISNUMBER($B1214)),"Enter a valid date",IF($C1214="","Pick a category",IF(OR($H1214="Unknown category",$H1214=""),"Category has no cost type",IF(NOT(ISNUMBER($E1214)),"Enter an amount","OK")))))</f>
        <v/>
      </c>
    </row>
    <row r="1215" ht="17" customHeight="1">
      <c r="B1215" s="66" t="n"/>
      <c r="C1215" s="60" t="n"/>
      <c r="D1215" s="60" t="n"/>
      <c r="E1215" s="63" t="n"/>
      <c r="F1215" s="60" t="n"/>
      <c r="G1215" s="60" t="n"/>
      <c r="H1215" s="13">
        <f>IF($C1215="","",IFERROR(INDEX('Lists'!$G$6:$G$35,MATCH($C1215,'Lists'!$F$6:$F$35,0))&amp;"","Unknown category"))</f>
        <v/>
      </c>
      <c r="I1215" s="80">
        <f>IF(AND($B1215="",$C1215="",$E1215=""),"",IF(NOT(ISNUMBER($B1215)),"Enter a valid date",IF($C1215="","Pick a category",IF(OR($H1215="Unknown category",$H1215=""),"Category has no cost type",IF(NOT(ISNUMBER($E1215)),"Enter an amount","OK")))))</f>
        <v/>
      </c>
    </row>
    <row r="1216" ht="17" customHeight="1">
      <c r="B1216" s="66" t="n"/>
      <c r="C1216" s="60" t="n"/>
      <c r="D1216" s="60" t="n"/>
      <c r="E1216" s="63" t="n"/>
      <c r="F1216" s="60" t="n"/>
      <c r="G1216" s="60" t="n"/>
      <c r="H1216" s="13">
        <f>IF($C1216="","",IFERROR(INDEX('Lists'!$G$6:$G$35,MATCH($C1216,'Lists'!$F$6:$F$35,0))&amp;"","Unknown category"))</f>
        <v/>
      </c>
      <c r="I1216" s="80">
        <f>IF(AND($B1216="",$C1216="",$E1216=""),"",IF(NOT(ISNUMBER($B1216)),"Enter a valid date",IF($C1216="","Pick a category",IF(OR($H1216="Unknown category",$H1216=""),"Category has no cost type",IF(NOT(ISNUMBER($E1216)),"Enter an amount","OK")))))</f>
        <v/>
      </c>
    </row>
    <row r="1217" ht="17" customHeight="1">
      <c r="B1217" s="66" t="n"/>
      <c r="C1217" s="60" t="n"/>
      <c r="D1217" s="60" t="n"/>
      <c r="E1217" s="63" t="n"/>
      <c r="F1217" s="60" t="n"/>
      <c r="G1217" s="60" t="n"/>
      <c r="H1217" s="13">
        <f>IF($C1217="","",IFERROR(INDEX('Lists'!$G$6:$G$35,MATCH($C1217,'Lists'!$F$6:$F$35,0))&amp;"","Unknown category"))</f>
        <v/>
      </c>
      <c r="I1217" s="80">
        <f>IF(AND($B1217="",$C1217="",$E1217=""),"",IF(NOT(ISNUMBER($B1217)),"Enter a valid date",IF($C1217="","Pick a category",IF(OR($H1217="Unknown category",$H1217=""),"Category has no cost type",IF(NOT(ISNUMBER($E1217)),"Enter an amount","OK")))))</f>
        <v/>
      </c>
    </row>
    <row r="1218" ht="17" customHeight="1">
      <c r="B1218" s="66" t="n"/>
      <c r="C1218" s="60" t="n"/>
      <c r="D1218" s="60" t="n"/>
      <c r="E1218" s="63" t="n"/>
      <c r="F1218" s="60" t="n"/>
      <c r="G1218" s="60" t="n"/>
      <c r="H1218" s="13">
        <f>IF($C1218="","",IFERROR(INDEX('Lists'!$G$6:$G$35,MATCH($C1218,'Lists'!$F$6:$F$35,0))&amp;"","Unknown category"))</f>
        <v/>
      </c>
      <c r="I1218" s="80">
        <f>IF(AND($B1218="",$C1218="",$E1218=""),"",IF(NOT(ISNUMBER($B1218)),"Enter a valid date",IF($C1218="","Pick a category",IF(OR($H1218="Unknown category",$H1218=""),"Category has no cost type",IF(NOT(ISNUMBER($E1218)),"Enter an amount","OK")))))</f>
        <v/>
      </c>
    </row>
    <row r="1219" ht="17" customHeight="1">
      <c r="B1219" s="66" t="n"/>
      <c r="C1219" s="60" t="n"/>
      <c r="D1219" s="60" t="n"/>
      <c r="E1219" s="63" t="n"/>
      <c r="F1219" s="60" t="n"/>
      <c r="G1219" s="60" t="n"/>
      <c r="H1219" s="13">
        <f>IF($C1219="","",IFERROR(INDEX('Lists'!$G$6:$G$35,MATCH($C1219,'Lists'!$F$6:$F$35,0))&amp;"","Unknown category"))</f>
        <v/>
      </c>
      <c r="I1219" s="80">
        <f>IF(AND($B1219="",$C1219="",$E1219=""),"",IF(NOT(ISNUMBER($B1219)),"Enter a valid date",IF($C1219="","Pick a category",IF(OR($H1219="Unknown category",$H1219=""),"Category has no cost type",IF(NOT(ISNUMBER($E1219)),"Enter an amount","OK")))))</f>
        <v/>
      </c>
    </row>
    <row r="1220" ht="17" customHeight="1">
      <c r="B1220" s="66" t="n"/>
      <c r="C1220" s="60" t="n"/>
      <c r="D1220" s="60" t="n"/>
      <c r="E1220" s="63" t="n"/>
      <c r="F1220" s="60" t="n"/>
      <c r="G1220" s="60" t="n"/>
      <c r="H1220" s="13">
        <f>IF($C1220="","",IFERROR(INDEX('Lists'!$G$6:$G$35,MATCH($C1220,'Lists'!$F$6:$F$35,0))&amp;"","Unknown category"))</f>
        <v/>
      </c>
      <c r="I1220" s="80">
        <f>IF(AND($B1220="",$C1220="",$E1220=""),"",IF(NOT(ISNUMBER($B1220)),"Enter a valid date",IF($C1220="","Pick a category",IF(OR($H1220="Unknown category",$H1220=""),"Category has no cost type",IF(NOT(ISNUMBER($E1220)),"Enter an amount","OK")))))</f>
        <v/>
      </c>
    </row>
    <row r="1221" ht="17" customHeight="1">
      <c r="B1221" s="66" t="n"/>
      <c r="C1221" s="60" t="n"/>
      <c r="D1221" s="60" t="n"/>
      <c r="E1221" s="63" t="n"/>
      <c r="F1221" s="60" t="n"/>
      <c r="G1221" s="60" t="n"/>
      <c r="H1221" s="13">
        <f>IF($C1221="","",IFERROR(INDEX('Lists'!$G$6:$G$35,MATCH($C1221,'Lists'!$F$6:$F$35,0))&amp;"","Unknown category"))</f>
        <v/>
      </c>
      <c r="I1221" s="80">
        <f>IF(AND($B1221="",$C1221="",$E1221=""),"",IF(NOT(ISNUMBER($B1221)),"Enter a valid date",IF($C1221="","Pick a category",IF(OR($H1221="Unknown category",$H1221=""),"Category has no cost type",IF(NOT(ISNUMBER($E1221)),"Enter an amount","OK")))))</f>
        <v/>
      </c>
    </row>
    <row r="1222" ht="17" customHeight="1">
      <c r="B1222" s="66" t="n"/>
      <c r="C1222" s="60" t="n"/>
      <c r="D1222" s="60" t="n"/>
      <c r="E1222" s="63" t="n"/>
      <c r="F1222" s="60" t="n"/>
      <c r="G1222" s="60" t="n"/>
      <c r="H1222" s="13">
        <f>IF($C1222="","",IFERROR(INDEX('Lists'!$G$6:$G$35,MATCH($C1222,'Lists'!$F$6:$F$35,0))&amp;"","Unknown category"))</f>
        <v/>
      </c>
      <c r="I1222" s="80">
        <f>IF(AND($B1222="",$C1222="",$E1222=""),"",IF(NOT(ISNUMBER($B1222)),"Enter a valid date",IF($C1222="","Pick a category",IF(OR($H1222="Unknown category",$H1222=""),"Category has no cost type",IF(NOT(ISNUMBER($E1222)),"Enter an amount","OK")))))</f>
        <v/>
      </c>
    </row>
    <row r="1223" ht="17" customHeight="1">
      <c r="B1223" s="66" t="n"/>
      <c r="C1223" s="60" t="n"/>
      <c r="D1223" s="60" t="n"/>
      <c r="E1223" s="63" t="n"/>
      <c r="F1223" s="60" t="n"/>
      <c r="G1223" s="60" t="n"/>
      <c r="H1223" s="13">
        <f>IF($C1223="","",IFERROR(INDEX('Lists'!$G$6:$G$35,MATCH($C1223,'Lists'!$F$6:$F$35,0))&amp;"","Unknown category"))</f>
        <v/>
      </c>
      <c r="I1223" s="80">
        <f>IF(AND($B1223="",$C1223="",$E1223=""),"",IF(NOT(ISNUMBER($B1223)),"Enter a valid date",IF($C1223="","Pick a category",IF(OR($H1223="Unknown category",$H1223=""),"Category has no cost type",IF(NOT(ISNUMBER($E1223)),"Enter an amount","OK")))))</f>
        <v/>
      </c>
    </row>
    <row r="1224" ht="17" customHeight="1">
      <c r="B1224" s="66" t="n"/>
      <c r="C1224" s="60" t="n"/>
      <c r="D1224" s="60" t="n"/>
      <c r="E1224" s="63" t="n"/>
      <c r="F1224" s="60" t="n"/>
      <c r="G1224" s="60" t="n"/>
      <c r="H1224" s="13">
        <f>IF($C1224="","",IFERROR(INDEX('Lists'!$G$6:$G$35,MATCH($C1224,'Lists'!$F$6:$F$35,0))&amp;"","Unknown category"))</f>
        <v/>
      </c>
      <c r="I1224" s="80">
        <f>IF(AND($B1224="",$C1224="",$E1224=""),"",IF(NOT(ISNUMBER($B1224)),"Enter a valid date",IF($C1224="","Pick a category",IF(OR($H1224="Unknown category",$H1224=""),"Category has no cost type",IF(NOT(ISNUMBER($E1224)),"Enter an amount","OK")))))</f>
        <v/>
      </c>
    </row>
    <row r="1225" ht="17" customHeight="1">
      <c r="B1225" s="66" t="n"/>
      <c r="C1225" s="60" t="n"/>
      <c r="D1225" s="60" t="n"/>
      <c r="E1225" s="63" t="n"/>
      <c r="F1225" s="60" t="n"/>
      <c r="G1225" s="60" t="n"/>
      <c r="H1225" s="13">
        <f>IF($C1225="","",IFERROR(INDEX('Lists'!$G$6:$G$35,MATCH($C1225,'Lists'!$F$6:$F$35,0))&amp;"","Unknown category"))</f>
        <v/>
      </c>
      <c r="I1225" s="80">
        <f>IF(AND($B1225="",$C1225="",$E1225=""),"",IF(NOT(ISNUMBER($B1225)),"Enter a valid date",IF($C1225="","Pick a category",IF(OR($H1225="Unknown category",$H1225=""),"Category has no cost type",IF(NOT(ISNUMBER($E1225)),"Enter an amount","OK")))))</f>
        <v/>
      </c>
    </row>
    <row r="1226" ht="17" customHeight="1">
      <c r="B1226" s="66" t="n"/>
      <c r="C1226" s="60" t="n"/>
      <c r="D1226" s="60" t="n"/>
      <c r="E1226" s="63" t="n"/>
      <c r="F1226" s="60" t="n"/>
      <c r="G1226" s="60" t="n"/>
      <c r="H1226" s="13">
        <f>IF($C1226="","",IFERROR(INDEX('Lists'!$G$6:$G$35,MATCH($C1226,'Lists'!$F$6:$F$35,0))&amp;"","Unknown category"))</f>
        <v/>
      </c>
      <c r="I1226" s="80">
        <f>IF(AND($B1226="",$C1226="",$E1226=""),"",IF(NOT(ISNUMBER($B1226)),"Enter a valid date",IF($C1226="","Pick a category",IF(OR($H1226="Unknown category",$H1226=""),"Category has no cost type",IF(NOT(ISNUMBER($E1226)),"Enter an amount","OK")))))</f>
        <v/>
      </c>
    </row>
    <row r="1227" ht="17" customHeight="1">
      <c r="B1227" s="66" t="n"/>
      <c r="C1227" s="60" t="n"/>
      <c r="D1227" s="60" t="n"/>
      <c r="E1227" s="63" t="n"/>
      <c r="F1227" s="60" t="n"/>
      <c r="G1227" s="60" t="n"/>
      <c r="H1227" s="13">
        <f>IF($C1227="","",IFERROR(INDEX('Lists'!$G$6:$G$35,MATCH($C1227,'Lists'!$F$6:$F$35,0))&amp;"","Unknown category"))</f>
        <v/>
      </c>
      <c r="I1227" s="80">
        <f>IF(AND($B1227="",$C1227="",$E1227=""),"",IF(NOT(ISNUMBER($B1227)),"Enter a valid date",IF($C1227="","Pick a category",IF(OR($H1227="Unknown category",$H1227=""),"Category has no cost type",IF(NOT(ISNUMBER($E1227)),"Enter an amount","OK")))))</f>
        <v/>
      </c>
    </row>
    <row r="1228" ht="17" customHeight="1">
      <c r="B1228" s="66" t="n"/>
      <c r="C1228" s="60" t="n"/>
      <c r="D1228" s="60" t="n"/>
      <c r="E1228" s="63" t="n"/>
      <c r="F1228" s="60" t="n"/>
      <c r="G1228" s="60" t="n"/>
      <c r="H1228" s="13">
        <f>IF($C1228="","",IFERROR(INDEX('Lists'!$G$6:$G$35,MATCH($C1228,'Lists'!$F$6:$F$35,0))&amp;"","Unknown category"))</f>
        <v/>
      </c>
      <c r="I1228" s="80">
        <f>IF(AND($B1228="",$C1228="",$E1228=""),"",IF(NOT(ISNUMBER($B1228)),"Enter a valid date",IF($C1228="","Pick a category",IF(OR($H1228="Unknown category",$H1228=""),"Category has no cost type",IF(NOT(ISNUMBER($E1228)),"Enter an amount","OK")))))</f>
        <v/>
      </c>
    </row>
    <row r="1229" ht="17" customHeight="1">
      <c r="B1229" s="66" t="n"/>
      <c r="C1229" s="60" t="n"/>
      <c r="D1229" s="60" t="n"/>
      <c r="E1229" s="63" t="n"/>
      <c r="F1229" s="60" t="n"/>
      <c r="G1229" s="60" t="n"/>
      <c r="H1229" s="13">
        <f>IF($C1229="","",IFERROR(INDEX('Lists'!$G$6:$G$35,MATCH($C1229,'Lists'!$F$6:$F$35,0))&amp;"","Unknown category"))</f>
        <v/>
      </c>
      <c r="I1229" s="80">
        <f>IF(AND($B1229="",$C1229="",$E1229=""),"",IF(NOT(ISNUMBER($B1229)),"Enter a valid date",IF($C1229="","Pick a category",IF(OR($H1229="Unknown category",$H1229=""),"Category has no cost type",IF(NOT(ISNUMBER($E1229)),"Enter an amount","OK")))))</f>
        <v/>
      </c>
    </row>
    <row r="1230" ht="17" customHeight="1">
      <c r="B1230" s="66" t="n"/>
      <c r="C1230" s="60" t="n"/>
      <c r="D1230" s="60" t="n"/>
      <c r="E1230" s="63" t="n"/>
      <c r="F1230" s="60" t="n"/>
      <c r="G1230" s="60" t="n"/>
      <c r="H1230" s="13">
        <f>IF($C1230="","",IFERROR(INDEX('Lists'!$G$6:$G$35,MATCH($C1230,'Lists'!$F$6:$F$35,0))&amp;"","Unknown category"))</f>
        <v/>
      </c>
      <c r="I1230" s="80">
        <f>IF(AND($B1230="",$C1230="",$E1230=""),"",IF(NOT(ISNUMBER($B1230)),"Enter a valid date",IF($C1230="","Pick a category",IF(OR($H1230="Unknown category",$H1230=""),"Category has no cost type",IF(NOT(ISNUMBER($E1230)),"Enter an amount","OK")))))</f>
        <v/>
      </c>
    </row>
    <row r="1231" ht="17" customHeight="1">
      <c r="B1231" s="66" t="n"/>
      <c r="C1231" s="60" t="n"/>
      <c r="D1231" s="60" t="n"/>
      <c r="E1231" s="63" t="n"/>
      <c r="F1231" s="60" t="n"/>
      <c r="G1231" s="60" t="n"/>
      <c r="H1231" s="13">
        <f>IF($C1231="","",IFERROR(INDEX('Lists'!$G$6:$G$35,MATCH($C1231,'Lists'!$F$6:$F$35,0))&amp;"","Unknown category"))</f>
        <v/>
      </c>
      <c r="I1231" s="80">
        <f>IF(AND($B1231="",$C1231="",$E1231=""),"",IF(NOT(ISNUMBER($B1231)),"Enter a valid date",IF($C1231="","Pick a category",IF(OR($H1231="Unknown category",$H1231=""),"Category has no cost type",IF(NOT(ISNUMBER($E1231)),"Enter an amount","OK")))))</f>
        <v/>
      </c>
    </row>
    <row r="1232" ht="17" customHeight="1">
      <c r="B1232" s="66" t="n"/>
      <c r="C1232" s="60" t="n"/>
      <c r="D1232" s="60" t="n"/>
      <c r="E1232" s="63" t="n"/>
      <c r="F1232" s="60" t="n"/>
      <c r="G1232" s="60" t="n"/>
      <c r="H1232" s="13">
        <f>IF($C1232="","",IFERROR(INDEX('Lists'!$G$6:$G$35,MATCH($C1232,'Lists'!$F$6:$F$35,0))&amp;"","Unknown category"))</f>
        <v/>
      </c>
      <c r="I1232" s="80">
        <f>IF(AND($B1232="",$C1232="",$E1232=""),"",IF(NOT(ISNUMBER($B1232)),"Enter a valid date",IF($C1232="","Pick a category",IF(OR($H1232="Unknown category",$H1232=""),"Category has no cost type",IF(NOT(ISNUMBER($E1232)),"Enter an amount","OK")))))</f>
        <v/>
      </c>
    </row>
    <row r="1233" ht="17" customHeight="1">
      <c r="B1233" s="66" t="n"/>
      <c r="C1233" s="60" t="n"/>
      <c r="D1233" s="60" t="n"/>
      <c r="E1233" s="63" t="n"/>
      <c r="F1233" s="60" t="n"/>
      <c r="G1233" s="60" t="n"/>
      <c r="H1233" s="13">
        <f>IF($C1233="","",IFERROR(INDEX('Lists'!$G$6:$G$35,MATCH($C1233,'Lists'!$F$6:$F$35,0))&amp;"","Unknown category"))</f>
        <v/>
      </c>
      <c r="I1233" s="80">
        <f>IF(AND($B1233="",$C1233="",$E1233=""),"",IF(NOT(ISNUMBER($B1233)),"Enter a valid date",IF($C1233="","Pick a category",IF(OR($H1233="Unknown category",$H1233=""),"Category has no cost type",IF(NOT(ISNUMBER($E1233)),"Enter an amount","OK")))))</f>
        <v/>
      </c>
    </row>
    <row r="1234" ht="17" customHeight="1">
      <c r="B1234" s="66" t="n"/>
      <c r="C1234" s="60" t="n"/>
      <c r="D1234" s="60" t="n"/>
      <c r="E1234" s="63" t="n"/>
      <c r="F1234" s="60" t="n"/>
      <c r="G1234" s="60" t="n"/>
      <c r="H1234" s="13">
        <f>IF($C1234="","",IFERROR(INDEX('Lists'!$G$6:$G$35,MATCH($C1234,'Lists'!$F$6:$F$35,0))&amp;"","Unknown category"))</f>
        <v/>
      </c>
      <c r="I1234" s="80">
        <f>IF(AND($B1234="",$C1234="",$E1234=""),"",IF(NOT(ISNUMBER($B1234)),"Enter a valid date",IF($C1234="","Pick a category",IF(OR($H1234="Unknown category",$H1234=""),"Category has no cost type",IF(NOT(ISNUMBER($E1234)),"Enter an amount","OK")))))</f>
        <v/>
      </c>
    </row>
    <row r="1235" ht="17" customHeight="1">
      <c r="B1235" s="66" t="n"/>
      <c r="C1235" s="60" t="n"/>
      <c r="D1235" s="60" t="n"/>
      <c r="E1235" s="63" t="n"/>
      <c r="F1235" s="60" t="n"/>
      <c r="G1235" s="60" t="n"/>
      <c r="H1235" s="13">
        <f>IF($C1235="","",IFERROR(INDEX('Lists'!$G$6:$G$35,MATCH($C1235,'Lists'!$F$6:$F$35,0))&amp;"","Unknown category"))</f>
        <v/>
      </c>
      <c r="I1235" s="80">
        <f>IF(AND($B1235="",$C1235="",$E1235=""),"",IF(NOT(ISNUMBER($B1235)),"Enter a valid date",IF($C1235="","Pick a category",IF(OR($H1235="Unknown category",$H1235=""),"Category has no cost type",IF(NOT(ISNUMBER($E1235)),"Enter an amount","OK")))))</f>
        <v/>
      </c>
    </row>
    <row r="1236" ht="17" customHeight="1">
      <c r="B1236" s="66" t="n"/>
      <c r="C1236" s="60" t="n"/>
      <c r="D1236" s="60" t="n"/>
      <c r="E1236" s="63" t="n"/>
      <c r="F1236" s="60" t="n"/>
      <c r="G1236" s="60" t="n"/>
      <c r="H1236" s="13">
        <f>IF($C1236="","",IFERROR(INDEX('Lists'!$G$6:$G$35,MATCH($C1236,'Lists'!$F$6:$F$35,0))&amp;"","Unknown category"))</f>
        <v/>
      </c>
      <c r="I1236" s="80">
        <f>IF(AND($B1236="",$C1236="",$E1236=""),"",IF(NOT(ISNUMBER($B1236)),"Enter a valid date",IF($C1236="","Pick a category",IF(OR($H1236="Unknown category",$H1236=""),"Category has no cost type",IF(NOT(ISNUMBER($E1236)),"Enter an amount","OK")))))</f>
        <v/>
      </c>
    </row>
    <row r="1237" ht="17" customHeight="1">
      <c r="B1237" s="66" t="n"/>
      <c r="C1237" s="60" t="n"/>
      <c r="D1237" s="60" t="n"/>
      <c r="E1237" s="63" t="n"/>
      <c r="F1237" s="60" t="n"/>
      <c r="G1237" s="60" t="n"/>
      <c r="H1237" s="13">
        <f>IF($C1237="","",IFERROR(INDEX('Lists'!$G$6:$G$35,MATCH($C1237,'Lists'!$F$6:$F$35,0))&amp;"","Unknown category"))</f>
        <v/>
      </c>
      <c r="I1237" s="80">
        <f>IF(AND($B1237="",$C1237="",$E1237=""),"",IF(NOT(ISNUMBER($B1237)),"Enter a valid date",IF($C1237="","Pick a category",IF(OR($H1237="Unknown category",$H1237=""),"Category has no cost type",IF(NOT(ISNUMBER($E1237)),"Enter an amount","OK")))))</f>
        <v/>
      </c>
    </row>
    <row r="1238" ht="17" customHeight="1">
      <c r="B1238" s="66" t="n"/>
      <c r="C1238" s="60" t="n"/>
      <c r="D1238" s="60" t="n"/>
      <c r="E1238" s="63" t="n"/>
      <c r="F1238" s="60" t="n"/>
      <c r="G1238" s="60" t="n"/>
      <c r="H1238" s="13">
        <f>IF($C1238="","",IFERROR(INDEX('Lists'!$G$6:$G$35,MATCH($C1238,'Lists'!$F$6:$F$35,0))&amp;"","Unknown category"))</f>
        <v/>
      </c>
      <c r="I1238" s="80">
        <f>IF(AND($B1238="",$C1238="",$E1238=""),"",IF(NOT(ISNUMBER($B1238)),"Enter a valid date",IF($C1238="","Pick a category",IF(OR($H1238="Unknown category",$H1238=""),"Category has no cost type",IF(NOT(ISNUMBER($E1238)),"Enter an amount","OK")))))</f>
        <v/>
      </c>
    </row>
    <row r="1239" ht="17" customHeight="1">
      <c r="B1239" s="66" t="n"/>
      <c r="C1239" s="60" t="n"/>
      <c r="D1239" s="60" t="n"/>
      <c r="E1239" s="63" t="n"/>
      <c r="F1239" s="60" t="n"/>
      <c r="G1239" s="60" t="n"/>
      <c r="H1239" s="13">
        <f>IF($C1239="","",IFERROR(INDEX('Lists'!$G$6:$G$35,MATCH($C1239,'Lists'!$F$6:$F$35,0))&amp;"","Unknown category"))</f>
        <v/>
      </c>
      <c r="I1239" s="80">
        <f>IF(AND($B1239="",$C1239="",$E1239=""),"",IF(NOT(ISNUMBER($B1239)),"Enter a valid date",IF($C1239="","Pick a category",IF(OR($H1239="Unknown category",$H1239=""),"Category has no cost type",IF(NOT(ISNUMBER($E1239)),"Enter an amount","OK")))))</f>
        <v/>
      </c>
    </row>
    <row r="1240" ht="17" customHeight="1">
      <c r="B1240" s="66" t="n"/>
      <c r="C1240" s="60" t="n"/>
      <c r="D1240" s="60" t="n"/>
      <c r="E1240" s="63" t="n"/>
      <c r="F1240" s="60" t="n"/>
      <c r="G1240" s="60" t="n"/>
      <c r="H1240" s="13">
        <f>IF($C1240="","",IFERROR(INDEX('Lists'!$G$6:$G$35,MATCH($C1240,'Lists'!$F$6:$F$35,0))&amp;"","Unknown category"))</f>
        <v/>
      </c>
      <c r="I1240" s="80">
        <f>IF(AND($B1240="",$C1240="",$E1240=""),"",IF(NOT(ISNUMBER($B1240)),"Enter a valid date",IF($C1240="","Pick a category",IF(OR($H1240="Unknown category",$H1240=""),"Category has no cost type",IF(NOT(ISNUMBER($E1240)),"Enter an amount","OK")))))</f>
        <v/>
      </c>
    </row>
    <row r="1241" ht="17" customHeight="1">
      <c r="B1241" s="66" t="n"/>
      <c r="C1241" s="60" t="n"/>
      <c r="D1241" s="60" t="n"/>
      <c r="E1241" s="63" t="n"/>
      <c r="F1241" s="60" t="n"/>
      <c r="G1241" s="60" t="n"/>
      <c r="H1241" s="13">
        <f>IF($C1241="","",IFERROR(INDEX('Lists'!$G$6:$G$35,MATCH($C1241,'Lists'!$F$6:$F$35,0))&amp;"","Unknown category"))</f>
        <v/>
      </c>
      <c r="I1241" s="80">
        <f>IF(AND($B1241="",$C1241="",$E1241=""),"",IF(NOT(ISNUMBER($B1241)),"Enter a valid date",IF($C1241="","Pick a category",IF(OR($H1241="Unknown category",$H1241=""),"Category has no cost type",IF(NOT(ISNUMBER($E1241)),"Enter an amount","OK")))))</f>
        <v/>
      </c>
    </row>
    <row r="1242" ht="17" customHeight="1">
      <c r="B1242" s="66" t="n"/>
      <c r="C1242" s="60" t="n"/>
      <c r="D1242" s="60" t="n"/>
      <c r="E1242" s="63" t="n"/>
      <c r="F1242" s="60" t="n"/>
      <c r="G1242" s="60" t="n"/>
      <c r="H1242" s="13">
        <f>IF($C1242="","",IFERROR(INDEX('Lists'!$G$6:$G$35,MATCH($C1242,'Lists'!$F$6:$F$35,0))&amp;"","Unknown category"))</f>
        <v/>
      </c>
      <c r="I1242" s="80">
        <f>IF(AND($B1242="",$C1242="",$E1242=""),"",IF(NOT(ISNUMBER($B1242)),"Enter a valid date",IF($C1242="","Pick a category",IF(OR($H1242="Unknown category",$H1242=""),"Category has no cost type",IF(NOT(ISNUMBER($E1242)),"Enter an amount","OK")))))</f>
        <v/>
      </c>
    </row>
    <row r="1243" ht="17" customHeight="1">
      <c r="B1243" s="66" t="n"/>
      <c r="C1243" s="60" t="n"/>
      <c r="D1243" s="60" t="n"/>
      <c r="E1243" s="63" t="n"/>
      <c r="F1243" s="60" t="n"/>
      <c r="G1243" s="60" t="n"/>
      <c r="H1243" s="13">
        <f>IF($C1243="","",IFERROR(INDEX('Lists'!$G$6:$G$35,MATCH($C1243,'Lists'!$F$6:$F$35,0))&amp;"","Unknown category"))</f>
        <v/>
      </c>
      <c r="I1243" s="80">
        <f>IF(AND($B1243="",$C1243="",$E1243=""),"",IF(NOT(ISNUMBER($B1243)),"Enter a valid date",IF($C1243="","Pick a category",IF(OR($H1243="Unknown category",$H1243=""),"Category has no cost type",IF(NOT(ISNUMBER($E1243)),"Enter an amount","OK")))))</f>
        <v/>
      </c>
    </row>
    <row r="1244" ht="17" customHeight="1">
      <c r="B1244" s="66" t="n"/>
      <c r="C1244" s="60" t="n"/>
      <c r="D1244" s="60" t="n"/>
      <c r="E1244" s="63" t="n"/>
      <c r="F1244" s="60" t="n"/>
      <c r="G1244" s="60" t="n"/>
      <c r="H1244" s="13">
        <f>IF($C1244="","",IFERROR(INDEX('Lists'!$G$6:$G$35,MATCH($C1244,'Lists'!$F$6:$F$35,0))&amp;"","Unknown category"))</f>
        <v/>
      </c>
      <c r="I1244" s="80">
        <f>IF(AND($B1244="",$C1244="",$E1244=""),"",IF(NOT(ISNUMBER($B1244)),"Enter a valid date",IF($C1244="","Pick a category",IF(OR($H1244="Unknown category",$H1244=""),"Category has no cost type",IF(NOT(ISNUMBER($E1244)),"Enter an amount","OK")))))</f>
        <v/>
      </c>
    </row>
    <row r="1245" ht="17" customHeight="1">
      <c r="B1245" s="66" t="n"/>
      <c r="C1245" s="60" t="n"/>
      <c r="D1245" s="60" t="n"/>
      <c r="E1245" s="63" t="n"/>
      <c r="F1245" s="60" t="n"/>
      <c r="G1245" s="60" t="n"/>
      <c r="H1245" s="13">
        <f>IF($C1245="","",IFERROR(INDEX('Lists'!$G$6:$G$35,MATCH($C1245,'Lists'!$F$6:$F$35,0))&amp;"","Unknown category"))</f>
        <v/>
      </c>
      <c r="I1245" s="80">
        <f>IF(AND($B1245="",$C1245="",$E1245=""),"",IF(NOT(ISNUMBER($B1245)),"Enter a valid date",IF($C1245="","Pick a category",IF(OR($H1245="Unknown category",$H1245=""),"Category has no cost type",IF(NOT(ISNUMBER($E1245)),"Enter an amount","OK")))))</f>
        <v/>
      </c>
    </row>
    <row r="1246" ht="17" customHeight="1">
      <c r="B1246" s="66" t="n"/>
      <c r="C1246" s="60" t="n"/>
      <c r="D1246" s="60" t="n"/>
      <c r="E1246" s="63" t="n"/>
      <c r="F1246" s="60" t="n"/>
      <c r="G1246" s="60" t="n"/>
      <c r="H1246" s="13">
        <f>IF($C1246="","",IFERROR(INDEX('Lists'!$G$6:$G$35,MATCH($C1246,'Lists'!$F$6:$F$35,0))&amp;"","Unknown category"))</f>
        <v/>
      </c>
      <c r="I1246" s="80">
        <f>IF(AND($B1246="",$C1246="",$E1246=""),"",IF(NOT(ISNUMBER($B1246)),"Enter a valid date",IF($C1246="","Pick a category",IF(OR($H1246="Unknown category",$H1246=""),"Category has no cost type",IF(NOT(ISNUMBER($E1246)),"Enter an amount","OK")))))</f>
        <v/>
      </c>
    </row>
    <row r="1247" ht="17" customHeight="1">
      <c r="B1247" s="66" t="n"/>
      <c r="C1247" s="60" t="n"/>
      <c r="D1247" s="60" t="n"/>
      <c r="E1247" s="63" t="n"/>
      <c r="F1247" s="60" t="n"/>
      <c r="G1247" s="60" t="n"/>
      <c r="H1247" s="13">
        <f>IF($C1247="","",IFERROR(INDEX('Lists'!$G$6:$G$35,MATCH($C1247,'Lists'!$F$6:$F$35,0))&amp;"","Unknown category"))</f>
        <v/>
      </c>
      <c r="I1247" s="80">
        <f>IF(AND($B1247="",$C1247="",$E1247=""),"",IF(NOT(ISNUMBER($B1247)),"Enter a valid date",IF($C1247="","Pick a category",IF(OR($H1247="Unknown category",$H1247=""),"Category has no cost type",IF(NOT(ISNUMBER($E1247)),"Enter an amount","OK")))))</f>
        <v/>
      </c>
    </row>
    <row r="1248" ht="17" customHeight="1">
      <c r="B1248" s="66" t="n"/>
      <c r="C1248" s="60" t="n"/>
      <c r="D1248" s="60" t="n"/>
      <c r="E1248" s="63" t="n"/>
      <c r="F1248" s="60" t="n"/>
      <c r="G1248" s="60" t="n"/>
      <c r="H1248" s="13">
        <f>IF($C1248="","",IFERROR(INDEX('Lists'!$G$6:$G$35,MATCH($C1248,'Lists'!$F$6:$F$35,0))&amp;"","Unknown category"))</f>
        <v/>
      </c>
      <c r="I1248" s="80">
        <f>IF(AND($B1248="",$C1248="",$E1248=""),"",IF(NOT(ISNUMBER($B1248)),"Enter a valid date",IF($C1248="","Pick a category",IF(OR($H1248="Unknown category",$H1248=""),"Category has no cost type",IF(NOT(ISNUMBER($E1248)),"Enter an amount","OK")))))</f>
        <v/>
      </c>
    </row>
    <row r="1249" ht="17" customHeight="1">
      <c r="B1249" s="66" t="n"/>
      <c r="C1249" s="60" t="n"/>
      <c r="D1249" s="60" t="n"/>
      <c r="E1249" s="63" t="n"/>
      <c r="F1249" s="60" t="n"/>
      <c r="G1249" s="60" t="n"/>
      <c r="H1249" s="13">
        <f>IF($C1249="","",IFERROR(INDEX('Lists'!$G$6:$G$35,MATCH($C1249,'Lists'!$F$6:$F$35,0))&amp;"","Unknown category"))</f>
        <v/>
      </c>
      <c r="I1249" s="80">
        <f>IF(AND($B1249="",$C1249="",$E1249=""),"",IF(NOT(ISNUMBER($B1249)),"Enter a valid date",IF($C1249="","Pick a category",IF(OR($H1249="Unknown category",$H1249=""),"Category has no cost type",IF(NOT(ISNUMBER($E1249)),"Enter an amount","OK")))))</f>
        <v/>
      </c>
    </row>
    <row r="1250" ht="17" customHeight="1">
      <c r="B1250" s="66" t="n"/>
      <c r="C1250" s="60" t="n"/>
      <c r="D1250" s="60" t="n"/>
      <c r="E1250" s="63" t="n"/>
      <c r="F1250" s="60" t="n"/>
      <c r="G1250" s="60" t="n"/>
      <c r="H1250" s="13">
        <f>IF($C1250="","",IFERROR(INDEX('Lists'!$G$6:$G$35,MATCH($C1250,'Lists'!$F$6:$F$35,0))&amp;"","Unknown category"))</f>
        <v/>
      </c>
      <c r="I1250" s="80">
        <f>IF(AND($B1250="",$C1250="",$E1250=""),"",IF(NOT(ISNUMBER($B1250)),"Enter a valid date",IF($C1250="","Pick a category",IF(OR($H1250="Unknown category",$H1250=""),"Category has no cost type",IF(NOT(ISNUMBER($E1250)),"Enter an amount","OK")))))</f>
        <v/>
      </c>
    </row>
    <row r="1251" ht="17" customHeight="1">
      <c r="B1251" s="66" t="n"/>
      <c r="C1251" s="60" t="n"/>
      <c r="D1251" s="60" t="n"/>
      <c r="E1251" s="63" t="n"/>
      <c r="F1251" s="60" t="n"/>
      <c r="G1251" s="60" t="n"/>
      <c r="H1251" s="13">
        <f>IF($C1251="","",IFERROR(INDEX('Lists'!$G$6:$G$35,MATCH($C1251,'Lists'!$F$6:$F$35,0))&amp;"","Unknown category"))</f>
        <v/>
      </c>
      <c r="I1251" s="80">
        <f>IF(AND($B1251="",$C1251="",$E1251=""),"",IF(NOT(ISNUMBER($B1251)),"Enter a valid date",IF($C1251="","Pick a category",IF(OR($H1251="Unknown category",$H1251=""),"Category has no cost type",IF(NOT(ISNUMBER($E1251)),"Enter an amount","OK")))))</f>
        <v/>
      </c>
    </row>
    <row r="1252" ht="17" customHeight="1">
      <c r="B1252" s="66" t="n"/>
      <c r="C1252" s="60" t="n"/>
      <c r="D1252" s="60" t="n"/>
      <c r="E1252" s="63" t="n"/>
      <c r="F1252" s="60" t="n"/>
      <c r="G1252" s="60" t="n"/>
      <c r="H1252" s="13">
        <f>IF($C1252="","",IFERROR(INDEX('Lists'!$G$6:$G$35,MATCH($C1252,'Lists'!$F$6:$F$35,0))&amp;"","Unknown category"))</f>
        <v/>
      </c>
      <c r="I1252" s="80">
        <f>IF(AND($B1252="",$C1252="",$E1252=""),"",IF(NOT(ISNUMBER($B1252)),"Enter a valid date",IF($C1252="","Pick a category",IF(OR($H1252="Unknown category",$H1252=""),"Category has no cost type",IF(NOT(ISNUMBER($E1252)),"Enter an amount","OK")))))</f>
        <v/>
      </c>
    </row>
    <row r="1253" ht="17" customHeight="1">
      <c r="B1253" s="66" t="n"/>
      <c r="C1253" s="60" t="n"/>
      <c r="D1253" s="60" t="n"/>
      <c r="E1253" s="63" t="n"/>
      <c r="F1253" s="60" t="n"/>
      <c r="G1253" s="60" t="n"/>
      <c r="H1253" s="13">
        <f>IF($C1253="","",IFERROR(INDEX('Lists'!$G$6:$G$35,MATCH($C1253,'Lists'!$F$6:$F$35,0))&amp;"","Unknown category"))</f>
        <v/>
      </c>
      <c r="I1253" s="80">
        <f>IF(AND($B1253="",$C1253="",$E1253=""),"",IF(NOT(ISNUMBER($B1253)),"Enter a valid date",IF($C1253="","Pick a category",IF(OR($H1253="Unknown category",$H1253=""),"Category has no cost type",IF(NOT(ISNUMBER($E1253)),"Enter an amount","OK")))))</f>
        <v/>
      </c>
    </row>
    <row r="1254" ht="17" customHeight="1">
      <c r="B1254" s="66" t="n"/>
      <c r="C1254" s="60" t="n"/>
      <c r="D1254" s="60" t="n"/>
      <c r="E1254" s="63" t="n"/>
      <c r="F1254" s="60" t="n"/>
      <c r="G1254" s="60" t="n"/>
      <c r="H1254" s="13">
        <f>IF($C1254="","",IFERROR(INDEX('Lists'!$G$6:$G$35,MATCH($C1254,'Lists'!$F$6:$F$35,0))&amp;"","Unknown category"))</f>
        <v/>
      </c>
      <c r="I1254" s="80">
        <f>IF(AND($B1254="",$C1254="",$E1254=""),"",IF(NOT(ISNUMBER($B1254)),"Enter a valid date",IF($C1254="","Pick a category",IF(OR($H1254="Unknown category",$H1254=""),"Category has no cost type",IF(NOT(ISNUMBER($E1254)),"Enter an amount","OK")))))</f>
        <v/>
      </c>
    </row>
    <row r="1255" ht="17" customHeight="1">
      <c r="B1255" s="66" t="n"/>
      <c r="C1255" s="60" t="n"/>
      <c r="D1255" s="60" t="n"/>
      <c r="E1255" s="63" t="n"/>
      <c r="F1255" s="60" t="n"/>
      <c r="G1255" s="60" t="n"/>
      <c r="H1255" s="13">
        <f>IF($C1255="","",IFERROR(INDEX('Lists'!$G$6:$G$35,MATCH($C1255,'Lists'!$F$6:$F$35,0))&amp;"","Unknown category"))</f>
        <v/>
      </c>
      <c r="I1255" s="80">
        <f>IF(AND($B1255="",$C1255="",$E1255=""),"",IF(NOT(ISNUMBER($B1255)),"Enter a valid date",IF($C1255="","Pick a category",IF(OR($H1255="Unknown category",$H1255=""),"Category has no cost type",IF(NOT(ISNUMBER($E1255)),"Enter an amount","OK")))))</f>
        <v/>
      </c>
    </row>
    <row r="1256" ht="17" customHeight="1">
      <c r="B1256" s="66" t="n"/>
      <c r="C1256" s="60" t="n"/>
      <c r="D1256" s="60" t="n"/>
      <c r="E1256" s="63" t="n"/>
      <c r="F1256" s="60" t="n"/>
      <c r="G1256" s="60" t="n"/>
      <c r="H1256" s="13">
        <f>IF($C1256="","",IFERROR(INDEX('Lists'!$G$6:$G$35,MATCH($C1256,'Lists'!$F$6:$F$35,0))&amp;"","Unknown category"))</f>
        <v/>
      </c>
      <c r="I1256" s="80">
        <f>IF(AND($B1256="",$C1256="",$E1256=""),"",IF(NOT(ISNUMBER($B1256)),"Enter a valid date",IF($C1256="","Pick a category",IF(OR($H1256="Unknown category",$H1256=""),"Category has no cost type",IF(NOT(ISNUMBER($E1256)),"Enter an amount","OK")))))</f>
        <v/>
      </c>
    </row>
    <row r="1257" ht="17" customHeight="1">
      <c r="B1257" s="66" t="n"/>
      <c r="C1257" s="60" t="n"/>
      <c r="D1257" s="60" t="n"/>
      <c r="E1257" s="63" t="n"/>
      <c r="F1257" s="60" t="n"/>
      <c r="G1257" s="60" t="n"/>
      <c r="H1257" s="13">
        <f>IF($C1257="","",IFERROR(INDEX('Lists'!$G$6:$G$35,MATCH($C1257,'Lists'!$F$6:$F$35,0))&amp;"","Unknown category"))</f>
        <v/>
      </c>
      <c r="I1257" s="80">
        <f>IF(AND($B1257="",$C1257="",$E1257=""),"",IF(NOT(ISNUMBER($B1257)),"Enter a valid date",IF($C1257="","Pick a category",IF(OR($H1257="Unknown category",$H1257=""),"Category has no cost type",IF(NOT(ISNUMBER($E1257)),"Enter an amount","OK")))))</f>
        <v/>
      </c>
    </row>
    <row r="1258" ht="17" customHeight="1">
      <c r="B1258" s="66" t="n"/>
      <c r="C1258" s="60" t="n"/>
      <c r="D1258" s="60" t="n"/>
      <c r="E1258" s="63" t="n"/>
      <c r="F1258" s="60" t="n"/>
      <c r="G1258" s="60" t="n"/>
      <c r="H1258" s="13">
        <f>IF($C1258="","",IFERROR(INDEX('Lists'!$G$6:$G$35,MATCH($C1258,'Lists'!$F$6:$F$35,0))&amp;"","Unknown category"))</f>
        <v/>
      </c>
      <c r="I1258" s="80">
        <f>IF(AND($B1258="",$C1258="",$E1258=""),"",IF(NOT(ISNUMBER($B1258)),"Enter a valid date",IF($C1258="","Pick a category",IF(OR($H1258="Unknown category",$H1258=""),"Category has no cost type",IF(NOT(ISNUMBER($E1258)),"Enter an amount","OK")))))</f>
        <v/>
      </c>
    </row>
    <row r="1259" ht="17" customHeight="1">
      <c r="B1259" s="66" t="n"/>
      <c r="C1259" s="60" t="n"/>
      <c r="D1259" s="60" t="n"/>
      <c r="E1259" s="63" t="n"/>
      <c r="F1259" s="60" t="n"/>
      <c r="G1259" s="60" t="n"/>
      <c r="H1259" s="13">
        <f>IF($C1259="","",IFERROR(INDEX('Lists'!$G$6:$G$35,MATCH($C1259,'Lists'!$F$6:$F$35,0))&amp;"","Unknown category"))</f>
        <v/>
      </c>
      <c r="I1259" s="80">
        <f>IF(AND($B1259="",$C1259="",$E1259=""),"",IF(NOT(ISNUMBER($B1259)),"Enter a valid date",IF($C1259="","Pick a category",IF(OR($H1259="Unknown category",$H1259=""),"Category has no cost type",IF(NOT(ISNUMBER($E1259)),"Enter an amount","OK")))))</f>
        <v/>
      </c>
    </row>
    <row r="1260" ht="17" customHeight="1">
      <c r="B1260" s="66" t="n"/>
      <c r="C1260" s="60" t="n"/>
      <c r="D1260" s="60" t="n"/>
      <c r="E1260" s="63" t="n"/>
      <c r="F1260" s="60" t="n"/>
      <c r="G1260" s="60" t="n"/>
      <c r="H1260" s="13">
        <f>IF($C1260="","",IFERROR(INDEX('Lists'!$G$6:$G$35,MATCH($C1260,'Lists'!$F$6:$F$35,0))&amp;"","Unknown category"))</f>
        <v/>
      </c>
      <c r="I1260" s="80">
        <f>IF(AND($B1260="",$C1260="",$E1260=""),"",IF(NOT(ISNUMBER($B1260)),"Enter a valid date",IF($C1260="","Pick a category",IF(OR($H1260="Unknown category",$H1260=""),"Category has no cost type",IF(NOT(ISNUMBER($E1260)),"Enter an amount","OK")))))</f>
        <v/>
      </c>
    </row>
    <row r="1261" ht="17" customHeight="1">
      <c r="B1261" s="66" t="n"/>
      <c r="C1261" s="60" t="n"/>
      <c r="D1261" s="60" t="n"/>
      <c r="E1261" s="63" t="n"/>
      <c r="F1261" s="60" t="n"/>
      <c r="G1261" s="60" t="n"/>
      <c r="H1261" s="13">
        <f>IF($C1261="","",IFERROR(INDEX('Lists'!$G$6:$G$35,MATCH($C1261,'Lists'!$F$6:$F$35,0))&amp;"","Unknown category"))</f>
        <v/>
      </c>
      <c r="I1261" s="80">
        <f>IF(AND($B1261="",$C1261="",$E1261=""),"",IF(NOT(ISNUMBER($B1261)),"Enter a valid date",IF($C1261="","Pick a category",IF(OR($H1261="Unknown category",$H1261=""),"Category has no cost type",IF(NOT(ISNUMBER($E1261)),"Enter an amount","OK")))))</f>
        <v/>
      </c>
    </row>
    <row r="1262" ht="17" customHeight="1">
      <c r="B1262" s="66" t="n"/>
      <c r="C1262" s="60" t="n"/>
      <c r="D1262" s="60" t="n"/>
      <c r="E1262" s="63" t="n"/>
      <c r="F1262" s="60" t="n"/>
      <c r="G1262" s="60" t="n"/>
      <c r="H1262" s="13">
        <f>IF($C1262="","",IFERROR(INDEX('Lists'!$G$6:$G$35,MATCH($C1262,'Lists'!$F$6:$F$35,0))&amp;"","Unknown category"))</f>
        <v/>
      </c>
      <c r="I1262" s="80">
        <f>IF(AND($B1262="",$C1262="",$E1262=""),"",IF(NOT(ISNUMBER($B1262)),"Enter a valid date",IF($C1262="","Pick a category",IF(OR($H1262="Unknown category",$H1262=""),"Category has no cost type",IF(NOT(ISNUMBER($E1262)),"Enter an amount","OK")))))</f>
        <v/>
      </c>
    </row>
    <row r="1263" ht="17" customHeight="1">
      <c r="B1263" s="66" t="n"/>
      <c r="C1263" s="60" t="n"/>
      <c r="D1263" s="60" t="n"/>
      <c r="E1263" s="63" t="n"/>
      <c r="F1263" s="60" t="n"/>
      <c r="G1263" s="60" t="n"/>
      <c r="H1263" s="13">
        <f>IF($C1263="","",IFERROR(INDEX('Lists'!$G$6:$G$35,MATCH($C1263,'Lists'!$F$6:$F$35,0))&amp;"","Unknown category"))</f>
        <v/>
      </c>
      <c r="I1263" s="80">
        <f>IF(AND($B1263="",$C1263="",$E1263=""),"",IF(NOT(ISNUMBER($B1263)),"Enter a valid date",IF($C1263="","Pick a category",IF(OR($H1263="Unknown category",$H1263=""),"Category has no cost type",IF(NOT(ISNUMBER($E1263)),"Enter an amount","OK")))))</f>
        <v/>
      </c>
    </row>
    <row r="1264" ht="17" customHeight="1">
      <c r="B1264" s="66" t="n"/>
      <c r="C1264" s="60" t="n"/>
      <c r="D1264" s="60" t="n"/>
      <c r="E1264" s="63" t="n"/>
      <c r="F1264" s="60" t="n"/>
      <c r="G1264" s="60" t="n"/>
      <c r="H1264" s="13">
        <f>IF($C1264="","",IFERROR(INDEX('Lists'!$G$6:$G$35,MATCH($C1264,'Lists'!$F$6:$F$35,0))&amp;"","Unknown category"))</f>
        <v/>
      </c>
      <c r="I1264" s="80">
        <f>IF(AND($B1264="",$C1264="",$E1264=""),"",IF(NOT(ISNUMBER($B1264)),"Enter a valid date",IF($C1264="","Pick a category",IF(OR($H1264="Unknown category",$H1264=""),"Category has no cost type",IF(NOT(ISNUMBER($E1264)),"Enter an amount","OK")))))</f>
        <v/>
      </c>
    </row>
    <row r="1265" ht="17" customHeight="1">
      <c r="B1265" s="66" t="n"/>
      <c r="C1265" s="60" t="n"/>
      <c r="D1265" s="60" t="n"/>
      <c r="E1265" s="63" t="n"/>
      <c r="F1265" s="60" t="n"/>
      <c r="G1265" s="60" t="n"/>
      <c r="H1265" s="13">
        <f>IF($C1265="","",IFERROR(INDEX('Lists'!$G$6:$G$35,MATCH($C1265,'Lists'!$F$6:$F$35,0))&amp;"","Unknown category"))</f>
        <v/>
      </c>
      <c r="I1265" s="80">
        <f>IF(AND($B1265="",$C1265="",$E1265=""),"",IF(NOT(ISNUMBER($B1265)),"Enter a valid date",IF($C1265="","Pick a category",IF(OR($H1265="Unknown category",$H1265=""),"Category has no cost type",IF(NOT(ISNUMBER($E1265)),"Enter an amount","OK")))))</f>
        <v/>
      </c>
    </row>
    <row r="1266" ht="17" customHeight="1">
      <c r="B1266" s="66" t="n"/>
      <c r="C1266" s="60" t="n"/>
      <c r="D1266" s="60" t="n"/>
      <c r="E1266" s="63" t="n"/>
      <c r="F1266" s="60" t="n"/>
      <c r="G1266" s="60" t="n"/>
      <c r="H1266" s="13">
        <f>IF($C1266="","",IFERROR(INDEX('Lists'!$G$6:$G$35,MATCH($C1266,'Lists'!$F$6:$F$35,0))&amp;"","Unknown category"))</f>
        <v/>
      </c>
      <c r="I1266" s="80">
        <f>IF(AND($B1266="",$C1266="",$E1266=""),"",IF(NOT(ISNUMBER($B1266)),"Enter a valid date",IF($C1266="","Pick a category",IF(OR($H1266="Unknown category",$H1266=""),"Category has no cost type",IF(NOT(ISNUMBER($E1266)),"Enter an amount","OK")))))</f>
        <v/>
      </c>
    </row>
    <row r="1267" ht="17" customHeight="1">
      <c r="B1267" s="66" t="n"/>
      <c r="C1267" s="60" t="n"/>
      <c r="D1267" s="60" t="n"/>
      <c r="E1267" s="63" t="n"/>
      <c r="F1267" s="60" t="n"/>
      <c r="G1267" s="60" t="n"/>
      <c r="H1267" s="13">
        <f>IF($C1267="","",IFERROR(INDEX('Lists'!$G$6:$G$35,MATCH($C1267,'Lists'!$F$6:$F$35,0))&amp;"","Unknown category"))</f>
        <v/>
      </c>
      <c r="I1267" s="80">
        <f>IF(AND($B1267="",$C1267="",$E1267=""),"",IF(NOT(ISNUMBER($B1267)),"Enter a valid date",IF($C1267="","Pick a category",IF(OR($H1267="Unknown category",$H1267=""),"Category has no cost type",IF(NOT(ISNUMBER($E1267)),"Enter an amount","OK")))))</f>
        <v/>
      </c>
    </row>
    <row r="1268" ht="17" customHeight="1">
      <c r="B1268" s="66" t="n"/>
      <c r="C1268" s="60" t="n"/>
      <c r="D1268" s="60" t="n"/>
      <c r="E1268" s="63" t="n"/>
      <c r="F1268" s="60" t="n"/>
      <c r="G1268" s="60" t="n"/>
      <c r="H1268" s="13">
        <f>IF($C1268="","",IFERROR(INDEX('Lists'!$G$6:$G$35,MATCH($C1268,'Lists'!$F$6:$F$35,0))&amp;"","Unknown category"))</f>
        <v/>
      </c>
      <c r="I1268" s="80">
        <f>IF(AND($B1268="",$C1268="",$E1268=""),"",IF(NOT(ISNUMBER($B1268)),"Enter a valid date",IF($C1268="","Pick a category",IF(OR($H1268="Unknown category",$H1268=""),"Category has no cost type",IF(NOT(ISNUMBER($E1268)),"Enter an amount","OK")))))</f>
        <v/>
      </c>
    </row>
    <row r="1269" ht="17" customHeight="1">
      <c r="B1269" s="66" t="n"/>
      <c r="C1269" s="60" t="n"/>
      <c r="D1269" s="60" t="n"/>
      <c r="E1269" s="63" t="n"/>
      <c r="F1269" s="60" t="n"/>
      <c r="G1269" s="60" t="n"/>
      <c r="H1269" s="13">
        <f>IF($C1269="","",IFERROR(INDEX('Lists'!$G$6:$G$35,MATCH($C1269,'Lists'!$F$6:$F$35,0))&amp;"","Unknown category"))</f>
        <v/>
      </c>
      <c r="I1269" s="80">
        <f>IF(AND($B1269="",$C1269="",$E1269=""),"",IF(NOT(ISNUMBER($B1269)),"Enter a valid date",IF($C1269="","Pick a category",IF(OR($H1269="Unknown category",$H1269=""),"Category has no cost type",IF(NOT(ISNUMBER($E1269)),"Enter an amount","OK")))))</f>
        <v/>
      </c>
    </row>
    <row r="1270" ht="17" customHeight="1">
      <c r="B1270" s="66" t="n"/>
      <c r="C1270" s="60" t="n"/>
      <c r="D1270" s="60" t="n"/>
      <c r="E1270" s="63" t="n"/>
      <c r="F1270" s="60" t="n"/>
      <c r="G1270" s="60" t="n"/>
      <c r="H1270" s="13">
        <f>IF($C1270="","",IFERROR(INDEX('Lists'!$G$6:$G$35,MATCH($C1270,'Lists'!$F$6:$F$35,0))&amp;"","Unknown category"))</f>
        <v/>
      </c>
      <c r="I1270" s="80">
        <f>IF(AND($B1270="",$C1270="",$E1270=""),"",IF(NOT(ISNUMBER($B1270)),"Enter a valid date",IF($C1270="","Pick a category",IF(OR($H1270="Unknown category",$H1270=""),"Category has no cost type",IF(NOT(ISNUMBER($E1270)),"Enter an amount","OK")))))</f>
        <v/>
      </c>
    </row>
    <row r="1271" ht="17" customHeight="1">
      <c r="B1271" s="66" t="n"/>
      <c r="C1271" s="60" t="n"/>
      <c r="D1271" s="60" t="n"/>
      <c r="E1271" s="63" t="n"/>
      <c r="F1271" s="60" t="n"/>
      <c r="G1271" s="60" t="n"/>
      <c r="H1271" s="13">
        <f>IF($C1271="","",IFERROR(INDEX('Lists'!$G$6:$G$35,MATCH($C1271,'Lists'!$F$6:$F$35,0))&amp;"","Unknown category"))</f>
        <v/>
      </c>
      <c r="I1271" s="80">
        <f>IF(AND($B1271="",$C1271="",$E1271=""),"",IF(NOT(ISNUMBER($B1271)),"Enter a valid date",IF($C1271="","Pick a category",IF(OR($H1271="Unknown category",$H1271=""),"Category has no cost type",IF(NOT(ISNUMBER($E1271)),"Enter an amount","OK")))))</f>
        <v/>
      </c>
    </row>
    <row r="1272" ht="17" customHeight="1">
      <c r="B1272" s="66" t="n"/>
      <c r="C1272" s="60" t="n"/>
      <c r="D1272" s="60" t="n"/>
      <c r="E1272" s="63" t="n"/>
      <c r="F1272" s="60" t="n"/>
      <c r="G1272" s="60" t="n"/>
      <c r="H1272" s="13">
        <f>IF($C1272="","",IFERROR(INDEX('Lists'!$G$6:$G$35,MATCH($C1272,'Lists'!$F$6:$F$35,0))&amp;"","Unknown category"))</f>
        <v/>
      </c>
      <c r="I1272" s="80">
        <f>IF(AND($B1272="",$C1272="",$E1272=""),"",IF(NOT(ISNUMBER($B1272)),"Enter a valid date",IF($C1272="","Pick a category",IF(OR($H1272="Unknown category",$H1272=""),"Category has no cost type",IF(NOT(ISNUMBER($E1272)),"Enter an amount","OK")))))</f>
        <v/>
      </c>
    </row>
    <row r="1273" ht="17" customHeight="1">
      <c r="B1273" s="66" t="n"/>
      <c r="C1273" s="60" t="n"/>
      <c r="D1273" s="60" t="n"/>
      <c r="E1273" s="63" t="n"/>
      <c r="F1273" s="60" t="n"/>
      <c r="G1273" s="60" t="n"/>
      <c r="H1273" s="13">
        <f>IF($C1273="","",IFERROR(INDEX('Lists'!$G$6:$G$35,MATCH($C1273,'Lists'!$F$6:$F$35,0))&amp;"","Unknown category"))</f>
        <v/>
      </c>
      <c r="I1273" s="80">
        <f>IF(AND($B1273="",$C1273="",$E1273=""),"",IF(NOT(ISNUMBER($B1273)),"Enter a valid date",IF($C1273="","Pick a category",IF(OR($H1273="Unknown category",$H1273=""),"Category has no cost type",IF(NOT(ISNUMBER($E1273)),"Enter an amount","OK")))))</f>
        <v/>
      </c>
    </row>
    <row r="1274" ht="17" customHeight="1">
      <c r="B1274" s="66" t="n"/>
      <c r="C1274" s="60" t="n"/>
      <c r="D1274" s="60" t="n"/>
      <c r="E1274" s="63" t="n"/>
      <c r="F1274" s="60" t="n"/>
      <c r="G1274" s="60" t="n"/>
      <c r="H1274" s="13">
        <f>IF($C1274="","",IFERROR(INDEX('Lists'!$G$6:$G$35,MATCH($C1274,'Lists'!$F$6:$F$35,0))&amp;"","Unknown category"))</f>
        <v/>
      </c>
      <c r="I1274" s="80">
        <f>IF(AND($B1274="",$C1274="",$E1274=""),"",IF(NOT(ISNUMBER($B1274)),"Enter a valid date",IF($C1274="","Pick a category",IF(OR($H1274="Unknown category",$H1274=""),"Category has no cost type",IF(NOT(ISNUMBER($E1274)),"Enter an amount","OK")))))</f>
        <v/>
      </c>
    </row>
    <row r="1275" ht="17" customHeight="1">
      <c r="B1275" s="66" t="n"/>
      <c r="C1275" s="60" t="n"/>
      <c r="D1275" s="60" t="n"/>
      <c r="E1275" s="63" t="n"/>
      <c r="F1275" s="60" t="n"/>
      <c r="G1275" s="60" t="n"/>
      <c r="H1275" s="13">
        <f>IF($C1275="","",IFERROR(INDEX('Lists'!$G$6:$G$35,MATCH($C1275,'Lists'!$F$6:$F$35,0))&amp;"","Unknown category"))</f>
        <v/>
      </c>
      <c r="I1275" s="80">
        <f>IF(AND($B1275="",$C1275="",$E1275=""),"",IF(NOT(ISNUMBER($B1275)),"Enter a valid date",IF($C1275="","Pick a category",IF(OR($H1275="Unknown category",$H1275=""),"Category has no cost type",IF(NOT(ISNUMBER($E1275)),"Enter an amount","OK")))))</f>
        <v/>
      </c>
    </row>
    <row r="1276" ht="17" customHeight="1">
      <c r="B1276" s="66" t="n"/>
      <c r="C1276" s="60" t="n"/>
      <c r="D1276" s="60" t="n"/>
      <c r="E1276" s="63" t="n"/>
      <c r="F1276" s="60" t="n"/>
      <c r="G1276" s="60" t="n"/>
      <c r="H1276" s="13">
        <f>IF($C1276="","",IFERROR(INDEX('Lists'!$G$6:$G$35,MATCH($C1276,'Lists'!$F$6:$F$35,0))&amp;"","Unknown category"))</f>
        <v/>
      </c>
      <c r="I1276" s="80">
        <f>IF(AND($B1276="",$C1276="",$E1276=""),"",IF(NOT(ISNUMBER($B1276)),"Enter a valid date",IF($C1276="","Pick a category",IF(OR($H1276="Unknown category",$H1276=""),"Category has no cost type",IF(NOT(ISNUMBER($E1276)),"Enter an amount","OK")))))</f>
        <v/>
      </c>
    </row>
    <row r="1277" ht="17" customHeight="1">
      <c r="B1277" s="66" t="n"/>
      <c r="C1277" s="60" t="n"/>
      <c r="D1277" s="60" t="n"/>
      <c r="E1277" s="63" t="n"/>
      <c r="F1277" s="60" t="n"/>
      <c r="G1277" s="60" t="n"/>
      <c r="H1277" s="13">
        <f>IF($C1277="","",IFERROR(INDEX('Lists'!$G$6:$G$35,MATCH($C1277,'Lists'!$F$6:$F$35,0))&amp;"","Unknown category"))</f>
        <v/>
      </c>
      <c r="I1277" s="80">
        <f>IF(AND($B1277="",$C1277="",$E1277=""),"",IF(NOT(ISNUMBER($B1277)),"Enter a valid date",IF($C1277="","Pick a category",IF(OR($H1277="Unknown category",$H1277=""),"Category has no cost type",IF(NOT(ISNUMBER($E1277)),"Enter an amount","OK")))))</f>
        <v/>
      </c>
    </row>
    <row r="1278" ht="17" customHeight="1">
      <c r="B1278" s="66" t="n"/>
      <c r="C1278" s="60" t="n"/>
      <c r="D1278" s="60" t="n"/>
      <c r="E1278" s="63" t="n"/>
      <c r="F1278" s="60" t="n"/>
      <c r="G1278" s="60" t="n"/>
      <c r="H1278" s="13">
        <f>IF($C1278="","",IFERROR(INDEX('Lists'!$G$6:$G$35,MATCH($C1278,'Lists'!$F$6:$F$35,0))&amp;"","Unknown category"))</f>
        <v/>
      </c>
      <c r="I1278" s="80">
        <f>IF(AND($B1278="",$C1278="",$E1278=""),"",IF(NOT(ISNUMBER($B1278)),"Enter a valid date",IF($C1278="","Pick a category",IF(OR($H1278="Unknown category",$H1278=""),"Category has no cost type",IF(NOT(ISNUMBER($E1278)),"Enter an amount","OK")))))</f>
        <v/>
      </c>
    </row>
    <row r="1279" ht="17" customHeight="1">
      <c r="B1279" s="66" t="n"/>
      <c r="C1279" s="60" t="n"/>
      <c r="D1279" s="60" t="n"/>
      <c r="E1279" s="63" t="n"/>
      <c r="F1279" s="60" t="n"/>
      <c r="G1279" s="60" t="n"/>
      <c r="H1279" s="13">
        <f>IF($C1279="","",IFERROR(INDEX('Lists'!$G$6:$G$35,MATCH($C1279,'Lists'!$F$6:$F$35,0))&amp;"","Unknown category"))</f>
        <v/>
      </c>
      <c r="I1279" s="80">
        <f>IF(AND($B1279="",$C1279="",$E1279=""),"",IF(NOT(ISNUMBER($B1279)),"Enter a valid date",IF($C1279="","Pick a category",IF(OR($H1279="Unknown category",$H1279=""),"Category has no cost type",IF(NOT(ISNUMBER($E1279)),"Enter an amount","OK")))))</f>
        <v/>
      </c>
    </row>
    <row r="1280" ht="17" customHeight="1">
      <c r="B1280" s="66" t="n"/>
      <c r="C1280" s="60" t="n"/>
      <c r="D1280" s="60" t="n"/>
      <c r="E1280" s="63" t="n"/>
      <c r="F1280" s="60" t="n"/>
      <c r="G1280" s="60" t="n"/>
      <c r="H1280" s="13">
        <f>IF($C1280="","",IFERROR(INDEX('Lists'!$G$6:$G$35,MATCH($C1280,'Lists'!$F$6:$F$35,0))&amp;"","Unknown category"))</f>
        <v/>
      </c>
      <c r="I1280" s="80">
        <f>IF(AND($B1280="",$C1280="",$E1280=""),"",IF(NOT(ISNUMBER($B1280)),"Enter a valid date",IF($C1280="","Pick a category",IF(OR($H1280="Unknown category",$H1280=""),"Category has no cost type",IF(NOT(ISNUMBER($E1280)),"Enter an amount","OK")))))</f>
        <v/>
      </c>
    </row>
    <row r="1281" ht="17" customHeight="1">
      <c r="B1281" s="66" t="n"/>
      <c r="C1281" s="60" t="n"/>
      <c r="D1281" s="60" t="n"/>
      <c r="E1281" s="63" t="n"/>
      <c r="F1281" s="60" t="n"/>
      <c r="G1281" s="60" t="n"/>
      <c r="H1281" s="13">
        <f>IF($C1281="","",IFERROR(INDEX('Lists'!$G$6:$G$35,MATCH($C1281,'Lists'!$F$6:$F$35,0))&amp;"","Unknown category"))</f>
        <v/>
      </c>
      <c r="I1281" s="80">
        <f>IF(AND($B1281="",$C1281="",$E1281=""),"",IF(NOT(ISNUMBER($B1281)),"Enter a valid date",IF($C1281="","Pick a category",IF(OR($H1281="Unknown category",$H1281=""),"Category has no cost type",IF(NOT(ISNUMBER($E1281)),"Enter an amount","OK")))))</f>
        <v/>
      </c>
    </row>
    <row r="1282" ht="17" customHeight="1">
      <c r="B1282" s="66" t="n"/>
      <c r="C1282" s="60" t="n"/>
      <c r="D1282" s="60" t="n"/>
      <c r="E1282" s="63" t="n"/>
      <c r="F1282" s="60" t="n"/>
      <c r="G1282" s="60" t="n"/>
      <c r="H1282" s="13">
        <f>IF($C1282="","",IFERROR(INDEX('Lists'!$G$6:$G$35,MATCH($C1282,'Lists'!$F$6:$F$35,0))&amp;"","Unknown category"))</f>
        <v/>
      </c>
      <c r="I1282" s="80">
        <f>IF(AND($B1282="",$C1282="",$E1282=""),"",IF(NOT(ISNUMBER($B1282)),"Enter a valid date",IF($C1282="","Pick a category",IF(OR($H1282="Unknown category",$H1282=""),"Category has no cost type",IF(NOT(ISNUMBER($E1282)),"Enter an amount","OK")))))</f>
        <v/>
      </c>
    </row>
    <row r="1283" ht="17" customHeight="1">
      <c r="B1283" s="66" t="n"/>
      <c r="C1283" s="60" t="n"/>
      <c r="D1283" s="60" t="n"/>
      <c r="E1283" s="63" t="n"/>
      <c r="F1283" s="60" t="n"/>
      <c r="G1283" s="60" t="n"/>
      <c r="H1283" s="13">
        <f>IF($C1283="","",IFERROR(INDEX('Lists'!$G$6:$G$35,MATCH($C1283,'Lists'!$F$6:$F$35,0))&amp;"","Unknown category"))</f>
        <v/>
      </c>
      <c r="I1283" s="80">
        <f>IF(AND($B1283="",$C1283="",$E1283=""),"",IF(NOT(ISNUMBER($B1283)),"Enter a valid date",IF($C1283="","Pick a category",IF(OR($H1283="Unknown category",$H1283=""),"Category has no cost type",IF(NOT(ISNUMBER($E1283)),"Enter an amount","OK")))))</f>
        <v/>
      </c>
    </row>
    <row r="1284" ht="17" customHeight="1">
      <c r="B1284" s="66" t="n"/>
      <c r="C1284" s="60" t="n"/>
      <c r="D1284" s="60" t="n"/>
      <c r="E1284" s="63" t="n"/>
      <c r="F1284" s="60" t="n"/>
      <c r="G1284" s="60" t="n"/>
      <c r="H1284" s="13">
        <f>IF($C1284="","",IFERROR(INDEX('Lists'!$G$6:$G$35,MATCH($C1284,'Lists'!$F$6:$F$35,0))&amp;"","Unknown category"))</f>
        <v/>
      </c>
      <c r="I1284" s="80">
        <f>IF(AND($B1284="",$C1284="",$E1284=""),"",IF(NOT(ISNUMBER($B1284)),"Enter a valid date",IF($C1284="","Pick a category",IF(OR($H1284="Unknown category",$H1284=""),"Category has no cost type",IF(NOT(ISNUMBER($E1284)),"Enter an amount","OK")))))</f>
        <v/>
      </c>
    </row>
    <row r="1285" ht="17" customHeight="1">
      <c r="B1285" s="66" t="n"/>
      <c r="C1285" s="60" t="n"/>
      <c r="D1285" s="60" t="n"/>
      <c r="E1285" s="63" t="n"/>
      <c r="F1285" s="60" t="n"/>
      <c r="G1285" s="60" t="n"/>
      <c r="H1285" s="13">
        <f>IF($C1285="","",IFERROR(INDEX('Lists'!$G$6:$G$35,MATCH($C1285,'Lists'!$F$6:$F$35,0))&amp;"","Unknown category"))</f>
        <v/>
      </c>
      <c r="I1285" s="80">
        <f>IF(AND($B1285="",$C1285="",$E1285=""),"",IF(NOT(ISNUMBER($B1285)),"Enter a valid date",IF($C1285="","Pick a category",IF(OR($H1285="Unknown category",$H1285=""),"Category has no cost type",IF(NOT(ISNUMBER($E1285)),"Enter an amount","OK")))))</f>
        <v/>
      </c>
    </row>
    <row r="1286" ht="17" customHeight="1">
      <c r="B1286" s="66" t="n"/>
      <c r="C1286" s="60" t="n"/>
      <c r="D1286" s="60" t="n"/>
      <c r="E1286" s="63" t="n"/>
      <c r="F1286" s="60" t="n"/>
      <c r="G1286" s="60" t="n"/>
      <c r="H1286" s="13">
        <f>IF($C1286="","",IFERROR(INDEX('Lists'!$G$6:$G$35,MATCH($C1286,'Lists'!$F$6:$F$35,0))&amp;"","Unknown category"))</f>
        <v/>
      </c>
      <c r="I1286" s="80">
        <f>IF(AND($B1286="",$C1286="",$E1286=""),"",IF(NOT(ISNUMBER($B1286)),"Enter a valid date",IF($C1286="","Pick a category",IF(OR($H1286="Unknown category",$H1286=""),"Category has no cost type",IF(NOT(ISNUMBER($E1286)),"Enter an amount","OK")))))</f>
        <v/>
      </c>
    </row>
    <row r="1287" ht="17" customHeight="1">
      <c r="B1287" s="66" t="n"/>
      <c r="C1287" s="60" t="n"/>
      <c r="D1287" s="60" t="n"/>
      <c r="E1287" s="63" t="n"/>
      <c r="F1287" s="60" t="n"/>
      <c r="G1287" s="60" t="n"/>
      <c r="H1287" s="13">
        <f>IF($C1287="","",IFERROR(INDEX('Lists'!$G$6:$G$35,MATCH($C1287,'Lists'!$F$6:$F$35,0))&amp;"","Unknown category"))</f>
        <v/>
      </c>
      <c r="I1287" s="80">
        <f>IF(AND($B1287="",$C1287="",$E1287=""),"",IF(NOT(ISNUMBER($B1287)),"Enter a valid date",IF($C1287="","Pick a category",IF(OR($H1287="Unknown category",$H1287=""),"Category has no cost type",IF(NOT(ISNUMBER($E1287)),"Enter an amount","OK")))))</f>
        <v/>
      </c>
    </row>
    <row r="1288" ht="17" customHeight="1">
      <c r="B1288" s="66" t="n"/>
      <c r="C1288" s="60" t="n"/>
      <c r="D1288" s="60" t="n"/>
      <c r="E1288" s="63" t="n"/>
      <c r="F1288" s="60" t="n"/>
      <c r="G1288" s="60" t="n"/>
      <c r="H1288" s="13">
        <f>IF($C1288="","",IFERROR(INDEX('Lists'!$G$6:$G$35,MATCH($C1288,'Lists'!$F$6:$F$35,0))&amp;"","Unknown category"))</f>
        <v/>
      </c>
      <c r="I1288" s="80">
        <f>IF(AND($B1288="",$C1288="",$E1288=""),"",IF(NOT(ISNUMBER($B1288)),"Enter a valid date",IF($C1288="","Pick a category",IF(OR($H1288="Unknown category",$H1288=""),"Category has no cost type",IF(NOT(ISNUMBER($E1288)),"Enter an amount","OK")))))</f>
        <v/>
      </c>
    </row>
    <row r="1289" ht="17" customHeight="1">
      <c r="B1289" s="66" t="n"/>
      <c r="C1289" s="60" t="n"/>
      <c r="D1289" s="60" t="n"/>
      <c r="E1289" s="63" t="n"/>
      <c r="F1289" s="60" t="n"/>
      <c r="G1289" s="60" t="n"/>
      <c r="H1289" s="13">
        <f>IF($C1289="","",IFERROR(INDEX('Lists'!$G$6:$G$35,MATCH($C1289,'Lists'!$F$6:$F$35,0))&amp;"","Unknown category"))</f>
        <v/>
      </c>
      <c r="I1289" s="80">
        <f>IF(AND($B1289="",$C1289="",$E1289=""),"",IF(NOT(ISNUMBER($B1289)),"Enter a valid date",IF($C1289="","Pick a category",IF(OR($H1289="Unknown category",$H1289=""),"Category has no cost type",IF(NOT(ISNUMBER($E1289)),"Enter an amount","OK")))))</f>
        <v/>
      </c>
    </row>
    <row r="1290" ht="17" customHeight="1">
      <c r="B1290" s="66" t="n"/>
      <c r="C1290" s="60" t="n"/>
      <c r="D1290" s="60" t="n"/>
      <c r="E1290" s="63" t="n"/>
      <c r="F1290" s="60" t="n"/>
      <c r="G1290" s="60" t="n"/>
      <c r="H1290" s="13">
        <f>IF($C1290="","",IFERROR(INDEX('Lists'!$G$6:$G$35,MATCH($C1290,'Lists'!$F$6:$F$35,0))&amp;"","Unknown category"))</f>
        <v/>
      </c>
      <c r="I1290" s="80">
        <f>IF(AND($B1290="",$C1290="",$E1290=""),"",IF(NOT(ISNUMBER($B1290)),"Enter a valid date",IF($C1290="","Pick a category",IF(OR($H1290="Unknown category",$H1290=""),"Category has no cost type",IF(NOT(ISNUMBER($E1290)),"Enter an amount","OK")))))</f>
        <v/>
      </c>
    </row>
    <row r="1291" ht="17" customHeight="1">
      <c r="B1291" s="66" t="n"/>
      <c r="C1291" s="60" t="n"/>
      <c r="D1291" s="60" t="n"/>
      <c r="E1291" s="63" t="n"/>
      <c r="F1291" s="60" t="n"/>
      <c r="G1291" s="60" t="n"/>
      <c r="H1291" s="13">
        <f>IF($C1291="","",IFERROR(INDEX('Lists'!$G$6:$G$35,MATCH($C1291,'Lists'!$F$6:$F$35,0))&amp;"","Unknown category"))</f>
        <v/>
      </c>
      <c r="I1291" s="80">
        <f>IF(AND($B1291="",$C1291="",$E1291=""),"",IF(NOT(ISNUMBER($B1291)),"Enter a valid date",IF($C1291="","Pick a category",IF(OR($H1291="Unknown category",$H1291=""),"Category has no cost type",IF(NOT(ISNUMBER($E1291)),"Enter an amount","OK")))))</f>
        <v/>
      </c>
    </row>
    <row r="1292" ht="17" customHeight="1">
      <c r="B1292" s="66" t="n"/>
      <c r="C1292" s="60" t="n"/>
      <c r="D1292" s="60" t="n"/>
      <c r="E1292" s="63" t="n"/>
      <c r="F1292" s="60" t="n"/>
      <c r="G1292" s="60" t="n"/>
      <c r="H1292" s="13">
        <f>IF($C1292="","",IFERROR(INDEX('Lists'!$G$6:$G$35,MATCH($C1292,'Lists'!$F$6:$F$35,0))&amp;"","Unknown category"))</f>
        <v/>
      </c>
      <c r="I1292" s="80">
        <f>IF(AND($B1292="",$C1292="",$E1292=""),"",IF(NOT(ISNUMBER($B1292)),"Enter a valid date",IF($C1292="","Pick a category",IF(OR($H1292="Unknown category",$H1292=""),"Category has no cost type",IF(NOT(ISNUMBER($E1292)),"Enter an amount","OK")))))</f>
        <v/>
      </c>
    </row>
    <row r="1293" ht="17" customHeight="1">
      <c r="B1293" s="66" t="n"/>
      <c r="C1293" s="60" t="n"/>
      <c r="D1293" s="60" t="n"/>
      <c r="E1293" s="63" t="n"/>
      <c r="F1293" s="60" t="n"/>
      <c r="G1293" s="60" t="n"/>
      <c r="H1293" s="13">
        <f>IF($C1293="","",IFERROR(INDEX('Lists'!$G$6:$G$35,MATCH($C1293,'Lists'!$F$6:$F$35,0))&amp;"","Unknown category"))</f>
        <v/>
      </c>
      <c r="I1293" s="80">
        <f>IF(AND($B1293="",$C1293="",$E1293=""),"",IF(NOT(ISNUMBER($B1293)),"Enter a valid date",IF($C1293="","Pick a category",IF(OR($H1293="Unknown category",$H1293=""),"Category has no cost type",IF(NOT(ISNUMBER($E1293)),"Enter an amount","OK")))))</f>
        <v/>
      </c>
    </row>
    <row r="1294" ht="17" customHeight="1">
      <c r="B1294" s="66" t="n"/>
      <c r="C1294" s="60" t="n"/>
      <c r="D1294" s="60" t="n"/>
      <c r="E1294" s="63" t="n"/>
      <c r="F1294" s="60" t="n"/>
      <c r="G1294" s="60" t="n"/>
      <c r="H1294" s="13">
        <f>IF($C1294="","",IFERROR(INDEX('Lists'!$G$6:$G$35,MATCH($C1294,'Lists'!$F$6:$F$35,0))&amp;"","Unknown category"))</f>
        <v/>
      </c>
      <c r="I1294" s="80">
        <f>IF(AND($B1294="",$C1294="",$E1294=""),"",IF(NOT(ISNUMBER($B1294)),"Enter a valid date",IF($C1294="","Pick a category",IF(OR($H1294="Unknown category",$H1294=""),"Category has no cost type",IF(NOT(ISNUMBER($E1294)),"Enter an amount","OK")))))</f>
        <v/>
      </c>
    </row>
    <row r="1295" ht="17" customHeight="1">
      <c r="B1295" s="66" t="n"/>
      <c r="C1295" s="60" t="n"/>
      <c r="D1295" s="60" t="n"/>
      <c r="E1295" s="63" t="n"/>
      <c r="F1295" s="60" t="n"/>
      <c r="G1295" s="60" t="n"/>
      <c r="H1295" s="13">
        <f>IF($C1295="","",IFERROR(INDEX('Lists'!$G$6:$G$35,MATCH($C1295,'Lists'!$F$6:$F$35,0))&amp;"","Unknown category"))</f>
        <v/>
      </c>
      <c r="I1295" s="80">
        <f>IF(AND($B1295="",$C1295="",$E1295=""),"",IF(NOT(ISNUMBER($B1295)),"Enter a valid date",IF($C1295="","Pick a category",IF(OR($H1295="Unknown category",$H1295=""),"Category has no cost type",IF(NOT(ISNUMBER($E1295)),"Enter an amount","OK")))))</f>
        <v/>
      </c>
    </row>
    <row r="1296" ht="17" customHeight="1">
      <c r="B1296" s="66" t="n"/>
      <c r="C1296" s="60" t="n"/>
      <c r="D1296" s="60" t="n"/>
      <c r="E1296" s="63" t="n"/>
      <c r="F1296" s="60" t="n"/>
      <c r="G1296" s="60" t="n"/>
      <c r="H1296" s="13">
        <f>IF($C1296="","",IFERROR(INDEX('Lists'!$G$6:$G$35,MATCH($C1296,'Lists'!$F$6:$F$35,0))&amp;"","Unknown category"))</f>
        <v/>
      </c>
      <c r="I1296" s="80">
        <f>IF(AND($B1296="",$C1296="",$E1296=""),"",IF(NOT(ISNUMBER($B1296)),"Enter a valid date",IF($C1296="","Pick a category",IF(OR($H1296="Unknown category",$H1296=""),"Category has no cost type",IF(NOT(ISNUMBER($E1296)),"Enter an amount","OK")))))</f>
        <v/>
      </c>
    </row>
    <row r="1297" ht="17" customHeight="1">
      <c r="B1297" s="66" t="n"/>
      <c r="C1297" s="60" t="n"/>
      <c r="D1297" s="60" t="n"/>
      <c r="E1297" s="63" t="n"/>
      <c r="F1297" s="60" t="n"/>
      <c r="G1297" s="60" t="n"/>
      <c r="H1297" s="13">
        <f>IF($C1297="","",IFERROR(INDEX('Lists'!$G$6:$G$35,MATCH($C1297,'Lists'!$F$6:$F$35,0))&amp;"","Unknown category"))</f>
        <v/>
      </c>
      <c r="I1297" s="80">
        <f>IF(AND($B1297="",$C1297="",$E1297=""),"",IF(NOT(ISNUMBER($B1297)),"Enter a valid date",IF($C1297="","Pick a category",IF(OR($H1297="Unknown category",$H1297=""),"Category has no cost type",IF(NOT(ISNUMBER($E1297)),"Enter an amount","OK")))))</f>
        <v/>
      </c>
    </row>
    <row r="1298" ht="17" customHeight="1">
      <c r="B1298" s="66" t="n"/>
      <c r="C1298" s="60" t="n"/>
      <c r="D1298" s="60" t="n"/>
      <c r="E1298" s="63" t="n"/>
      <c r="F1298" s="60" t="n"/>
      <c r="G1298" s="60" t="n"/>
      <c r="H1298" s="13">
        <f>IF($C1298="","",IFERROR(INDEX('Lists'!$G$6:$G$35,MATCH($C1298,'Lists'!$F$6:$F$35,0))&amp;"","Unknown category"))</f>
        <v/>
      </c>
      <c r="I1298" s="80">
        <f>IF(AND($B1298="",$C1298="",$E1298=""),"",IF(NOT(ISNUMBER($B1298)),"Enter a valid date",IF($C1298="","Pick a category",IF(OR($H1298="Unknown category",$H1298=""),"Category has no cost type",IF(NOT(ISNUMBER($E1298)),"Enter an amount","OK")))))</f>
        <v/>
      </c>
    </row>
    <row r="1299" ht="17" customHeight="1">
      <c r="B1299" s="66" t="n"/>
      <c r="C1299" s="60" t="n"/>
      <c r="D1299" s="60" t="n"/>
      <c r="E1299" s="63" t="n"/>
      <c r="F1299" s="60" t="n"/>
      <c r="G1299" s="60" t="n"/>
      <c r="H1299" s="13">
        <f>IF($C1299="","",IFERROR(INDEX('Lists'!$G$6:$G$35,MATCH($C1299,'Lists'!$F$6:$F$35,0))&amp;"","Unknown category"))</f>
        <v/>
      </c>
      <c r="I1299" s="80">
        <f>IF(AND($B1299="",$C1299="",$E1299=""),"",IF(NOT(ISNUMBER($B1299)),"Enter a valid date",IF($C1299="","Pick a category",IF(OR($H1299="Unknown category",$H1299=""),"Category has no cost type",IF(NOT(ISNUMBER($E1299)),"Enter an amount","OK")))))</f>
        <v/>
      </c>
    </row>
    <row r="1300" ht="17" customHeight="1">
      <c r="B1300" s="66" t="n"/>
      <c r="C1300" s="60" t="n"/>
      <c r="D1300" s="60" t="n"/>
      <c r="E1300" s="63" t="n"/>
      <c r="F1300" s="60" t="n"/>
      <c r="G1300" s="60" t="n"/>
      <c r="H1300" s="13">
        <f>IF($C1300="","",IFERROR(INDEX('Lists'!$G$6:$G$35,MATCH($C1300,'Lists'!$F$6:$F$35,0))&amp;"","Unknown category"))</f>
        <v/>
      </c>
      <c r="I1300" s="80">
        <f>IF(AND($B1300="",$C1300="",$E1300=""),"",IF(NOT(ISNUMBER($B1300)),"Enter a valid date",IF($C1300="","Pick a category",IF(OR($H1300="Unknown category",$H1300=""),"Category has no cost type",IF(NOT(ISNUMBER($E1300)),"Enter an amount","OK")))))</f>
        <v/>
      </c>
    </row>
    <row r="1301" ht="17" customHeight="1">
      <c r="B1301" s="66" t="n"/>
      <c r="C1301" s="60" t="n"/>
      <c r="D1301" s="60" t="n"/>
      <c r="E1301" s="63" t="n"/>
      <c r="F1301" s="60" t="n"/>
      <c r="G1301" s="60" t="n"/>
      <c r="H1301" s="13">
        <f>IF($C1301="","",IFERROR(INDEX('Lists'!$G$6:$G$35,MATCH($C1301,'Lists'!$F$6:$F$35,0))&amp;"","Unknown category"))</f>
        <v/>
      </c>
      <c r="I1301" s="80">
        <f>IF(AND($B1301="",$C1301="",$E1301=""),"",IF(NOT(ISNUMBER($B1301)),"Enter a valid date",IF($C1301="","Pick a category",IF(OR($H1301="Unknown category",$H1301=""),"Category has no cost type",IF(NOT(ISNUMBER($E1301)),"Enter an amount","OK")))))</f>
        <v/>
      </c>
    </row>
    <row r="1302" ht="17" customHeight="1">
      <c r="B1302" s="66" t="n"/>
      <c r="C1302" s="60" t="n"/>
      <c r="D1302" s="60" t="n"/>
      <c r="E1302" s="63" t="n"/>
      <c r="F1302" s="60" t="n"/>
      <c r="G1302" s="60" t="n"/>
      <c r="H1302" s="13">
        <f>IF($C1302="","",IFERROR(INDEX('Lists'!$G$6:$G$35,MATCH($C1302,'Lists'!$F$6:$F$35,0))&amp;"","Unknown category"))</f>
        <v/>
      </c>
      <c r="I1302" s="80">
        <f>IF(AND($B1302="",$C1302="",$E1302=""),"",IF(NOT(ISNUMBER($B1302)),"Enter a valid date",IF($C1302="","Pick a category",IF(OR($H1302="Unknown category",$H1302=""),"Category has no cost type",IF(NOT(ISNUMBER($E1302)),"Enter an amount","OK")))))</f>
        <v/>
      </c>
    </row>
    <row r="1303" ht="17" customHeight="1">
      <c r="B1303" s="66" t="n"/>
      <c r="C1303" s="60" t="n"/>
      <c r="D1303" s="60" t="n"/>
      <c r="E1303" s="63" t="n"/>
      <c r="F1303" s="60" t="n"/>
      <c r="G1303" s="60" t="n"/>
      <c r="H1303" s="13">
        <f>IF($C1303="","",IFERROR(INDEX('Lists'!$G$6:$G$35,MATCH($C1303,'Lists'!$F$6:$F$35,0))&amp;"","Unknown category"))</f>
        <v/>
      </c>
      <c r="I1303" s="80">
        <f>IF(AND($B1303="",$C1303="",$E1303=""),"",IF(NOT(ISNUMBER($B1303)),"Enter a valid date",IF($C1303="","Pick a category",IF(OR($H1303="Unknown category",$H1303=""),"Category has no cost type",IF(NOT(ISNUMBER($E1303)),"Enter an amount","OK")))))</f>
        <v/>
      </c>
    </row>
    <row r="1304" ht="17" customHeight="1">
      <c r="B1304" s="66" t="n"/>
      <c r="C1304" s="60" t="n"/>
      <c r="D1304" s="60" t="n"/>
      <c r="E1304" s="63" t="n"/>
      <c r="F1304" s="60" t="n"/>
      <c r="G1304" s="60" t="n"/>
      <c r="H1304" s="13">
        <f>IF($C1304="","",IFERROR(INDEX('Lists'!$G$6:$G$35,MATCH($C1304,'Lists'!$F$6:$F$35,0))&amp;"","Unknown category"))</f>
        <v/>
      </c>
      <c r="I1304" s="80">
        <f>IF(AND($B1304="",$C1304="",$E1304=""),"",IF(NOT(ISNUMBER($B1304)),"Enter a valid date",IF($C1304="","Pick a category",IF(OR($H1304="Unknown category",$H1304=""),"Category has no cost type",IF(NOT(ISNUMBER($E1304)),"Enter an amount","OK")))))</f>
        <v/>
      </c>
    </row>
    <row r="1305" ht="17" customHeight="1">
      <c r="B1305" s="66" t="n"/>
      <c r="C1305" s="60" t="n"/>
      <c r="D1305" s="60" t="n"/>
      <c r="E1305" s="63" t="n"/>
      <c r="F1305" s="60" t="n"/>
      <c r="G1305" s="60" t="n"/>
      <c r="H1305" s="13">
        <f>IF($C1305="","",IFERROR(INDEX('Lists'!$G$6:$G$35,MATCH($C1305,'Lists'!$F$6:$F$35,0))&amp;"","Unknown category"))</f>
        <v/>
      </c>
      <c r="I1305" s="80">
        <f>IF(AND($B1305="",$C1305="",$E1305=""),"",IF(NOT(ISNUMBER($B1305)),"Enter a valid date",IF($C1305="","Pick a category",IF(OR($H1305="Unknown category",$H1305=""),"Category has no cost type",IF(NOT(ISNUMBER($E1305)),"Enter an amount","OK")))))</f>
        <v/>
      </c>
    </row>
    <row r="1306" ht="17" customHeight="1">
      <c r="B1306" s="66" t="n"/>
      <c r="C1306" s="60" t="n"/>
      <c r="D1306" s="60" t="n"/>
      <c r="E1306" s="63" t="n"/>
      <c r="F1306" s="60" t="n"/>
      <c r="G1306" s="60" t="n"/>
      <c r="H1306" s="13">
        <f>IF($C1306="","",IFERROR(INDEX('Lists'!$G$6:$G$35,MATCH($C1306,'Lists'!$F$6:$F$35,0))&amp;"","Unknown category"))</f>
        <v/>
      </c>
      <c r="I1306" s="80">
        <f>IF(AND($B1306="",$C1306="",$E1306=""),"",IF(NOT(ISNUMBER($B1306)),"Enter a valid date",IF($C1306="","Pick a category",IF(OR($H1306="Unknown category",$H1306=""),"Category has no cost type",IF(NOT(ISNUMBER($E1306)),"Enter an amount","OK")))))</f>
        <v/>
      </c>
    </row>
    <row r="1307" ht="17" customHeight="1">
      <c r="B1307" s="66" t="n"/>
      <c r="C1307" s="60" t="n"/>
      <c r="D1307" s="60" t="n"/>
      <c r="E1307" s="63" t="n"/>
      <c r="F1307" s="60" t="n"/>
      <c r="G1307" s="60" t="n"/>
      <c r="H1307" s="13">
        <f>IF($C1307="","",IFERROR(INDEX('Lists'!$G$6:$G$35,MATCH($C1307,'Lists'!$F$6:$F$35,0))&amp;"","Unknown category"))</f>
        <v/>
      </c>
      <c r="I1307" s="80">
        <f>IF(AND($B1307="",$C1307="",$E1307=""),"",IF(NOT(ISNUMBER($B1307)),"Enter a valid date",IF($C1307="","Pick a category",IF(OR($H1307="Unknown category",$H1307=""),"Category has no cost type",IF(NOT(ISNUMBER($E1307)),"Enter an amount","OK")))))</f>
        <v/>
      </c>
    </row>
    <row r="1308" ht="17" customHeight="1">
      <c r="B1308" s="66" t="n"/>
      <c r="C1308" s="60" t="n"/>
      <c r="D1308" s="60" t="n"/>
      <c r="E1308" s="63" t="n"/>
      <c r="F1308" s="60" t="n"/>
      <c r="G1308" s="60" t="n"/>
      <c r="H1308" s="13">
        <f>IF($C1308="","",IFERROR(INDEX('Lists'!$G$6:$G$35,MATCH($C1308,'Lists'!$F$6:$F$35,0))&amp;"","Unknown category"))</f>
        <v/>
      </c>
      <c r="I1308" s="80">
        <f>IF(AND($B1308="",$C1308="",$E1308=""),"",IF(NOT(ISNUMBER($B1308)),"Enter a valid date",IF($C1308="","Pick a category",IF(OR($H1308="Unknown category",$H1308=""),"Category has no cost type",IF(NOT(ISNUMBER($E1308)),"Enter an amount","OK")))))</f>
        <v/>
      </c>
    </row>
    <row r="1309" ht="17" customHeight="1">
      <c r="B1309" s="66" t="n"/>
      <c r="C1309" s="60" t="n"/>
      <c r="D1309" s="60" t="n"/>
      <c r="E1309" s="63" t="n"/>
      <c r="F1309" s="60" t="n"/>
      <c r="G1309" s="60" t="n"/>
      <c r="H1309" s="13">
        <f>IF($C1309="","",IFERROR(INDEX('Lists'!$G$6:$G$35,MATCH($C1309,'Lists'!$F$6:$F$35,0))&amp;"","Unknown category"))</f>
        <v/>
      </c>
      <c r="I1309" s="80">
        <f>IF(AND($B1309="",$C1309="",$E1309=""),"",IF(NOT(ISNUMBER($B1309)),"Enter a valid date",IF($C1309="","Pick a category",IF(OR($H1309="Unknown category",$H1309=""),"Category has no cost type",IF(NOT(ISNUMBER($E1309)),"Enter an amount","OK")))))</f>
        <v/>
      </c>
    </row>
    <row r="1310" ht="17" customHeight="1">
      <c r="B1310" s="66" t="n"/>
      <c r="C1310" s="60" t="n"/>
      <c r="D1310" s="60" t="n"/>
      <c r="E1310" s="63" t="n"/>
      <c r="F1310" s="60" t="n"/>
      <c r="G1310" s="60" t="n"/>
      <c r="H1310" s="13">
        <f>IF($C1310="","",IFERROR(INDEX('Lists'!$G$6:$G$35,MATCH($C1310,'Lists'!$F$6:$F$35,0))&amp;"","Unknown category"))</f>
        <v/>
      </c>
      <c r="I1310" s="80">
        <f>IF(AND($B1310="",$C1310="",$E1310=""),"",IF(NOT(ISNUMBER($B1310)),"Enter a valid date",IF($C1310="","Pick a category",IF(OR($H1310="Unknown category",$H1310=""),"Category has no cost type",IF(NOT(ISNUMBER($E1310)),"Enter an amount","OK")))))</f>
        <v/>
      </c>
    </row>
    <row r="1311" ht="17" customHeight="1">
      <c r="B1311" s="66" t="n"/>
      <c r="C1311" s="60" t="n"/>
      <c r="D1311" s="60" t="n"/>
      <c r="E1311" s="63" t="n"/>
      <c r="F1311" s="60" t="n"/>
      <c r="G1311" s="60" t="n"/>
      <c r="H1311" s="13">
        <f>IF($C1311="","",IFERROR(INDEX('Lists'!$G$6:$G$35,MATCH($C1311,'Lists'!$F$6:$F$35,0))&amp;"","Unknown category"))</f>
        <v/>
      </c>
      <c r="I1311" s="80">
        <f>IF(AND($B1311="",$C1311="",$E1311=""),"",IF(NOT(ISNUMBER($B1311)),"Enter a valid date",IF($C1311="","Pick a category",IF(OR($H1311="Unknown category",$H1311=""),"Category has no cost type",IF(NOT(ISNUMBER($E1311)),"Enter an amount","OK")))))</f>
        <v/>
      </c>
    </row>
    <row r="1312" ht="17" customHeight="1">
      <c r="B1312" s="66" t="n"/>
      <c r="C1312" s="60" t="n"/>
      <c r="D1312" s="60" t="n"/>
      <c r="E1312" s="63" t="n"/>
      <c r="F1312" s="60" t="n"/>
      <c r="G1312" s="60" t="n"/>
      <c r="H1312" s="13">
        <f>IF($C1312="","",IFERROR(INDEX('Lists'!$G$6:$G$35,MATCH($C1312,'Lists'!$F$6:$F$35,0))&amp;"","Unknown category"))</f>
        <v/>
      </c>
      <c r="I1312" s="80">
        <f>IF(AND($B1312="",$C1312="",$E1312=""),"",IF(NOT(ISNUMBER($B1312)),"Enter a valid date",IF($C1312="","Pick a category",IF(OR($H1312="Unknown category",$H1312=""),"Category has no cost type",IF(NOT(ISNUMBER($E1312)),"Enter an amount","OK")))))</f>
        <v/>
      </c>
    </row>
    <row r="1313" ht="17" customHeight="1">
      <c r="B1313" s="66" t="n"/>
      <c r="C1313" s="60" t="n"/>
      <c r="D1313" s="60" t="n"/>
      <c r="E1313" s="63" t="n"/>
      <c r="F1313" s="60" t="n"/>
      <c r="G1313" s="60" t="n"/>
      <c r="H1313" s="13">
        <f>IF($C1313="","",IFERROR(INDEX('Lists'!$G$6:$G$35,MATCH($C1313,'Lists'!$F$6:$F$35,0))&amp;"","Unknown category"))</f>
        <v/>
      </c>
      <c r="I1313" s="80">
        <f>IF(AND($B1313="",$C1313="",$E1313=""),"",IF(NOT(ISNUMBER($B1313)),"Enter a valid date",IF($C1313="","Pick a category",IF(OR($H1313="Unknown category",$H1313=""),"Category has no cost type",IF(NOT(ISNUMBER($E1313)),"Enter an amount","OK")))))</f>
        <v/>
      </c>
    </row>
    <row r="1314" ht="17" customHeight="1">
      <c r="B1314" s="66" t="n"/>
      <c r="C1314" s="60" t="n"/>
      <c r="D1314" s="60" t="n"/>
      <c r="E1314" s="63" t="n"/>
      <c r="F1314" s="60" t="n"/>
      <c r="G1314" s="60" t="n"/>
      <c r="H1314" s="13">
        <f>IF($C1314="","",IFERROR(INDEX('Lists'!$G$6:$G$35,MATCH($C1314,'Lists'!$F$6:$F$35,0))&amp;"","Unknown category"))</f>
        <v/>
      </c>
      <c r="I1314" s="80">
        <f>IF(AND($B1314="",$C1314="",$E1314=""),"",IF(NOT(ISNUMBER($B1314)),"Enter a valid date",IF($C1314="","Pick a category",IF(OR($H1314="Unknown category",$H1314=""),"Category has no cost type",IF(NOT(ISNUMBER($E1314)),"Enter an amount","OK")))))</f>
        <v/>
      </c>
    </row>
    <row r="1315" ht="17" customHeight="1">
      <c r="B1315" s="66" t="n"/>
      <c r="C1315" s="60" t="n"/>
      <c r="D1315" s="60" t="n"/>
      <c r="E1315" s="63" t="n"/>
      <c r="F1315" s="60" t="n"/>
      <c r="G1315" s="60" t="n"/>
      <c r="H1315" s="13">
        <f>IF($C1315="","",IFERROR(INDEX('Lists'!$G$6:$G$35,MATCH($C1315,'Lists'!$F$6:$F$35,0))&amp;"","Unknown category"))</f>
        <v/>
      </c>
      <c r="I1315" s="80">
        <f>IF(AND($B1315="",$C1315="",$E1315=""),"",IF(NOT(ISNUMBER($B1315)),"Enter a valid date",IF($C1315="","Pick a category",IF(OR($H1315="Unknown category",$H1315=""),"Category has no cost type",IF(NOT(ISNUMBER($E1315)),"Enter an amount","OK")))))</f>
        <v/>
      </c>
    </row>
    <row r="1316" ht="17" customHeight="1">
      <c r="B1316" s="66" t="n"/>
      <c r="C1316" s="60" t="n"/>
      <c r="D1316" s="60" t="n"/>
      <c r="E1316" s="63" t="n"/>
      <c r="F1316" s="60" t="n"/>
      <c r="G1316" s="60" t="n"/>
      <c r="H1316" s="13">
        <f>IF($C1316="","",IFERROR(INDEX('Lists'!$G$6:$G$35,MATCH($C1316,'Lists'!$F$6:$F$35,0))&amp;"","Unknown category"))</f>
        <v/>
      </c>
      <c r="I1316" s="80">
        <f>IF(AND($B1316="",$C1316="",$E1316=""),"",IF(NOT(ISNUMBER($B1316)),"Enter a valid date",IF($C1316="","Pick a category",IF(OR($H1316="Unknown category",$H1316=""),"Category has no cost type",IF(NOT(ISNUMBER($E1316)),"Enter an amount","OK")))))</f>
        <v/>
      </c>
    </row>
    <row r="1317" ht="17" customHeight="1">
      <c r="B1317" s="66" t="n"/>
      <c r="C1317" s="60" t="n"/>
      <c r="D1317" s="60" t="n"/>
      <c r="E1317" s="63" t="n"/>
      <c r="F1317" s="60" t="n"/>
      <c r="G1317" s="60" t="n"/>
      <c r="H1317" s="13">
        <f>IF($C1317="","",IFERROR(INDEX('Lists'!$G$6:$G$35,MATCH($C1317,'Lists'!$F$6:$F$35,0))&amp;"","Unknown category"))</f>
        <v/>
      </c>
      <c r="I1317" s="80">
        <f>IF(AND($B1317="",$C1317="",$E1317=""),"",IF(NOT(ISNUMBER($B1317)),"Enter a valid date",IF($C1317="","Pick a category",IF(OR($H1317="Unknown category",$H1317=""),"Category has no cost type",IF(NOT(ISNUMBER($E1317)),"Enter an amount","OK")))))</f>
        <v/>
      </c>
    </row>
    <row r="1318" ht="17" customHeight="1">
      <c r="B1318" s="66" t="n"/>
      <c r="C1318" s="60" t="n"/>
      <c r="D1318" s="60" t="n"/>
      <c r="E1318" s="63" t="n"/>
      <c r="F1318" s="60" t="n"/>
      <c r="G1318" s="60" t="n"/>
      <c r="H1318" s="13">
        <f>IF($C1318="","",IFERROR(INDEX('Lists'!$G$6:$G$35,MATCH($C1318,'Lists'!$F$6:$F$35,0))&amp;"","Unknown category"))</f>
        <v/>
      </c>
      <c r="I1318" s="80">
        <f>IF(AND($B1318="",$C1318="",$E1318=""),"",IF(NOT(ISNUMBER($B1318)),"Enter a valid date",IF($C1318="","Pick a category",IF(OR($H1318="Unknown category",$H1318=""),"Category has no cost type",IF(NOT(ISNUMBER($E1318)),"Enter an amount","OK")))))</f>
        <v/>
      </c>
    </row>
    <row r="1319" ht="17" customHeight="1">
      <c r="B1319" s="66" t="n"/>
      <c r="C1319" s="60" t="n"/>
      <c r="D1319" s="60" t="n"/>
      <c r="E1319" s="63" t="n"/>
      <c r="F1319" s="60" t="n"/>
      <c r="G1319" s="60" t="n"/>
      <c r="H1319" s="13">
        <f>IF($C1319="","",IFERROR(INDEX('Lists'!$G$6:$G$35,MATCH($C1319,'Lists'!$F$6:$F$35,0))&amp;"","Unknown category"))</f>
        <v/>
      </c>
      <c r="I1319" s="80">
        <f>IF(AND($B1319="",$C1319="",$E1319=""),"",IF(NOT(ISNUMBER($B1319)),"Enter a valid date",IF($C1319="","Pick a category",IF(OR($H1319="Unknown category",$H1319=""),"Category has no cost type",IF(NOT(ISNUMBER($E1319)),"Enter an amount","OK")))))</f>
        <v/>
      </c>
    </row>
    <row r="1320" ht="17" customHeight="1">
      <c r="B1320" s="66" t="n"/>
      <c r="C1320" s="60" t="n"/>
      <c r="D1320" s="60" t="n"/>
      <c r="E1320" s="63" t="n"/>
      <c r="F1320" s="60" t="n"/>
      <c r="G1320" s="60" t="n"/>
      <c r="H1320" s="13">
        <f>IF($C1320="","",IFERROR(INDEX('Lists'!$G$6:$G$35,MATCH($C1320,'Lists'!$F$6:$F$35,0))&amp;"","Unknown category"))</f>
        <v/>
      </c>
      <c r="I1320" s="80">
        <f>IF(AND($B1320="",$C1320="",$E1320=""),"",IF(NOT(ISNUMBER($B1320)),"Enter a valid date",IF($C1320="","Pick a category",IF(OR($H1320="Unknown category",$H1320=""),"Category has no cost type",IF(NOT(ISNUMBER($E1320)),"Enter an amount","OK")))))</f>
        <v/>
      </c>
    </row>
    <row r="1321" ht="17" customHeight="1">
      <c r="B1321" s="66" t="n"/>
      <c r="C1321" s="60" t="n"/>
      <c r="D1321" s="60" t="n"/>
      <c r="E1321" s="63" t="n"/>
      <c r="F1321" s="60" t="n"/>
      <c r="G1321" s="60" t="n"/>
      <c r="H1321" s="13">
        <f>IF($C1321="","",IFERROR(INDEX('Lists'!$G$6:$G$35,MATCH($C1321,'Lists'!$F$6:$F$35,0))&amp;"","Unknown category"))</f>
        <v/>
      </c>
      <c r="I1321" s="80">
        <f>IF(AND($B1321="",$C1321="",$E1321=""),"",IF(NOT(ISNUMBER($B1321)),"Enter a valid date",IF($C1321="","Pick a category",IF(OR($H1321="Unknown category",$H1321=""),"Category has no cost type",IF(NOT(ISNUMBER($E1321)),"Enter an amount","OK")))))</f>
        <v/>
      </c>
    </row>
    <row r="1322" ht="17" customHeight="1">
      <c r="B1322" s="66" t="n"/>
      <c r="C1322" s="60" t="n"/>
      <c r="D1322" s="60" t="n"/>
      <c r="E1322" s="63" t="n"/>
      <c r="F1322" s="60" t="n"/>
      <c r="G1322" s="60" t="n"/>
      <c r="H1322" s="13">
        <f>IF($C1322="","",IFERROR(INDEX('Lists'!$G$6:$G$35,MATCH($C1322,'Lists'!$F$6:$F$35,0))&amp;"","Unknown category"))</f>
        <v/>
      </c>
      <c r="I1322" s="80">
        <f>IF(AND($B1322="",$C1322="",$E1322=""),"",IF(NOT(ISNUMBER($B1322)),"Enter a valid date",IF($C1322="","Pick a category",IF(OR($H1322="Unknown category",$H1322=""),"Category has no cost type",IF(NOT(ISNUMBER($E1322)),"Enter an amount","OK")))))</f>
        <v/>
      </c>
    </row>
    <row r="1323" ht="17" customHeight="1">
      <c r="B1323" s="66" t="n"/>
      <c r="C1323" s="60" t="n"/>
      <c r="D1323" s="60" t="n"/>
      <c r="E1323" s="63" t="n"/>
      <c r="F1323" s="60" t="n"/>
      <c r="G1323" s="60" t="n"/>
      <c r="H1323" s="13">
        <f>IF($C1323="","",IFERROR(INDEX('Lists'!$G$6:$G$35,MATCH($C1323,'Lists'!$F$6:$F$35,0))&amp;"","Unknown category"))</f>
        <v/>
      </c>
      <c r="I1323" s="80">
        <f>IF(AND($B1323="",$C1323="",$E1323=""),"",IF(NOT(ISNUMBER($B1323)),"Enter a valid date",IF($C1323="","Pick a category",IF(OR($H1323="Unknown category",$H1323=""),"Category has no cost type",IF(NOT(ISNUMBER($E1323)),"Enter an amount","OK")))))</f>
        <v/>
      </c>
    </row>
    <row r="1324" ht="17" customHeight="1">
      <c r="B1324" s="66" t="n"/>
      <c r="C1324" s="60" t="n"/>
      <c r="D1324" s="60" t="n"/>
      <c r="E1324" s="63" t="n"/>
      <c r="F1324" s="60" t="n"/>
      <c r="G1324" s="60" t="n"/>
      <c r="H1324" s="13">
        <f>IF($C1324="","",IFERROR(INDEX('Lists'!$G$6:$G$35,MATCH($C1324,'Lists'!$F$6:$F$35,0))&amp;"","Unknown category"))</f>
        <v/>
      </c>
      <c r="I1324" s="80">
        <f>IF(AND($B1324="",$C1324="",$E1324=""),"",IF(NOT(ISNUMBER($B1324)),"Enter a valid date",IF($C1324="","Pick a category",IF(OR($H1324="Unknown category",$H1324=""),"Category has no cost type",IF(NOT(ISNUMBER($E1324)),"Enter an amount","OK")))))</f>
        <v/>
      </c>
    </row>
    <row r="1325" ht="17" customHeight="1">
      <c r="B1325" s="66" t="n"/>
      <c r="C1325" s="60" t="n"/>
      <c r="D1325" s="60" t="n"/>
      <c r="E1325" s="63" t="n"/>
      <c r="F1325" s="60" t="n"/>
      <c r="G1325" s="60" t="n"/>
      <c r="H1325" s="13">
        <f>IF($C1325="","",IFERROR(INDEX('Lists'!$G$6:$G$35,MATCH($C1325,'Lists'!$F$6:$F$35,0))&amp;"","Unknown category"))</f>
        <v/>
      </c>
      <c r="I1325" s="80">
        <f>IF(AND($B1325="",$C1325="",$E1325=""),"",IF(NOT(ISNUMBER($B1325)),"Enter a valid date",IF($C1325="","Pick a category",IF(OR($H1325="Unknown category",$H1325=""),"Category has no cost type",IF(NOT(ISNUMBER($E1325)),"Enter an amount","OK")))))</f>
        <v/>
      </c>
    </row>
    <row r="1326" ht="17" customHeight="1">
      <c r="B1326" s="66" t="n"/>
      <c r="C1326" s="60" t="n"/>
      <c r="D1326" s="60" t="n"/>
      <c r="E1326" s="63" t="n"/>
      <c r="F1326" s="60" t="n"/>
      <c r="G1326" s="60" t="n"/>
      <c r="H1326" s="13">
        <f>IF($C1326="","",IFERROR(INDEX('Lists'!$G$6:$G$35,MATCH($C1326,'Lists'!$F$6:$F$35,0))&amp;"","Unknown category"))</f>
        <v/>
      </c>
      <c r="I1326" s="80">
        <f>IF(AND($B1326="",$C1326="",$E1326=""),"",IF(NOT(ISNUMBER($B1326)),"Enter a valid date",IF($C1326="","Pick a category",IF(OR($H1326="Unknown category",$H1326=""),"Category has no cost type",IF(NOT(ISNUMBER($E1326)),"Enter an amount","OK")))))</f>
        <v/>
      </c>
    </row>
    <row r="1327" ht="17" customHeight="1">
      <c r="B1327" s="66" t="n"/>
      <c r="C1327" s="60" t="n"/>
      <c r="D1327" s="60" t="n"/>
      <c r="E1327" s="63" t="n"/>
      <c r="F1327" s="60" t="n"/>
      <c r="G1327" s="60" t="n"/>
      <c r="H1327" s="13">
        <f>IF($C1327="","",IFERROR(INDEX('Lists'!$G$6:$G$35,MATCH($C1327,'Lists'!$F$6:$F$35,0))&amp;"","Unknown category"))</f>
        <v/>
      </c>
      <c r="I1327" s="80">
        <f>IF(AND($B1327="",$C1327="",$E1327=""),"",IF(NOT(ISNUMBER($B1327)),"Enter a valid date",IF($C1327="","Pick a category",IF(OR($H1327="Unknown category",$H1327=""),"Category has no cost type",IF(NOT(ISNUMBER($E1327)),"Enter an amount","OK")))))</f>
        <v/>
      </c>
    </row>
    <row r="1328" ht="17" customHeight="1">
      <c r="B1328" s="66" t="n"/>
      <c r="C1328" s="60" t="n"/>
      <c r="D1328" s="60" t="n"/>
      <c r="E1328" s="63" t="n"/>
      <c r="F1328" s="60" t="n"/>
      <c r="G1328" s="60" t="n"/>
      <c r="H1328" s="13">
        <f>IF($C1328="","",IFERROR(INDEX('Lists'!$G$6:$G$35,MATCH($C1328,'Lists'!$F$6:$F$35,0))&amp;"","Unknown category"))</f>
        <v/>
      </c>
      <c r="I1328" s="80">
        <f>IF(AND($B1328="",$C1328="",$E1328=""),"",IF(NOT(ISNUMBER($B1328)),"Enter a valid date",IF($C1328="","Pick a category",IF(OR($H1328="Unknown category",$H1328=""),"Category has no cost type",IF(NOT(ISNUMBER($E1328)),"Enter an amount","OK")))))</f>
        <v/>
      </c>
    </row>
    <row r="1329" ht="17" customHeight="1">
      <c r="B1329" s="66" t="n"/>
      <c r="C1329" s="60" t="n"/>
      <c r="D1329" s="60" t="n"/>
      <c r="E1329" s="63" t="n"/>
      <c r="F1329" s="60" t="n"/>
      <c r="G1329" s="60" t="n"/>
      <c r="H1329" s="13">
        <f>IF($C1329="","",IFERROR(INDEX('Lists'!$G$6:$G$35,MATCH($C1329,'Lists'!$F$6:$F$35,0))&amp;"","Unknown category"))</f>
        <v/>
      </c>
      <c r="I1329" s="80">
        <f>IF(AND($B1329="",$C1329="",$E1329=""),"",IF(NOT(ISNUMBER($B1329)),"Enter a valid date",IF($C1329="","Pick a category",IF(OR($H1329="Unknown category",$H1329=""),"Category has no cost type",IF(NOT(ISNUMBER($E1329)),"Enter an amount","OK")))))</f>
        <v/>
      </c>
    </row>
    <row r="1330" ht="17" customHeight="1">
      <c r="B1330" s="66" t="n"/>
      <c r="C1330" s="60" t="n"/>
      <c r="D1330" s="60" t="n"/>
      <c r="E1330" s="63" t="n"/>
      <c r="F1330" s="60" t="n"/>
      <c r="G1330" s="60" t="n"/>
      <c r="H1330" s="13">
        <f>IF($C1330="","",IFERROR(INDEX('Lists'!$G$6:$G$35,MATCH($C1330,'Lists'!$F$6:$F$35,0))&amp;"","Unknown category"))</f>
        <v/>
      </c>
      <c r="I1330" s="80">
        <f>IF(AND($B1330="",$C1330="",$E1330=""),"",IF(NOT(ISNUMBER($B1330)),"Enter a valid date",IF($C1330="","Pick a category",IF(OR($H1330="Unknown category",$H1330=""),"Category has no cost type",IF(NOT(ISNUMBER($E1330)),"Enter an amount","OK")))))</f>
        <v/>
      </c>
    </row>
    <row r="1331" ht="17" customHeight="1">
      <c r="B1331" s="66" t="n"/>
      <c r="C1331" s="60" t="n"/>
      <c r="D1331" s="60" t="n"/>
      <c r="E1331" s="63" t="n"/>
      <c r="F1331" s="60" t="n"/>
      <c r="G1331" s="60" t="n"/>
      <c r="H1331" s="13">
        <f>IF($C1331="","",IFERROR(INDEX('Lists'!$G$6:$G$35,MATCH($C1331,'Lists'!$F$6:$F$35,0))&amp;"","Unknown category"))</f>
        <v/>
      </c>
      <c r="I1331" s="80">
        <f>IF(AND($B1331="",$C1331="",$E1331=""),"",IF(NOT(ISNUMBER($B1331)),"Enter a valid date",IF($C1331="","Pick a category",IF(OR($H1331="Unknown category",$H1331=""),"Category has no cost type",IF(NOT(ISNUMBER($E1331)),"Enter an amount","OK")))))</f>
        <v/>
      </c>
    </row>
    <row r="1332" ht="17" customHeight="1">
      <c r="B1332" s="66" t="n"/>
      <c r="C1332" s="60" t="n"/>
      <c r="D1332" s="60" t="n"/>
      <c r="E1332" s="63" t="n"/>
      <c r="F1332" s="60" t="n"/>
      <c r="G1332" s="60" t="n"/>
      <c r="H1332" s="13">
        <f>IF($C1332="","",IFERROR(INDEX('Lists'!$G$6:$G$35,MATCH($C1332,'Lists'!$F$6:$F$35,0))&amp;"","Unknown category"))</f>
        <v/>
      </c>
      <c r="I1332" s="80">
        <f>IF(AND($B1332="",$C1332="",$E1332=""),"",IF(NOT(ISNUMBER($B1332)),"Enter a valid date",IF($C1332="","Pick a category",IF(OR($H1332="Unknown category",$H1332=""),"Category has no cost type",IF(NOT(ISNUMBER($E1332)),"Enter an amount","OK")))))</f>
        <v/>
      </c>
    </row>
    <row r="1333" ht="17" customHeight="1">
      <c r="B1333" s="66" t="n"/>
      <c r="C1333" s="60" t="n"/>
      <c r="D1333" s="60" t="n"/>
      <c r="E1333" s="63" t="n"/>
      <c r="F1333" s="60" t="n"/>
      <c r="G1333" s="60" t="n"/>
      <c r="H1333" s="13">
        <f>IF($C1333="","",IFERROR(INDEX('Lists'!$G$6:$G$35,MATCH($C1333,'Lists'!$F$6:$F$35,0))&amp;"","Unknown category"))</f>
        <v/>
      </c>
      <c r="I1333" s="80">
        <f>IF(AND($B1333="",$C1333="",$E1333=""),"",IF(NOT(ISNUMBER($B1333)),"Enter a valid date",IF($C1333="","Pick a category",IF(OR($H1333="Unknown category",$H1333=""),"Category has no cost type",IF(NOT(ISNUMBER($E1333)),"Enter an amount","OK")))))</f>
        <v/>
      </c>
    </row>
    <row r="1334" ht="17" customHeight="1">
      <c r="B1334" s="66" t="n"/>
      <c r="C1334" s="60" t="n"/>
      <c r="D1334" s="60" t="n"/>
      <c r="E1334" s="63" t="n"/>
      <c r="F1334" s="60" t="n"/>
      <c r="G1334" s="60" t="n"/>
      <c r="H1334" s="13">
        <f>IF($C1334="","",IFERROR(INDEX('Lists'!$G$6:$G$35,MATCH($C1334,'Lists'!$F$6:$F$35,0))&amp;"","Unknown category"))</f>
        <v/>
      </c>
      <c r="I1334" s="80">
        <f>IF(AND($B1334="",$C1334="",$E1334=""),"",IF(NOT(ISNUMBER($B1334)),"Enter a valid date",IF($C1334="","Pick a category",IF(OR($H1334="Unknown category",$H1334=""),"Category has no cost type",IF(NOT(ISNUMBER($E1334)),"Enter an amount","OK")))))</f>
        <v/>
      </c>
    </row>
    <row r="1335" ht="17" customHeight="1">
      <c r="B1335" s="66" t="n"/>
      <c r="C1335" s="60" t="n"/>
      <c r="D1335" s="60" t="n"/>
      <c r="E1335" s="63" t="n"/>
      <c r="F1335" s="60" t="n"/>
      <c r="G1335" s="60" t="n"/>
      <c r="H1335" s="13">
        <f>IF($C1335="","",IFERROR(INDEX('Lists'!$G$6:$G$35,MATCH($C1335,'Lists'!$F$6:$F$35,0))&amp;"","Unknown category"))</f>
        <v/>
      </c>
      <c r="I1335" s="80">
        <f>IF(AND($B1335="",$C1335="",$E1335=""),"",IF(NOT(ISNUMBER($B1335)),"Enter a valid date",IF($C1335="","Pick a category",IF(OR($H1335="Unknown category",$H1335=""),"Category has no cost type",IF(NOT(ISNUMBER($E1335)),"Enter an amount","OK")))))</f>
        <v/>
      </c>
    </row>
    <row r="1336" ht="17" customHeight="1">
      <c r="B1336" s="66" t="n"/>
      <c r="C1336" s="60" t="n"/>
      <c r="D1336" s="60" t="n"/>
      <c r="E1336" s="63" t="n"/>
      <c r="F1336" s="60" t="n"/>
      <c r="G1336" s="60" t="n"/>
      <c r="H1336" s="13">
        <f>IF($C1336="","",IFERROR(INDEX('Lists'!$G$6:$G$35,MATCH($C1336,'Lists'!$F$6:$F$35,0))&amp;"","Unknown category"))</f>
        <v/>
      </c>
      <c r="I1336" s="80">
        <f>IF(AND($B1336="",$C1336="",$E1336=""),"",IF(NOT(ISNUMBER($B1336)),"Enter a valid date",IF($C1336="","Pick a category",IF(OR($H1336="Unknown category",$H1336=""),"Category has no cost type",IF(NOT(ISNUMBER($E1336)),"Enter an amount","OK")))))</f>
        <v/>
      </c>
    </row>
    <row r="1337" ht="17" customHeight="1">
      <c r="B1337" s="66" t="n"/>
      <c r="C1337" s="60" t="n"/>
      <c r="D1337" s="60" t="n"/>
      <c r="E1337" s="63" t="n"/>
      <c r="F1337" s="60" t="n"/>
      <c r="G1337" s="60" t="n"/>
      <c r="H1337" s="13">
        <f>IF($C1337="","",IFERROR(INDEX('Lists'!$G$6:$G$35,MATCH($C1337,'Lists'!$F$6:$F$35,0))&amp;"","Unknown category"))</f>
        <v/>
      </c>
      <c r="I1337" s="80">
        <f>IF(AND($B1337="",$C1337="",$E1337=""),"",IF(NOT(ISNUMBER($B1337)),"Enter a valid date",IF($C1337="","Pick a category",IF(OR($H1337="Unknown category",$H1337=""),"Category has no cost type",IF(NOT(ISNUMBER($E1337)),"Enter an amount","OK")))))</f>
        <v/>
      </c>
    </row>
    <row r="1338" ht="17" customHeight="1">
      <c r="B1338" s="66" t="n"/>
      <c r="C1338" s="60" t="n"/>
      <c r="D1338" s="60" t="n"/>
      <c r="E1338" s="63" t="n"/>
      <c r="F1338" s="60" t="n"/>
      <c r="G1338" s="60" t="n"/>
      <c r="H1338" s="13">
        <f>IF($C1338="","",IFERROR(INDEX('Lists'!$G$6:$G$35,MATCH($C1338,'Lists'!$F$6:$F$35,0))&amp;"","Unknown category"))</f>
        <v/>
      </c>
      <c r="I1338" s="80">
        <f>IF(AND($B1338="",$C1338="",$E1338=""),"",IF(NOT(ISNUMBER($B1338)),"Enter a valid date",IF($C1338="","Pick a category",IF(OR($H1338="Unknown category",$H1338=""),"Category has no cost type",IF(NOT(ISNUMBER($E1338)),"Enter an amount","OK")))))</f>
        <v/>
      </c>
    </row>
    <row r="1339" ht="17" customHeight="1">
      <c r="B1339" s="66" t="n"/>
      <c r="C1339" s="60" t="n"/>
      <c r="D1339" s="60" t="n"/>
      <c r="E1339" s="63" t="n"/>
      <c r="F1339" s="60" t="n"/>
      <c r="G1339" s="60" t="n"/>
      <c r="H1339" s="13">
        <f>IF($C1339="","",IFERROR(INDEX('Lists'!$G$6:$G$35,MATCH($C1339,'Lists'!$F$6:$F$35,0))&amp;"","Unknown category"))</f>
        <v/>
      </c>
      <c r="I1339" s="80">
        <f>IF(AND($B1339="",$C1339="",$E1339=""),"",IF(NOT(ISNUMBER($B1339)),"Enter a valid date",IF($C1339="","Pick a category",IF(OR($H1339="Unknown category",$H1339=""),"Category has no cost type",IF(NOT(ISNUMBER($E1339)),"Enter an amount","OK")))))</f>
        <v/>
      </c>
    </row>
    <row r="1340" ht="17" customHeight="1">
      <c r="B1340" s="66" t="n"/>
      <c r="C1340" s="60" t="n"/>
      <c r="D1340" s="60" t="n"/>
      <c r="E1340" s="63" t="n"/>
      <c r="F1340" s="60" t="n"/>
      <c r="G1340" s="60" t="n"/>
      <c r="H1340" s="13">
        <f>IF($C1340="","",IFERROR(INDEX('Lists'!$G$6:$G$35,MATCH($C1340,'Lists'!$F$6:$F$35,0))&amp;"","Unknown category"))</f>
        <v/>
      </c>
      <c r="I1340" s="80">
        <f>IF(AND($B1340="",$C1340="",$E1340=""),"",IF(NOT(ISNUMBER($B1340)),"Enter a valid date",IF($C1340="","Pick a category",IF(OR($H1340="Unknown category",$H1340=""),"Category has no cost type",IF(NOT(ISNUMBER($E1340)),"Enter an amount","OK")))))</f>
        <v/>
      </c>
    </row>
    <row r="1341" ht="17" customHeight="1">
      <c r="B1341" s="66" t="n"/>
      <c r="C1341" s="60" t="n"/>
      <c r="D1341" s="60" t="n"/>
      <c r="E1341" s="63" t="n"/>
      <c r="F1341" s="60" t="n"/>
      <c r="G1341" s="60" t="n"/>
      <c r="H1341" s="13">
        <f>IF($C1341="","",IFERROR(INDEX('Lists'!$G$6:$G$35,MATCH($C1341,'Lists'!$F$6:$F$35,0))&amp;"","Unknown category"))</f>
        <v/>
      </c>
      <c r="I1341" s="80">
        <f>IF(AND($B1341="",$C1341="",$E1341=""),"",IF(NOT(ISNUMBER($B1341)),"Enter a valid date",IF($C1341="","Pick a category",IF(OR($H1341="Unknown category",$H1341=""),"Category has no cost type",IF(NOT(ISNUMBER($E1341)),"Enter an amount","OK")))))</f>
        <v/>
      </c>
    </row>
    <row r="1342" ht="17" customHeight="1">
      <c r="B1342" s="66" t="n"/>
      <c r="C1342" s="60" t="n"/>
      <c r="D1342" s="60" t="n"/>
      <c r="E1342" s="63" t="n"/>
      <c r="F1342" s="60" t="n"/>
      <c r="G1342" s="60" t="n"/>
      <c r="H1342" s="13">
        <f>IF($C1342="","",IFERROR(INDEX('Lists'!$G$6:$G$35,MATCH($C1342,'Lists'!$F$6:$F$35,0))&amp;"","Unknown category"))</f>
        <v/>
      </c>
      <c r="I1342" s="80">
        <f>IF(AND($B1342="",$C1342="",$E1342=""),"",IF(NOT(ISNUMBER($B1342)),"Enter a valid date",IF($C1342="","Pick a category",IF(OR($H1342="Unknown category",$H1342=""),"Category has no cost type",IF(NOT(ISNUMBER($E1342)),"Enter an amount","OK")))))</f>
        <v/>
      </c>
    </row>
    <row r="1343" ht="17" customHeight="1">
      <c r="B1343" s="66" t="n"/>
      <c r="C1343" s="60" t="n"/>
      <c r="D1343" s="60" t="n"/>
      <c r="E1343" s="63" t="n"/>
      <c r="F1343" s="60" t="n"/>
      <c r="G1343" s="60" t="n"/>
      <c r="H1343" s="13">
        <f>IF($C1343="","",IFERROR(INDEX('Lists'!$G$6:$G$35,MATCH($C1343,'Lists'!$F$6:$F$35,0))&amp;"","Unknown category"))</f>
        <v/>
      </c>
      <c r="I1343" s="80">
        <f>IF(AND($B1343="",$C1343="",$E1343=""),"",IF(NOT(ISNUMBER($B1343)),"Enter a valid date",IF($C1343="","Pick a category",IF(OR($H1343="Unknown category",$H1343=""),"Category has no cost type",IF(NOT(ISNUMBER($E1343)),"Enter an amount","OK")))))</f>
        <v/>
      </c>
    </row>
    <row r="1344" ht="17" customHeight="1">
      <c r="B1344" s="66" t="n"/>
      <c r="C1344" s="60" t="n"/>
      <c r="D1344" s="60" t="n"/>
      <c r="E1344" s="63" t="n"/>
      <c r="F1344" s="60" t="n"/>
      <c r="G1344" s="60" t="n"/>
      <c r="H1344" s="13">
        <f>IF($C1344="","",IFERROR(INDEX('Lists'!$G$6:$G$35,MATCH($C1344,'Lists'!$F$6:$F$35,0))&amp;"","Unknown category"))</f>
        <v/>
      </c>
      <c r="I1344" s="80">
        <f>IF(AND($B1344="",$C1344="",$E1344=""),"",IF(NOT(ISNUMBER($B1344)),"Enter a valid date",IF($C1344="","Pick a category",IF(OR($H1344="Unknown category",$H1344=""),"Category has no cost type",IF(NOT(ISNUMBER($E1344)),"Enter an amount","OK")))))</f>
        <v/>
      </c>
    </row>
    <row r="1345" ht="17" customHeight="1">
      <c r="B1345" s="66" t="n"/>
      <c r="C1345" s="60" t="n"/>
      <c r="D1345" s="60" t="n"/>
      <c r="E1345" s="63" t="n"/>
      <c r="F1345" s="60" t="n"/>
      <c r="G1345" s="60" t="n"/>
      <c r="H1345" s="13">
        <f>IF($C1345="","",IFERROR(INDEX('Lists'!$G$6:$G$35,MATCH($C1345,'Lists'!$F$6:$F$35,0))&amp;"","Unknown category"))</f>
        <v/>
      </c>
      <c r="I1345" s="80">
        <f>IF(AND($B1345="",$C1345="",$E1345=""),"",IF(NOT(ISNUMBER($B1345)),"Enter a valid date",IF($C1345="","Pick a category",IF(OR($H1345="Unknown category",$H1345=""),"Category has no cost type",IF(NOT(ISNUMBER($E1345)),"Enter an amount","OK")))))</f>
        <v/>
      </c>
    </row>
    <row r="1346" ht="17" customHeight="1">
      <c r="B1346" s="66" t="n"/>
      <c r="C1346" s="60" t="n"/>
      <c r="D1346" s="60" t="n"/>
      <c r="E1346" s="63" t="n"/>
      <c r="F1346" s="60" t="n"/>
      <c r="G1346" s="60" t="n"/>
      <c r="H1346" s="13">
        <f>IF($C1346="","",IFERROR(INDEX('Lists'!$G$6:$G$35,MATCH($C1346,'Lists'!$F$6:$F$35,0))&amp;"","Unknown category"))</f>
        <v/>
      </c>
      <c r="I1346" s="80">
        <f>IF(AND($B1346="",$C1346="",$E1346=""),"",IF(NOT(ISNUMBER($B1346)),"Enter a valid date",IF($C1346="","Pick a category",IF(OR($H1346="Unknown category",$H1346=""),"Category has no cost type",IF(NOT(ISNUMBER($E1346)),"Enter an amount","OK")))))</f>
        <v/>
      </c>
    </row>
    <row r="1347" ht="17" customHeight="1">
      <c r="B1347" s="66" t="n"/>
      <c r="C1347" s="60" t="n"/>
      <c r="D1347" s="60" t="n"/>
      <c r="E1347" s="63" t="n"/>
      <c r="F1347" s="60" t="n"/>
      <c r="G1347" s="60" t="n"/>
      <c r="H1347" s="13">
        <f>IF($C1347="","",IFERROR(INDEX('Lists'!$G$6:$G$35,MATCH($C1347,'Lists'!$F$6:$F$35,0))&amp;"","Unknown category"))</f>
        <v/>
      </c>
      <c r="I1347" s="80">
        <f>IF(AND($B1347="",$C1347="",$E1347=""),"",IF(NOT(ISNUMBER($B1347)),"Enter a valid date",IF($C1347="","Pick a category",IF(OR($H1347="Unknown category",$H1347=""),"Category has no cost type",IF(NOT(ISNUMBER($E1347)),"Enter an amount","OK")))))</f>
        <v/>
      </c>
    </row>
    <row r="1348" ht="17" customHeight="1">
      <c r="B1348" s="66" t="n"/>
      <c r="C1348" s="60" t="n"/>
      <c r="D1348" s="60" t="n"/>
      <c r="E1348" s="63" t="n"/>
      <c r="F1348" s="60" t="n"/>
      <c r="G1348" s="60" t="n"/>
      <c r="H1348" s="13">
        <f>IF($C1348="","",IFERROR(INDEX('Lists'!$G$6:$G$35,MATCH($C1348,'Lists'!$F$6:$F$35,0))&amp;"","Unknown category"))</f>
        <v/>
      </c>
      <c r="I1348" s="80">
        <f>IF(AND($B1348="",$C1348="",$E1348=""),"",IF(NOT(ISNUMBER($B1348)),"Enter a valid date",IF($C1348="","Pick a category",IF(OR($H1348="Unknown category",$H1348=""),"Category has no cost type",IF(NOT(ISNUMBER($E1348)),"Enter an amount","OK")))))</f>
        <v/>
      </c>
    </row>
    <row r="1349" ht="17" customHeight="1">
      <c r="B1349" s="66" t="n"/>
      <c r="C1349" s="60" t="n"/>
      <c r="D1349" s="60" t="n"/>
      <c r="E1349" s="63" t="n"/>
      <c r="F1349" s="60" t="n"/>
      <c r="G1349" s="60" t="n"/>
      <c r="H1349" s="13">
        <f>IF($C1349="","",IFERROR(INDEX('Lists'!$G$6:$G$35,MATCH($C1349,'Lists'!$F$6:$F$35,0))&amp;"","Unknown category"))</f>
        <v/>
      </c>
      <c r="I1349" s="80">
        <f>IF(AND($B1349="",$C1349="",$E1349=""),"",IF(NOT(ISNUMBER($B1349)),"Enter a valid date",IF($C1349="","Pick a category",IF(OR($H1349="Unknown category",$H1349=""),"Category has no cost type",IF(NOT(ISNUMBER($E1349)),"Enter an amount","OK")))))</f>
        <v/>
      </c>
    </row>
    <row r="1350" ht="17" customHeight="1">
      <c r="B1350" s="66" t="n"/>
      <c r="C1350" s="60" t="n"/>
      <c r="D1350" s="60" t="n"/>
      <c r="E1350" s="63" t="n"/>
      <c r="F1350" s="60" t="n"/>
      <c r="G1350" s="60" t="n"/>
      <c r="H1350" s="13">
        <f>IF($C1350="","",IFERROR(INDEX('Lists'!$G$6:$G$35,MATCH($C1350,'Lists'!$F$6:$F$35,0))&amp;"","Unknown category"))</f>
        <v/>
      </c>
      <c r="I1350" s="80">
        <f>IF(AND($B1350="",$C1350="",$E1350=""),"",IF(NOT(ISNUMBER($B1350)),"Enter a valid date",IF($C1350="","Pick a category",IF(OR($H1350="Unknown category",$H1350=""),"Category has no cost type",IF(NOT(ISNUMBER($E1350)),"Enter an amount","OK")))))</f>
        <v/>
      </c>
    </row>
    <row r="1351" ht="17" customHeight="1">
      <c r="B1351" s="66" t="n"/>
      <c r="C1351" s="60" t="n"/>
      <c r="D1351" s="60" t="n"/>
      <c r="E1351" s="63" t="n"/>
      <c r="F1351" s="60" t="n"/>
      <c r="G1351" s="60" t="n"/>
      <c r="H1351" s="13">
        <f>IF($C1351="","",IFERROR(INDEX('Lists'!$G$6:$G$35,MATCH($C1351,'Lists'!$F$6:$F$35,0))&amp;"","Unknown category"))</f>
        <v/>
      </c>
      <c r="I1351" s="80">
        <f>IF(AND($B1351="",$C1351="",$E1351=""),"",IF(NOT(ISNUMBER($B1351)),"Enter a valid date",IF($C1351="","Pick a category",IF(OR($H1351="Unknown category",$H1351=""),"Category has no cost type",IF(NOT(ISNUMBER($E1351)),"Enter an amount","OK")))))</f>
        <v/>
      </c>
    </row>
    <row r="1352" ht="17" customHeight="1">
      <c r="B1352" s="66" t="n"/>
      <c r="C1352" s="60" t="n"/>
      <c r="D1352" s="60" t="n"/>
      <c r="E1352" s="63" t="n"/>
      <c r="F1352" s="60" t="n"/>
      <c r="G1352" s="60" t="n"/>
      <c r="H1352" s="13">
        <f>IF($C1352="","",IFERROR(INDEX('Lists'!$G$6:$G$35,MATCH($C1352,'Lists'!$F$6:$F$35,0))&amp;"","Unknown category"))</f>
        <v/>
      </c>
      <c r="I1352" s="80">
        <f>IF(AND($B1352="",$C1352="",$E1352=""),"",IF(NOT(ISNUMBER($B1352)),"Enter a valid date",IF($C1352="","Pick a category",IF(OR($H1352="Unknown category",$H1352=""),"Category has no cost type",IF(NOT(ISNUMBER($E1352)),"Enter an amount","OK")))))</f>
        <v/>
      </c>
    </row>
    <row r="1353" ht="17" customHeight="1">
      <c r="B1353" s="66" t="n"/>
      <c r="C1353" s="60" t="n"/>
      <c r="D1353" s="60" t="n"/>
      <c r="E1353" s="63" t="n"/>
      <c r="F1353" s="60" t="n"/>
      <c r="G1353" s="60" t="n"/>
      <c r="H1353" s="13">
        <f>IF($C1353="","",IFERROR(INDEX('Lists'!$G$6:$G$35,MATCH($C1353,'Lists'!$F$6:$F$35,0))&amp;"","Unknown category"))</f>
        <v/>
      </c>
      <c r="I1353" s="80">
        <f>IF(AND($B1353="",$C1353="",$E1353=""),"",IF(NOT(ISNUMBER($B1353)),"Enter a valid date",IF($C1353="","Pick a category",IF(OR($H1353="Unknown category",$H1353=""),"Category has no cost type",IF(NOT(ISNUMBER($E1353)),"Enter an amount","OK")))))</f>
        <v/>
      </c>
    </row>
    <row r="1354" ht="17" customHeight="1">
      <c r="B1354" s="66" t="n"/>
      <c r="C1354" s="60" t="n"/>
      <c r="D1354" s="60" t="n"/>
      <c r="E1354" s="63" t="n"/>
      <c r="F1354" s="60" t="n"/>
      <c r="G1354" s="60" t="n"/>
      <c r="H1354" s="13">
        <f>IF($C1354="","",IFERROR(INDEX('Lists'!$G$6:$G$35,MATCH($C1354,'Lists'!$F$6:$F$35,0))&amp;"","Unknown category"))</f>
        <v/>
      </c>
      <c r="I1354" s="80">
        <f>IF(AND($B1354="",$C1354="",$E1354=""),"",IF(NOT(ISNUMBER($B1354)),"Enter a valid date",IF($C1354="","Pick a category",IF(OR($H1354="Unknown category",$H1354=""),"Category has no cost type",IF(NOT(ISNUMBER($E1354)),"Enter an amount","OK")))))</f>
        <v/>
      </c>
    </row>
    <row r="1355" ht="17" customHeight="1">
      <c r="B1355" s="66" t="n"/>
      <c r="C1355" s="60" t="n"/>
      <c r="D1355" s="60" t="n"/>
      <c r="E1355" s="63" t="n"/>
      <c r="F1355" s="60" t="n"/>
      <c r="G1355" s="60" t="n"/>
      <c r="H1355" s="13">
        <f>IF($C1355="","",IFERROR(INDEX('Lists'!$G$6:$G$35,MATCH($C1355,'Lists'!$F$6:$F$35,0))&amp;"","Unknown category"))</f>
        <v/>
      </c>
      <c r="I1355" s="80">
        <f>IF(AND($B1355="",$C1355="",$E1355=""),"",IF(NOT(ISNUMBER($B1355)),"Enter a valid date",IF($C1355="","Pick a category",IF(OR($H1355="Unknown category",$H1355=""),"Category has no cost type",IF(NOT(ISNUMBER($E1355)),"Enter an amount","OK")))))</f>
        <v/>
      </c>
    </row>
    <row r="1356" ht="17" customHeight="1">
      <c r="B1356" s="66" t="n"/>
      <c r="C1356" s="60" t="n"/>
      <c r="D1356" s="60" t="n"/>
      <c r="E1356" s="63" t="n"/>
      <c r="F1356" s="60" t="n"/>
      <c r="G1356" s="60" t="n"/>
      <c r="H1356" s="13">
        <f>IF($C1356="","",IFERROR(INDEX('Lists'!$G$6:$G$35,MATCH($C1356,'Lists'!$F$6:$F$35,0))&amp;"","Unknown category"))</f>
        <v/>
      </c>
      <c r="I1356" s="80">
        <f>IF(AND($B1356="",$C1356="",$E1356=""),"",IF(NOT(ISNUMBER($B1356)),"Enter a valid date",IF($C1356="","Pick a category",IF(OR($H1356="Unknown category",$H1356=""),"Category has no cost type",IF(NOT(ISNUMBER($E1356)),"Enter an amount","OK")))))</f>
        <v/>
      </c>
    </row>
    <row r="1357" ht="17" customHeight="1">
      <c r="B1357" s="66" t="n"/>
      <c r="C1357" s="60" t="n"/>
      <c r="D1357" s="60" t="n"/>
      <c r="E1357" s="63" t="n"/>
      <c r="F1357" s="60" t="n"/>
      <c r="G1357" s="60" t="n"/>
      <c r="H1357" s="13">
        <f>IF($C1357="","",IFERROR(INDEX('Lists'!$G$6:$G$35,MATCH($C1357,'Lists'!$F$6:$F$35,0))&amp;"","Unknown category"))</f>
        <v/>
      </c>
      <c r="I1357" s="80">
        <f>IF(AND($B1357="",$C1357="",$E1357=""),"",IF(NOT(ISNUMBER($B1357)),"Enter a valid date",IF($C1357="","Pick a category",IF(OR($H1357="Unknown category",$H1357=""),"Category has no cost type",IF(NOT(ISNUMBER($E1357)),"Enter an amount","OK")))))</f>
        <v/>
      </c>
    </row>
    <row r="1358" ht="17" customHeight="1">
      <c r="B1358" s="66" t="n"/>
      <c r="C1358" s="60" t="n"/>
      <c r="D1358" s="60" t="n"/>
      <c r="E1358" s="63" t="n"/>
      <c r="F1358" s="60" t="n"/>
      <c r="G1358" s="60" t="n"/>
      <c r="H1358" s="13">
        <f>IF($C1358="","",IFERROR(INDEX('Lists'!$G$6:$G$35,MATCH($C1358,'Lists'!$F$6:$F$35,0))&amp;"","Unknown category"))</f>
        <v/>
      </c>
      <c r="I1358" s="80">
        <f>IF(AND($B1358="",$C1358="",$E1358=""),"",IF(NOT(ISNUMBER($B1358)),"Enter a valid date",IF($C1358="","Pick a category",IF(OR($H1358="Unknown category",$H1358=""),"Category has no cost type",IF(NOT(ISNUMBER($E1358)),"Enter an amount","OK")))))</f>
        <v/>
      </c>
    </row>
    <row r="1359" ht="17" customHeight="1">
      <c r="B1359" s="66" t="n"/>
      <c r="C1359" s="60" t="n"/>
      <c r="D1359" s="60" t="n"/>
      <c r="E1359" s="63" t="n"/>
      <c r="F1359" s="60" t="n"/>
      <c r="G1359" s="60" t="n"/>
      <c r="H1359" s="13">
        <f>IF($C1359="","",IFERROR(INDEX('Lists'!$G$6:$G$35,MATCH($C1359,'Lists'!$F$6:$F$35,0))&amp;"","Unknown category"))</f>
        <v/>
      </c>
      <c r="I1359" s="80">
        <f>IF(AND($B1359="",$C1359="",$E1359=""),"",IF(NOT(ISNUMBER($B1359)),"Enter a valid date",IF($C1359="","Pick a category",IF(OR($H1359="Unknown category",$H1359=""),"Category has no cost type",IF(NOT(ISNUMBER($E1359)),"Enter an amount","OK")))))</f>
        <v/>
      </c>
    </row>
    <row r="1360" ht="17" customHeight="1">
      <c r="B1360" s="66" t="n"/>
      <c r="C1360" s="60" t="n"/>
      <c r="D1360" s="60" t="n"/>
      <c r="E1360" s="63" t="n"/>
      <c r="F1360" s="60" t="n"/>
      <c r="G1360" s="60" t="n"/>
      <c r="H1360" s="13">
        <f>IF($C1360="","",IFERROR(INDEX('Lists'!$G$6:$G$35,MATCH($C1360,'Lists'!$F$6:$F$35,0))&amp;"","Unknown category"))</f>
        <v/>
      </c>
      <c r="I1360" s="80">
        <f>IF(AND($B1360="",$C1360="",$E1360=""),"",IF(NOT(ISNUMBER($B1360)),"Enter a valid date",IF($C1360="","Pick a category",IF(OR($H1360="Unknown category",$H1360=""),"Category has no cost type",IF(NOT(ISNUMBER($E1360)),"Enter an amount","OK")))))</f>
        <v/>
      </c>
    </row>
    <row r="1361" ht="17" customHeight="1">
      <c r="B1361" s="66" t="n"/>
      <c r="C1361" s="60" t="n"/>
      <c r="D1361" s="60" t="n"/>
      <c r="E1361" s="63" t="n"/>
      <c r="F1361" s="60" t="n"/>
      <c r="G1361" s="60" t="n"/>
      <c r="H1361" s="13">
        <f>IF($C1361="","",IFERROR(INDEX('Lists'!$G$6:$G$35,MATCH($C1361,'Lists'!$F$6:$F$35,0))&amp;"","Unknown category"))</f>
        <v/>
      </c>
      <c r="I1361" s="80">
        <f>IF(AND($B1361="",$C1361="",$E1361=""),"",IF(NOT(ISNUMBER($B1361)),"Enter a valid date",IF($C1361="","Pick a category",IF(OR($H1361="Unknown category",$H1361=""),"Category has no cost type",IF(NOT(ISNUMBER($E1361)),"Enter an amount","OK")))))</f>
        <v/>
      </c>
    </row>
    <row r="1362" ht="17" customHeight="1">
      <c r="B1362" s="66" t="n"/>
      <c r="C1362" s="60" t="n"/>
      <c r="D1362" s="60" t="n"/>
      <c r="E1362" s="63" t="n"/>
      <c r="F1362" s="60" t="n"/>
      <c r="G1362" s="60" t="n"/>
      <c r="H1362" s="13">
        <f>IF($C1362="","",IFERROR(INDEX('Lists'!$G$6:$G$35,MATCH($C1362,'Lists'!$F$6:$F$35,0))&amp;"","Unknown category"))</f>
        <v/>
      </c>
      <c r="I1362" s="80">
        <f>IF(AND($B1362="",$C1362="",$E1362=""),"",IF(NOT(ISNUMBER($B1362)),"Enter a valid date",IF($C1362="","Pick a category",IF(OR($H1362="Unknown category",$H1362=""),"Category has no cost type",IF(NOT(ISNUMBER($E1362)),"Enter an amount","OK")))))</f>
        <v/>
      </c>
    </row>
    <row r="1363" ht="17" customHeight="1">
      <c r="B1363" s="66" t="n"/>
      <c r="C1363" s="60" t="n"/>
      <c r="D1363" s="60" t="n"/>
      <c r="E1363" s="63" t="n"/>
      <c r="F1363" s="60" t="n"/>
      <c r="G1363" s="60" t="n"/>
      <c r="H1363" s="13">
        <f>IF($C1363="","",IFERROR(INDEX('Lists'!$G$6:$G$35,MATCH($C1363,'Lists'!$F$6:$F$35,0))&amp;"","Unknown category"))</f>
        <v/>
      </c>
      <c r="I1363" s="80">
        <f>IF(AND($B1363="",$C1363="",$E1363=""),"",IF(NOT(ISNUMBER($B1363)),"Enter a valid date",IF($C1363="","Pick a category",IF(OR($H1363="Unknown category",$H1363=""),"Category has no cost type",IF(NOT(ISNUMBER($E1363)),"Enter an amount","OK")))))</f>
        <v/>
      </c>
    </row>
    <row r="1364" ht="17" customHeight="1">
      <c r="B1364" s="66" t="n"/>
      <c r="C1364" s="60" t="n"/>
      <c r="D1364" s="60" t="n"/>
      <c r="E1364" s="63" t="n"/>
      <c r="F1364" s="60" t="n"/>
      <c r="G1364" s="60" t="n"/>
      <c r="H1364" s="13">
        <f>IF($C1364="","",IFERROR(INDEX('Lists'!$G$6:$G$35,MATCH($C1364,'Lists'!$F$6:$F$35,0))&amp;"","Unknown category"))</f>
        <v/>
      </c>
      <c r="I1364" s="80">
        <f>IF(AND($B1364="",$C1364="",$E1364=""),"",IF(NOT(ISNUMBER($B1364)),"Enter a valid date",IF($C1364="","Pick a category",IF(OR($H1364="Unknown category",$H1364=""),"Category has no cost type",IF(NOT(ISNUMBER($E1364)),"Enter an amount","OK")))))</f>
        <v/>
      </c>
    </row>
    <row r="1365" ht="17" customHeight="1">
      <c r="B1365" s="66" t="n"/>
      <c r="C1365" s="60" t="n"/>
      <c r="D1365" s="60" t="n"/>
      <c r="E1365" s="63" t="n"/>
      <c r="F1365" s="60" t="n"/>
      <c r="G1365" s="60" t="n"/>
      <c r="H1365" s="13">
        <f>IF($C1365="","",IFERROR(INDEX('Lists'!$G$6:$G$35,MATCH($C1365,'Lists'!$F$6:$F$35,0))&amp;"","Unknown category"))</f>
        <v/>
      </c>
      <c r="I1365" s="80">
        <f>IF(AND($B1365="",$C1365="",$E1365=""),"",IF(NOT(ISNUMBER($B1365)),"Enter a valid date",IF($C1365="","Pick a category",IF(OR($H1365="Unknown category",$H1365=""),"Category has no cost type",IF(NOT(ISNUMBER($E1365)),"Enter an amount","OK")))))</f>
        <v/>
      </c>
    </row>
    <row r="1366" ht="17" customHeight="1">
      <c r="B1366" s="66" t="n"/>
      <c r="C1366" s="60" t="n"/>
      <c r="D1366" s="60" t="n"/>
      <c r="E1366" s="63" t="n"/>
      <c r="F1366" s="60" t="n"/>
      <c r="G1366" s="60" t="n"/>
      <c r="H1366" s="13">
        <f>IF($C1366="","",IFERROR(INDEX('Lists'!$G$6:$G$35,MATCH($C1366,'Lists'!$F$6:$F$35,0))&amp;"","Unknown category"))</f>
        <v/>
      </c>
      <c r="I1366" s="80">
        <f>IF(AND($B1366="",$C1366="",$E1366=""),"",IF(NOT(ISNUMBER($B1366)),"Enter a valid date",IF($C1366="","Pick a category",IF(OR($H1366="Unknown category",$H1366=""),"Category has no cost type",IF(NOT(ISNUMBER($E1366)),"Enter an amount","OK")))))</f>
        <v/>
      </c>
    </row>
    <row r="1367" ht="17" customHeight="1">
      <c r="B1367" s="66" t="n"/>
      <c r="C1367" s="60" t="n"/>
      <c r="D1367" s="60" t="n"/>
      <c r="E1367" s="63" t="n"/>
      <c r="F1367" s="60" t="n"/>
      <c r="G1367" s="60" t="n"/>
      <c r="H1367" s="13">
        <f>IF($C1367="","",IFERROR(INDEX('Lists'!$G$6:$G$35,MATCH($C1367,'Lists'!$F$6:$F$35,0))&amp;"","Unknown category"))</f>
        <v/>
      </c>
      <c r="I1367" s="80">
        <f>IF(AND($B1367="",$C1367="",$E1367=""),"",IF(NOT(ISNUMBER($B1367)),"Enter a valid date",IF($C1367="","Pick a category",IF(OR($H1367="Unknown category",$H1367=""),"Category has no cost type",IF(NOT(ISNUMBER($E1367)),"Enter an amount","OK")))))</f>
        <v/>
      </c>
    </row>
    <row r="1368" ht="17" customHeight="1">
      <c r="B1368" s="66" t="n"/>
      <c r="C1368" s="60" t="n"/>
      <c r="D1368" s="60" t="n"/>
      <c r="E1368" s="63" t="n"/>
      <c r="F1368" s="60" t="n"/>
      <c r="G1368" s="60" t="n"/>
      <c r="H1368" s="13">
        <f>IF($C1368="","",IFERROR(INDEX('Lists'!$G$6:$G$35,MATCH($C1368,'Lists'!$F$6:$F$35,0))&amp;"","Unknown category"))</f>
        <v/>
      </c>
      <c r="I1368" s="80">
        <f>IF(AND($B1368="",$C1368="",$E1368=""),"",IF(NOT(ISNUMBER($B1368)),"Enter a valid date",IF($C1368="","Pick a category",IF(OR($H1368="Unknown category",$H1368=""),"Category has no cost type",IF(NOT(ISNUMBER($E1368)),"Enter an amount","OK")))))</f>
        <v/>
      </c>
    </row>
    <row r="1369" ht="17" customHeight="1">
      <c r="B1369" s="66" t="n"/>
      <c r="C1369" s="60" t="n"/>
      <c r="D1369" s="60" t="n"/>
      <c r="E1369" s="63" t="n"/>
      <c r="F1369" s="60" t="n"/>
      <c r="G1369" s="60" t="n"/>
      <c r="H1369" s="13">
        <f>IF($C1369="","",IFERROR(INDEX('Lists'!$G$6:$G$35,MATCH($C1369,'Lists'!$F$6:$F$35,0))&amp;"","Unknown category"))</f>
        <v/>
      </c>
      <c r="I1369" s="80">
        <f>IF(AND($B1369="",$C1369="",$E1369=""),"",IF(NOT(ISNUMBER($B1369)),"Enter a valid date",IF($C1369="","Pick a category",IF(OR($H1369="Unknown category",$H1369=""),"Category has no cost type",IF(NOT(ISNUMBER($E1369)),"Enter an amount","OK")))))</f>
        <v/>
      </c>
    </row>
    <row r="1370" ht="17" customHeight="1">
      <c r="B1370" s="66" t="n"/>
      <c r="C1370" s="60" t="n"/>
      <c r="D1370" s="60" t="n"/>
      <c r="E1370" s="63" t="n"/>
      <c r="F1370" s="60" t="n"/>
      <c r="G1370" s="60" t="n"/>
      <c r="H1370" s="13">
        <f>IF($C1370="","",IFERROR(INDEX('Lists'!$G$6:$G$35,MATCH($C1370,'Lists'!$F$6:$F$35,0))&amp;"","Unknown category"))</f>
        <v/>
      </c>
      <c r="I1370" s="80">
        <f>IF(AND($B1370="",$C1370="",$E1370=""),"",IF(NOT(ISNUMBER($B1370)),"Enter a valid date",IF($C1370="","Pick a category",IF(OR($H1370="Unknown category",$H1370=""),"Category has no cost type",IF(NOT(ISNUMBER($E1370)),"Enter an amount","OK")))))</f>
        <v/>
      </c>
    </row>
    <row r="1371" ht="17" customHeight="1">
      <c r="B1371" s="66" t="n"/>
      <c r="C1371" s="60" t="n"/>
      <c r="D1371" s="60" t="n"/>
      <c r="E1371" s="63" t="n"/>
      <c r="F1371" s="60" t="n"/>
      <c r="G1371" s="60" t="n"/>
      <c r="H1371" s="13">
        <f>IF($C1371="","",IFERROR(INDEX('Lists'!$G$6:$G$35,MATCH($C1371,'Lists'!$F$6:$F$35,0))&amp;"","Unknown category"))</f>
        <v/>
      </c>
      <c r="I1371" s="80">
        <f>IF(AND($B1371="",$C1371="",$E1371=""),"",IF(NOT(ISNUMBER($B1371)),"Enter a valid date",IF($C1371="","Pick a category",IF(OR($H1371="Unknown category",$H1371=""),"Category has no cost type",IF(NOT(ISNUMBER($E1371)),"Enter an amount","OK")))))</f>
        <v/>
      </c>
    </row>
    <row r="1372" ht="17" customHeight="1">
      <c r="B1372" s="66" t="n"/>
      <c r="C1372" s="60" t="n"/>
      <c r="D1372" s="60" t="n"/>
      <c r="E1372" s="63" t="n"/>
      <c r="F1372" s="60" t="n"/>
      <c r="G1372" s="60" t="n"/>
      <c r="H1372" s="13">
        <f>IF($C1372="","",IFERROR(INDEX('Lists'!$G$6:$G$35,MATCH($C1372,'Lists'!$F$6:$F$35,0))&amp;"","Unknown category"))</f>
        <v/>
      </c>
      <c r="I1372" s="80">
        <f>IF(AND($B1372="",$C1372="",$E1372=""),"",IF(NOT(ISNUMBER($B1372)),"Enter a valid date",IF($C1372="","Pick a category",IF(OR($H1372="Unknown category",$H1372=""),"Category has no cost type",IF(NOT(ISNUMBER($E1372)),"Enter an amount","OK")))))</f>
        <v/>
      </c>
    </row>
    <row r="1373" ht="17" customHeight="1">
      <c r="B1373" s="66" t="n"/>
      <c r="C1373" s="60" t="n"/>
      <c r="D1373" s="60" t="n"/>
      <c r="E1373" s="63" t="n"/>
      <c r="F1373" s="60" t="n"/>
      <c r="G1373" s="60" t="n"/>
      <c r="H1373" s="13">
        <f>IF($C1373="","",IFERROR(INDEX('Lists'!$G$6:$G$35,MATCH($C1373,'Lists'!$F$6:$F$35,0))&amp;"","Unknown category"))</f>
        <v/>
      </c>
      <c r="I1373" s="80">
        <f>IF(AND($B1373="",$C1373="",$E1373=""),"",IF(NOT(ISNUMBER($B1373)),"Enter a valid date",IF($C1373="","Pick a category",IF(OR($H1373="Unknown category",$H1373=""),"Category has no cost type",IF(NOT(ISNUMBER($E1373)),"Enter an amount","OK")))))</f>
        <v/>
      </c>
    </row>
    <row r="1374" ht="17" customHeight="1">
      <c r="B1374" s="66" t="n"/>
      <c r="C1374" s="60" t="n"/>
      <c r="D1374" s="60" t="n"/>
      <c r="E1374" s="63" t="n"/>
      <c r="F1374" s="60" t="n"/>
      <c r="G1374" s="60" t="n"/>
      <c r="H1374" s="13">
        <f>IF($C1374="","",IFERROR(INDEX('Lists'!$G$6:$G$35,MATCH($C1374,'Lists'!$F$6:$F$35,0))&amp;"","Unknown category"))</f>
        <v/>
      </c>
      <c r="I1374" s="80">
        <f>IF(AND($B1374="",$C1374="",$E1374=""),"",IF(NOT(ISNUMBER($B1374)),"Enter a valid date",IF($C1374="","Pick a category",IF(OR($H1374="Unknown category",$H1374=""),"Category has no cost type",IF(NOT(ISNUMBER($E1374)),"Enter an amount","OK")))))</f>
        <v/>
      </c>
    </row>
    <row r="1375" ht="17" customHeight="1">
      <c r="B1375" s="66" t="n"/>
      <c r="C1375" s="60" t="n"/>
      <c r="D1375" s="60" t="n"/>
      <c r="E1375" s="63" t="n"/>
      <c r="F1375" s="60" t="n"/>
      <c r="G1375" s="60" t="n"/>
      <c r="H1375" s="13">
        <f>IF($C1375="","",IFERROR(INDEX('Lists'!$G$6:$G$35,MATCH($C1375,'Lists'!$F$6:$F$35,0))&amp;"","Unknown category"))</f>
        <v/>
      </c>
      <c r="I1375" s="80">
        <f>IF(AND($B1375="",$C1375="",$E1375=""),"",IF(NOT(ISNUMBER($B1375)),"Enter a valid date",IF($C1375="","Pick a category",IF(OR($H1375="Unknown category",$H1375=""),"Category has no cost type",IF(NOT(ISNUMBER($E1375)),"Enter an amount","OK")))))</f>
        <v/>
      </c>
    </row>
    <row r="1376" ht="17" customHeight="1">
      <c r="B1376" s="66" t="n"/>
      <c r="C1376" s="60" t="n"/>
      <c r="D1376" s="60" t="n"/>
      <c r="E1376" s="63" t="n"/>
      <c r="F1376" s="60" t="n"/>
      <c r="G1376" s="60" t="n"/>
      <c r="H1376" s="13">
        <f>IF($C1376="","",IFERROR(INDEX('Lists'!$G$6:$G$35,MATCH($C1376,'Lists'!$F$6:$F$35,0))&amp;"","Unknown category"))</f>
        <v/>
      </c>
      <c r="I1376" s="80">
        <f>IF(AND($B1376="",$C1376="",$E1376=""),"",IF(NOT(ISNUMBER($B1376)),"Enter a valid date",IF($C1376="","Pick a category",IF(OR($H1376="Unknown category",$H1376=""),"Category has no cost type",IF(NOT(ISNUMBER($E1376)),"Enter an amount","OK")))))</f>
        <v/>
      </c>
    </row>
    <row r="1377" ht="17" customHeight="1">
      <c r="B1377" s="66" t="n"/>
      <c r="C1377" s="60" t="n"/>
      <c r="D1377" s="60" t="n"/>
      <c r="E1377" s="63" t="n"/>
      <c r="F1377" s="60" t="n"/>
      <c r="G1377" s="60" t="n"/>
      <c r="H1377" s="13">
        <f>IF($C1377="","",IFERROR(INDEX('Lists'!$G$6:$G$35,MATCH($C1377,'Lists'!$F$6:$F$35,0))&amp;"","Unknown category"))</f>
        <v/>
      </c>
      <c r="I1377" s="80">
        <f>IF(AND($B1377="",$C1377="",$E1377=""),"",IF(NOT(ISNUMBER($B1377)),"Enter a valid date",IF($C1377="","Pick a category",IF(OR($H1377="Unknown category",$H1377=""),"Category has no cost type",IF(NOT(ISNUMBER($E1377)),"Enter an amount","OK")))))</f>
        <v/>
      </c>
    </row>
    <row r="1378" ht="17" customHeight="1">
      <c r="B1378" s="66" t="n"/>
      <c r="C1378" s="60" t="n"/>
      <c r="D1378" s="60" t="n"/>
      <c r="E1378" s="63" t="n"/>
      <c r="F1378" s="60" t="n"/>
      <c r="G1378" s="60" t="n"/>
      <c r="H1378" s="13">
        <f>IF($C1378="","",IFERROR(INDEX('Lists'!$G$6:$G$35,MATCH($C1378,'Lists'!$F$6:$F$35,0))&amp;"","Unknown category"))</f>
        <v/>
      </c>
      <c r="I1378" s="80">
        <f>IF(AND($B1378="",$C1378="",$E1378=""),"",IF(NOT(ISNUMBER($B1378)),"Enter a valid date",IF($C1378="","Pick a category",IF(OR($H1378="Unknown category",$H1378=""),"Category has no cost type",IF(NOT(ISNUMBER($E1378)),"Enter an amount","OK")))))</f>
        <v/>
      </c>
    </row>
    <row r="1379" ht="17" customHeight="1">
      <c r="B1379" s="66" t="n"/>
      <c r="C1379" s="60" t="n"/>
      <c r="D1379" s="60" t="n"/>
      <c r="E1379" s="63" t="n"/>
      <c r="F1379" s="60" t="n"/>
      <c r="G1379" s="60" t="n"/>
      <c r="H1379" s="13">
        <f>IF($C1379="","",IFERROR(INDEX('Lists'!$G$6:$G$35,MATCH($C1379,'Lists'!$F$6:$F$35,0))&amp;"","Unknown category"))</f>
        <v/>
      </c>
      <c r="I1379" s="80">
        <f>IF(AND($B1379="",$C1379="",$E1379=""),"",IF(NOT(ISNUMBER($B1379)),"Enter a valid date",IF($C1379="","Pick a category",IF(OR($H1379="Unknown category",$H1379=""),"Category has no cost type",IF(NOT(ISNUMBER($E1379)),"Enter an amount","OK")))))</f>
        <v/>
      </c>
    </row>
    <row r="1380" ht="17" customHeight="1">
      <c r="B1380" s="66" t="n"/>
      <c r="C1380" s="60" t="n"/>
      <c r="D1380" s="60" t="n"/>
      <c r="E1380" s="63" t="n"/>
      <c r="F1380" s="60" t="n"/>
      <c r="G1380" s="60" t="n"/>
      <c r="H1380" s="13">
        <f>IF($C1380="","",IFERROR(INDEX('Lists'!$G$6:$G$35,MATCH($C1380,'Lists'!$F$6:$F$35,0))&amp;"","Unknown category"))</f>
        <v/>
      </c>
      <c r="I1380" s="80">
        <f>IF(AND($B1380="",$C1380="",$E1380=""),"",IF(NOT(ISNUMBER($B1380)),"Enter a valid date",IF($C1380="","Pick a category",IF(OR($H1380="Unknown category",$H1380=""),"Category has no cost type",IF(NOT(ISNUMBER($E1380)),"Enter an amount","OK")))))</f>
        <v/>
      </c>
    </row>
    <row r="1381" ht="17" customHeight="1">
      <c r="B1381" s="66" t="n"/>
      <c r="C1381" s="60" t="n"/>
      <c r="D1381" s="60" t="n"/>
      <c r="E1381" s="63" t="n"/>
      <c r="F1381" s="60" t="n"/>
      <c r="G1381" s="60" t="n"/>
      <c r="H1381" s="13">
        <f>IF($C1381="","",IFERROR(INDEX('Lists'!$G$6:$G$35,MATCH($C1381,'Lists'!$F$6:$F$35,0))&amp;"","Unknown category"))</f>
        <v/>
      </c>
      <c r="I1381" s="80">
        <f>IF(AND($B1381="",$C1381="",$E1381=""),"",IF(NOT(ISNUMBER($B1381)),"Enter a valid date",IF($C1381="","Pick a category",IF(OR($H1381="Unknown category",$H1381=""),"Category has no cost type",IF(NOT(ISNUMBER($E1381)),"Enter an amount","OK")))))</f>
        <v/>
      </c>
    </row>
    <row r="1382" ht="17" customHeight="1">
      <c r="B1382" s="66" t="n"/>
      <c r="C1382" s="60" t="n"/>
      <c r="D1382" s="60" t="n"/>
      <c r="E1382" s="63" t="n"/>
      <c r="F1382" s="60" t="n"/>
      <c r="G1382" s="60" t="n"/>
      <c r="H1382" s="13">
        <f>IF($C1382="","",IFERROR(INDEX('Lists'!$G$6:$G$35,MATCH($C1382,'Lists'!$F$6:$F$35,0))&amp;"","Unknown category"))</f>
        <v/>
      </c>
      <c r="I1382" s="80">
        <f>IF(AND($B1382="",$C1382="",$E1382=""),"",IF(NOT(ISNUMBER($B1382)),"Enter a valid date",IF($C1382="","Pick a category",IF(OR($H1382="Unknown category",$H1382=""),"Category has no cost type",IF(NOT(ISNUMBER($E1382)),"Enter an amount","OK")))))</f>
        <v/>
      </c>
    </row>
    <row r="1383" ht="17" customHeight="1">
      <c r="B1383" s="66" t="n"/>
      <c r="C1383" s="60" t="n"/>
      <c r="D1383" s="60" t="n"/>
      <c r="E1383" s="63" t="n"/>
      <c r="F1383" s="60" t="n"/>
      <c r="G1383" s="60" t="n"/>
      <c r="H1383" s="13">
        <f>IF($C1383="","",IFERROR(INDEX('Lists'!$G$6:$G$35,MATCH($C1383,'Lists'!$F$6:$F$35,0))&amp;"","Unknown category"))</f>
        <v/>
      </c>
      <c r="I1383" s="80">
        <f>IF(AND($B1383="",$C1383="",$E1383=""),"",IF(NOT(ISNUMBER($B1383)),"Enter a valid date",IF($C1383="","Pick a category",IF(OR($H1383="Unknown category",$H1383=""),"Category has no cost type",IF(NOT(ISNUMBER($E1383)),"Enter an amount","OK")))))</f>
        <v/>
      </c>
    </row>
    <row r="1384" ht="17" customHeight="1">
      <c r="B1384" s="66" t="n"/>
      <c r="C1384" s="60" t="n"/>
      <c r="D1384" s="60" t="n"/>
      <c r="E1384" s="63" t="n"/>
      <c r="F1384" s="60" t="n"/>
      <c r="G1384" s="60" t="n"/>
      <c r="H1384" s="13">
        <f>IF($C1384="","",IFERROR(INDEX('Lists'!$G$6:$G$35,MATCH($C1384,'Lists'!$F$6:$F$35,0))&amp;"","Unknown category"))</f>
        <v/>
      </c>
      <c r="I1384" s="80">
        <f>IF(AND($B1384="",$C1384="",$E1384=""),"",IF(NOT(ISNUMBER($B1384)),"Enter a valid date",IF($C1384="","Pick a category",IF(OR($H1384="Unknown category",$H1384=""),"Category has no cost type",IF(NOT(ISNUMBER($E1384)),"Enter an amount","OK")))))</f>
        <v/>
      </c>
    </row>
    <row r="1385" ht="17" customHeight="1">
      <c r="B1385" s="66" t="n"/>
      <c r="C1385" s="60" t="n"/>
      <c r="D1385" s="60" t="n"/>
      <c r="E1385" s="63" t="n"/>
      <c r="F1385" s="60" t="n"/>
      <c r="G1385" s="60" t="n"/>
      <c r="H1385" s="13">
        <f>IF($C1385="","",IFERROR(INDEX('Lists'!$G$6:$G$35,MATCH($C1385,'Lists'!$F$6:$F$35,0))&amp;"","Unknown category"))</f>
        <v/>
      </c>
      <c r="I1385" s="80">
        <f>IF(AND($B1385="",$C1385="",$E1385=""),"",IF(NOT(ISNUMBER($B1385)),"Enter a valid date",IF($C1385="","Pick a category",IF(OR($H1385="Unknown category",$H1385=""),"Category has no cost type",IF(NOT(ISNUMBER($E1385)),"Enter an amount","OK")))))</f>
        <v/>
      </c>
    </row>
    <row r="1386" ht="17" customHeight="1">
      <c r="B1386" s="66" t="n"/>
      <c r="C1386" s="60" t="n"/>
      <c r="D1386" s="60" t="n"/>
      <c r="E1386" s="63" t="n"/>
      <c r="F1386" s="60" t="n"/>
      <c r="G1386" s="60" t="n"/>
      <c r="H1386" s="13">
        <f>IF($C1386="","",IFERROR(INDEX('Lists'!$G$6:$G$35,MATCH($C1386,'Lists'!$F$6:$F$35,0))&amp;"","Unknown category"))</f>
        <v/>
      </c>
      <c r="I1386" s="80">
        <f>IF(AND($B1386="",$C1386="",$E1386=""),"",IF(NOT(ISNUMBER($B1386)),"Enter a valid date",IF($C1386="","Pick a category",IF(OR($H1386="Unknown category",$H1386=""),"Category has no cost type",IF(NOT(ISNUMBER($E1386)),"Enter an amount","OK")))))</f>
        <v/>
      </c>
    </row>
    <row r="1387" ht="17" customHeight="1">
      <c r="B1387" s="66" t="n"/>
      <c r="C1387" s="60" t="n"/>
      <c r="D1387" s="60" t="n"/>
      <c r="E1387" s="63" t="n"/>
      <c r="F1387" s="60" t="n"/>
      <c r="G1387" s="60" t="n"/>
      <c r="H1387" s="13">
        <f>IF($C1387="","",IFERROR(INDEX('Lists'!$G$6:$G$35,MATCH($C1387,'Lists'!$F$6:$F$35,0))&amp;"","Unknown category"))</f>
        <v/>
      </c>
      <c r="I1387" s="80">
        <f>IF(AND($B1387="",$C1387="",$E1387=""),"",IF(NOT(ISNUMBER($B1387)),"Enter a valid date",IF($C1387="","Pick a category",IF(OR($H1387="Unknown category",$H1387=""),"Category has no cost type",IF(NOT(ISNUMBER($E1387)),"Enter an amount","OK")))))</f>
        <v/>
      </c>
    </row>
    <row r="1388" ht="17" customHeight="1">
      <c r="B1388" s="66" t="n"/>
      <c r="C1388" s="60" t="n"/>
      <c r="D1388" s="60" t="n"/>
      <c r="E1388" s="63" t="n"/>
      <c r="F1388" s="60" t="n"/>
      <c r="G1388" s="60" t="n"/>
      <c r="H1388" s="13">
        <f>IF($C1388="","",IFERROR(INDEX('Lists'!$G$6:$G$35,MATCH($C1388,'Lists'!$F$6:$F$35,0))&amp;"","Unknown category"))</f>
        <v/>
      </c>
      <c r="I1388" s="80">
        <f>IF(AND($B1388="",$C1388="",$E1388=""),"",IF(NOT(ISNUMBER($B1388)),"Enter a valid date",IF($C1388="","Pick a category",IF(OR($H1388="Unknown category",$H1388=""),"Category has no cost type",IF(NOT(ISNUMBER($E1388)),"Enter an amount","OK")))))</f>
        <v/>
      </c>
    </row>
    <row r="1389" ht="17" customHeight="1">
      <c r="B1389" s="66" t="n"/>
      <c r="C1389" s="60" t="n"/>
      <c r="D1389" s="60" t="n"/>
      <c r="E1389" s="63" t="n"/>
      <c r="F1389" s="60" t="n"/>
      <c r="G1389" s="60" t="n"/>
      <c r="H1389" s="13">
        <f>IF($C1389="","",IFERROR(INDEX('Lists'!$G$6:$G$35,MATCH($C1389,'Lists'!$F$6:$F$35,0))&amp;"","Unknown category"))</f>
        <v/>
      </c>
      <c r="I1389" s="80">
        <f>IF(AND($B1389="",$C1389="",$E1389=""),"",IF(NOT(ISNUMBER($B1389)),"Enter a valid date",IF($C1389="","Pick a category",IF(OR($H1389="Unknown category",$H1389=""),"Category has no cost type",IF(NOT(ISNUMBER($E1389)),"Enter an amount","OK")))))</f>
        <v/>
      </c>
    </row>
    <row r="1390" ht="17" customHeight="1">
      <c r="B1390" s="66" t="n"/>
      <c r="C1390" s="60" t="n"/>
      <c r="D1390" s="60" t="n"/>
      <c r="E1390" s="63" t="n"/>
      <c r="F1390" s="60" t="n"/>
      <c r="G1390" s="60" t="n"/>
      <c r="H1390" s="13">
        <f>IF($C1390="","",IFERROR(INDEX('Lists'!$G$6:$G$35,MATCH($C1390,'Lists'!$F$6:$F$35,0))&amp;"","Unknown category"))</f>
        <v/>
      </c>
      <c r="I1390" s="80">
        <f>IF(AND($B1390="",$C1390="",$E1390=""),"",IF(NOT(ISNUMBER($B1390)),"Enter a valid date",IF($C1390="","Pick a category",IF(OR($H1390="Unknown category",$H1390=""),"Category has no cost type",IF(NOT(ISNUMBER($E1390)),"Enter an amount","OK")))))</f>
        <v/>
      </c>
    </row>
    <row r="1391" ht="17" customHeight="1">
      <c r="B1391" s="66" t="n"/>
      <c r="C1391" s="60" t="n"/>
      <c r="D1391" s="60" t="n"/>
      <c r="E1391" s="63" t="n"/>
      <c r="F1391" s="60" t="n"/>
      <c r="G1391" s="60" t="n"/>
      <c r="H1391" s="13">
        <f>IF($C1391="","",IFERROR(INDEX('Lists'!$G$6:$G$35,MATCH($C1391,'Lists'!$F$6:$F$35,0))&amp;"","Unknown category"))</f>
        <v/>
      </c>
      <c r="I1391" s="80">
        <f>IF(AND($B1391="",$C1391="",$E1391=""),"",IF(NOT(ISNUMBER($B1391)),"Enter a valid date",IF($C1391="","Pick a category",IF(OR($H1391="Unknown category",$H1391=""),"Category has no cost type",IF(NOT(ISNUMBER($E1391)),"Enter an amount","OK")))))</f>
        <v/>
      </c>
    </row>
    <row r="1392" ht="17" customHeight="1">
      <c r="B1392" s="66" t="n"/>
      <c r="C1392" s="60" t="n"/>
      <c r="D1392" s="60" t="n"/>
      <c r="E1392" s="63" t="n"/>
      <c r="F1392" s="60" t="n"/>
      <c r="G1392" s="60" t="n"/>
      <c r="H1392" s="13">
        <f>IF($C1392="","",IFERROR(INDEX('Lists'!$G$6:$G$35,MATCH($C1392,'Lists'!$F$6:$F$35,0))&amp;"","Unknown category"))</f>
        <v/>
      </c>
      <c r="I1392" s="80">
        <f>IF(AND($B1392="",$C1392="",$E1392=""),"",IF(NOT(ISNUMBER($B1392)),"Enter a valid date",IF($C1392="","Pick a category",IF(OR($H1392="Unknown category",$H1392=""),"Category has no cost type",IF(NOT(ISNUMBER($E1392)),"Enter an amount","OK")))))</f>
        <v/>
      </c>
    </row>
    <row r="1393" ht="17" customHeight="1">
      <c r="B1393" s="66" t="n"/>
      <c r="C1393" s="60" t="n"/>
      <c r="D1393" s="60" t="n"/>
      <c r="E1393" s="63" t="n"/>
      <c r="F1393" s="60" t="n"/>
      <c r="G1393" s="60" t="n"/>
      <c r="H1393" s="13">
        <f>IF($C1393="","",IFERROR(INDEX('Lists'!$G$6:$G$35,MATCH($C1393,'Lists'!$F$6:$F$35,0))&amp;"","Unknown category"))</f>
        <v/>
      </c>
      <c r="I1393" s="80">
        <f>IF(AND($B1393="",$C1393="",$E1393=""),"",IF(NOT(ISNUMBER($B1393)),"Enter a valid date",IF($C1393="","Pick a category",IF(OR($H1393="Unknown category",$H1393=""),"Category has no cost type",IF(NOT(ISNUMBER($E1393)),"Enter an amount","OK")))))</f>
        <v/>
      </c>
    </row>
    <row r="1394" ht="17" customHeight="1">
      <c r="B1394" s="66" t="n"/>
      <c r="C1394" s="60" t="n"/>
      <c r="D1394" s="60" t="n"/>
      <c r="E1394" s="63" t="n"/>
      <c r="F1394" s="60" t="n"/>
      <c r="G1394" s="60" t="n"/>
      <c r="H1394" s="13">
        <f>IF($C1394="","",IFERROR(INDEX('Lists'!$G$6:$G$35,MATCH($C1394,'Lists'!$F$6:$F$35,0))&amp;"","Unknown category"))</f>
        <v/>
      </c>
      <c r="I1394" s="80">
        <f>IF(AND($B1394="",$C1394="",$E1394=""),"",IF(NOT(ISNUMBER($B1394)),"Enter a valid date",IF($C1394="","Pick a category",IF(OR($H1394="Unknown category",$H1394=""),"Category has no cost type",IF(NOT(ISNUMBER($E1394)),"Enter an amount","OK")))))</f>
        <v/>
      </c>
    </row>
    <row r="1395" ht="17" customHeight="1">
      <c r="B1395" s="66" t="n"/>
      <c r="C1395" s="60" t="n"/>
      <c r="D1395" s="60" t="n"/>
      <c r="E1395" s="63" t="n"/>
      <c r="F1395" s="60" t="n"/>
      <c r="G1395" s="60" t="n"/>
      <c r="H1395" s="13">
        <f>IF($C1395="","",IFERROR(INDEX('Lists'!$G$6:$G$35,MATCH($C1395,'Lists'!$F$6:$F$35,0))&amp;"","Unknown category"))</f>
        <v/>
      </c>
      <c r="I1395" s="80">
        <f>IF(AND($B1395="",$C1395="",$E1395=""),"",IF(NOT(ISNUMBER($B1395)),"Enter a valid date",IF($C1395="","Pick a category",IF(OR($H1395="Unknown category",$H1395=""),"Category has no cost type",IF(NOT(ISNUMBER($E1395)),"Enter an amount","OK")))))</f>
        <v/>
      </c>
    </row>
    <row r="1396" ht="17" customHeight="1">
      <c r="B1396" s="66" t="n"/>
      <c r="C1396" s="60" t="n"/>
      <c r="D1396" s="60" t="n"/>
      <c r="E1396" s="63" t="n"/>
      <c r="F1396" s="60" t="n"/>
      <c r="G1396" s="60" t="n"/>
      <c r="H1396" s="13">
        <f>IF($C1396="","",IFERROR(INDEX('Lists'!$G$6:$G$35,MATCH($C1396,'Lists'!$F$6:$F$35,0))&amp;"","Unknown category"))</f>
        <v/>
      </c>
      <c r="I1396" s="80">
        <f>IF(AND($B1396="",$C1396="",$E1396=""),"",IF(NOT(ISNUMBER($B1396)),"Enter a valid date",IF($C1396="","Pick a category",IF(OR($H1396="Unknown category",$H1396=""),"Category has no cost type",IF(NOT(ISNUMBER($E1396)),"Enter an amount","OK")))))</f>
        <v/>
      </c>
    </row>
    <row r="1397" ht="17" customHeight="1">
      <c r="B1397" s="66" t="n"/>
      <c r="C1397" s="60" t="n"/>
      <c r="D1397" s="60" t="n"/>
      <c r="E1397" s="63" t="n"/>
      <c r="F1397" s="60" t="n"/>
      <c r="G1397" s="60" t="n"/>
      <c r="H1397" s="13">
        <f>IF($C1397="","",IFERROR(INDEX('Lists'!$G$6:$G$35,MATCH($C1397,'Lists'!$F$6:$F$35,0))&amp;"","Unknown category"))</f>
        <v/>
      </c>
      <c r="I1397" s="80">
        <f>IF(AND($B1397="",$C1397="",$E1397=""),"",IF(NOT(ISNUMBER($B1397)),"Enter a valid date",IF($C1397="","Pick a category",IF(OR($H1397="Unknown category",$H1397=""),"Category has no cost type",IF(NOT(ISNUMBER($E1397)),"Enter an amount","OK")))))</f>
        <v/>
      </c>
    </row>
    <row r="1398" ht="17" customHeight="1">
      <c r="B1398" s="66" t="n"/>
      <c r="C1398" s="60" t="n"/>
      <c r="D1398" s="60" t="n"/>
      <c r="E1398" s="63" t="n"/>
      <c r="F1398" s="60" t="n"/>
      <c r="G1398" s="60" t="n"/>
      <c r="H1398" s="13">
        <f>IF($C1398="","",IFERROR(INDEX('Lists'!$G$6:$G$35,MATCH($C1398,'Lists'!$F$6:$F$35,0))&amp;"","Unknown category"))</f>
        <v/>
      </c>
      <c r="I1398" s="80">
        <f>IF(AND($B1398="",$C1398="",$E1398=""),"",IF(NOT(ISNUMBER($B1398)),"Enter a valid date",IF($C1398="","Pick a category",IF(OR($H1398="Unknown category",$H1398=""),"Category has no cost type",IF(NOT(ISNUMBER($E1398)),"Enter an amount","OK")))))</f>
        <v/>
      </c>
    </row>
    <row r="1399" ht="17" customHeight="1">
      <c r="B1399" s="66" t="n"/>
      <c r="C1399" s="60" t="n"/>
      <c r="D1399" s="60" t="n"/>
      <c r="E1399" s="63" t="n"/>
      <c r="F1399" s="60" t="n"/>
      <c r="G1399" s="60" t="n"/>
      <c r="H1399" s="13">
        <f>IF($C1399="","",IFERROR(INDEX('Lists'!$G$6:$G$35,MATCH($C1399,'Lists'!$F$6:$F$35,0))&amp;"","Unknown category"))</f>
        <v/>
      </c>
      <c r="I1399" s="80">
        <f>IF(AND($B1399="",$C1399="",$E1399=""),"",IF(NOT(ISNUMBER($B1399)),"Enter a valid date",IF($C1399="","Pick a category",IF(OR($H1399="Unknown category",$H1399=""),"Category has no cost type",IF(NOT(ISNUMBER($E1399)),"Enter an amount","OK")))))</f>
        <v/>
      </c>
    </row>
    <row r="1400" ht="17" customHeight="1">
      <c r="B1400" s="66" t="n"/>
      <c r="C1400" s="60" t="n"/>
      <c r="D1400" s="60" t="n"/>
      <c r="E1400" s="63" t="n"/>
      <c r="F1400" s="60" t="n"/>
      <c r="G1400" s="60" t="n"/>
      <c r="H1400" s="13">
        <f>IF($C1400="","",IFERROR(INDEX('Lists'!$G$6:$G$35,MATCH($C1400,'Lists'!$F$6:$F$35,0))&amp;"","Unknown category"))</f>
        <v/>
      </c>
      <c r="I1400" s="80">
        <f>IF(AND($B1400="",$C1400="",$E1400=""),"",IF(NOT(ISNUMBER($B1400)),"Enter a valid date",IF($C1400="","Pick a category",IF(OR($H1400="Unknown category",$H1400=""),"Category has no cost type",IF(NOT(ISNUMBER($E1400)),"Enter an amount","OK")))))</f>
        <v/>
      </c>
    </row>
    <row r="1401" ht="17" customHeight="1">
      <c r="B1401" s="66" t="n"/>
      <c r="C1401" s="60" t="n"/>
      <c r="D1401" s="60" t="n"/>
      <c r="E1401" s="63" t="n"/>
      <c r="F1401" s="60" t="n"/>
      <c r="G1401" s="60" t="n"/>
      <c r="H1401" s="13">
        <f>IF($C1401="","",IFERROR(INDEX('Lists'!$G$6:$G$35,MATCH($C1401,'Lists'!$F$6:$F$35,0))&amp;"","Unknown category"))</f>
        <v/>
      </c>
      <c r="I1401" s="80">
        <f>IF(AND($B1401="",$C1401="",$E1401=""),"",IF(NOT(ISNUMBER($B1401)),"Enter a valid date",IF($C1401="","Pick a category",IF(OR($H1401="Unknown category",$H1401=""),"Category has no cost type",IF(NOT(ISNUMBER($E1401)),"Enter an amount","OK")))))</f>
        <v/>
      </c>
    </row>
    <row r="1402" ht="17" customHeight="1">
      <c r="B1402" s="66" t="n"/>
      <c r="C1402" s="60" t="n"/>
      <c r="D1402" s="60" t="n"/>
      <c r="E1402" s="63" t="n"/>
      <c r="F1402" s="60" t="n"/>
      <c r="G1402" s="60" t="n"/>
      <c r="H1402" s="13">
        <f>IF($C1402="","",IFERROR(INDEX('Lists'!$G$6:$G$35,MATCH($C1402,'Lists'!$F$6:$F$35,0))&amp;"","Unknown category"))</f>
        <v/>
      </c>
      <c r="I1402" s="80">
        <f>IF(AND($B1402="",$C1402="",$E1402=""),"",IF(NOT(ISNUMBER($B1402)),"Enter a valid date",IF($C1402="","Pick a category",IF(OR($H1402="Unknown category",$H1402=""),"Category has no cost type",IF(NOT(ISNUMBER($E1402)),"Enter an amount","OK")))))</f>
        <v/>
      </c>
    </row>
    <row r="1403" ht="17" customHeight="1">
      <c r="B1403" s="66" t="n"/>
      <c r="C1403" s="60" t="n"/>
      <c r="D1403" s="60" t="n"/>
      <c r="E1403" s="63" t="n"/>
      <c r="F1403" s="60" t="n"/>
      <c r="G1403" s="60" t="n"/>
      <c r="H1403" s="13">
        <f>IF($C1403="","",IFERROR(INDEX('Lists'!$G$6:$G$35,MATCH($C1403,'Lists'!$F$6:$F$35,0))&amp;"","Unknown category"))</f>
        <v/>
      </c>
      <c r="I1403" s="80">
        <f>IF(AND($B1403="",$C1403="",$E1403=""),"",IF(NOT(ISNUMBER($B1403)),"Enter a valid date",IF($C1403="","Pick a category",IF(OR($H1403="Unknown category",$H1403=""),"Category has no cost type",IF(NOT(ISNUMBER($E1403)),"Enter an amount","OK")))))</f>
        <v/>
      </c>
    </row>
    <row r="1404" ht="17" customHeight="1">
      <c r="B1404" s="66" t="n"/>
      <c r="C1404" s="60" t="n"/>
      <c r="D1404" s="60" t="n"/>
      <c r="E1404" s="63" t="n"/>
      <c r="F1404" s="60" t="n"/>
      <c r="G1404" s="60" t="n"/>
      <c r="H1404" s="13">
        <f>IF($C1404="","",IFERROR(INDEX('Lists'!$G$6:$G$35,MATCH($C1404,'Lists'!$F$6:$F$35,0))&amp;"","Unknown category"))</f>
        <v/>
      </c>
      <c r="I1404" s="80">
        <f>IF(AND($B1404="",$C1404="",$E1404=""),"",IF(NOT(ISNUMBER($B1404)),"Enter a valid date",IF($C1404="","Pick a category",IF(OR($H1404="Unknown category",$H1404=""),"Category has no cost type",IF(NOT(ISNUMBER($E1404)),"Enter an amount","OK")))))</f>
        <v/>
      </c>
    </row>
    <row r="1405" ht="17" customHeight="1">
      <c r="B1405" s="66" t="n"/>
      <c r="C1405" s="60" t="n"/>
      <c r="D1405" s="60" t="n"/>
      <c r="E1405" s="63" t="n"/>
      <c r="F1405" s="60" t="n"/>
      <c r="G1405" s="60" t="n"/>
      <c r="H1405" s="13">
        <f>IF($C1405="","",IFERROR(INDEX('Lists'!$G$6:$G$35,MATCH($C1405,'Lists'!$F$6:$F$35,0))&amp;"","Unknown category"))</f>
        <v/>
      </c>
      <c r="I1405" s="80">
        <f>IF(AND($B1405="",$C1405="",$E1405=""),"",IF(NOT(ISNUMBER($B1405)),"Enter a valid date",IF($C1405="","Pick a category",IF(OR($H1405="Unknown category",$H1405=""),"Category has no cost type",IF(NOT(ISNUMBER($E1405)),"Enter an amount","OK")))))</f>
        <v/>
      </c>
    </row>
    <row r="1406" ht="17" customHeight="1">
      <c r="B1406" s="66" t="n"/>
      <c r="C1406" s="60" t="n"/>
      <c r="D1406" s="60" t="n"/>
      <c r="E1406" s="63" t="n"/>
      <c r="F1406" s="60" t="n"/>
      <c r="G1406" s="60" t="n"/>
      <c r="H1406" s="13">
        <f>IF($C1406="","",IFERROR(INDEX('Lists'!$G$6:$G$35,MATCH($C1406,'Lists'!$F$6:$F$35,0))&amp;"","Unknown category"))</f>
        <v/>
      </c>
      <c r="I1406" s="80">
        <f>IF(AND($B1406="",$C1406="",$E1406=""),"",IF(NOT(ISNUMBER($B1406)),"Enter a valid date",IF($C1406="","Pick a category",IF(OR($H1406="Unknown category",$H1406=""),"Category has no cost type",IF(NOT(ISNUMBER($E1406)),"Enter an amount","OK")))))</f>
        <v/>
      </c>
    </row>
    <row r="1407" ht="17" customHeight="1">
      <c r="B1407" s="66" t="n"/>
      <c r="C1407" s="60" t="n"/>
      <c r="D1407" s="60" t="n"/>
      <c r="E1407" s="63" t="n"/>
      <c r="F1407" s="60" t="n"/>
      <c r="G1407" s="60" t="n"/>
      <c r="H1407" s="13">
        <f>IF($C1407="","",IFERROR(INDEX('Lists'!$G$6:$G$35,MATCH($C1407,'Lists'!$F$6:$F$35,0))&amp;"","Unknown category"))</f>
        <v/>
      </c>
      <c r="I1407" s="80">
        <f>IF(AND($B1407="",$C1407="",$E1407=""),"",IF(NOT(ISNUMBER($B1407)),"Enter a valid date",IF($C1407="","Pick a category",IF(OR($H1407="Unknown category",$H1407=""),"Category has no cost type",IF(NOT(ISNUMBER($E1407)),"Enter an amount","OK")))))</f>
        <v/>
      </c>
    </row>
    <row r="1408" ht="17" customHeight="1">
      <c r="B1408" s="66" t="n"/>
      <c r="C1408" s="60" t="n"/>
      <c r="D1408" s="60" t="n"/>
      <c r="E1408" s="63" t="n"/>
      <c r="F1408" s="60" t="n"/>
      <c r="G1408" s="60" t="n"/>
      <c r="H1408" s="13">
        <f>IF($C1408="","",IFERROR(INDEX('Lists'!$G$6:$G$35,MATCH($C1408,'Lists'!$F$6:$F$35,0))&amp;"","Unknown category"))</f>
        <v/>
      </c>
      <c r="I1408" s="80">
        <f>IF(AND($B1408="",$C1408="",$E1408=""),"",IF(NOT(ISNUMBER($B1408)),"Enter a valid date",IF($C1408="","Pick a category",IF(OR($H1408="Unknown category",$H1408=""),"Category has no cost type",IF(NOT(ISNUMBER($E1408)),"Enter an amount","OK")))))</f>
        <v/>
      </c>
    </row>
    <row r="1409" ht="17" customHeight="1">
      <c r="B1409" s="66" t="n"/>
      <c r="C1409" s="60" t="n"/>
      <c r="D1409" s="60" t="n"/>
      <c r="E1409" s="63" t="n"/>
      <c r="F1409" s="60" t="n"/>
      <c r="G1409" s="60" t="n"/>
      <c r="H1409" s="13">
        <f>IF($C1409="","",IFERROR(INDEX('Lists'!$G$6:$G$35,MATCH($C1409,'Lists'!$F$6:$F$35,0))&amp;"","Unknown category"))</f>
        <v/>
      </c>
      <c r="I1409" s="80">
        <f>IF(AND($B1409="",$C1409="",$E1409=""),"",IF(NOT(ISNUMBER($B1409)),"Enter a valid date",IF($C1409="","Pick a category",IF(OR($H1409="Unknown category",$H1409=""),"Category has no cost type",IF(NOT(ISNUMBER($E1409)),"Enter an amount","OK")))))</f>
        <v/>
      </c>
    </row>
    <row r="1410" ht="17" customHeight="1">
      <c r="B1410" s="66" t="n"/>
      <c r="C1410" s="60" t="n"/>
      <c r="D1410" s="60" t="n"/>
      <c r="E1410" s="63" t="n"/>
      <c r="F1410" s="60" t="n"/>
      <c r="G1410" s="60" t="n"/>
      <c r="H1410" s="13">
        <f>IF($C1410="","",IFERROR(INDEX('Lists'!$G$6:$G$35,MATCH($C1410,'Lists'!$F$6:$F$35,0))&amp;"","Unknown category"))</f>
        <v/>
      </c>
      <c r="I1410" s="80">
        <f>IF(AND($B1410="",$C1410="",$E1410=""),"",IF(NOT(ISNUMBER($B1410)),"Enter a valid date",IF($C1410="","Pick a category",IF(OR($H1410="Unknown category",$H1410=""),"Category has no cost type",IF(NOT(ISNUMBER($E1410)),"Enter an amount","OK")))))</f>
        <v/>
      </c>
    </row>
    <row r="1411" ht="17" customHeight="1">
      <c r="B1411" s="66" t="n"/>
      <c r="C1411" s="60" t="n"/>
      <c r="D1411" s="60" t="n"/>
      <c r="E1411" s="63" t="n"/>
      <c r="F1411" s="60" t="n"/>
      <c r="G1411" s="60" t="n"/>
      <c r="H1411" s="13">
        <f>IF($C1411="","",IFERROR(INDEX('Lists'!$G$6:$G$35,MATCH($C1411,'Lists'!$F$6:$F$35,0))&amp;"","Unknown category"))</f>
        <v/>
      </c>
      <c r="I1411" s="80">
        <f>IF(AND($B1411="",$C1411="",$E1411=""),"",IF(NOT(ISNUMBER($B1411)),"Enter a valid date",IF($C1411="","Pick a category",IF(OR($H1411="Unknown category",$H1411=""),"Category has no cost type",IF(NOT(ISNUMBER($E1411)),"Enter an amount","OK")))))</f>
        <v/>
      </c>
    </row>
    <row r="1412" ht="17" customHeight="1">
      <c r="B1412" s="66" t="n"/>
      <c r="C1412" s="60" t="n"/>
      <c r="D1412" s="60" t="n"/>
      <c r="E1412" s="63" t="n"/>
      <c r="F1412" s="60" t="n"/>
      <c r="G1412" s="60" t="n"/>
      <c r="H1412" s="13">
        <f>IF($C1412="","",IFERROR(INDEX('Lists'!$G$6:$G$35,MATCH($C1412,'Lists'!$F$6:$F$35,0))&amp;"","Unknown category"))</f>
        <v/>
      </c>
      <c r="I1412" s="80">
        <f>IF(AND($B1412="",$C1412="",$E1412=""),"",IF(NOT(ISNUMBER($B1412)),"Enter a valid date",IF($C1412="","Pick a category",IF(OR($H1412="Unknown category",$H1412=""),"Category has no cost type",IF(NOT(ISNUMBER($E1412)),"Enter an amount","OK")))))</f>
        <v/>
      </c>
    </row>
    <row r="1413" ht="17" customHeight="1">
      <c r="B1413" s="66" t="n"/>
      <c r="C1413" s="60" t="n"/>
      <c r="D1413" s="60" t="n"/>
      <c r="E1413" s="63" t="n"/>
      <c r="F1413" s="60" t="n"/>
      <c r="G1413" s="60" t="n"/>
      <c r="H1413" s="13">
        <f>IF($C1413="","",IFERROR(INDEX('Lists'!$G$6:$G$35,MATCH($C1413,'Lists'!$F$6:$F$35,0))&amp;"","Unknown category"))</f>
        <v/>
      </c>
      <c r="I1413" s="80">
        <f>IF(AND($B1413="",$C1413="",$E1413=""),"",IF(NOT(ISNUMBER($B1413)),"Enter a valid date",IF($C1413="","Pick a category",IF(OR($H1413="Unknown category",$H1413=""),"Category has no cost type",IF(NOT(ISNUMBER($E1413)),"Enter an amount","OK")))))</f>
        <v/>
      </c>
    </row>
    <row r="1414" ht="17" customHeight="1">
      <c r="B1414" s="66" t="n"/>
      <c r="C1414" s="60" t="n"/>
      <c r="D1414" s="60" t="n"/>
      <c r="E1414" s="63" t="n"/>
      <c r="F1414" s="60" t="n"/>
      <c r="G1414" s="60" t="n"/>
      <c r="H1414" s="13">
        <f>IF($C1414="","",IFERROR(INDEX('Lists'!$G$6:$G$35,MATCH($C1414,'Lists'!$F$6:$F$35,0))&amp;"","Unknown category"))</f>
        <v/>
      </c>
      <c r="I1414" s="80">
        <f>IF(AND($B1414="",$C1414="",$E1414=""),"",IF(NOT(ISNUMBER($B1414)),"Enter a valid date",IF($C1414="","Pick a category",IF(OR($H1414="Unknown category",$H1414=""),"Category has no cost type",IF(NOT(ISNUMBER($E1414)),"Enter an amount","OK")))))</f>
        <v/>
      </c>
    </row>
    <row r="1415" ht="17" customHeight="1">
      <c r="B1415" s="66" t="n"/>
      <c r="C1415" s="60" t="n"/>
      <c r="D1415" s="60" t="n"/>
      <c r="E1415" s="63" t="n"/>
      <c r="F1415" s="60" t="n"/>
      <c r="G1415" s="60" t="n"/>
      <c r="H1415" s="13">
        <f>IF($C1415="","",IFERROR(INDEX('Lists'!$G$6:$G$35,MATCH($C1415,'Lists'!$F$6:$F$35,0))&amp;"","Unknown category"))</f>
        <v/>
      </c>
      <c r="I1415" s="80">
        <f>IF(AND($B1415="",$C1415="",$E1415=""),"",IF(NOT(ISNUMBER($B1415)),"Enter a valid date",IF($C1415="","Pick a category",IF(OR($H1415="Unknown category",$H1415=""),"Category has no cost type",IF(NOT(ISNUMBER($E1415)),"Enter an amount","OK")))))</f>
        <v/>
      </c>
    </row>
    <row r="1416" ht="17" customHeight="1">
      <c r="B1416" s="66" t="n"/>
      <c r="C1416" s="60" t="n"/>
      <c r="D1416" s="60" t="n"/>
      <c r="E1416" s="63" t="n"/>
      <c r="F1416" s="60" t="n"/>
      <c r="G1416" s="60" t="n"/>
      <c r="H1416" s="13">
        <f>IF($C1416="","",IFERROR(INDEX('Lists'!$G$6:$G$35,MATCH($C1416,'Lists'!$F$6:$F$35,0))&amp;"","Unknown category"))</f>
        <v/>
      </c>
      <c r="I1416" s="80">
        <f>IF(AND($B1416="",$C1416="",$E1416=""),"",IF(NOT(ISNUMBER($B1416)),"Enter a valid date",IF($C1416="","Pick a category",IF(OR($H1416="Unknown category",$H1416=""),"Category has no cost type",IF(NOT(ISNUMBER($E1416)),"Enter an amount","OK")))))</f>
        <v/>
      </c>
    </row>
    <row r="1417" ht="17" customHeight="1">
      <c r="B1417" s="66" t="n"/>
      <c r="C1417" s="60" t="n"/>
      <c r="D1417" s="60" t="n"/>
      <c r="E1417" s="63" t="n"/>
      <c r="F1417" s="60" t="n"/>
      <c r="G1417" s="60" t="n"/>
      <c r="H1417" s="13">
        <f>IF($C1417="","",IFERROR(INDEX('Lists'!$G$6:$G$35,MATCH($C1417,'Lists'!$F$6:$F$35,0))&amp;"","Unknown category"))</f>
        <v/>
      </c>
      <c r="I1417" s="80">
        <f>IF(AND($B1417="",$C1417="",$E1417=""),"",IF(NOT(ISNUMBER($B1417)),"Enter a valid date",IF($C1417="","Pick a category",IF(OR($H1417="Unknown category",$H1417=""),"Category has no cost type",IF(NOT(ISNUMBER($E1417)),"Enter an amount","OK")))))</f>
        <v/>
      </c>
    </row>
    <row r="1418" ht="17" customHeight="1">
      <c r="B1418" s="66" t="n"/>
      <c r="C1418" s="60" t="n"/>
      <c r="D1418" s="60" t="n"/>
      <c r="E1418" s="63" t="n"/>
      <c r="F1418" s="60" t="n"/>
      <c r="G1418" s="60" t="n"/>
      <c r="H1418" s="13">
        <f>IF($C1418="","",IFERROR(INDEX('Lists'!$G$6:$G$35,MATCH($C1418,'Lists'!$F$6:$F$35,0))&amp;"","Unknown category"))</f>
        <v/>
      </c>
      <c r="I1418" s="80">
        <f>IF(AND($B1418="",$C1418="",$E1418=""),"",IF(NOT(ISNUMBER($B1418)),"Enter a valid date",IF($C1418="","Pick a category",IF(OR($H1418="Unknown category",$H1418=""),"Category has no cost type",IF(NOT(ISNUMBER($E1418)),"Enter an amount","OK")))))</f>
        <v/>
      </c>
    </row>
    <row r="1419" ht="17" customHeight="1">
      <c r="B1419" s="66" t="n"/>
      <c r="C1419" s="60" t="n"/>
      <c r="D1419" s="60" t="n"/>
      <c r="E1419" s="63" t="n"/>
      <c r="F1419" s="60" t="n"/>
      <c r="G1419" s="60" t="n"/>
      <c r="H1419" s="13">
        <f>IF($C1419="","",IFERROR(INDEX('Lists'!$G$6:$G$35,MATCH($C1419,'Lists'!$F$6:$F$35,0))&amp;"","Unknown category"))</f>
        <v/>
      </c>
      <c r="I1419" s="80">
        <f>IF(AND($B1419="",$C1419="",$E1419=""),"",IF(NOT(ISNUMBER($B1419)),"Enter a valid date",IF($C1419="","Pick a category",IF(OR($H1419="Unknown category",$H1419=""),"Category has no cost type",IF(NOT(ISNUMBER($E1419)),"Enter an amount","OK")))))</f>
        <v/>
      </c>
    </row>
    <row r="1420" ht="17" customHeight="1">
      <c r="B1420" s="66" t="n"/>
      <c r="C1420" s="60" t="n"/>
      <c r="D1420" s="60" t="n"/>
      <c r="E1420" s="63" t="n"/>
      <c r="F1420" s="60" t="n"/>
      <c r="G1420" s="60" t="n"/>
      <c r="H1420" s="13">
        <f>IF($C1420="","",IFERROR(INDEX('Lists'!$G$6:$G$35,MATCH($C1420,'Lists'!$F$6:$F$35,0))&amp;"","Unknown category"))</f>
        <v/>
      </c>
      <c r="I1420" s="80">
        <f>IF(AND($B1420="",$C1420="",$E1420=""),"",IF(NOT(ISNUMBER($B1420)),"Enter a valid date",IF($C1420="","Pick a category",IF(OR($H1420="Unknown category",$H1420=""),"Category has no cost type",IF(NOT(ISNUMBER($E1420)),"Enter an amount","OK")))))</f>
        <v/>
      </c>
    </row>
    <row r="1421" ht="17" customHeight="1">
      <c r="B1421" s="66" t="n"/>
      <c r="C1421" s="60" t="n"/>
      <c r="D1421" s="60" t="n"/>
      <c r="E1421" s="63" t="n"/>
      <c r="F1421" s="60" t="n"/>
      <c r="G1421" s="60" t="n"/>
      <c r="H1421" s="13">
        <f>IF($C1421="","",IFERROR(INDEX('Lists'!$G$6:$G$35,MATCH($C1421,'Lists'!$F$6:$F$35,0))&amp;"","Unknown category"))</f>
        <v/>
      </c>
      <c r="I1421" s="80">
        <f>IF(AND($B1421="",$C1421="",$E1421=""),"",IF(NOT(ISNUMBER($B1421)),"Enter a valid date",IF($C1421="","Pick a category",IF(OR($H1421="Unknown category",$H1421=""),"Category has no cost type",IF(NOT(ISNUMBER($E1421)),"Enter an amount","OK")))))</f>
        <v/>
      </c>
    </row>
    <row r="1422" ht="17" customHeight="1">
      <c r="B1422" s="66" t="n"/>
      <c r="C1422" s="60" t="n"/>
      <c r="D1422" s="60" t="n"/>
      <c r="E1422" s="63" t="n"/>
      <c r="F1422" s="60" t="n"/>
      <c r="G1422" s="60" t="n"/>
      <c r="H1422" s="13">
        <f>IF($C1422="","",IFERROR(INDEX('Lists'!$G$6:$G$35,MATCH($C1422,'Lists'!$F$6:$F$35,0))&amp;"","Unknown category"))</f>
        <v/>
      </c>
      <c r="I1422" s="80">
        <f>IF(AND($B1422="",$C1422="",$E1422=""),"",IF(NOT(ISNUMBER($B1422)),"Enter a valid date",IF($C1422="","Pick a category",IF(OR($H1422="Unknown category",$H1422=""),"Category has no cost type",IF(NOT(ISNUMBER($E1422)),"Enter an amount","OK")))))</f>
        <v/>
      </c>
    </row>
    <row r="1423" ht="17" customHeight="1">
      <c r="B1423" s="66" t="n"/>
      <c r="C1423" s="60" t="n"/>
      <c r="D1423" s="60" t="n"/>
      <c r="E1423" s="63" t="n"/>
      <c r="F1423" s="60" t="n"/>
      <c r="G1423" s="60" t="n"/>
      <c r="H1423" s="13">
        <f>IF($C1423="","",IFERROR(INDEX('Lists'!$G$6:$G$35,MATCH($C1423,'Lists'!$F$6:$F$35,0))&amp;"","Unknown category"))</f>
        <v/>
      </c>
      <c r="I1423" s="80">
        <f>IF(AND($B1423="",$C1423="",$E1423=""),"",IF(NOT(ISNUMBER($B1423)),"Enter a valid date",IF($C1423="","Pick a category",IF(OR($H1423="Unknown category",$H1423=""),"Category has no cost type",IF(NOT(ISNUMBER($E1423)),"Enter an amount","OK")))))</f>
        <v/>
      </c>
    </row>
    <row r="1424" ht="17" customHeight="1">
      <c r="B1424" s="66" t="n"/>
      <c r="C1424" s="60" t="n"/>
      <c r="D1424" s="60" t="n"/>
      <c r="E1424" s="63" t="n"/>
      <c r="F1424" s="60" t="n"/>
      <c r="G1424" s="60" t="n"/>
      <c r="H1424" s="13">
        <f>IF($C1424="","",IFERROR(INDEX('Lists'!$G$6:$G$35,MATCH($C1424,'Lists'!$F$6:$F$35,0))&amp;"","Unknown category"))</f>
        <v/>
      </c>
      <c r="I1424" s="80">
        <f>IF(AND($B1424="",$C1424="",$E1424=""),"",IF(NOT(ISNUMBER($B1424)),"Enter a valid date",IF($C1424="","Pick a category",IF(OR($H1424="Unknown category",$H1424=""),"Category has no cost type",IF(NOT(ISNUMBER($E1424)),"Enter an amount","OK")))))</f>
        <v/>
      </c>
    </row>
    <row r="1425" ht="17" customHeight="1">
      <c r="B1425" s="66" t="n"/>
      <c r="C1425" s="60" t="n"/>
      <c r="D1425" s="60" t="n"/>
      <c r="E1425" s="63" t="n"/>
      <c r="F1425" s="60" t="n"/>
      <c r="G1425" s="60" t="n"/>
      <c r="H1425" s="13">
        <f>IF($C1425="","",IFERROR(INDEX('Lists'!$G$6:$G$35,MATCH($C1425,'Lists'!$F$6:$F$35,0))&amp;"","Unknown category"))</f>
        <v/>
      </c>
      <c r="I1425" s="80">
        <f>IF(AND($B1425="",$C1425="",$E1425=""),"",IF(NOT(ISNUMBER($B1425)),"Enter a valid date",IF($C1425="","Pick a category",IF(OR($H1425="Unknown category",$H1425=""),"Category has no cost type",IF(NOT(ISNUMBER($E1425)),"Enter an amount","OK")))))</f>
        <v/>
      </c>
    </row>
    <row r="1426" ht="17" customHeight="1">
      <c r="B1426" s="66" t="n"/>
      <c r="C1426" s="60" t="n"/>
      <c r="D1426" s="60" t="n"/>
      <c r="E1426" s="63" t="n"/>
      <c r="F1426" s="60" t="n"/>
      <c r="G1426" s="60" t="n"/>
      <c r="H1426" s="13">
        <f>IF($C1426="","",IFERROR(INDEX('Lists'!$G$6:$G$35,MATCH($C1426,'Lists'!$F$6:$F$35,0))&amp;"","Unknown category"))</f>
        <v/>
      </c>
      <c r="I1426" s="80">
        <f>IF(AND($B1426="",$C1426="",$E1426=""),"",IF(NOT(ISNUMBER($B1426)),"Enter a valid date",IF($C1426="","Pick a category",IF(OR($H1426="Unknown category",$H1426=""),"Category has no cost type",IF(NOT(ISNUMBER($E1426)),"Enter an amount","OK")))))</f>
        <v/>
      </c>
    </row>
    <row r="1427" ht="17" customHeight="1">
      <c r="B1427" s="66" t="n"/>
      <c r="C1427" s="60" t="n"/>
      <c r="D1427" s="60" t="n"/>
      <c r="E1427" s="63" t="n"/>
      <c r="F1427" s="60" t="n"/>
      <c r="G1427" s="60" t="n"/>
      <c r="H1427" s="13">
        <f>IF($C1427="","",IFERROR(INDEX('Lists'!$G$6:$G$35,MATCH($C1427,'Lists'!$F$6:$F$35,0))&amp;"","Unknown category"))</f>
        <v/>
      </c>
      <c r="I1427" s="80">
        <f>IF(AND($B1427="",$C1427="",$E1427=""),"",IF(NOT(ISNUMBER($B1427)),"Enter a valid date",IF($C1427="","Pick a category",IF(OR($H1427="Unknown category",$H1427=""),"Category has no cost type",IF(NOT(ISNUMBER($E1427)),"Enter an amount","OK")))))</f>
        <v/>
      </c>
    </row>
    <row r="1428" ht="17" customHeight="1">
      <c r="B1428" s="66" t="n"/>
      <c r="C1428" s="60" t="n"/>
      <c r="D1428" s="60" t="n"/>
      <c r="E1428" s="63" t="n"/>
      <c r="F1428" s="60" t="n"/>
      <c r="G1428" s="60" t="n"/>
      <c r="H1428" s="13">
        <f>IF($C1428="","",IFERROR(INDEX('Lists'!$G$6:$G$35,MATCH($C1428,'Lists'!$F$6:$F$35,0))&amp;"","Unknown category"))</f>
        <v/>
      </c>
      <c r="I1428" s="80">
        <f>IF(AND($B1428="",$C1428="",$E1428=""),"",IF(NOT(ISNUMBER($B1428)),"Enter a valid date",IF($C1428="","Pick a category",IF(OR($H1428="Unknown category",$H1428=""),"Category has no cost type",IF(NOT(ISNUMBER($E1428)),"Enter an amount","OK")))))</f>
        <v/>
      </c>
    </row>
    <row r="1429" ht="17" customHeight="1">
      <c r="B1429" s="66" t="n"/>
      <c r="C1429" s="60" t="n"/>
      <c r="D1429" s="60" t="n"/>
      <c r="E1429" s="63" t="n"/>
      <c r="F1429" s="60" t="n"/>
      <c r="G1429" s="60" t="n"/>
      <c r="H1429" s="13">
        <f>IF($C1429="","",IFERROR(INDEX('Lists'!$G$6:$G$35,MATCH($C1429,'Lists'!$F$6:$F$35,0))&amp;"","Unknown category"))</f>
        <v/>
      </c>
      <c r="I1429" s="80">
        <f>IF(AND($B1429="",$C1429="",$E1429=""),"",IF(NOT(ISNUMBER($B1429)),"Enter a valid date",IF($C1429="","Pick a category",IF(OR($H1429="Unknown category",$H1429=""),"Category has no cost type",IF(NOT(ISNUMBER($E1429)),"Enter an amount","OK")))))</f>
        <v/>
      </c>
    </row>
    <row r="1430" ht="17" customHeight="1">
      <c r="B1430" s="66" t="n"/>
      <c r="C1430" s="60" t="n"/>
      <c r="D1430" s="60" t="n"/>
      <c r="E1430" s="63" t="n"/>
      <c r="F1430" s="60" t="n"/>
      <c r="G1430" s="60" t="n"/>
      <c r="H1430" s="13">
        <f>IF($C1430="","",IFERROR(INDEX('Lists'!$G$6:$G$35,MATCH($C1430,'Lists'!$F$6:$F$35,0))&amp;"","Unknown category"))</f>
        <v/>
      </c>
      <c r="I1430" s="80">
        <f>IF(AND($B1430="",$C1430="",$E1430=""),"",IF(NOT(ISNUMBER($B1430)),"Enter a valid date",IF($C1430="","Pick a category",IF(OR($H1430="Unknown category",$H1430=""),"Category has no cost type",IF(NOT(ISNUMBER($E1430)),"Enter an amount","OK")))))</f>
        <v/>
      </c>
    </row>
    <row r="1431" ht="17" customHeight="1">
      <c r="B1431" s="66" t="n"/>
      <c r="C1431" s="60" t="n"/>
      <c r="D1431" s="60" t="n"/>
      <c r="E1431" s="63" t="n"/>
      <c r="F1431" s="60" t="n"/>
      <c r="G1431" s="60" t="n"/>
      <c r="H1431" s="13">
        <f>IF($C1431="","",IFERROR(INDEX('Lists'!$G$6:$G$35,MATCH($C1431,'Lists'!$F$6:$F$35,0))&amp;"","Unknown category"))</f>
        <v/>
      </c>
      <c r="I1431" s="80">
        <f>IF(AND($B1431="",$C1431="",$E1431=""),"",IF(NOT(ISNUMBER($B1431)),"Enter a valid date",IF($C1431="","Pick a category",IF(OR($H1431="Unknown category",$H1431=""),"Category has no cost type",IF(NOT(ISNUMBER($E1431)),"Enter an amount","OK")))))</f>
        <v/>
      </c>
    </row>
    <row r="1432" ht="17" customHeight="1">
      <c r="B1432" s="66" t="n"/>
      <c r="C1432" s="60" t="n"/>
      <c r="D1432" s="60" t="n"/>
      <c r="E1432" s="63" t="n"/>
      <c r="F1432" s="60" t="n"/>
      <c r="G1432" s="60" t="n"/>
      <c r="H1432" s="13">
        <f>IF($C1432="","",IFERROR(INDEX('Lists'!$G$6:$G$35,MATCH($C1432,'Lists'!$F$6:$F$35,0))&amp;"","Unknown category"))</f>
        <v/>
      </c>
      <c r="I1432" s="80">
        <f>IF(AND($B1432="",$C1432="",$E1432=""),"",IF(NOT(ISNUMBER($B1432)),"Enter a valid date",IF($C1432="","Pick a category",IF(OR($H1432="Unknown category",$H1432=""),"Category has no cost type",IF(NOT(ISNUMBER($E1432)),"Enter an amount","OK")))))</f>
        <v/>
      </c>
    </row>
    <row r="1433" ht="17" customHeight="1">
      <c r="B1433" s="66" t="n"/>
      <c r="C1433" s="60" t="n"/>
      <c r="D1433" s="60" t="n"/>
      <c r="E1433" s="63" t="n"/>
      <c r="F1433" s="60" t="n"/>
      <c r="G1433" s="60" t="n"/>
      <c r="H1433" s="13">
        <f>IF($C1433="","",IFERROR(INDEX('Lists'!$G$6:$G$35,MATCH($C1433,'Lists'!$F$6:$F$35,0))&amp;"","Unknown category"))</f>
        <v/>
      </c>
      <c r="I1433" s="80">
        <f>IF(AND($B1433="",$C1433="",$E1433=""),"",IF(NOT(ISNUMBER($B1433)),"Enter a valid date",IF($C1433="","Pick a category",IF(OR($H1433="Unknown category",$H1433=""),"Category has no cost type",IF(NOT(ISNUMBER($E1433)),"Enter an amount","OK")))))</f>
        <v/>
      </c>
    </row>
    <row r="1434" ht="17" customHeight="1">
      <c r="B1434" s="66" t="n"/>
      <c r="C1434" s="60" t="n"/>
      <c r="D1434" s="60" t="n"/>
      <c r="E1434" s="63" t="n"/>
      <c r="F1434" s="60" t="n"/>
      <c r="G1434" s="60" t="n"/>
      <c r="H1434" s="13">
        <f>IF($C1434="","",IFERROR(INDEX('Lists'!$G$6:$G$35,MATCH($C1434,'Lists'!$F$6:$F$35,0))&amp;"","Unknown category"))</f>
        <v/>
      </c>
      <c r="I1434" s="80">
        <f>IF(AND($B1434="",$C1434="",$E1434=""),"",IF(NOT(ISNUMBER($B1434)),"Enter a valid date",IF($C1434="","Pick a category",IF(OR($H1434="Unknown category",$H1434=""),"Category has no cost type",IF(NOT(ISNUMBER($E1434)),"Enter an amount","OK")))))</f>
        <v/>
      </c>
    </row>
    <row r="1435" ht="17" customHeight="1">
      <c r="B1435" s="66" t="n"/>
      <c r="C1435" s="60" t="n"/>
      <c r="D1435" s="60" t="n"/>
      <c r="E1435" s="63" t="n"/>
      <c r="F1435" s="60" t="n"/>
      <c r="G1435" s="60" t="n"/>
      <c r="H1435" s="13">
        <f>IF($C1435="","",IFERROR(INDEX('Lists'!$G$6:$G$35,MATCH($C1435,'Lists'!$F$6:$F$35,0))&amp;"","Unknown category"))</f>
        <v/>
      </c>
      <c r="I1435" s="80">
        <f>IF(AND($B1435="",$C1435="",$E1435=""),"",IF(NOT(ISNUMBER($B1435)),"Enter a valid date",IF($C1435="","Pick a category",IF(OR($H1435="Unknown category",$H1435=""),"Category has no cost type",IF(NOT(ISNUMBER($E1435)),"Enter an amount","OK")))))</f>
        <v/>
      </c>
    </row>
    <row r="1436" ht="17" customHeight="1">
      <c r="B1436" s="66" t="n"/>
      <c r="C1436" s="60" t="n"/>
      <c r="D1436" s="60" t="n"/>
      <c r="E1436" s="63" t="n"/>
      <c r="F1436" s="60" t="n"/>
      <c r="G1436" s="60" t="n"/>
      <c r="H1436" s="13">
        <f>IF($C1436="","",IFERROR(INDEX('Lists'!$G$6:$G$35,MATCH($C1436,'Lists'!$F$6:$F$35,0))&amp;"","Unknown category"))</f>
        <v/>
      </c>
      <c r="I1436" s="80">
        <f>IF(AND($B1436="",$C1436="",$E1436=""),"",IF(NOT(ISNUMBER($B1436)),"Enter a valid date",IF($C1436="","Pick a category",IF(OR($H1436="Unknown category",$H1436=""),"Category has no cost type",IF(NOT(ISNUMBER($E1436)),"Enter an amount","OK")))))</f>
        <v/>
      </c>
    </row>
    <row r="1437" ht="17" customHeight="1">
      <c r="B1437" s="66" t="n"/>
      <c r="C1437" s="60" t="n"/>
      <c r="D1437" s="60" t="n"/>
      <c r="E1437" s="63" t="n"/>
      <c r="F1437" s="60" t="n"/>
      <c r="G1437" s="60" t="n"/>
      <c r="H1437" s="13">
        <f>IF($C1437="","",IFERROR(INDEX('Lists'!$G$6:$G$35,MATCH($C1437,'Lists'!$F$6:$F$35,0))&amp;"","Unknown category"))</f>
        <v/>
      </c>
      <c r="I1437" s="80">
        <f>IF(AND($B1437="",$C1437="",$E1437=""),"",IF(NOT(ISNUMBER($B1437)),"Enter a valid date",IF($C1437="","Pick a category",IF(OR($H1437="Unknown category",$H1437=""),"Category has no cost type",IF(NOT(ISNUMBER($E1437)),"Enter an amount","OK")))))</f>
        <v/>
      </c>
    </row>
    <row r="1438" ht="17" customHeight="1">
      <c r="B1438" s="66" t="n"/>
      <c r="C1438" s="60" t="n"/>
      <c r="D1438" s="60" t="n"/>
      <c r="E1438" s="63" t="n"/>
      <c r="F1438" s="60" t="n"/>
      <c r="G1438" s="60" t="n"/>
      <c r="H1438" s="13">
        <f>IF($C1438="","",IFERROR(INDEX('Lists'!$G$6:$G$35,MATCH($C1438,'Lists'!$F$6:$F$35,0))&amp;"","Unknown category"))</f>
        <v/>
      </c>
      <c r="I1438" s="80">
        <f>IF(AND($B1438="",$C1438="",$E1438=""),"",IF(NOT(ISNUMBER($B1438)),"Enter a valid date",IF($C1438="","Pick a category",IF(OR($H1438="Unknown category",$H1438=""),"Category has no cost type",IF(NOT(ISNUMBER($E1438)),"Enter an amount","OK")))))</f>
        <v/>
      </c>
    </row>
    <row r="1439" ht="17" customHeight="1">
      <c r="B1439" s="66" t="n"/>
      <c r="C1439" s="60" t="n"/>
      <c r="D1439" s="60" t="n"/>
      <c r="E1439" s="63" t="n"/>
      <c r="F1439" s="60" t="n"/>
      <c r="G1439" s="60" t="n"/>
      <c r="H1439" s="13">
        <f>IF($C1439="","",IFERROR(INDEX('Lists'!$G$6:$G$35,MATCH($C1439,'Lists'!$F$6:$F$35,0))&amp;"","Unknown category"))</f>
        <v/>
      </c>
      <c r="I1439" s="80">
        <f>IF(AND($B1439="",$C1439="",$E1439=""),"",IF(NOT(ISNUMBER($B1439)),"Enter a valid date",IF($C1439="","Pick a category",IF(OR($H1439="Unknown category",$H1439=""),"Category has no cost type",IF(NOT(ISNUMBER($E1439)),"Enter an amount","OK")))))</f>
        <v/>
      </c>
    </row>
    <row r="1440" ht="17" customHeight="1">
      <c r="B1440" s="66" t="n"/>
      <c r="C1440" s="60" t="n"/>
      <c r="D1440" s="60" t="n"/>
      <c r="E1440" s="63" t="n"/>
      <c r="F1440" s="60" t="n"/>
      <c r="G1440" s="60" t="n"/>
      <c r="H1440" s="13">
        <f>IF($C1440="","",IFERROR(INDEX('Lists'!$G$6:$G$35,MATCH($C1440,'Lists'!$F$6:$F$35,0))&amp;"","Unknown category"))</f>
        <v/>
      </c>
      <c r="I1440" s="80">
        <f>IF(AND($B1440="",$C1440="",$E1440=""),"",IF(NOT(ISNUMBER($B1440)),"Enter a valid date",IF($C1440="","Pick a category",IF(OR($H1440="Unknown category",$H1440=""),"Category has no cost type",IF(NOT(ISNUMBER($E1440)),"Enter an amount","OK")))))</f>
        <v/>
      </c>
    </row>
    <row r="1441" ht="17" customHeight="1">
      <c r="B1441" s="66" t="n"/>
      <c r="C1441" s="60" t="n"/>
      <c r="D1441" s="60" t="n"/>
      <c r="E1441" s="63" t="n"/>
      <c r="F1441" s="60" t="n"/>
      <c r="G1441" s="60" t="n"/>
      <c r="H1441" s="13">
        <f>IF($C1441="","",IFERROR(INDEX('Lists'!$G$6:$G$35,MATCH($C1441,'Lists'!$F$6:$F$35,0))&amp;"","Unknown category"))</f>
        <v/>
      </c>
      <c r="I1441" s="80">
        <f>IF(AND($B1441="",$C1441="",$E1441=""),"",IF(NOT(ISNUMBER($B1441)),"Enter a valid date",IF($C1441="","Pick a category",IF(OR($H1441="Unknown category",$H1441=""),"Category has no cost type",IF(NOT(ISNUMBER($E1441)),"Enter an amount","OK")))))</f>
        <v/>
      </c>
    </row>
    <row r="1442" ht="17" customHeight="1">
      <c r="B1442" s="66" t="n"/>
      <c r="C1442" s="60" t="n"/>
      <c r="D1442" s="60" t="n"/>
      <c r="E1442" s="63" t="n"/>
      <c r="F1442" s="60" t="n"/>
      <c r="G1442" s="60" t="n"/>
      <c r="H1442" s="13">
        <f>IF($C1442="","",IFERROR(INDEX('Lists'!$G$6:$G$35,MATCH($C1442,'Lists'!$F$6:$F$35,0))&amp;"","Unknown category"))</f>
        <v/>
      </c>
      <c r="I1442" s="80">
        <f>IF(AND($B1442="",$C1442="",$E1442=""),"",IF(NOT(ISNUMBER($B1442)),"Enter a valid date",IF($C1442="","Pick a category",IF(OR($H1442="Unknown category",$H1442=""),"Category has no cost type",IF(NOT(ISNUMBER($E1442)),"Enter an amount","OK")))))</f>
        <v/>
      </c>
    </row>
    <row r="1443" ht="17" customHeight="1">
      <c r="B1443" s="66" t="n"/>
      <c r="C1443" s="60" t="n"/>
      <c r="D1443" s="60" t="n"/>
      <c r="E1443" s="63" t="n"/>
      <c r="F1443" s="60" t="n"/>
      <c r="G1443" s="60" t="n"/>
      <c r="H1443" s="13">
        <f>IF($C1443="","",IFERROR(INDEX('Lists'!$G$6:$G$35,MATCH($C1443,'Lists'!$F$6:$F$35,0))&amp;"","Unknown category"))</f>
        <v/>
      </c>
      <c r="I1443" s="80">
        <f>IF(AND($B1443="",$C1443="",$E1443=""),"",IF(NOT(ISNUMBER($B1443)),"Enter a valid date",IF($C1443="","Pick a category",IF(OR($H1443="Unknown category",$H1443=""),"Category has no cost type",IF(NOT(ISNUMBER($E1443)),"Enter an amount","OK")))))</f>
        <v/>
      </c>
    </row>
    <row r="1444" ht="17" customHeight="1">
      <c r="B1444" s="66" t="n"/>
      <c r="C1444" s="60" t="n"/>
      <c r="D1444" s="60" t="n"/>
      <c r="E1444" s="63" t="n"/>
      <c r="F1444" s="60" t="n"/>
      <c r="G1444" s="60" t="n"/>
      <c r="H1444" s="13">
        <f>IF($C1444="","",IFERROR(INDEX('Lists'!$G$6:$G$35,MATCH($C1444,'Lists'!$F$6:$F$35,0))&amp;"","Unknown category"))</f>
        <v/>
      </c>
      <c r="I1444" s="80">
        <f>IF(AND($B1444="",$C1444="",$E1444=""),"",IF(NOT(ISNUMBER($B1444)),"Enter a valid date",IF($C1444="","Pick a category",IF(OR($H1444="Unknown category",$H1444=""),"Category has no cost type",IF(NOT(ISNUMBER($E1444)),"Enter an amount","OK")))))</f>
        <v/>
      </c>
    </row>
    <row r="1445" ht="17" customHeight="1">
      <c r="B1445" s="66" t="n"/>
      <c r="C1445" s="60" t="n"/>
      <c r="D1445" s="60" t="n"/>
      <c r="E1445" s="63" t="n"/>
      <c r="F1445" s="60" t="n"/>
      <c r="G1445" s="60" t="n"/>
      <c r="H1445" s="13">
        <f>IF($C1445="","",IFERROR(INDEX('Lists'!$G$6:$G$35,MATCH($C1445,'Lists'!$F$6:$F$35,0))&amp;"","Unknown category"))</f>
        <v/>
      </c>
      <c r="I1445" s="80">
        <f>IF(AND($B1445="",$C1445="",$E1445=""),"",IF(NOT(ISNUMBER($B1445)),"Enter a valid date",IF($C1445="","Pick a category",IF(OR($H1445="Unknown category",$H1445=""),"Category has no cost type",IF(NOT(ISNUMBER($E1445)),"Enter an amount","OK")))))</f>
        <v/>
      </c>
    </row>
    <row r="1446" ht="17" customHeight="1">
      <c r="B1446" s="66" t="n"/>
      <c r="C1446" s="60" t="n"/>
      <c r="D1446" s="60" t="n"/>
      <c r="E1446" s="63" t="n"/>
      <c r="F1446" s="60" t="n"/>
      <c r="G1446" s="60" t="n"/>
      <c r="H1446" s="13">
        <f>IF($C1446="","",IFERROR(INDEX('Lists'!$G$6:$G$35,MATCH($C1446,'Lists'!$F$6:$F$35,0))&amp;"","Unknown category"))</f>
        <v/>
      </c>
      <c r="I1446" s="80">
        <f>IF(AND($B1446="",$C1446="",$E1446=""),"",IF(NOT(ISNUMBER($B1446)),"Enter a valid date",IF($C1446="","Pick a category",IF(OR($H1446="Unknown category",$H1446=""),"Category has no cost type",IF(NOT(ISNUMBER($E1446)),"Enter an amount","OK")))))</f>
        <v/>
      </c>
    </row>
    <row r="1447" ht="17" customHeight="1">
      <c r="B1447" s="66" t="n"/>
      <c r="C1447" s="60" t="n"/>
      <c r="D1447" s="60" t="n"/>
      <c r="E1447" s="63" t="n"/>
      <c r="F1447" s="60" t="n"/>
      <c r="G1447" s="60" t="n"/>
      <c r="H1447" s="13">
        <f>IF($C1447="","",IFERROR(INDEX('Lists'!$G$6:$G$35,MATCH($C1447,'Lists'!$F$6:$F$35,0))&amp;"","Unknown category"))</f>
        <v/>
      </c>
      <c r="I1447" s="80">
        <f>IF(AND($B1447="",$C1447="",$E1447=""),"",IF(NOT(ISNUMBER($B1447)),"Enter a valid date",IF($C1447="","Pick a category",IF(OR($H1447="Unknown category",$H1447=""),"Category has no cost type",IF(NOT(ISNUMBER($E1447)),"Enter an amount","OK")))))</f>
        <v/>
      </c>
    </row>
    <row r="1448" ht="17" customHeight="1">
      <c r="B1448" s="66" t="n"/>
      <c r="C1448" s="60" t="n"/>
      <c r="D1448" s="60" t="n"/>
      <c r="E1448" s="63" t="n"/>
      <c r="F1448" s="60" t="n"/>
      <c r="G1448" s="60" t="n"/>
      <c r="H1448" s="13">
        <f>IF($C1448="","",IFERROR(INDEX('Lists'!$G$6:$G$35,MATCH($C1448,'Lists'!$F$6:$F$35,0))&amp;"","Unknown category"))</f>
        <v/>
      </c>
      <c r="I1448" s="80">
        <f>IF(AND($B1448="",$C1448="",$E1448=""),"",IF(NOT(ISNUMBER($B1448)),"Enter a valid date",IF($C1448="","Pick a category",IF(OR($H1448="Unknown category",$H1448=""),"Category has no cost type",IF(NOT(ISNUMBER($E1448)),"Enter an amount","OK")))))</f>
        <v/>
      </c>
    </row>
    <row r="1449" ht="17" customHeight="1">
      <c r="B1449" s="66" t="n"/>
      <c r="C1449" s="60" t="n"/>
      <c r="D1449" s="60" t="n"/>
      <c r="E1449" s="63" t="n"/>
      <c r="F1449" s="60" t="n"/>
      <c r="G1449" s="60" t="n"/>
      <c r="H1449" s="13">
        <f>IF($C1449="","",IFERROR(INDEX('Lists'!$G$6:$G$35,MATCH($C1449,'Lists'!$F$6:$F$35,0))&amp;"","Unknown category"))</f>
        <v/>
      </c>
      <c r="I1449" s="80">
        <f>IF(AND($B1449="",$C1449="",$E1449=""),"",IF(NOT(ISNUMBER($B1449)),"Enter a valid date",IF($C1449="","Pick a category",IF(OR($H1449="Unknown category",$H1449=""),"Category has no cost type",IF(NOT(ISNUMBER($E1449)),"Enter an amount","OK")))))</f>
        <v/>
      </c>
    </row>
    <row r="1450" ht="17" customHeight="1">
      <c r="B1450" s="66" t="n"/>
      <c r="C1450" s="60" t="n"/>
      <c r="D1450" s="60" t="n"/>
      <c r="E1450" s="63" t="n"/>
      <c r="F1450" s="60" t="n"/>
      <c r="G1450" s="60" t="n"/>
      <c r="H1450" s="13">
        <f>IF($C1450="","",IFERROR(INDEX('Lists'!$G$6:$G$35,MATCH($C1450,'Lists'!$F$6:$F$35,0))&amp;"","Unknown category"))</f>
        <v/>
      </c>
      <c r="I1450" s="80">
        <f>IF(AND($B1450="",$C1450="",$E1450=""),"",IF(NOT(ISNUMBER($B1450)),"Enter a valid date",IF($C1450="","Pick a category",IF(OR($H1450="Unknown category",$H1450=""),"Category has no cost type",IF(NOT(ISNUMBER($E1450)),"Enter an amount","OK")))))</f>
        <v/>
      </c>
    </row>
    <row r="1451" ht="17" customHeight="1">
      <c r="B1451" s="66" t="n"/>
      <c r="C1451" s="60" t="n"/>
      <c r="D1451" s="60" t="n"/>
      <c r="E1451" s="63" t="n"/>
      <c r="F1451" s="60" t="n"/>
      <c r="G1451" s="60" t="n"/>
      <c r="H1451" s="13">
        <f>IF($C1451="","",IFERROR(INDEX('Lists'!$G$6:$G$35,MATCH($C1451,'Lists'!$F$6:$F$35,0))&amp;"","Unknown category"))</f>
        <v/>
      </c>
      <c r="I1451" s="80">
        <f>IF(AND($B1451="",$C1451="",$E1451=""),"",IF(NOT(ISNUMBER($B1451)),"Enter a valid date",IF($C1451="","Pick a category",IF(OR($H1451="Unknown category",$H1451=""),"Category has no cost type",IF(NOT(ISNUMBER($E1451)),"Enter an amount","OK")))))</f>
        <v/>
      </c>
    </row>
    <row r="1452" ht="17" customHeight="1">
      <c r="B1452" s="66" t="n"/>
      <c r="C1452" s="60" t="n"/>
      <c r="D1452" s="60" t="n"/>
      <c r="E1452" s="63" t="n"/>
      <c r="F1452" s="60" t="n"/>
      <c r="G1452" s="60" t="n"/>
      <c r="H1452" s="13">
        <f>IF($C1452="","",IFERROR(INDEX('Lists'!$G$6:$G$35,MATCH($C1452,'Lists'!$F$6:$F$35,0))&amp;"","Unknown category"))</f>
        <v/>
      </c>
      <c r="I1452" s="80">
        <f>IF(AND($B1452="",$C1452="",$E1452=""),"",IF(NOT(ISNUMBER($B1452)),"Enter a valid date",IF($C1452="","Pick a category",IF(OR($H1452="Unknown category",$H1452=""),"Category has no cost type",IF(NOT(ISNUMBER($E1452)),"Enter an amount","OK")))))</f>
        <v/>
      </c>
    </row>
    <row r="1453" ht="17" customHeight="1">
      <c r="B1453" s="66" t="n"/>
      <c r="C1453" s="60" t="n"/>
      <c r="D1453" s="60" t="n"/>
      <c r="E1453" s="63" t="n"/>
      <c r="F1453" s="60" t="n"/>
      <c r="G1453" s="60" t="n"/>
      <c r="H1453" s="13">
        <f>IF($C1453="","",IFERROR(INDEX('Lists'!$G$6:$G$35,MATCH($C1453,'Lists'!$F$6:$F$35,0))&amp;"","Unknown category"))</f>
        <v/>
      </c>
      <c r="I1453" s="80">
        <f>IF(AND($B1453="",$C1453="",$E1453=""),"",IF(NOT(ISNUMBER($B1453)),"Enter a valid date",IF($C1453="","Pick a category",IF(OR($H1453="Unknown category",$H1453=""),"Category has no cost type",IF(NOT(ISNUMBER($E1453)),"Enter an amount","OK")))))</f>
        <v/>
      </c>
    </row>
    <row r="1454" ht="17" customHeight="1">
      <c r="B1454" s="66" t="n"/>
      <c r="C1454" s="60" t="n"/>
      <c r="D1454" s="60" t="n"/>
      <c r="E1454" s="63" t="n"/>
      <c r="F1454" s="60" t="n"/>
      <c r="G1454" s="60" t="n"/>
      <c r="H1454" s="13">
        <f>IF($C1454="","",IFERROR(INDEX('Lists'!$G$6:$G$35,MATCH($C1454,'Lists'!$F$6:$F$35,0))&amp;"","Unknown category"))</f>
        <v/>
      </c>
      <c r="I1454" s="80">
        <f>IF(AND($B1454="",$C1454="",$E1454=""),"",IF(NOT(ISNUMBER($B1454)),"Enter a valid date",IF($C1454="","Pick a category",IF(OR($H1454="Unknown category",$H1454=""),"Category has no cost type",IF(NOT(ISNUMBER($E1454)),"Enter an amount","OK")))))</f>
        <v/>
      </c>
    </row>
    <row r="1455" ht="17" customHeight="1">
      <c r="B1455" s="66" t="n"/>
      <c r="C1455" s="60" t="n"/>
      <c r="D1455" s="60" t="n"/>
      <c r="E1455" s="63" t="n"/>
      <c r="F1455" s="60" t="n"/>
      <c r="G1455" s="60" t="n"/>
      <c r="H1455" s="13">
        <f>IF($C1455="","",IFERROR(INDEX('Lists'!$G$6:$G$35,MATCH($C1455,'Lists'!$F$6:$F$35,0))&amp;"","Unknown category"))</f>
        <v/>
      </c>
      <c r="I1455" s="80">
        <f>IF(AND($B1455="",$C1455="",$E1455=""),"",IF(NOT(ISNUMBER($B1455)),"Enter a valid date",IF($C1455="","Pick a category",IF(OR($H1455="Unknown category",$H1455=""),"Category has no cost type",IF(NOT(ISNUMBER($E1455)),"Enter an amount","OK")))))</f>
        <v/>
      </c>
    </row>
    <row r="1456" ht="17" customHeight="1">
      <c r="B1456" s="66" t="n"/>
      <c r="C1456" s="60" t="n"/>
      <c r="D1456" s="60" t="n"/>
      <c r="E1456" s="63" t="n"/>
      <c r="F1456" s="60" t="n"/>
      <c r="G1456" s="60" t="n"/>
      <c r="H1456" s="13">
        <f>IF($C1456="","",IFERROR(INDEX('Lists'!$G$6:$G$35,MATCH($C1456,'Lists'!$F$6:$F$35,0))&amp;"","Unknown category"))</f>
        <v/>
      </c>
      <c r="I1456" s="80">
        <f>IF(AND($B1456="",$C1456="",$E1456=""),"",IF(NOT(ISNUMBER($B1456)),"Enter a valid date",IF($C1456="","Pick a category",IF(OR($H1456="Unknown category",$H1456=""),"Category has no cost type",IF(NOT(ISNUMBER($E1456)),"Enter an amount","OK")))))</f>
        <v/>
      </c>
    </row>
    <row r="1457" ht="17" customHeight="1">
      <c r="B1457" s="66" t="n"/>
      <c r="C1457" s="60" t="n"/>
      <c r="D1457" s="60" t="n"/>
      <c r="E1457" s="63" t="n"/>
      <c r="F1457" s="60" t="n"/>
      <c r="G1457" s="60" t="n"/>
      <c r="H1457" s="13">
        <f>IF($C1457="","",IFERROR(INDEX('Lists'!$G$6:$G$35,MATCH($C1457,'Lists'!$F$6:$F$35,0))&amp;"","Unknown category"))</f>
        <v/>
      </c>
      <c r="I1457" s="80">
        <f>IF(AND($B1457="",$C1457="",$E1457=""),"",IF(NOT(ISNUMBER($B1457)),"Enter a valid date",IF($C1457="","Pick a category",IF(OR($H1457="Unknown category",$H1457=""),"Category has no cost type",IF(NOT(ISNUMBER($E1457)),"Enter an amount","OK")))))</f>
        <v/>
      </c>
    </row>
    <row r="1458" ht="17" customHeight="1">
      <c r="B1458" s="66" t="n"/>
      <c r="C1458" s="60" t="n"/>
      <c r="D1458" s="60" t="n"/>
      <c r="E1458" s="63" t="n"/>
      <c r="F1458" s="60" t="n"/>
      <c r="G1458" s="60" t="n"/>
      <c r="H1458" s="13">
        <f>IF($C1458="","",IFERROR(INDEX('Lists'!$G$6:$G$35,MATCH($C1458,'Lists'!$F$6:$F$35,0))&amp;"","Unknown category"))</f>
        <v/>
      </c>
      <c r="I1458" s="80">
        <f>IF(AND($B1458="",$C1458="",$E1458=""),"",IF(NOT(ISNUMBER($B1458)),"Enter a valid date",IF($C1458="","Pick a category",IF(OR($H1458="Unknown category",$H1458=""),"Category has no cost type",IF(NOT(ISNUMBER($E1458)),"Enter an amount","OK")))))</f>
        <v/>
      </c>
    </row>
    <row r="1459" ht="17" customHeight="1">
      <c r="B1459" s="66" t="n"/>
      <c r="C1459" s="60" t="n"/>
      <c r="D1459" s="60" t="n"/>
      <c r="E1459" s="63" t="n"/>
      <c r="F1459" s="60" t="n"/>
      <c r="G1459" s="60" t="n"/>
      <c r="H1459" s="13">
        <f>IF($C1459="","",IFERROR(INDEX('Lists'!$G$6:$G$35,MATCH($C1459,'Lists'!$F$6:$F$35,0))&amp;"","Unknown category"))</f>
        <v/>
      </c>
      <c r="I1459" s="80">
        <f>IF(AND($B1459="",$C1459="",$E1459=""),"",IF(NOT(ISNUMBER($B1459)),"Enter a valid date",IF($C1459="","Pick a category",IF(OR($H1459="Unknown category",$H1459=""),"Category has no cost type",IF(NOT(ISNUMBER($E1459)),"Enter an amount","OK")))))</f>
        <v/>
      </c>
    </row>
    <row r="1460" ht="17" customHeight="1">
      <c r="B1460" s="66" t="n"/>
      <c r="C1460" s="60" t="n"/>
      <c r="D1460" s="60" t="n"/>
      <c r="E1460" s="63" t="n"/>
      <c r="F1460" s="60" t="n"/>
      <c r="G1460" s="60" t="n"/>
      <c r="H1460" s="13">
        <f>IF($C1460="","",IFERROR(INDEX('Lists'!$G$6:$G$35,MATCH($C1460,'Lists'!$F$6:$F$35,0))&amp;"","Unknown category"))</f>
        <v/>
      </c>
      <c r="I1460" s="80">
        <f>IF(AND($B1460="",$C1460="",$E1460=""),"",IF(NOT(ISNUMBER($B1460)),"Enter a valid date",IF($C1460="","Pick a category",IF(OR($H1460="Unknown category",$H1460=""),"Category has no cost type",IF(NOT(ISNUMBER($E1460)),"Enter an amount","OK")))))</f>
        <v/>
      </c>
    </row>
    <row r="1461" ht="17" customHeight="1">
      <c r="B1461" s="66" t="n"/>
      <c r="C1461" s="60" t="n"/>
      <c r="D1461" s="60" t="n"/>
      <c r="E1461" s="63" t="n"/>
      <c r="F1461" s="60" t="n"/>
      <c r="G1461" s="60" t="n"/>
      <c r="H1461" s="13">
        <f>IF($C1461="","",IFERROR(INDEX('Lists'!$G$6:$G$35,MATCH($C1461,'Lists'!$F$6:$F$35,0))&amp;"","Unknown category"))</f>
        <v/>
      </c>
      <c r="I1461" s="80">
        <f>IF(AND($B1461="",$C1461="",$E1461=""),"",IF(NOT(ISNUMBER($B1461)),"Enter a valid date",IF($C1461="","Pick a category",IF(OR($H1461="Unknown category",$H1461=""),"Category has no cost type",IF(NOT(ISNUMBER($E1461)),"Enter an amount","OK")))))</f>
        <v/>
      </c>
    </row>
    <row r="1462" ht="17" customHeight="1">
      <c r="B1462" s="66" t="n"/>
      <c r="C1462" s="60" t="n"/>
      <c r="D1462" s="60" t="n"/>
      <c r="E1462" s="63" t="n"/>
      <c r="F1462" s="60" t="n"/>
      <c r="G1462" s="60" t="n"/>
      <c r="H1462" s="13">
        <f>IF($C1462="","",IFERROR(INDEX('Lists'!$G$6:$G$35,MATCH($C1462,'Lists'!$F$6:$F$35,0))&amp;"","Unknown category"))</f>
        <v/>
      </c>
      <c r="I1462" s="80">
        <f>IF(AND($B1462="",$C1462="",$E1462=""),"",IF(NOT(ISNUMBER($B1462)),"Enter a valid date",IF($C1462="","Pick a category",IF(OR($H1462="Unknown category",$H1462=""),"Category has no cost type",IF(NOT(ISNUMBER($E1462)),"Enter an amount","OK")))))</f>
        <v/>
      </c>
    </row>
    <row r="1463" ht="17" customHeight="1">
      <c r="B1463" s="66" t="n"/>
      <c r="C1463" s="60" t="n"/>
      <c r="D1463" s="60" t="n"/>
      <c r="E1463" s="63" t="n"/>
      <c r="F1463" s="60" t="n"/>
      <c r="G1463" s="60" t="n"/>
      <c r="H1463" s="13">
        <f>IF($C1463="","",IFERROR(INDEX('Lists'!$G$6:$G$35,MATCH($C1463,'Lists'!$F$6:$F$35,0))&amp;"","Unknown category"))</f>
        <v/>
      </c>
      <c r="I1463" s="80">
        <f>IF(AND($B1463="",$C1463="",$E1463=""),"",IF(NOT(ISNUMBER($B1463)),"Enter a valid date",IF($C1463="","Pick a category",IF(OR($H1463="Unknown category",$H1463=""),"Category has no cost type",IF(NOT(ISNUMBER($E1463)),"Enter an amount","OK")))))</f>
        <v/>
      </c>
    </row>
    <row r="1464" ht="17" customHeight="1">
      <c r="B1464" s="66" t="n"/>
      <c r="C1464" s="60" t="n"/>
      <c r="D1464" s="60" t="n"/>
      <c r="E1464" s="63" t="n"/>
      <c r="F1464" s="60" t="n"/>
      <c r="G1464" s="60" t="n"/>
      <c r="H1464" s="13">
        <f>IF($C1464="","",IFERROR(INDEX('Lists'!$G$6:$G$35,MATCH($C1464,'Lists'!$F$6:$F$35,0))&amp;"","Unknown category"))</f>
        <v/>
      </c>
      <c r="I1464" s="80">
        <f>IF(AND($B1464="",$C1464="",$E1464=""),"",IF(NOT(ISNUMBER($B1464)),"Enter a valid date",IF($C1464="","Pick a category",IF(OR($H1464="Unknown category",$H1464=""),"Category has no cost type",IF(NOT(ISNUMBER($E1464)),"Enter an amount","OK")))))</f>
        <v/>
      </c>
    </row>
    <row r="1465" ht="17" customHeight="1">
      <c r="B1465" s="66" t="n"/>
      <c r="C1465" s="60" t="n"/>
      <c r="D1465" s="60" t="n"/>
      <c r="E1465" s="63" t="n"/>
      <c r="F1465" s="60" t="n"/>
      <c r="G1465" s="60" t="n"/>
      <c r="H1465" s="13">
        <f>IF($C1465="","",IFERROR(INDEX('Lists'!$G$6:$G$35,MATCH($C1465,'Lists'!$F$6:$F$35,0))&amp;"","Unknown category"))</f>
        <v/>
      </c>
      <c r="I1465" s="80">
        <f>IF(AND($B1465="",$C1465="",$E1465=""),"",IF(NOT(ISNUMBER($B1465)),"Enter a valid date",IF($C1465="","Pick a category",IF(OR($H1465="Unknown category",$H1465=""),"Category has no cost type",IF(NOT(ISNUMBER($E1465)),"Enter an amount","OK")))))</f>
        <v/>
      </c>
    </row>
    <row r="1466" ht="17" customHeight="1">
      <c r="B1466" s="66" t="n"/>
      <c r="C1466" s="60" t="n"/>
      <c r="D1466" s="60" t="n"/>
      <c r="E1466" s="63" t="n"/>
      <c r="F1466" s="60" t="n"/>
      <c r="G1466" s="60" t="n"/>
      <c r="H1466" s="13">
        <f>IF($C1466="","",IFERROR(INDEX('Lists'!$G$6:$G$35,MATCH($C1466,'Lists'!$F$6:$F$35,0))&amp;"","Unknown category"))</f>
        <v/>
      </c>
      <c r="I1466" s="80">
        <f>IF(AND($B1466="",$C1466="",$E1466=""),"",IF(NOT(ISNUMBER($B1466)),"Enter a valid date",IF($C1466="","Pick a category",IF(OR($H1466="Unknown category",$H1466=""),"Category has no cost type",IF(NOT(ISNUMBER($E1466)),"Enter an amount","OK")))))</f>
        <v/>
      </c>
    </row>
    <row r="1467" ht="17" customHeight="1">
      <c r="B1467" s="66" t="n"/>
      <c r="C1467" s="60" t="n"/>
      <c r="D1467" s="60" t="n"/>
      <c r="E1467" s="63" t="n"/>
      <c r="F1467" s="60" t="n"/>
      <c r="G1467" s="60" t="n"/>
      <c r="H1467" s="13">
        <f>IF($C1467="","",IFERROR(INDEX('Lists'!$G$6:$G$35,MATCH($C1467,'Lists'!$F$6:$F$35,0))&amp;"","Unknown category"))</f>
        <v/>
      </c>
      <c r="I1467" s="80">
        <f>IF(AND($B1467="",$C1467="",$E1467=""),"",IF(NOT(ISNUMBER($B1467)),"Enter a valid date",IF($C1467="","Pick a category",IF(OR($H1467="Unknown category",$H1467=""),"Category has no cost type",IF(NOT(ISNUMBER($E1467)),"Enter an amount","OK")))))</f>
        <v/>
      </c>
    </row>
    <row r="1468" ht="17" customHeight="1">
      <c r="B1468" s="66" t="n"/>
      <c r="C1468" s="60" t="n"/>
      <c r="D1468" s="60" t="n"/>
      <c r="E1468" s="63" t="n"/>
      <c r="F1468" s="60" t="n"/>
      <c r="G1468" s="60" t="n"/>
      <c r="H1468" s="13">
        <f>IF($C1468="","",IFERROR(INDEX('Lists'!$G$6:$G$35,MATCH($C1468,'Lists'!$F$6:$F$35,0))&amp;"","Unknown category"))</f>
        <v/>
      </c>
      <c r="I1468" s="80">
        <f>IF(AND($B1468="",$C1468="",$E1468=""),"",IF(NOT(ISNUMBER($B1468)),"Enter a valid date",IF($C1468="","Pick a category",IF(OR($H1468="Unknown category",$H1468=""),"Category has no cost type",IF(NOT(ISNUMBER($E1468)),"Enter an amount","OK")))))</f>
        <v/>
      </c>
    </row>
    <row r="1469" ht="17" customHeight="1">
      <c r="B1469" s="66" t="n"/>
      <c r="C1469" s="60" t="n"/>
      <c r="D1469" s="60" t="n"/>
      <c r="E1469" s="63" t="n"/>
      <c r="F1469" s="60" t="n"/>
      <c r="G1469" s="60" t="n"/>
      <c r="H1469" s="13">
        <f>IF($C1469="","",IFERROR(INDEX('Lists'!$G$6:$G$35,MATCH($C1469,'Lists'!$F$6:$F$35,0))&amp;"","Unknown category"))</f>
        <v/>
      </c>
      <c r="I1469" s="80">
        <f>IF(AND($B1469="",$C1469="",$E1469=""),"",IF(NOT(ISNUMBER($B1469)),"Enter a valid date",IF($C1469="","Pick a category",IF(OR($H1469="Unknown category",$H1469=""),"Category has no cost type",IF(NOT(ISNUMBER($E1469)),"Enter an amount","OK")))))</f>
        <v/>
      </c>
    </row>
    <row r="1470" ht="17" customHeight="1">
      <c r="B1470" s="66" t="n"/>
      <c r="C1470" s="60" t="n"/>
      <c r="D1470" s="60" t="n"/>
      <c r="E1470" s="63" t="n"/>
      <c r="F1470" s="60" t="n"/>
      <c r="G1470" s="60" t="n"/>
      <c r="H1470" s="13">
        <f>IF($C1470="","",IFERROR(INDEX('Lists'!$G$6:$G$35,MATCH($C1470,'Lists'!$F$6:$F$35,0))&amp;"","Unknown category"))</f>
        <v/>
      </c>
      <c r="I1470" s="80">
        <f>IF(AND($B1470="",$C1470="",$E1470=""),"",IF(NOT(ISNUMBER($B1470)),"Enter a valid date",IF($C1470="","Pick a category",IF(OR($H1470="Unknown category",$H1470=""),"Category has no cost type",IF(NOT(ISNUMBER($E1470)),"Enter an amount","OK")))))</f>
        <v/>
      </c>
    </row>
    <row r="1471" ht="17" customHeight="1">
      <c r="B1471" s="66" t="n"/>
      <c r="C1471" s="60" t="n"/>
      <c r="D1471" s="60" t="n"/>
      <c r="E1471" s="63" t="n"/>
      <c r="F1471" s="60" t="n"/>
      <c r="G1471" s="60" t="n"/>
      <c r="H1471" s="13">
        <f>IF($C1471="","",IFERROR(INDEX('Lists'!$G$6:$G$35,MATCH($C1471,'Lists'!$F$6:$F$35,0))&amp;"","Unknown category"))</f>
        <v/>
      </c>
      <c r="I1471" s="80">
        <f>IF(AND($B1471="",$C1471="",$E1471=""),"",IF(NOT(ISNUMBER($B1471)),"Enter a valid date",IF($C1471="","Pick a category",IF(OR($H1471="Unknown category",$H1471=""),"Category has no cost type",IF(NOT(ISNUMBER($E1471)),"Enter an amount","OK")))))</f>
        <v/>
      </c>
    </row>
    <row r="1472" ht="17" customHeight="1">
      <c r="B1472" s="66" t="n"/>
      <c r="C1472" s="60" t="n"/>
      <c r="D1472" s="60" t="n"/>
      <c r="E1472" s="63" t="n"/>
      <c r="F1472" s="60" t="n"/>
      <c r="G1472" s="60" t="n"/>
      <c r="H1472" s="13">
        <f>IF($C1472="","",IFERROR(INDEX('Lists'!$G$6:$G$35,MATCH($C1472,'Lists'!$F$6:$F$35,0))&amp;"","Unknown category"))</f>
        <v/>
      </c>
      <c r="I1472" s="80">
        <f>IF(AND($B1472="",$C1472="",$E1472=""),"",IF(NOT(ISNUMBER($B1472)),"Enter a valid date",IF($C1472="","Pick a category",IF(OR($H1472="Unknown category",$H1472=""),"Category has no cost type",IF(NOT(ISNUMBER($E1472)),"Enter an amount","OK")))))</f>
        <v/>
      </c>
    </row>
    <row r="1473" ht="17" customHeight="1">
      <c r="B1473" s="66" t="n"/>
      <c r="C1473" s="60" t="n"/>
      <c r="D1473" s="60" t="n"/>
      <c r="E1473" s="63" t="n"/>
      <c r="F1473" s="60" t="n"/>
      <c r="G1473" s="60" t="n"/>
      <c r="H1473" s="13">
        <f>IF($C1473="","",IFERROR(INDEX('Lists'!$G$6:$G$35,MATCH($C1473,'Lists'!$F$6:$F$35,0))&amp;"","Unknown category"))</f>
        <v/>
      </c>
      <c r="I1473" s="80">
        <f>IF(AND($B1473="",$C1473="",$E1473=""),"",IF(NOT(ISNUMBER($B1473)),"Enter a valid date",IF($C1473="","Pick a category",IF(OR($H1473="Unknown category",$H1473=""),"Category has no cost type",IF(NOT(ISNUMBER($E1473)),"Enter an amount","OK")))))</f>
        <v/>
      </c>
    </row>
    <row r="1474" ht="17" customHeight="1">
      <c r="B1474" s="66" t="n"/>
      <c r="C1474" s="60" t="n"/>
      <c r="D1474" s="60" t="n"/>
      <c r="E1474" s="63" t="n"/>
      <c r="F1474" s="60" t="n"/>
      <c r="G1474" s="60" t="n"/>
      <c r="H1474" s="13">
        <f>IF($C1474="","",IFERROR(INDEX('Lists'!$G$6:$G$35,MATCH($C1474,'Lists'!$F$6:$F$35,0))&amp;"","Unknown category"))</f>
        <v/>
      </c>
      <c r="I1474" s="80">
        <f>IF(AND($B1474="",$C1474="",$E1474=""),"",IF(NOT(ISNUMBER($B1474)),"Enter a valid date",IF($C1474="","Pick a category",IF(OR($H1474="Unknown category",$H1474=""),"Category has no cost type",IF(NOT(ISNUMBER($E1474)),"Enter an amount","OK")))))</f>
        <v/>
      </c>
    </row>
    <row r="1475" ht="17" customHeight="1">
      <c r="B1475" s="66" t="n"/>
      <c r="C1475" s="60" t="n"/>
      <c r="D1475" s="60" t="n"/>
      <c r="E1475" s="63" t="n"/>
      <c r="F1475" s="60" t="n"/>
      <c r="G1475" s="60" t="n"/>
      <c r="H1475" s="13">
        <f>IF($C1475="","",IFERROR(INDEX('Lists'!$G$6:$G$35,MATCH($C1475,'Lists'!$F$6:$F$35,0))&amp;"","Unknown category"))</f>
        <v/>
      </c>
      <c r="I1475" s="80">
        <f>IF(AND($B1475="",$C1475="",$E1475=""),"",IF(NOT(ISNUMBER($B1475)),"Enter a valid date",IF($C1475="","Pick a category",IF(OR($H1475="Unknown category",$H1475=""),"Category has no cost type",IF(NOT(ISNUMBER($E1475)),"Enter an amount","OK")))))</f>
        <v/>
      </c>
    </row>
    <row r="1476" ht="17" customHeight="1">
      <c r="B1476" s="66" t="n"/>
      <c r="C1476" s="60" t="n"/>
      <c r="D1476" s="60" t="n"/>
      <c r="E1476" s="63" t="n"/>
      <c r="F1476" s="60" t="n"/>
      <c r="G1476" s="60" t="n"/>
      <c r="H1476" s="13">
        <f>IF($C1476="","",IFERROR(INDEX('Lists'!$G$6:$G$35,MATCH($C1476,'Lists'!$F$6:$F$35,0))&amp;"","Unknown category"))</f>
        <v/>
      </c>
      <c r="I1476" s="80">
        <f>IF(AND($B1476="",$C1476="",$E1476=""),"",IF(NOT(ISNUMBER($B1476)),"Enter a valid date",IF($C1476="","Pick a category",IF(OR($H1476="Unknown category",$H1476=""),"Category has no cost type",IF(NOT(ISNUMBER($E1476)),"Enter an amount","OK")))))</f>
        <v/>
      </c>
    </row>
    <row r="1477" ht="17" customHeight="1">
      <c r="B1477" s="66" t="n"/>
      <c r="C1477" s="60" t="n"/>
      <c r="D1477" s="60" t="n"/>
      <c r="E1477" s="63" t="n"/>
      <c r="F1477" s="60" t="n"/>
      <c r="G1477" s="60" t="n"/>
      <c r="H1477" s="13">
        <f>IF($C1477="","",IFERROR(INDEX('Lists'!$G$6:$G$35,MATCH($C1477,'Lists'!$F$6:$F$35,0))&amp;"","Unknown category"))</f>
        <v/>
      </c>
      <c r="I1477" s="80">
        <f>IF(AND($B1477="",$C1477="",$E1477=""),"",IF(NOT(ISNUMBER($B1477)),"Enter a valid date",IF($C1477="","Pick a category",IF(OR($H1477="Unknown category",$H1477=""),"Category has no cost type",IF(NOT(ISNUMBER($E1477)),"Enter an amount","OK")))))</f>
        <v/>
      </c>
    </row>
    <row r="1478" ht="17" customHeight="1">
      <c r="B1478" s="66" t="n"/>
      <c r="C1478" s="60" t="n"/>
      <c r="D1478" s="60" t="n"/>
      <c r="E1478" s="63" t="n"/>
      <c r="F1478" s="60" t="n"/>
      <c r="G1478" s="60" t="n"/>
      <c r="H1478" s="13">
        <f>IF($C1478="","",IFERROR(INDEX('Lists'!$G$6:$G$35,MATCH($C1478,'Lists'!$F$6:$F$35,0))&amp;"","Unknown category"))</f>
        <v/>
      </c>
      <c r="I1478" s="80">
        <f>IF(AND($B1478="",$C1478="",$E1478=""),"",IF(NOT(ISNUMBER($B1478)),"Enter a valid date",IF($C1478="","Pick a category",IF(OR($H1478="Unknown category",$H1478=""),"Category has no cost type",IF(NOT(ISNUMBER($E1478)),"Enter an amount","OK")))))</f>
        <v/>
      </c>
    </row>
    <row r="1479" ht="17" customHeight="1">
      <c r="B1479" s="66" t="n"/>
      <c r="C1479" s="60" t="n"/>
      <c r="D1479" s="60" t="n"/>
      <c r="E1479" s="63" t="n"/>
      <c r="F1479" s="60" t="n"/>
      <c r="G1479" s="60" t="n"/>
      <c r="H1479" s="13">
        <f>IF($C1479="","",IFERROR(INDEX('Lists'!$G$6:$G$35,MATCH($C1479,'Lists'!$F$6:$F$35,0))&amp;"","Unknown category"))</f>
        <v/>
      </c>
      <c r="I1479" s="80">
        <f>IF(AND($B1479="",$C1479="",$E1479=""),"",IF(NOT(ISNUMBER($B1479)),"Enter a valid date",IF($C1479="","Pick a category",IF(OR($H1479="Unknown category",$H1479=""),"Category has no cost type",IF(NOT(ISNUMBER($E1479)),"Enter an amount","OK")))))</f>
        <v/>
      </c>
    </row>
    <row r="1480" ht="17" customHeight="1">
      <c r="B1480" s="66" t="n"/>
      <c r="C1480" s="60" t="n"/>
      <c r="D1480" s="60" t="n"/>
      <c r="E1480" s="63" t="n"/>
      <c r="F1480" s="60" t="n"/>
      <c r="G1480" s="60" t="n"/>
      <c r="H1480" s="13">
        <f>IF($C1480="","",IFERROR(INDEX('Lists'!$G$6:$G$35,MATCH($C1480,'Lists'!$F$6:$F$35,0))&amp;"","Unknown category"))</f>
        <v/>
      </c>
      <c r="I1480" s="80">
        <f>IF(AND($B1480="",$C1480="",$E1480=""),"",IF(NOT(ISNUMBER($B1480)),"Enter a valid date",IF($C1480="","Pick a category",IF(OR($H1480="Unknown category",$H1480=""),"Category has no cost type",IF(NOT(ISNUMBER($E1480)),"Enter an amount","OK")))))</f>
        <v/>
      </c>
    </row>
    <row r="1481" ht="17" customHeight="1">
      <c r="B1481" s="66" t="n"/>
      <c r="C1481" s="60" t="n"/>
      <c r="D1481" s="60" t="n"/>
      <c r="E1481" s="63" t="n"/>
      <c r="F1481" s="60" t="n"/>
      <c r="G1481" s="60" t="n"/>
      <c r="H1481" s="13">
        <f>IF($C1481="","",IFERROR(INDEX('Lists'!$G$6:$G$35,MATCH($C1481,'Lists'!$F$6:$F$35,0))&amp;"","Unknown category"))</f>
        <v/>
      </c>
      <c r="I1481" s="80">
        <f>IF(AND($B1481="",$C1481="",$E1481=""),"",IF(NOT(ISNUMBER($B1481)),"Enter a valid date",IF($C1481="","Pick a category",IF(OR($H1481="Unknown category",$H1481=""),"Category has no cost type",IF(NOT(ISNUMBER($E1481)),"Enter an amount","OK")))))</f>
        <v/>
      </c>
    </row>
    <row r="1482" ht="17" customHeight="1">
      <c r="B1482" s="66" t="n"/>
      <c r="C1482" s="60" t="n"/>
      <c r="D1482" s="60" t="n"/>
      <c r="E1482" s="63" t="n"/>
      <c r="F1482" s="60" t="n"/>
      <c r="G1482" s="60" t="n"/>
      <c r="H1482" s="13">
        <f>IF($C1482="","",IFERROR(INDEX('Lists'!$G$6:$G$35,MATCH($C1482,'Lists'!$F$6:$F$35,0))&amp;"","Unknown category"))</f>
        <v/>
      </c>
      <c r="I1482" s="80">
        <f>IF(AND($B1482="",$C1482="",$E1482=""),"",IF(NOT(ISNUMBER($B1482)),"Enter a valid date",IF($C1482="","Pick a category",IF(OR($H1482="Unknown category",$H1482=""),"Category has no cost type",IF(NOT(ISNUMBER($E1482)),"Enter an amount","OK")))))</f>
        <v/>
      </c>
    </row>
    <row r="1483" ht="17" customHeight="1">
      <c r="B1483" s="66" t="n"/>
      <c r="C1483" s="60" t="n"/>
      <c r="D1483" s="60" t="n"/>
      <c r="E1483" s="63" t="n"/>
      <c r="F1483" s="60" t="n"/>
      <c r="G1483" s="60" t="n"/>
      <c r="H1483" s="13">
        <f>IF($C1483="","",IFERROR(INDEX('Lists'!$G$6:$G$35,MATCH($C1483,'Lists'!$F$6:$F$35,0))&amp;"","Unknown category"))</f>
        <v/>
      </c>
      <c r="I1483" s="80">
        <f>IF(AND($B1483="",$C1483="",$E1483=""),"",IF(NOT(ISNUMBER($B1483)),"Enter a valid date",IF($C1483="","Pick a category",IF(OR($H1483="Unknown category",$H1483=""),"Category has no cost type",IF(NOT(ISNUMBER($E1483)),"Enter an amount","OK")))))</f>
        <v/>
      </c>
    </row>
    <row r="1484" ht="17" customHeight="1">
      <c r="B1484" s="66" t="n"/>
      <c r="C1484" s="60" t="n"/>
      <c r="D1484" s="60" t="n"/>
      <c r="E1484" s="63" t="n"/>
      <c r="F1484" s="60" t="n"/>
      <c r="G1484" s="60" t="n"/>
      <c r="H1484" s="13">
        <f>IF($C1484="","",IFERROR(INDEX('Lists'!$G$6:$G$35,MATCH($C1484,'Lists'!$F$6:$F$35,0))&amp;"","Unknown category"))</f>
        <v/>
      </c>
      <c r="I1484" s="80">
        <f>IF(AND($B1484="",$C1484="",$E1484=""),"",IF(NOT(ISNUMBER($B1484)),"Enter a valid date",IF($C1484="","Pick a category",IF(OR($H1484="Unknown category",$H1484=""),"Category has no cost type",IF(NOT(ISNUMBER($E1484)),"Enter an amount","OK")))))</f>
        <v/>
      </c>
    </row>
    <row r="1485" ht="17" customHeight="1">
      <c r="B1485" s="66" t="n"/>
      <c r="C1485" s="60" t="n"/>
      <c r="D1485" s="60" t="n"/>
      <c r="E1485" s="63" t="n"/>
      <c r="F1485" s="60" t="n"/>
      <c r="G1485" s="60" t="n"/>
      <c r="H1485" s="13">
        <f>IF($C1485="","",IFERROR(INDEX('Lists'!$G$6:$G$35,MATCH($C1485,'Lists'!$F$6:$F$35,0))&amp;"","Unknown category"))</f>
        <v/>
      </c>
      <c r="I1485" s="80">
        <f>IF(AND($B1485="",$C1485="",$E1485=""),"",IF(NOT(ISNUMBER($B1485)),"Enter a valid date",IF($C1485="","Pick a category",IF(OR($H1485="Unknown category",$H1485=""),"Category has no cost type",IF(NOT(ISNUMBER($E1485)),"Enter an amount","OK")))))</f>
        <v/>
      </c>
    </row>
    <row r="1486" ht="17" customHeight="1">
      <c r="B1486" s="66" t="n"/>
      <c r="C1486" s="60" t="n"/>
      <c r="D1486" s="60" t="n"/>
      <c r="E1486" s="63" t="n"/>
      <c r="F1486" s="60" t="n"/>
      <c r="G1486" s="60" t="n"/>
      <c r="H1486" s="13">
        <f>IF($C1486="","",IFERROR(INDEX('Lists'!$G$6:$G$35,MATCH($C1486,'Lists'!$F$6:$F$35,0))&amp;"","Unknown category"))</f>
        <v/>
      </c>
      <c r="I1486" s="80">
        <f>IF(AND($B1486="",$C1486="",$E1486=""),"",IF(NOT(ISNUMBER($B1486)),"Enter a valid date",IF($C1486="","Pick a category",IF(OR($H1486="Unknown category",$H1486=""),"Category has no cost type",IF(NOT(ISNUMBER($E1486)),"Enter an amount","OK")))))</f>
        <v/>
      </c>
    </row>
    <row r="1487" ht="17" customHeight="1">
      <c r="B1487" s="66" t="n"/>
      <c r="C1487" s="60" t="n"/>
      <c r="D1487" s="60" t="n"/>
      <c r="E1487" s="63" t="n"/>
      <c r="F1487" s="60" t="n"/>
      <c r="G1487" s="60" t="n"/>
      <c r="H1487" s="13">
        <f>IF($C1487="","",IFERROR(INDEX('Lists'!$G$6:$G$35,MATCH($C1487,'Lists'!$F$6:$F$35,0))&amp;"","Unknown category"))</f>
        <v/>
      </c>
      <c r="I1487" s="80">
        <f>IF(AND($B1487="",$C1487="",$E1487=""),"",IF(NOT(ISNUMBER($B1487)),"Enter a valid date",IF($C1487="","Pick a category",IF(OR($H1487="Unknown category",$H1487=""),"Category has no cost type",IF(NOT(ISNUMBER($E1487)),"Enter an amount","OK")))))</f>
        <v/>
      </c>
    </row>
    <row r="1488" ht="17" customHeight="1">
      <c r="B1488" s="66" t="n"/>
      <c r="C1488" s="60" t="n"/>
      <c r="D1488" s="60" t="n"/>
      <c r="E1488" s="63" t="n"/>
      <c r="F1488" s="60" t="n"/>
      <c r="G1488" s="60" t="n"/>
      <c r="H1488" s="13">
        <f>IF($C1488="","",IFERROR(INDEX('Lists'!$G$6:$G$35,MATCH($C1488,'Lists'!$F$6:$F$35,0))&amp;"","Unknown category"))</f>
        <v/>
      </c>
      <c r="I1488" s="80">
        <f>IF(AND($B1488="",$C1488="",$E1488=""),"",IF(NOT(ISNUMBER($B1488)),"Enter a valid date",IF($C1488="","Pick a category",IF(OR($H1488="Unknown category",$H1488=""),"Category has no cost type",IF(NOT(ISNUMBER($E1488)),"Enter an amount","OK")))))</f>
        <v/>
      </c>
    </row>
    <row r="1489" ht="17" customHeight="1">
      <c r="B1489" s="66" t="n"/>
      <c r="C1489" s="60" t="n"/>
      <c r="D1489" s="60" t="n"/>
      <c r="E1489" s="63" t="n"/>
      <c r="F1489" s="60" t="n"/>
      <c r="G1489" s="60" t="n"/>
      <c r="H1489" s="13">
        <f>IF($C1489="","",IFERROR(INDEX('Lists'!$G$6:$G$35,MATCH($C1489,'Lists'!$F$6:$F$35,0))&amp;"","Unknown category"))</f>
        <v/>
      </c>
      <c r="I1489" s="80">
        <f>IF(AND($B1489="",$C1489="",$E1489=""),"",IF(NOT(ISNUMBER($B1489)),"Enter a valid date",IF($C1489="","Pick a category",IF(OR($H1489="Unknown category",$H1489=""),"Category has no cost type",IF(NOT(ISNUMBER($E1489)),"Enter an amount","OK")))))</f>
        <v/>
      </c>
    </row>
    <row r="1490" ht="17" customHeight="1">
      <c r="B1490" s="66" t="n"/>
      <c r="C1490" s="60" t="n"/>
      <c r="D1490" s="60" t="n"/>
      <c r="E1490" s="63" t="n"/>
      <c r="F1490" s="60" t="n"/>
      <c r="G1490" s="60" t="n"/>
      <c r="H1490" s="13">
        <f>IF($C1490="","",IFERROR(INDEX('Lists'!$G$6:$G$35,MATCH($C1490,'Lists'!$F$6:$F$35,0))&amp;"","Unknown category"))</f>
        <v/>
      </c>
      <c r="I1490" s="80">
        <f>IF(AND($B1490="",$C1490="",$E1490=""),"",IF(NOT(ISNUMBER($B1490)),"Enter a valid date",IF($C1490="","Pick a category",IF(OR($H1490="Unknown category",$H1490=""),"Category has no cost type",IF(NOT(ISNUMBER($E1490)),"Enter an amount","OK")))))</f>
        <v/>
      </c>
    </row>
    <row r="1491" ht="17" customHeight="1">
      <c r="B1491" s="66" t="n"/>
      <c r="C1491" s="60" t="n"/>
      <c r="D1491" s="60" t="n"/>
      <c r="E1491" s="63" t="n"/>
      <c r="F1491" s="60" t="n"/>
      <c r="G1491" s="60" t="n"/>
      <c r="H1491" s="13">
        <f>IF($C1491="","",IFERROR(INDEX('Lists'!$G$6:$G$35,MATCH($C1491,'Lists'!$F$6:$F$35,0))&amp;"","Unknown category"))</f>
        <v/>
      </c>
      <c r="I1491" s="80">
        <f>IF(AND($B1491="",$C1491="",$E1491=""),"",IF(NOT(ISNUMBER($B1491)),"Enter a valid date",IF($C1491="","Pick a category",IF(OR($H1491="Unknown category",$H1491=""),"Category has no cost type",IF(NOT(ISNUMBER($E1491)),"Enter an amount","OK")))))</f>
        <v/>
      </c>
    </row>
    <row r="1492" ht="17" customHeight="1">
      <c r="B1492" s="66" t="n"/>
      <c r="C1492" s="60" t="n"/>
      <c r="D1492" s="60" t="n"/>
      <c r="E1492" s="63" t="n"/>
      <c r="F1492" s="60" t="n"/>
      <c r="G1492" s="60" t="n"/>
      <c r="H1492" s="13">
        <f>IF($C1492="","",IFERROR(INDEX('Lists'!$G$6:$G$35,MATCH($C1492,'Lists'!$F$6:$F$35,0))&amp;"","Unknown category"))</f>
        <v/>
      </c>
      <c r="I1492" s="80">
        <f>IF(AND($B1492="",$C1492="",$E1492=""),"",IF(NOT(ISNUMBER($B1492)),"Enter a valid date",IF($C1492="","Pick a category",IF(OR($H1492="Unknown category",$H1492=""),"Category has no cost type",IF(NOT(ISNUMBER($E1492)),"Enter an amount","OK")))))</f>
        <v/>
      </c>
    </row>
    <row r="1493" ht="17" customHeight="1">
      <c r="B1493" s="66" t="n"/>
      <c r="C1493" s="60" t="n"/>
      <c r="D1493" s="60" t="n"/>
      <c r="E1493" s="63" t="n"/>
      <c r="F1493" s="60" t="n"/>
      <c r="G1493" s="60" t="n"/>
      <c r="H1493" s="13">
        <f>IF($C1493="","",IFERROR(INDEX('Lists'!$G$6:$G$35,MATCH($C1493,'Lists'!$F$6:$F$35,0))&amp;"","Unknown category"))</f>
        <v/>
      </c>
      <c r="I1493" s="80">
        <f>IF(AND($B1493="",$C1493="",$E1493=""),"",IF(NOT(ISNUMBER($B1493)),"Enter a valid date",IF($C1493="","Pick a category",IF(OR($H1493="Unknown category",$H1493=""),"Category has no cost type",IF(NOT(ISNUMBER($E1493)),"Enter an amount","OK")))))</f>
        <v/>
      </c>
    </row>
    <row r="1494" ht="17" customHeight="1">
      <c r="B1494" s="66" t="n"/>
      <c r="C1494" s="60" t="n"/>
      <c r="D1494" s="60" t="n"/>
      <c r="E1494" s="63" t="n"/>
      <c r="F1494" s="60" t="n"/>
      <c r="G1494" s="60" t="n"/>
      <c r="H1494" s="13">
        <f>IF($C1494="","",IFERROR(INDEX('Lists'!$G$6:$G$35,MATCH($C1494,'Lists'!$F$6:$F$35,0))&amp;"","Unknown category"))</f>
        <v/>
      </c>
      <c r="I1494" s="80">
        <f>IF(AND($B1494="",$C1494="",$E1494=""),"",IF(NOT(ISNUMBER($B1494)),"Enter a valid date",IF($C1494="","Pick a category",IF(OR($H1494="Unknown category",$H1494=""),"Category has no cost type",IF(NOT(ISNUMBER($E1494)),"Enter an amount","OK")))))</f>
        <v/>
      </c>
    </row>
    <row r="1495" ht="17" customHeight="1">
      <c r="B1495" s="66" t="n"/>
      <c r="C1495" s="60" t="n"/>
      <c r="D1495" s="60" t="n"/>
      <c r="E1495" s="63" t="n"/>
      <c r="F1495" s="60" t="n"/>
      <c r="G1495" s="60" t="n"/>
      <c r="H1495" s="13">
        <f>IF($C1495="","",IFERROR(INDEX('Lists'!$G$6:$G$35,MATCH($C1495,'Lists'!$F$6:$F$35,0))&amp;"","Unknown category"))</f>
        <v/>
      </c>
      <c r="I1495" s="80">
        <f>IF(AND($B1495="",$C1495="",$E1495=""),"",IF(NOT(ISNUMBER($B1495)),"Enter a valid date",IF($C1495="","Pick a category",IF(OR($H1495="Unknown category",$H1495=""),"Category has no cost type",IF(NOT(ISNUMBER($E1495)),"Enter an amount","OK")))))</f>
        <v/>
      </c>
    </row>
    <row r="1496" ht="17" customHeight="1">
      <c r="B1496" s="66" t="n"/>
      <c r="C1496" s="60" t="n"/>
      <c r="D1496" s="60" t="n"/>
      <c r="E1496" s="63" t="n"/>
      <c r="F1496" s="60" t="n"/>
      <c r="G1496" s="60" t="n"/>
      <c r="H1496" s="13">
        <f>IF($C1496="","",IFERROR(INDEX('Lists'!$G$6:$G$35,MATCH($C1496,'Lists'!$F$6:$F$35,0))&amp;"","Unknown category"))</f>
        <v/>
      </c>
      <c r="I1496" s="80">
        <f>IF(AND($B1496="",$C1496="",$E1496=""),"",IF(NOT(ISNUMBER($B1496)),"Enter a valid date",IF($C1496="","Pick a category",IF(OR($H1496="Unknown category",$H1496=""),"Category has no cost type",IF(NOT(ISNUMBER($E1496)),"Enter an amount","OK")))))</f>
        <v/>
      </c>
    </row>
    <row r="1497" ht="17" customHeight="1">
      <c r="B1497" s="66" t="n"/>
      <c r="C1497" s="60" t="n"/>
      <c r="D1497" s="60" t="n"/>
      <c r="E1497" s="63" t="n"/>
      <c r="F1497" s="60" t="n"/>
      <c r="G1497" s="60" t="n"/>
      <c r="H1497" s="13">
        <f>IF($C1497="","",IFERROR(INDEX('Lists'!$G$6:$G$35,MATCH($C1497,'Lists'!$F$6:$F$35,0))&amp;"","Unknown category"))</f>
        <v/>
      </c>
      <c r="I1497" s="80">
        <f>IF(AND($B1497="",$C1497="",$E1497=""),"",IF(NOT(ISNUMBER($B1497)),"Enter a valid date",IF($C1497="","Pick a category",IF(OR($H1497="Unknown category",$H1497=""),"Category has no cost type",IF(NOT(ISNUMBER($E1497)),"Enter an amount","OK")))))</f>
        <v/>
      </c>
    </row>
    <row r="1498" ht="17" customHeight="1">
      <c r="B1498" s="66" t="n"/>
      <c r="C1498" s="60" t="n"/>
      <c r="D1498" s="60" t="n"/>
      <c r="E1498" s="63" t="n"/>
      <c r="F1498" s="60" t="n"/>
      <c r="G1498" s="60" t="n"/>
      <c r="H1498" s="13">
        <f>IF($C1498="","",IFERROR(INDEX('Lists'!$G$6:$G$35,MATCH($C1498,'Lists'!$F$6:$F$35,0))&amp;"","Unknown category"))</f>
        <v/>
      </c>
      <c r="I1498" s="80">
        <f>IF(AND($B1498="",$C1498="",$E1498=""),"",IF(NOT(ISNUMBER($B1498)),"Enter a valid date",IF($C1498="","Pick a category",IF(OR($H1498="Unknown category",$H1498=""),"Category has no cost type",IF(NOT(ISNUMBER($E1498)),"Enter an amount","OK")))))</f>
        <v/>
      </c>
    </row>
    <row r="1499" ht="17" customHeight="1">
      <c r="B1499" s="66" t="n"/>
      <c r="C1499" s="60" t="n"/>
      <c r="D1499" s="60" t="n"/>
      <c r="E1499" s="63" t="n"/>
      <c r="F1499" s="60" t="n"/>
      <c r="G1499" s="60" t="n"/>
      <c r="H1499" s="13">
        <f>IF($C1499="","",IFERROR(INDEX('Lists'!$G$6:$G$35,MATCH($C1499,'Lists'!$F$6:$F$35,0))&amp;"","Unknown category"))</f>
        <v/>
      </c>
      <c r="I1499" s="80">
        <f>IF(AND($B1499="",$C1499="",$E1499=""),"",IF(NOT(ISNUMBER($B1499)),"Enter a valid date",IF($C1499="","Pick a category",IF(OR($H1499="Unknown category",$H1499=""),"Category has no cost type",IF(NOT(ISNUMBER($E1499)),"Enter an amount","OK")))))</f>
        <v/>
      </c>
    </row>
    <row r="1500" ht="17" customHeight="1">
      <c r="B1500" s="66" t="n"/>
      <c r="C1500" s="60" t="n"/>
      <c r="D1500" s="60" t="n"/>
      <c r="E1500" s="63" t="n"/>
      <c r="F1500" s="60" t="n"/>
      <c r="G1500" s="60" t="n"/>
      <c r="H1500" s="13">
        <f>IF($C1500="","",IFERROR(INDEX('Lists'!$G$6:$G$35,MATCH($C1500,'Lists'!$F$6:$F$35,0))&amp;"","Unknown category"))</f>
        <v/>
      </c>
      <c r="I1500" s="80">
        <f>IF(AND($B1500="",$C1500="",$E1500=""),"",IF(NOT(ISNUMBER($B1500)),"Enter a valid date",IF($C1500="","Pick a category",IF(OR($H1500="Unknown category",$H1500=""),"Category has no cost type",IF(NOT(ISNUMBER($E1500)),"Enter an amount","OK")))))</f>
        <v/>
      </c>
    </row>
    <row r="1501" ht="17" customHeight="1">
      <c r="B1501" s="66" t="n"/>
      <c r="C1501" s="60" t="n"/>
      <c r="D1501" s="60" t="n"/>
      <c r="E1501" s="63" t="n"/>
      <c r="F1501" s="60" t="n"/>
      <c r="G1501" s="60" t="n"/>
      <c r="H1501" s="13">
        <f>IF($C1501="","",IFERROR(INDEX('Lists'!$G$6:$G$35,MATCH($C1501,'Lists'!$F$6:$F$35,0))&amp;"","Unknown category"))</f>
        <v/>
      </c>
      <c r="I1501" s="80">
        <f>IF(AND($B1501="",$C1501="",$E1501=""),"",IF(NOT(ISNUMBER($B1501)),"Enter a valid date",IF($C1501="","Pick a category",IF(OR($H1501="Unknown category",$H1501=""),"Category has no cost type",IF(NOT(ISNUMBER($E1501)),"Enter an amount","OK")))))</f>
        <v/>
      </c>
    </row>
    <row r="1502" ht="17" customHeight="1">
      <c r="B1502" s="66" t="n"/>
      <c r="C1502" s="60" t="n"/>
      <c r="D1502" s="60" t="n"/>
      <c r="E1502" s="63" t="n"/>
      <c r="F1502" s="60" t="n"/>
      <c r="G1502" s="60" t="n"/>
      <c r="H1502" s="13">
        <f>IF($C1502="","",IFERROR(INDEX('Lists'!$G$6:$G$35,MATCH($C1502,'Lists'!$F$6:$F$35,0))&amp;"","Unknown category"))</f>
        <v/>
      </c>
      <c r="I1502" s="80">
        <f>IF(AND($B1502="",$C1502="",$E1502=""),"",IF(NOT(ISNUMBER($B1502)),"Enter a valid date",IF($C1502="","Pick a category",IF(OR($H1502="Unknown category",$H1502=""),"Category has no cost type",IF(NOT(ISNUMBER($E1502)),"Enter an amount","OK")))))</f>
        <v/>
      </c>
    </row>
    <row r="1503" ht="17" customHeight="1">
      <c r="B1503" s="66" t="n"/>
      <c r="C1503" s="60" t="n"/>
      <c r="D1503" s="60" t="n"/>
      <c r="E1503" s="63" t="n"/>
      <c r="F1503" s="60" t="n"/>
      <c r="G1503" s="60" t="n"/>
      <c r="H1503" s="13">
        <f>IF($C1503="","",IFERROR(INDEX('Lists'!$G$6:$G$35,MATCH($C1503,'Lists'!$F$6:$F$35,0))&amp;"","Unknown category"))</f>
        <v/>
      </c>
      <c r="I1503" s="80">
        <f>IF(AND($B1503="",$C1503="",$E1503=""),"",IF(NOT(ISNUMBER($B1503)),"Enter a valid date",IF($C1503="","Pick a category",IF(OR($H1503="Unknown category",$H1503=""),"Category has no cost type",IF(NOT(ISNUMBER($E1503)),"Enter an amount","OK")))))</f>
        <v/>
      </c>
    </row>
    <row r="1504" ht="17" customHeight="1">
      <c r="B1504" s="66" t="n"/>
      <c r="C1504" s="60" t="n"/>
      <c r="D1504" s="60" t="n"/>
      <c r="E1504" s="63" t="n"/>
      <c r="F1504" s="60" t="n"/>
      <c r="G1504" s="60" t="n"/>
      <c r="H1504" s="13">
        <f>IF($C1504="","",IFERROR(INDEX('Lists'!$G$6:$G$35,MATCH($C1504,'Lists'!$F$6:$F$35,0))&amp;"","Unknown category"))</f>
        <v/>
      </c>
      <c r="I1504" s="80">
        <f>IF(AND($B1504="",$C1504="",$E1504=""),"",IF(NOT(ISNUMBER($B1504)),"Enter a valid date",IF($C1504="","Pick a category",IF(OR($H1504="Unknown category",$H1504=""),"Category has no cost type",IF(NOT(ISNUMBER($E1504)),"Enter an amount","OK")))))</f>
        <v/>
      </c>
    </row>
    <row r="1505" ht="17" customHeight="1">
      <c r="B1505" s="66" t="n"/>
      <c r="C1505" s="60" t="n"/>
      <c r="D1505" s="60" t="n"/>
      <c r="E1505" s="63" t="n"/>
      <c r="F1505" s="60" t="n"/>
      <c r="G1505" s="60" t="n"/>
      <c r="H1505" s="13">
        <f>IF($C1505="","",IFERROR(INDEX('Lists'!$G$6:$G$35,MATCH($C1505,'Lists'!$F$6:$F$35,0))&amp;"","Unknown category"))</f>
        <v/>
      </c>
      <c r="I1505" s="80">
        <f>IF(AND($B1505="",$C1505="",$E1505=""),"",IF(NOT(ISNUMBER($B1505)),"Enter a valid date",IF($C1505="","Pick a category",IF(OR($H1505="Unknown category",$H1505=""),"Category has no cost type",IF(NOT(ISNUMBER($E1505)),"Enter an amount","OK")))))</f>
        <v/>
      </c>
    </row>
    <row r="1506" ht="17" customHeight="1">
      <c r="B1506" s="66" t="n"/>
      <c r="C1506" s="60" t="n"/>
      <c r="D1506" s="60" t="n"/>
      <c r="E1506" s="63" t="n"/>
      <c r="F1506" s="60" t="n"/>
      <c r="G1506" s="60" t="n"/>
      <c r="H1506" s="13">
        <f>IF($C1506="","",IFERROR(INDEX('Lists'!$G$6:$G$35,MATCH($C1506,'Lists'!$F$6:$F$35,0))&amp;"","Unknown category"))</f>
        <v/>
      </c>
      <c r="I1506" s="80">
        <f>IF(AND($B1506="",$C1506="",$E1506=""),"",IF(NOT(ISNUMBER($B1506)),"Enter a valid date",IF($C1506="","Pick a category",IF(OR($H1506="Unknown category",$H1506=""),"Category has no cost type",IF(NOT(ISNUMBER($E1506)),"Enter an amount","OK")))))</f>
        <v/>
      </c>
    </row>
  </sheetData>
  <autoFilter ref="B6:I1506"/>
  <mergeCells count="2">
    <mergeCell ref="B5:G5"/>
    <mergeCell ref="H5:I5"/>
  </mergeCells>
  <conditionalFormatting sqref="I7:I1506">
    <cfRule type="expression" priority="1" dxfId="13">
      <formula>I7="OK"</formula>
    </cfRule>
    <cfRule type="expression" priority="2" dxfId="6">
      <formula>AND($I7&lt;&gt;"",$I7&lt;&gt;"OK")</formula>
    </cfRule>
  </conditionalFormatting>
  <conditionalFormatting sqref="H7:H1506">
    <cfRule type="expression" priority="3" dxfId="14">
      <formula>LEFT($H7,8)="Excluded"</formula>
    </cfRule>
  </conditionalFormatting>
  <conditionalFormatting sqref="E7:E1506">
    <cfRule type="expression" priority="4" dxfId="10">
      <formula>cfg_Currency="USD"</formula>
    </cfRule>
    <cfRule type="expression" priority="5" dxfId="11">
      <formula>cfg_Currency="GBP"</formula>
    </cfRule>
  </conditionalFormatting>
  <dataValidations count="4">
    <dataValidation sqref="B7:B1506" showDropDown="0" showInputMessage="1" showErrorMessage="1" allowBlank="1" errorTitle="Invalid date" error="Enter a valid date (2000-2100)." promptTitle="Date" prompt="Enter a date, e.g. 15/03/2026 or 3/15/2026 (your computer's format)." type="date" operator="between">
      <formula1>DATE(2000,1,1)</formula1>
      <formula2>DATE(2100,12,31)</formula2>
    </dataValidation>
    <dataValidation sqref="C7:C1506" showDropDown="0" showInputMessage="1" showErrorMessage="1" allowBlank="1" errorTitle="Not in list" error="Please pick a value from the dropdown list." promptTitle="Category" prompt="Pick a category. Add your own on the Lists sheet." type="list" errorStyle="stop">
      <formula1>lst_ExpCat</formula1>
    </dataValidation>
    <dataValidation sqref="F7:F1506" showDropDown="0" showInputMessage="0" showErrorMessage="0" allowBlank="1" errorTitle="Not in list" error="Please pick a value from the dropdown list." type="list" errorStyle="warning">
      <formula1>lst_Pay</formula1>
    </dataValidation>
    <dataValidation sqref="E7:E1506" showDropDown="0" showInputMessage="1" showErrorMessage="1" allowBlank="1" errorTitle="Invalid number" error="Enter a number of at least -1000000 and at most 10000000." promptTitle="Amount" prompt="Amount paid. Use a negative only for refunds." type="decimal" operator="between">
      <formula1>-1000000</formula1>
      <formula2>10000000</formula2>
    </dataValidation>
  </dataValidations>
  <hyperlinks>
    <hyperlink ref="B4" location="'Start Here'!A1" display="› Start Here"/>
    <hyperlink ref="D4" location="'Dashboard'!A1" display="› Dashboard"/>
    <hyperlink ref="E4" location="'Lists'!A1" display="› Lists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T55"/>
  <sheetViews>
    <sheetView showGridLines="0" zoomScale="100" workbookViewId="0">
      <pane xSplit="2" ySplit="7" topLeftCell="C8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hidden="1" width="4" customWidth="1" min="3" max="3"/>
    <col hidden="1" width="4" customWidth="1" min="4" max="4"/>
    <col width="12" customWidth="1" min="5" max="5"/>
    <col width="10" customWidth="1" min="6" max="6"/>
    <col width="12" customWidth="1" min="7" max="7"/>
    <col width="12" customWidth="1" min="8" max="8"/>
    <col width="9" customWidth="1" min="9" max="9"/>
    <col width="10" customWidth="1" min="10" max="10"/>
    <col width="11" customWidth="1" min="11" max="11"/>
    <col width="11" customWidth="1" min="12" max="12"/>
    <col width="10" customWidth="1" min="13" max="13"/>
    <col width="11" customWidth="1" min="14" max="14"/>
    <col width="12" customWidth="1" min="15" max="15"/>
    <col width="12" customWidth="1" min="16" max="16"/>
    <col width="9" customWidth="1" min="17" max="17"/>
    <col width="12" customWidth="1" min="18" max="18"/>
    <col width="12" customWidth="1" min="19" max="19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0" customHeight="1">
      <c r="B2" s="54" t="inlineStr">
        <is>
          <t>Monthly Report</t>
        </is>
      </c>
      <c r="S2" s="55" t="inlineStr">
        <is>
          <t>NoviraNest</t>
        </is>
      </c>
    </row>
    <row r="3" ht="18" customHeight="1">
      <c r="B3" s="56" t="inlineStr">
        <is>
          <t>Profit &amp; loss by month for the reporting year, plus the selected-period summary that feeds the Dashboard. Everything here is automatic.</t>
        </is>
      </c>
    </row>
    <row r="4" ht="18" customHeight="1">
      <c r="B4" s="57" t="inlineStr">
        <is>
          <t>› Start Here</t>
        </is>
      </c>
      <c r="D4" s="57" t="inlineStr">
        <is>
          <t>› Dashboard</t>
        </is>
      </c>
      <c r="F4" s="57" t="inlineStr">
        <is>
          <t>› Settings</t>
        </is>
      </c>
    </row>
    <row r="5" ht="8" customHeight="1"/>
    <row r="6" ht="16" customHeight="1">
      <c r="B6" s="90">
        <f>"Year "&amp;cfg_Year</f>
        <v/>
      </c>
      <c r="E6" s="75" t="inlineStr">
        <is>
          <t>SALES &amp; GROSS PROFIT</t>
        </is>
      </c>
      <c r="J6" s="67" t="inlineStr">
        <is>
          <t>WASTE &amp; OPERATING EXPENSES</t>
        </is>
      </c>
      <c r="P6" s="76" t="inlineStr">
        <is>
          <t>BOTTOM LINE</t>
        </is>
      </c>
      <c r="R6" s="91" t="inlineStr">
        <is>
          <t>INFO ONLY</t>
        </is>
      </c>
    </row>
    <row r="7" ht="44" customHeight="1">
      <c r="B7" s="58" t="inlineStr">
        <is>
          <t>Month</t>
        </is>
      </c>
      <c r="C7" s="58" t="inlineStr">
        <is>
          <t>Start</t>
        </is>
      </c>
      <c r="D7" s="58" t="inlineStr">
        <is>
          <t>End</t>
        </is>
      </c>
      <c r="E7" s="58">
        <f>"Revenue ("&amp;cfg_Symbol&amp;")"</f>
        <v/>
      </c>
      <c r="F7" s="58" t="inlineStr">
        <is>
          <t>Items
sold</t>
        </is>
      </c>
      <c r="G7" s="58">
        <f>"COGS ("&amp;cfg_Symbol&amp;")"</f>
        <v/>
      </c>
      <c r="H7" s="58">
        <f>"Gross
profit ("&amp;cfg_Symbol&amp;")"</f>
        <v/>
      </c>
      <c r="I7" s="58" t="inlineStr">
        <is>
          <t>Gross
margin</t>
        </is>
      </c>
      <c r="J7" s="58">
        <f>"Waste ("&amp;cfg_Symbol&amp;")"</f>
        <v/>
      </c>
      <c r="K7" s="58">
        <f>"Fixed
costs ("&amp;cfg_Symbol&amp;")"</f>
        <v/>
      </c>
      <c r="L7" s="58">
        <f>"Labour ("&amp;cfg_Symbol&amp;")"</f>
        <v/>
      </c>
      <c r="M7" s="58">
        <f>"Event
fees ("&amp;cfg_Symbol&amp;")"</f>
        <v/>
      </c>
      <c r="N7" s="58">
        <f>"Other
variable ("&amp;cfg_Symbol&amp;")"</f>
        <v/>
      </c>
      <c r="O7" s="58">
        <f>"Total
opex ("&amp;cfg_Symbol&amp;")"</f>
        <v/>
      </c>
      <c r="P7" s="58">
        <f>"NET
PROFIT ("&amp;cfg_Symbol&amp;")"</f>
        <v/>
      </c>
      <c r="Q7" s="58" t="inlineStr">
        <is>
          <t>Net
margin</t>
        </is>
      </c>
      <c r="R7" s="58">
        <f>"Stock
purchases ("&amp;cfg_Symbol&amp;")"</f>
        <v/>
      </c>
      <c r="S7" s="58">
        <f>"Ingredient
part of COGS ("&amp;cfg_Symbol&amp;")"</f>
        <v/>
      </c>
    </row>
    <row r="8" ht="19" customHeight="1">
      <c r="B8" s="84">
        <f>TEXT(C8,"mmm")</f>
        <v/>
      </c>
      <c r="C8">
        <f>DATE(cfg_Year,1,1)</f>
        <v/>
      </c>
      <c r="D8">
        <f>EOMONTH(C8,0)</f>
        <v/>
      </c>
      <c r="E8" s="71">
        <f>SUMIFS('Sales Log'!$I$7:$I$3006,'Sales Log'!$B$7:$B$3006,"&gt;="&amp;$C8,'Sales Log'!$B$7:$B$3006,"&lt;="&amp;$D8,'Sales Log'!$N$7:$N$3006,"OK")</f>
        <v/>
      </c>
      <c r="F8" s="82">
        <f>SUMIFS('Sales Log'!$D$7:$D$3006,'Sales Log'!$B$7:$B$3006,"&gt;="&amp;$C8,'Sales Log'!$B$7:$B$3006,"&lt;="&amp;$D8,'Sales Log'!$N$7:$N$3006,"OK")</f>
        <v/>
      </c>
      <c r="G8" s="71">
        <f>SUMIFS('Sales Log'!$K$7:$K$3006,'Sales Log'!$B$7:$B$3006,"&gt;="&amp;$C8,'Sales Log'!$B$7:$B$3006,"&lt;="&amp;$D8,'Sales Log'!$N$7:$N$3006,"OK")</f>
        <v/>
      </c>
      <c r="H8" s="71">
        <f>E8-G8</f>
        <v/>
      </c>
      <c r="I8" s="72">
        <f>IF(E8=0,"",H8/E8)</f>
        <v/>
      </c>
      <c r="J8" s="71">
        <f>SUMIFS('Waste Log'!$J$7:$J$506,'Waste Log'!$B$7:$B$506,"&gt;="&amp;$C8,'Waste Log'!$B$7:$B$506,"&lt;="&amp;$D8)</f>
        <v/>
      </c>
      <c r="K8" s="71">
        <f>SUMIFS('Expenses'!$E$7:$E$1506,'Expenses'!$B$7:$B$1506,"&gt;="&amp;$C8,'Expenses'!$B$7:$B$1506,"&lt;="&amp;$D8,'Expenses'!$H$7:$H$1506,"Fixed")</f>
        <v/>
      </c>
      <c r="L8" s="71">
        <f>SUMIFS('Expenses'!$E$7:$E$1506,'Expenses'!$B$7:$B$1506,"&gt;="&amp;$C8,'Expenses'!$B$7:$B$1506,"&lt;="&amp;$D8,'Expenses'!$H$7:$H$1506,"Labor")</f>
        <v/>
      </c>
      <c r="M8" s="71">
        <f>SUMIFS('Expenses'!$E$7:$E$1506,'Expenses'!$B$7:$B$1506,"&gt;="&amp;$C8,'Expenses'!$B$7:$B$1506,"&lt;="&amp;$D8,'Expenses'!$H$7:$H$1506,"Event Fees")</f>
        <v/>
      </c>
      <c r="N8" s="71">
        <f>SUMIFS('Expenses'!$E$7:$E$1506,'Expenses'!$B$7:$B$1506,"&gt;="&amp;$C8,'Expenses'!$B$7:$B$1506,"&lt;="&amp;$D8,'Expenses'!$H$7:$H$1506,"Variable")</f>
        <v/>
      </c>
      <c r="O8" s="71">
        <f>SUM(K8:N8)</f>
        <v/>
      </c>
      <c r="P8" s="78">
        <f>H8-J8-O8</f>
        <v/>
      </c>
      <c r="Q8" s="72">
        <f>IF(E8=0,"",P8/E8)</f>
        <v/>
      </c>
      <c r="R8" s="71">
        <f>SUMIFS('Expenses'!$E$7:$E$1506,'Expenses'!$B$7:$B$1506,"&gt;="&amp;$C8,'Expenses'!$B$7:$B$1506,"&lt;="&amp;$D8,'Expenses'!$H$7:$H$1506,"Excluded - Stock Purchase")</f>
        <v/>
      </c>
      <c r="S8" s="71">
        <f>SUMIFS('Sales Log'!$M$7:$M$3006,'Sales Log'!$B$7:$B$3006,"&gt;="&amp;$C8,'Sales Log'!$B$7:$B$3006,"&lt;="&amp;$D8,'Sales Log'!$N$7:$N$3006,"OK")</f>
        <v/>
      </c>
    </row>
    <row r="9" ht="19" customHeight="1">
      <c r="B9" s="84">
        <f>TEXT(C9,"mmm")</f>
        <v/>
      </c>
      <c r="C9">
        <f>DATE(cfg_Year,2,1)</f>
        <v/>
      </c>
      <c r="D9">
        <f>EOMONTH(C9,0)</f>
        <v/>
      </c>
      <c r="E9" s="71">
        <f>SUMIFS('Sales Log'!$I$7:$I$3006,'Sales Log'!$B$7:$B$3006,"&gt;="&amp;$C9,'Sales Log'!$B$7:$B$3006,"&lt;="&amp;$D9,'Sales Log'!$N$7:$N$3006,"OK")</f>
        <v/>
      </c>
      <c r="F9" s="82">
        <f>SUMIFS('Sales Log'!$D$7:$D$3006,'Sales Log'!$B$7:$B$3006,"&gt;="&amp;$C9,'Sales Log'!$B$7:$B$3006,"&lt;="&amp;$D9,'Sales Log'!$N$7:$N$3006,"OK")</f>
        <v/>
      </c>
      <c r="G9" s="71">
        <f>SUMIFS('Sales Log'!$K$7:$K$3006,'Sales Log'!$B$7:$B$3006,"&gt;="&amp;$C9,'Sales Log'!$B$7:$B$3006,"&lt;="&amp;$D9,'Sales Log'!$N$7:$N$3006,"OK")</f>
        <v/>
      </c>
      <c r="H9" s="71">
        <f>E9-G9</f>
        <v/>
      </c>
      <c r="I9" s="72">
        <f>IF(E9=0,"",H9/E9)</f>
        <v/>
      </c>
      <c r="J9" s="71">
        <f>SUMIFS('Waste Log'!$J$7:$J$506,'Waste Log'!$B$7:$B$506,"&gt;="&amp;$C9,'Waste Log'!$B$7:$B$506,"&lt;="&amp;$D9)</f>
        <v/>
      </c>
      <c r="K9" s="71">
        <f>SUMIFS('Expenses'!$E$7:$E$1506,'Expenses'!$B$7:$B$1506,"&gt;="&amp;$C9,'Expenses'!$B$7:$B$1506,"&lt;="&amp;$D9,'Expenses'!$H$7:$H$1506,"Fixed")</f>
        <v/>
      </c>
      <c r="L9" s="71">
        <f>SUMIFS('Expenses'!$E$7:$E$1506,'Expenses'!$B$7:$B$1506,"&gt;="&amp;$C9,'Expenses'!$B$7:$B$1506,"&lt;="&amp;$D9,'Expenses'!$H$7:$H$1506,"Labor")</f>
        <v/>
      </c>
      <c r="M9" s="71">
        <f>SUMIFS('Expenses'!$E$7:$E$1506,'Expenses'!$B$7:$B$1506,"&gt;="&amp;$C9,'Expenses'!$B$7:$B$1506,"&lt;="&amp;$D9,'Expenses'!$H$7:$H$1506,"Event Fees")</f>
        <v/>
      </c>
      <c r="N9" s="71">
        <f>SUMIFS('Expenses'!$E$7:$E$1506,'Expenses'!$B$7:$B$1506,"&gt;="&amp;$C9,'Expenses'!$B$7:$B$1506,"&lt;="&amp;$D9,'Expenses'!$H$7:$H$1506,"Variable")</f>
        <v/>
      </c>
      <c r="O9" s="71">
        <f>SUM(K9:N9)</f>
        <v/>
      </c>
      <c r="P9" s="78">
        <f>H9-J9-O9</f>
        <v/>
      </c>
      <c r="Q9" s="72">
        <f>IF(E9=0,"",P9/E9)</f>
        <v/>
      </c>
      <c r="R9" s="71">
        <f>SUMIFS('Expenses'!$E$7:$E$1506,'Expenses'!$B$7:$B$1506,"&gt;="&amp;$C9,'Expenses'!$B$7:$B$1506,"&lt;="&amp;$D9,'Expenses'!$H$7:$H$1506,"Excluded - Stock Purchase")</f>
        <v/>
      </c>
      <c r="S9" s="71">
        <f>SUMIFS('Sales Log'!$M$7:$M$3006,'Sales Log'!$B$7:$B$3006,"&gt;="&amp;$C9,'Sales Log'!$B$7:$B$3006,"&lt;="&amp;$D9,'Sales Log'!$N$7:$N$3006,"OK")</f>
        <v/>
      </c>
    </row>
    <row r="10" ht="19" customHeight="1">
      <c r="B10" s="84">
        <f>TEXT(C10,"mmm")</f>
        <v/>
      </c>
      <c r="C10">
        <f>DATE(cfg_Year,3,1)</f>
        <v/>
      </c>
      <c r="D10">
        <f>EOMONTH(C10,0)</f>
        <v/>
      </c>
      <c r="E10" s="71">
        <f>SUMIFS('Sales Log'!$I$7:$I$3006,'Sales Log'!$B$7:$B$3006,"&gt;="&amp;$C10,'Sales Log'!$B$7:$B$3006,"&lt;="&amp;$D10,'Sales Log'!$N$7:$N$3006,"OK")</f>
        <v/>
      </c>
      <c r="F10" s="82">
        <f>SUMIFS('Sales Log'!$D$7:$D$3006,'Sales Log'!$B$7:$B$3006,"&gt;="&amp;$C10,'Sales Log'!$B$7:$B$3006,"&lt;="&amp;$D10,'Sales Log'!$N$7:$N$3006,"OK")</f>
        <v/>
      </c>
      <c r="G10" s="71">
        <f>SUMIFS('Sales Log'!$K$7:$K$3006,'Sales Log'!$B$7:$B$3006,"&gt;="&amp;$C10,'Sales Log'!$B$7:$B$3006,"&lt;="&amp;$D10,'Sales Log'!$N$7:$N$3006,"OK")</f>
        <v/>
      </c>
      <c r="H10" s="71">
        <f>E10-G10</f>
        <v/>
      </c>
      <c r="I10" s="72">
        <f>IF(E10=0,"",H10/E10)</f>
        <v/>
      </c>
      <c r="J10" s="71">
        <f>SUMIFS('Waste Log'!$J$7:$J$506,'Waste Log'!$B$7:$B$506,"&gt;="&amp;$C10,'Waste Log'!$B$7:$B$506,"&lt;="&amp;$D10)</f>
        <v/>
      </c>
      <c r="K10" s="71">
        <f>SUMIFS('Expenses'!$E$7:$E$1506,'Expenses'!$B$7:$B$1506,"&gt;="&amp;$C10,'Expenses'!$B$7:$B$1506,"&lt;="&amp;$D10,'Expenses'!$H$7:$H$1506,"Fixed")</f>
        <v/>
      </c>
      <c r="L10" s="71">
        <f>SUMIFS('Expenses'!$E$7:$E$1506,'Expenses'!$B$7:$B$1506,"&gt;="&amp;$C10,'Expenses'!$B$7:$B$1506,"&lt;="&amp;$D10,'Expenses'!$H$7:$H$1506,"Labor")</f>
        <v/>
      </c>
      <c r="M10" s="71">
        <f>SUMIFS('Expenses'!$E$7:$E$1506,'Expenses'!$B$7:$B$1506,"&gt;="&amp;$C10,'Expenses'!$B$7:$B$1506,"&lt;="&amp;$D10,'Expenses'!$H$7:$H$1506,"Event Fees")</f>
        <v/>
      </c>
      <c r="N10" s="71">
        <f>SUMIFS('Expenses'!$E$7:$E$1506,'Expenses'!$B$7:$B$1506,"&gt;="&amp;$C10,'Expenses'!$B$7:$B$1506,"&lt;="&amp;$D10,'Expenses'!$H$7:$H$1506,"Variable")</f>
        <v/>
      </c>
      <c r="O10" s="71">
        <f>SUM(K10:N10)</f>
        <v/>
      </c>
      <c r="P10" s="78">
        <f>H10-J10-O10</f>
        <v/>
      </c>
      <c r="Q10" s="72">
        <f>IF(E10=0,"",P10/E10)</f>
        <v/>
      </c>
      <c r="R10" s="71">
        <f>SUMIFS('Expenses'!$E$7:$E$1506,'Expenses'!$B$7:$B$1506,"&gt;="&amp;$C10,'Expenses'!$B$7:$B$1506,"&lt;="&amp;$D10,'Expenses'!$H$7:$H$1506,"Excluded - Stock Purchase")</f>
        <v/>
      </c>
      <c r="S10" s="71">
        <f>SUMIFS('Sales Log'!$M$7:$M$3006,'Sales Log'!$B$7:$B$3006,"&gt;="&amp;$C10,'Sales Log'!$B$7:$B$3006,"&lt;="&amp;$D10,'Sales Log'!$N$7:$N$3006,"OK")</f>
        <v/>
      </c>
    </row>
    <row r="11" ht="19" customHeight="1">
      <c r="B11" s="84">
        <f>TEXT(C11,"mmm")</f>
        <v/>
      </c>
      <c r="C11">
        <f>DATE(cfg_Year,4,1)</f>
        <v/>
      </c>
      <c r="D11">
        <f>EOMONTH(C11,0)</f>
        <v/>
      </c>
      <c r="E11" s="71">
        <f>SUMIFS('Sales Log'!$I$7:$I$3006,'Sales Log'!$B$7:$B$3006,"&gt;="&amp;$C11,'Sales Log'!$B$7:$B$3006,"&lt;="&amp;$D11,'Sales Log'!$N$7:$N$3006,"OK")</f>
        <v/>
      </c>
      <c r="F11" s="82">
        <f>SUMIFS('Sales Log'!$D$7:$D$3006,'Sales Log'!$B$7:$B$3006,"&gt;="&amp;$C11,'Sales Log'!$B$7:$B$3006,"&lt;="&amp;$D11,'Sales Log'!$N$7:$N$3006,"OK")</f>
        <v/>
      </c>
      <c r="G11" s="71">
        <f>SUMIFS('Sales Log'!$K$7:$K$3006,'Sales Log'!$B$7:$B$3006,"&gt;="&amp;$C11,'Sales Log'!$B$7:$B$3006,"&lt;="&amp;$D11,'Sales Log'!$N$7:$N$3006,"OK")</f>
        <v/>
      </c>
      <c r="H11" s="71">
        <f>E11-G11</f>
        <v/>
      </c>
      <c r="I11" s="72">
        <f>IF(E11=0,"",H11/E11)</f>
        <v/>
      </c>
      <c r="J11" s="71">
        <f>SUMIFS('Waste Log'!$J$7:$J$506,'Waste Log'!$B$7:$B$506,"&gt;="&amp;$C11,'Waste Log'!$B$7:$B$506,"&lt;="&amp;$D11)</f>
        <v/>
      </c>
      <c r="K11" s="71">
        <f>SUMIFS('Expenses'!$E$7:$E$1506,'Expenses'!$B$7:$B$1506,"&gt;="&amp;$C11,'Expenses'!$B$7:$B$1506,"&lt;="&amp;$D11,'Expenses'!$H$7:$H$1506,"Fixed")</f>
        <v/>
      </c>
      <c r="L11" s="71">
        <f>SUMIFS('Expenses'!$E$7:$E$1506,'Expenses'!$B$7:$B$1506,"&gt;="&amp;$C11,'Expenses'!$B$7:$B$1506,"&lt;="&amp;$D11,'Expenses'!$H$7:$H$1506,"Labor")</f>
        <v/>
      </c>
      <c r="M11" s="71">
        <f>SUMIFS('Expenses'!$E$7:$E$1506,'Expenses'!$B$7:$B$1506,"&gt;="&amp;$C11,'Expenses'!$B$7:$B$1506,"&lt;="&amp;$D11,'Expenses'!$H$7:$H$1506,"Event Fees")</f>
        <v/>
      </c>
      <c r="N11" s="71">
        <f>SUMIFS('Expenses'!$E$7:$E$1506,'Expenses'!$B$7:$B$1506,"&gt;="&amp;$C11,'Expenses'!$B$7:$B$1506,"&lt;="&amp;$D11,'Expenses'!$H$7:$H$1506,"Variable")</f>
        <v/>
      </c>
      <c r="O11" s="71">
        <f>SUM(K11:N11)</f>
        <v/>
      </c>
      <c r="P11" s="78">
        <f>H11-J11-O11</f>
        <v/>
      </c>
      <c r="Q11" s="72">
        <f>IF(E11=0,"",P11/E11)</f>
        <v/>
      </c>
      <c r="R11" s="71">
        <f>SUMIFS('Expenses'!$E$7:$E$1506,'Expenses'!$B$7:$B$1506,"&gt;="&amp;$C11,'Expenses'!$B$7:$B$1506,"&lt;="&amp;$D11,'Expenses'!$H$7:$H$1506,"Excluded - Stock Purchase")</f>
        <v/>
      </c>
      <c r="S11" s="71">
        <f>SUMIFS('Sales Log'!$M$7:$M$3006,'Sales Log'!$B$7:$B$3006,"&gt;="&amp;$C11,'Sales Log'!$B$7:$B$3006,"&lt;="&amp;$D11,'Sales Log'!$N$7:$N$3006,"OK")</f>
        <v/>
      </c>
    </row>
    <row r="12" ht="19" customHeight="1">
      <c r="B12" s="84">
        <f>TEXT(C12,"mmm")</f>
        <v/>
      </c>
      <c r="C12">
        <f>DATE(cfg_Year,5,1)</f>
        <v/>
      </c>
      <c r="D12">
        <f>EOMONTH(C12,0)</f>
        <v/>
      </c>
      <c r="E12" s="71">
        <f>SUMIFS('Sales Log'!$I$7:$I$3006,'Sales Log'!$B$7:$B$3006,"&gt;="&amp;$C12,'Sales Log'!$B$7:$B$3006,"&lt;="&amp;$D12,'Sales Log'!$N$7:$N$3006,"OK")</f>
        <v/>
      </c>
      <c r="F12" s="82">
        <f>SUMIFS('Sales Log'!$D$7:$D$3006,'Sales Log'!$B$7:$B$3006,"&gt;="&amp;$C12,'Sales Log'!$B$7:$B$3006,"&lt;="&amp;$D12,'Sales Log'!$N$7:$N$3006,"OK")</f>
        <v/>
      </c>
      <c r="G12" s="71">
        <f>SUMIFS('Sales Log'!$K$7:$K$3006,'Sales Log'!$B$7:$B$3006,"&gt;="&amp;$C12,'Sales Log'!$B$7:$B$3006,"&lt;="&amp;$D12,'Sales Log'!$N$7:$N$3006,"OK")</f>
        <v/>
      </c>
      <c r="H12" s="71">
        <f>E12-G12</f>
        <v/>
      </c>
      <c r="I12" s="72">
        <f>IF(E12=0,"",H12/E12)</f>
        <v/>
      </c>
      <c r="J12" s="71">
        <f>SUMIFS('Waste Log'!$J$7:$J$506,'Waste Log'!$B$7:$B$506,"&gt;="&amp;$C12,'Waste Log'!$B$7:$B$506,"&lt;="&amp;$D12)</f>
        <v/>
      </c>
      <c r="K12" s="71">
        <f>SUMIFS('Expenses'!$E$7:$E$1506,'Expenses'!$B$7:$B$1506,"&gt;="&amp;$C12,'Expenses'!$B$7:$B$1506,"&lt;="&amp;$D12,'Expenses'!$H$7:$H$1506,"Fixed")</f>
        <v/>
      </c>
      <c r="L12" s="71">
        <f>SUMIFS('Expenses'!$E$7:$E$1506,'Expenses'!$B$7:$B$1506,"&gt;="&amp;$C12,'Expenses'!$B$7:$B$1506,"&lt;="&amp;$D12,'Expenses'!$H$7:$H$1506,"Labor")</f>
        <v/>
      </c>
      <c r="M12" s="71">
        <f>SUMIFS('Expenses'!$E$7:$E$1506,'Expenses'!$B$7:$B$1506,"&gt;="&amp;$C12,'Expenses'!$B$7:$B$1506,"&lt;="&amp;$D12,'Expenses'!$H$7:$H$1506,"Event Fees")</f>
        <v/>
      </c>
      <c r="N12" s="71">
        <f>SUMIFS('Expenses'!$E$7:$E$1506,'Expenses'!$B$7:$B$1506,"&gt;="&amp;$C12,'Expenses'!$B$7:$B$1506,"&lt;="&amp;$D12,'Expenses'!$H$7:$H$1506,"Variable")</f>
        <v/>
      </c>
      <c r="O12" s="71">
        <f>SUM(K12:N12)</f>
        <v/>
      </c>
      <c r="P12" s="78">
        <f>H12-J12-O12</f>
        <v/>
      </c>
      <c r="Q12" s="72">
        <f>IF(E12=0,"",P12/E12)</f>
        <v/>
      </c>
      <c r="R12" s="71">
        <f>SUMIFS('Expenses'!$E$7:$E$1506,'Expenses'!$B$7:$B$1506,"&gt;="&amp;$C12,'Expenses'!$B$7:$B$1506,"&lt;="&amp;$D12,'Expenses'!$H$7:$H$1506,"Excluded - Stock Purchase")</f>
        <v/>
      </c>
      <c r="S12" s="71">
        <f>SUMIFS('Sales Log'!$M$7:$M$3006,'Sales Log'!$B$7:$B$3006,"&gt;="&amp;$C12,'Sales Log'!$B$7:$B$3006,"&lt;="&amp;$D12,'Sales Log'!$N$7:$N$3006,"OK")</f>
        <v/>
      </c>
    </row>
    <row r="13" ht="19" customHeight="1">
      <c r="B13" s="84">
        <f>TEXT(C13,"mmm")</f>
        <v/>
      </c>
      <c r="C13">
        <f>DATE(cfg_Year,6,1)</f>
        <v/>
      </c>
      <c r="D13">
        <f>EOMONTH(C13,0)</f>
        <v/>
      </c>
      <c r="E13" s="71">
        <f>SUMIFS('Sales Log'!$I$7:$I$3006,'Sales Log'!$B$7:$B$3006,"&gt;="&amp;$C13,'Sales Log'!$B$7:$B$3006,"&lt;="&amp;$D13,'Sales Log'!$N$7:$N$3006,"OK")</f>
        <v/>
      </c>
      <c r="F13" s="82">
        <f>SUMIFS('Sales Log'!$D$7:$D$3006,'Sales Log'!$B$7:$B$3006,"&gt;="&amp;$C13,'Sales Log'!$B$7:$B$3006,"&lt;="&amp;$D13,'Sales Log'!$N$7:$N$3006,"OK")</f>
        <v/>
      </c>
      <c r="G13" s="71">
        <f>SUMIFS('Sales Log'!$K$7:$K$3006,'Sales Log'!$B$7:$B$3006,"&gt;="&amp;$C13,'Sales Log'!$B$7:$B$3006,"&lt;="&amp;$D13,'Sales Log'!$N$7:$N$3006,"OK")</f>
        <v/>
      </c>
      <c r="H13" s="71">
        <f>E13-G13</f>
        <v/>
      </c>
      <c r="I13" s="72">
        <f>IF(E13=0,"",H13/E13)</f>
        <v/>
      </c>
      <c r="J13" s="71">
        <f>SUMIFS('Waste Log'!$J$7:$J$506,'Waste Log'!$B$7:$B$506,"&gt;="&amp;$C13,'Waste Log'!$B$7:$B$506,"&lt;="&amp;$D13)</f>
        <v/>
      </c>
      <c r="K13" s="71">
        <f>SUMIFS('Expenses'!$E$7:$E$1506,'Expenses'!$B$7:$B$1506,"&gt;="&amp;$C13,'Expenses'!$B$7:$B$1506,"&lt;="&amp;$D13,'Expenses'!$H$7:$H$1506,"Fixed")</f>
        <v/>
      </c>
      <c r="L13" s="71">
        <f>SUMIFS('Expenses'!$E$7:$E$1506,'Expenses'!$B$7:$B$1506,"&gt;="&amp;$C13,'Expenses'!$B$7:$B$1506,"&lt;="&amp;$D13,'Expenses'!$H$7:$H$1506,"Labor")</f>
        <v/>
      </c>
      <c r="M13" s="71">
        <f>SUMIFS('Expenses'!$E$7:$E$1506,'Expenses'!$B$7:$B$1506,"&gt;="&amp;$C13,'Expenses'!$B$7:$B$1506,"&lt;="&amp;$D13,'Expenses'!$H$7:$H$1506,"Event Fees")</f>
        <v/>
      </c>
      <c r="N13" s="71">
        <f>SUMIFS('Expenses'!$E$7:$E$1506,'Expenses'!$B$7:$B$1506,"&gt;="&amp;$C13,'Expenses'!$B$7:$B$1506,"&lt;="&amp;$D13,'Expenses'!$H$7:$H$1506,"Variable")</f>
        <v/>
      </c>
      <c r="O13" s="71">
        <f>SUM(K13:N13)</f>
        <v/>
      </c>
      <c r="P13" s="78">
        <f>H13-J13-O13</f>
        <v/>
      </c>
      <c r="Q13" s="72">
        <f>IF(E13=0,"",P13/E13)</f>
        <v/>
      </c>
      <c r="R13" s="71">
        <f>SUMIFS('Expenses'!$E$7:$E$1506,'Expenses'!$B$7:$B$1506,"&gt;="&amp;$C13,'Expenses'!$B$7:$B$1506,"&lt;="&amp;$D13,'Expenses'!$H$7:$H$1506,"Excluded - Stock Purchase")</f>
        <v/>
      </c>
      <c r="S13" s="71">
        <f>SUMIFS('Sales Log'!$M$7:$M$3006,'Sales Log'!$B$7:$B$3006,"&gt;="&amp;$C13,'Sales Log'!$B$7:$B$3006,"&lt;="&amp;$D13,'Sales Log'!$N$7:$N$3006,"OK")</f>
        <v/>
      </c>
    </row>
    <row r="14" ht="19" customHeight="1">
      <c r="B14" s="84">
        <f>TEXT(C14,"mmm")</f>
        <v/>
      </c>
      <c r="C14">
        <f>DATE(cfg_Year,7,1)</f>
        <v/>
      </c>
      <c r="D14">
        <f>EOMONTH(C14,0)</f>
        <v/>
      </c>
      <c r="E14" s="71">
        <f>SUMIFS('Sales Log'!$I$7:$I$3006,'Sales Log'!$B$7:$B$3006,"&gt;="&amp;$C14,'Sales Log'!$B$7:$B$3006,"&lt;="&amp;$D14,'Sales Log'!$N$7:$N$3006,"OK")</f>
        <v/>
      </c>
      <c r="F14" s="82">
        <f>SUMIFS('Sales Log'!$D$7:$D$3006,'Sales Log'!$B$7:$B$3006,"&gt;="&amp;$C14,'Sales Log'!$B$7:$B$3006,"&lt;="&amp;$D14,'Sales Log'!$N$7:$N$3006,"OK")</f>
        <v/>
      </c>
      <c r="G14" s="71">
        <f>SUMIFS('Sales Log'!$K$7:$K$3006,'Sales Log'!$B$7:$B$3006,"&gt;="&amp;$C14,'Sales Log'!$B$7:$B$3006,"&lt;="&amp;$D14,'Sales Log'!$N$7:$N$3006,"OK")</f>
        <v/>
      </c>
      <c r="H14" s="71">
        <f>E14-G14</f>
        <v/>
      </c>
      <c r="I14" s="72">
        <f>IF(E14=0,"",H14/E14)</f>
        <v/>
      </c>
      <c r="J14" s="71">
        <f>SUMIFS('Waste Log'!$J$7:$J$506,'Waste Log'!$B$7:$B$506,"&gt;="&amp;$C14,'Waste Log'!$B$7:$B$506,"&lt;="&amp;$D14)</f>
        <v/>
      </c>
      <c r="K14" s="71">
        <f>SUMIFS('Expenses'!$E$7:$E$1506,'Expenses'!$B$7:$B$1506,"&gt;="&amp;$C14,'Expenses'!$B$7:$B$1506,"&lt;="&amp;$D14,'Expenses'!$H$7:$H$1506,"Fixed")</f>
        <v/>
      </c>
      <c r="L14" s="71">
        <f>SUMIFS('Expenses'!$E$7:$E$1506,'Expenses'!$B$7:$B$1506,"&gt;="&amp;$C14,'Expenses'!$B$7:$B$1506,"&lt;="&amp;$D14,'Expenses'!$H$7:$H$1506,"Labor")</f>
        <v/>
      </c>
      <c r="M14" s="71">
        <f>SUMIFS('Expenses'!$E$7:$E$1506,'Expenses'!$B$7:$B$1506,"&gt;="&amp;$C14,'Expenses'!$B$7:$B$1506,"&lt;="&amp;$D14,'Expenses'!$H$7:$H$1506,"Event Fees")</f>
        <v/>
      </c>
      <c r="N14" s="71">
        <f>SUMIFS('Expenses'!$E$7:$E$1506,'Expenses'!$B$7:$B$1506,"&gt;="&amp;$C14,'Expenses'!$B$7:$B$1506,"&lt;="&amp;$D14,'Expenses'!$H$7:$H$1506,"Variable")</f>
        <v/>
      </c>
      <c r="O14" s="71">
        <f>SUM(K14:N14)</f>
        <v/>
      </c>
      <c r="P14" s="78">
        <f>H14-J14-O14</f>
        <v/>
      </c>
      <c r="Q14" s="72">
        <f>IF(E14=0,"",P14/E14)</f>
        <v/>
      </c>
      <c r="R14" s="71">
        <f>SUMIFS('Expenses'!$E$7:$E$1506,'Expenses'!$B$7:$B$1506,"&gt;="&amp;$C14,'Expenses'!$B$7:$B$1506,"&lt;="&amp;$D14,'Expenses'!$H$7:$H$1506,"Excluded - Stock Purchase")</f>
        <v/>
      </c>
      <c r="S14" s="71">
        <f>SUMIFS('Sales Log'!$M$7:$M$3006,'Sales Log'!$B$7:$B$3006,"&gt;="&amp;$C14,'Sales Log'!$B$7:$B$3006,"&lt;="&amp;$D14,'Sales Log'!$N$7:$N$3006,"OK")</f>
        <v/>
      </c>
    </row>
    <row r="15" ht="19" customHeight="1">
      <c r="B15" s="84">
        <f>TEXT(C15,"mmm")</f>
        <v/>
      </c>
      <c r="C15">
        <f>DATE(cfg_Year,8,1)</f>
        <v/>
      </c>
      <c r="D15">
        <f>EOMONTH(C15,0)</f>
        <v/>
      </c>
      <c r="E15" s="71">
        <f>SUMIFS('Sales Log'!$I$7:$I$3006,'Sales Log'!$B$7:$B$3006,"&gt;="&amp;$C15,'Sales Log'!$B$7:$B$3006,"&lt;="&amp;$D15,'Sales Log'!$N$7:$N$3006,"OK")</f>
        <v/>
      </c>
      <c r="F15" s="82">
        <f>SUMIFS('Sales Log'!$D$7:$D$3006,'Sales Log'!$B$7:$B$3006,"&gt;="&amp;$C15,'Sales Log'!$B$7:$B$3006,"&lt;="&amp;$D15,'Sales Log'!$N$7:$N$3006,"OK")</f>
        <v/>
      </c>
      <c r="G15" s="71">
        <f>SUMIFS('Sales Log'!$K$7:$K$3006,'Sales Log'!$B$7:$B$3006,"&gt;="&amp;$C15,'Sales Log'!$B$7:$B$3006,"&lt;="&amp;$D15,'Sales Log'!$N$7:$N$3006,"OK")</f>
        <v/>
      </c>
      <c r="H15" s="71">
        <f>E15-G15</f>
        <v/>
      </c>
      <c r="I15" s="72">
        <f>IF(E15=0,"",H15/E15)</f>
        <v/>
      </c>
      <c r="J15" s="71">
        <f>SUMIFS('Waste Log'!$J$7:$J$506,'Waste Log'!$B$7:$B$506,"&gt;="&amp;$C15,'Waste Log'!$B$7:$B$506,"&lt;="&amp;$D15)</f>
        <v/>
      </c>
      <c r="K15" s="71">
        <f>SUMIFS('Expenses'!$E$7:$E$1506,'Expenses'!$B$7:$B$1506,"&gt;="&amp;$C15,'Expenses'!$B$7:$B$1506,"&lt;="&amp;$D15,'Expenses'!$H$7:$H$1506,"Fixed")</f>
        <v/>
      </c>
      <c r="L15" s="71">
        <f>SUMIFS('Expenses'!$E$7:$E$1506,'Expenses'!$B$7:$B$1506,"&gt;="&amp;$C15,'Expenses'!$B$7:$B$1506,"&lt;="&amp;$D15,'Expenses'!$H$7:$H$1506,"Labor")</f>
        <v/>
      </c>
      <c r="M15" s="71">
        <f>SUMIFS('Expenses'!$E$7:$E$1506,'Expenses'!$B$7:$B$1506,"&gt;="&amp;$C15,'Expenses'!$B$7:$B$1506,"&lt;="&amp;$D15,'Expenses'!$H$7:$H$1506,"Event Fees")</f>
        <v/>
      </c>
      <c r="N15" s="71">
        <f>SUMIFS('Expenses'!$E$7:$E$1506,'Expenses'!$B$7:$B$1506,"&gt;="&amp;$C15,'Expenses'!$B$7:$B$1506,"&lt;="&amp;$D15,'Expenses'!$H$7:$H$1506,"Variable")</f>
        <v/>
      </c>
      <c r="O15" s="71">
        <f>SUM(K15:N15)</f>
        <v/>
      </c>
      <c r="P15" s="78">
        <f>H15-J15-O15</f>
        <v/>
      </c>
      <c r="Q15" s="72">
        <f>IF(E15=0,"",P15/E15)</f>
        <v/>
      </c>
      <c r="R15" s="71">
        <f>SUMIFS('Expenses'!$E$7:$E$1506,'Expenses'!$B$7:$B$1506,"&gt;="&amp;$C15,'Expenses'!$B$7:$B$1506,"&lt;="&amp;$D15,'Expenses'!$H$7:$H$1506,"Excluded - Stock Purchase")</f>
        <v/>
      </c>
      <c r="S15" s="71">
        <f>SUMIFS('Sales Log'!$M$7:$M$3006,'Sales Log'!$B$7:$B$3006,"&gt;="&amp;$C15,'Sales Log'!$B$7:$B$3006,"&lt;="&amp;$D15,'Sales Log'!$N$7:$N$3006,"OK")</f>
        <v/>
      </c>
    </row>
    <row r="16" ht="19" customHeight="1">
      <c r="B16" s="84">
        <f>TEXT(C16,"mmm")</f>
        <v/>
      </c>
      <c r="C16">
        <f>DATE(cfg_Year,9,1)</f>
        <v/>
      </c>
      <c r="D16">
        <f>EOMONTH(C16,0)</f>
        <v/>
      </c>
      <c r="E16" s="71">
        <f>SUMIFS('Sales Log'!$I$7:$I$3006,'Sales Log'!$B$7:$B$3006,"&gt;="&amp;$C16,'Sales Log'!$B$7:$B$3006,"&lt;="&amp;$D16,'Sales Log'!$N$7:$N$3006,"OK")</f>
        <v/>
      </c>
      <c r="F16" s="82">
        <f>SUMIFS('Sales Log'!$D$7:$D$3006,'Sales Log'!$B$7:$B$3006,"&gt;="&amp;$C16,'Sales Log'!$B$7:$B$3006,"&lt;="&amp;$D16,'Sales Log'!$N$7:$N$3006,"OK")</f>
        <v/>
      </c>
      <c r="G16" s="71">
        <f>SUMIFS('Sales Log'!$K$7:$K$3006,'Sales Log'!$B$7:$B$3006,"&gt;="&amp;$C16,'Sales Log'!$B$7:$B$3006,"&lt;="&amp;$D16,'Sales Log'!$N$7:$N$3006,"OK")</f>
        <v/>
      </c>
      <c r="H16" s="71">
        <f>E16-G16</f>
        <v/>
      </c>
      <c r="I16" s="72">
        <f>IF(E16=0,"",H16/E16)</f>
        <v/>
      </c>
      <c r="J16" s="71">
        <f>SUMIFS('Waste Log'!$J$7:$J$506,'Waste Log'!$B$7:$B$506,"&gt;="&amp;$C16,'Waste Log'!$B$7:$B$506,"&lt;="&amp;$D16)</f>
        <v/>
      </c>
      <c r="K16" s="71">
        <f>SUMIFS('Expenses'!$E$7:$E$1506,'Expenses'!$B$7:$B$1506,"&gt;="&amp;$C16,'Expenses'!$B$7:$B$1506,"&lt;="&amp;$D16,'Expenses'!$H$7:$H$1506,"Fixed")</f>
        <v/>
      </c>
      <c r="L16" s="71">
        <f>SUMIFS('Expenses'!$E$7:$E$1506,'Expenses'!$B$7:$B$1506,"&gt;="&amp;$C16,'Expenses'!$B$7:$B$1506,"&lt;="&amp;$D16,'Expenses'!$H$7:$H$1506,"Labor")</f>
        <v/>
      </c>
      <c r="M16" s="71">
        <f>SUMIFS('Expenses'!$E$7:$E$1506,'Expenses'!$B$7:$B$1506,"&gt;="&amp;$C16,'Expenses'!$B$7:$B$1506,"&lt;="&amp;$D16,'Expenses'!$H$7:$H$1506,"Event Fees")</f>
        <v/>
      </c>
      <c r="N16" s="71">
        <f>SUMIFS('Expenses'!$E$7:$E$1506,'Expenses'!$B$7:$B$1506,"&gt;="&amp;$C16,'Expenses'!$B$7:$B$1506,"&lt;="&amp;$D16,'Expenses'!$H$7:$H$1506,"Variable")</f>
        <v/>
      </c>
      <c r="O16" s="71">
        <f>SUM(K16:N16)</f>
        <v/>
      </c>
      <c r="P16" s="78">
        <f>H16-J16-O16</f>
        <v/>
      </c>
      <c r="Q16" s="72">
        <f>IF(E16=0,"",P16/E16)</f>
        <v/>
      </c>
      <c r="R16" s="71">
        <f>SUMIFS('Expenses'!$E$7:$E$1506,'Expenses'!$B$7:$B$1506,"&gt;="&amp;$C16,'Expenses'!$B$7:$B$1506,"&lt;="&amp;$D16,'Expenses'!$H$7:$H$1506,"Excluded - Stock Purchase")</f>
        <v/>
      </c>
      <c r="S16" s="71">
        <f>SUMIFS('Sales Log'!$M$7:$M$3006,'Sales Log'!$B$7:$B$3006,"&gt;="&amp;$C16,'Sales Log'!$B$7:$B$3006,"&lt;="&amp;$D16,'Sales Log'!$N$7:$N$3006,"OK")</f>
        <v/>
      </c>
    </row>
    <row r="17" ht="19" customHeight="1">
      <c r="B17" s="84">
        <f>TEXT(C17,"mmm")</f>
        <v/>
      </c>
      <c r="C17">
        <f>DATE(cfg_Year,10,1)</f>
        <v/>
      </c>
      <c r="D17">
        <f>EOMONTH(C17,0)</f>
        <v/>
      </c>
      <c r="E17" s="71">
        <f>SUMIFS('Sales Log'!$I$7:$I$3006,'Sales Log'!$B$7:$B$3006,"&gt;="&amp;$C17,'Sales Log'!$B$7:$B$3006,"&lt;="&amp;$D17,'Sales Log'!$N$7:$N$3006,"OK")</f>
        <v/>
      </c>
      <c r="F17" s="82">
        <f>SUMIFS('Sales Log'!$D$7:$D$3006,'Sales Log'!$B$7:$B$3006,"&gt;="&amp;$C17,'Sales Log'!$B$7:$B$3006,"&lt;="&amp;$D17,'Sales Log'!$N$7:$N$3006,"OK")</f>
        <v/>
      </c>
      <c r="G17" s="71">
        <f>SUMIFS('Sales Log'!$K$7:$K$3006,'Sales Log'!$B$7:$B$3006,"&gt;="&amp;$C17,'Sales Log'!$B$7:$B$3006,"&lt;="&amp;$D17,'Sales Log'!$N$7:$N$3006,"OK")</f>
        <v/>
      </c>
      <c r="H17" s="71">
        <f>E17-G17</f>
        <v/>
      </c>
      <c r="I17" s="72">
        <f>IF(E17=0,"",H17/E17)</f>
        <v/>
      </c>
      <c r="J17" s="71">
        <f>SUMIFS('Waste Log'!$J$7:$J$506,'Waste Log'!$B$7:$B$506,"&gt;="&amp;$C17,'Waste Log'!$B$7:$B$506,"&lt;="&amp;$D17)</f>
        <v/>
      </c>
      <c r="K17" s="71">
        <f>SUMIFS('Expenses'!$E$7:$E$1506,'Expenses'!$B$7:$B$1506,"&gt;="&amp;$C17,'Expenses'!$B$7:$B$1506,"&lt;="&amp;$D17,'Expenses'!$H$7:$H$1506,"Fixed")</f>
        <v/>
      </c>
      <c r="L17" s="71">
        <f>SUMIFS('Expenses'!$E$7:$E$1506,'Expenses'!$B$7:$B$1506,"&gt;="&amp;$C17,'Expenses'!$B$7:$B$1506,"&lt;="&amp;$D17,'Expenses'!$H$7:$H$1506,"Labor")</f>
        <v/>
      </c>
      <c r="M17" s="71">
        <f>SUMIFS('Expenses'!$E$7:$E$1506,'Expenses'!$B$7:$B$1506,"&gt;="&amp;$C17,'Expenses'!$B$7:$B$1506,"&lt;="&amp;$D17,'Expenses'!$H$7:$H$1506,"Event Fees")</f>
        <v/>
      </c>
      <c r="N17" s="71">
        <f>SUMIFS('Expenses'!$E$7:$E$1506,'Expenses'!$B$7:$B$1506,"&gt;="&amp;$C17,'Expenses'!$B$7:$B$1506,"&lt;="&amp;$D17,'Expenses'!$H$7:$H$1506,"Variable")</f>
        <v/>
      </c>
      <c r="O17" s="71">
        <f>SUM(K17:N17)</f>
        <v/>
      </c>
      <c r="P17" s="78">
        <f>H17-J17-O17</f>
        <v/>
      </c>
      <c r="Q17" s="72">
        <f>IF(E17=0,"",P17/E17)</f>
        <v/>
      </c>
      <c r="R17" s="71">
        <f>SUMIFS('Expenses'!$E$7:$E$1506,'Expenses'!$B$7:$B$1506,"&gt;="&amp;$C17,'Expenses'!$B$7:$B$1506,"&lt;="&amp;$D17,'Expenses'!$H$7:$H$1506,"Excluded - Stock Purchase")</f>
        <v/>
      </c>
      <c r="S17" s="71">
        <f>SUMIFS('Sales Log'!$M$7:$M$3006,'Sales Log'!$B$7:$B$3006,"&gt;="&amp;$C17,'Sales Log'!$B$7:$B$3006,"&lt;="&amp;$D17,'Sales Log'!$N$7:$N$3006,"OK")</f>
        <v/>
      </c>
    </row>
    <row r="18" ht="19" customHeight="1">
      <c r="B18" s="84">
        <f>TEXT(C18,"mmm")</f>
        <v/>
      </c>
      <c r="C18">
        <f>DATE(cfg_Year,11,1)</f>
        <v/>
      </c>
      <c r="D18">
        <f>EOMONTH(C18,0)</f>
        <v/>
      </c>
      <c r="E18" s="71">
        <f>SUMIFS('Sales Log'!$I$7:$I$3006,'Sales Log'!$B$7:$B$3006,"&gt;="&amp;$C18,'Sales Log'!$B$7:$B$3006,"&lt;="&amp;$D18,'Sales Log'!$N$7:$N$3006,"OK")</f>
        <v/>
      </c>
      <c r="F18" s="82">
        <f>SUMIFS('Sales Log'!$D$7:$D$3006,'Sales Log'!$B$7:$B$3006,"&gt;="&amp;$C18,'Sales Log'!$B$7:$B$3006,"&lt;="&amp;$D18,'Sales Log'!$N$7:$N$3006,"OK")</f>
        <v/>
      </c>
      <c r="G18" s="71">
        <f>SUMIFS('Sales Log'!$K$7:$K$3006,'Sales Log'!$B$7:$B$3006,"&gt;="&amp;$C18,'Sales Log'!$B$7:$B$3006,"&lt;="&amp;$D18,'Sales Log'!$N$7:$N$3006,"OK")</f>
        <v/>
      </c>
      <c r="H18" s="71">
        <f>E18-G18</f>
        <v/>
      </c>
      <c r="I18" s="72">
        <f>IF(E18=0,"",H18/E18)</f>
        <v/>
      </c>
      <c r="J18" s="71">
        <f>SUMIFS('Waste Log'!$J$7:$J$506,'Waste Log'!$B$7:$B$506,"&gt;="&amp;$C18,'Waste Log'!$B$7:$B$506,"&lt;="&amp;$D18)</f>
        <v/>
      </c>
      <c r="K18" s="71">
        <f>SUMIFS('Expenses'!$E$7:$E$1506,'Expenses'!$B$7:$B$1506,"&gt;="&amp;$C18,'Expenses'!$B$7:$B$1506,"&lt;="&amp;$D18,'Expenses'!$H$7:$H$1506,"Fixed")</f>
        <v/>
      </c>
      <c r="L18" s="71">
        <f>SUMIFS('Expenses'!$E$7:$E$1506,'Expenses'!$B$7:$B$1506,"&gt;="&amp;$C18,'Expenses'!$B$7:$B$1506,"&lt;="&amp;$D18,'Expenses'!$H$7:$H$1506,"Labor")</f>
        <v/>
      </c>
      <c r="M18" s="71">
        <f>SUMIFS('Expenses'!$E$7:$E$1506,'Expenses'!$B$7:$B$1506,"&gt;="&amp;$C18,'Expenses'!$B$7:$B$1506,"&lt;="&amp;$D18,'Expenses'!$H$7:$H$1506,"Event Fees")</f>
        <v/>
      </c>
      <c r="N18" s="71">
        <f>SUMIFS('Expenses'!$E$7:$E$1506,'Expenses'!$B$7:$B$1506,"&gt;="&amp;$C18,'Expenses'!$B$7:$B$1506,"&lt;="&amp;$D18,'Expenses'!$H$7:$H$1506,"Variable")</f>
        <v/>
      </c>
      <c r="O18" s="71">
        <f>SUM(K18:N18)</f>
        <v/>
      </c>
      <c r="P18" s="78">
        <f>H18-J18-O18</f>
        <v/>
      </c>
      <c r="Q18" s="72">
        <f>IF(E18=0,"",P18/E18)</f>
        <v/>
      </c>
      <c r="R18" s="71">
        <f>SUMIFS('Expenses'!$E$7:$E$1506,'Expenses'!$B$7:$B$1506,"&gt;="&amp;$C18,'Expenses'!$B$7:$B$1506,"&lt;="&amp;$D18,'Expenses'!$H$7:$H$1506,"Excluded - Stock Purchase")</f>
        <v/>
      </c>
      <c r="S18" s="71">
        <f>SUMIFS('Sales Log'!$M$7:$M$3006,'Sales Log'!$B$7:$B$3006,"&gt;="&amp;$C18,'Sales Log'!$B$7:$B$3006,"&lt;="&amp;$D18,'Sales Log'!$N$7:$N$3006,"OK")</f>
        <v/>
      </c>
    </row>
    <row r="19" ht="19" customHeight="1">
      <c r="B19" s="84">
        <f>TEXT(C19,"mmm")</f>
        <v/>
      </c>
      <c r="C19">
        <f>DATE(cfg_Year,12,1)</f>
        <v/>
      </c>
      <c r="D19">
        <f>EOMONTH(C19,0)</f>
        <v/>
      </c>
      <c r="E19" s="71">
        <f>SUMIFS('Sales Log'!$I$7:$I$3006,'Sales Log'!$B$7:$B$3006,"&gt;="&amp;$C19,'Sales Log'!$B$7:$B$3006,"&lt;="&amp;$D19,'Sales Log'!$N$7:$N$3006,"OK")</f>
        <v/>
      </c>
      <c r="F19" s="82">
        <f>SUMIFS('Sales Log'!$D$7:$D$3006,'Sales Log'!$B$7:$B$3006,"&gt;="&amp;$C19,'Sales Log'!$B$7:$B$3006,"&lt;="&amp;$D19,'Sales Log'!$N$7:$N$3006,"OK")</f>
        <v/>
      </c>
      <c r="G19" s="71">
        <f>SUMIFS('Sales Log'!$K$7:$K$3006,'Sales Log'!$B$7:$B$3006,"&gt;="&amp;$C19,'Sales Log'!$B$7:$B$3006,"&lt;="&amp;$D19,'Sales Log'!$N$7:$N$3006,"OK")</f>
        <v/>
      </c>
      <c r="H19" s="71">
        <f>E19-G19</f>
        <v/>
      </c>
      <c r="I19" s="72">
        <f>IF(E19=0,"",H19/E19)</f>
        <v/>
      </c>
      <c r="J19" s="71">
        <f>SUMIFS('Waste Log'!$J$7:$J$506,'Waste Log'!$B$7:$B$506,"&gt;="&amp;$C19,'Waste Log'!$B$7:$B$506,"&lt;="&amp;$D19)</f>
        <v/>
      </c>
      <c r="K19" s="71">
        <f>SUMIFS('Expenses'!$E$7:$E$1506,'Expenses'!$B$7:$B$1506,"&gt;="&amp;$C19,'Expenses'!$B$7:$B$1506,"&lt;="&amp;$D19,'Expenses'!$H$7:$H$1506,"Fixed")</f>
        <v/>
      </c>
      <c r="L19" s="71">
        <f>SUMIFS('Expenses'!$E$7:$E$1506,'Expenses'!$B$7:$B$1506,"&gt;="&amp;$C19,'Expenses'!$B$7:$B$1506,"&lt;="&amp;$D19,'Expenses'!$H$7:$H$1506,"Labor")</f>
        <v/>
      </c>
      <c r="M19" s="71">
        <f>SUMIFS('Expenses'!$E$7:$E$1506,'Expenses'!$B$7:$B$1506,"&gt;="&amp;$C19,'Expenses'!$B$7:$B$1506,"&lt;="&amp;$D19,'Expenses'!$H$7:$H$1506,"Event Fees")</f>
        <v/>
      </c>
      <c r="N19" s="71">
        <f>SUMIFS('Expenses'!$E$7:$E$1506,'Expenses'!$B$7:$B$1506,"&gt;="&amp;$C19,'Expenses'!$B$7:$B$1506,"&lt;="&amp;$D19,'Expenses'!$H$7:$H$1506,"Variable")</f>
        <v/>
      </c>
      <c r="O19" s="71">
        <f>SUM(K19:N19)</f>
        <v/>
      </c>
      <c r="P19" s="78">
        <f>H19-J19-O19</f>
        <v/>
      </c>
      <c r="Q19" s="72">
        <f>IF(E19=0,"",P19/E19)</f>
        <v/>
      </c>
      <c r="R19" s="71">
        <f>SUMIFS('Expenses'!$E$7:$E$1506,'Expenses'!$B$7:$B$1506,"&gt;="&amp;$C19,'Expenses'!$B$7:$B$1506,"&lt;="&amp;$D19,'Expenses'!$H$7:$H$1506,"Excluded - Stock Purchase")</f>
        <v/>
      </c>
      <c r="S19" s="71">
        <f>SUMIFS('Sales Log'!$M$7:$M$3006,'Sales Log'!$B$7:$B$3006,"&gt;="&amp;$C19,'Sales Log'!$B$7:$B$3006,"&lt;="&amp;$D19,'Sales Log'!$N$7:$N$3006,"OK")</f>
        <v/>
      </c>
    </row>
    <row r="20" ht="22" customHeight="1">
      <c r="B20" s="58">
        <f>"Total "&amp;cfg_Year</f>
        <v/>
      </c>
      <c r="E20" s="92">
        <f>SUM(E8:E19)</f>
        <v/>
      </c>
      <c r="F20" s="93">
        <f>SUM(F8:F19)</f>
        <v/>
      </c>
      <c r="G20" s="92">
        <f>SUM(G8:G19)</f>
        <v/>
      </c>
      <c r="H20" s="92">
        <f>SUM(H8:H19)</f>
        <v/>
      </c>
      <c r="I20" s="94">
        <f>IF(E20=0,"",H20/E20)</f>
        <v/>
      </c>
      <c r="J20" s="92">
        <f>SUM(J8:J19)</f>
        <v/>
      </c>
      <c r="K20" s="92">
        <f>SUM(K8:K19)</f>
        <v/>
      </c>
      <c r="L20" s="92">
        <f>SUM(L8:L19)</f>
        <v/>
      </c>
      <c r="M20" s="92">
        <f>SUM(M8:M19)</f>
        <v/>
      </c>
      <c r="N20" s="92">
        <f>SUM(N8:N19)</f>
        <v/>
      </c>
      <c r="O20" s="92">
        <f>SUM(O8:O19)</f>
        <v/>
      </c>
      <c r="P20" s="92">
        <f>SUM(P8:P19)</f>
        <v/>
      </c>
      <c r="Q20" s="94">
        <f>IF(E20=0,"",P20/E20)</f>
        <v/>
      </c>
      <c r="R20" s="92">
        <f>SUM(R8:R19)</f>
        <v/>
      </c>
      <c r="S20" s="92">
        <f>SUM(S8:S19)</f>
        <v/>
      </c>
    </row>
    <row r="21">
      <c r="B21" s="95">
        <f>IF(E20=0,"No sales recorded for "&amp;cfg_Year&amp;" yet - add rows on the Sales Log.","")</f>
        <v/>
      </c>
    </row>
    <row r="23" ht="16" customHeight="1">
      <c r="B23" s="67" t="inlineStr">
        <is>
          <t>SELECTED PERIOD SUMMARY  (feeds the Dashboard)</t>
        </is>
      </c>
      <c r="J23" s="67" t="inlineStr">
        <is>
          <t>OPERATING EXPENSES BY CATEGORY (selected period)</t>
        </is>
      </c>
    </row>
    <row r="24" ht="20" customHeight="1">
      <c r="B24" s="90">
        <f>cfg_PeriodLabel</f>
        <v/>
      </c>
      <c r="J24" s="58" t="inlineStr">
        <is>
          <t>Category</t>
        </is>
      </c>
      <c r="L24" s="96" t="n"/>
      <c r="M24" s="58" t="inlineStr">
        <is>
          <t>Cost type</t>
        </is>
      </c>
      <c r="N24" s="58">
        <f>"Amount ("&amp;cfg_Symbol&amp;")"</f>
        <v/>
      </c>
      <c r="O24" s="58" t="inlineStr">
        <is>
          <t>% of opex</t>
        </is>
      </c>
    </row>
    <row r="25">
      <c r="B25" s="59" t="inlineStr">
        <is>
          <t>Revenue</t>
        </is>
      </c>
      <c r="G25" s="78">
        <f>SUMIFS('Sales Log'!$I$7:$I$3006,'Sales Log'!$B$7:$B$3006,"&gt;="&amp;cfg_Start,'Sales Log'!$B$7:$B$3006,"&lt;="&amp;cfg_End,'Sales Log'!$N$7:$N$3006,"OK")</f>
        <v/>
      </c>
      <c r="J25" s="13">
        <f>IF(OR('Lists'!$F$6="",LEFT('Lists'!$G$6,8)="Excluded"),"",'Lists'!$F$6)</f>
        <v/>
      </c>
      <c r="M25" s="13">
        <f>IF($J25="","",'Lists'!$G$6)</f>
        <v/>
      </c>
      <c r="N25" s="71">
        <f>IF($J25="","",SUMIFS('Expenses'!$E$7:$E$1506,'Expenses'!$C$7:$C$1506,$J25,'Expenses'!$B$7:$B$1506,"&gt;="&amp;cfg_Start,'Expenses'!$B$7:$B$1506,"&lt;="&amp;cfg_End))</f>
        <v/>
      </c>
      <c r="O25" s="72">
        <f>IF(OR($J25="",$G$35=0),"",$N25/$G$35)</f>
        <v/>
      </c>
    </row>
    <row r="26">
      <c r="B26" s="97" t="inlineStr">
        <is>
          <t>Items sold</t>
        </is>
      </c>
      <c r="G26" s="82">
        <f>SUMIFS('Sales Log'!$D$7:$D$3006,'Sales Log'!$B$7:$B$3006,"&gt;="&amp;cfg_Start,'Sales Log'!$B$7:$B$3006,"&lt;="&amp;cfg_End,'Sales Log'!$N$7:$N$3006,"OK")</f>
        <v/>
      </c>
      <c r="J26" s="13">
        <f>IF(OR('Lists'!$F$7="",LEFT('Lists'!$G$7,8)="Excluded"),"",'Lists'!$F$7)</f>
        <v/>
      </c>
      <c r="M26" s="13">
        <f>IF($J26="","",'Lists'!$G$7)</f>
        <v/>
      </c>
      <c r="N26" s="71">
        <f>IF($J26="","",SUMIFS('Expenses'!$E$7:$E$1506,'Expenses'!$C$7:$C$1506,$J26,'Expenses'!$B$7:$B$1506,"&gt;="&amp;cfg_Start,'Expenses'!$B$7:$B$1506,"&lt;="&amp;cfg_End))</f>
        <v/>
      </c>
      <c r="O26" s="72">
        <f>IF(OR($J26="",$G$35=0),"",$N26/$G$35)</f>
        <v/>
      </c>
    </row>
    <row r="27">
      <c r="B27" s="97" t="inlineStr">
        <is>
          <t>Cost of goods sold (COGS)</t>
        </is>
      </c>
      <c r="G27" s="71">
        <f>SUMIFS('Sales Log'!$K$7:$K$3006,'Sales Log'!$B$7:$B$3006,"&gt;="&amp;cfg_Start,'Sales Log'!$B$7:$B$3006,"&lt;="&amp;cfg_End,'Sales Log'!$N$7:$N$3006,"OK")</f>
        <v/>
      </c>
      <c r="J27" s="13">
        <f>IF(OR('Lists'!$F$8="",LEFT('Lists'!$G$8,8)="Excluded"),"",'Lists'!$F$8)</f>
        <v/>
      </c>
      <c r="M27" s="13">
        <f>IF($J27="","",'Lists'!$G$8)</f>
        <v/>
      </c>
      <c r="N27" s="71">
        <f>IF($J27="","",SUMIFS('Expenses'!$E$7:$E$1506,'Expenses'!$C$7:$C$1506,$J27,'Expenses'!$B$7:$B$1506,"&gt;="&amp;cfg_Start,'Expenses'!$B$7:$B$1506,"&lt;="&amp;cfg_End))</f>
        <v/>
      </c>
      <c r="O27" s="72">
        <f>IF(OR($J27="",$G$35=0),"",$N27/$G$35)</f>
        <v/>
      </c>
    </row>
    <row r="28">
      <c r="B28" s="59" t="inlineStr">
        <is>
          <t>Gross profit</t>
        </is>
      </c>
      <c r="G28" s="78">
        <f>$G$25-$G$27</f>
        <v/>
      </c>
      <c r="J28" s="13">
        <f>IF(OR('Lists'!$F$9="",LEFT('Lists'!$G$9,8)="Excluded"),"",'Lists'!$F$9)</f>
        <v/>
      </c>
      <c r="M28" s="13">
        <f>IF($J28="","",'Lists'!$G$9)</f>
        <v/>
      </c>
      <c r="N28" s="71">
        <f>IF($J28="","",SUMIFS('Expenses'!$E$7:$E$1506,'Expenses'!$C$7:$C$1506,$J28,'Expenses'!$B$7:$B$1506,"&gt;="&amp;cfg_Start,'Expenses'!$B$7:$B$1506,"&lt;="&amp;cfg_End))</f>
        <v/>
      </c>
      <c r="O28" s="72">
        <f>IF(OR($J28="",$G$35=0),"",$N28/$G$35)</f>
        <v/>
      </c>
    </row>
    <row r="29">
      <c r="B29" s="97" t="inlineStr">
        <is>
          <t>Gross margin</t>
        </is>
      </c>
      <c r="G29" s="72">
        <f>IF($G$25=0,"",$G$28/$G$25)</f>
        <v/>
      </c>
      <c r="J29" s="13">
        <f>IF(OR('Lists'!$F$10="",LEFT('Lists'!$G$10,8)="Excluded"),"",'Lists'!$F$10)</f>
        <v/>
      </c>
      <c r="M29" s="13">
        <f>IF($J29="","",'Lists'!$G$10)</f>
        <v/>
      </c>
      <c r="N29" s="71">
        <f>IF($J29="","",SUMIFS('Expenses'!$E$7:$E$1506,'Expenses'!$C$7:$C$1506,$J29,'Expenses'!$B$7:$B$1506,"&gt;="&amp;cfg_Start,'Expenses'!$B$7:$B$1506,"&lt;="&amp;cfg_End))</f>
        <v/>
      </c>
      <c r="O29" s="72">
        <f>IF(OR($J29="",$G$35=0),"",$N29/$G$35)</f>
        <v/>
      </c>
    </row>
    <row r="30">
      <c r="B30" s="97" t="inlineStr">
        <is>
          <t>Waste</t>
        </is>
      </c>
      <c r="G30" s="71">
        <f>SUMIFS('Waste Log'!$J$7:$J$506,'Waste Log'!$B$7:$B$506,"&gt;="&amp;cfg_Start,'Waste Log'!$B$7:$B$506,"&lt;="&amp;cfg_End)</f>
        <v/>
      </c>
      <c r="J30" s="13">
        <f>IF(OR('Lists'!$F$11="",LEFT('Lists'!$G$11,8)="Excluded"),"",'Lists'!$F$11)</f>
        <v/>
      </c>
      <c r="M30" s="13">
        <f>IF($J30="","",'Lists'!$G$11)</f>
        <v/>
      </c>
      <c r="N30" s="71">
        <f>IF($J30="","",SUMIFS('Expenses'!$E$7:$E$1506,'Expenses'!$C$7:$C$1506,$J30,'Expenses'!$B$7:$B$1506,"&gt;="&amp;cfg_Start,'Expenses'!$B$7:$B$1506,"&lt;="&amp;cfg_End))</f>
        <v/>
      </c>
      <c r="O30" s="72">
        <f>IF(OR($J30="",$G$35=0),"",$N30/$G$35)</f>
        <v/>
      </c>
    </row>
    <row r="31">
      <c r="B31" s="97" t="inlineStr">
        <is>
          <t>Fixed costs</t>
        </is>
      </c>
      <c r="G31" s="71">
        <f>SUMIFS('Expenses'!$E$7:$E$1506,'Expenses'!$B$7:$B$1506,"&gt;="&amp;cfg_Start,'Expenses'!$B$7:$B$1506,"&lt;="&amp;cfg_End,'Expenses'!$H$7:$H$1506,"Fixed")</f>
        <v/>
      </c>
      <c r="J31" s="13">
        <f>IF(OR('Lists'!$F$12="",LEFT('Lists'!$G$12,8)="Excluded"),"",'Lists'!$F$12)</f>
        <v/>
      </c>
      <c r="M31" s="13">
        <f>IF($J31="","",'Lists'!$G$12)</f>
        <v/>
      </c>
      <c r="N31" s="71">
        <f>IF($J31="","",SUMIFS('Expenses'!$E$7:$E$1506,'Expenses'!$C$7:$C$1506,$J31,'Expenses'!$B$7:$B$1506,"&gt;="&amp;cfg_Start,'Expenses'!$B$7:$B$1506,"&lt;="&amp;cfg_End))</f>
        <v/>
      </c>
      <c r="O31" s="72">
        <f>IF(OR($J31="",$G$35=0),"",$N31/$G$35)</f>
        <v/>
      </c>
    </row>
    <row r="32">
      <c r="B32" s="97" t="inlineStr">
        <is>
          <t>Labour</t>
        </is>
      </c>
      <c r="G32" s="71">
        <f>SUMIFS('Expenses'!$E$7:$E$1506,'Expenses'!$B$7:$B$1506,"&gt;="&amp;cfg_Start,'Expenses'!$B$7:$B$1506,"&lt;="&amp;cfg_End,'Expenses'!$H$7:$H$1506,"Labor")</f>
        <v/>
      </c>
      <c r="J32" s="13">
        <f>IF(OR('Lists'!$F$13="",LEFT('Lists'!$G$13,8)="Excluded"),"",'Lists'!$F$13)</f>
        <v/>
      </c>
      <c r="M32" s="13">
        <f>IF($J32="","",'Lists'!$G$13)</f>
        <v/>
      </c>
      <c r="N32" s="71">
        <f>IF($J32="","",SUMIFS('Expenses'!$E$7:$E$1506,'Expenses'!$C$7:$C$1506,$J32,'Expenses'!$B$7:$B$1506,"&gt;="&amp;cfg_Start,'Expenses'!$B$7:$B$1506,"&lt;="&amp;cfg_End))</f>
        <v/>
      </c>
      <c r="O32" s="72">
        <f>IF(OR($J32="",$G$35=0),"",$N32/$G$35)</f>
        <v/>
      </c>
    </row>
    <row r="33">
      <c r="B33" s="97" t="inlineStr">
        <is>
          <t>Event fees</t>
        </is>
      </c>
      <c r="G33" s="71">
        <f>SUMIFS('Expenses'!$E$7:$E$1506,'Expenses'!$B$7:$B$1506,"&gt;="&amp;cfg_Start,'Expenses'!$B$7:$B$1506,"&lt;="&amp;cfg_End,'Expenses'!$H$7:$H$1506,"Event Fees")</f>
        <v/>
      </c>
      <c r="J33" s="13">
        <f>IF(OR('Lists'!$F$14="",LEFT('Lists'!$G$14,8)="Excluded"),"",'Lists'!$F$14)</f>
        <v/>
      </c>
      <c r="M33" s="13">
        <f>IF($J33="","",'Lists'!$G$14)</f>
        <v/>
      </c>
      <c r="N33" s="71">
        <f>IF($J33="","",SUMIFS('Expenses'!$E$7:$E$1506,'Expenses'!$C$7:$C$1506,$J33,'Expenses'!$B$7:$B$1506,"&gt;="&amp;cfg_Start,'Expenses'!$B$7:$B$1506,"&lt;="&amp;cfg_End))</f>
        <v/>
      </c>
      <c r="O33" s="72">
        <f>IF(OR($J33="",$G$35=0),"",$N33/$G$35)</f>
        <v/>
      </c>
    </row>
    <row r="34">
      <c r="B34" s="97" t="inlineStr">
        <is>
          <t>Other variable costs</t>
        </is>
      </c>
      <c r="G34" s="71">
        <f>SUMIFS('Expenses'!$E$7:$E$1506,'Expenses'!$B$7:$B$1506,"&gt;="&amp;cfg_Start,'Expenses'!$B$7:$B$1506,"&lt;="&amp;cfg_End,'Expenses'!$H$7:$H$1506,"Variable")</f>
        <v/>
      </c>
      <c r="J34" s="13">
        <f>IF(OR('Lists'!$F$15="",LEFT('Lists'!$G$15,8)="Excluded"),"",'Lists'!$F$15)</f>
        <v/>
      </c>
      <c r="M34" s="13">
        <f>IF($J34="","",'Lists'!$G$15)</f>
        <v/>
      </c>
      <c r="N34" s="71">
        <f>IF($J34="","",SUMIFS('Expenses'!$E$7:$E$1506,'Expenses'!$C$7:$C$1506,$J34,'Expenses'!$B$7:$B$1506,"&gt;="&amp;cfg_Start,'Expenses'!$B$7:$B$1506,"&lt;="&amp;cfg_End))</f>
        <v/>
      </c>
      <c r="O34" s="72">
        <f>IF(OR($J34="",$G$35=0),"",$N34/$G$35)</f>
        <v/>
      </c>
    </row>
    <row r="35">
      <c r="B35" s="97" t="inlineStr">
        <is>
          <t>Total operating expenses</t>
        </is>
      </c>
      <c r="G35" s="71">
        <f>$G$31+$G$32+$G$33+$G$34</f>
        <v/>
      </c>
      <c r="J35" s="13">
        <f>IF(OR('Lists'!$F$16="",LEFT('Lists'!$G$16,8)="Excluded"),"",'Lists'!$F$16)</f>
        <v/>
      </c>
      <c r="M35" s="13">
        <f>IF($J35="","",'Lists'!$G$16)</f>
        <v/>
      </c>
      <c r="N35" s="71">
        <f>IF($J35="","",SUMIFS('Expenses'!$E$7:$E$1506,'Expenses'!$C$7:$C$1506,$J35,'Expenses'!$B$7:$B$1506,"&gt;="&amp;cfg_Start,'Expenses'!$B$7:$B$1506,"&lt;="&amp;cfg_End))</f>
        <v/>
      </c>
      <c r="O35" s="72">
        <f>IF(OR($J35="",$G$35=0),"",$N35/$G$35)</f>
        <v/>
      </c>
    </row>
    <row r="36">
      <c r="B36" s="59" t="inlineStr">
        <is>
          <t>NET PROFIT (before tax)</t>
        </is>
      </c>
      <c r="G36" s="78">
        <f>$G$28-$G$30-$G$35</f>
        <v/>
      </c>
      <c r="J36" s="13">
        <f>IF(OR('Lists'!$F$17="",LEFT('Lists'!$G$17,8)="Excluded"),"",'Lists'!$F$17)</f>
        <v/>
      </c>
      <c r="M36" s="13">
        <f>IF($J36="","",'Lists'!$G$17)</f>
        <v/>
      </c>
      <c r="N36" s="71">
        <f>IF($J36="","",SUMIFS('Expenses'!$E$7:$E$1506,'Expenses'!$C$7:$C$1506,$J36,'Expenses'!$B$7:$B$1506,"&gt;="&amp;cfg_Start,'Expenses'!$B$7:$B$1506,"&lt;="&amp;cfg_End))</f>
        <v/>
      </c>
      <c r="O36" s="72">
        <f>IF(OR($J36="",$G$35=0),"",$N36/$G$35)</f>
        <v/>
      </c>
    </row>
    <row r="37">
      <c r="B37" s="97" t="inlineStr">
        <is>
          <t>Net margin</t>
        </is>
      </c>
      <c r="G37" s="72">
        <f>IF($G$25=0,"",$G$36/$G$25)</f>
        <v/>
      </c>
      <c r="J37" s="13">
        <f>IF(OR('Lists'!$F$18="",LEFT('Lists'!$G$18,8)="Excluded"),"",'Lists'!$F$18)</f>
        <v/>
      </c>
      <c r="M37" s="13">
        <f>IF($J37="","",'Lists'!$G$18)</f>
        <v/>
      </c>
      <c r="N37" s="71">
        <f>IF($J37="","",SUMIFS('Expenses'!$E$7:$E$1506,'Expenses'!$C$7:$C$1506,$J37,'Expenses'!$B$7:$B$1506,"&gt;="&amp;cfg_Start,'Expenses'!$B$7:$B$1506,"&lt;="&amp;cfg_End))</f>
        <v/>
      </c>
      <c r="O37" s="72">
        <f>IF(OR($J37="",$G$35=0),"",$N37/$G$35)</f>
        <v/>
      </c>
    </row>
    <row r="38">
      <c r="B38" s="97" t="inlineStr">
        <is>
          <t>Sales entries</t>
        </is>
      </c>
      <c r="G38" s="82">
        <f>COUNTIFS('Sales Log'!$B$7:$B$3006,"&gt;="&amp;cfg_Start,'Sales Log'!$B$7:$B$3006,"&lt;="&amp;cfg_End,'Sales Log'!$N$7:$N$3006,"OK")</f>
        <v/>
      </c>
      <c r="J38" s="13">
        <f>IF(OR('Lists'!$F$19="",LEFT('Lists'!$G$19,8)="Excluded"),"",'Lists'!$F$19)</f>
        <v/>
      </c>
      <c r="M38" s="13">
        <f>IF($J38="","",'Lists'!$G$19)</f>
        <v/>
      </c>
      <c r="N38" s="71">
        <f>IF($J38="","",SUMIFS('Expenses'!$E$7:$E$1506,'Expenses'!$C$7:$C$1506,$J38,'Expenses'!$B$7:$B$1506,"&gt;="&amp;cfg_Start,'Expenses'!$B$7:$B$1506,"&lt;="&amp;cfg_End))</f>
        <v/>
      </c>
      <c r="O38" s="72">
        <f>IF(OR($J38="",$G$35=0),"",$N38/$G$35)</f>
        <v/>
      </c>
    </row>
    <row r="39">
      <c r="B39" s="97" t="inlineStr">
        <is>
          <t>Average price per item</t>
        </is>
      </c>
      <c r="G39" s="71">
        <f>IF($G$26=0,"",$G$25/$G$26)</f>
        <v/>
      </c>
      <c r="J39" s="13">
        <f>IF(OR('Lists'!$F$20="",LEFT('Lists'!$G$20,8)="Excluded"),"",'Lists'!$F$20)</f>
        <v/>
      </c>
      <c r="M39" s="13">
        <f>IF($J39="","",'Lists'!$G$20)</f>
        <v/>
      </c>
      <c r="N39" s="71">
        <f>IF($J39="","",SUMIFS('Expenses'!$E$7:$E$1506,'Expenses'!$C$7:$C$1506,$J39,'Expenses'!$B$7:$B$1506,"&gt;="&amp;cfg_Start,'Expenses'!$B$7:$B$1506,"&lt;="&amp;cfg_End))</f>
        <v/>
      </c>
      <c r="O39" s="72">
        <f>IF(OR($J39="",$G$35=0),"",$N39/$G$35)</f>
        <v/>
      </c>
    </row>
    <row r="40">
      <c r="B40" s="97" t="inlineStr">
        <is>
          <t>Months with activity</t>
        </is>
      </c>
      <c r="G40" s="82">
        <f>SUMPRODUCT((($E$8:$E$19&gt;0)+($O$8:$O$19&gt;0)&gt;0)*($C$8:$C$19&gt;=cfg_Start)*($C$8:$C$19&lt;=cfg_End))</f>
        <v/>
      </c>
      <c r="J40" s="13">
        <f>IF(OR('Lists'!$F$21="",LEFT('Lists'!$G$21,8)="Excluded"),"",'Lists'!$F$21)</f>
        <v/>
      </c>
      <c r="M40" s="13">
        <f>IF($J40="","",'Lists'!$G$21)</f>
        <v/>
      </c>
      <c r="N40" s="71">
        <f>IF($J40="","",SUMIFS('Expenses'!$E$7:$E$1506,'Expenses'!$C$7:$C$1506,$J40,'Expenses'!$B$7:$B$1506,"&gt;="&amp;cfg_Start,'Expenses'!$B$7:$B$1506,"&lt;="&amp;cfg_End))</f>
        <v/>
      </c>
      <c r="O40" s="72">
        <f>IF(OR($J40="",$G$35=0),"",$N40/$G$35)</f>
        <v/>
      </c>
    </row>
    <row r="41">
      <c r="B41" s="97" t="inlineStr">
        <is>
          <t>Average operating expenses per month</t>
        </is>
      </c>
      <c r="G41" s="71">
        <f>IF($G$40=0,$G$35,$G$35/$G$40)</f>
        <v/>
      </c>
      <c r="J41" s="13">
        <f>IF(OR('Lists'!$F$22="",LEFT('Lists'!$G$22,8)="Excluded"),"",'Lists'!$F$22)</f>
        <v/>
      </c>
      <c r="M41" s="13">
        <f>IF($J41="","",'Lists'!$G$22)</f>
        <v/>
      </c>
      <c r="N41" s="71">
        <f>IF($J41="","",SUMIFS('Expenses'!$E$7:$E$1506,'Expenses'!$C$7:$C$1506,$J41,'Expenses'!$B$7:$B$1506,"&gt;="&amp;cfg_Start,'Expenses'!$B$7:$B$1506,"&lt;="&amp;cfg_End))</f>
        <v/>
      </c>
      <c r="O41" s="72">
        <f>IF(OR($J41="",$G$35=0),"",$N41/$G$35)</f>
        <v/>
      </c>
    </row>
    <row r="42">
      <c r="B42" s="97" t="inlineStr">
        <is>
          <t>Break-even revenue for period</t>
        </is>
      </c>
      <c r="G42" s="71">
        <f>IF(ISNUMBER('Break-Even'!$H$27),'Break-Even'!$H$27*cfg_Months,"")</f>
        <v/>
      </c>
      <c r="J42" s="13">
        <f>IF(OR('Lists'!$F$23="",LEFT('Lists'!$G$23,8)="Excluded"),"",'Lists'!$F$23)</f>
        <v/>
      </c>
      <c r="M42" s="13">
        <f>IF($J42="","",'Lists'!$G$23)</f>
        <v/>
      </c>
      <c r="N42" s="71">
        <f>IF($J42="","",SUMIFS('Expenses'!$E$7:$E$1506,'Expenses'!$C$7:$C$1506,$J42,'Expenses'!$B$7:$B$1506,"&gt;="&amp;cfg_Start,'Expenses'!$B$7:$B$1506,"&lt;="&amp;cfg_End))</f>
        <v/>
      </c>
      <c r="O42" s="72">
        <f>IF(OR($J42="",$G$35=0),"",$N42/$G$35)</f>
        <v/>
      </c>
    </row>
    <row r="43">
      <c r="B43" s="97" t="inlineStr">
        <is>
          <t>Break-even progress</t>
        </is>
      </c>
      <c r="G43" s="72">
        <f>IF(OR($G$42="",N($G$42)=0),"",$G$25/$G$42)</f>
        <v/>
      </c>
      <c r="J43" s="13">
        <f>IF(OR('Lists'!$F$24="",LEFT('Lists'!$G$24,8)="Excluded"),"",'Lists'!$F$24)</f>
        <v/>
      </c>
      <c r="M43" s="13">
        <f>IF($J43="","",'Lists'!$G$24)</f>
        <v/>
      </c>
      <c r="N43" s="71">
        <f>IF($J43="","",SUMIFS('Expenses'!$E$7:$E$1506,'Expenses'!$C$7:$C$1506,$J43,'Expenses'!$B$7:$B$1506,"&gt;="&amp;cfg_Start,'Expenses'!$B$7:$B$1506,"&lt;="&amp;cfg_End))</f>
        <v/>
      </c>
      <c r="O43" s="72">
        <f>IF(OR($J43="",$G$35=0),"",$N43/$G$35)</f>
        <v/>
      </c>
    </row>
    <row r="44">
      <c r="B44" s="97" t="inlineStr">
        <is>
          <t>Stock purchases (info only)</t>
        </is>
      </c>
      <c r="G44" s="71">
        <f>SUMIFS('Expenses'!$E$7:$E$1506,'Expenses'!$B$7:$B$1506,"&gt;="&amp;cfg_Start,'Expenses'!$B$7:$B$1506,"&lt;="&amp;cfg_End,'Expenses'!$H$7:$H$1506,"Excluded - Stock Purchase")</f>
        <v/>
      </c>
      <c r="J44" s="13">
        <f>IF(OR('Lists'!$F$25="",LEFT('Lists'!$G$25,8)="Excluded"),"",'Lists'!$F$25)</f>
        <v/>
      </c>
      <c r="M44" s="13">
        <f>IF($J44="","",'Lists'!$G$25)</f>
        <v/>
      </c>
      <c r="N44" s="71">
        <f>IF($J44="","",SUMIFS('Expenses'!$E$7:$E$1506,'Expenses'!$C$7:$C$1506,$J44,'Expenses'!$B$7:$B$1506,"&gt;="&amp;cfg_Start,'Expenses'!$B$7:$B$1506,"&lt;="&amp;cfg_End))</f>
        <v/>
      </c>
      <c r="O44" s="72">
        <f>IF(OR($J44="",$G$35=0),"",$N44/$G$35)</f>
        <v/>
      </c>
    </row>
    <row r="45">
      <c r="B45" s="97" t="inlineStr">
        <is>
          <t>Expense rows needing a fix</t>
        </is>
      </c>
      <c r="G45" s="82">
        <f>SUMPRODUCT(('Expenses'!$I$7:$I$1506&lt;&gt;"")*('Expenses'!$I$7:$I$1506&lt;&gt;"OK"))</f>
        <v/>
      </c>
    </row>
    <row r="48" ht="16" customHeight="1">
      <c r="B48" s="67" t="inlineStr">
        <is>
          <t>WHERE THE MONEY GOES (selected period) - Dashboard chart source</t>
        </is>
      </c>
    </row>
    <row r="49">
      <c r="B49" s="97" t="inlineStr">
        <is>
          <t>Food &amp; packaging</t>
        </is>
      </c>
      <c r="G49" s="98">
        <f>$G$27</f>
        <v/>
      </c>
    </row>
    <row r="50">
      <c r="B50" s="97" t="inlineStr">
        <is>
          <t>Labour</t>
        </is>
      </c>
      <c r="G50" s="98">
        <f>$G$32</f>
        <v/>
      </c>
    </row>
    <row r="51">
      <c r="B51" s="97" t="inlineStr">
        <is>
          <t>Fixed costs</t>
        </is>
      </c>
      <c r="G51" s="98">
        <f>$G$31</f>
        <v/>
      </c>
    </row>
    <row r="52">
      <c r="B52" s="97" t="inlineStr">
        <is>
          <t>Other variable</t>
        </is>
      </c>
      <c r="G52" s="98">
        <f>$G$34</f>
        <v/>
      </c>
    </row>
    <row r="53">
      <c r="B53" s="97" t="inlineStr">
        <is>
          <t>Event fees</t>
        </is>
      </c>
      <c r="G53" s="98">
        <f>$G$33</f>
        <v/>
      </c>
    </row>
    <row r="54">
      <c r="B54" s="97" t="inlineStr">
        <is>
          <t>Waste</t>
        </is>
      </c>
      <c r="G54" s="98">
        <f>$G$30</f>
        <v/>
      </c>
    </row>
    <row r="55">
      <c r="B55" s="97" t="inlineStr">
        <is>
          <t>Net profit</t>
        </is>
      </c>
      <c r="G55" s="98">
        <f>$G$36</f>
        <v/>
      </c>
    </row>
  </sheetData>
  <mergeCells count="56">
    <mergeCell ref="J24:L24"/>
    <mergeCell ref="J40:L40"/>
    <mergeCell ref="B54:F54"/>
    <mergeCell ref="J36:L36"/>
    <mergeCell ref="B25:F25"/>
    <mergeCell ref="B23:G23"/>
    <mergeCell ref="J27:L27"/>
    <mergeCell ref="B31:F31"/>
    <mergeCell ref="J35:L35"/>
    <mergeCell ref="J26:L26"/>
    <mergeCell ref="B27:F27"/>
    <mergeCell ref="B52:F52"/>
    <mergeCell ref="J25:L25"/>
    <mergeCell ref="B43:F43"/>
    <mergeCell ref="J41:L41"/>
    <mergeCell ref="B39:F39"/>
    <mergeCell ref="J32:L32"/>
    <mergeCell ref="P6:Q6"/>
    <mergeCell ref="B42:F42"/>
    <mergeCell ref="R6:S6"/>
    <mergeCell ref="J31:L31"/>
    <mergeCell ref="J43:L43"/>
    <mergeCell ref="B44:F44"/>
    <mergeCell ref="B53:F53"/>
    <mergeCell ref="B29:F29"/>
    <mergeCell ref="J33:L33"/>
    <mergeCell ref="B38:F38"/>
    <mergeCell ref="E6:I6"/>
    <mergeCell ref="B34:F34"/>
    <mergeCell ref="J42:L42"/>
    <mergeCell ref="B28:F28"/>
    <mergeCell ref="B37:F37"/>
    <mergeCell ref="J39:L39"/>
    <mergeCell ref="J23:O23"/>
    <mergeCell ref="B40:F40"/>
    <mergeCell ref="J44:L44"/>
    <mergeCell ref="B49:F49"/>
    <mergeCell ref="B30:F30"/>
    <mergeCell ref="J29:L29"/>
    <mergeCell ref="J38:L38"/>
    <mergeCell ref="J30:L30"/>
    <mergeCell ref="B55:F55"/>
    <mergeCell ref="J28:L28"/>
    <mergeCell ref="B33:F33"/>
    <mergeCell ref="J6:O6"/>
    <mergeCell ref="J37:L37"/>
    <mergeCell ref="B51:F51"/>
    <mergeCell ref="B45:F45"/>
    <mergeCell ref="B36:F36"/>
    <mergeCell ref="J34:L34"/>
    <mergeCell ref="B32:F32"/>
    <mergeCell ref="B50:F50"/>
    <mergeCell ref="B48:G48"/>
    <mergeCell ref="B26:F26"/>
    <mergeCell ref="B41:F41"/>
    <mergeCell ref="B35:F35"/>
  </mergeCells>
  <conditionalFormatting sqref="E8:E20">
    <cfRule type="expression" priority="1" dxfId="10">
      <formula>cfg_Currency="USD"</formula>
    </cfRule>
    <cfRule type="expression" priority="5" dxfId="11">
      <formula>cfg_Currency="GBP"</formula>
    </cfRule>
  </conditionalFormatting>
  <conditionalFormatting sqref="G8:H20">
    <cfRule type="expression" priority="1" dxfId="10">
      <formula>cfg_Currency="USD"</formula>
    </cfRule>
    <cfRule type="expression" priority="5" dxfId="11">
      <formula>cfg_Currency="GBP"</formula>
    </cfRule>
  </conditionalFormatting>
  <conditionalFormatting sqref="J8:P20">
    <cfRule type="expression" priority="1" dxfId="10">
      <formula>cfg_Currency="USD"</formula>
    </cfRule>
    <cfRule type="expression" priority="5" dxfId="11">
      <formula>cfg_Currency="GBP"</formula>
    </cfRule>
  </conditionalFormatting>
  <conditionalFormatting sqref="R8:S20">
    <cfRule type="expression" priority="1" dxfId="10">
      <formula>cfg_Currency="USD"</formula>
    </cfRule>
    <cfRule type="expression" priority="5" dxfId="11">
      <formula>cfg_Currency="GBP"</formula>
    </cfRule>
  </conditionalFormatting>
  <conditionalFormatting sqref="G25">
    <cfRule type="expression" priority="9" dxfId="10">
      <formula>cfg_Currency="USD"</formula>
    </cfRule>
    <cfRule type="expression" priority="10" dxfId="11">
      <formula>cfg_Currency="GBP"</formula>
    </cfRule>
  </conditionalFormatting>
  <conditionalFormatting sqref="G27">
    <cfRule type="expression" priority="11" dxfId="10">
      <formula>cfg_Currency="USD"</formula>
    </cfRule>
    <cfRule type="expression" priority="12" dxfId="11">
      <formula>cfg_Currency="GBP"</formula>
    </cfRule>
  </conditionalFormatting>
  <conditionalFormatting sqref="G28">
    <cfRule type="expression" priority="13" dxfId="10">
      <formula>cfg_Currency="USD"</formula>
    </cfRule>
    <cfRule type="expression" priority="14" dxfId="11">
      <formula>cfg_Currency="GBP"</formula>
    </cfRule>
  </conditionalFormatting>
  <conditionalFormatting sqref="G30">
    <cfRule type="expression" priority="15" dxfId="10">
      <formula>cfg_Currency="USD"</formula>
    </cfRule>
    <cfRule type="expression" priority="16" dxfId="11">
      <formula>cfg_Currency="GBP"</formula>
    </cfRule>
  </conditionalFormatting>
  <conditionalFormatting sqref="G31">
    <cfRule type="expression" priority="17" dxfId="10">
      <formula>cfg_Currency="USD"</formula>
    </cfRule>
    <cfRule type="expression" priority="18" dxfId="11">
      <formula>cfg_Currency="GBP"</formula>
    </cfRule>
  </conditionalFormatting>
  <conditionalFormatting sqref="G32">
    <cfRule type="expression" priority="19" dxfId="10">
      <formula>cfg_Currency="USD"</formula>
    </cfRule>
    <cfRule type="expression" priority="20" dxfId="11">
      <formula>cfg_Currency="GBP"</formula>
    </cfRule>
  </conditionalFormatting>
  <conditionalFormatting sqref="G33">
    <cfRule type="expression" priority="21" dxfId="10">
      <formula>cfg_Currency="USD"</formula>
    </cfRule>
    <cfRule type="expression" priority="22" dxfId="11">
      <formula>cfg_Currency="GBP"</formula>
    </cfRule>
  </conditionalFormatting>
  <conditionalFormatting sqref="G34">
    <cfRule type="expression" priority="23" dxfId="10">
      <formula>cfg_Currency="USD"</formula>
    </cfRule>
    <cfRule type="expression" priority="24" dxfId="11">
      <formula>cfg_Currency="GBP"</formula>
    </cfRule>
  </conditionalFormatting>
  <conditionalFormatting sqref="G35">
    <cfRule type="expression" priority="25" dxfId="10">
      <formula>cfg_Currency="USD"</formula>
    </cfRule>
    <cfRule type="expression" priority="26" dxfId="11">
      <formula>cfg_Currency="GBP"</formula>
    </cfRule>
  </conditionalFormatting>
  <conditionalFormatting sqref="G36">
    <cfRule type="expression" priority="27" dxfId="10">
      <formula>cfg_Currency="USD"</formula>
    </cfRule>
    <cfRule type="expression" priority="28" dxfId="11">
      <formula>cfg_Currency="GBP"</formula>
    </cfRule>
  </conditionalFormatting>
  <conditionalFormatting sqref="G39">
    <cfRule type="expression" priority="29" dxfId="10">
      <formula>cfg_Currency="USD"</formula>
    </cfRule>
    <cfRule type="expression" priority="30" dxfId="11">
      <formula>cfg_Currency="GBP"</formula>
    </cfRule>
  </conditionalFormatting>
  <conditionalFormatting sqref="G41">
    <cfRule type="expression" priority="31" dxfId="10">
      <formula>cfg_Currency="USD"</formula>
    </cfRule>
    <cfRule type="expression" priority="32" dxfId="11">
      <formula>cfg_Currency="GBP"</formula>
    </cfRule>
  </conditionalFormatting>
  <conditionalFormatting sqref="G42">
    <cfRule type="expression" priority="33" dxfId="10">
      <formula>cfg_Currency="USD"</formula>
    </cfRule>
    <cfRule type="expression" priority="34" dxfId="11">
      <formula>cfg_Currency="GBP"</formula>
    </cfRule>
  </conditionalFormatting>
  <conditionalFormatting sqref="G44">
    <cfRule type="expression" priority="35" dxfId="10">
      <formula>cfg_Currency="USD"</formula>
    </cfRule>
    <cfRule type="expression" priority="36" dxfId="11">
      <formula>cfg_Currency="GBP"</formula>
    </cfRule>
  </conditionalFormatting>
  <conditionalFormatting sqref="G49:G55">
    <cfRule type="expression" priority="37" dxfId="4">
      <formula>cfg_Currency="USD"</formula>
    </cfRule>
    <cfRule type="expression" priority="38" dxfId="5">
      <formula>cfg_Currency="GBP"</formula>
    </cfRule>
  </conditionalFormatting>
  <conditionalFormatting sqref="N25:N44">
    <cfRule type="expression" priority="39" dxfId="10">
      <formula>cfg_Currency="USD"</formula>
    </cfRule>
    <cfRule type="expression" priority="40" dxfId="11">
      <formula>cfg_Currency="GBP"</formula>
    </cfRule>
  </conditionalFormatting>
  <hyperlinks>
    <hyperlink ref="B4" location="'Start Here'!A1" display="› Start Here"/>
    <hyperlink ref="D4" location="'Dashboard'!A1" display="› Dashboard"/>
    <hyperlink ref="F4" location="'Settings'!A1" display="› Settings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J62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14" customWidth="1" min="3" max="3"/>
    <col width="3" customWidth="1" min="4" max="4"/>
    <col width="36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B2" s="54" t="inlineStr">
        <is>
          <t>Break-Even Calculator</t>
        </is>
      </c>
      <c r="I2" s="55" t="inlineStr">
        <is>
          <t>NoviraNest</t>
        </is>
      </c>
    </row>
    <row r="3" ht="18" customHeight="1">
      <c r="B3" s="56" t="inlineStr">
        <is>
          <t>How many items you must sell each month to cover your costs - and to hit your profit goal.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D4" s="57" t="inlineStr">
        <is>
          <t>› Monthly Report</t>
        </is>
      </c>
    </row>
    <row r="5" ht="8" customHeight="1"/>
    <row r="6" ht="16" customHeight="1">
      <c r="B6" s="75" t="inlineStr">
        <is>
          <t>1. MONTHLY FIXED COSTS (budget)</t>
        </is>
      </c>
      <c r="E6" s="75" t="inlineStr">
        <is>
          <t>2. PER-ITEM ECONOMICS</t>
        </is>
      </c>
    </row>
    <row r="7" ht="20" customHeight="1">
      <c r="B7" s="58" t="inlineStr">
        <is>
          <t>Cost</t>
        </is>
      </c>
      <c r="C7" s="58">
        <f>"Per month ("&amp;cfg_Symbol&amp;")"</f>
        <v/>
      </c>
      <c r="E7" s="58" t="inlineStr">
        <is>
          <t>Driver</t>
        </is>
      </c>
      <c r="F7" s="58" t="inlineStr">
        <is>
          <t>From your data</t>
        </is>
      </c>
      <c r="G7" s="58" t="inlineStr">
        <is>
          <t>Your override</t>
        </is>
      </c>
      <c r="H7" s="58" t="inlineStr">
        <is>
          <t>Used</t>
        </is>
      </c>
    </row>
    <row r="8">
      <c r="B8" s="60" t="inlineStr">
        <is>
          <t>Commissary / parking</t>
        </is>
      </c>
      <c r="C8" s="63" t="n"/>
      <c r="E8" s="97" t="inlineStr">
        <is>
          <t>Average selling price per item</t>
        </is>
      </c>
      <c r="F8" s="71">
        <f>IF('Monthly Report'!$F$20&gt;0,'Monthly Report'!$E$20/'Monthly Report'!$F$20,IFERROR(AVERAGEIF('Menu Pricing'!$O$7:$O$56,"&gt;0"),""))</f>
        <v/>
      </c>
      <c r="G8" s="63" t="n"/>
      <c r="H8" s="78">
        <f>IF(ISNUMBER(G8),G8,IF(ISNUMBER(F8),F8,0))</f>
        <v/>
      </c>
    </row>
    <row r="9">
      <c r="B9" s="60" t="inlineStr">
        <is>
          <t>Truck loan or lease</t>
        </is>
      </c>
      <c r="C9" s="63" t="n"/>
      <c r="E9" s="97" t="inlineStr">
        <is>
          <t>Average COGS per item (food + packaging)</t>
        </is>
      </c>
      <c r="F9" s="71">
        <f>IF('Monthly Report'!$F$20&gt;0,'Monthly Report'!$G$20/'Monthly Report'!$F$20,IFERROR((SUMIFS('Menu Pricing'!$F$7:$F$56,'Menu Pricing'!$O$7:$O$56,"&gt;0")+SUMIFS('Menu Pricing'!$G$7:$G$56,'Menu Pricing'!$O$7:$O$56,"&gt;0")+SUMIFS('Menu Pricing'!$J$7:$J$56,'Menu Pricing'!$O$7:$O$56,"&gt;0"))/COUNTIF('Menu Pricing'!$O$7:$O$56,"&gt;0"),""))</f>
        <v/>
      </c>
      <c r="G9" s="63" t="n"/>
      <c r="H9" s="78">
        <f>IF(ISNUMBER(G9),G9,IF(ISNUMBER(F9),F9,0))</f>
        <v/>
      </c>
    </row>
    <row r="10">
      <c r="B10" s="60" t="inlineStr">
        <is>
          <t>Insurance</t>
        </is>
      </c>
      <c r="C10" s="63" t="n"/>
      <c r="E10" s="97" t="inlineStr">
        <is>
          <t>Other variable costs (% of sales)</t>
        </is>
      </c>
      <c r="F10" s="99" t="inlineStr">
        <is>
          <t>-</t>
        </is>
      </c>
      <c r="G10" s="64" t="n"/>
      <c r="H10" s="100">
        <f>IF(ISNUMBER(G10),G10,IF(ISNUMBER(F10),F10,0))</f>
        <v/>
      </c>
    </row>
    <row r="11">
      <c r="B11" s="60" t="inlineStr">
        <is>
          <t>Licences &amp; permits (monthly share)</t>
        </is>
      </c>
      <c r="C11" s="63" t="n"/>
      <c r="E11" s="97" t="inlineStr">
        <is>
          <t>Service days per month</t>
        </is>
      </c>
      <c r="F11" s="101" t="inlineStr">
        <is>
          <t>-</t>
        </is>
      </c>
      <c r="G11" s="62" t="n"/>
      <c r="H11" s="102">
        <f>IF(ISNUMBER(G11),G11,IF(ISNUMBER(F11),F11,0))</f>
        <v/>
      </c>
    </row>
    <row r="12">
      <c r="B12" s="60" t="inlineStr">
        <is>
          <t>POS &amp; software</t>
        </is>
      </c>
      <c r="C12" s="63" t="n"/>
      <c r="E12" s="97" t="inlineStr">
        <is>
          <t>Target monthly profit</t>
        </is>
      </c>
      <c r="F12" s="103" t="inlineStr">
        <is>
          <t>-</t>
        </is>
      </c>
      <c r="G12" s="63" t="n"/>
      <c r="H12" s="78">
        <f>IF(ISNUMBER(G12),G12,IF(ISNUMBER(F12),F12,0))</f>
        <v/>
      </c>
    </row>
    <row r="13">
      <c r="B13" s="60" t="inlineStr">
        <is>
          <t>Phone &amp; internet</t>
        </is>
      </c>
      <c r="C13" s="63" t="n"/>
      <c r="E13" s="104" t="inlineStr">
        <is>
          <t>Data source: Sales Log for the reporting year; if empty, the average of your menu prices/costs.</t>
        </is>
      </c>
    </row>
    <row r="14">
      <c r="B14" s="60" t="inlineStr">
        <is>
          <t>Accounting</t>
        </is>
      </c>
      <c r="C14" s="63" t="n"/>
    </row>
    <row r="15">
      <c r="B15" s="60" t="inlineStr">
        <is>
          <t>Marketing</t>
        </is>
      </c>
      <c r="C15" s="63" t="n"/>
    </row>
    <row r="16" ht="16" customHeight="1">
      <c r="B16" s="60" t="inlineStr">
        <is>
          <t>Staff wages (planned)</t>
        </is>
      </c>
      <c r="C16" s="63" t="n"/>
      <c r="E16" s="76" t="inlineStr">
        <is>
          <t>3. RESULTS</t>
        </is>
      </c>
    </row>
    <row r="17" ht="19" customHeight="1">
      <c r="B17" s="60" t="inlineStr">
        <is>
          <t>Fuel, propane &amp; generator</t>
        </is>
      </c>
      <c r="C17" s="63" t="n"/>
      <c r="E17" s="97" t="inlineStr">
        <is>
          <t>Contribution per item</t>
        </is>
      </c>
      <c r="H17" s="71">
        <f>H8-H9-H8*H10</f>
        <v/>
      </c>
    </row>
    <row r="18" ht="19" customHeight="1">
      <c r="B18" s="60" t="inlineStr">
        <is>
          <t>Repairs reserve</t>
        </is>
      </c>
      <c r="C18" s="63" t="n"/>
      <c r="E18" s="97" t="inlineStr">
        <is>
          <t>Contribution margin ratio</t>
        </is>
      </c>
      <c r="H18" s="72">
        <f>IF(H8&lt;=0,"",H17/H8)</f>
        <v/>
      </c>
    </row>
    <row r="19" ht="19" customHeight="1">
      <c r="B19" s="60" t="inlineStr">
        <is>
          <t>Other</t>
        </is>
      </c>
      <c r="C19" s="63" t="n"/>
      <c r="E19" s="97" t="inlineStr">
        <is>
          <t>Monthly fixed costs</t>
        </is>
      </c>
      <c r="H19" s="71">
        <f>C20</f>
        <v/>
      </c>
    </row>
    <row r="20" ht="19" customHeight="1">
      <c r="B20" s="59" t="inlineStr">
        <is>
          <t>Total monthly fixed costs</t>
        </is>
      </c>
      <c r="C20" s="78">
        <f>SUM(C8:C19)</f>
        <v/>
      </c>
      <c r="E20" s="59" t="inlineStr">
        <is>
          <t>Break-even items per month</t>
        </is>
      </c>
      <c r="H20" s="105">
        <f>IF(C20&lt;=0,"",IF(H17&lt;=0,"Not reachable",ROUNDUP(C20/H17,0)))</f>
        <v/>
      </c>
    </row>
    <row r="21" ht="19" customHeight="1">
      <c r="B21" s="68" t="inlineStr">
        <is>
          <t>Actual avg opex / month (Expenses)</t>
        </is>
      </c>
      <c r="C21" s="71">
        <f>IF(COUNTIF('Monthly Report'!$O$8:$O$19,"&gt;0")=0,"",'Monthly Report'!$O$20/COUNTIF('Monthly Report'!$O$8:$O$19,"&gt;0"))</f>
        <v/>
      </c>
      <c r="E21" s="97" t="inlineStr">
        <is>
          <t>Break-even items per service day</t>
        </is>
      </c>
      <c r="H21" s="82">
        <f>IF(OR(NOT(ISNUMBER(H20)),H11&lt;=0),"",ROUNDUP(H20/H11,0))</f>
        <v/>
      </c>
    </row>
    <row r="22" ht="19" customHeight="1">
      <c r="E22" s="97" t="inlineStr">
        <is>
          <t>Items needed for target profit</t>
        </is>
      </c>
      <c r="H22" s="82">
        <f>IF(OR(C20+H12&lt;=0,H17&lt;=0),"",ROUNDUP((C20+H12)/H17,0))</f>
        <v/>
      </c>
    </row>
    <row r="23" ht="19" customHeight="1">
      <c r="B23" s="74" t="inlineStr">
        <is>
          <t>Include every monthly cost that does NOT change with each item sold: rent, loan, insurance, planned wages, typical fuel. Do NOT include ingredients or packaging - those are in the cost per item.</t>
        </is>
      </c>
      <c r="E23" s="97" t="inlineStr">
        <is>
          <t>Revenue needed for target profit</t>
        </is>
      </c>
      <c r="H23" s="71">
        <f>IF(NOT(ISNUMBER(H22)),"",(C20+H12)/H18)</f>
        <v/>
      </c>
    </row>
    <row r="24" ht="19" customHeight="1">
      <c r="E24" s="97" t="inlineStr">
        <is>
          <t>Actual average items sold per month</t>
        </is>
      </c>
      <c r="H24" s="82">
        <f>IF(COUNTIF('Monthly Report'!$F$8:$F$19,"&gt;0")=0,"",'Monthly Report'!$F$20/COUNTIF('Monthly Report'!$F$8:$F$19,"&gt;0"))</f>
        <v/>
      </c>
    </row>
    <row r="25" ht="19" customHeight="1">
      <c r="E25" s="97" t="inlineStr">
        <is>
          <t>Margin of safety (actual vs break-even)</t>
        </is>
      </c>
      <c r="H25" s="72">
        <f>IF(OR(NOT(ISNUMBER(H24)),NOT(ISNUMBER(H20)),N(H24)=0),"",(H24-H20)/H24)</f>
        <v/>
      </c>
    </row>
    <row r="26" ht="19" customHeight="1">
      <c r="E26" s="97" t="inlineStr">
        <is>
          <t>Status</t>
        </is>
      </c>
      <c r="H26" s="106">
        <f>IF(C20&lt;=0,"Enter your monthly fixed costs (section 1)",IF(H8&lt;=0,"Add menu prices or sales first",IF(H17&lt;=0,"Each sale loses money - raise prices or cut item costs",IF(NOT(ISNUMBER(H25)),"Break-even calculated - add sales to compare",IF(H25&gt;=0,"Above break-even by "&amp;TEXT(H25,"0%"),"Below break-even by "&amp;TEXT(-H25,"0%"))))))</f>
        <v/>
      </c>
    </row>
    <row r="27" ht="19" customHeight="1">
      <c r="E27" s="59" t="inlineStr">
        <is>
          <t>Break-even revenue per month</t>
        </is>
      </c>
      <c r="H27" s="107">
        <f>IF(OR(C20&lt;=0,N(H18)&lt;=0),"",C20/H18)</f>
        <v/>
      </c>
    </row>
    <row r="29" ht="16" customHeight="1">
      <c r="B29" s="67" t="inlineStr">
        <is>
          <t>4. BREAK-EVEN CHART</t>
        </is>
      </c>
    </row>
    <row r="50" ht="16" customHeight="1">
      <c r="B50" s="91" t="inlineStr">
        <is>
          <t>CHART DATA (automatic)</t>
        </is>
      </c>
    </row>
    <row r="51" ht="30" customHeight="1">
      <c r="B51" s="58" t="inlineStr">
        <is>
          <t>Items sold per month</t>
        </is>
      </c>
      <c r="C51" s="58" t="inlineStr">
        <is>
          <t>Revenue</t>
        </is>
      </c>
      <c r="E51" s="58" t="inlineStr">
        <is>
          <t>Total costs</t>
        </is>
      </c>
      <c r="F51" s="58" t="inlineStr">
        <is>
          <t>Fixed costs</t>
        </is>
      </c>
    </row>
    <row r="52">
      <c r="B52" s="82">
        <f>IF(ISNUMBER($H$20),ROUND($H$20*2*0/10,0),0)</f>
        <v/>
      </c>
      <c r="C52" s="98">
        <f>B52*$H$8</f>
        <v/>
      </c>
      <c r="E52" s="98">
        <f>$C$20+B52*($H$9+$H$8*$H$10)</f>
        <v/>
      </c>
      <c r="F52" s="98">
        <f>$C$20</f>
        <v/>
      </c>
    </row>
    <row r="53">
      <c r="B53" s="82">
        <f>IF(ISNUMBER($H$20),ROUND($H$20*2*1/10,0),100)</f>
        <v/>
      </c>
      <c r="C53" s="98">
        <f>B53*$H$8</f>
        <v/>
      </c>
      <c r="E53" s="98">
        <f>$C$20+B53*($H$9+$H$8*$H$10)</f>
        <v/>
      </c>
      <c r="F53" s="98">
        <f>$C$20</f>
        <v/>
      </c>
    </row>
    <row r="54">
      <c r="B54" s="82">
        <f>IF(ISNUMBER($H$20),ROUND($H$20*2*2/10,0),200)</f>
        <v/>
      </c>
      <c r="C54" s="98">
        <f>B54*$H$8</f>
        <v/>
      </c>
      <c r="E54" s="98">
        <f>$C$20+B54*($H$9+$H$8*$H$10)</f>
        <v/>
      </c>
      <c r="F54" s="98">
        <f>$C$20</f>
        <v/>
      </c>
    </row>
    <row r="55">
      <c r="B55" s="82">
        <f>IF(ISNUMBER($H$20),ROUND($H$20*2*3/10,0),300)</f>
        <v/>
      </c>
      <c r="C55" s="98">
        <f>B55*$H$8</f>
        <v/>
      </c>
      <c r="E55" s="98">
        <f>$C$20+B55*($H$9+$H$8*$H$10)</f>
        <v/>
      </c>
      <c r="F55" s="98">
        <f>$C$20</f>
        <v/>
      </c>
    </row>
    <row r="56">
      <c r="B56" s="82">
        <f>IF(ISNUMBER($H$20),ROUND($H$20*2*4/10,0),400)</f>
        <v/>
      </c>
      <c r="C56" s="98">
        <f>B56*$H$8</f>
        <v/>
      </c>
      <c r="E56" s="98">
        <f>$C$20+B56*($H$9+$H$8*$H$10)</f>
        <v/>
      </c>
      <c r="F56" s="98">
        <f>$C$20</f>
        <v/>
      </c>
    </row>
    <row r="57">
      <c r="B57" s="82">
        <f>IF(ISNUMBER($H$20),ROUND($H$20*2*5/10,0),500)</f>
        <v/>
      </c>
      <c r="C57" s="98">
        <f>B57*$H$8</f>
        <v/>
      </c>
      <c r="E57" s="98">
        <f>$C$20+B57*($H$9+$H$8*$H$10)</f>
        <v/>
      </c>
      <c r="F57" s="98">
        <f>$C$20</f>
        <v/>
      </c>
    </row>
    <row r="58">
      <c r="B58" s="82">
        <f>IF(ISNUMBER($H$20),ROUND($H$20*2*6/10,0),600)</f>
        <v/>
      </c>
      <c r="C58" s="98">
        <f>B58*$H$8</f>
        <v/>
      </c>
      <c r="E58" s="98">
        <f>$C$20+B58*($H$9+$H$8*$H$10)</f>
        <v/>
      </c>
      <c r="F58" s="98">
        <f>$C$20</f>
        <v/>
      </c>
    </row>
    <row r="59">
      <c r="B59" s="82">
        <f>IF(ISNUMBER($H$20),ROUND($H$20*2*7/10,0),700)</f>
        <v/>
      </c>
      <c r="C59" s="98">
        <f>B59*$H$8</f>
        <v/>
      </c>
      <c r="E59" s="98">
        <f>$C$20+B59*($H$9+$H$8*$H$10)</f>
        <v/>
      </c>
      <c r="F59" s="98">
        <f>$C$20</f>
        <v/>
      </c>
    </row>
    <row r="60">
      <c r="B60" s="82">
        <f>IF(ISNUMBER($H$20),ROUND($H$20*2*8/10,0),800)</f>
        <v/>
      </c>
      <c r="C60" s="98">
        <f>B60*$H$8</f>
        <v/>
      </c>
      <c r="E60" s="98">
        <f>$C$20+B60*($H$9+$H$8*$H$10)</f>
        <v/>
      </c>
      <c r="F60" s="98">
        <f>$C$20</f>
        <v/>
      </c>
    </row>
    <row r="61">
      <c r="B61" s="82">
        <f>IF(ISNUMBER($H$20),ROUND($H$20*2*9/10,0),900)</f>
        <v/>
      </c>
      <c r="C61" s="98">
        <f>B61*$H$8</f>
        <v/>
      </c>
      <c r="E61" s="98">
        <f>$C$20+B61*($H$9+$H$8*$H$10)</f>
        <v/>
      </c>
      <c r="F61" s="98">
        <f>$C$20</f>
        <v/>
      </c>
    </row>
    <row r="62">
      <c r="B62" s="82">
        <f>IF(ISNUMBER($H$20),ROUND($H$20*2*10/10,0),1000)</f>
        <v/>
      </c>
      <c r="C62" s="98">
        <f>B62*$H$8</f>
        <v/>
      </c>
      <c r="E62" s="98">
        <f>$C$20+B62*($H$9+$H$8*$H$10)</f>
        <v/>
      </c>
      <c r="F62" s="98">
        <f>$C$20</f>
        <v/>
      </c>
    </row>
  </sheetData>
  <mergeCells count="6">
    <mergeCell ref="B6:C6"/>
    <mergeCell ref="E6:H6"/>
    <mergeCell ref="E16:H16"/>
    <mergeCell ref="B29:H29"/>
    <mergeCell ref="B23:C26"/>
    <mergeCell ref="B50:F50"/>
  </mergeCells>
  <conditionalFormatting sqref="H26">
    <cfRule type="expression" priority="1" dxfId="8">
      <formula>ISNUMBER(SEARCH("Above",H26))</formula>
    </cfRule>
    <cfRule type="expression" priority="2" dxfId="6">
      <formula>OR(ISNUMBER(SEARCH("Below",H26)),ISNUMBER(SEARCH("loses",H26)))</formula>
    </cfRule>
  </conditionalFormatting>
  <conditionalFormatting sqref="C8:C21">
    <cfRule type="expression" priority="3" dxfId="10">
      <formula>cfg_Currency="USD"</formula>
    </cfRule>
    <cfRule type="expression" priority="11" dxfId="11">
      <formula>cfg_Currency="GBP"</formula>
    </cfRule>
  </conditionalFormatting>
  <conditionalFormatting sqref="F8:H9">
    <cfRule type="expression" priority="3" dxfId="10">
      <formula>cfg_Currency="USD"</formula>
    </cfRule>
    <cfRule type="expression" priority="11" dxfId="11">
      <formula>cfg_Currency="GBP"</formula>
    </cfRule>
  </conditionalFormatting>
  <conditionalFormatting sqref="H12">
    <cfRule type="expression" priority="3" dxfId="10">
      <formula>cfg_Currency="USD"</formula>
    </cfRule>
    <cfRule type="expression" priority="11" dxfId="11">
      <formula>cfg_Currency="GBP"</formula>
    </cfRule>
  </conditionalFormatting>
  <conditionalFormatting sqref="G12">
    <cfRule type="expression" priority="3" dxfId="10">
      <formula>cfg_Currency="USD"</formula>
    </cfRule>
    <cfRule type="expression" priority="11" dxfId="11">
      <formula>cfg_Currency="GBP"</formula>
    </cfRule>
  </conditionalFormatting>
  <conditionalFormatting sqref="H17">
    <cfRule type="expression" priority="3" dxfId="10">
      <formula>cfg_Currency="USD"</formula>
    </cfRule>
    <cfRule type="expression" priority="11" dxfId="11">
      <formula>cfg_Currency="GBP"</formula>
    </cfRule>
  </conditionalFormatting>
  <conditionalFormatting sqref="H19">
    <cfRule type="expression" priority="3" dxfId="10">
      <formula>cfg_Currency="USD"</formula>
    </cfRule>
    <cfRule type="expression" priority="11" dxfId="11">
      <formula>cfg_Currency="GBP"</formula>
    </cfRule>
  </conditionalFormatting>
  <conditionalFormatting sqref="H23">
    <cfRule type="expression" priority="3" dxfId="10">
      <formula>cfg_Currency="USD"</formula>
    </cfRule>
    <cfRule type="expression" priority="11" dxfId="11">
      <formula>cfg_Currency="GBP"</formula>
    </cfRule>
  </conditionalFormatting>
  <conditionalFormatting sqref="H27">
    <cfRule type="expression" priority="3" dxfId="10">
      <formula>cfg_Currency="USD"</formula>
    </cfRule>
    <cfRule type="expression" priority="11" dxfId="11">
      <formula>cfg_Currency="GBP"</formula>
    </cfRule>
  </conditionalFormatting>
  <conditionalFormatting sqref="C52:F62">
    <cfRule type="expression" priority="19" dxfId="4">
      <formula>cfg_Currency="USD"</formula>
    </cfRule>
    <cfRule type="expression" priority="20" dxfId="5">
      <formula>cfg_Currency="GBP"</formula>
    </cfRule>
  </conditionalFormatting>
  <dataValidations count="5">
    <dataValidation sqref="C8:C19" showDropDown="0" showInputMessage="1" showErrorMessage="1" allowBlank="1" errorTitle="Invalid number" error="Enter a number of at least 0." promptTitle="Fixed cost" prompt="Monthly amount." type="decimal" operator="greaterThanOrEqual">
      <formula1>0</formula1>
    </dataValidation>
    <dataValidation sqref="G8:G9" showDropDown="0" showInputMessage="1" showErrorMessage="1" allowBlank="1" errorTitle="Invalid number" error="Enter a number of at least 0." promptTitle="Override" prompt="Leave blank to use your data." type="decimal" operator="greaterThanOrEqual">
      <formula1>0</formula1>
    </dataValidation>
    <dataValidation sqref="G10" showDropDown="0" showInputMessage="1" showErrorMessage="1" allowBlank="1" errorTitle="Invalid number" error="Enter a number of at least 0 and at most 0.9." promptTitle="Variable %" prompt="Card fees, delivery-app or event commissions, as % of sales." type="decimal" operator="between">
      <formula1>0</formula1>
      <formula2>0.9</formula2>
    </dataValidation>
    <dataValidation sqref="G11" showDropDown="0" showInputMessage="1" showErrorMessage="1" allowBlank="1" errorTitle="Invalid number" error="Enter a number of at least 1 and at most 31." promptTitle="Service days" prompt="Days you trade per month." type="whole" operator="between">
      <formula1>1</formula1>
      <formula2>31</formula2>
    </dataValidation>
    <dataValidation sqref="G12" showDropDown="0" showInputMessage="1" showErrorMessage="1" allowBlank="1" errorTitle="Invalid number" error="Enter a number of at least 0." promptTitle="Target profit" prompt="Profit you want after all costs." type="decimal" operator="greaterThanOrEqual">
      <formula1>0</formula1>
    </dataValidation>
  </dataValidations>
  <hyperlinks>
    <hyperlink ref="B4" location="'Start Here'!A1" display="› Start Here"/>
    <hyperlink ref="C4" location="'Dashboard'!A1" display="› Dashboard"/>
    <hyperlink ref="D4" location="'Monthly Report'!A1" display="› Monthly Report"/>
  </hyperlink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I59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44" customWidth="1" min="2" max="2"/>
    <col width="15" customWidth="1" min="3" max="3"/>
    <col width="15" customWidth="1" min="4" max="4"/>
    <col width="15" customWidth="1" min="5" max="5"/>
    <col width="3" customWidth="1" min="6" max="6"/>
    <col width="46" customWidth="1" min="7" max="7"/>
    <col width="3" customWidth="1" min="8" max="8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B2" s="54" t="inlineStr">
        <is>
          <t>Event Profit Predictor</t>
        </is>
      </c>
      <c r="H2" s="55" t="inlineStr">
        <is>
          <t>NoviraNest</t>
        </is>
      </c>
    </row>
    <row r="3" ht="18" customHeight="1">
      <c r="B3" s="56" t="inlineStr">
        <is>
          <t>Should you book this event? Forecast worst / base / best case, see the break-even order count, then compare with what actually happened.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D4" s="57" t="inlineStr">
        <is>
          <t>› Sales Log</t>
        </is>
      </c>
    </row>
    <row r="5" ht="8" customHeight="1"/>
    <row r="6" ht="16" customHeight="1">
      <c r="B6" s="75" t="inlineStr">
        <is>
          <t>EVENT DETAILS</t>
        </is>
      </c>
      <c r="G6" s="74" t="inlineStr">
        <is>
          <t>HOW TO USE
1. Name the event and fill the cream cells.
2. Worst / base / best change only the demand (attendance, buy rate, order value).
3. Check the verdict and the break-even orders before you pay a fee.
After the event: log sales on the Sales Log with Location = the exact event name. Actual revenue, items and COGS appear here automatically. Type the actual costs in 'Your entry'.</t>
        </is>
      </c>
    </row>
    <row r="7">
      <c r="B7" s="97" t="inlineStr">
        <is>
          <t>Event name (= Location in Sales Log)</t>
        </is>
      </c>
      <c r="C7" s="60" t="n"/>
      <c r="D7" s="60" t="n"/>
      <c r="E7" s="60" t="n"/>
    </row>
    <row r="8">
      <c r="B8" s="97" t="inlineStr">
        <is>
          <t>Event date</t>
        </is>
      </c>
      <c r="C8" s="66" t="n"/>
      <c r="D8" s="60" t="n"/>
      <c r="E8" s="60" t="n"/>
    </row>
    <row r="9">
      <c r="B9" s="97" t="inlineStr">
        <is>
          <t>Notes</t>
        </is>
      </c>
      <c r="C9" s="60" t="n"/>
      <c r="D9" s="60" t="n"/>
      <c r="E9" s="60" t="n"/>
    </row>
    <row r="10"/>
    <row r="11" ht="16" customHeight="1">
      <c r="B11" s="67" t="inlineStr">
        <is>
          <t>FORECAST - DEMAND (per scenario)</t>
        </is>
      </c>
    </row>
    <row r="12" ht="20" customHeight="1">
      <c r="B12" s="58" t="inlineStr">
        <is>
          <t>Assumption</t>
        </is>
      </c>
      <c r="C12" s="58" t="inlineStr">
        <is>
          <t>Worst case</t>
        </is>
      </c>
      <c r="D12" s="58" t="inlineStr">
        <is>
          <t>Base case</t>
        </is>
      </c>
      <c r="E12" s="58" t="inlineStr">
        <is>
          <t>Best case</t>
        </is>
      </c>
    </row>
    <row r="13">
      <c r="B13" s="97" t="inlineStr">
        <is>
          <t>Expected attendance (people at the event)</t>
        </is>
      </c>
      <c r="C13" s="108" t="n"/>
      <c r="D13" s="108" t="n"/>
      <c r="E13" s="108" t="n"/>
    </row>
    <row r="14">
      <c r="B14" s="97" t="inlineStr">
        <is>
          <t>% of attendees who buy from you</t>
        </is>
      </c>
      <c r="C14" s="109" t="n"/>
      <c r="D14" s="109" t="n"/>
      <c r="E14" s="109" t="n"/>
    </row>
    <row r="15">
      <c r="B15" s="97" t="inlineStr">
        <is>
          <t>Orders per buying customer</t>
        </is>
      </c>
      <c r="C15" s="110" t="n"/>
      <c r="D15" s="110" t="n"/>
      <c r="E15" s="110" t="n"/>
    </row>
    <row r="16">
      <c r="B16" s="97">
        <f>"Average order value ("&amp;cfg_Symbol&amp;")"</f>
        <v/>
      </c>
      <c r="C16" s="111" t="n"/>
      <c r="D16" s="111" t="n"/>
      <c r="E16" s="111" t="n"/>
    </row>
    <row r="18" ht="16" customHeight="1">
      <c r="B18" s="67" t="inlineStr">
        <is>
          <t>FORECAST - EVENT COSTS (same in every scenario)</t>
        </is>
      </c>
      <c r="G18" s="74" t="inlineStr">
        <is>
          <t>FORECAST vs ACTUAL
Forecast numbers are estimates and never appear on the Dashboard.
To count the event's real costs in your monthly profit, enter them on the Expenses sheet (Event &amp; Pitch Fees, Staff Wages, Fuel...). This sheet only compares - it does not add anything to your totals, so nothing is counted twice.</t>
        </is>
      </c>
    </row>
    <row r="19">
      <c r="B19" s="97" t="inlineStr">
        <is>
          <t>Event participation / pitch fee</t>
        </is>
      </c>
      <c r="C19" s="111" t="n"/>
    </row>
    <row r="20">
      <c r="B20" s="97" t="inlineStr">
        <is>
          <t>Organiser commission (% of sales)</t>
        </is>
      </c>
      <c r="C20" s="109" t="n"/>
    </row>
    <row r="21">
      <c r="B21" s="97" t="inlineStr">
        <is>
          <t>Card processing (% of sales)</t>
        </is>
      </c>
      <c r="C21" s="109" t="n"/>
    </row>
    <row r="22">
      <c r="B22" s="97" t="inlineStr">
        <is>
          <t>Food &amp; packaging cost (% of sales)</t>
        </is>
      </c>
      <c r="C22" s="109" t="n"/>
      <c r="D22" s="104">
        <f>IFERROR("Your menu average: "&amp;TEXT((SUMIFS('Menu Pricing'!$F$7:$F$56,'Menu Pricing'!$O$7:$O$56,"&gt;0")+SUMIFS('Menu Pricing'!$G$7:$G$56,'Menu Pricing'!$O$7:$O$56,"&gt;0"))/SUMIF('Menu Pricing'!$O$7:$O$56,"&gt;0"),"0%"),"")</f>
        <v/>
      </c>
    </row>
    <row r="23">
      <c r="B23" s="97" t="inlineStr">
        <is>
          <t>Staff working</t>
        </is>
      </c>
      <c r="C23" s="112" t="n"/>
    </row>
    <row r="24">
      <c r="B24" s="97" t="inlineStr">
        <is>
          <t>Hours per staff member (incl. setup &amp; travel)</t>
        </is>
      </c>
      <c r="C24" s="113" t="n"/>
    </row>
    <row r="25">
      <c r="B25" s="97" t="inlineStr">
        <is>
          <t>Hourly wage incl. payroll taxes</t>
        </is>
      </c>
      <c r="C25" s="111" t="n"/>
      <c r="D25" s="104">
        <f>"Settings labour rate: "&amp;cfg_Symbol&amp;TEXT(cfg_LaborRate,"0.00")</f>
        <v/>
      </c>
    </row>
    <row r="26">
      <c r="B26" s="97" t="inlineStr">
        <is>
          <t>Transportation (mileage, tolls, parking)</t>
        </is>
      </c>
      <c r="C26" s="111" t="n"/>
    </row>
    <row r="27">
      <c r="B27" s="97" t="inlineStr">
        <is>
          <t>Fuel &amp; generator</t>
        </is>
      </c>
      <c r="C27" s="111" t="n"/>
    </row>
    <row r="28">
      <c r="B28" s="97" t="inlineStr">
        <is>
          <t>Other expenses (ice, extra permits, supplies)</t>
        </is>
      </c>
      <c r="C28" s="111" t="n"/>
    </row>
    <row r="30" ht="16" customHeight="1">
      <c r="B30" s="76" t="inlineStr">
        <is>
          <t>FORECAST RESULTS</t>
        </is>
      </c>
    </row>
    <row r="31" ht="20" customHeight="1">
      <c r="B31" s="58" t="inlineStr">
        <is>
          <t>Forecast (not actual results)</t>
        </is>
      </c>
      <c r="C31" s="58" t="inlineStr">
        <is>
          <t>Worst case</t>
        </is>
      </c>
      <c r="D31" s="58" t="inlineStr">
        <is>
          <t>Base case</t>
        </is>
      </c>
      <c r="E31" s="58" t="inlineStr">
        <is>
          <t>Best case</t>
        </is>
      </c>
    </row>
    <row r="32" ht="18" customHeight="1">
      <c r="B32" s="97" t="inlineStr">
        <is>
          <t>Expected buying customers</t>
        </is>
      </c>
      <c r="C32" s="82">
        <f>ROUND(N(C13)*N(C14),0)</f>
        <v/>
      </c>
      <c r="D32" s="82">
        <f>ROUND(N(D13)*N(D14),0)</f>
        <v/>
      </c>
      <c r="E32" s="82">
        <f>ROUND(N(E13)*N(E14),0)</f>
        <v/>
      </c>
    </row>
    <row r="33" ht="18" customHeight="1">
      <c r="B33" s="97" t="inlineStr">
        <is>
          <t>Expected orders</t>
        </is>
      </c>
      <c r="C33" s="82">
        <f>ROUND(C32*N(C15),0)</f>
        <v/>
      </c>
      <c r="D33" s="82">
        <f>ROUND(D32*N(D15),0)</f>
        <v/>
      </c>
      <c r="E33" s="82">
        <f>ROUND(E32*N(E15),0)</f>
        <v/>
      </c>
    </row>
    <row r="34" ht="18" customHeight="1">
      <c r="B34" s="97" t="inlineStr">
        <is>
          <t>Revenue</t>
        </is>
      </c>
      <c r="C34" s="71">
        <f>C33*N(C16)</f>
        <v/>
      </c>
      <c r="D34" s="71">
        <f>D33*N(D16)</f>
        <v/>
      </c>
      <c r="E34" s="71">
        <f>E33*N(E16)</f>
        <v/>
      </c>
    </row>
    <row r="35" ht="18" customHeight="1">
      <c r="B35" s="97" t="inlineStr">
        <is>
          <t>Food &amp; packaging</t>
        </is>
      </c>
      <c r="C35" s="71">
        <f>C34*N($C$22)</f>
        <v/>
      </c>
      <c r="D35" s="71">
        <f>D34*N($C$22)</f>
        <v/>
      </c>
      <c r="E35" s="71">
        <f>E34*N($C$22)</f>
        <v/>
      </c>
    </row>
    <row r="36" ht="18" customHeight="1">
      <c r="B36" s="97" t="inlineStr">
        <is>
          <t>Commission + card fees</t>
        </is>
      </c>
      <c r="C36" s="71">
        <f>C34*(N($C$20)+N($C$21))</f>
        <v/>
      </c>
      <c r="D36" s="71">
        <f>D34*(N($C$20)+N($C$21))</f>
        <v/>
      </c>
      <c r="E36" s="71">
        <f>E34*(N($C$20)+N($C$21))</f>
        <v/>
      </c>
    </row>
    <row r="37" ht="18" customHeight="1">
      <c r="B37" s="97" t="inlineStr">
        <is>
          <t>Contribution (after variable costs)</t>
        </is>
      </c>
      <c r="C37" s="71">
        <f>C34-C35-C36</f>
        <v/>
      </c>
      <c r="D37" s="71">
        <f>D34-D35-D36</f>
        <v/>
      </c>
      <c r="E37" s="71">
        <f>E34-E35-E36</f>
        <v/>
      </c>
    </row>
    <row r="38" ht="18" customHeight="1">
      <c r="B38" s="97" t="inlineStr">
        <is>
          <t>Staffing cost</t>
        </is>
      </c>
      <c r="C38" s="71">
        <f>N($C$23)*N($C$24)*N($C$25)</f>
        <v/>
      </c>
      <c r="D38" s="71">
        <f>N($C$23)*N($C$24)*N($C$25)</f>
        <v/>
      </c>
      <c r="E38" s="71">
        <f>N($C$23)*N($C$24)*N($C$25)</f>
        <v/>
      </c>
    </row>
    <row r="39" ht="18" customHeight="1">
      <c r="B39" s="97" t="inlineStr">
        <is>
          <t>Fixed event costs (fee, staff, travel, fuel, other)</t>
        </is>
      </c>
      <c r="C39" s="71">
        <f>(N($C$19)+N($C$23)*N($C$24)*N($C$25)+N($C$26)+N($C$27)+N($C$28))</f>
        <v/>
      </c>
      <c r="D39" s="71">
        <f>(N($C$19)+N($C$23)*N($C$24)*N($C$25)+N($C$26)+N($C$27)+N($C$28))</f>
        <v/>
      </c>
      <c r="E39" s="71">
        <f>(N($C$19)+N($C$23)*N($C$24)*N($C$25)+N($C$26)+N($C$27)+N($C$28))</f>
        <v/>
      </c>
    </row>
    <row r="40" ht="18" customHeight="1">
      <c r="B40" s="59" t="inlineStr">
        <is>
          <t>ESTIMATED PROFIT</t>
        </is>
      </c>
      <c r="C40" s="107">
        <f>C37-C39</f>
        <v/>
      </c>
      <c r="D40" s="107">
        <f>D37-D39</f>
        <v/>
      </c>
      <c r="E40" s="107">
        <f>E37-E39</f>
        <v/>
      </c>
    </row>
    <row r="41" ht="18" customHeight="1">
      <c r="B41" s="97" t="inlineStr">
        <is>
          <t>Profit margin</t>
        </is>
      </c>
      <c r="C41" s="72">
        <f>IF(C34=0,"",C40/C34)</f>
        <v/>
      </c>
      <c r="D41" s="72">
        <f>IF(D34=0,"",D40/D34)</f>
        <v/>
      </c>
      <c r="E41" s="72">
        <f>IF(E34=0,"",E40/E34)</f>
        <v/>
      </c>
    </row>
    <row r="42" ht="18" customHeight="1">
      <c r="B42" s="97" t="inlineStr">
        <is>
          <t>Break-even orders</t>
        </is>
      </c>
      <c r="C42" s="82">
        <f>IF(N(C16)*(1-($C$20+$C$21+$C$22))&lt;=0,"n/a",ROUNDUP((N($C$19)+N($C$23)*N($C$24)*N($C$25)+N($C$26)+N($C$27)+N($C$28))/(N(C16)*(1-($C$20+$C$21+$C$22))),0))</f>
        <v/>
      </c>
      <c r="D42" s="82">
        <f>IF(N(D16)*(1-($C$20+$C$21+$C$22))&lt;=0,"n/a",ROUNDUP((N($C$19)+N($C$23)*N($C$24)*N($C$25)+N($C$26)+N($C$27)+N($C$28))/(N(D16)*(1-($C$20+$C$21+$C$22))),0))</f>
        <v/>
      </c>
      <c r="E42" s="82">
        <f>IF(N(E16)*(1-($C$20+$C$21+$C$22))&lt;=0,"n/a",ROUNDUP((N($C$19)+N($C$23)*N($C$24)*N($C$25)+N($C$26)+N($C$27)+N($C$28))/(N(E16)*(1-($C$20+$C$21+$C$22))),0))</f>
        <v/>
      </c>
    </row>
    <row r="43" ht="18" customHeight="1">
      <c r="B43" s="97" t="inlineStr">
        <is>
          <t>Break-even attendance</t>
        </is>
      </c>
      <c r="C43" s="82">
        <f>IF(OR(NOT(ISNUMBER(C42)),N(C14)*N(C15)=0),"n/a",ROUNDUP(C42/(N(C14)*N(C15)),0))</f>
        <v/>
      </c>
      <c r="D43" s="82">
        <f>IF(OR(NOT(ISNUMBER(D42)),N(D14)*N(D15)=0),"n/a",ROUNDUP(D42/(N(D14)*N(D15)),0))</f>
        <v/>
      </c>
      <c r="E43" s="82">
        <f>IF(OR(NOT(ISNUMBER(E42)),N(E14)*N(E15)=0),"n/a",ROUNDUP(E42/(N(E14)*N(E15)),0))</f>
        <v/>
      </c>
    </row>
    <row r="44" ht="18" customHeight="1">
      <c r="B44" s="97" t="inlineStr">
        <is>
          <t>Orders above / below break-even</t>
        </is>
      </c>
      <c r="C44" s="114">
        <f>IF(ISNUMBER(C42),C33-C42,"")</f>
        <v/>
      </c>
      <c r="D44" s="114">
        <f>IF(ISNUMBER(D42),D33-D42,"")</f>
        <v/>
      </c>
      <c r="E44" s="114">
        <f>IF(ISNUMBER(E42),E33-E42,"")</f>
        <v/>
      </c>
    </row>
    <row r="46" ht="24" customHeight="1">
      <c r="B46" s="59" t="inlineStr">
        <is>
          <t>Verdict</t>
        </is>
      </c>
      <c r="C46" s="84">
        <f>IF(N(D16)=0,"Enter attendance, buy rate and order value to see a verdict",IF(C40&gt;0,"LOW RISK - profitable even in the worst case",IF(D40&gt;0,"MODERATE RISK - profitable in the base case, loss in the worst case",IF(E40&gt;0,"HIGH RISK - only the best case makes money","NOT VIABLE at these assumptions - negotiate the fee or skip"))))</f>
        <v/>
      </c>
    </row>
    <row r="48" ht="16" customHeight="1">
      <c r="B48" s="115" t="inlineStr">
        <is>
          <t>ACTUAL RESULTS (after the event)</t>
        </is>
      </c>
    </row>
    <row r="49" ht="20" customHeight="1">
      <c r="B49" s="58" t="inlineStr">
        <is>
          <t>Actual</t>
        </is>
      </c>
      <c r="C49" s="58" t="inlineStr">
        <is>
          <t>From your logs</t>
        </is>
      </c>
      <c r="D49" s="58" t="inlineStr">
        <is>
          <t>Your entry</t>
        </is>
      </c>
      <c r="E49" s="58" t="inlineStr">
        <is>
          <t>Used</t>
        </is>
      </c>
    </row>
    <row r="50">
      <c r="B50" s="97" t="inlineStr">
        <is>
          <t>Actual revenue</t>
        </is>
      </c>
      <c r="C50" s="116">
        <f>IF($C$7="","",SUMIFS('Sales Log'!$I$7:$I$3006,'Sales Log'!$G$7:$G$3006,$C$7,'Sales Log'!$N$7:$N$3006,"OK"))</f>
        <v/>
      </c>
      <c r="D50" s="111" t="n"/>
      <c r="E50" s="78">
        <f>IF(ISNUMBER(D50),D50,IF(ISNUMBER(C50),C50,0))</f>
        <v/>
      </c>
    </row>
    <row r="51">
      <c r="B51" s="97" t="inlineStr">
        <is>
          <t>Actual items sold</t>
        </is>
      </c>
      <c r="C51" s="117">
        <f>IF($C$7="","",SUMIFS('Sales Log'!$D$7:$D$3006,'Sales Log'!$G$7:$G$3006,$C$7,'Sales Log'!$N$7:$N$3006,"OK"))</f>
        <v/>
      </c>
      <c r="D51" s="108" t="n"/>
      <c r="E51" s="85">
        <f>IF(ISNUMBER(D51),D51,IF(ISNUMBER(C51),C51,0))</f>
        <v/>
      </c>
    </row>
    <row r="52">
      <c r="B52" s="97" t="inlineStr">
        <is>
          <t>Actual food &amp; packaging (COGS)</t>
        </is>
      </c>
      <c r="C52" s="116">
        <f>IF($C$7="","",SUMIFS('Sales Log'!$K$7:$K$3006,'Sales Log'!$G$7:$G$3006,$C$7,'Sales Log'!$N$7:$N$3006,"OK"))</f>
        <v/>
      </c>
      <c r="D52" s="111" t="n"/>
      <c r="E52" s="78">
        <f>IF(ISNUMBER(D52),D52,IF(ISNUMBER(C52),C52,0))</f>
        <v/>
      </c>
    </row>
    <row r="53">
      <c r="B53" s="97" t="inlineStr">
        <is>
          <t>Actual fee + commission + card fees</t>
        </is>
      </c>
      <c r="C53" s="116" t="inlineStr">
        <is>
          <t>-</t>
        </is>
      </c>
      <c r="D53" s="111" t="n"/>
      <c r="E53" s="78">
        <f>IF(ISNUMBER(D53),D53,IF(ISNUMBER(C53),C53,0))</f>
        <v/>
      </c>
    </row>
    <row r="54">
      <c r="B54" s="97" t="inlineStr">
        <is>
          <t>Actual staffing cost</t>
        </is>
      </c>
      <c r="C54" s="116" t="inlineStr">
        <is>
          <t>-</t>
        </is>
      </c>
      <c r="D54" s="111" t="n"/>
      <c r="E54" s="78">
        <f>IF(ISNUMBER(D54),D54,IF(ISNUMBER(C54),C54,0))</f>
        <v/>
      </c>
    </row>
    <row r="55">
      <c r="B55" s="97" t="inlineStr">
        <is>
          <t>Actual transport, fuel &amp; other</t>
        </is>
      </c>
      <c r="C55" s="116" t="inlineStr">
        <is>
          <t>-</t>
        </is>
      </c>
      <c r="D55" s="111" t="n"/>
      <c r="E55" s="78">
        <f>IF(ISNUMBER(D55),D55,IF(ISNUMBER(C55),C55,0))</f>
        <v/>
      </c>
    </row>
    <row r="56">
      <c r="B56" s="59" t="inlineStr">
        <is>
          <t>ACTUAL PROFIT</t>
        </is>
      </c>
      <c r="E56" s="78">
        <f>IF(AND(E50=0,E53+E54+E55=0),"",E50-E52-E53-E54-E55)</f>
        <v/>
      </c>
    </row>
    <row r="57">
      <c r="B57" s="97" t="inlineStr">
        <is>
          <t>Base-case forecast profit</t>
        </is>
      </c>
      <c r="E57" s="78">
        <f>D40</f>
        <v/>
      </c>
    </row>
    <row r="58">
      <c r="B58" s="97" t="inlineStr">
        <is>
          <t>Variance (actual - base forecast)</t>
        </is>
      </c>
      <c r="E58" s="118">
        <f>IF(E56="","",E56-D40)</f>
        <v/>
      </c>
    </row>
    <row r="59">
      <c r="B59" s="97" t="inlineStr">
        <is>
          <t>Revenue vs base forecast</t>
        </is>
      </c>
      <c r="E59" s="100">
        <f>IF(OR(E56="",N(D34)=0),"",E50/D34)</f>
        <v/>
      </c>
    </row>
  </sheetData>
  <mergeCells count="21">
    <mergeCell ref="D20:E20"/>
    <mergeCell ref="D19:E19"/>
    <mergeCell ref="B6:E6"/>
    <mergeCell ref="B30:E30"/>
    <mergeCell ref="C9:E9"/>
    <mergeCell ref="D22:E22"/>
    <mergeCell ref="C46:E46"/>
    <mergeCell ref="D21:E21"/>
    <mergeCell ref="G18:G26"/>
    <mergeCell ref="D27:E27"/>
    <mergeCell ref="C8:E8"/>
    <mergeCell ref="G6:G16"/>
    <mergeCell ref="C7:E7"/>
    <mergeCell ref="B18:E18"/>
    <mergeCell ref="B48:E48"/>
    <mergeCell ref="D28:E28"/>
    <mergeCell ref="B11:E11"/>
    <mergeCell ref="D25:E25"/>
    <mergeCell ref="D24:E24"/>
    <mergeCell ref="D23:E23"/>
    <mergeCell ref="D26:E26"/>
  </mergeCells>
  <conditionalFormatting sqref="C44:E44">
    <cfRule type="expression" priority="1" dxfId="1">
      <formula>AND(ISNUMBER(C44),C44&lt;0)</formula>
    </cfRule>
  </conditionalFormatting>
  <conditionalFormatting sqref="C46">
    <cfRule type="expression" priority="2" dxfId="8">
      <formula>ISNUMBER(SEARCH("LOW RISK",C46))</formula>
    </cfRule>
    <cfRule type="expression" priority="3" dxfId="0">
      <formula>ISNUMBER(SEARCH("MODERATE",C46))</formula>
    </cfRule>
    <cfRule type="expression" priority="4" dxfId="6">
      <formula>OR(ISNUMBER(SEARCH("HIGH",C46)),ISNUMBER(SEARCH("NOT VIABLE",C46)))</formula>
    </cfRule>
  </conditionalFormatting>
  <conditionalFormatting sqref="C16:E16">
    <cfRule type="expression" priority="5" dxfId="10">
      <formula>cfg_Currency="USD"</formula>
    </cfRule>
    <cfRule type="expression" priority="12" dxfId="11">
      <formula>cfg_Currency="GBP"</formula>
    </cfRule>
  </conditionalFormatting>
  <conditionalFormatting sqref="C19">
    <cfRule type="expression" priority="5" dxfId="10">
      <formula>cfg_Currency="USD"</formula>
    </cfRule>
    <cfRule type="expression" priority="12" dxfId="11">
      <formula>cfg_Currency="GBP"</formula>
    </cfRule>
  </conditionalFormatting>
  <conditionalFormatting sqref="C25:C28">
    <cfRule type="expression" priority="5" dxfId="10">
      <formula>cfg_Currency="USD"</formula>
    </cfRule>
    <cfRule type="expression" priority="12" dxfId="11">
      <formula>cfg_Currency="GBP"</formula>
    </cfRule>
  </conditionalFormatting>
  <conditionalFormatting sqref="C34:E40">
    <cfRule type="expression" priority="5" dxfId="10">
      <formula>cfg_Currency="USD"</formula>
    </cfRule>
    <cfRule type="expression" priority="12" dxfId="11">
      <formula>cfg_Currency="GBP"</formula>
    </cfRule>
  </conditionalFormatting>
  <conditionalFormatting sqref="C50:E50">
    <cfRule type="expression" priority="5" dxfId="10">
      <formula>cfg_Currency="USD"</formula>
    </cfRule>
    <cfRule type="expression" priority="12" dxfId="11">
      <formula>cfg_Currency="GBP"</formula>
    </cfRule>
  </conditionalFormatting>
  <conditionalFormatting sqref="C52:E56">
    <cfRule type="expression" priority="5" dxfId="10">
      <formula>cfg_Currency="USD"</formula>
    </cfRule>
    <cfRule type="expression" priority="12" dxfId="11">
      <formula>cfg_Currency="GBP"</formula>
    </cfRule>
  </conditionalFormatting>
  <conditionalFormatting sqref="E57:E58">
    <cfRule type="expression" priority="5" dxfId="10">
      <formula>cfg_Currency="USD"</formula>
    </cfRule>
    <cfRule type="expression" priority="12" dxfId="11">
      <formula>cfg_Currency="GBP"</formula>
    </cfRule>
  </conditionalFormatting>
  <dataValidations count="10">
    <dataValidation sqref="C8" showDropDown="0" showInputMessage="1" showErrorMessage="1" allowBlank="1" errorTitle="Invalid date" error="Enter a valid date (2000-2100)." promptTitle="Date" prompt="Enter a date, e.g. 15/03/2026 or 3/15/2026 (your computer's format)." type="date" operator="between">
      <formula1>DATE(2000,1,1)</formula1>
      <formula2>DATE(2100,12,31)</formula2>
    </dataValidation>
    <dataValidation sqref="C13:E13" showDropDown="0" showInputMessage="1" showErrorMessage="1" allowBlank="1" errorTitle="Invalid number" error="Enter a number of at least 0." promptTitle="Attendance" prompt="People expected at the event." type="whole" operator="greaterThanOrEqual">
      <formula1>0</formula1>
    </dataValidation>
    <dataValidation sqref="C14:E14" showDropDown="0" showInputMessage="1" showErrorMessage="1" allowBlank="1" errorTitle="Invalid number" error="Enter a number of at least 0 and at most 1." promptTitle="Buy rate" prompt="Share of attendees who buy, e.g. 5%." type="decimal" operator="between">
      <formula1>0</formula1>
      <formula2>1</formula2>
    </dataValidation>
    <dataValidation sqref="C15:E15" showDropDown="0" showInputMessage="1" showErrorMessage="1" allowBlank="1" errorTitle="Invalid number" error="Enter a number of at least 0 and at most 20." promptTitle="Orders per customer" prompt="Usually 1.0" type="decimal" operator="between">
      <formula1>0</formula1>
      <formula2>20</formula2>
    </dataValidation>
    <dataValidation sqref="C16:E16" showDropDown="0" showInputMessage="1" showErrorMessage="1" allowBlank="1" errorTitle="Invalid number" error="Enter a number of at least 0." promptTitle="Order value" prompt="Typical spend per order." type="decimal" operator="greaterThanOrEqual">
      <formula1>0</formula1>
    </dataValidation>
    <dataValidation sqref="C19" showDropDown="0" showInputMessage="0" showErrorMessage="1" allowBlank="1" errorTitle="Invalid number" error="Enter a number of at least 0." type="decimal" operator="greaterThanOrEqual">
      <formula1>0</formula1>
    </dataValidation>
    <dataValidation sqref="C20:C22" showDropDown="0" showInputMessage="1" showErrorMessage="1" allowBlank="1" errorTitle="Invalid number" error="Enter a number of at least 0 and at most 0.95." promptTitle="Percent" prompt="Enter as a percentage." type="decimal" operator="between">
      <formula1>0</formula1>
      <formula2>0.95</formula2>
    </dataValidation>
    <dataValidation sqref="C23" showDropDown="0" showInputMessage="0" showErrorMessage="1" allowBlank="1" errorTitle="Invalid number" error="Enter a number of at least 0 and at most 100." type="whole" operator="between">
      <formula1>0</formula1>
      <formula2>100</formula2>
    </dataValidation>
    <dataValidation sqref="C24:C28" showDropDown="0" showInputMessage="0" showErrorMessage="1" allowBlank="1" errorTitle="Invalid number" error="Enter a number of at least 0." type="decimal" operator="greaterThanOrEqual">
      <formula1>0</formula1>
    </dataValidation>
    <dataValidation sqref="D50:D55" showDropDown="0" showInputMessage="1" showErrorMessage="1" allowBlank="1" errorTitle="Invalid number" error="Enter a number of at least 0." promptTitle="Actual" prompt="Optional: overrides the value from your logs." type="decimal" operator="greaterThanOrEqual">
      <formula1>0</formula1>
    </dataValidation>
  </dataValidations>
  <hyperlinks>
    <hyperlink ref="B4" location="'Start Here'!A1" display="› Start Here"/>
    <hyperlink ref="C4" location="'Dashboard'!A1" display="› Dashboard"/>
    <hyperlink ref="D4" location="'Sales Log'!A1" display="› Sales Log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N52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40" customWidth="1" min="2" max="2"/>
    <col width="15" customWidth="1" min="3" max="3"/>
    <col width="15" customWidth="1" min="4" max="4"/>
    <col width="15" customWidth="1" min="5" max="5"/>
    <col width="12" customWidth="1" min="6" max="6"/>
    <col width="3" customWidth="1" min="7" max="7"/>
    <col width="2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B2" s="54" t="inlineStr">
        <is>
          <t>Scenario Simulator</t>
        </is>
      </c>
      <c r="M2" s="55" t="inlineStr">
        <is>
          <t>NoviraNest</t>
        </is>
      </c>
    </row>
    <row r="3" ht="18" customHeight="1">
      <c r="B3" s="56" t="inlineStr">
        <is>
          <t>What happens to profit if costs, prices or sales change? Your real data is never modified.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D4" s="57" t="inlineStr">
        <is>
          <t>› Monthly Report</t>
        </is>
      </c>
    </row>
    <row r="5" ht="8" customHeight="1"/>
    <row r="6" ht="16" customHeight="1">
      <c r="B6" s="75" t="inlineStr">
        <is>
          <t>1. BASELINE - an average month</t>
        </is>
      </c>
    </row>
    <row r="7" ht="20" customHeight="1">
      <c r="B7" s="58" t="inlineStr">
        <is>
          <t>Baseline item</t>
        </is>
      </c>
      <c r="C7" s="58" t="inlineStr">
        <is>
          <t>From your data</t>
        </is>
      </c>
      <c r="D7" s="58" t="inlineStr">
        <is>
          <t>Your override</t>
        </is>
      </c>
      <c r="E7" s="58" t="inlineStr">
        <is>
          <t>Baseline used</t>
        </is>
      </c>
    </row>
    <row r="8">
      <c r="B8" s="97" t="inlineStr">
        <is>
          <t>Items sold per month</t>
        </is>
      </c>
      <c r="C8" s="82">
        <f>IF($C$17=0,"",'Monthly Report'!$F$20/$C$17)</f>
        <v/>
      </c>
      <c r="D8" s="108" t="n"/>
      <c r="E8" s="85">
        <f>IF(ISNUMBER(D8),D8,N(C8))</f>
        <v/>
      </c>
    </row>
    <row r="9">
      <c r="B9" s="97" t="inlineStr">
        <is>
          <t>Average price per item</t>
        </is>
      </c>
      <c r="C9" s="71">
        <f>IF(N('Monthly Report'!$F$20)=0,"",'Monthly Report'!$E$20/'Monthly Report'!$F$20)</f>
        <v/>
      </c>
      <c r="D9" s="111" t="n"/>
      <c r="E9" s="78">
        <f>IF(ISNUMBER(D9),D9,N(C9))</f>
        <v/>
      </c>
    </row>
    <row r="10">
      <c r="B10" s="97" t="inlineStr">
        <is>
          <t>Ingredient cost per item</t>
        </is>
      </c>
      <c r="C10" s="71">
        <f>IF(N('Monthly Report'!$F$20)=0,"",'Monthly Report'!$S$20/'Monthly Report'!$F$20)</f>
        <v/>
      </c>
      <c r="D10" s="111" t="n"/>
      <c r="E10" s="78">
        <f>IF(ISNUMBER(D10),D10,N(C10))</f>
        <v/>
      </c>
    </row>
    <row r="11">
      <c r="B11" s="97" t="inlineStr">
        <is>
          <t>Packaging &amp; other variable cost per item</t>
        </is>
      </c>
      <c r="C11" s="71">
        <f>IF(N('Monthly Report'!$F$20)=0,"",('Monthly Report'!$G$20-'Monthly Report'!$S$20)/'Monthly Report'!$F$20)</f>
        <v/>
      </c>
      <c r="D11" s="111" t="n"/>
      <c r="E11" s="78">
        <f>IF(ISNUMBER(D11),D11,N(C11))</f>
        <v/>
      </c>
    </row>
    <row r="12">
      <c r="B12" s="97" t="inlineStr">
        <is>
          <t>Staff wages per month</t>
        </is>
      </c>
      <c r="C12" s="71">
        <f>IF($C$17=0,"",'Monthly Report'!$L$20/$C$17)</f>
        <v/>
      </c>
      <c r="D12" s="111" t="n"/>
      <c r="E12" s="78">
        <f>IF(ISNUMBER(D12),D12,N(C12))</f>
        <v/>
      </c>
    </row>
    <row r="13">
      <c r="B13" s="97" t="inlineStr">
        <is>
          <t>Event &amp; pitch fees per month</t>
        </is>
      </c>
      <c r="C13" s="71">
        <f>IF($C$17=0,"",'Monthly Report'!$M$20/$C$17)</f>
        <v/>
      </c>
      <c r="D13" s="111" t="n"/>
      <c r="E13" s="78">
        <f>IF(ISNUMBER(D13),D13,N(C13))</f>
        <v/>
      </c>
    </row>
    <row r="14">
      <c r="B14" s="97" t="inlineStr">
        <is>
          <t>Other operating costs per month (fixed + variable)</t>
        </is>
      </c>
      <c r="C14" s="71">
        <f>IF($C$17=0,"",('Monthly Report'!$K$20+'Monthly Report'!$N$20)/$C$17)</f>
        <v/>
      </c>
      <c r="D14" s="111" t="n"/>
      <c r="E14" s="78">
        <f>IF(ISNUMBER(D14),D14,N(C14))</f>
        <v/>
      </c>
    </row>
    <row r="15">
      <c r="B15" s="97" t="inlineStr">
        <is>
          <t>Waste per month</t>
        </is>
      </c>
      <c r="C15" s="71">
        <f>IF($C$17=0,"",'Monthly Report'!$J$20/$C$17)</f>
        <v/>
      </c>
      <c r="D15" s="111" t="n"/>
      <c r="E15" s="78">
        <f>IF(ISNUMBER(D15),D15,N(C15))</f>
        <v/>
      </c>
    </row>
    <row r="17">
      <c r="B17" s="68" t="inlineStr">
        <is>
          <t>Months of sales data used for the averages</t>
        </is>
      </c>
      <c r="C17" s="69">
        <f>COUNTIF('Monthly Report'!$E$8:$E$19,"&gt;0")</f>
        <v/>
      </c>
      <c r="D17" s="104">
        <f>IF(C17=0,"No sales yet - type a baseline in the override column","Reporting year "&amp;cfg_Year)</f>
        <v/>
      </c>
    </row>
    <row r="19" ht="16" customHeight="1">
      <c r="B19" s="76" t="inlineStr">
        <is>
          <t>2. CHOOSE A SCENARIO</t>
        </is>
      </c>
    </row>
    <row r="20" ht="22" customHeight="1">
      <c r="B20" s="59" t="inlineStr">
        <is>
          <t>Scenario</t>
        </is>
      </c>
      <c r="C20" s="119" t="inlineStr">
        <is>
          <t>Custom (use my levers)</t>
        </is>
      </c>
      <c r="D20" s="60" t="n"/>
      <c r="E20" s="60" t="n"/>
    </row>
    <row r="21" ht="16" customHeight="1">
      <c r="H21" s="91" t="inlineStr">
        <is>
          <t>PRESETS (editable)</t>
        </is>
      </c>
    </row>
    <row r="22" ht="30" customHeight="1">
      <c r="B22" s="58" t="inlineStr">
        <is>
          <t>Lever (% change)</t>
        </is>
      </c>
      <c r="C22" s="58" t="inlineStr">
        <is>
          <t>My levers
(Custom)</t>
        </is>
      </c>
      <c r="D22" s="58" t="inlineStr">
        <is>
          <t>Preset value</t>
        </is>
      </c>
      <c r="E22" s="58" t="inlineStr">
        <is>
          <t>Applied</t>
        </is>
      </c>
      <c r="H22" s="58" t="inlineStr">
        <is>
          <t>Preset</t>
        </is>
      </c>
      <c r="I22" s="58" t="inlineStr">
        <is>
          <t>Ingredients</t>
        </is>
      </c>
      <c r="J22" s="58" t="inlineStr">
        <is>
          <t>Volume</t>
        </is>
      </c>
      <c r="K22" s="58" t="inlineStr">
        <is>
          <t>Menu price</t>
        </is>
      </c>
      <c r="L22" s="58" t="inlineStr">
        <is>
          <t>Labour</t>
        </is>
      </c>
      <c r="M22" s="58" t="inlineStr">
        <is>
          <t>Event fees</t>
        </is>
      </c>
    </row>
    <row r="23">
      <c r="B23" s="97" t="inlineStr">
        <is>
          <t>Ingredient prices</t>
        </is>
      </c>
      <c r="C23" s="120" t="n"/>
      <c r="D23" s="121">
        <f>IFERROR(INDEX($I$23:$I$31,MATCH($C$20,$H$23:$H$31,0)),0)</f>
        <v/>
      </c>
      <c r="E23" s="122">
        <f>IF(OR($C$20=$H$23,$C$20=""),N(C23),D23)</f>
        <v/>
      </c>
      <c r="H23" s="13" t="inlineStr">
        <is>
          <t>Custom (use my levers)</t>
        </is>
      </c>
      <c r="I23" s="123" t="inlineStr">
        <is>
          <t>-</t>
        </is>
      </c>
      <c r="J23" s="123" t="inlineStr">
        <is>
          <t>-</t>
        </is>
      </c>
      <c r="K23" s="123" t="inlineStr">
        <is>
          <t>-</t>
        </is>
      </c>
      <c r="L23" s="123" t="inlineStr">
        <is>
          <t>-</t>
        </is>
      </c>
      <c r="M23" s="123" t="inlineStr">
        <is>
          <t>-</t>
        </is>
      </c>
    </row>
    <row r="24">
      <c r="B24" s="97" t="inlineStr">
        <is>
          <t>Sales volume (items sold)</t>
        </is>
      </c>
      <c r="C24" s="120" t="n"/>
      <c r="D24" s="121">
        <f>IFERROR(INDEX($J$23:$J$31,MATCH($C$20,$H$23:$H$31,0)),0)</f>
        <v/>
      </c>
      <c r="E24" s="122">
        <f>IF(OR($C$20=$H$23,$C$20=""),N(C24),D24)</f>
        <v/>
      </c>
      <c r="H24" s="60" t="inlineStr">
        <is>
          <t>Ingredient inflation +10%</t>
        </is>
      </c>
      <c r="I24" s="124" t="n">
        <v>0.1</v>
      </c>
      <c r="J24" s="124" t="n">
        <v>0</v>
      </c>
      <c r="K24" s="124" t="n">
        <v>0</v>
      </c>
      <c r="L24" s="124" t="n">
        <v>0</v>
      </c>
      <c r="M24" s="124" t="n">
        <v>0</v>
      </c>
    </row>
    <row r="25">
      <c r="B25" s="97" t="inlineStr">
        <is>
          <t>Menu prices</t>
        </is>
      </c>
      <c r="C25" s="120" t="n"/>
      <c r="D25" s="121">
        <f>IFERROR(INDEX($K$23:$K$31,MATCH($C$20,$H$23:$H$31,0)),0)</f>
        <v/>
      </c>
      <c r="E25" s="122">
        <f>IF(OR($C$20=$H$23,$C$20=""),N(C25),D25)</f>
        <v/>
      </c>
      <c r="H25" s="60" t="inlineStr">
        <is>
          <t>Menu price increase +5%</t>
        </is>
      </c>
      <c r="I25" s="124" t="n">
        <v>0</v>
      </c>
      <c r="J25" s="124" t="n">
        <v>0</v>
      </c>
      <c r="K25" s="124" t="n">
        <v>0.05</v>
      </c>
      <c r="L25" s="124" t="n">
        <v>0</v>
      </c>
      <c r="M25" s="124" t="n">
        <v>0</v>
      </c>
    </row>
    <row r="26">
      <c r="B26" s="97" t="inlineStr">
        <is>
          <t>Labour costs</t>
        </is>
      </c>
      <c r="C26" s="120" t="n"/>
      <c r="D26" s="121">
        <f>IFERROR(INDEX($L$23:$L$31,MATCH($C$20,$H$23:$H$31,0)),0)</f>
        <v/>
      </c>
      <c r="E26" s="122">
        <f>IF(OR($C$20=$H$23,$C$20=""),N(C26),D26)</f>
        <v/>
      </c>
      <c r="H26" s="60" t="inlineStr">
        <is>
          <t>Price +5%, volume -3%</t>
        </is>
      </c>
      <c r="I26" s="124" t="n">
        <v>0</v>
      </c>
      <c r="J26" s="124" t="n">
        <v>-0.03</v>
      </c>
      <c r="K26" s="124" t="n">
        <v>0.05</v>
      </c>
      <c r="L26" s="124" t="n">
        <v>0</v>
      </c>
      <c r="M26" s="124" t="n">
        <v>0</v>
      </c>
    </row>
    <row r="27">
      <c r="B27" s="97" t="inlineStr">
        <is>
          <t>Event fees</t>
        </is>
      </c>
      <c r="C27" s="120" t="n"/>
      <c r="D27" s="121">
        <f>IFERROR(INDEX($M$23:$M$31,MATCH($C$20,$H$23:$H$31,0)),0)</f>
        <v/>
      </c>
      <c r="E27" s="122">
        <f>IF(OR($C$20=$H$23,$C$20=""),N(C27),D27)</f>
        <v/>
      </c>
      <c r="H27" s="60" t="inlineStr">
        <is>
          <t>Busy season (+25% volume)</t>
        </is>
      </c>
      <c r="I27" s="124" t="n">
        <v>0</v>
      </c>
      <c r="J27" s="124" t="n">
        <v>0.25</v>
      </c>
      <c r="K27" s="124" t="n">
        <v>0</v>
      </c>
      <c r="L27" s="124" t="n">
        <v>0.1</v>
      </c>
      <c r="M27" s="124" t="n">
        <v>0</v>
      </c>
    </row>
    <row r="28">
      <c r="H28" s="60" t="inlineStr">
        <is>
          <t>Slow season (-30% volume)</t>
        </is>
      </c>
      <c r="I28" s="124" t="n">
        <v>0</v>
      </c>
      <c r="J28" s="124" t="n">
        <v>-0.3</v>
      </c>
      <c r="K28" s="124" t="n">
        <v>0</v>
      </c>
      <c r="L28" s="124" t="n">
        <v>-0.15</v>
      </c>
      <c r="M28" s="124" t="n">
        <v>0</v>
      </c>
    </row>
    <row r="29">
      <c r="H29" s="60" t="inlineStr">
        <is>
          <t>Wage increase +8%</t>
        </is>
      </c>
      <c r="I29" s="124" t="n">
        <v>0</v>
      </c>
      <c r="J29" s="124" t="n">
        <v>0</v>
      </c>
      <c r="K29" s="124" t="n">
        <v>0</v>
      </c>
      <c r="L29" s="124" t="n">
        <v>0.08</v>
      </c>
      <c r="M29" s="124" t="n">
        <v>0</v>
      </c>
    </row>
    <row r="30">
      <c r="H30" s="60" t="inlineStr">
        <is>
          <t>Event fees +20%</t>
        </is>
      </c>
      <c r="I30" s="124" t="n">
        <v>0</v>
      </c>
      <c r="J30" s="124" t="n">
        <v>0</v>
      </c>
      <c r="K30" s="124" t="n">
        <v>0</v>
      </c>
      <c r="L30" s="124" t="n">
        <v>0</v>
      </c>
      <c r="M30" s="124" t="n">
        <v>0.2</v>
      </c>
    </row>
    <row r="31">
      <c r="H31" s="60" t="inlineStr">
        <is>
          <t>Perfect storm</t>
        </is>
      </c>
      <c r="I31" s="124" t="n">
        <v>0.12</v>
      </c>
      <c r="J31" s="124" t="n">
        <v>-0.15</v>
      </c>
      <c r="K31" s="124" t="n">
        <v>0</v>
      </c>
      <c r="L31" s="124" t="n">
        <v>0.08</v>
      </c>
      <c r="M31" s="124" t="n">
        <v>0.2</v>
      </c>
    </row>
    <row r="33" ht="16" customHeight="1">
      <c r="B33" s="67" t="inlineStr">
        <is>
          <t>3. IMPACT (per month)</t>
        </is>
      </c>
    </row>
    <row r="34" ht="20" customHeight="1">
      <c r="B34" s="58" t="inlineStr">
        <is>
          <t>Metric</t>
        </is>
      </c>
      <c r="C34" s="58" t="inlineStr">
        <is>
          <t>Baseline</t>
        </is>
      </c>
      <c r="D34" s="58" t="inlineStr">
        <is>
          <t>Scenario</t>
        </is>
      </c>
      <c r="E34" s="58" t="inlineStr">
        <is>
          <t>Change</t>
        </is>
      </c>
      <c r="F34" s="58" t="inlineStr">
        <is>
          <t>Change %</t>
        </is>
      </c>
      <c r="H34" s="74" t="inlineStr">
        <is>
          <t>HOW IT WORKS
Baseline = your average month in the reporting year (or your overrides).
The scenario multiplies the baseline by the applied levers. Price changes do not automatically change volume - use 'Price +5%, volume -3%' or your own levers to model customer reaction.
Nothing on your other sheets changes.</t>
        </is>
      </c>
    </row>
    <row r="35" ht="18" customHeight="1">
      <c r="B35" s="97" t="inlineStr">
        <is>
          <t>Items sold</t>
        </is>
      </c>
      <c r="C35" s="82">
        <f>E8</f>
        <v/>
      </c>
      <c r="D35" s="82">
        <f>C35*(1+$E$24)</f>
        <v/>
      </c>
      <c r="E35" s="114">
        <f>IF(AND(ISNUMBER(C35),ISNUMBER(D35)),D35-C35,"")</f>
        <v/>
      </c>
      <c r="F35" s="121">
        <f>IF(AND(ISNUMBER(C35),ISNUMBER(D35),N(C35)&lt;&gt;0),(D35-C35)/ABS(C35),"")</f>
        <v/>
      </c>
    </row>
    <row r="36" ht="18" customHeight="1">
      <c r="B36" s="97" t="inlineStr">
        <is>
          <t>Average price per item</t>
        </is>
      </c>
      <c r="C36" s="71">
        <f>E9</f>
        <v/>
      </c>
      <c r="D36" s="71">
        <f>C36*(1+$E$25)</f>
        <v/>
      </c>
      <c r="E36" s="125">
        <f>IF(AND(ISNUMBER(C36),ISNUMBER(D36)),D36-C36,"")</f>
        <v/>
      </c>
      <c r="F36" s="121">
        <f>IF(AND(ISNUMBER(C36),ISNUMBER(D36),N(C36)&lt;&gt;0),(D36-C36)/ABS(C36),"")</f>
        <v/>
      </c>
    </row>
    <row r="37" ht="18" customHeight="1">
      <c r="B37" s="59" t="inlineStr">
        <is>
          <t>Revenue</t>
        </is>
      </c>
      <c r="C37" s="78">
        <f>C35*C36</f>
        <v/>
      </c>
      <c r="D37" s="78">
        <f>D35*D36</f>
        <v/>
      </c>
      <c r="E37" s="126">
        <f>IF(AND(ISNUMBER(C37),ISNUMBER(D37)),D37-C37,"")</f>
        <v/>
      </c>
      <c r="F37" s="121">
        <f>IF(AND(ISNUMBER(C37),ISNUMBER(D37),N(C37)&lt;&gt;0),(D37-C37)/ABS(C37),"")</f>
        <v/>
      </c>
    </row>
    <row r="38" ht="18" customHeight="1">
      <c r="B38" s="97" t="inlineStr">
        <is>
          <t>Ingredient costs</t>
        </is>
      </c>
      <c r="C38" s="71">
        <f>C35*E10</f>
        <v/>
      </c>
      <c r="D38" s="71">
        <f>D35*E10*(1+$E$23)</f>
        <v/>
      </c>
      <c r="E38" s="125">
        <f>IF(AND(ISNUMBER(C38),ISNUMBER(D38)),D38-C38,"")</f>
        <v/>
      </c>
      <c r="F38" s="121">
        <f>IF(AND(ISNUMBER(C38),ISNUMBER(D38),N(C38)&lt;&gt;0),(D38-C38)/ABS(C38),"")</f>
        <v/>
      </c>
    </row>
    <row r="39" ht="18" customHeight="1">
      <c r="B39" s="97" t="inlineStr">
        <is>
          <t>Packaging &amp; other variable</t>
        </is>
      </c>
      <c r="C39" s="71">
        <f>C35*E11</f>
        <v/>
      </c>
      <c r="D39" s="71">
        <f>D35*E11</f>
        <v/>
      </c>
      <c r="E39" s="125">
        <f>IF(AND(ISNUMBER(C39),ISNUMBER(D39)),D39-C39,"")</f>
        <v/>
      </c>
      <c r="F39" s="121">
        <f>IF(AND(ISNUMBER(C39),ISNUMBER(D39),N(C39)&lt;&gt;0),(D39-C39)/ABS(C39),"")</f>
        <v/>
      </c>
    </row>
    <row r="40" ht="18" customHeight="1">
      <c r="B40" s="59" t="inlineStr">
        <is>
          <t>Gross profit</t>
        </is>
      </c>
      <c r="C40" s="78">
        <f>C37-C38-C39</f>
        <v/>
      </c>
      <c r="D40" s="78">
        <f>D37-D38-D39</f>
        <v/>
      </c>
      <c r="E40" s="126">
        <f>IF(AND(ISNUMBER(C40),ISNUMBER(D40)),D40-C40,"")</f>
        <v/>
      </c>
      <c r="F40" s="121">
        <f>IF(AND(ISNUMBER(C40),ISNUMBER(D40),N(C40)&lt;&gt;0),(D40-C40)/ABS(C40),"")</f>
        <v/>
      </c>
    </row>
    <row r="41" ht="18" customHeight="1">
      <c r="B41" s="97" t="inlineStr">
        <is>
          <t>Gross margin</t>
        </is>
      </c>
      <c r="C41" s="72">
        <f>IF(C37=0,"",C40/C37)</f>
        <v/>
      </c>
      <c r="D41" s="72">
        <f>IF(D37=0,"",D40/D37)</f>
        <v/>
      </c>
      <c r="E41" s="127">
        <f>IF(OR(C41="",D41=""),"",(D41-C41)*100)</f>
        <v/>
      </c>
      <c r="F41" s="13" t="n"/>
    </row>
    <row r="42" ht="18" customHeight="1">
      <c r="B42" s="97" t="inlineStr">
        <is>
          <t>Staff wages</t>
        </is>
      </c>
      <c r="C42" s="71">
        <f>E12</f>
        <v/>
      </c>
      <c r="D42" s="71">
        <f>E12*(1+$E$26)</f>
        <v/>
      </c>
      <c r="E42" s="125">
        <f>IF(AND(ISNUMBER(C42),ISNUMBER(D42)),D42-C42,"")</f>
        <v/>
      </c>
      <c r="F42" s="121">
        <f>IF(AND(ISNUMBER(C42),ISNUMBER(D42),N(C42)&lt;&gt;0),(D42-C42)/ABS(C42),"")</f>
        <v/>
      </c>
    </row>
    <row r="43" ht="18" customHeight="1">
      <c r="B43" s="97" t="inlineStr">
        <is>
          <t>Event &amp; pitch fees</t>
        </is>
      </c>
      <c r="C43" s="71">
        <f>E13</f>
        <v/>
      </c>
      <c r="D43" s="71">
        <f>E13*(1+$E$27)</f>
        <v/>
      </c>
      <c r="E43" s="125">
        <f>IF(AND(ISNUMBER(C43),ISNUMBER(D43)),D43-C43,"")</f>
        <v/>
      </c>
      <c r="F43" s="121">
        <f>IF(AND(ISNUMBER(C43),ISNUMBER(D43),N(C43)&lt;&gt;0),(D43-C43)/ABS(C43),"")</f>
        <v/>
      </c>
    </row>
    <row r="44" ht="18" customHeight="1">
      <c r="B44" s="97" t="inlineStr">
        <is>
          <t>Other operating costs</t>
        </is>
      </c>
      <c r="C44" s="71">
        <f>E14</f>
        <v/>
      </c>
      <c r="D44" s="71">
        <f>E14</f>
        <v/>
      </c>
      <c r="E44" s="125">
        <f>IF(AND(ISNUMBER(C44),ISNUMBER(D44)),D44-C44,"")</f>
        <v/>
      </c>
      <c r="F44" s="121">
        <f>IF(AND(ISNUMBER(C44),ISNUMBER(D44),N(C44)&lt;&gt;0),(D44-C44)/ABS(C44),"")</f>
        <v/>
      </c>
    </row>
    <row r="45" ht="18" customHeight="1">
      <c r="B45" s="97" t="inlineStr">
        <is>
          <t>Waste (moves with ingredient prices)</t>
        </is>
      </c>
      <c r="C45" s="71">
        <f>E15</f>
        <v/>
      </c>
      <c r="D45" s="71">
        <f>E15*(1+$E$23)</f>
        <v/>
      </c>
      <c r="E45" s="125">
        <f>IF(AND(ISNUMBER(C45),ISNUMBER(D45)),D45-C45,"")</f>
        <v/>
      </c>
      <c r="F45" s="121">
        <f>IF(AND(ISNUMBER(C45),ISNUMBER(D45),N(C45)&lt;&gt;0),(D45-C45)/ABS(C45),"")</f>
        <v/>
      </c>
    </row>
    <row r="46" ht="18" customHeight="1">
      <c r="B46" s="59" t="inlineStr">
        <is>
          <t>NET PROFIT</t>
        </is>
      </c>
      <c r="C46" s="107">
        <f>C40-SUM(C42:C45)</f>
        <v/>
      </c>
      <c r="D46" s="107">
        <f>D40-SUM(D42:D45)</f>
        <v/>
      </c>
      <c r="E46" s="126">
        <f>IF(AND(ISNUMBER(C46),ISNUMBER(D46)),D46-C46,"")</f>
        <v/>
      </c>
      <c r="F46" s="121">
        <f>IF(AND(ISNUMBER(C46),ISNUMBER(D46),N(C46)&lt;&gt;0),(D46-C46)/ABS(C46),"")</f>
        <v/>
      </c>
    </row>
    <row r="47" ht="18" customHeight="1">
      <c r="B47" s="97" t="inlineStr">
        <is>
          <t>Net margin</t>
        </is>
      </c>
      <c r="C47" s="72">
        <f>IF(C37=0,"",C46/C37)</f>
        <v/>
      </c>
      <c r="D47" s="72">
        <f>IF(D37=0,"",D46/D37)</f>
        <v/>
      </c>
      <c r="E47" s="127">
        <f>IF(OR(C47="",D47=""),"",(D47-C47)*100)</f>
        <v/>
      </c>
      <c r="F47" s="13" t="n"/>
      <c r="H47" s="128" t="inlineStr">
        <is>
          <t>Chart</t>
        </is>
      </c>
      <c r="I47" s="128" t="inlineStr">
        <is>
          <t>Baseline</t>
        </is>
      </c>
      <c r="J47" s="128" t="inlineStr">
        <is>
          <t>Scenario</t>
        </is>
      </c>
    </row>
    <row r="48" ht="18" customHeight="1">
      <c r="B48" s="97" t="inlineStr">
        <is>
          <t>Break-even items per month</t>
        </is>
      </c>
      <c r="C48" s="82">
        <f>IF(C36-E10-E11&lt;=0,"n/a",ROUNDUP(SUM(C42:C45)/(C36-E10-E11),0))</f>
        <v/>
      </c>
      <c r="D48" s="82">
        <f>IF(D36-E10*(1+$E$23)-E11&lt;=0,"n/a",ROUNDUP(SUM(D42:D45)/(D36-E10*(1+$E$23)-E11),0))</f>
        <v/>
      </c>
      <c r="E48" s="114">
        <f>IF(AND(ISNUMBER(C48),ISNUMBER(D48)),D48-C48,"")</f>
        <v/>
      </c>
      <c r="F48" s="121">
        <f>IF(AND(ISNUMBER(C48),ISNUMBER(D48),N(C48)&lt;&gt;0),(D48-C48)/ABS(C48),"")</f>
        <v/>
      </c>
      <c r="H48" s="128" t="inlineStr">
        <is>
          <t>Revenue</t>
        </is>
      </c>
      <c r="I48" s="128">
        <f>C37</f>
        <v/>
      </c>
      <c r="J48" s="128">
        <f>D37</f>
        <v/>
      </c>
    </row>
    <row r="49">
      <c r="H49" s="128" t="inlineStr">
        <is>
          <t>Gross profit</t>
        </is>
      </c>
      <c r="I49" s="128">
        <f>C40</f>
        <v/>
      </c>
      <c r="J49" s="128">
        <f>D40</f>
        <v/>
      </c>
    </row>
    <row r="50">
      <c r="B50" s="59" t="inlineStr">
        <is>
          <t>Average price needed to keep your baseline net profit</t>
        </is>
      </c>
      <c r="D50" s="92">
        <f>IF(OR(D35&lt;=0,C35&lt;=0),"",(C46+SUM(D42:D45))/D35+E10*(1+$E$23)+E11)</f>
        <v/>
      </c>
      <c r="E50" s="122">
        <f>IF(OR(D50="",N(C36)=0),"",D50/C36-1)</f>
        <v/>
      </c>
      <c r="H50" s="128" t="inlineStr">
        <is>
          <t>Net profit</t>
        </is>
      </c>
      <c r="I50" s="128">
        <f>C46</f>
        <v/>
      </c>
      <c r="J50" s="128">
        <f>D46</f>
        <v/>
      </c>
    </row>
    <row r="51" ht="30" customHeight="1">
      <c r="B51" s="129">
        <f>IF(D50="","",IF(E50&gt;0.0005,"To keep today's profit in this scenario, raise your average price by "&amp;TEXT(E50,"0.0%")&amp;" (to "&amp;cfg_Symbol&amp;TEXT(D50,"0.00")&amp;").",IF(E50&lt;-0.0005,"This scenario is more profitable: you could lower prices by up to "&amp;TEXT(-E50,"0.0%")&amp;" and keep today's profit.","Your profit is unchanged in this scenario.")))</f>
        <v/>
      </c>
    </row>
    <row r="52" ht="16" customHeight="1">
      <c r="B52" s="67" t="inlineStr">
        <is>
          <t>BASELINE vs SCENARIO (per month)</t>
        </is>
      </c>
    </row>
  </sheetData>
  <mergeCells count="9">
    <mergeCell ref="H21:M21"/>
    <mergeCell ref="H34:M44"/>
    <mergeCell ref="C20:E20"/>
    <mergeCell ref="B33:F33"/>
    <mergeCell ref="B6:E6"/>
    <mergeCell ref="B51:F51"/>
    <mergeCell ref="B19:E19"/>
    <mergeCell ref="D17:E17"/>
    <mergeCell ref="B52:F52"/>
  </mergeCells>
  <conditionalFormatting sqref="E37:F37">
    <cfRule type="expression" priority="1" dxfId="1">
      <formula>AND(ISNUMBER(E37),E37&lt;0)</formula>
    </cfRule>
    <cfRule type="expression" priority="2" dxfId="2">
      <formula>AND(ISNUMBER(E37),E37&gt;0)</formula>
    </cfRule>
  </conditionalFormatting>
  <conditionalFormatting sqref="E40:F40">
    <cfRule type="expression" priority="3" dxfId="1">
      <formula>AND(ISNUMBER(E40),E40&lt;0)</formula>
    </cfRule>
    <cfRule type="expression" priority="4" dxfId="2">
      <formula>AND(ISNUMBER(E40),E40&gt;0)</formula>
    </cfRule>
  </conditionalFormatting>
  <conditionalFormatting sqref="E46:F46">
    <cfRule type="expression" priority="5" dxfId="1">
      <formula>AND(ISNUMBER(E46),E46&lt;0)</formula>
    </cfRule>
    <cfRule type="expression" priority="6" dxfId="2">
      <formula>AND(ISNUMBER(E46),E46&gt;0)</formula>
    </cfRule>
  </conditionalFormatting>
  <conditionalFormatting sqref="E38:F39">
    <cfRule type="expression" priority="7" dxfId="12">
      <formula>AND(ISNUMBER(E38),E38&gt;0)</formula>
    </cfRule>
  </conditionalFormatting>
  <conditionalFormatting sqref="E42:F45">
    <cfRule type="expression" priority="8" dxfId="12">
      <formula>AND(ISNUMBER(E42),E42&gt;0)</formula>
    </cfRule>
  </conditionalFormatting>
  <conditionalFormatting sqref="C9:E15">
    <cfRule type="expression" priority="9" dxfId="10">
      <formula>cfg_Currency="USD"</formula>
    </cfRule>
    <cfRule type="expression" priority="13" dxfId="11">
      <formula>cfg_Currency="GBP"</formula>
    </cfRule>
  </conditionalFormatting>
  <conditionalFormatting sqref="C36:D40">
    <cfRule type="expression" priority="9" dxfId="10">
      <formula>cfg_Currency="USD"</formula>
    </cfRule>
    <cfRule type="expression" priority="13" dxfId="11">
      <formula>cfg_Currency="GBP"</formula>
    </cfRule>
  </conditionalFormatting>
  <conditionalFormatting sqref="C42:D46">
    <cfRule type="expression" priority="9" dxfId="10">
      <formula>cfg_Currency="USD"</formula>
    </cfRule>
    <cfRule type="expression" priority="13" dxfId="11">
      <formula>cfg_Currency="GBP"</formula>
    </cfRule>
  </conditionalFormatting>
  <conditionalFormatting sqref="D50">
    <cfRule type="expression" priority="9" dxfId="10">
      <formula>cfg_Currency="USD"</formula>
    </cfRule>
    <cfRule type="expression" priority="13" dxfId="11">
      <formula>cfg_Currency="GBP"</formula>
    </cfRule>
  </conditionalFormatting>
  <dataValidations count="3">
    <dataValidation sqref="D8:D15" showDropDown="0" showInputMessage="1" showErrorMessage="1" allowBlank="1" errorTitle="Invalid number" error="Enter a number of at least 0." promptTitle="Override" prompt="Leave blank to use your data." type="decimal" operator="greaterThanOrEqual">
      <formula1>0</formula1>
    </dataValidation>
    <dataValidation sqref="C20" showDropDown="0" showInputMessage="1" showErrorMessage="1" allowBlank="1" errorTitle="Not in list" error="Please pick a value from the dropdown list." promptTitle="Scenario" prompt="Pick a preset, or 'Custom' to use your own levers below." type="list" errorStyle="stop">
      <formula1>$H$23:$H$31</formula1>
    </dataValidation>
    <dataValidation sqref="C23:C27" showDropDown="0" showInputMessage="1" showErrorMessage="1" allowBlank="1" errorTitle="Invalid number" error="Enter a number of at least -0.9 and at most 5." promptTitle="Change" prompt="e.g. 10% or -15%" type="decimal" operator="between">
      <formula1>-0.9</formula1>
      <formula2>5</formula2>
    </dataValidation>
  </dataValidations>
  <hyperlinks>
    <hyperlink ref="B4" location="'Start Here'!A1" display="› Start Here"/>
    <hyperlink ref="C4" location="'Dashboard'!A1" display="› Dashboard"/>
    <hyperlink ref="D4" location="'Monthly Report'!A1" display="› Monthly Report"/>
  </hyperlink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V41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3" customWidth="1" min="5" max="5"/>
    <col width="32" customWidth="1" min="6" max="6"/>
    <col width="24" customWidth="1" min="7" max="7"/>
    <col width="40" customWidth="1" min="8" max="8"/>
    <col width="3" customWidth="1" min="9" max="9"/>
    <col width="18" customWidth="1" min="10" max="10"/>
    <col width="3" customWidth="1" min="11" max="11"/>
    <col width="16" customWidth="1" min="12" max="12"/>
    <col width="3" customWidth="1" min="13" max="13"/>
    <col width="18" customWidth="1" min="14" max="14"/>
    <col width="3" customWidth="1" min="15" max="15"/>
    <col width="14" customWidth="1" min="16" max="16"/>
    <col width="3" customWidth="1" min="17" max="17"/>
    <col width="10" customWidth="1" min="18" max="18"/>
    <col width="3" customWidth="1" min="19" max="19"/>
    <col width="14" customWidth="1" min="20" max="20"/>
    <col width="3" customWidth="1" min="21" max="21"/>
    <col width="26" customWidth="1" min="22" max="2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30" customHeight="1">
      <c r="B2" s="54" t="inlineStr">
        <is>
          <t>Lists &amp; Units</t>
        </is>
      </c>
      <c r="T2" s="55" t="inlineStr">
        <is>
          <t>NoviraNest</t>
        </is>
      </c>
    </row>
    <row r="3" ht="18" customHeight="1">
      <c r="B3" s="56" t="inlineStr">
        <is>
          <t>Dropdown sources and unit conversion factors. Add your own categories in the empty cream rows.</t>
        </is>
      </c>
    </row>
    <row r="4" ht="18" customHeight="1">
      <c r="B4" s="57" t="inlineStr">
        <is>
          <t>› Start Here</t>
        </is>
      </c>
      <c r="D4" s="57" t="inlineStr">
        <is>
          <t>› Dashboard</t>
        </is>
      </c>
      <c r="F4" s="57" t="inlineStr">
        <is>
          <t>› Settings</t>
        </is>
      </c>
    </row>
    <row r="5" ht="30" customHeight="1">
      <c r="B5" s="58" t="inlineStr">
        <is>
          <t>Unit</t>
        </is>
      </c>
      <c r="C5" s="58" t="inlineStr">
        <is>
          <t>Dimension</t>
        </is>
      </c>
      <c r="D5" s="58" t="inlineStr">
        <is>
          <t>Factor to base
(g / ml / each)</t>
        </is>
      </c>
      <c r="F5" s="58" t="inlineStr">
        <is>
          <t>Expense category</t>
        </is>
      </c>
      <c r="G5" s="58" t="inlineStr">
        <is>
          <t>Cost type</t>
        </is>
      </c>
      <c r="H5" s="58" t="inlineStr">
        <is>
          <t>What goes here</t>
        </is>
      </c>
      <c r="J5" s="58" t="inlineStr">
        <is>
          <t>Payment method</t>
        </is>
      </c>
      <c r="L5" s="58" t="inlineStr">
        <is>
          <t>Menu category</t>
        </is>
      </c>
      <c r="N5" s="58" t="inlineStr">
        <is>
          <t>Waste reason</t>
        </is>
      </c>
      <c r="P5" s="58" t="inlineStr">
        <is>
          <t>Dashboard period</t>
        </is>
      </c>
      <c r="R5" s="58" t="inlineStr">
        <is>
          <t>Currency</t>
        </is>
      </c>
      <c r="T5" s="58" t="inlineStr">
        <is>
          <t>Price rounding step</t>
        </is>
      </c>
      <c r="V5" s="58" t="inlineStr">
        <is>
          <t>Cost types</t>
        </is>
      </c>
    </row>
    <row r="6">
      <c r="B6" s="60" t="inlineStr">
        <is>
          <t>g</t>
        </is>
      </c>
      <c r="C6" s="60" t="inlineStr">
        <is>
          <t>Mass</t>
        </is>
      </c>
      <c r="D6" s="86" t="n">
        <v>1</v>
      </c>
      <c r="F6" s="60" t="inlineStr">
        <is>
          <t>Commissary / Parking</t>
        </is>
      </c>
      <c r="G6" s="60" t="inlineStr">
        <is>
          <t>Fixed</t>
        </is>
      </c>
      <c r="H6" s="60" t="inlineStr">
        <is>
          <t>Kitchen rental, overnight parking</t>
        </is>
      </c>
      <c r="J6" s="60" t="inlineStr">
        <is>
          <t>Card</t>
        </is>
      </c>
      <c r="L6" s="60" t="inlineStr">
        <is>
          <t>Mains</t>
        </is>
      </c>
      <c r="N6" s="60" t="inlineStr">
        <is>
          <t>Expired</t>
        </is>
      </c>
      <c r="P6" s="13" t="inlineStr">
        <is>
          <t>Full Year</t>
        </is>
      </c>
      <c r="R6" s="13" t="inlineStr">
        <is>
          <t>USD</t>
        </is>
      </c>
      <c r="T6" s="73" t="n">
        <v>0</v>
      </c>
      <c r="V6" s="13" t="inlineStr">
        <is>
          <t>Fixed</t>
        </is>
      </c>
    </row>
    <row r="7">
      <c r="B7" s="60" t="inlineStr">
        <is>
          <t>kg</t>
        </is>
      </c>
      <c r="C7" s="60" t="inlineStr">
        <is>
          <t>Mass</t>
        </is>
      </c>
      <c r="D7" s="86" t="n">
        <v>1000</v>
      </c>
      <c r="F7" s="60" t="inlineStr">
        <is>
          <t>Truck Loan / Lease</t>
        </is>
      </c>
      <c r="G7" s="60" t="inlineStr">
        <is>
          <t>Fixed</t>
        </is>
      </c>
      <c r="H7" s="60" t="inlineStr">
        <is>
          <t>Monthly truck or trailer payment</t>
        </is>
      </c>
      <c r="J7" s="60" t="inlineStr">
        <is>
          <t>Cash</t>
        </is>
      </c>
      <c r="L7" s="60" t="inlineStr">
        <is>
          <t>Sides</t>
        </is>
      </c>
      <c r="N7" s="60" t="inlineStr">
        <is>
          <t>Spoiled</t>
        </is>
      </c>
      <c r="P7" s="13" t="inlineStr">
        <is>
          <t>January</t>
        </is>
      </c>
      <c r="R7" s="13" t="inlineStr">
        <is>
          <t>GBP</t>
        </is>
      </c>
      <c r="T7" s="73" t="n">
        <v>0.05</v>
      </c>
      <c r="V7" s="13" t="inlineStr">
        <is>
          <t>Labor</t>
        </is>
      </c>
    </row>
    <row r="8">
      <c r="B8" s="60" t="inlineStr">
        <is>
          <t>oz</t>
        </is>
      </c>
      <c r="C8" s="60" t="inlineStr">
        <is>
          <t>Mass</t>
        </is>
      </c>
      <c r="D8" s="86" t="n">
        <v>28.349523125</v>
      </c>
      <c r="F8" s="60" t="inlineStr">
        <is>
          <t>Insurance</t>
        </is>
      </c>
      <c r="G8" s="60" t="inlineStr">
        <is>
          <t>Fixed</t>
        </is>
      </c>
      <c r="H8" s="60" t="inlineStr">
        <is>
          <t>Liability, vehicle, equipment</t>
        </is>
      </c>
      <c r="J8" s="60" t="inlineStr">
        <is>
          <t>Mobile Wallet</t>
        </is>
      </c>
      <c r="L8" s="60" t="inlineStr">
        <is>
          <t>Drinks</t>
        </is>
      </c>
      <c r="N8" s="60" t="inlineStr">
        <is>
          <t>Over-prepped</t>
        </is>
      </c>
      <c r="P8" s="13" t="inlineStr">
        <is>
          <t>February</t>
        </is>
      </c>
      <c r="T8" s="73" t="n">
        <v>0.1</v>
      </c>
      <c r="V8" s="13" t="inlineStr">
        <is>
          <t>Event Fees</t>
        </is>
      </c>
    </row>
    <row r="9">
      <c r="B9" s="60" t="inlineStr">
        <is>
          <t>lb</t>
        </is>
      </c>
      <c r="C9" s="60" t="inlineStr">
        <is>
          <t>Mass</t>
        </is>
      </c>
      <c r="D9" s="86" t="n">
        <v>453.59237</v>
      </c>
      <c r="F9" s="60" t="inlineStr">
        <is>
          <t>Licenses &amp; Permits</t>
        </is>
      </c>
      <c r="G9" s="60" t="inlineStr">
        <is>
          <t>Fixed</t>
        </is>
      </c>
      <c r="H9" s="60" t="inlineStr">
        <is>
          <t>Health permits, business licences</t>
        </is>
      </c>
      <c r="J9" s="60" t="inlineStr">
        <is>
          <t>Online / App</t>
        </is>
      </c>
      <c r="L9" s="60" t="inlineStr">
        <is>
          <t>Desserts</t>
        </is>
      </c>
      <c r="N9" s="60" t="inlineStr">
        <is>
          <t>Dropped / Damaged</t>
        </is>
      </c>
      <c r="P9" s="13" t="inlineStr">
        <is>
          <t>March</t>
        </is>
      </c>
      <c r="T9" s="73" t="n">
        <v>0.25</v>
      </c>
      <c r="V9" s="13" t="inlineStr">
        <is>
          <t>Variable</t>
        </is>
      </c>
    </row>
    <row r="10">
      <c r="B10" s="60" t="inlineStr">
        <is>
          <t>ml</t>
        </is>
      </c>
      <c r="C10" s="60" t="inlineStr">
        <is>
          <t>Volume</t>
        </is>
      </c>
      <c r="D10" s="86" t="n">
        <v>1</v>
      </c>
      <c r="F10" s="60" t="inlineStr">
        <is>
          <t>POS / Software</t>
        </is>
      </c>
      <c r="G10" s="60" t="inlineStr">
        <is>
          <t>Fixed</t>
        </is>
      </c>
      <c r="H10" s="60" t="inlineStr">
        <is>
          <t>Point of sale, apps, subscriptions</t>
        </is>
      </c>
      <c r="J10" s="60" t="inlineStr">
        <is>
          <t>Bank Transfer</t>
        </is>
      </c>
      <c r="L10" s="60" t="inlineStr">
        <is>
          <t>Kids</t>
        </is>
      </c>
      <c r="N10" s="60" t="inlineStr">
        <is>
          <t>Quality reject</t>
        </is>
      </c>
      <c r="P10" s="13" t="inlineStr">
        <is>
          <t>April</t>
        </is>
      </c>
      <c r="T10" s="73" t="n">
        <v>0.5</v>
      </c>
      <c r="V10" s="13" t="inlineStr">
        <is>
          <t>Excluded - Stock Purchase</t>
        </is>
      </c>
    </row>
    <row r="11">
      <c r="B11" s="60" t="inlineStr">
        <is>
          <t>l</t>
        </is>
      </c>
      <c r="C11" s="60" t="inlineStr">
        <is>
          <t>Volume</t>
        </is>
      </c>
      <c r="D11" s="86" t="n">
        <v>1000</v>
      </c>
      <c r="F11" s="60" t="inlineStr">
        <is>
          <t>Phone &amp; Internet</t>
        </is>
      </c>
      <c r="G11" s="60" t="inlineStr">
        <is>
          <t>Fixed</t>
        </is>
      </c>
      <c r="H11" s="60" t="inlineStr">
        <is>
          <t>Mobile data, hotspot</t>
        </is>
      </c>
      <c r="J11" s="60" t="inlineStr">
        <is>
          <t>Invoice</t>
        </is>
      </c>
      <c r="L11" s="60" t="inlineStr">
        <is>
          <t>Specials</t>
        </is>
      </c>
      <c r="N11" s="60" t="inlineStr">
        <is>
          <t>Staff error</t>
        </is>
      </c>
      <c r="P11" s="13" t="inlineStr">
        <is>
          <t>May</t>
        </is>
      </c>
      <c r="T11" s="73" t="n">
        <v>1</v>
      </c>
      <c r="V11" s="13" t="inlineStr">
        <is>
          <t>Excluded - Owner Draw</t>
        </is>
      </c>
    </row>
    <row r="12">
      <c r="B12" s="60" t="inlineStr">
        <is>
          <t>tsp</t>
        </is>
      </c>
      <c r="C12" s="60" t="inlineStr">
        <is>
          <t>Volume</t>
        </is>
      </c>
      <c r="D12" s="86" t="n">
        <v>4.92892159375</v>
      </c>
      <c r="F12" s="60" t="inlineStr">
        <is>
          <t>Accounting &amp; Legal</t>
        </is>
      </c>
      <c r="G12" s="60" t="inlineStr">
        <is>
          <t>Fixed</t>
        </is>
      </c>
      <c r="H12" s="60" t="inlineStr">
        <is>
          <t>Bookkeeper, accountant, legal</t>
        </is>
      </c>
      <c r="J12" s="60" t="inlineStr">
        <is>
          <t>Other</t>
        </is>
      </c>
      <c r="L12" s="60" t="inlineStr">
        <is>
          <t>Combos</t>
        </is>
      </c>
      <c r="N12" s="60" t="inlineStr">
        <is>
          <t>Other</t>
        </is>
      </c>
      <c r="P12" s="13" t="inlineStr">
        <is>
          <t>June</t>
        </is>
      </c>
    </row>
    <row r="13">
      <c r="B13" s="60" t="inlineStr">
        <is>
          <t>tbsp</t>
        </is>
      </c>
      <c r="C13" s="60" t="inlineStr">
        <is>
          <t>Volume</t>
        </is>
      </c>
      <c r="D13" s="86" t="n">
        <v>14.78676478125</v>
      </c>
      <c r="F13" s="60" t="inlineStr">
        <is>
          <t>Marketing &amp; Advertising</t>
        </is>
      </c>
      <c r="G13" s="60" t="inlineStr">
        <is>
          <t>Fixed</t>
        </is>
      </c>
      <c r="H13" s="60" t="inlineStr">
        <is>
          <t>Social ads, printing, signage</t>
        </is>
      </c>
      <c r="J13" s="60" t="n"/>
      <c r="L13" s="60" t="inlineStr">
        <is>
          <t>Catering</t>
        </is>
      </c>
      <c r="N13" s="60" t="n"/>
      <c r="P13" s="13" t="inlineStr">
        <is>
          <t>July</t>
        </is>
      </c>
    </row>
    <row r="14">
      <c r="B14" s="60" t="inlineStr">
        <is>
          <t>cup (US)</t>
        </is>
      </c>
      <c r="C14" s="60" t="inlineStr">
        <is>
          <t>Volume</t>
        </is>
      </c>
      <c r="D14" s="86" t="n">
        <v>236.5882365</v>
      </c>
      <c r="F14" s="60" t="inlineStr">
        <is>
          <t>Staff Wages &amp; Payroll</t>
        </is>
      </c>
      <c r="G14" s="60" t="inlineStr">
        <is>
          <t>Labor</t>
        </is>
      </c>
      <c r="H14" s="60" t="inlineStr">
        <is>
          <t>Wages incl. payroll taxes</t>
        </is>
      </c>
      <c r="J14" s="60" t="n"/>
      <c r="L14" s="60" t="n"/>
      <c r="N14" s="60" t="n"/>
      <c r="P14" s="13" t="inlineStr">
        <is>
          <t>August</t>
        </is>
      </c>
    </row>
    <row r="15">
      <c r="B15" s="60" t="inlineStr">
        <is>
          <t>fl oz (US)</t>
        </is>
      </c>
      <c r="C15" s="60" t="inlineStr">
        <is>
          <t>Volume</t>
        </is>
      </c>
      <c r="D15" s="86" t="n">
        <v>29.5735295625</v>
      </c>
      <c r="F15" s="60" t="inlineStr">
        <is>
          <t>Event &amp; Pitch Fees</t>
        </is>
      </c>
      <c r="G15" s="60" t="inlineStr">
        <is>
          <t>Event Fees</t>
        </is>
      </c>
      <c r="H15" s="60" t="inlineStr">
        <is>
          <t>Festival, market and pitch fees</t>
        </is>
      </c>
      <c r="J15" s="60" t="n"/>
      <c r="L15" s="60" t="n"/>
      <c r="N15" s="60" t="n"/>
      <c r="P15" s="13" t="inlineStr">
        <is>
          <t>September</t>
        </is>
      </c>
    </row>
    <row r="16">
      <c r="B16" s="60" t="inlineStr">
        <is>
          <t>fl oz (UK)</t>
        </is>
      </c>
      <c r="C16" s="60" t="inlineStr">
        <is>
          <t>Volume</t>
        </is>
      </c>
      <c r="D16" s="86" t="n">
        <v>28.4130625</v>
      </c>
      <c r="F16" s="60" t="inlineStr">
        <is>
          <t>Fuel &amp; Generator</t>
        </is>
      </c>
      <c r="G16" s="60" t="inlineStr">
        <is>
          <t>Variable</t>
        </is>
      </c>
      <c r="H16" s="60" t="inlineStr">
        <is>
          <t>Vehicle fuel, generator fuel</t>
        </is>
      </c>
      <c r="J16" s="60" t="n"/>
      <c r="L16" s="60" t="n"/>
      <c r="N16" s="60" t="n"/>
      <c r="P16" s="13" t="inlineStr">
        <is>
          <t>October</t>
        </is>
      </c>
    </row>
    <row r="17">
      <c r="B17" s="60" t="inlineStr">
        <is>
          <t>pint (US)</t>
        </is>
      </c>
      <c r="C17" s="60" t="inlineStr">
        <is>
          <t>Volume</t>
        </is>
      </c>
      <c r="D17" s="86" t="n">
        <v>473.176473</v>
      </c>
      <c r="F17" s="60" t="inlineStr">
        <is>
          <t>Propane / Cooking Gas</t>
        </is>
      </c>
      <c r="G17" s="60" t="inlineStr">
        <is>
          <t>Variable</t>
        </is>
      </c>
      <c r="H17" s="60" t="inlineStr">
        <is>
          <t>Cooking gas refills</t>
        </is>
      </c>
      <c r="J17" s="60" t="n"/>
      <c r="L17" s="60" t="n"/>
      <c r="N17" s="60" t="n"/>
      <c r="P17" s="13" t="inlineStr">
        <is>
          <t>November</t>
        </is>
      </c>
    </row>
    <row r="18">
      <c r="B18" s="60" t="inlineStr">
        <is>
          <t>pint (UK)</t>
        </is>
      </c>
      <c r="C18" s="60" t="inlineStr">
        <is>
          <t>Volume</t>
        </is>
      </c>
      <c r="D18" s="86" t="n">
        <v>568.26125</v>
      </c>
      <c r="F18" s="60" t="inlineStr">
        <is>
          <t>Card Processing Fees</t>
        </is>
      </c>
      <c r="G18" s="60" t="inlineStr">
        <is>
          <t>Variable</t>
        </is>
      </c>
      <c r="H18" s="60" t="inlineStr">
        <is>
          <t>Card reader / payment fees</t>
        </is>
      </c>
      <c r="J18" s="60" t="n"/>
      <c r="L18" s="60" t="n"/>
      <c r="N18" s="60" t="n"/>
      <c r="P18" s="13" t="inlineStr">
        <is>
          <t>December</t>
        </is>
      </c>
    </row>
    <row r="19">
      <c r="B19" s="60" t="inlineStr">
        <is>
          <t>gal (US)</t>
        </is>
      </c>
      <c r="C19" s="60" t="inlineStr">
        <is>
          <t>Volume</t>
        </is>
      </c>
      <c r="D19" s="86" t="n">
        <v>3785.411784</v>
      </c>
      <c r="F19" s="60" t="inlineStr">
        <is>
          <t>Repairs &amp; Maintenance</t>
        </is>
      </c>
      <c r="G19" s="60" t="inlineStr">
        <is>
          <t>Variable</t>
        </is>
      </c>
      <c r="H19" s="60" t="inlineStr">
        <is>
          <t>Truck and equipment repairs</t>
        </is>
      </c>
      <c r="J19" s="60" t="n"/>
      <c r="L19" s="60" t="n"/>
      <c r="N19" s="60" t="n"/>
    </row>
    <row r="20">
      <c r="B20" s="60" t="inlineStr">
        <is>
          <t>gal (UK)</t>
        </is>
      </c>
      <c r="C20" s="60" t="inlineStr">
        <is>
          <t>Volume</t>
        </is>
      </c>
      <c r="D20" s="86" t="n">
        <v>4546.09</v>
      </c>
      <c r="F20" s="60" t="inlineStr">
        <is>
          <t>Cleaning &amp; Disposables</t>
        </is>
      </c>
      <c r="G20" s="60" t="inlineStr">
        <is>
          <t>Variable</t>
        </is>
      </c>
      <c r="H20" s="60" t="inlineStr">
        <is>
          <t>Cleaning products, gloves</t>
        </is>
      </c>
      <c r="J20" s="60" t="n"/>
      <c r="L20" s="60" t="n"/>
      <c r="N20" s="60" t="n"/>
    </row>
    <row r="21">
      <c r="B21" s="60" t="inlineStr">
        <is>
          <t>each</t>
        </is>
      </c>
      <c r="C21" s="60" t="inlineStr">
        <is>
          <t>Count</t>
        </is>
      </c>
      <c r="D21" s="86" t="n">
        <v>1</v>
      </c>
      <c r="F21" s="60" t="inlineStr">
        <is>
          <t>Other Operating Expense</t>
        </is>
      </c>
      <c r="G21" s="60" t="inlineStr">
        <is>
          <t>Variable</t>
        </is>
      </c>
      <c r="H21" s="60" t="inlineStr">
        <is>
          <t>Anything else that runs the business</t>
        </is>
      </c>
    </row>
    <row r="22">
      <c r="B22" s="60" t="inlineStr">
        <is>
          <t>dozen</t>
        </is>
      </c>
      <c r="C22" s="60" t="inlineStr">
        <is>
          <t>Count</t>
        </is>
      </c>
      <c r="D22" s="86" t="n">
        <v>12</v>
      </c>
      <c r="F22" s="60" t="inlineStr">
        <is>
          <t>Ingredient &amp; Packaging Purchases</t>
        </is>
      </c>
      <c r="G22" s="60" t="inlineStr">
        <is>
          <t>Excluded - Stock Purchase</t>
        </is>
      </c>
      <c r="H22" s="60" t="inlineStr">
        <is>
          <t>Logged for cash records only; profit uses recipe COGS</t>
        </is>
      </c>
    </row>
    <row r="23">
      <c r="B23" s="60" t="inlineStr">
        <is>
          <t>portion</t>
        </is>
      </c>
      <c r="C23" s="60" t="inlineStr">
        <is>
          <t>Count</t>
        </is>
      </c>
      <c r="D23" s="86" t="n">
        <v>1</v>
      </c>
      <c r="F23" s="60" t="inlineStr">
        <is>
          <t>Owner's Draw</t>
        </is>
      </c>
      <c r="G23" s="60" t="inlineStr">
        <is>
          <t>Excluded - Owner Draw</t>
        </is>
      </c>
      <c r="H23" s="60" t="inlineStr">
        <is>
          <t>Money you pay yourself; not a business expense</t>
        </is>
      </c>
    </row>
    <row r="24">
      <c r="B24" s="60" t="n"/>
      <c r="C24" s="60" t="n"/>
      <c r="D24" s="86" t="n"/>
      <c r="F24" s="60" t="n"/>
      <c r="G24" s="60" t="n"/>
      <c r="H24" s="60" t="n"/>
    </row>
    <row r="25">
      <c r="B25" s="60" t="n"/>
      <c r="C25" s="60" t="n"/>
      <c r="D25" s="86" t="n"/>
      <c r="F25" s="60" t="n"/>
      <c r="G25" s="60" t="n"/>
      <c r="H25" s="60" t="n"/>
    </row>
    <row r="26">
      <c r="B26" s="60" t="n"/>
      <c r="C26" s="60" t="n"/>
      <c r="D26" s="86" t="n"/>
      <c r="F26" s="60" t="n"/>
      <c r="G26" s="60" t="n"/>
      <c r="H26" s="60" t="n"/>
    </row>
    <row r="27">
      <c r="B27" s="60" t="n"/>
      <c r="C27" s="60" t="n"/>
      <c r="D27" s="86" t="n"/>
      <c r="F27" s="60" t="n"/>
      <c r="G27" s="60" t="n"/>
      <c r="H27" s="60" t="n"/>
    </row>
    <row r="28">
      <c r="B28" s="60" t="n"/>
      <c r="C28" s="60" t="n"/>
      <c r="D28" s="86" t="n"/>
      <c r="F28" s="60" t="n"/>
      <c r="G28" s="60" t="n"/>
      <c r="H28" s="60" t="n"/>
    </row>
    <row r="29">
      <c r="B29" s="60" t="n"/>
      <c r="C29" s="60" t="n"/>
      <c r="D29" s="86" t="n"/>
      <c r="F29" s="60" t="n"/>
      <c r="G29" s="60" t="n"/>
      <c r="H29" s="60" t="n"/>
    </row>
    <row r="30">
      <c r="B30" s="60" t="n"/>
      <c r="C30" s="60" t="n"/>
      <c r="D30" s="86" t="n"/>
      <c r="F30" s="60" t="n"/>
      <c r="G30" s="60" t="n"/>
      <c r="H30" s="60" t="n"/>
    </row>
    <row r="31">
      <c r="F31" s="60" t="n"/>
      <c r="G31" s="60" t="n"/>
      <c r="H31" s="60" t="n"/>
    </row>
    <row r="32">
      <c r="F32" s="60" t="n"/>
      <c r="G32" s="60" t="n"/>
      <c r="H32" s="60" t="n"/>
    </row>
    <row r="33">
      <c r="B33" s="74" t="inlineStr">
        <is>
          <t>Units convert only within the same dimension (Mass, Volume, Count). Weight-to-volume needs a density and is never guessed: the line is flagged 'Unit mismatch' instead.</t>
        </is>
      </c>
      <c r="F33" s="60" t="n"/>
      <c r="G33" s="60" t="n"/>
      <c r="H33" s="60" t="n"/>
    </row>
    <row r="34">
      <c r="F34" s="60" t="n"/>
      <c r="G34" s="60" t="n"/>
      <c r="H34" s="60" t="n"/>
    </row>
    <row r="35">
      <c r="F35" s="60" t="n"/>
      <c r="G35" s="60" t="n"/>
      <c r="H35" s="60" t="n"/>
    </row>
    <row r="36"/>
    <row r="38">
      <c r="F38" s="74" t="inlineStr">
        <is>
          <t>Cost types: Fixed, Labor, Event Fees and Variable count as operating expenses. 'Excluded' types are recorded for your cash records but NOT deducted from profit (food used is already in COGS; owner's draw is not a business expense).</t>
        </is>
      </c>
    </row>
    <row r="39"/>
    <row r="40"/>
    <row r="41"/>
  </sheetData>
  <mergeCells count="2">
    <mergeCell ref="B33:D36"/>
    <mergeCell ref="F38:H41"/>
  </mergeCells>
  <dataValidations count="2">
    <dataValidation sqref="G6:G35" showDropDown="0" showInputMessage="1" showErrorMessage="1" allowBlank="1" errorTitle="Not in list" error="Please pick a value from the dropdown list." promptTitle="Cost type" prompt="Choose how this category is treated in profit." type="list" errorStyle="stop">
      <formula1>$V$6:$V$11</formula1>
    </dataValidation>
    <dataValidation sqref="C6:C30" showDropDown="0" showInputMessage="0" showErrorMessage="1" allowBlank="1" errorTitle="Not in list" error="Please pick a value from the dropdown list." type="list" errorStyle="stop">
      <formula1>"Mass,Volume,Count"</formula1>
    </dataValidation>
  </dataValidations>
  <hyperlinks>
    <hyperlink ref="B4" location="'Start Here'!A1" display="› Start Here"/>
    <hyperlink ref="D4" location="'Dashboard'!A1" display="› Dashboard"/>
    <hyperlink ref="F4" location="'Settings'!A1" display="› Settings"/>
  </hyperlink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NoviraNest</dc:creator>
  <dc:title xmlns:dc="http://purl.org/dc/elements/1.1/">Food Truck Profit &amp; Pricing System PRO</dc:title>
  <dc:subject xmlns:dc="http://purl.org/dc/elements/1.1/">Version 1.0.0</dc:subject>
  <dcterms:created xmlns:dcterms="http://purl.org/dc/terms/" xmlns:xsi="http://www.w3.org/2001/XMLSchema-instance" xsi:type="dcterms:W3CDTF">2026-10-26T17:58:00Z</dcterms:created>
  <dcterms:modified xmlns:dcterms="http://purl.org/dc/terms/" xmlns:xsi="http://www.w3.org/2001/XMLSchema-instance" xsi:type="dcterms:W3CDTF">2026-10-26T17:58:07Z</dcterms:modified>
  <cp:keywords>food truck, pricing, profit, NoviraNest</cp:keywords>
</cp:coreProperties>
</file>